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ie\Dropbox\COCO ADMINISTRATIVO 2020 (1)\Contabilidad\Informe Financiero\2026\Julio\"/>
    </mc:Choice>
  </mc:AlternateContent>
  <xr:revisionPtr revIDLastSave="0" documentId="13_ncr:1_{86580B16-0162-4AD7-81A4-8572120DC6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umen MRR" sheetId="1" r:id="rId1"/>
    <sheet name="Deta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I117" i="2"/>
  <c r="K116" i="2"/>
  <c r="N116" i="2" s="1"/>
  <c r="J116" i="2"/>
  <c r="K115" i="2"/>
  <c r="N115" i="2" s="1"/>
  <c r="J115" i="2"/>
  <c r="K114" i="2"/>
  <c r="N114" i="2" s="1"/>
  <c r="J114" i="2"/>
  <c r="K113" i="2"/>
  <c r="N113" i="2" s="1"/>
  <c r="J113" i="2"/>
  <c r="K112" i="2"/>
  <c r="N112" i="2" s="1"/>
  <c r="J112" i="2"/>
  <c r="K111" i="2"/>
  <c r="N111" i="2" s="1"/>
  <c r="J111" i="2"/>
  <c r="K110" i="2"/>
  <c r="N110" i="2" s="1"/>
  <c r="J110" i="2"/>
  <c r="K109" i="2"/>
  <c r="N109" i="2" s="1"/>
  <c r="J109" i="2"/>
  <c r="K108" i="2"/>
  <c r="N108" i="2" s="1"/>
  <c r="J108" i="2"/>
  <c r="K107" i="2"/>
  <c r="N107" i="2" s="1"/>
  <c r="J107" i="2"/>
  <c r="K106" i="2"/>
  <c r="N106" i="2" s="1"/>
  <c r="J106" i="2"/>
  <c r="K105" i="2"/>
  <c r="N105" i="2" s="1"/>
  <c r="J105" i="2"/>
  <c r="K104" i="2"/>
  <c r="N104" i="2" s="1"/>
  <c r="J104" i="2"/>
  <c r="K103" i="2"/>
  <c r="N103" i="2" s="1"/>
  <c r="J103" i="2"/>
  <c r="K102" i="2"/>
  <c r="N102" i="2" s="1"/>
  <c r="J102" i="2"/>
  <c r="K101" i="2"/>
  <c r="N101" i="2" s="1"/>
  <c r="J101" i="2"/>
  <c r="K100" i="2"/>
  <c r="N100" i="2" s="1"/>
  <c r="J100" i="2"/>
  <c r="K99" i="2"/>
  <c r="N99" i="2" s="1"/>
  <c r="J99" i="2"/>
  <c r="K98" i="2"/>
  <c r="N98" i="2" s="1"/>
  <c r="J98" i="2"/>
  <c r="K97" i="2"/>
  <c r="N97" i="2" s="1"/>
  <c r="J97" i="2"/>
  <c r="K96" i="2"/>
  <c r="N96" i="2" s="1"/>
  <c r="J96" i="2"/>
  <c r="K95" i="2"/>
  <c r="N95" i="2" s="1"/>
  <c r="J95" i="2"/>
  <c r="K94" i="2"/>
  <c r="N94" i="2" s="1"/>
  <c r="J94" i="2"/>
  <c r="K93" i="2"/>
  <c r="N93" i="2" s="1"/>
  <c r="J93" i="2"/>
  <c r="K92" i="2"/>
  <c r="N92" i="2" s="1"/>
  <c r="J92" i="2"/>
  <c r="K91" i="2"/>
  <c r="N91" i="2" s="1"/>
  <c r="J91" i="2"/>
  <c r="K90" i="2"/>
  <c r="N90" i="2" s="1"/>
  <c r="J90" i="2"/>
  <c r="K89" i="2"/>
  <c r="N89" i="2" s="1"/>
  <c r="J89" i="2"/>
  <c r="K88" i="2"/>
  <c r="N88" i="2" s="1"/>
  <c r="J88" i="2"/>
  <c r="K87" i="2"/>
  <c r="N87" i="2" s="1"/>
  <c r="J87" i="2"/>
  <c r="K86" i="2"/>
  <c r="N86" i="2" s="1"/>
  <c r="J86" i="2"/>
  <c r="K85" i="2"/>
  <c r="N85" i="2" s="1"/>
  <c r="J85" i="2"/>
  <c r="K84" i="2"/>
  <c r="N84" i="2" s="1"/>
  <c r="J84" i="2"/>
  <c r="K83" i="2"/>
  <c r="N83" i="2" s="1"/>
  <c r="J83" i="2"/>
  <c r="K82" i="2"/>
  <c r="N82" i="2" s="1"/>
  <c r="J82" i="2"/>
  <c r="K81" i="2"/>
  <c r="N81" i="2" s="1"/>
  <c r="J81" i="2"/>
  <c r="K80" i="2"/>
  <c r="N80" i="2" s="1"/>
  <c r="J80" i="2"/>
  <c r="K79" i="2"/>
  <c r="N79" i="2" s="1"/>
  <c r="J79" i="2"/>
  <c r="K78" i="2"/>
  <c r="N78" i="2" s="1"/>
  <c r="J78" i="2"/>
  <c r="K77" i="2"/>
  <c r="N77" i="2" s="1"/>
  <c r="J77" i="2"/>
  <c r="K76" i="2"/>
  <c r="N76" i="2" s="1"/>
  <c r="J76" i="2"/>
  <c r="K75" i="2"/>
  <c r="N75" i="2" s="1"/>
  <c r="J75" i="2"/>
  <c r="K74" i="2"/>
  <c r="N74" i="2" s="1"/>
  <c r="J74" i="2"/>
  <c r="K73" i="2"/>
  <c r="N73" i="2" s="1"/>
  <c r="J73" i="2"/>
  <c r="K72" i="2"/>
  <c r="N72" i="2" s="1"/>
  <c r="J72" i="2"/>
  <c r="K71" i="2"/>
  <c r="N71" i="2" s="1"/>
  <c r="J71" i="2"/>
  <c r="K70" i="2"/>
  <c r="N70" i="2" s="1"/>
  <c r="J70" i="2"/>
  <c r="K69" i="2"/>
  <c r="N69" i="2" s="1"/>
  <c r="J69" i="2"/>
  <c r="K68" i="2"/>
  <c r="N68" i="2" s="1"/>
  <c r="J68" i="2"/>
  <c r="K67" i="2"/>
  <c r="N67" i="2" s="1"/>
  <c r="J67" i="2"/>
  <c r="K66" i="2"/>
  <c r="N66" i="2" s="1"/>
  <c r="J66" i="2"/>
  <c r="K65" i="2"/>
  <c r="N65" i="2" s="1"/>
  <c r="J65" i="2"/>
  <c r="K64" i="2"/>
  <c r="N64" i="2" s="1"/>
  <c r="J64" i="2"/>
  <c r="K63" i="2"/>
  <c r="N63" i="2" s="1"/>
  <c r="J63" i="2"/>
  <c r="K62" i="2"/>
  <c r="N62" i="2" s="1"/>
  <c r="J62" i="2"/>
  <c r="K61" i="2"/>
  <c r="N61" i="2" s="1"/>
  <c r="J61" i="2"/>
  <c r="K60" i="2"/>
  <c r="N60" i="2" s="1"/>
  <c r="J60" i="2"/>
  <c r="K59" i="2"/>
  <c r="N59" i="2" s="1"/>
  <c r="J59" i="2"/>
  <c r="K58" i="2"/>
  <c r="N58" i="2" s="1"/>
  <c r="J58" i="2"/>
  <c r="K57" i="2"/>
  <c r="N57" i="2" s="1"/>
  <c r="J57" i="2"/>
  <c r="K56" i="2"/>
  <c r="N56" i="2" s="1"/>
  <c r="J56" i="2"/>
  <c r="K55" i="2"/>
  <c r="N55" i="2" s="1"/>
  <c r="J55" i="2"/>
  <c r="K54" i="2"/>
  <c r="N54" i="2" s="1"/>
  <c r="J54" i="2"/>
  <c r="K53" i="2"/>
  <c r="N53" i="2" s="1"/>
  <c r="J53" i="2"/>
  <c r="K52" i="2"/>
  <c r="N52" i="2" s="1"/>
  <c r="J52" i="2"/>
  <c r="K51" i="2"/>
  <c r="N51" i="2" s="1"/>
  <c r="J51" i="2"/>
  <c r="K50" i="2"/>
  <c r="N50" i="2" s="1"/>
  <c r="J50" i="2"/>
  <c r="K49" i="2"/>
  <c r="N49" i="2" s="1"/>
  <c r="J49" i="2"/>
  <c r="K48" i="2"/>
  <c r="N48" i="2" s="1"/>
  <c r="J48" i="2"/>
  <c r="K47" i="2"/>
  <c r="N47" i="2" s="1"/>
  <c r="J47" i="2"/>
  <c r="K46" i="2"/>
  <c r="N46" i="2" s="1"/>
  <c r="J46" i="2"/>
  <c r="K45" i="2"/>
  <c r="N45" i="2" s="1"/>
  <c r="J45" i="2"/>
  <c r="K44" i="2"/>
  <c r="N44" i="2" s="1"/>
  <c r="J44" i="2"/>
  <c r="K43" i="2"/>
  <c r="N43" i="2" s="1"/>
  <c r="J43" i="2"/>
  <c r="K42" i="2"/>
  <c r="N42" i="2" s="1"/>
  <c r="J42" i="2"/>
  <c r="K41" i="2"/>
  <c r="N41" i="2" s="1"/>
  <c r="J41" i="2"/>
  <c r="K40" i="2"/>
  <c r="N40" i="2" s="1"/>
  <c r="J40" i="2"/>
  <c r="K39" i="2"/>
  <c r="N39" i="2" s="1"/>
  <c r="J39" i="2"/>
  <c r="K38" i="2"/>
  <c r="N38" i="2" s="1"/>
  <c r="J38" i="2"/>
  <c r="K37" i="2"/>
  <c r="N37" i="2" s="1"/>
  <c r="J37" i="2"/>
  <c r="K36" i="2"/>
  <c r="N36" i="2" s="1"/>
  <c r="J36" i="2"/>
  <c r="K35" i="2"/>
  <c r="N35" i="2" s="1"/>
  <c r="J35" i="2"/>
  <c r="K34" i="2"/>
  <c r="N34" i="2" s="1"/>
  <c r="J34" i="2"/>
  <c r="K33" i="2"/>
  <c r="N33" i="2" s="1"/>
  <c r="J33" i="2"/>
  <c r="K32" i="2"/>
  <c r="N32" i="2" s="1"/>
  <c r="J32" i="2"/>
  <c r="K31" i="2"/>
  <c r="N31" i="2" s="1"/>
  <c r="J31" i="2"/>
  <c r="K30" i="2"/>
  <c r="N30" i="2" s="1"/>
  <c r="J30" i="2"/>
  <c r="K29" i="2"/>
  <c r="N29" i="2" s="1"/>
  <c r="J29" i="2"/>
  <c r="K28" i="2"/>
  <c r="N28" i="2" s="1"/>
  <c r="J28" i="2"/>
  <c r="K27" i="2"/>
  <c r="N27" i="2" s="1"/>
  <c r="J27" i="2"/>
  <c r="K26" i="2"/>
  <c r="N26" i="2" s="1"/>
  <c r="J26" i="2"/>
  <c r="K25" i="2"/>
  <c r="N25" i="2" s="1"/>
  <c r="J25" i="2"/>
  <c r="K24" i="2"/>
  <c r="N24" i="2" s="1"/>
  <c r="J24" i="2"/>
  <c r="K23" i="2"/>
  <c r="N23" i="2" s="1"/>
  <c r="J23" i="2"/>
  <c r="K22" i="2"/>
  <c r="N22" i="2" s="1"/>
  <c r="J22" i="2"/>
  <c r="K21" i="2"/>
  <c r="N21" i="2" s="1"/>
  <c r="J21" i="2"/>
  <c r="K20" i="2"/>
  <c r="N20" i="2" s="1"/>
  <c r="J20" i="2"/>
  <c r="K19" i="2"/>
  <c r="N19" i="2" s="1"/>
  <c r="J19" i="2"/>
  <c r="K18" i="2"/>
  <c r="N18" i="2" s="1"/>
  <c r="J18" i="2"/>
  <c r="K17" i="2"/>
  <c r="N17" i="2" s="1"/>
  <c r="J17" i="2"/>
  <c r="K16" i="2"/>
  <c r="N16" i="2" s="1"/>
  <c r="J16" i="2"/>
  <c r="K15" i="2"/>
  <c r="N15" i="2" s="1"/>
  <c r="J15" i="2"/>
  <c r="K14" i="2"/>
  <c r="N14" i="2" s="1"/>
  <c r="J14" i="2"/>
  <c r="K13" i="2"/>
  <c r="N13" i="2" s="1"/>
  <c r="J13" i="2"/>
  <c r="K12" i="2"/>
  <c r="N12" i="2" s="1"/>
  <c r="J12" i="2"/>
  <c r="K11" i="2"/>
  <c r="N11" i="2" s="1"/>
  <c r="J11" i="2"/>
  <c r="K10" i="2"/>
  <c r="N10" i="2" s="1"/>
  <c r="J10" i="2"/>
  <c r="K9" i="2"/>
  <c r="N9" i="2" s="1"/>
  <c r="J9" i="2"/>
  <c r="K8" i="2"/>
  <c r="N8" i="2" s="1"/>
  <c r="J8" i="2"/>
  <c r="K7" i="2"/>
  <c r="N7" i="2" s="1"/>
  <c r="J7" i="2"/>
  <c r="K6" i="2"/>
  <c r="N6" i="2" s="1"/>
  <c r="J6" i="2"/>
  <c r="K5" i="2"/>
  <c r="N5" i="2" s="1"/>
  <c r="J5" i="2"/>
  <c r="K4" i="2"/>
  <c r="N4" i="2" s="1"/>
  <c r="J4" i="2"/>
  <c r="K3" i="2"/>
  <c r="N3" i="2" s="1"/>
  <c r="J3" i="2"/>
  <c r="K2" i="2"/>
  <c r="N2" i="2" s="1"/>
  <c r="J2" i="2"/>
  <c r="B25" i="1"/>
  <c r="B24" i="1"/>
  <c r="B23" i="1"/>
  <c r="B22" i="1"/>
  <c r="B21" i="1"/>
  <c r="B27" i="1" s="1"/>
  <c r="B30" i="1" s="1"/>
  <c r="B20" i="1"/>
  <c r="B19" i="1"/>
  <c r="B16" i="1"/>
  <c r="B14" i="1"/>
  <c r="B15" i="1" s="1"/>
  <c r="B13" i="1"/>
  <c r="C11" i="1"/>
  <c r="B11" i="1"/>
  <c r="C10" i="1"/>
  <c r="C9" i="1"/>
  <c r="C8" i="1"/>
  <c r="C7" i="1"/>
  <c r="B7" i="1"/>
  <c r="C6" i="1"/>
  <c r="C5" i="1"/>
  <c r="L3" i="2" l="1"/>
  <c r="L6" i="2"/>
  <c r="L9" i="2"/>
  <c r="L12" i="2"/>
  <c r="L15" i="2"/>
  <c r="L18" i="2"/>
  <c r="L21" i="2"/>
  <c r="L24" i="2"/>
  <c r="L27" i="2"/>
  <c r="L30" i="2"/>
  <c r="L33" i="2"/>
  <c r="L36" i="2"/>
  <c r="L39" i="2"/>
  <c r="L42" i="2"/>
  <c r="L45" i="2"/>
  <c r="L48" i="2"/>
  <c r="L51" i="2"/>
  <c r="L54" i="2"/>
  <c r="L57" i="2"/>
  <c r="L60" i="2"/>
  <c r="L63" i="2"/>
  <c r="L66" i="2"/>
  <c r="L69" i="2"/>
  <c r="L72" i="2"/>
  <c r="L75" i="2"/>
  <c r="L78" i="2"/>
  <c r="L81" i="2"/>
  <c r="L84" i="2"/>
  <c r="L87" i="2"/>
  <c r="L90" i="2"/>
  <c r="L93" i="2"/>
  <c r="L96" i="2"/>
  <c r="L99" i="2"/>
  <c r="L102" i="2"/>
  <c r="L105" i="2"/>
  <c r="L108" i="2"/>
  <c r="L111" i="2"/>
  <c r="L114" i="2"/>
  <c r="L4" i="2"/>
  <c r="L7" i="2"/>
  <c r="L10" i="2"/>
  <c r="L13" i="2"/>
  <c r="L16" i="2"/>
  <c r="L19" i="2"/>
  <c r="L22" i="2"/>
  <c r="L25" i="2"/>
  <c r="L28" i="2"/>
  <c r="L31" i="2"/>
  <c r="L34" i="2"/>
  <c r="L37" i="2"/>
  <c r="L40" i="2"/>
  <c r="B10" i="1" s="1"/>
  <c r="L43" i="2"/>
  <c r="L46" i="2"/>
  <c r="L49" i="2"/>
  <c r="L52" i="2"/>
  <c r="L55" i="2"/>
  <c r="L58" i="2"/>
  <c r="L61" i="2"/>
  <c r="L64" i="2"/>
  <c r="L67" i="2"/>
  <c r="L70" i="2"/>
  <c r="L73" i="2"/>
  <c r="L76" i="2"/>
  <c r="L79" i="2"/>
  <c r="L82" i="2"/>
  <c r="L85" i="2"/>
  <c r="L88" i="2"/>
  <c r="L91" i="2"/>
  <c r="L94" i="2"/>
  <c r="L97" i="2"/>
  <c r="L100" i="2"/>
  <c r="L103" i="2"/>
  <c r="L106" i="2"/>
  <c r="L109" i="2"/>
  <c r="L112" i="2"/>
  <c r="L115" i="2"/>
  <c r="L2" i="2"/>
  <c r="L5" i="2"/>
  <c r="L8" i="2"/>
  <c r="B6" i="1" s="1"/>
  <c r="L11" i="2"/>
  <c r="L14" i="2"/>
  <c r="L17" i="2"/>
  <c r="L20" i="2"/>
  <c r="L23" i="2"/>
  <c r="L26" i="2"/>
  <c r="L29" i="2"/>
  <c r="L32" i="2"/>
  <c r="L35" i="2"/>
  <c r="L38" i="2"/>
  <c r="L41" i="2"/>
  <c r="L44" i="2"/>
  <c r="L47" i="2"/>
  <c r="L50" i="2"/>
  <c r="L53" i="2"/>
  <c r="L56" i="2"/>
  <c r="L59" i="2"/>
  <c r="L62" i="2"/>
  <c r="L65" i="2"/>
  <c r="L68" i="2"/>
  <c r="L71" i="2"/>
  <c r="L74" i="2"/>
  <c r="L77" i="2"/>
  <c r="L80" i="2"/>
  <c r="L83" i="2"/>
  <c r="L86" i="2"/>
  <c r="L89" i="2"/>
  <c r="L92" i="2"/>
  <c r="L95" i="2"/>
  <c r="L98" i="2"/>
  <c r="L101" i="2"/>
  <c r="L104" i="2"/>
  <c r="L107" i="2"/>
  <c r="L110" i="2"/>
  <c r="L113" i="2"/>
  <c r="L116" i="2"/>
  <c r="B9" i="1" l="1"/>
  <c r="B8" i="1"/>
</calcChain>
</file>

<file path=xl/sharedStrings.xml><?xml version="1.0" encoding="utf-8"?>
<sst xmlns="http://schemas.openxmlformats.org/spreadsheetml/2006/main" count="249" uniqueCount="153">
  <si>
    <t>Análisis de Movimiento MRR — Junio vs Julio 2026</t>
  </si>
  <si>
    <t>MRR mensual = VENCIDA (Mes Anterior) + CORRIENTE (Mes en curso), por cliente. Caja Costa Rica (CCSS) reclasificada como Up Sale — no se cuenta como MRR recurrente.</t>
  </si>
  <si>
    <t>Categoría</t>
  </si>
  <si>
    <t>Total MRR</t>
  </si>
  <si>
    <t># Clientes</t>
  </si>
  <si>
    <t>Retenidas MRR</t>
  </si>
  <si>
    <t>Nuevas Ventas MRR</t>
  </si>
  <si>
    <t>Rescatadas MRR</t>
  </si>
  <si>
    <t>Expansión MRR</t>
  </si>
  <si>
    <t>Contracción MRR</t>
  </si>
  <si>
    <t>Churned MRR</t>
  </si>
  <si>
    <t>Up Sale / Ingreso no recurrente</t>
  </si>
  <si>
    <t>Total MRR Junio (recurrente)</t>
  </si>
  <si>
    <t>Total MRR Julio (recurrente)</t>
  </si>
  <si>
    <t>Variación neta (recurrente)</t>
  </si>
  <si>
    <t># Clientes sin actividad (Jun y Jul)</t>
  </si>
  <si>
    <t>MRR mensual recurrente (histórico 2026)</t>
  </si>
  <si>
    <t>Enero</t>
  </si>
  <si>
    <t>Febrero</t>
  </si>
  <si>
    <t>Marzo</t>
  </si>
  <si>
    <t>Abril</t>
  </si>
  <si>
    <t>Mayo</t>
  </si>
  <si>
    <t>Junio</t>
  </si>
  <si>
    <t>Julio</t>
  </si>
  <si>
    <t>MRR promedio (Ene-Jul, recurrente)</t>
  </si>
  <si>
    <t>ARR (Annual Recurring Revenue)</t>
  </si>
  <si>
    <t>ARR = MRR promedio Ene-Jul × 12</t>
  </si>
  <si>
    <t>Nota MRR: el MRR mensual de cada cliente = VENCIDA (Mes Anterior) + CORRIENTE (Mes en curso), pues distintos comerciales registran la factura en una u otra columna (casi nunca ambas a la vez). 'Nuevas Ventas' = $0 en junio y sin facturación previa Ene-Mayo. 'Rescatadas' = $0 en junio pero con facturación en algún mes Ene-Mayo, y volvieron a facturar en julio. Caja Costa Rica (CCSS) se reclasificó manualmente como Up Sale y se excluye de Nuevas Ventas, del Total MRR y del ARR.</t>
  </si>
  <si>
    <t>Cliente</t>
  </si>
  <si>
    <t>Estado</t>
  </si>
  <si>
    <t>Tuvo histórico previo (Ene-May)</t>
  </si>
  <si>
    <t>Monto categoría</t>
  </si>
  <si>
    <t>Clasificación manual (override)</t>
  </si>
  <si>
    <t>Monto no recurrente (Up Sale)</t>
  </si>
  <si>
    <t>Preventist</t>
  </si>
  <si>
    <t>Activo</t>
  </si>
  <si>
    <t>Emmely Coronado Peguero</t>
  </si>
  <si>
    <t>Fundacion para la Confianza</t>
  </si>
  <si>
    <t>Hospitalaria SAC (Pacifico Salud)</t>
  </si>
  <si>
    <t>Servicios Hospitalarios Brisas SA</t>
  </si>
  <si>
    <t>Caja Costa Rija (CCSS)</t>
  </si>
  <si>
    <t>Up Sale (no recurrente)</t>
  </si>
  <si>
    <t>Clínica Ziegler</t>
  </si>
  <si>
    <t>Dr Jaime (Ginecología)</t>
  </si>
  <si>
    <t>Oral Studio</t>
  </si>
  <si>
    <t>Clinica Guadalupe</t>
  </si>
  <si>
    <t>Clínica Panamericana (Zona Franca de Uraba)</t>
  </si>
  <si>
    <t>Vidamedical Bogotá - Cafam</t>
  </si>
  <si>
    <t>Vidamedical Cúcuta</t>
  </si>
  <si>
    <t>Fundación Organización Vid</t>
  </si>
  <si>
    <t>Clinica Cardio VID</t>
  </si>
  <si>
    <t>Central de Especialistas</t>
  </si>
  <si>
    <t>Reencontrarse</t>
  </si>
  <si>
    <t>San Diego</t>
  </si>
  <si>
    <t>Promotora Pinares</t>
  </si>
  <si>
    <t>Humanos SAS</t>
  </si>
  <si>
    <t>Comite de rehabilitacion</t>
  </si>
  <si>
    <t>Surgifast</t>
  </si>
  <si>
    <t>Instituto Neurologico</t>
  </si>
  <si>
    <t>Assomet</t>
  </si>
  <si>
    <t>Endosalud de Occidente SA</t>
  </si>
  <si>
    <t>Departamento de Radiologia</t>
  </si>
  <si>
    <t>ESE Hospital Tomas Uribe Uribe - Tulua (ASOHSVAL)</t>
  </si>
  <si>
    <t>Santa Fe de Antioquia (San Juan de Dios)</t>
  </si>
  <si>
    <t>Cidsalud IPS</t>
  </si>
  <si>
    <t>Clinica Bonnadona</t>
  </si>
  <si>
    <t>ESE Ceminsa</t>
  </si>
  <si>
    <t>Clinicos</t>
  </si>
  <si>
    <t>ESE Santa Margarita de La Cumbre (ASOHSVAL)</t>
  </si>
  <si>
    <t>Sociedad Medica Antioqueña (SOMA)</t>
  </si>
  <si>
    <t>Liga Contra el Cancer</t>
  </si>
  <si>
    <t>IPS Especializada</t>
  </si>
  <si>
    <t>IPS de la Costa</t>
  </si>
  <si>
    <t>Colombia Vive Salud SAS- My medical</t>
  </si>
  <si>
    <t>ESE Hospital Sagrada Familia - El Toro (ASOHSVAL)</t>
  </si>
  <si>
    <t>Oinsamed SAS ( La Misericordia internacional)</t>
  </si>
  <si>
    <t>Corporacion para estudios en Salud CES</t>
  </si>
  <si>
    <t>Messer</t>
  </si>
  <si>
    <t>Clínica de Oftalmología de Cali</t>
  </si>
  <si>
    <t>Asisfarma</t>
  </si>
  <si>
    <t>ESE Hospital San Marcos de Chinchina</t>
  </si>
  <si>
    <t>Inactivo</t>
  </si>
  <si>
    <t>Campestre</t>
  </si>
  <si>
    <t>Maple Respiratorio</t>
  </si>
  <si>
    <t>Urobosque SA</t>
  </si>
  <si>
    <t>Fundacion Clinica Universitaria Bolivariana (UPB)</t>
  </si>
  <si>
    <t>Clinica Medellin SAS</t>
  </si>
  <si>
    <t>Clinica CLOFAN</t>
  </si>
  <si>
    <t>Clinica de la Mujer</t>
  </si>
  <si>
    <t>COA (Centro Oncologico de Antioquia)</t>
  </si>
  <si>
    <t>Clinica Imbanaco</t>
  </si>
  <si>
    <t>Cedimed</t>
  </si>
  <si>
    <t>Inversiones Medicas de Antioquia  (las Vegas)</t>
  </si>
  <si>
    <t>Mederi (CORPORACION HOSPITALARIA JUAN CIUDAD)</t>
  </si>
  <si>
    <t>Psiquiatrico del Valle</t>
  </si>
  <si>
    <t>Evolucionar Servicios de Salud</t>
  </si>
  <si>
    <t>Meide</t>
  </si>
  <si>
    <t>Ese Villavicencio</t>
  </si>
  <si>
    <t>Colmedicos</t>
  </si>
  <si>
    <t>Instituto del corazon SAS</t>
  </si>
  <si>
    <t>Bienestar IPS (Patria)</t>
  </si>
  <si>
    <t>Instituto Colombiano del Sistema Nervioso (Clinica Montserrat)</t>
  </si>
  <si>
    <t>COHAN</t>
  </si>
  <si>
    <t>La Misericordia Cartagena</t>
  </si>
  <si>
    <t>Coopsana</t>
  </si>
  <si>
    <t>Junta Nacional de Calificacion de Invalidez</t>
  </si>
  <si>
    <t>Audiomedic</t>
  </si>
  <si>
    <t>Instituto de Niños Sordos y Ciegos</t>
  </si>
  <si>
    <t>Clinica Genezen</t>
  </si>
  <si>
    <t>Hospital Universitario Nacional</t>
  </si>
  <si>
    <t>Infectoclínicos</t>
  </si>
  <si>
    <t>Amanecer Medico</t>
  </si>
  <si>
    <t>Sinergia Global</t>
  </si>
  <si>
    <t>Christus Sinergia Clinica Palma Real SAS</t>
  </si>
  <si>
    <t>Preventiva SAS</t>
  </si>
  <si>
    <t>Comfama</t>
  </si>
  <si>
    <t>Fisinova</t>
  </si>
  <si>
    <t>Hospital Universitario de Santander</t>
  </si>
  <si>
    <t>Ese San Rafael de Yolombo</t>
  </si>
  <si>
    <t>Ese San Juan de Dios Yarumal</t>
  </si>
  <si>
    <t>Clinica Zayma</t>
  </si>
  <si>
    <t>Rehabilitacion y Gestion del Reintegro con Salud (IPS Regresa)</t>
  </si>
  <si>
    <t>Jose Orduz Medicina Integrativa (Our Family)</t>
  </si>
  <si>
    <t>ESE Hospital Local de Montelibano</t>
  </si>
  <si>
    <t>DermaPau Plus SAS</t>
  </si>
  <si>
    <t>ESE San Jose - (San Andres - Bucaramanga)</t>
  </si>
  <si>
    <t>Cooperativa San Esteban IPS</t>
  </si>
  <si>
    <t>Neurodinamia SA</t>
  </si>
  <si>
    <t>Clinica de Ojos (CLINOJOS) SA</t>
  </si>
  <si>
    <t>Centro de Ortopedia y Rehabilitacion Ortovital Integral SAS</t>
  </si>
  <si>
    <t>Hospital San Bernabe ESE  (ASOHSVAL)</t>
  </si>
  <si>
    <t>Medihel Services Colombia</t>
  </si>
  <si>
    <t>Audiocom SAS</t>
  </si>
  <si>
    <t>Fundacion Liberate</t>
  </si>
  <si>
    <t>Rangos</t>
  </si>
  <si>
    <t>Centro Intercultural de Atencion en Salud (CIAS)</t>
  </si>
  <si>
    <t>Ese Hospital San Fernando (Amagá)</t>
  </si>
  <si>
    <t>Ese Hosptal la Anunciacion (Mutata)</t>
  </si>
  <si>
    <t>Ese Hospital Maria Auxiliadora (Chigorodo)</t>
  </si>
  <si>
    <t>Ese Hospital Francisco Luis Jimenez (Carepa)</t>
  </si>
  <si>
    <t>Ese Hospital San Rafael (San Luis)</t>
  </si>
  <si>
    <t>Ese San Joaquin (Nariño)</t>
  </si>
  <si>
    <t>Hospital San Antonio de (Buritica)</t>
  </si>
  <si>
    <t>Ese Hospital San Antonio (Betania)</t>
  </si>
  <si>
    <t>Ese Hospital Santa Isabel (Gomez Plata)</t>
  </si>
  <si>
    <t>Ese Hospital Guillermo Gaviria Correa (Caicedo)</t>
  </si>
  <si>
    <t>Hospital San Juan de Dios (Rionegro)</t>
  </si>
  <si>
    <t>Clinica Nuestra señora de la Paz</t>
  </si>
  <si>
    <t>ESE Local Ismael Roldan</t>
  </si>
  <si>
    <t>Instituto de Seguridad y Salud Isesalud SAS</t>
  </si>
  <si>
    <t>Mediagnostica Tecmedi SAS</t>
  </si>
  <si>
    <t>IPS Horizonte Social La Esperanza SAS</t>
  </si>
  <si>
    <t>Clinica DIME (Neurocardiovascular)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</si>
</sst>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2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i/>
      <sz val="11"/>
      <color rgb="FF9C5700"/>
      <name val="Arial"/>
      <charset val="1"/>
    </font>
    <font>
      <i/>
      <sz val="11"/>
      <color rgb="FF9C5700"/>
      <name val="Arial"/>
      <charset val="1"/>
    </font>
    <font>
      <i/>
      <sz val="11"/>
      <color rgb="FF666666"/>
      <name val="Arial"/>
      <charset val="1"/>
    </font>
    <font>
      <b/>
      <sz val="12"/>
      <color rgb="FF1F4E78"/>
      <name val="Arial"/>
      <charset val="1"/>
    </font>
    <font>
      <b/>
      <sz val="11"/>
      <color rgb="FF1F4E78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164" fontId="7" fillId="0" borderId="0" xfId="0" applyNumberFormat="1" applyFont="1"/>
    <xf numFmtId="0" fontId="7" fillId="0" borderId="0" xfId="0" applyFont="1" applyAlignment="1">
      <alignment horizontal="center"/>
    </xf>
    <xf numFmtId="164" fontId="4" fillId="0" borderId="0" xfId="0" applyNumberFormat="1" applyFont="1"/>
    <xf numFmtId="0" fontId="8" fillId="0" borderId="0" xfId="0" applyFont="1"/>
    <xf numFmtId="0" fontId="9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11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zoomScaleNormal="100" workbookViewId="0">
      <selection activeCell="D13" sqref="D13"/>
    </sheetView>
  </sheetViews>
  <sheetFormatPr baseColWidth="10" defaultColWidth="8.6640625" defaultRowHeight="14.4" x14ac:dyDescent="0.3"/>
  <cols>
    <col min="1" max="1" width="32" customWidth="1"/>
    <col min="2" max="2" width="20" customWidth="1"/>
    <col min="3" max="3" width="12" customWidth="1"/>
  </cols>
  <sheetData>
    <row r="1" spans="1:5" ht="17.25" customHeight="1" x14ac:dyDescent="0.3">
      <c r="A1" s="5" t="s">
        <v>0</v>
      </c>
      <c r="B1" s="5"/>
      <c r="C1" s="5"/>
      <c r="D1" s="5"/>
    </row>
    <row r="2" spans="1:5" ht="15" customHeight="1" x14ac:dyDescent="0.3">
      <c r="A2" s="4" t="s">
        <v>1</v>
      </c>
      <c r="B2" s="4"/>
      <c r="C2" s="4"/>
      <c r="D2" s="4"/>
      <c r="E2" s="4"/>
    </row>
    <row r="4" spans="1:5" ht="15" customHeight="1" x14ac:dyDescent="0.3">
      <c r="A4" s="6" t="s">
        <v>2</v>
      </c>
      <c r="B4" s="6" t="s">
        <v>3</v>
      </c>
      <c r="C4" s="6" t="s">
        <v>4</v>
      </c>
    </row>
    <row r="5" spans="1:5" ht="15" customHeight="1" x14ac:dyDescent="0.3">
      <c r="A5" s="7" t="s">
        <v>5</v>
      </c>
      <c r="B5" s="8">
        <f>+Detalle!I117-B11-B6-B10</f>
        <v>656178707.70262003</v>
      </c>
      <c r="C5" s="9">
        <f>COUNTIF(Detalle!$K$2:$K$116,"Retenida")</f>
        <v>42</v>
      </c>
    </row>
    <row r="6" spans="1:5" ht="15" customHeight="1" x14ac:dyDescent="0.3">
      <c r="A6" s="7" t="s">
        <v>6</v>
      </c>
      <c r="B6" s="8">
        <f>SUMIF(Detalle!$K$2:$K$116,"Nueva",Detalle!$L$2:$L$116)</f>
        <v>9249060</v>
      </c>
      <c r="C6" s="9">
        <f>COUNTIF(Detalle!$K$2:$K$116,"Nueva")</f>
        <v>2</v>
      </c>
    </row>
    <row r="7" spans="1:5" ht="15" customHeight="1" x14ac:dyDescent="0.3">
      <c r="A7" s="7" t="s">
        <v>7</v>
      </c>
      <c r="B7" s="8">
        <f>SUMIF(Detalle!$K$2:$K$116,"Rescatada",Detalle!$L$2:$L$116)</f>
        <v>0</v>
      </c>
      <c r="C7" s="9">
        <f>COUNTIF(Detalle!$K$2:$K$116,"Rescatada")</f>
        <v>0</v>
      </c>
    </row>
    <row r="8" spans="1:5" ht="15" customHeight="1" x14ac:dyDescent="0.3">
      <c r="A8" s="7" t="s">
        <v>8</v>
      </c>
      <c r="B8" s="8">
        <f>SUMIF(Detalle!$K$2:$K$116,"Expansión",Detalle!$L$2:$L$116)</f>
        <v>14828121.531996001</v>
      </c>
      <c r="C8" s="9">
        <f>COUNTIF(Detalle!$K$2:$K$116,"Expansión")</f>
        <v>17</v>
      </c>
    </row>
    <row r="9" spans="1:5" ht="15" customHeight="1" x14ac:dyDescent="0.3">
      <c r="A9" s="7" t="s">
        <v>9</v>
      </c>
      <c r="B9" s="8">
        <f>SUMIF(Detalle!$K$2:$K$116,"Contracción",Detalle!$L$2:$L$116)</f>
        <v>43146257.943994395</v>
      </c>
      <c r="C9" s="9">
        <f>COUNTIF(Detalle!$K$2:$K$116,"Contracción")</f>
        <v>30</v>
      </c>
    </row>
    <row r="10" spans="1:5" ht="15" customHeight="1" x14ac:dyDescent="0.3">
      <c r="A10" s="7" t="s">
        <v>10</v>
      </c>
      <c r="B10" s="8">
        <f>SUMIF(Detalle!$K$2:$K$116,"Churned",Detalle!$L$2:$L$116)</f>
        <v>37681670</v>
      </c>
      <c r="C10" s="9">
        <f>COUNTIF(Detalle!$K$2:$K$116,"Churned")</f>
        <v>4</v>
      </c>
    </row>
    <row r="11" spans="1:5" x14ac:dyDescent="0.3">
      <c r="A11" s="10" t="s">
        <v>11</v>
      </c>
      <c r="B11" s="11">
        <f>SUMIF(Detalle!$K$2:$K$116,"Up Sale (no recurrente)",Detalle!$I$2:$I$116)</f>
        <v>494843760</v>
      </c>
      <c r="C11" s="12">
        <f>COUNTIF(Detalle!$K$2:$K$116,"Up Sale (no recurrente)")</f>
        <v>1</v>
      </c>
    </row>
    <row r="12" spans="1:5" ht="15" customHeight="1" x14ac:dyDescent="0.3">
      <c r="A12" s="7"/>
      <c r="B12" s="13"/>
    </row>
    <row r="13" spans="1:5" ht="15" customHeight="1" x14ac:dyDescent="0.3">
      <c r="A13" s="7" t="s">
        <v>12</v>
      </c>
      <c r="B13" s="13">
        <f>SUM(Detalle!H2:H116)</f>
        <v>759860184.11461866</v>
      </c>
    </row>
    <row r="14" spans="1:5" ht="15" customHeight="1" x14ac:dyDescent="0.3">
      <c r="A14" s="7" t="s">
        <v>13</v>
      </c>
      <c r="B14" s="13">
        <f>SUM(Detalle!I2:I116)-SUMIF(Detalle!$K$2:$K$116,"Up Sale (no recurrente)",Detalle!$I$2:$I$116)</f>
        <v>703109437.70262003</v>
      </c>
    </row>
    <row r="15" spans="1:5" ht="15" customHeight="1" x14ac:dyDescent="0.3">
      <c r="A15" s="7" t="s">
        <v>14</v>
      </c>
      <c r="B15" s="13">
        <f>B14-B13</f>
        <v>-56750746.41199863</v>
      </c>
    </row>
    <row r="16" spans="1:5" x14ac:dyDescent="0.3">
      <c r="A16" s="14" t="s">
        <v>15</v>
      </c>
      <c r="B16" s="14">
        <f>COUNTIF(Detalle!$K$2:$K$116,"Sin actividad")</f>
        <v>19</v>
      </c>
    </row>
    <row r="17" spans="1:5" ht="60" customHeight="1" x14ac:dyDescent="0.3">
      <c r="A17" s="15"/>
    </row>
    <row r="18" spans="1:5" ht="15" customHeight="1" x14ac:dyDescent="0.3">
      <c r="A18" s="3" t="s">
        <v>16</v>
      </c>
      <c r="B18" s="3"/>
      <c r="C18" s="3"/>
    </row>
    <row r="19" spans="1:5" ht="15" customHeight="1" x14ac:dyDescent="0.3">
      <c r="A19" s="16" t="s">
        <v>17</v>
      </c>
      <c r="B19" s="8">
        <f>SUM(Detalle!C2:C116)</f>
        <v>592860893.19788301</v>
      </c>
    </row>
    <row r="20" spans="1:5" ht="15" customHeight="1" x14ac:dyDescent="0.3">
      <c r="A20" s="16" t="s">
        <v>18</v>
      </c>
      <c r="B20" s="8">
        <f>SUM(Detalle!D2:D116)</f>
        <v>695884029.36226583</v>
      </c>
    </row>
    <row r="21" spans="1:5" ht="15" customHeight="1" x14ac:dyDescent="0.3">
      <c r="A21" s="17" t="s">
        <v>19</v>
      </c>
      <c r="B21" s="8">
        <f>SUM(Detalle!E2:E116)</f>
        <v>734076969.84716463</v>
      </c>
    </row>
    <row r="22" spans="1:5" ht="15" customHeight="1" x14ac:dyDescent="0.3">
      <c r="A22" s="16" t="s">
        <v>20</v>
      </c>
      <c r="B22" s="8">
        <f>SUM(Detalle!F2:F116)</f>
        <v>754046327.49546731</v>
      </c>
    </row>
    <row r="23" spans="1:5" ht="15" customHeight="1" x14ac:dyDescent="0.3">
      <c r="A23" s="16" t="s">
        <v>21</v>
      </c>
      <c r="B23" s="8">
        <f>SUM(Detalle!G2:G116)</f>
        <v>774122622.74935973</v>
      </c>
    </row>
    <row r="24" spans="1:5" ht="15" customHeight="1" x14ac:dyDescent="0.3">
      <c r="A24" s="16" t="s">
        <v>22</v>
      </c>
      <c r="B24" s="8">
        <f>SUM(Detalle!H2:H116)</f>
        <v>759860184.11461866</v>
      </c>
    </row>
    <row r="25" spans="1:5" x14ac:dyDescent="0.3">
      <c r="A25" s="16" t="s">
        <v>23</v>
      </c>
      <c r="B25" s="8">
        <f>SUM(Detalle!I2:I116)-SUMIF(Detalle!$K$2:$K$116,"Up Sale (no recurrente)",Detalle!$I$2:$I$116)</f>
        <v>703109437.70262003</v>
      </c>
    </row>
    <row r="26" spans="1:5" ht="15" customHeight="1" x14ac:dyDescent="0.3">
      <c r="A26" s="18"/>
    </row>
    <row r="27" spans="1:5" ht="15" customHeight="1" x14ac:dyDescent="0.3">
      <c r="A27" s="7" t="s">
        <v>24</v>
      </c>
      <c r="B27" s="13">
        <f>AVERAGE(B19:B25)</f>
        <v>716280066.35276854</v>
      </c>
    </row>
    <row r="28" spans="1:5" ht="15" customHeight="1" x14ac:dyDescent="0.3"/>
    <row r="29" spans="1:5" ht="15.6" x14ac:dyDescent="0.3">
      <c r="A29" s="2" t="s">
        <v>25</v>
      </c>
      <c r="B29" s="2"/>
      <c r="C29" s="2"/>
    </row>
    <row r="30" spans="1:5" ht="15.6" x14ac:dyDescent="0.3">
      <c r="A30" s="7" t="s">
        <v>26</v>
      </c>
      <c r="B30" s="19">
        <f>B27*12</f>
        <v>8595360796.233223</v>
      </c>
    </row>
    <row r="32" spans="1:5" ht="15" customHeight="1" x14ac:dyDescent="0.3">
      <c r="A32" s="1" t="s">
        <v>27</v>
      </c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</sheetData>
  <mergeCells count="5">
    <mergeCell ref="A1:D1"/>
    <mergeCell ref="A2:E2"/>
    <mergeCell ref="A18:C18"/>
    <mergeCell ref="A29:C29"/>
    <mergeCell ref="A32:E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7"/>
  <sheetViews>
    <sheetView zoomScaleNormal="100" workbookViewId="0">
      <pane ySplit="1" topLeftCell="A98" activePane="bottomLeft" state="frozen"/>
      <selection pane="bottomLeft" activeCell="I118" sqref="I118"/>
    </sheetView>
  </sheetViews>
  <sheetFormatPr baseColWidth="10" defaultColWidth="8.6640625" defaultRowHeight="14.4" x14ac:dyDescent="0.3"/>
  <cols>
    <col min="1" max="1" width="42" customWidth="1"/>
    <col min="2" max="2" width="10" customWidth="1"/>
    <col min="3" max="8" width="13" customWidth="1"/>
    <col min="9" max="9" width="13.6640625" bestFit="1" customWidth="1"/>
    <col min="10" max="11" width="14" customWidth="1"/>
    <col min="12" max="12" width="15" customWidth="1"/>
    <col min="13" max="13" width="22" customWidth="1"/>
    <col min="14" max="14" width="20" customWidth="1"/>
  </cols>
  <sheetData>
    <row r="1" spans="1:14" ht="51.75" customHeight="1" x14ac:dyDescent="0.3">
      <c r="A1" s="20" t="s">
        <v>28</v>
      </c>
      <c r="B1" s="20" t="s">
        <v>29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  <c r="I1" s="20" t="s">
        <v>23</v>
      </c>
      <c r="J1" s="20" t="s">
        <v>30</v>
      </c>
      <c r="K1" s="20" t="s">
        <v>2</v>
      </c>
      <c r="L1" s="20" t="s">
        <v>31</v>
      </c>
      <c r="M1" s="20" t="s">
        <v>32</v>
      </c>
      <c r="N1" s="20" t="s">
        <v>33</v>
      </c>
    </row>
    <row r="2" spans="1:14" ht="15" customHeight="1" x14ac:dyDescent="0.3">
      <c r="A2" s="16" t="s">
        <v>34</v>
      </c>
      <c r="B2" s="16" t="s">
        <v>35</v>
      </c>
      <c r="C2" s="8">
        <v>10471000</v>
      </c>
      <c r="D2" s="8">
        <v>14211600</v>
      </c>
      <c r="E2" s="8">
        <v>13198568</v>
      </c>
      <c r="F2" s="8">
        <v>20507241</v>
      </c>
      <c r="G2" s="8">
        <v>19480285</v>
      </c>
      <c r="H2" s="8">
        <v>20342970</v>
      </c>
      <c r="I2" s="8">
        <v>21630780</v>
      </c>
      <c r="J2" s="16">
        <f t="shared" ref="J2:J33" si="0">IF(SUM(C2:G2)&gt;0,1,0)</f>
        <v>1</v>
      </c>
      <c r="K2" s="9" t="str">
        <f t="shared" ref="K2:K33" si="1">IF(M2&lt;&gt;"",M2,IF(AND(H2=0,I2=0),"Sin actividad",IF(AND(H2=0,I2&gt;0),IF(J2=1,"Rescatada","Nueva"),IF(AND(H2&gt;0,I2=0),"Churned",IF(I2&gt;H2,"Expansión",IF(I2&lt;H2,"Contracción","Retenida"))))))</f>
        <v>Expansión</v>
      </c>
      <c r="L2" s="8">
        <f t="shared" ref="L2:L33" si="2">IF(K2="Up Sale (no recurrente)",0,IF(K2="Expansión",I2-H2,IF(K2="Contracción",H2-I2,IF(K2="Retenida",I2,IF(OR(K2="Nueva",K2="Rescatada"),I2,IF(K2="Churned",H2,0))))))</f>
        <v>1287810</v>
      </c>
      <c r="M2" s="16"/>
      <c r="N2" s="8">
        <f t="shared" ref="N2:N33" si="3">IF(K2="Up Sale (no recurrente)",I2,0)</f>
        <v>0</v>
      </c>
    </row>
    <row r="3" spans="1:14" ht="15" customHeight="1" x14ac:dyDescent="0.3">
      <c r="A3" s="16" t="s">
        <v>36</v>
      </c>
      <c r="B3" s="16" t="s">
        <v>35</v>
      </c>
      <c r="C3" s="8">
        <v>356865</v>
      </c>
      <c r="D3" s="8">
        <v>351463.8</v>
      </c>
      <c r="E3" s="8">
        <v>351463.8</v>
      </c>
      <c r="F3" s="8">
        <v>356961.45</v>
      </c>
      <c r="G3" s="8">
        <v>357540.15</v>
      </c>
      <c r="H3" s="8">
        <v>355900.5</v>
      </c>
      <c r="I3" s="8">
        <v>355900.5</v>
      </c>
      <c r="J3" s="16">
        <f t="shared" si="0"/>
        <v>1</v>
      </c>
      <c r="K3" s="9" t="str">
        <f t="shared" si="1"/>
        <v>Retenida</v>
      </c>
      <c r="L3" s="8">
        <f t="shared" si="2"/>
        <v>355900.5</v>
      </c>
      <c r="M3" s="16"/>
      <c r="N3" s="8">
        <f t="shared" si="3"/>
        <v>0</v>
      </c>
    </row>
    <row r="4" spans="1:14" ht="15" customHeight="1" x14ac:dyDescent="0.3">
      <c r="A4" s="16" t="s">
        <v>37</v>
      </c>
      <c r="B4" s="16" t="s">
        <v>35</v>
      </c>
      <c r="C4" s="8">
        <v>203500</v>
      </c>
      <c r="D4" s="8">
        <v>200420</v>
      </c>
      <c r="E4" s="8">
        <v>200420</v>
      </c>
      <c r="F4" s="8">
        <v>200420</v>
      </c>
      <c r="G4" s="8">
        <v>203885</v>
      </c>
      <c r="H4" s="8">
        <v>202950</v>
      </c>
      <c r="I4" s="8">
        <v>202950</v>
      </c>
      <c r="J4" s="16">
        <f t="shared" si="0"/>
        <v>1</v>
      </c>
      <c r="K4" s="9" t="str">
        <f t="shared" si="1"/>
        <v>Retenida</v>
      </c>
      <c r="L4" s="8">
        <f t="shared" si="2"/>
        <v>202950</v>
      </c>
      <c r="M4" s="16"/>
      <c r="N4" s="8">
        <f t="shared" si="3"/>
        <v>0</v>
      </c>
    </row>
    <row r="5" spans="1:14" ht="15" customHeight="1" x14ac:dyDescent="0.3">
      <c r="A5" s="16" t="s">
        <v>38</v>
      </c>
      <c r="B5" s="16" t="s">
        <v>35</v>
      </c>
      <c r="C5" s="8">
        <v>0</v>
      </c>
      <c r="D5" s="8">
        <v>3015920.16</v>
      </c>
      <c r="E5" s="8">
        <v>4929020.16</v>
      </c>
      <c r="F5" s="8">
        <v>3015920.16</v>
      </c>
      <c r="G5" s="8">
        <v>3068061.48</v>
      </c>
      <c r="H5" s="8">
        <v>6707091.5999999996</v>
      </c>
      <c r="I5" s="8">
        <v>3889887.3</v>
      </c>
      <c r="J5" s="16">
        <f t="shared" si="0"/>
        <v>1</v>
      </c>
      <c r="K5" s="9" t="str">
        <f t="shared" si="1"/>
        <v>Contracción</v>
      </c>
      <c r="L5" s="8">
        <f t="shared" si="2"/>
        <v>2817204.3</v>
      </c>
      <c r="M5" s="16"/>
      <c r="N5" s="8">
        <f t="shared" si="3"/>
        <v>0</v>
      </c>
    </row>
    <row r="6" spans="1:14" ht="15" customHeight="1" x14ac:dyDescent="0.3">
      <c r="A6" s="16" t="s">
        <v>39</v>
      </c>
      <c r="B6" s="16" t="s">
        <v>35</v>
      </c>
      <c r="C6" s="8">
        <v>1110000</v>
      </c>
      <c r="D6" s="8">
        <v>0</v>
      </c>
      <c r="E6" s="8">
        <v>1110000</v>
      </c>
      <c r="F6" s="8">
        <v>1110300</v>
      </c>
      <c r="G6" s="8">
        <v>0</v>
      </c>
      <c r="H6" s="8">
        <v>0</v>
      </c>
      <c r="I6" s="8">
        <v>0</v>
      </c>
      <c r="J6" s="16">
        <f t="shared" si="0"/>
        <v>1</v>
      </c>
      <c r="K6" s="9" t="str">
        <f t="shared" si="1"/>
        <v>Sin actividad</v>
      </c>
      <c r="L6" s="8">
        <f t="shared" si="2"/>
        <v>0</v>
      </c>
      <c r="M6" s="16"/>
      <c r="N6" s="8">
        <f t="shared" si="3"/>
        <v>0</v>
      </c>
    </row>
    <row r="7" spans="1:14" ht="15" customHeight="1" x14ac:dyDescent="0.3">
      <c r="A7" s="16" t="s">
        <v>40</v>
      </c>
      <c r="B7" s="16" t="s">
        <v>35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494843760</v>
      </c>
      <c r="J7" s="16">
        <f t="shared" si="0"/>
        <v>0</v>
      </c>
      <c r="K7" s="9" t="str">
        <f t="shared" si="1"/>
        <v>Up Sale (no recurrente)</v>
      </c>
      <c r="L7" s="8">
        <f t="shared" si="2"/>
        <v>0</v>
      </c>
      <c r="M7" s="16" t="s">
        <v>41</v>
      </c>
      <c r="N7" s="8">
        <f t="shared" si="3"/>
        <v>494843760</v>
      </c>
    </row>
    <row r="8" spans="1:14" ht="15" customHeight="1" x14ac:dyDescent="0.3">
      <c r="A8" s="16" t="s">
        <v>42</v>
      </c>
      <c r="B8" s="16" t="s">
        <v>35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1749060</v>
      </c>
      <c r="J8" s="16">
        <f t="shared" si="0"/>
        <v>0</v>
      </c>
      <c r="K8" s="9" t="str">
        <f t="shared" si="1"/>
        <v>Nueva</v>
      </c>
      <c r="L8" s="8">
        <f t="shared" si="2"/>
        <v>1749060</v>
      </c>
      <c r="M8" s="16"/>
      <c r="N8" s="8">
        <f t="shared" si="3"/>
        <v>0</v>
      </c>
    </row>
    <row r="9" spans="1:14" ht="15" customHeight="1" x14ac:dyDescent="0.3">
      <c r="A9" s="16" t="s">
        <v>43</v>
      </c>
      <c r="B9" s="16" t="s">
        <v>35</v>
      </c>
      <c r="C9" s="8">
        <v>266098.14</v>
      </c>
      <c r="D9" s="8">
        <v>266098.14</v>
      </c>
      <c r="E9" s="8">
        <v>266098.14</v>
      </c>
      <c r="F9" s="8">
        <v>266098.14</v>
      </c>
      <c r="G9" s="8">
        <v>266098.14</v>
      </c>
      <c r="H9" s="8">
        <v>266098.14</v>
      </c>
      <c r="I9" s="8">
        <v>266098.14</v>
      </c>
      <c r="J9" s="16">
        <f t="shared" si="0"/>
        <v>1</v>
      </c>
      <c r="K9" s="9" t="str">
        <f t="shared" si="1"/>
        <v>Retenida</v>
      </c>
      <c r="L9" s="8">
        <f t="shared" si="2"/>
        <v>266098.14</v>
      </c>
      <c r="M9" s="16"/>
      <c r="N9" s="8">
        <f t="shared" si="3"/>
        <v>0</v>
      </c>
    </row>
    <row r="10" spans="1:14" ht="15" customHeight="1" x14ac:dyDescent="0.3">
      <c r="A10" s="16" t="s">
        <v>44</v>
      </c>
      <c r="B10" s="16" t="s">
        <v>35</v>
      </c>
      <c r="C10" s="8">
        <v>447047.62285568001</v>
      </c>
      <c r="D10" s="8">
        <v>447047.62285568001</v>
      </c>
      <c r="E10" s="8">
        <v>447047.62285568001</v>
      </c>
      <c r="F10" s="8">
        <v>447047.62285568001</v>
      </c>
      <c r="G10" s="8">
        <v>447047.62285568001</v>
      </c>
      <c r="H10" s="8">
        <v>447047.62285568001</v>
      </c>
      <c r="I10" s="8">
        <v>447047.62285568001</v>
      </c>
      <c r="J10" s="16">
        <f t="shared" si="0"/>
        <v>1</v>
      </c>
      <c r="K10" s="9" t="str">
        <f t="shared" si="1"/>
        <v>Retenida</v>
      </c>
      <c r="L10" s="8">
        <f t="shared" si="2"/>
        <v>447047.62285568001</v>
      </c>
      <c r="M10" s="16"/>
      <c r="N10" s="8">
        <f t="shared" si="3"/>
        <v>0</v>
      </c>
    </row>
    <row r="11" spans="1:14" ht="15" customHeight="1" x14ac:dyDescent="0.3">
      <c r="A11" s="16" t="s">
        <v>45</v>
      </c>
      <c r="B11" s="16" t="s">
        <v>35</v>
      </c>
      <c r="C11" s="8">
        <v>7595917</v>
      </c>
      <c r="D11" s="8">
        <v>9601552</v>
      </c>
      <c r="E11" s="8">
        <v>9601552</v>
      </c>
      <c r="F11" s="8">
        <v>7595917</v>
      </c>
      <c r="G11" s="8">
        <v>7983308.7699999996</v>
      </c>
      <c r="H11" s="8">
        <v>7983308.7699999996</v>
      </c>
      <c r="I11" s="8">
        <v>6654932</v>
      </c>
      <c r="J11" s="16">
        <f t="shared" si="0"/>
        <v>1</v>
      </c>
      <c r="K11" s="9" t="str">
        <f t="shared" si="1"/>
        <v>Contracción</v>
      </c>
      <c r="L11" s="8">
        <f t="shared" si="2"/>
        <v>1328376.7699999996</v>
      </c>
      <c r="M11" s="16"/>
      <c r="N11" s="8">
        <f t="shared" si="3"/>
        <v>0</v>
      </c>
    </row>
    <row r="12" spans="1:14" ht="15" customHeight="1" x14ac:dyDescent="0.3">
      <c r="A12" s="16" t="s">
        <v>46</v>
      </c>
      <c r="B12" s="16" t="s">
        <v>35</v>
      </c>
      <c r="C12" s="8">
        <v>19150000</v>
      </c>
      <c r="D12" s="8">
        <v>19150000</v>
      </c>
      <c r="E12" s="8">
        <v>19150000</v>
      </c>
      <c r="F12" s="8">
        <v>19150000</v>
      </c>
      <c r="G12" s="8">
        <v>19150000</v>
      </c>
      <c r="H12" s="8">
        <v>19150000</v>
      </c>
      <c r="I12" s="8">
        <v>19150000</v>
      </c>
      <c r="J12" s="16">
        <f t="shared" si="0"/>
        <v>1</v>
      </c>
      <c r="K12" s="9" t="str">
        <f t="shared" si="1"/>
        <v>Retenida</v>
      </c>
      <c r="L12" s="8">
        <f t="shared" si="2"/>
        <v>19150000</v>
      </c>
      <c r="M12" s="16"/>
      <c r="N12" s="8">
        <f t="shared" si="3"/>
        <v>0</v>
      </c>
    </row>
    <row r="13" spans="1:14" ht="15" customHeight="1" x14ac:dyDescent="0.3">
      <c r="A13" s="16" t="s">
        <v>47</v>
      </c>
      <c r="B13" s="16" t="s">
        <v>35</v>
      </c>
      <c r="C13" s="8">
        <v>0</v>
      </c>
      <c r="D13" s="8">
        <v>29661904</v>
      </c>
      <c r="E13" s="8">
        <v>30509238</v>
      </c>
      <c r="F13" s="8">
        <v>30509238</v>
      </c>
      <c r="G13" s="8">
        <v>30509238</v>
      </c>
      <c r="H13" s="8">
        <v>30509238</v>
      </c>
      <c r="I13" s="8">
        <v>30509238</v>
      </c>
      <c r="J13" s="16">
        <f t="shared" si="0"/>
        <v>1</v>
      </c>
      <c r="K13" s="9" t="str">
        <f t="shared" si="1"/>
        <v>Retenida</v>
      </c>
      <c r="L13" s="8">
        <f t="shared" si="2"/>
        <v>30509238</v>
      </c>
      <c r="M13" s="16"/>
      <c r="N13" s="8">
        <f t="shared" si="3"/>
        <v>0</v>
      </c>
    </row>
    <row r="14" spans="1:14" ht="15" customHeight="1" x14ac:dyDescent="0.3">
      <c r="A14" s="16" t="s">
        <v>48</v>
      </c>
      <c r="B14" s="16" t="s">
        <v>35</v>
      </c>
      <c r="C14" s="8">
        <v>0</v>
      </c>
      <c r="D14" s="8">
        <v>5965476</v>
      </c>
      <c r="E14" s="8">
        <v>5118142</v>
      </c>
      <c r="F14" s="8">
        <v>5118142</v>
      </c>
      <c r="G14" s="8">
        <v>5118142</v>
      </c>
      <c r="H14" s="8">
        <v>5118142</v>
      </c>
      <c r="I14" s="8">
        <v>5118142</v>
      </c>
      <c r="J14" s="16">
        <f t="shared" si="0"/>
        <v>1</v>
      </c>
      <c r="K14" s="9" t="str">
        <f t="shared" si="1"/>
        <v>Retenida</v>
      </c>
      <c r="L14" s="8">
        <f t="shared" si="2"/>
        <v>5118142</v>
      </c>
      <c r="M14" s="16"/>
      <c r="N14" s="8">
        <f t="shared" si="3"/>
        <v>0</v>
      </c>
    </row>
    <row r="15" spans="1:14" ht="15" customHeight="1" x14ac:dyDescent="0.3">
      <c r="A15" s="16" t="s">
        <v>49</v>
      </c>
      <c r="B15" s="16" t="s">
        <v>35</v>
      </c>
      <c r="C15" s="8">
        <v>2338699.2453873702</v>
      </c>
      <c r="D15" s="8">
        <v>2338699</v>
      </c>
      <c r="E15" s="8">
        <v>14099524</v>
      </c>
      <c r="F15" s="8">
        <v>14254915</v>
      </c>
      <c r="G15" s="8">
        <v>14440019</v>
      </c>
      <c r="H15" s="8">
        <v>14793897</v>
      </c>
      <c r="I15" s="8">
        <v>15149201</v>
      </c>
      <c r="J15" s="16">
        <f t="shared" si="0"/>
        <v>1</v>
      </c>
      <c r="K15" s="9" t="str">
        <f t="shared" si="1"/>
        <v>Expansión</v>
      </c>
      <c r="L15" s="8">
        <f t="shared" si="2"/>
        <v>355304</v>
      </c>
      <c r="M15" s="16"/>
      <c r="N15" s="8">
        <f t="shared" si="3"/>
        <v>0</v>
      </c>
    </row>
    <row r="16" spans="1:14" ht="15" customHeight="1" x14ac:dyDescent="0.3">
      <c r="A16" s="16" t="s">
        <v>50</v>
      </c>
      <c r="B16" s="16" t="s">
        <v>35</v>
      </c>
      <c r="C16" s="8">
        <v>0</v>
      </c>
      <c r="D16" s="8">
        <v>0</v>
      </c>
      <c r="E16" s="8">
        <v>4048044</v>
      </c>
      <c r="F16" s="8">
        <v>3892653</v>
      </c>
      <c r="G16" s="8">
        <v>3707549</v>
      </c>
      <c r="H16" s="8">
        <v>3348226</v>
      </c>
      <c r="I16" s="8">
        <v>2998368</v>
      </c>
      <c r="J16" s="16">
        <f t="shared" si="0"/>
        <v>1</v>
      </c>
      <c r="K16" s="9" t="str">
        <f t="shared" si="1"/>
        <v>Contracción</v>
      </c>
      <c r="L16" s="8">
        <f t="shared" si="2"/>
        <v>349858</v>
      </c>
      <c r="M16" s="16"/>
      <c r="N16" s="8">
        <f t="shared" si="3"/>
        <v>0</v>
      </c>
    </row>
    <row r="17" spans="1:14" ht="15" customHeight="1" x14ac:dyDescent="0.3">
      <c r="A17" s="16" t="s">
        <v>51</v>
      </c>
      <c r="B17" s="16" t="s">
        <v>35</v>
      </c>
      <c r="C17" s="8">
        <v>2177417</v>
      </c>
      <c r="D17" s="8">
        <v>3996370</v>
      </c>
      <c r="E17" s="8">
        <v>3899447</v>
      </c>
      <c r="F17" s="8">
        <v>3628439</v>
      </c>
      <c r="G17" s="8">
        <v>2730725</v>
      </c>
      <c r="H17" s="8">
        <v>3924364.6153846201</v>
      </c>
      <c r="I17" s="8">
        <v>3324724.6153846201</v>
      </c>
      <c r="J17" s="16">
        <f t="shared" si="0"/>
        <v>1</v>
      </c>
      <c r="K17" s="9" t="str">
        <f t="shared" si="1"/>
        <v>Contracción</v>
      </c>
      <c r="L17" s="8">
        <f t="shared" si="2"/>
        <v>599640</v>
      </c>
      <c r="M17" s="16"/>
      <c r="N17" s="8">
        <f t="shared" si="3"/>
        <v>0</v>
      </c>
    </row>
    <row r="18" spans="1:14" ht="15" customHeight="1" x14ac:dyDescent="0.3">
      <c r="A18" s="16" t="s">
        <v>52</v>
      </c>
      <c r="B18" s="16" t="s">
        <v>35</v>
      </c>
      <c r="C18" s="8">
        <v>9819552</v>
      </c>
      <c r="D18" s="8">
        <v>10330168.704</v>
      </c>
      <c r="E18" s="8">
        <v>10320349.152000001</v>
      </c>
      <c r="F18" s="8">
        <v>10320349.152000001</v>
      </c>
      <c r="G18" s="8">
        <v>10320349.152000001</v>
      </c>
      <c r="H18" s="8">
        <v>10523660.0302944</v>
      </c>
      <c r="I18" s="8">
        <v>10320349.152000001</v>
      </c>
      <c r="J18" s="16">
        <f t="shared" si="0"/>
        <v>1</v>
      </c>
      <c r="K18" s="9" t="str">
        <f t="shared" si="1"/>
        <v>Contracción</v>
      </c>
      <c r="L18" s="8">
        <f t="shared" si="2"/>
        <v>203310.87829439901</v>
      </c>
      <c r="M18" s="16"/>
      <c r="N18" s="8">
        <f t="shared" si="3"/>
        <v>0</v>
      </c>
    </row>
    <row r="19" spans="1:14" ht="15" customHeight="1" x14ac:dyDescent="0.3">
      <c r="A19" s="16" t="s">
        <v>53</v>
      </c>
      <c r="B19" s="16" t="s">
        <v>35</v>
      </c>
      <c r="C19" s="8">
        <v>688546.96063999995</v>
      </c>
      <c r="D19" s="8">
        <v>688546.96063999995</v>
      </c>
      <c r="E19" s="8">
        <v>688546.96063999995</v>
      </c>
      <c r="F19" s="8">
        <v>688546.96063999995</v>
      </c>
      <c r="G19" s="8">
        <v>688546.96063999995</v>
      </c>
      <c r="H19" s="8">
        <v>688546.96063999995</v>
      </c>
      <c r="I19" s="8">
        <v>688546.96063999995</v>
      </c>
      <c r="J19" s="16">
        <f t="shared" si="0"/>
        <v>1</v>
      </c>
      <c r="K19" s="9" t="str">
        <f t="shared" si="1"/>
        <v>Retenida</v>
      </c>
      <c r="L19" s="8">
        <f t="shared" si="2"/>
        <v>688546.96063999995</v>
      </c>
      <c r="M19" s="16"/>
      <c r="N19" s="8">
        <f t="shared" si="3"/>
        <v>0</v>
      </c>
    </row>
    <row r="20" spans="1:14" ht="15" customHeight="1" x14ac:dyDescent="0.3">
      <c r="A20" s="16" t="s">
        <v>54</v>
      </c>
      <c r="B20" s="16" t="s">
        <v>35</v>
      </c>
      <c r="C20" s="8">
        <v>852120</v>
      </c>
      <c r="D20" s="8">
        <v>852120</v>
      </c>
      <c r="E20" s="8">
        <v>852120</v>
      </c>
      <c r="F20" s="8">
        <v>852120</v>
      </c>
      <c r="G20" s="8">
        <v>852120</v>
      </c>
      <c r="H20" s="8">
        <v>852120</v>
      </c>
      <c r="I20" s="8">
        <v>852120</v>
      </c>
      <c r="J20" s="16">
        <f t="shared" si="0"/>
        <v>1</v>
      </c>
      <c r="K20" s="9" t="str">
        <f t="shared" si="1"/>
        <v>Retenida</v>
      </c>
      <c r="L20" s="8">
        <f t="shared" si="2"/>
        <v>852120</v>
      </c>
      <c r="M20" s="16"/>
      <c r="N20" s="8">
        <f t="shared" si="3"/>
        <v>0</v>
      </c>
    </row>
    <row r="21" spans="1:14" ht="15" customHeight="1" x14ac:dyDescent="0.3">
      <c r="A21" s="16" t="s">
        <v>55</v>
      </c>
      <c r="B21" s="16" t="s">
        <v>35</v>
      </c>
      <c r="C21" s="8">
        <v>688546.96063999995</v>
      </c>
      <c r="D21" s="8">
        <v>688546.96063999995</v>
      </c>
      <c r="E21" s="8">
        <v>688546.96063999995</v>
      </c>
      <c r="F21" s="8">
        <v>688546.96063999995</v>
      </c>
      <c r="G21" s="8">
        <v>688546.96063999995</v>
      </c>
      <c r="H21" s="8">
        <v>688546.96063999995</v>
      </c>
      <c r="I21" s="8">
        <v>688546.96063999995</v>
      </c>
      <c r="J21" s="16">
        <f t="shared" si="0"/>
        <v>1</v>
      </c>
      <c r="K21" s="9" t="str">
        <f t="shared" si="1"/>
        <v>Retenida</v>
      </c>
      <c r="L21" s="8">
        <f t="shared" si="2"/>
        <v>688546.96063999995</v>
      </c>
      <c r="M21" s="16"/>
      <c r="N21" s="8">
        <f t="shared" si="3"/>
        <v>0</v>
      </c>
    </row>
    <row r="22" spans="1:14" ht="15" customHeight="1" x14ac:dyDescent="0.3">
      <c r="A22" s="16" t="s">
        <v>56</v>
      </c>
      <c r="B22" s="16" t="s">
        <v>35</v>
      </c>
      <c r="C22" s="8">
        <v>4524205.9519999996</v>
      </c>
      <c r="D22" s="8">
        <v>4524205.9519999996</v>
      </c>
      <c r="E22" s="8">
        <v>4733224.2669823999</v>
      </c>
      <c r="F22" s="8">
        <v>5147641.5321856001</v>
      </c>
      <c r="G22" s="8">
        <v>4963053.9293440003</v>
      </c>
      <c r="H22" s="8">
        <v>4084000.7210240001</v>
      </c>
      <c r="I22" s="8">
        <v>4524205.9519999996</v>
      </c>
      <c r="J22" s="16">
        <f t="shared" si="0"/>
        <v>1</v>
      </c>
      <c r="K22" s="9" t="str">
        <f t="shared" si="1"/>
        <v>Expansión</v>
      </c>
      <c r="L22" s="8">
        <f t="shared" si="2"/>
        <v>440205.2309759995</v>
      </c>
      <c r="M22" s="16"/>
      <c r="N22" s="8">
        <f t="shared" si="3"/>
        <v>0</v>
      </c>
    </row>
    <row r="23" spans="1:14" ht="15" customHeight="1" x14ac:dyDescent="0.3">
      <c r="A23" s="16" t="s">
        <v>57</v>
      </c>
      <c r="B23" s="16" t="s">
        <v>35</v>
      </c>
      <c r="C23" s="8">
        <v>528827.43935999996</v>
      </c>
      <c r="D23" s="8">
        <v>528827.43935999996</v>
      </c>
      <c r="E23" s="8">
        <v>528827.43935999996</v>
      </c>
      <c r="F23" s="8">
        <v>528827.43935999996</v>
      </c>
      <c r="G23" s="8">
        <v>528827.43935999996</v>
      </c>
      <c r="H23" s="8">
        <v>528827.43935999996</v>
      </c>
      <c r="I23" s="8">
        <v>528827.43935999996</v>
      </c>
      <c r="J23" s="16">
        <f t="shared" si="0"/>
        <v>1</v>
      </c>
      <c r="K23" s="9" t="str">
        <f t="shared" si="1"/>
        <v>Retenida</v>
      </c>
      <c r="L23" s="8">
        <f t="shared" si="2"/>
        <v>528827.43935999996</v>
      </c>
      <c r="M23" s="16"/>
      <c r="N23" s="8">
        <f t="shared" si="3"/>
        <v>0</v>
      </c>
    </row>
    <row r="24" spans="1:14" ht="15" customHeight="1" x14ac:dyDescent="0.3">
      <c r="A24" s="16" t="s">
        <v>58</v>
      </c>
      <c r="B24" s="16" t="s">
        <v>35</v>
      </c>
      <c r="C24" s="8">
        <v>9497456</v>
      </c>
      <c r="D24" s="8">
        <v>9497456</v>
      </c>
      <c r="E24" s="8">
        <v>9497456</v>
      </c>
      <c r="F24" s="8">
        <v>9497456</v>
      </c>
      <c r="G24" s="8">
        <v>9497456</v>
      </c>
      <c r="H24" s="8">
        <v>10013737.70816</v>
      </c>
      <c r="I24" s="8">
        <v>10163037.71648</v>
      </c>
      <c r="J24" s="16">
        <f t="shared" si="0"/>
        <v>1</v>
      </c>
      <c r="K24" s="9" t="str">
        <f t="shared" si="1"/>
        <v>Expansión</v>
      </c>
      <c r="L24" s="8">
        <f t="shared" si="2"/>
        <v>149300.00832000002</v>
      </c>
      <c r="M24" s="16"/>
      <c r="N24" s="8">
        <f t="shared" si="3"/>
        <v>0</v>
      </c>
    </row>
    <row r="25" spans="1:14" ht="15" customHeight="1" x14ac:dyDescent="0.3">
      <c r="A25" s="16" t="s">
        <v>59</v>
      </c>
      <c r="B25" s="16" t="s">
        <v>35</v>
      </c>
      <c r="C25" s="8">
        <v>643919</v>
      </c>
      <c r="D25" s="8">
        <v>643919</v>
      </c>
      <c r="E25" s="8">
        <v>619288.88575999998</v>
      </c>
      <c r="F25" s="8">
        <v>619288.88575999998</v>
      </c>
      <c r="G25" s="8">
        <v>619288.88575999998</v>
      </c>
      <c r="H25" s="8">
        <v>619288.88575999998</v>
      </c>
      <c r="I25" s="8">
        <v>619288.88575999998</v>
      </c>
      <c r="J25" s="16">
        <f t="shared" si="0"/>
        <v>1</v>
      </c>
      <c r="K25" s="9" t="str">
        <f t="shared" si="1"/>
        <v>Retenida</v>
      </c>
      <c r="L25" s="8">
        <f t="shared" si="2"/>
        <v>619288.88575999998</v>
      </c>
      <c r="M25" s="16"/>
      <c r="N25" s="8">
        <f t="shared" si="3"/>
        <v>0</v>
      </c>
    </row>
    <row r="26" spans="1:14" ht="15" customHeight="1" x14ac:dyDescent="0.3">
      <c r="A26" s="16" t="s">
        <v>60</v>
      </c>
      <c r="B26" s="16" t="s">
        <v>35</v>
      </c>
      <c r="C26" s="8">
        <v>1746520</v>
      </c>
      <c r="D26" s="8">
        <v>1200000</v>
      </c>
      <c r="E26" s="8">
        <v>1200000</v>
      </c>
      <c r="F26" s="8">
        <v>547040</v>
      </c>
      <c r="G26" s="8">
        <v>547040</v>
      </c>
      <c r="H26" s="8">
        <v>547040</v>
      </c>
      <c r="I26" s="8">
        <v>1261200</v>
      </c>
      <c r="J26" s="16">
        <f t="shared" si="0"/>
        <v>1</v>
      </c>
      <c r="K26" s="9" t="str">
        <f t="shared" si="1"/>
        <v>Expansión</v>
      </c>
      <c r="L26" s="8">
        <f t="shared" si="2"/>
        <v>714160</v>
      </c>
      <c r="M26" s="16"/>
      <c r="N26" s="8">
        <f t="shared" si="3"/>
        <v>0</v>
      </c>
    </row>
    <row r="27" spans="1:14" ht="15" customHeight="1" x14ac:dyDescent="0.3">
      <c r="A27" s="16" t="s">
        <v>61</v>
      </c>
      <c r="B27" s="16" t="s">
        <v>35</v>
      </c>
      <c r="C27" s="8">
        <v>6266610.4079999998</v>
      </c>
      <c r="D27" s="8">
        <v>7740158.3799999999</v>
      </c>
      <c r="E27" s="8">
        <v>6266610.4079999998</v>
      </c>
      <c r="F27" s="8">
        <v>6266610.4079999998</v>
      </c>
      <c r="G27" s="8">
        <v>6266610.4079999998</v>
      </c>
      <c r="H27" s="8">
        <v>3530238</v>
      </c>
      <c r="I27" s="8">
        <v>3530238</v>
      </c>
      <c r="J27" s="16">
        <f t="shared" si="0"/>
        <v>1</v>
      </c>
      <c r="K27" s="9" t="str">
        <f t="shared" si="1"/>
        <v>Retenida</v>
      </c>
      <c r="L27" s="8">
        <f t="shared" si="2"/>
        <v>3530238</v>
      </c>
      <c r="M27" s="16"/>
      <c r="N27" s="8">
        <f t="shared" si="3"/>
        <v>0</v>
      </c>
    </row>
    <row r="28" spans="1:14" ht="15" customHeight="1" x14ac:dyDescent="0.3">
      <c r="A28" s="16" t="s">
        <v>62</v>
      </c>
      <c r="B28" s="16" t="s">
        <v>35</v>
      </c>
      <c r="C28" s="8">
        <v>13969395</v>
      </c>
      <c r="D28" s="8">
        <v>13516065</v>
      </c>
      <c r="E28" s="8">
        <v>12401370</v>
      </c>
      <c r="F28" s="8">
        <v>16374735</v>
      </c>
      <c r="G28" s="8">
        <v>13797585</v>
      </c>
      <c r="H28" s="8">
        <v>16176015</v>
      </c>
      <c r="I28" s="8">
        <v>15628500</v>
      </c>
      <c r="J28" s="16">
        <f t="shared" si="0"/>
        <v>1</v>
      </c>
      <c r="K28" s="9" t="str">
        <f t="shared" si="1"/>
        <v>Contracción</v>
      </c>
      <c r="L28" s="8">
        <f t="shared" si="2"/>
        <v>547515</v>
      </c>
      <c r="M28" s="16"/>
      <c r="N28" s="8">
        <f t="shared" si="3"/>
        <v>0</v>
      </c>
    </row>
    <row r="29" spans="1:14" ht="15" customHeight="1" x14ac:dyDescent="0.3">
      <c r="A29" s="16" t="s">
        <v>63</v>
      </c>
      <c r="B29" s="16" t="s">
        <v>35</v>
      </c>
      <c r="C29" s="8">
        <v>0</v>
      </c>
      <c r="D29" s="8">
        <v>28188580</v>
      </c>
      <c r="E29" s="8">
        <v>28188580</v>
      </c>
      <c r="F29" s="8">
        <v>28188580</v>
      </c>
      <c r="G29" s="8">
        <v>28188580</v>
      </c>
      <c r="H29" s="8">
        <v>28188580</v>
      </c>
      <c r="I29" s="8">
        <v>28188580</v>
      </c>
      <c r="J29" s="16">
        <f t="shared" si="0"/>
        <v>1</v>
      </c>
      <c r="K29" s="9" t="str">
        <f t="shared" si="1"/>
        <v>Retenida</v>
      </c>
      <c r="L29" s="8">
        <f t="shared" si="2"/>
        <v>28188580</v>
      </c>
      <c r="M29" s="16"/>
      <c r="N29" s="8">
        <f t="shared" si="3"/>
        <v>0</v>
      </c>
    </row>
    <row r="30" spans="1:14" ht="15" customHeight="1" x14ac:dyDescent="0.3">
      <c r="A30" s="16" t="s">
        <v>64</v>
      </c>
      <c r="B30" s="16" t="s">
        <v>35</v>
      </c>
      <c r="C30" s="8">
        <v>3106377.16</v>
      </c>
      <c r="D30" s="8">
        <v>4232774.5999999996</v>
      </c>
      <c r="E30" s="8">
        <v>4232774.5999999996</v>
      </c>
      <c r="F30" s="8">
        <v>4232774.5999999996</v>
      </c>
      <c r="G30" s="8">
        <v>4232774.5999999996</v>
      </c>
      <c r="H30" s="8">
        <v>3106377</v>
      </c>
      <c r="I30" s="8">
        <v>3106377</v>
      </c>
      <c r="J30" s="16">
        <f t="shared" si="0"/>
        <v>1</v>
      </c>
      <c r="K30" s="9" t="str">
        <f t="shared" si="1"/>
        <v>Retenida</v>
      </c>
      <c r="L30" s="8">
        <f t="shared" si="2"/>
        <v>3106377</v>
      </c>
      <c r="M30" s="16"/>
      <c r="N30" s="8">
        <f t="shared" si="3"/>
        <v>0</v>
      </c>
    </row>
    <row r="31" spans="1:14" ht="15" customHeight="1" x14ac:dyDescent="0.3">
      <c r="A31" s="16" t="s">
        <v>65</v>
      </c>
      <c r="B31" s="16" t="s">
        <v>35</v>
      </c>
      <c r="C31" s="8">
        <v>1299220</v>
      </c>
      <c r="D31" s="8">
        <v>1299220</v>
      </c>
      <c r="E31" s="8">
        <v>1888647</v>
      </c>
      <c r="F31" s="8">
        <v>1297985</v>
      </c>
      <c r="G31" s="8">
        <v>1297985</v>
      </c>
      <c r="H31" s="8">
        <v>1297985</v>
      </c>
      <c r="I31" s="8">
        <v>1297985</v>
      </c>
      <c r="J31" s="16">
        <f t="shared" si="0"/>
        <v>1</v>
      </c>
      <c r="K31" s="9" t="str">
        <f t="shared" si="1"/>
        <v>Retenida</v>
      </c>
      <c r="L31" s="8">
        <f t="shared" si="2"/>
        <v>1297985</v>
      </c>
      <c r="M31" s="16"/>
      <c r="N31" s="8">
        <f t="shared" si="3"/>
        <v>0</v>
      </c>
    </row>
    <row r="32" spans="1:14" ht="15" customHeight="1" x14ac:dyDescent="0.3">
      <c r="A32" s="16" t="s">
        <v>66</v>
      </c>
      <c r="B32" s="16" t="s">
        <v>35</v>
      </c>
      <c r="C32" s="8">
        <v>0</v>
      </c>
      <c r="D32" s="8">
        <v>9768302</v>
      </c>
      <c r="E32" s="8">
        <v>9768302</v>
      </c>
      <c r="F32" s="8">
        <v>9768302</v>
      </c>
      <c r="G32" s="8">
        <v>9768302</v>
      </c>
      <c r="H32" s="8">
        <v>9768302</v>
      </c>
      <c r="I32" s="8">
        <v>9768302</v>
      </c>
      <c r="J32" s="16">
        <f t="shared" si="0"/>
        <v>1</v>
      </c>
      <c r="K32" s="9" t="str">
        <f t="shared" si="1"/>
        <v>Retenida</v>
      </c>
      <c r="L32" s="8">
        <f t="shared" si="2"/>
        <v>9768302</v>
      </c>
      <c r="M32" s="16"/>
      <c r="N32" s="8">
        <f t="shared" si="3"/>
        <v>0</v>
      </c>
    </row>
    <row r="33" spans="1:14" ht="15" customHeight="1" x14ac:dyDescent="0.3">
      <c r="A33" s="16" t="s">
        <v>67</v>
      </c>
      <c r="B33" s="16" t="s">
        <v>35</v>
      </c>
      <c r="C33" s="8">
        <v>16023108.784</v>
      </c>
      <c r="D33" s="8">
        <v>16023108.784</v>
      </c>
      <c r="E33" s="8">
        <v>16023108.784</v>
      </c>
      <c r="F33" s="8">
        <v>16023108.784</v>
      </c>
      <c r="G33" s="8">
        <v>9624000</v>
      </c>
      <c r="H33" s="8">
        <v>9624000</v>
      </c>
      <c r="I33" s="8">
        <v>9624000</v>
      </c>
      <c r="J33" s="16">
        <f t="shared" si="0"/>
        <v>1</v>
      </c>
      <c r="K33" s="9" t="str">
        <f t="shared" si="1"/>
        <v>Retenida</v>
      </c>
      <c r="L33" s="8">
        <f t="shared" si="2"/>
        <v>9624000</v>
      </c>
      <c r="M33" s="16"/>
      <c r="N33" s="8">
        <f t="shared" si="3"/>
        <v>0</v>
      </c>
    </row>
    <row r="34" spans="1:14" ht="15" customHeight="1" x14ac:dyDescent="0.3">
      <c r="A34" s="16" t="s">
        <v>68</v>
      </c>
      <c r="B34" s="16" t="s">
        <v>35</v>
      </c>
      <c r="C34" s="8">
        <v>0</v>
      </c>
      <c r="D34" s="8">
        <v>1552800</v>
      </c>
      <c r="E34" s="8">
        <v>967200</v>
      </c>
      <c r="F34" s="8">
        <v>1288800</v>
      </c>
      <c r="G34" s="8">
        <v>657288</v>
      </c>
      <c r="H34" s="8">
        <v>0</v>
      </c>
      <c r="I34" s="8">
        <v>0</v>
      </c>
      <c r="J34" s="16">
        <f t="shared" ref="J34:J65" si="4">IF(SUM(C34:G34)&gt;0,1,0)</f>
        <v>1</v>
      </c>
      <c r="K34" s="9" t="str">
        <f t="shared" ref="K34:K65" si="5">IF(M34&lt;&gt;"",M34,IF(AND(H34=0,I34=0),"Sin actividad",IF(AND(H34=0,I34&gt;0),IF(J34=1,"Rescatada","Nueva"),IF(AND(H34&gt;0,I34=0),"Churned",IF(I34&gt;H34,"Expansión",IF(I34&lt;H34,"Contracción","Retenida"))))))</f>
        <v>Sin actividad</v>
      </c>
      <c r="L34" s="8">
        <f t="shared" ref="L34:L65" si="6">IF(K34="Up Sale (no recurrente)",0,IF(K34="Expansión",I34-H34,IF(K34="Contracción",H34-I34,IF(K34="Retenida",I34,IF(OR(K34="Nueva",K34="Rescatada"),I34,IF(K34="Churned",H34,0))))))</f>
        <v>0</v>
      </c>
      <c r="M34" s="16"/>
      <c r="N34" s="8">
        <f t="shared" ref="N34:N65" si="7">IF(K34="Up Sale (no recurrente)",I34,0)</f>
        <v>0</v>
      </c>
    </row>
    <row r="35" spans="1:14" ht="15" customHeight="1" x14ac:dyDescent="0.3">
      <c r="A35" s="16" t="s">
        <v>69</v>
      </c>
      <c r="B35" s="16" t="s">
        <v>35</v>
      </c>
      <c r="C35" s="8">
        <v>6266610.4079999998</v>
      </c>
      <c r="D35" s="8">
        <v>6266610.4079999998</v>
      </c>
      <c r="E35" s="8">
        <v>6266610.4079999998</v>
      </c>
      <c r="F35" s="8">
        <v>6266610.4079999998</v>
      </c>
      <c r="G35" s="8">
        <v>6266610.4079999998</v>
      </c>
      <c r="H35" s="8">
        <v>6266610.4079999998</v>
      </c>
      <c r="I35" s="8">
        <v>6266610.4079999998</v>
      </c>
      <c r="J35" s="16">
        <f t="shared" si="4"/>
        <v>1</v>
      </c>
      <c r="K35" s="9" t="str">
        <f t="shared" si="5"/>
        <v>Retenida</v>
      </c>
      <c r="L35" s="8">
        <f t="shared" si="6"/>
        <v>6266610.4079999998</v>
      </c>
      <c r="M35" s="16"/>
      <c r="N35" s="8">
        <f t="shared" si="7"/>
        <v>0</v>
      </c>
    </row>
    <row r="36" spans="1:14" ht="15" customHeight="1" x14ac:dyDescent="0.3">
      <c r="A36" s="16" t="s">
        <v>70</v>
      </c>
      <c r="B36" s="16" t="s">
        <v>35</v>
      </c>
      <c r="C36" s="8">
        <v>15015564.199999999</v>
      </c>
      <c r="D36" s="8">
        <v>15043342.99377</v>
      </c>
      <c r="E36" s="8">
        <v>15826334.8444265</v>
      </c>
      <c r="F36" s="8">
        <v>16377104.2377261</v>
      </c>
      <c r="G36" s="8">
        <v>15781357.974199999</v>
      </c>
      <c r="H36" s="8">
        <v>15781357.974199999</v>
      </c>
      <c r="I36" s="8">
        <v>15781357.974199999</v>
      </c>
      <c r="J36" s="16">
        <f t="shared" si="4"/>
        <v>1</v>
      </c>
      <c r="K36" s="9" t="str">
        <f t="shared" si="5"/>
        <v>Retenida</v>
      </c>
      <c r="L36" s="8">
        <f t="shared" si="6"/>
        <v>15781357.974199999</v>
      </c>
      <c r="M36" s="16"/>
      <c r="N36" s="8">
        <f t="shared" si="7"/>
        <v>0</v>
      </c>
    </row>
    <row r="37" spans="1:14" ht="15" customHeight="1" x14ac:dyDescent="0.3">
      <c r="A37" s="16" t="s">
        <v>71</v>
      </c>
      <c r="B37" s="16" t="s">
        <v>35</v>
      </c>
      <c r="C37" s="8">
        <v>10510000</v>
      </c>
      <c r="D37" s="8">
        <v>10160000</v>
      </c>
      <c r="E37" s="8">
        <v>9610330</v>
      </c>
      <c r="F37" s="8">
        <v>9911277</v>
      </c>
      <c r="G37" s="8">
        <v>10488980</v>
      </c>
      <c r="H37" s="8">
        <v>10488980</v>
      </c>
      <c r="I37" s="8">
        <v>10488980</v>
      </c>
      <c r="J37" s="16">
        <f t="shared" si="4"/>
        <v>1</v>
      </c>
      <c r="K37" s="9" t="str">
        <f t="shared" si="5"/>
        <v>Retenida</v>
      </c>
      <c r="L37" s="8">
        <f t="shared" si="6"/>
        <v>10488980</v>
      </c>
      <c r="M37" s="16"/>
      <c r="N37" s="8">
        <f t="shared" si="7"/>
        <v>0</v>
      </c>
    </row>
    <row r="38" spans="1:14" ht="15" customHeight="1" x14ac:dyDescent="0.3">
      <c r="A38" s="16" t="s">
        <v>72</v>
      </c>
      <c r="B38" s="16" t="s">
        <v>35</v>
      </c>
      <c r="C38" s="8">
        <v>1225000</v>
      </c>
      <c r="D38" s="8">
        <v>1288700</v>
      </c>
      <c r="E38" s="8">
        <v>1288700</v>
      </c>
      <c r="F38" s="8">
        <v>1288700</v>
      </c>
      <c r="G38" s="8">
        <v>1288700</v>
      </c>
      <c r="H38" s="8">
        <v>1288700</v>
      </c>
      <c r="I38" s="8">
        <v>1288700</v>
      </c>
      <c r="J38" s="16">
        <f t="shared" si="4"/>
        <v>1</v>
      </c>
      <c r="K38" s="9" t="str">
        <f t="shared" si="5"/>
        <v>Retenida</v>
      </c>
      <c r="L38" s="8">
        <f t="shared" si="6"/>
        <v>1288700</v>
      </c>
      <c r="M38" s="16"/>
      <c r="N38" s="8">
        <f t="shared" si="7"/>
        <v>0</v>
      </c>
    </row>
    <row r="39" spans="1:14" ht="15" customHeight="1" x14ac:dyDescent="0.3">
      <c r="A39" s="16" t="s">
        <v>73</v>
      </c>
      <c r="B39" s="16" t="s">
        <v>35</v>
      </c>
      <c r="C39" s="8">
        <v>0</v>
      </c>
      <c r="D39" s="8">
        <v>2150000</v>
      </c>
      <c r="E39" s="8">
        <v>2150000</v>
      </c>
      <c r="F39" s="8">
        <v>2150000</v>
      </c>
      <c r="G39" s="8">
        <v>2150000</v>
      </c>
      <c r="H39" s="8">
        <v>2150000</v>
      </c>
      <c r="I39" s="8">
        <v>2150000</v>
      </c>
      <c r="J39" s="16">
        <f t="shared" si="4"/>
        <v>1</v>
      </c>
      <c r="K39" s="9" t="str">
        <f t="shared" si="5"/>
        <v>Retenida</v>
      </c>
      <c r="L39" s="8">
        <f t="shared" si="6"/>
        <v>2150000</v>
      </c>
      <c r="M39" s="16"/>
      <c r="N39" s="8">
        <f t="shared" si="7"/>
        <v>0</v>
      </c>
    </row>
    <row r="40" spans="1:14" ht="15" customHeight="1" x14ac:dyDescent="0.3">
      <c r="A40" s="16" t="s">
        <v>74</v>
      </c>
      <c r="B40" s="16" t="s">
        <v>35</v>
      </c>
      <c r="C40" s="8">
        <v>637560</v>
      </c>
      <c r="D40" s="8">
        <v>1044000</v>
      </c>
      <c r="E40" s="8">
        <v>892800</v>
      </c>
      <c r="F40" s="8">
        <v>1082400</v>
      </c>
      <c r="G40" s="8">
        <v>721200</v>
      </c>
      <c r="H40" s="8">
        <v>663600</v>
      </c>
      <c r="I40" s="8">
        <v>0</v>
      </c>
      <c r="J40" s="16">
        <f t="shared" si="4"/>
        <v>1</v>
      </c>
      <c r="K40" s="9" t="str">
        <f t="shared" si="5"/>
        <v>Churned</v>
      </c>
      <c r="L40" s="8">
        <f t="shared" si="6"/>
        <v>663600</v>
      </c>
      <c r="M40" s="16"/>
      <c r="N40" s="8">
        <f t="shared" si="7"/>
        <v>0</v>
      </c>
    </row>
    <row r="41" spans="1:14" ht="15" customHeight="1" x14ac:dyDescent="0.3">
      <c r="A41" s="16" t="s">
        <v>75</v>
      </c>
      <c r="B41" s="16" t="s">
        <v>35</v>
      </c>
      <c r="C41" s="8">
        <v>9803588</v>
      </c>
      <c r="D41" s="8">
        <v>10220240.49</v>
      </c>
      <c r="E41" s="8">
        <v>9803588</v>
      </c>
      <c r="F41" s="8">
        <v>9803588</v>
      </c>
      <c r="G41" s="8">
        <v>9803588</v>
      </c>
      <c r="H41" s="8">
        <v>9803588</v>
      </c>
      <c r="I41" s="8">
        <v>9803588</v>
      </c>
      <c r="J41" s="16">
        <f t="shared" si="4"/>
        <v>1</v>
      </c>
      <c r="K41" s="9" t="str">
        <f t="shared" si="5"/>
        <v>Retenida</v>
      </c>
      <c r="L41" s="8">
        <f t="shared" si="6"/>
        <v>9803588</v>
      </c>
      <c r="M41" s="16"/>
      <c r="N41" s="8">
        <f t="shared" si="7"/>
        <v>0</v>
      </c>
    </row>
    <row r="42" spans="1:14" ht="15" customHeight="1" x14ac:dyDescent="0.3">
      <c r="A42" s="16" t="s">
        <v>76</v>
      </c>
      <c r="B42" s="16" t="s">
        <v>35</v>
      </c>
      <c r="C42" s="8">
        <v>2976436.2239999999</v>
      </c>
      <c r="D42" s="8">
        <v>2976436.2239999999</v>
      </c>
      <c r="E42" s="8">
        <v>2976436.2239999999</v>
      </c>
      <c r="F42" s="8">
        <v>2976436.2239999999</v>
      </c>
      <c r="G42" s="8">
        <v>3058288.22016</v>
      </c>
      <c r="H42" s="8">
        <v>2976436.2239999999</v>
      </c>
      <c r="I42" s="8">
        <v>3199668.9408</v>
      </c>
      <c r="J42" s="16">
        <f t="shared" si="4"/>
        <v>1</v>
      </c>
      <c r="K42" s="9" t="str">
        <f t="shared" si="5"/>
        <v>Expansión</v>
      </c>
      <c r="L42" s="8">
        <f t="shared" si="6"/>
        <v>223232.71680000005</v>
      </c>
      <c r="M42" s="16"/>
      <c r="N42" s="8">
        <f t="shared" si="7"/>
        <v>0</v>
      </c>
    </row>
    <row r="43" spans="1:14" ht="15" customHeight="1" x14ac:dyDescent="0.3">
      <c r="A43" s="16" t="s">
        <v>77</v>
      </c>
      <c r="B43" s="16" t="s">
        <v>35</v>
      </c>
      <c r="C43" s="8">
        <v>14130000</v>
      </c>
      <c r="D43" s="8">
        <v>18345000</v>
      </c>
      <c r="E43" s="8">
        <v>20145000</v>
      </c>
      <c r="F43" s="8">
        <v>20145000</v>
      </c>
      <c r="G43" s="8">
        <v>20145000</v>
      </c>
      <c r="H43" s="8">
        <v>20145000</v>
      </c>
      <c r="I43" s="8">
        <v>15930000</v>
      </c>
      <c r="J43" s="16">
        <f t="shared" si="4"/>
        <v>1</v>
      </c>
      <c r="K43" s="9" t="str">
        <f t="shared" si="5"/>
        <v>Contracción</v>
      </c>
      <c r="L43" s="8">
        <f t="shared" si="6"/>
        <v>4215000</v>
      </c>
      <c r="M43" s="16"/>
      <c r="N43" s="8">
        <f t="shared" si="7"/>
        <v>0</v>
      </c>
    </row>
    <row r="44" spans="1:14" ht="15" customHeight="1" x14ac:dyDescent="0.3">
      <c r="A44" s="16" t="s">
        <v>78</v>
      </c>
      <c r="B44" s="16" t="s">
        <v>35</v>
      </c>
      <c r="C44" s="8">
        <v>6119068</v>
      </c>
      <c r="D44" s="8">
        <v>7636868</v>
      </c>
      <c r="E44" s="8">
        <v>7283826</v>
      </c>
      <c r="F44" s="8">
        <v>7922965</v>
      </c>
      <c r="G44" s="8">
        <v>6667639</v>
      </c>
      <c r="H44" s="8">
        <v>6534297</v>
      </c>
      <c r="I44" s="8">
        <v>6580634</v>
      </c>
      <c r="J44" s="16">
        <f t="shared" si="4"/>
        <v>1</v>
      </c>
      <c r="K44" s="9" t="str">
        <f t="shared" si="5"/>
        <v>Expansión</v>
      </c>
      <c r="L44" s="8">
        <f t="shared" si="6"/>
        <v>46337</v>
      </c>
      <c r="M44" s="16"/>
      <c r="N44" s="8">
        <f t="shared" si="7"/>
        <v>0</v>
      </c>
    </row>
    <row r="45" spans="1:14" ht="15" customHeight="1" x14ac:dyDescent="0.3">
      <c r="A45" s="16" t="s">
        <v>79</v>
      </c>
      <c r="B45" s="16" t="s">
        <v>35</v>
      </c>
      <c r="C45" s="8">
        <v>4094070.5040000002</v>
      </c>
      <c r="D45" s="8">
        <v>4094070.5040000002</v>
      </c>
      <c r="E45" s="8">
        <v>4094070.5040000002</v>
      </c>
      <c r="F45" s="8">
        <v>4094070.5040000002</v>
      </c>
      <c r="G45" s="8">
        <v>4094070.5040000002</v>
      </c>
      <c r="H45" s="8">
        <v>4094070.5040000002</v>
      </c>
      <c r="I45" s="8">
        <v>4094070.5040000002</v>
      </c>
      <c r="J45" s="16">
        <f t="shared" si="4"/>
        <v>1</v>
      </c>
      <c r="K45" s="9" t="str">
        <f t="shared" si="5"/>
        <v>Retenida</v>
      </c>
      <c r="L45" s="8">
        <f t="shared" si="6"/>
        <v>4094070.5040000002</v>
      </c>
      <c r="M45" s="16"/>
      <c r="N45" s="8">
        <f t="shared" si="7"/>
        <v>0</v>
      </c>
    </row>
    <row r="46" spans="1:14" ht="15" customHeight="1" x14ac:dyDescent="0.3">
      <c r="A46" s="16" t="s">
        <v>80</v>
      </c>
      <c r="B46" s="16" t="s">
        <v>81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16">
        <f t="shared" si="4"/>
        <v>0</v>
      </c>
      <c r="K46" s="9" t="str">
        <f t="shared" si="5"/>
        <v>Sin actividad</v>
      </c>
      <c r="L46" s="8">
        <f t="shared" si="6"/>
        <v>0</v>
      </c>
      <c r="M46" s="16"/>
      <c r="N46" s="8">
        <f t="shared" si="7"/>
        <v>0</v>
      </c>
    </row>
    <row r="47" spans="1:14" ht="15" customHeight="1" x14ac:dyDescent="0.3">
      <c r="A47" s="16" t="s">
        <v>82</v>
      </c>
      <c r="B47" s="16" t="s">
        <v>35</v>
      </c>
      <c r="C47" s="8">
        <v>0</v>
      </c>
      <c r="D47" s="8">
        <v>10000000</v>
      </c>
      <c r="E47" s="8">
        <v>0</v>
      </c>
      <c r="F47" s="8">
        <v>10000000</v>
      </c>
      <c r="G47" s="8">
        <v>5000000</v>
      </c>
      <c r="H47" s="8">
        <v>5000000</v>
      </c>
      <c r="I47" s="8">
        <v>5000000</v>
      </c>
      <c r="J47" s="16">
        <f t="shared" si="4"/>
        <v>1</v>
      </c>
      <c r="K47" s="9" t="str">
        <f t="shared" si="5"/>
        <v>Retenida</v>
      </c>
      <c r="L47" s="8">
        <f t="shared" si="6"/>
        <v>5000000</v>
      </c>
      <c r="M47" s="16"/>
      <c r="N47" s="8">
        <f t="shared" si="7"/>
        <v>0</v>
      </c>
    </row>
    <row r="48" spans="1:14" ht="15" customHeight="1" x14ac:dyDescent="0.3">
      <c r="A48" s="16" t="s">
        <v>83</v>
      </c>
      <c r="B48" s="16" t="s">
        <v>35</v>
      </c>
      <c r="C48" s="8">
        <v>102502494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16">
        <f t="shared" si="4"/>
        <v>1</v>
      </c>
      <c r="K48" s="9" t="str">
        <f t="shared" si="5"/>
        <v>Sin actividad</v>
      </c>
      <c r="L48" s="8">
        <f t="shared" si="6"/>
        <v>0</v>
      </c>
      <c r="M48" s="16"/>
      <c r="N48" s="8">
        <f t="shared" si="7"/>
        <v>0</v>
      </c>
    </row>
    <row r="49" spans="1:14" ht="15" customHeight="1" x14ac:dyDescent="0.3">
      <c r="A49" s="16" t="s">
        <v>84</v>
      </c>
      <c r="B49" s="16" t="s">
        <v>35</v>
      </c>
      <c r="C49" s="8">
        <v>1158000</v>
      </c>
      <c r="D49" s="8">
        <v>1046925</v>
      </c>
      <c r="E49" s="8">
        <v>4205956</v>
      </c>
      <c r="F49" s="8">
        <v>3695632</v>
      </c>
      <c r="G49" s="8">
        <v>3695632</v>
      </c>
      <c r="H49" s="8">
        <v>3695632</v>
      </c>
      <c r="I49" s="8">
        <v>3695632</v>
      </c>
      <c r="J49" s="16">
        <f t="shared" si="4"/>
        <v>1</v>
      </c>
      <c r="K49" s="9" t="str">
        <f t="shared" si="5"/>
        <v>Retenida</v>
      </c>
      <c r="L49" s="8">
        <f t="shared" si="6"/>
        <v>3695632</v>
      </c>
      <c r="M49" s="16"/>
      <c r="N49" s="8">
        <f t="shared" si="7"/>
        <v>0</v>
      </c>
    </row>
    <row r="50" spans="1:14" ht="15" customHeight="1" x14ac:dyDescent="0.3">
      <c r="A50" s="16" t="s">
        <v>85</v>
      </c>
      <c r="B50" s="16" t="s">
        <v>35</v>
      </c>
      <c r="C50" s="8">
        <v>8130801</v>
      </c>
      <c r="D50" s="8">
        <v>9855172</v>
      </c>
      <c r="E50" s="8">
        <v>11008528</v>
      </c>
      <c r="F50" s="8">
        <v>11359312</v>
      </c>
      <c r="G50" s="8">
        <v>10447792</v>
      </c>
      <c r="H50" s="8">
        <v>11285008</v>
      </c>
      <c r="I50" s="8">
        <v>10757968</v>
      </c>
      <c r="J50" s="16">
        <f t="shared" si="4"/>
        <v>1</v>
      </c>
      <c r="K50" s="9" t="str">
        <f t="shared" si="5"/>
        <v>Contracción</v>
      </c>
      <c r="L50" s="8">
        <f t="shared" si="6"/>
        <v>527040</v>
      </c>
      <c r="M50" s="16"/>
      <c r="N50" s="8">
        <f t="shared" si="7"/>
        <v>0</v>
      </c>
    </row>
    <row r="51" spans="1:14" ht="15" customHeight="1" x14ac:dyDescent="0.3">
      <c r="A51" s="16" t="s">
        <v>86</v>
      </c>
      <c r="B51" s="16" t="s">
        <v>35</v>
      </c>
      <c r="C51" s="8">
        <v>0</v>
      </c>
      <c r="D51" s="8">
        <v>3188756</v>
      </c>
      <c r="E51" s="8">
        <v>5019656</v>
      </c>
      <c r="F51" s="8">
        <v>5346416</v>
      </c>
      <c r="G51" s="8">
        <v>5055444</v>
      </c>
      <c r="H51" s="8">
        <v>7145284</v>
      </c>
      <c r="I51" s="8">
        <v>10373126</v>
      </c>
      <c r="J51" s="16">
        <f t="shared" si="4"/>
        <v>1</v>
      </c>
      <c r="K51" s="9" t="str">
        <f t="shared" si="5"/>
        <v>Expansión</v>
      </c>
      <c r="L51" s="8">
        <f t="shared" si="6"/>
        <v>3227842</v>
      </c>
      <c r="M51" s="16"/>
      <c r="N51" s="8">
        <f t="shared" si="7"/>
        <v>0</v>
      </c>
    </row>
    <row r="52" spans="1:14" ht="15" customHeight="1" x14ac:dyDescent="0.3">
      <c r="A52" s="16" t="s">
        <v>87</v>
      </c>
      <c r="B52" s="16" t="s">
        <v>35</v>
      </c>
      <c r="C52" s="8">
        <v>0</v>
      </c>
      <c r="D52" s="8">
        <v>4281788</v>
      </c>
      <c r="E52" s="8">
        <v>5617646</v>
      </c>
      <c r="F52" s="8">
        <v>5494333</v>
      </c>
      <c r="G52" s="8">
        <v>5544903</v>
      </c>
      <c r="H52" s="8">
        <v>5946351</v>
      </c>
      <c r="I52" s="8">
        <v>5194414</v>
      </c>
      <c r="J52" s="16">
        <f t="shared" si="4"/>
        <v>1</v>
      </c>
      <c r="K52" s="9" t="str">
        <f t="shared" si="5"/>
        <v>Contracción</v>
      </c>
      <c r="L52" s="8">
        <f t="shared" si="6"/>
        <v>751937</v>
      </c>
      <c r="M52" s="16"/>
      <c r="N52" s="8">
        <f t="shared" si="7"/>
        <v>0</v>
      </c>
    </row>
    <row r="53" spans="1:14" ht="15" customHeight="1" x14ac:dyDescent="0.3">
      <c r="A53" s="16" t="s">
        <v>88</v>
      </c>
      <c r="B53" s="16" t="s">
        <v>35</v>
      </c>
      <c r="C53" s="8">
        <v>0</v>
      </c>
      <c r="D53" s="8">
        <v>4831090</v>
      </c>
      <c r="E53" s="8">
        <v>4761846</v>
      </c>
      <c r="F53" s="8">
        <v>4912000</v>
      </c>
      <c r="G53" s="8">
        <v>4605857</v>
      </c>
      <c r="H53" s="8">
        <v>3845362</v>
      </c>
      <c r="I53" s="8">
        <v>4785964</v>
      </c>
      <c r="J53" s="16">
        <f t="shared" si="4"/>
        <v>1</v>
      </c>
      <c r="K53" s="9" t="str">
        <f t="shared" si="5"/>
        <v>Expansión</v>
      </c>
      <c r="L53" s="8">
        <f t="shared" si="6"/>
        <v>940602</v>
      </c>
      <c r="M53" s="16"/>
      <c r="N53" s="8">
        <f t="shared" si="7"/>
        <v>0</v>
      </c>
    </row>
    <row r="54" spans="1:14" ht="15" customHeight="1" x14ac:dyDescent="0.3">
      <c r="A54" s="16" t="s">
        <v>89</v>
      </c>
      <c r="B54" s="16" t="s">
        <v>35</v>
      </c>
      <c r="C54" s="8">
        <v>0</v>
      </c>
      <c r="D54" s="8">
        <v>3739493</v>
      </c>
      <c r="E54" s="8">
        <v>4268205</v>
      </c>
      <c r="F54" s="8">
        <v>4079151</v>
      </c>
      <c r="G54" s="8">
        <v>4120774</v>
      </c>
      <c r="H54" s="8">
        <v>4394241</v>
      </c>
      <c r="I54" s="8">
        <v>4140613</v>
      </c>
      <c r="J54" s="16">
        <f t="shared" si="4"/>
        <v>1</v>
      </c>
      <c r="K54" s="9" t="str">
        <f t="shared" si="5"/>
        <v>Contracción</v>
      </c>
      <c r="L54" s="8">
        <f t="shared" si="6"/>
        <v>253628</v>
      </c>
      <c r="M54" s="16"/>
      <c r="N54" s="8">
        <f t="shared" si="7"/>
        <v>0</v>
      </c>
    </row>
    <row r="55" spans="1:14" ht="15" customHeight="1" x14ac:dyDescent="0.3">
      <c r="A55" s="16" t="s">
        <v>90</v>
      </c>
      <c r="B55" s="16" t="s">
        <v>35</v>
      </c>
      <c r="C55" s="8">
        <v>0</v>
      </c>
      <c r="D55" s="8">
        <v>7944322</v>
      </c>
      <c r="E55" s="8">
        <v>11293156</v>
      </c>
      <c r="F55" s="8">
        <v>11607468</v>
      </c>
      <c r="G55" s="8">
        <v>12353570</v>
      </c>
      <c r="H55" s="8">
        <v>10710045</v>
      </c>
      <c r="I55" s="8">
        <v>10577396</v>
      </c>
      <c r="J55" s="16">
        <f t="shared" si="4"/>
        <v>1</v>
      </c>
      <c r="K55" s="9" t="str">
        <f t="shared" si="5"/>
        <v>Contracción</v>
      </c>
      <c r="L55" s="8">
        <f t="shared" si="6"/>
        <v>132649</v>
      </c>
      <c r="M55" s="16"/>
      <c r="N55" s="8">
        <f t="shared" si="7"/>
        <v>0</v>
      </c>
    </row>
    <row r="56" spans="1:14" ht="15" customHeight="1" x14ac:dyDescent="0.3">
      <c r="A56" s="16" t="s">
        <v>91</v>
      </c>
      <c r="B56" s="16" t="s">
        <v>35</v>
      </c>
      <c r="C56" s="8">
        <v>0</v>
      </c>
      <c r="D56" s="8">
        <v>4638386</v>
      </c>
      <c r="E56" s="8">
        <v>12584047</v>
      </c>
      <c r="F56" s="8">
        <v>15000519</v>
      </c>
      <c r="G56" s="8">
        <v>14260503</v>
      </c>
      <c r="H56" s="8">
        <v>14260503</v>
      </c>
      <c r="I56" s="8">
        <v>14260926</v>
      </c>
      <c r="J56" s="16">
        <f t="shared" si="4"/>
        <v>1</v>
      </c>
      <c r="K56" s="9" t="str">
        <f t="shared" si="5"/>
        <v>Expansión</v>
      </c>
      <c r="L56" s="8">
        <f t="shared" si="6"/>
        <v>423</v>
      </c>
      <c r="M56" s="16"/>
      <c r="N56" s="8">
        <f t="shared" si="7"/>
        <v>0</v>
      </c>
    </row>
    <row r="57" spans="1:14" ht="15" customHeight="1" x14ac:dyDescent="0.3">
      <c r="A57" s="16" t="s">
        <v>92</v>
      </c>
      <c r="B57" s="16" t="s">
        <v>35</v>
      </c>
      <c r="C57" s="8">
        <v>0</v>
      </c>
      <c r="D57" s="8">
        <v>15932846</v>
      </c>
      <c r="E57" s="8">
        <v>8418824</v>
      </c>
      <c r="F57" s="8">
        <v>9242206</v>
      </c>
      <c r="G57" s="8">
        <v>7915202</v>
      </c>
      <c r="H57" s="8">
        <v>8180717</v>
      </c>
      <c r="I57" s="8">
        <v>8177862</v>
      </c>
      <c r="J57" s="16">
        <f t="shared" si="4"/>
        <v>1</v>
      </c>
      <c r="K57" s="9" t="str">
        <f t="shared" si="5"/>
        <v>Contracción</v>
      </c>
      <c r="L57" s="8">
        <f t="shared" si="6"/>
        <v>2855</v>
      </c>
      <c r="M57" s="16"/>
      <c r="N57" s="8">
        <f t="shared" si="7"/>
        <v>0</v>
      </c>
    </row>
    <row r="58" spans="1:14" ht="15" customHeight="1" x14ac:dyDescent="0.3">
      <c r="A58" s="16" t="s">
        <v>93</v>
      </c>
      <c r="B58" s="16" t="s">
        <v>35</v>
      </c>
      <c r="C58" s="8">
        <v>0</v>
      </c>
      <c r="D58" s="8">
        <v>2100000</v>
      </c>
      <c r="E58" s="8">
        <v>2100000</v>
      </c>
      <c r="F58" s="8">
        <v>2100000</v>
      </c>
      <c r="G58" s="8">
        <v>2100000</v>
      </c>
      <c r="H58" s="8">
        <v>2100000</v>
      </c>
      <c r="I58" s="8">
        <v>2100000</v>
      </c>
      <c r="J58" s="16">
        <f t="shared" si="4"/>
        <v>1</v>
      </c>
      <c r="K58" s="9" t="str">
        <f t="shared" si="5"/>
        <v>Retenida</v>
      </c>
      <c r="L58" s="8">
        <f t="shared" si="6"/>
        <v>2100000</v>
      </c>
      <c r="M58" s="16"/>
      <c r="N58" s="8">
        <f t="shared" si="7"/>
        <v>0</v>
      </c>
    </row>
    <row r="59" spans="1:14" ht="15" customHeight="1" x14ac:dyDescent="0.3">
      <c r="A59" s="16" t="s">
        <v>94</v>
      </c>
      <c r="B59" s="16" t="s">
        <v>35</v>
      </c>
      <c r="C59" s="8">
        <v>0</v>
      </c>
      <c r="D59" s="8">
        <v>9478092</v>
      </c>
      <c r="E59" s="8">
        <v>9478092</v>
      </c>
      <c r="F59" s="8">
        <v>9478092</v>
      </c>
      <c r="G59" s="8">
        <v>8558730</v>
      </c>
      <c r="H59" s="8">
        <v>8558730</v>
      </c>
      <c r="I59" s="8">
        <v>8558730</v>
      </c>
      <c r="J59" s="16">
        <f t="shared" si="4"/>
        <v>1</v>
      </c>
      <c r="K59" s="9" t="str">
        <f t="shared" si="5"/>
        <v>Retenida</v>
      </c>
      <c r="L59" s="8">
        <f t="shared" si="6"/>
        <v>8558730</v>
      </c>
      <c r="M59" s="16"/>
      <c r="N59" s="8">
        <f t="shared" si="7"/>
        <v>0</v>
      </c>
    </row>
    <row r="60" spans="1:14" ht="15" customHeight="1" x14ac:dyDescent="0.3">
      <c r="A60" s="16" t="s">
        <v>95</v>
      </c>
      <c r="B60" s="16" t="s">
        <v>35</v>
      </c>
      <c r="C60" s="8">
        <v>3621204</v>
      </c>
      <c r="D60" s="8">
        <v>2793082</v>
      </c>
      <c r="E60" s="8">
        <v>2793082</v>
      </c>
      <c r="F60" s="8">
        <v>2793082</v>
      </c>
      <c r="G60" s="8">
        <v>2793082</v>
      </c>
      <c r="H60" s="8">
        <v>2793082</v>
      </c>
      <c r="I60" s="8">
        <v>2793082</v>
      </c>
      <c r="J60" s="16">
        <f t="shared" si="4"/>
        <v>1</v>
      </c>
      <c r="K60" s="9" t="str">
        <f t="shared" si="5"/>
        <v>Retenida</v>
      </c>
      <c r="L60" s="8">
        <f t="shared" si="6"/>
        <v>2793082</v>
      </c>
      <c r="M60" s="16"/>
      <c r="N60" s="8">
        <f t="shared" si="7"/>
        <v>0</v>
      </c>
    </row>
    <row r="61" spans="1:14" ht="15" customHeight="1" x14ac:dyDescent="0.3">
      <c r="A61" s="16" t="s">
        <v>96</v>
      </c>
      <c r="B61" s="16" t="s">
        <v>35</v>
      </c>
      <c r="C61" s="8">
        <v>11091065</v>
      </c>
      <c r="D61" s="8">
        <v>12429559</v>
      </c>
      <c r="E61" s="8">
        <v>11531065</v>
      </c>
      <c r="F61" s="8">
        <v>11531065</v>
      </c>
      <c r="G61" s="8">
        <v>11531065</v>
      </c>
      <c r="H61" s="8">
        <v>11531065</v>
      </c>
      <c r="I61" s="8">
        <v>11091065</v>
      </c>
      <c r="J61" s="16">
        <f t="shared" si="4"/>
        <v>1</v>
      </c>
      <c r="K61" s="9" t="str">
        <f t="shared" si="5"/>
        <v>Contracción</v>
      </c>
      <c r="L61" s="8">
        <f t="shared" si="6"/>
        <v>440000</v>
      </c>
      <c r="M61" s="16"/>
      <c r="N61" s="8">
        <f t="shared" si="7"/>
        <v>0</v>
      </c>
    </row>
    <row r="62" spans="1:14" ht="15" customHeight="1" x14ac:dyDescent="0.3">
      <c r="A62" s="16" t="s">
        <v>97</v>
      </c>
      <c r="B62" s="16" t="s">
        <v>35</v>
      </c>
      <c r="C62" s="8">
        <v>0</v>
      </c>
      <c r="D62" s="8">
        <v>7849047</v>
      </c>
      <c r="E62" s="8">
        <v>12818836</v>
      </c>
      <c r="F62" s="8">
        <v>12818836</v>
      </c>
      <c r="G62" s="8">
        <v>12818836</v>
      </c>
      <c r="H62" s="8">
        <v>12818836</v>
      </c>
      <c r="I62" s="8">
        <v>12818836</v>
      </c>
      <c r="J62" s="16">
        <f t="shared" si="4"/>
        <v>1</v>
      </c>
      <c r="K62" s="9" t="str">
        <f t="shared" si="5"/>
        <v>Retenida</v>
      </c>
      <c r="L62" s="8">
        <f t="shared" si="6"/>
        <v>12818836</v>
      </c>
      <c r="M62" s="16"/>
      <c r="N62" s="8">
        <f t="shared" si="7"/>
        <v>0</v>
      </c>
    </row>
    <row r="63" spans="1:14" ht="15" customHeight="1" x14ac:dyDescent="0.3">
      <c r="A63" s="16" t="s">
        <v>98</v>
      </c>
      <c r="B63" s="16" t="s">
        <v>35</v>
      </c>
      <c r="C63" s="8">
        <v>8541340</v>
      </c>
      <c r="D63" s="8">
        <v>8994770.7780000009</v>
      </c>
      <c r="E63" s="8">
        <v>8994770.7780000009</v>
      </c>
      <c r="F63" s="8">
        <v>7517787.7608000003</v>
      </c>
      <c r="G63" s="8">
        <v>7527409.7999999998</v>
      </c>
      <c r="H63" s="8">
        <v>7081187.7320999997</v>
      </c>
      <c r="I63" s="8">
        <v>8633944.3080000002</v>
      </c>
      <c r="J63" s="16">
        <f t="shared" si="4"/>
        <v>1</v>
      </c>
      <c r="K63" s="9" t="str">
        <f t="shared" si="5"/>
        <v>Expansión</v>
      </c>
      <c r="L63" s="8">
        <f t="shared" si="6"/>
        <v>1552756.5759000005</v>
      </c>
      <c r="M63" s="16"/>
      <c r="N63" s="8">
        <f t="shared" si="7"/>
        <v>0</v>
      </c>
    </row>
    <row r="64" spans="1:14" ht="15" customHeight="1" x14ac:dyDescent="0.3">
      <c r="A64" s="16" t="s">
        <v>99</v>
      </c>
      <c r="B64" s="16" t="s">
        <v>35</v>
      </c>
      <c r="C64" s="8">
        <v>25655105</v>
      </c>
      <c r="D64" s="8">
        <v>27927263</v>
      </c>
      <c r="E64" s="8">
        <v>30815449</v>
      </c>
      <c r="F64" s="8">
        <v>28930569</v>
      </c>
      <c r="G64" s="8">
        <v>24850247</v>
      </c>
      <c r="H64" s="8">
        <v>25208189</v>
      </c>
      <c r="I64" s="8">
        <v>23371455</v>
      </c>
      <c r="J64" s="16">
        <f t="shared" si="4"/>
        <v>1</v>
      </c>
      <c r="K64" s="9" t="str">
        <f t="shared" si="5"/>
        <v>Contracción</v>
      </c>
      <c r="L64" s="8">
        <f t="shared" si="6"/>
        <v>1836734</v>
      </c>
      <c r="M64" s="16"/>
      <c r="N64" s="8">
        <f t="shared" si="7"/>
        <v>0</v>
      </c>
    </row>
    <row r="65" spans="1:14" ht="15" customHeight="1" x14ac:dyDescent="0.3">
      <c r="A65" s="16" t="s">
        <v>100</v>
      </c>
      <c r="B65" s="16" t="s">
        <v>35</v>
      </c>
      <c r="C65" s="8">
        <v>5533520</v>
      </c>
      <c r="D65" s="8">
        <v>0</v>
      </c>
      <c r="E65" s="8">
        <v>5533520</v>
      </c>
      <c r="F65" s="8">
        <v>11067040</v>
      </c>
      <c r="G65" s="8">
        <v>5533520</v>
      </c>
      <c r="H65" s="8">
        <v>5533520</v>
      </c>
      <c r="I65" s="8">
        <v>0</v>
      </c>
      <c r="J65" s="16">
        <f t="shared" si="4"/>
        <v>1</v>
      </c>
      <c r="K65" s="9" t="str">
        <f t="shared" si="5"/>
        <v>Churned</v>
      </c>
      <c r="L65" s="8">
        <f t="shared" si="6"/>
        <v>5533520</v>
      </c>
      <c r="M65" s="16"/>
      <c r="N65" s="8">
        <f t="shared" si="7"/>
        <v>0</v>
      </c>
    </row>
    <row r="66" spans="1:14" ht="15" customHeight="1" x14ac:dyDescent="0.3">
      <c r="A66" s="16" t="s">
        <v>101</v>
      </c>
      <c r="B66" s="16" t="s">
        <v>35</v>
      </c>
      <c r="C66" s="8">
        <v>0</v>
      </c>
      <c r="D66" s="8">
        <v>7884460.8039999995</v>
      </c>
      <c r="E66" s="8">
        <v>8333229.0140000004</v>
      </c>
      <c r="F66" s="8">
        <v>9135376.2180000003</v>
      </c>
      <c r="G66" s="8">
        <v>10241871.526000001</v>
      </c>
      <c r="H66" s="8">
        <v>9016584.6329999994</v>
      </c>
      <c r="I66" s="8">
        <v>8644371</v>
      </c>
      <c r="J66" s="16">
        <f t="shared" ref="J66:J97" si="8">IF(SUM(C66:G66)&gt;0,1,0)</f>
        <v>1</v>
      </c>
      <c r="K66" s="9" t="str">
        <f t="shared" ref="K66:K97" si="9">IF(M66&lt;&gt;"",M66,IF(AND(H66=0,I66=0),"Sin actividad",IF(AND(H66=0,I66&gt;0),IF(J66=1,"Rescatada","Nueva"),IF(AND(H66&gt;0,I66=0),"Churned",IF(I66&gt;H66,"Expansión",IF(I66&lt;H66,"Contracción","Retenida"))))))</f>
        <v>Contracción</v>
      </c>
      <c r="L66" s="8">
        <f t="shared" ref="L66:L97" si="10">IF(K66="Up Sale (no recurrente)",0,IF(K66="Expansión",I66-H66,IF(K66="Contracción",H66-I66,IF(K66="Retenida",I66,IF(OR(K66="Nueva",K66="Rescatada"),I66,IF(K66="Churned",H66,0))))))</f>
        <v>372213.63299999945</v>
      </c>
      <c r="M66" s="16"/>
      <c r="N66" s="8">
        <f t="shared" ref="N66:N97" si="11">IF(K66="Up Sale (no recurrente)",I66,0)</f>
        <v>0</v>
      </c>
    </row>
    <row r="67" spans="1:14" ht="15" customHeight="1" x14ac:dyDescent="0.3">
      <c r="A67" s="16" t="s">
        <v>102</v>
      </c>
      <c r="B67" s="16" t="s">
        <v>35</v>
      </c>
      <c r="C67" s="8">
        <v>15295408</v>
      </c>
      <c r="D67" s="8">
        <v>9415280</v>
      </c>
      <c r="E67" s="8">
        <v>14659792</v>
      </c>
      <c r="F67" s="8">
        <v>0</v>
      </c>
      <c r="G67" s="8">
        <v>0</v>
      </c>
      <c r="H67" s="8">
        <v>0</v>
      </c>
      <c r="I67" s="8">
        <v>0</v>
      </c>
      <c r="J67" s="16">
        <f t="shared" si="8"/>
        <v>1</v>
      </c>
      <c r="K67" s="9" t="str">
        <f t="shared" si="9"/>
        <v>Sin actividad</v>
      </c>
      <c r="L67" s="8">
        <f t="shared" si="10"/>
        <v>0</v>
      </c>
      <c r="M67" s="16"/>
      <c r="N67" s="8">
        <f t="shared" si="11"/>
        <v>0</v>
      </c>
    </row>
    <row r="68" spans="1:14" ht="15" customHeight="1" x14ac:dyDescent="0.3">
      <c r="A68" s="16" t="s">
        <v>103</v>
      </c>
      <c r="B68" s="16" t="s">
        <v>35</v>
      </c>
      <c r="C68" s="8">
        <v>6804835</v>
      </c>
      <c r="D68" s="8">
        <v>8518562</v>
      </c>
      <c r="E68" s="8">
        <v>6804835</v>
      </c>
      <c r="F68" s="8">
        <v>8518562</v>
      </c>
      <c r="G68" s="8">
        <v>7158686</v>
      </c>
      <c r="H68" s="8">
        <v>7158686</v>
      </c>
      <c r="I68" s="8">
        <v>7158686</v>
      </c>
      <c r="J68" s="16">
        <f t="shared" si="8"/>
        <v>1</v>
      </c>
      <c r="K68" s="9" t="str">
        <f t="shared" si="9"/>
        <v>Retenida</v>
      </c>
      <c r="L68" s="8">
        <f t="shared" si="10"/>
        <v>7158686</v>
      </c>
      <c r="M68" s="16"/>
      <c r="N68" s="8">
        <f t="shared" si="11"/>
        <v>0</v>
      </c>
    </row>
    <row r="69" spans="1:14" ht="15" customHeight="1" x14ac:dyDescent="0.3">
      <c r="A69" s="16" t="s">
        <v>104</v>
      </c>
      <c r="B69" s="16" t="s">
        <v>35</v>
      </c>
      <c r="C69" s="8">
        <v>51500000</v>
      </c>
      <c r="D69" s="8">
        <v>51375000</v>
      </c>
      <c r="E69" s="8">
        <v>51375000</v>
      </c>
      <c r="F69" s="8">
        <v>50500000</v>
      </c>
      <c r="G69" s="8">
        <v>51500000</v>
      </c>
      <c r="H69" s="8">
        <v>51500000</v>
      </c>
      <c r="I69" s="8">
        <v>51750000</v>
      </c>
      <c r="J69" s="16">
        <f t="shared" si="8"/>
        <v>1</v>
      </c>
      <c r="K69" s="9" t="str">
        <f t="shared" si="9"/>
        <v>Expansión</v>
      </c>
      <c r="L69" s="8">
        <f t="shared" si="10"/>
        <v>250000</v>
      </c>
      <c r="M69" s="16"/>
      <c r="N69" s="8">
        <f t="shared" si="11"/>
        <v>0</v>
      </c>
    </row>
    <row r="70" spans="1:14" ht="15" customHeight="1" x14ac:dyDescent="0.3">
      <c r="A70" s="16" t="s">
        <v>105</v>
      </c>
      <c r="B70" s="16" t="s">
        <v>35</v>
      </c>
      <c r="C70" s="8">
        <v>2505000</v>
      </c>
      <c r="D70" s="8">
        <v>2505000</v>
      </c>
      <c r="E70" s="8">
        <v>3110000</v>
      </c>
      <c r="F70" s="8">
        <v>3045000</v>
      </c>
      <c r="G70" s="8">
        <v>1962300</v>
      </c>
      <c r="H70" s="8">
        <v>2505000</v>
      </c>
      <c r="I70" s="8">
        <v>3110000</v>
      </c>
      <c r="J70" s="16">
        <f t="shared" si="8"/>
        <v>1</v>
      </c>
      <c r="K70" s="9" t="str">
        <f t="shared" si="9"/>
        <v>Expansión</v>
      </c>
      <c r="L70" s="8">
        <f t="shared" si="10"/>
        <v>605000</v>
      </c>
      <c r="M70" s="16"/>
      <c r="N70" s="8">
        <f t="shared" si="11"/>
        <v>0</v>
      </c>
    </row>
    <row r="71" spans="1:14" ht="15" customHeight="1" x14ac:dyDescent="0.3">
      <c r="A71" s="16" t="s">
        <v>106</v>
      </c>
      <c r="B71" s="16" t="s">
        <v>35</v>
      </c>
      <c r="C71" s="8">
        <v>0</v>
      </c>
      <c r="D71" s="8">
        <v>1452482</v>
      </c>
      <c r="E71" s="8">
        <v>726241</v>
      </c>
      <c r="F71" s="8">
        <v>726241</v>
      </c>
      <c r="G71" s="8">
        <v>726241</v>
      </c>
      <c r="H71" s="8">
        <v>726241</v>
      </c>
      <c r="I71" s="8">
        <v>726241</v>
      </c>
      <c r="J71" s="16">
        <f t="shared" si="8"/>
        <v>1</v>
      </c>
      <c r="K71" s="9" t="str">
        <f t="shared" si="9"/>
        <v>Retenida</v>
      </c>
      <c r="L71" s="8">
        <f t="shared" si="10"/>
        <v>726241</v>
      </c>
      <c r="M71" s="16"/>
      <c r="N71" s="8">
        <f t="shared" si="11"/>
        <v>0</v>
      </c>
    </row>
    <row r="72" spans="1:14" ht="15" customHeight="1" x14ac:dyDescent="0.3">
      <c r="A72" s="16" t="s">
        <v>107</v>
      </c>
      <c r="B72" s="16" t="s">
        <v>35</v>
      </c>
      <c r="C72" s="8">
        <v>20082003.614</v>
      </c>
      <c r="D72" s="8">
        <v>27518415.072000001</v>
      </c>
      <c r="E72" s="8">
        <v>19143914</v>
      </c>
      <c r="F72" s="8">
        <v>15642134</v>
      </c>
      <c r="G72" s="8">
        <v>15642134</v>
      </c>
      <c r="H72" s="8">
        <v>20082003.614</v>
      </c>
      <c r="I72" s="8">
        <v>20082003.614</v>
      </c>
      <c r="J72" s="16">
        <f t="shared" si="8"/>
        <v>1</v>
      </c>
      <c r="K72" s="9" t="str">
        <f t="shared" si="9"/>
        <v>Retenida</v>
      </c>
      <c r="L72" s="8">
        <f t="shared" si="10"/>
        <v>20082003.614</v>
      </c>
      <c r="M72" s="16"/>
      <c r="N72" s="8">
        <f t="shared" si="11"/>
        <v>0</v>
      </c>
    </row>
    <row r="73" spans="1:14" ht="15" customHeight="1" x14ac:dyDescent="0.3">
      <c r="A73" s="16" t="s">
        <v>108</v>
      </c>
      <c r="B73" s="16" t="s">
        <v>35</v>
      </c>
      <c r="C73" s="8">
        <v>7273180</v>
      </c>
      <c r="D73" s="8">
        <v>17732000</v>
      </c>
      <c r="E73" s="8">
        <v>18190432</v>
      </c>
      <c r="F73" s="8">
        <v>19740432</v>
      </c>
      <c r="G73" s="8">
        <v>18190432</v>
      </c>
      <c r="H73" s="8">
        <v>18190432</v>
      </c>
      <c r="I73" s="8">
        <v>0</v>
      </c>
      <c r="J73" s="16">
        <f t="shared" si="8"/>
        <v>1</v>
      </c>
      <c r="K73" s="9" t="str">
        <f t="shared" si="9"/>
        <v>Churned</v>
      </c>
      <c r="L73" s="8">
        <f t="shared" si="10"/>
        <v>18190432</v>
      </c>
      <c r="M73" s="16"/>
      <c r="N73" s="8">
        <f t="shared" si="11"/>
        <v>0</v>
      </c>
    </row>
    <row r="74" spans="1:14" ht="15" customHeight="1" x14ac:dyDescent="0.3">
      <c r="A74" s="16" t="s">
        <v>109</v>
      </c>
      <c r="B74" s="16" t="s">
        <v>35</v>
      </c>
      <c r="C74" s="8">
        <v>25804000</v>
      </c>
      <c r="D74" s="8">
        <v>28121862</v>
      </c>
      <c r="E74" s="8">
        <v>28121862</v>
      </c>
      <c r="F74" s="8">
        <v>28121862</v>
      </c>
      <c r="G74" s="8">
        <v>28121862</v>
      </c>
      <c r="H74" s="8">
        <v>28121862</v>
      </c>
      <c r="I74" s="8">
        <v>28121862</v>
      </c>
      <c r="J74" s="16">
        <f t="shared" si="8"/>
        <v>1</v>
      </c>
      <c r="K74" s="9" t="str">
        <f t="shared" si="9"/>
        <v>Retenida</v>
      </c>
      <c r="L74" s="8">
        <f t="shared" si="10"/>
        <v>28121862</v>
      </c>
      <c r="M74" s="16"/>
      <c r="N74" s="8">
        <f t="shared" si="11"/>
        <v>0</v>
      </c>
    </row>
    <row r="75" spans="1:14" ht="15" customHeight="1" x14ac:dyDescent="0.3">
      <c r="A75" s="16" t="s">
        <v>110</v>
      </c>
      <c r="B75" s="16" t="s">
        <v>81</v>
      </c>
      <c r="C75" s="8">
        <v>9736598.5280000009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16">
        <f t="shared" si="8"/>
        <v>1</v>
      </c>
      <c r="K75" s="9" t="str">
        <f t="shared" si="9"/>
        <v>Sin actividad</v>
      </c>
      <c r="L75" s="8">
        <f t="shared" si="10"/>
        <v>0</v>
      </c>
      <c r="M75" s="16"/>
      <c r="N75" s="8">
        <f t="shared" si="11"/>
        <v>0</v>
      </c>
    </row>
    <row r="76" spans="1:14" ht="15" customHeight="1" x14ac:dyDescent="0.3">
      <c r="A76" s="16" t="s">
        <v>111</v>
      </c>
      <c r="B76" s="16" t="s">
        <v>35</v>
      </c>
      <c r="C76" s="8">
        <v>6731336.5470000003</v>
      </c>
      <c r="D76" s="8">
        <v>7151881.585</v>
      </c>
      <c r="E76" s="8">
        <v>7151881.585</v>
      </c>
      <c r="F76" s="8">
        <v>7151881.585</v>
      </c>
      <c r="G76" s="8">
        <v>7346413.1903999997</v>
      </c>
      <c r="H76" s="8">
        <v>9071986.8631999996</v>
      </c>
      <c r="I76" s="8">
        <v>7151882</v>
      </c>
      <c r="J76" s="16">
        <f t="shared" si="8"/>
        <v>1</v>
      </c>
      <c r="K76" s="9" t="str">
        <f t="shared" si="9"/>
        <v>Contracción</v>
      </c>
      <c r="L76" s="8">
        <f t="shared" si="10"/>
        <v>1920104.8631999996</v>
      </c>
      <c r="M76" s="16"/>
      <c r="N76" s="8">
        <f t="shared" si="11"/>
        <v>0</v>
      </c>
    </row>
    <row r="77" spans="1:14" ht="15" customHeight="1" x14ac:dyDescent="0.3">
      <c r="A77" s="16" t="s">
        <v>112</v>
      </c>
      <c r="B77" s="16" t="s">
        <v>35</v>
      </c>
      <c r="C77" s="8">
        <v>10902215</v>
      </c>
      <c r="D77" s="8">
        <v>10902215</v>
      </c>
      <c r="E77" s="8">
        <v>13888450</v>
      </c>
      <c r="F77" s="8">
        <v>10902215</v>
      </c>
      <c r="G77" s="8">
        <v>13888450</v>
      </c>
      <c r="H77" s="8">
        <v>8871288</v>
      </c>
      <c r="I77" s="8">
        <v>8871288</v>
      </c>
      <c r="J77" s="16">
        <f t="shared" si="8"/>
        <v>1</v>
      </c>
      <c r="K77" s="9" t="str">
        <f t="shared" si="9"/>
        <v>Retenida</v>
      </c>
      <c r="L77" s="8">
        <f t="shared" si="10"/>
        <v>8871288</v>
      </c>
      <c r="M77" s="16"/>
      <c r="N77" s="8">
        <f t="shared" si="11"/>
        <v>0</v>
      </c>
    </row>
    <row r="78" spans="1:14" ht="15" customHeight="1" x14ac:dyDescent="0.3">
      <c r="A78" s="16" t="s">
        <v>113</v>
      </c>
      <c r="B78" s="16" t="s">
        <v>35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6842335</v>
      </c>
      <c r="I78" s="8">
        <v>6842335</v>
      </c>
      <c r="J78" s="16">
        <f t="shared" si="8"/>
        <v>0</v>
      </c>
      <c r="K78" s="9" t="str">
        <f t="shared" si="9"/>
        <v>Retenida</v>
      </c>
      <c r="L78" s="8">
        <f t="shared" si="10"/>
        <v>6842335</v>
      </c>
      <c r="M78" s="16"/>
      <c r="N78" s="8">
        <f t="shared" si="11"/>
        <v>0</v>
      </c>
    </row>
    <row r="79" spans="1:14" ht="15" customHeight="1" x14ac:dyDescent="0.3">
      <c r="A79" s="16" t="s">
        <v>114</v>
      </c>
      <c r="B79" s="16" t="s">
        <v>35</v>
      </c>
      <c r="C79" s="8">
        <v>0</v>
      </c>
      <c r="D79" s="8">
        <v>13294118</v>
      </c>
      <c r="E79" s="8">
        <v>13294118</v>
      </c>
      <c r="F79" s="8">
        <v>13294118</v>
      </c>
      <c r="G79" s="8">
        <v>13294118</v>
      </c>
      <c r="H79" s="8">
        <v>13294118</v>
      </c>
      <c r="I79" s="8">
        <v>0</v>
      </c>
      <c r="J79" s="16">
        <f t="shared" si="8"/>
        <v>1</v>
      </c>
      <c r="K79" s="9" t="str">
        <f t="shared" si="9"/>
        <v>Churned</v>
      </c>
      <c r="L79" s="8">
        <f t="shared" si="10"/>
        <v>13294118</v>
      </c>
      <c r="M79" s="16"/>
      <c r="N79" s="8">
        <f t="shared" si="11"/>
        <v>0</v>
      </c>
    </row>
    <row r="80" spans="1:14" ht="15" customHeight="1" x14ac:dyDescent="0.3">
      <c r="A80" s="16" t="s">
        <v>115</v>
      </c>
      <c r="B80" s="16" t="s">
        <v>35</v>
      </c>
      <c r="C80" s="8">
        <v>40985019</v>
      </c>
      <c r="D80" s="8">
        <v>44175067</v>
      </c>
      <c r="E80" s="8">
        <v>42151149</v>
      </c>
      <c r="F80" s="8">
        <v>44259818</v>
      </c>
      <c r="G80" s="8">
        <v>38907224</v>
      </c>
      <c r="H80" s="8">
        <v>30754279</v>
      </c>
      <c r="I80" s="8">
        <v>12348928</v>
      </c>
      <c r="J80" s="16">
        <f t="shared" si="8"/>
        <v>1</v>
      </c>
      <c r="K80" s="9" t="str">
        <f t="shared" si="9"/>
        <v>Contracción</v>
      </c>
      <c r="L80" s="8">
        <f t="shared" si="10"/>
        <v>18405351</v>
      </c>
      <c r="M80" s="16"/>
      <c r="N80" s="8">
        <f t="shared" si="11"/>
        <v>0</v>
      </c>
    </row>
    <row r="81" spans="1:14" ht="15" customHeight="1" x14ac:dyDescent="0.3">
      <c r="A81" s="16" t="s">
        <v>116</v>
      </c>
      <c r="B81" s="16" t="s">
        <v>35</v>
      </c>
      <c r="C81" s="8">
        <v>8408000</v>
      </c>
      <c r="D81" s="8">
        <v>8836808</v>
      </c>
      <c r="E81" s="8">
        <v>8836808</v>
      </c>
      <c r="F81" s="8">
        <v>8836808</v>
      </c>
      <c r="G81" s="8">
        <v>8836808</v>
      </c>
      <c r="H81" s="8">
        <v>7511287</v>
      </c>
      <c r="I81" s="8">
        <v>8836808</v>
      </c>
      <c r="J81" s="16">
        <f t="shared" si="8"/>
        <v>1</v>
      </c>
      <c r="K81" s="9" t="str">
        <f t="shared" si="9"/>
        <v>Expansión</v>
      </c>
      <c r="L81" s="8">
        <f t="shared" si="10"/>
        <v>1325521</v>
      </c>
      <c r="M81" s="16"/>
      <c r="N81" s="8">
        <f t="shared" si="11"/>
        <v>0</v>
      </c>
    </row>
    <row r="82" spans="1:14" ht="15" customHeight="1" x14ac:dyDescent="0.3">
      <c r="A82" s="16" t="s">
        <v>117</v>
      </c>
      <c r="B82" s="16" t="s">
        <v>35</v>
      </c>
      <c r="C82" s="8">
        <v>5046174</v>
      </c>
      <c r="D82" s="8">
        <v>5046174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16">
        <f t="shared" si="8"/>
        <v>1</v>
      </c>
      <c r="K82" s="9" t="str">
        <f t="shared" si="9"/>
        <v>Sin actividad</v>
      </c>
      <c r="L82" s="8">
        <f t="shared" si="10"/>
        <v>0</v>
      </c>
      <c r="M82" s="16"/>
      <c r="N82" s="8">
        <f t="shared" si="11"/>
        <v>0</v>
      </c>
    </row>
    <row r="83" spans="1:14" ht="15" customHeight="1" x14ac:dyDescent="0.3">
      <c r="A83" s="16" t="s">
        <v>118</v>
      </c>
      <c r="B83" s="16" t="s">
        <v>35</v>
      </c>
      <c r="C83" s="8">
        <v>21560400</v>
      </c>
      <c r="D83" s="8">
        <v>21560400</v>
      </c>
      <c r="E83" s="8">
        <v>21560400</v>
      </c>
      <c r="F83" s="8">
        <v>21560400</v>
      </c>
      <c r="G83" s="8">
        <v>21560400</v>
      </c>
      <c r="H83" s="8">
        <v>21560400</v>
      </c>
      <c r="I83" s="8">
        <v>21560400</v>
      </c>
      <c r="J83" s="16">
        <f t="shared" si="8"/>
        <v>1</v>
      </c>
      <c r="K83" s="9" t="str">
        <f t="shared" si="9"/>
        <v>Retenida</v>
      </c>
      <c r="L83" s="8">
        <f t="shared" si="10"/>
        <v>21560400</v>
      </c>
      <c r="M83" s="16"/>
      <c r="N83" s="8">
        <f t="shared" si="11"/>
        <v>0</v>
      </c>
    </row>
    <row r="84" spans="1:14" ht="15" customHeight="1" x14ac:dyDescent="0.3">
      <c r="A84" s="16" t="s">
        <v>119</v>
      </c>
      <c r="B84" s="16" t="s">
        <v>81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16">
        <f t="shared" si="8"/>
        <v>0</v>
      </c>
      <c r="K84" s="9" t="str">
        <f t="shared" si="9"/>
        <v>Sin actividad</v>
      </c>
      <c r="L84" s="8">
        <f t="shared" si="10"/>
        <v>0</v>
      </c>
      <c r="M84" s="16"/>
      <c r="N84" s="8">
        <f t="shared" si="11"/>
        <v>0</v>
      </c>
    </row>
    <row r="85" spans="1:14" ht="15" customHeight="1" x14ac:dyDescent="0.3">
      <c r="A85" s="16" t="s">
        <v>120</v>
      </c>
      <c r="B85" s="16" t="s">
        <v>35</v>
      </c>
      <c r="C85" s="8">
        <v>2150000</v>
      </c>
      <c r="D85" s="8">
        <v>2150000</v>
      </c>
      <c r="E85" s="8">
        <v>2150000</v>
      </c>
      <c r="F85" s="8">
        <v>2150000</v>
      </c>
      <c r="G85" s="8">
        <v>2150000</v>
      </c>
      <c r="H85" s="8">
        <v>2150000</v>
      </c>
      <c r="I85" s="8">
        <v>2150000</v>
      </c>
      <c r="J85" s="16">
        <f t="shared" si="8"/>
        <v>1</v>
      </c>
      <c r="K85" s="9" t="str">
        <f t="shared" si="9"/>
        <v>Retenida</v>
      </c>
      <c r="L85" s="8">
        <f t="shared" si="10"/>
        <v>2150000</v>
      </c>
      <c r="M85" s="16"/>
      <c r="N85" s="8">
        <f t="shared" si="11"/>
        <v>0</v>
      </c>
    </row>
    <row r="86" spans="1:14" ht="15" customHeight="1" x14ac:dyDescent="0.3">
      <c r="A86" s="16" t="s">
        <v>121</v>
      </c>
      <c r="B86" s="16" t="s">
        <v>35</v>
      </c>
      <c r="C86" s="8">
        <v>2832147.5</v>
      </c>
      <c r="D86" s="8">
        <v>2882893</v>
      </c>
      <c r="E86" s="8">
        <v>3723256.3095</v>
      </c>
      <c r="F86" s="8">
        <v>3207218.4624999999</v>
      </c>
      <c r="G86" s="8">
        <v>4024518.628</v>
      </c>
      <c r="H86" s="8">
        <v>4197492.2079999996</v>
      </c>
      <c r="I86" s="8">
        <v>3847220.7085000002</v>
      </c>
      <c r="J86" s="16">
        <f t="shared" si="8"/>
        <v>1</v>
      </c>
      <c r="K86" s="9" t="str">
        <f t="shared" si="9"/>
        <v>Contracción</v>
      </c>
      <c r="L86" s="8">
        <f t="shared" si="10"/>
        <v>350271.49949999945</v>
      </c>
      <c r="M86" s="16"/>
      <c r="N86" s="8">
        <f t="shared" si="11"/>
        <v>0</v>
      </c>
    </row>
    <row r="87" spans="1:14" ht="15" customHeight="1" x14ac:dyDescent="0.3">
      <c r="A87" s="16" t="s">
        <v>122</v>
      </c>
      <c r="B87" s="16" t="s">
        <v>35</v>
      </c>
      <c r="C87" s="8">
        <v>2312200</v>
      </c>
      <c r="D87" s="8">
        <v>2312200</v>
      </c>
      <c r="E87" s="8">
        <v>3047900</v>
      </c>
      <c r="F87" s="8">
        <v>2900000</v>
      </c>
      <c r="G87" s="8">
        <v>2900000</v>
      </c>
      <c r="H87" s="8">
        <v>2900000</v>
      </c>
      <c r="I87" s="8">
        <v>2900000</v>
      </c>
      <c r="J87" s="16">
        <f t="shared" si="8"/>
        <v>1</v>
      </c>
      <c r="K87" s="9" t="str">
        <f t="shared" si="9"/>
        <v>Retenida</v>
      </c>
      <c r="L87" s="8">
        <f t="shared" si="10"/>
        <v>2900000</v>
      </c>
      <c r="M87" s="16"/>
      <c r="N87" s="8">
        <f t="shared" si="11"/>
        <v>0</v>
      </c>
    </row>
    <row r="88" spans="1:14" ht="15" customHeight="1" x14ac:dyDescent="0.3">
      <c r="A88" s="16" t="s">
        <v>123</v>
      </c>
      <c r="B88" s="16" t="s">
        <v>35</v>
      </c>
      <c r="C88" s="8">
        <v>0</v>
      </c>
      <c r="D88" s="8">
        <v>6312000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16">
        <f t="shared" si="8"/>
        <v>1</v>
      </c>
      <c r="K88" s="9" t="str">
        <f t="shared" si="9"/>
        <v>Sin actividad</v>
      </c>
      <c r="L88" s="8">
        <f t="shared" si="10"/>
        <v>0</v>
      </c>
      <c r="M88" s="16"/>
      <c r="N88" s="8">
        <f t="shared" si="11"/>
        <v>0</v>
      </c>
    </row>
    <row r="89" spans="1:14" ht="15" customHeight="1" x14ac:dyDescent="0.3">
      <c r="A89" s="16" t="s">
        <v>124</v>
      </c>
      <c r="B89" s="16"/>
      <c r="C89" s="8">
        <v>2150000</v>
      </c>
      <c r="D89" s="8">
        <v>0</v>
      </c>
      <c r="E89" s="8">
        <v>10965000</v>
      </c>
      <c r="F89" s="8">
        <v>0</v>
      </c>
      <c r="G89" s="8">
        <v>0</v>
      </c>
      <c r="H89" s="8">
        <v>0</v>
      </c>
      <c r="I89" s="8">
        <v>0</v>
      </c>
      <c r="J89" s="16">
        <f t="shared" si="8"/>
        <v>1</v>
      </c>
      <c r="K89" s="9" t="str">
        <f t="shared" si="9"/>
        <v>Sin actividad</v>
      </c>
      <c r="L89" s="8">
        <f t="shared" si="10"/>
        <v>0</v>
      </c>
      <c r="M89" s="16"/>
      <c r="N89" s="8">
        <f t="shared" si="11"/>
        <v>0</v>
      </c>
    </row>
    <row r="90" spans="1:14" ht="15" customHeight="1" x14ac:dyDescent="0.3">
      <c r="A90" s="16" t="s">
        <v>125</v>
      </c>
      <c r="B90" s="16"/>
      <c r="C90" s="8">
        <v>0</v>
      </c>
      <c r="D90" s="8">
        <v>0</v>
      </c>
      <c r="E90" s="8">
        <v>0</v>
      </c>
      <c r="F90" s="8">
        <v>0</v>
      </c>
      <c r="G90" s="8">
        <v>3585600</v>
      </c>
      <c r="H90" s="8">
        <v>1106400</v>
      </c>
      <c r="I90" s="8">
        <v>1178400</v>
      </c>
      <c r="J90" s="16">
        <f t="shared" si="8"/>
        <v>1</v>
      </c>
      <c r="K90" s="9" t="str">
        <f t="shared" si="9"/>
        <v>Expansión</v>
      </c>
      <c r="L90" s="8">
        <f t="shared" si="10"/>
        <v>72000</v>
      </c>
      <c r="M90" s="16"/>
      <c r="N90" s="8">
        <f t="shared" si="11"/>
        <v>0</v>
      </c>
    </row>
    <row r="91" spans="1:14" ht="15" customHeight="1" x14ac:dyDescent="0.3">
      <c r="A91" s="16" t="s">
        <v>126</v>
      </c>
      <c r="B91" s="16"/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16">
        <f t="shared" si="8"/>
        <v>0</v>
      </c>
      <c r="K91" s="9" t="str">
        <f t="shared" si="9"/>
        <v>Sin actividad</v>
      </c>
      <c r="L91" s="8">
        <f t="shared" si="10"/>
        <v>0</v>
      </c>
      <c r="M91" s="16"/>
      <c r="N91" s="8">
        <f t="shared" si="11"/>
        <v>0</v>
      </c>
    </row>
    <row r="92" spans="1:14" ht="15" customHeight="1" x14ac:dyDescent="0.3">
      <c r="A92" s="16" t="s">
        <v>127</v>
      </c>
      <c r="B92" s="16"/>
      <c r="C92" s="8">
        <v>0</v>
      </c>
      <c r="D92" s="8">
        <v>0</v>
      </c>
      <c r="E92" s="8">
        <v>0</v>
      </c>
      <c r="F92" s="8">
        <v>7100000</v>
      </c>
      <c r="G92" s="8">
        <v>7100000</v>
      </c>
      <c r="H92" s="8">
        <v>8333980</v>
      </c>
      <c r="I92" s="8">
        <v>11936520</v>
      </c>
      <c r="J92" s="16">
        <f t="shared" si="8"/>
        <v>1</v>
      </c>
      <c r="K92" s="9" t="str">
        <f t="shared" si="9"/>
        <v>Expansión</v>
      </c>
      <c r="L92" s="8">
        <f t="shared" si="10"/>
        <v>3602540</v>
      </c>
      <c r="M92" s="16"/>
      <c r="N92" s="8">
        <f t="shared" si="11"/>
        <v>0</v>
      </c>
    </row>
    <row r="93" spans="1:14" ht="15" customHeight="1" x14ac:dyDescent="0.3">
      <c r="A93" s="16" t="s">
        <v>128</v>
      </c>
      <c r="B93" s="16" t="s">
        <v>35</v>
      </c>
      <c r="C93" s="8">
        <v>0</v>
      </c>
      <c r="D93" s="8">
        <v>0</v>
      </c>
      <c r="E93" s="8">
        <v>9468810</v>
      </c>
      <c r="F93" s="8">
        <v>13273756</v>
      </c>
      <c r="G93" s="8">
        <v>15829636</v>
      </c>
      <c r="H93" s="8">
        <v>13273756</v>
      </c>
      <c r="I93" s="8">
        <v>13273756</v>
      </c>
      <c r="J93" s="16">
        <f t="shared" si="8"/>
        <v>1</v>
      </c>
      <c r="K93" s="9" t="str">
        <f t="shared" si="9"/>
        <v>Retenida</v>
      </c>
      <c r="L93" s="8">
        <f t="shared" si="10"/>
        <v>13273756</v>
      </c>
      <c r="M93" s="16"/>
      <c r="N93" s="8">
        <f t="shared" si="11"/>
        <v>0</v>
      </c>
    </row>
    <row r="94" spans="1:14" ht="15" customHeight="1" x14ac:dyDescent="0.3">
      <c r="A94" s="16" t="s">
        <v>129</v>
      </c>
      <c r="B94" s="16" t="s">
        <v>35</v>
      </c>
      <c r="C94" s="8">
        <v>0</v>
      </c>
      <c r="D94" s="8">
        <v>0</v>
      </c>
      <c r="E94" s="8">
        <v>0</v>
      </c>
      <c r="F94" s="8">
        <v>6356250</v>
      </c>
      <c r="G94" s="8">
        <v>6356250</v>
      </c>
      <c r="H94" s="8">
        <v>7658550</v>
      </c>
      <c r="I94" s="8">
        <v>6356250</v>
      </c>
      <c r="J94" s="16">
        <f t="shared" si="8"/>
        <v>1</v>
      </c>
      <c r="K94" s="9" t="str">
        <f t="shared" si="9"/>
        <v>Contracción</v>
      </c>
      <c r="L94" s="8">
        <f t="shared" si="10"/>
        <v>1302300</v>
      </c>
      <c r="M94" s="16"/>
      <c r="N94" s="8">
        <f t="shared" si="11"/>
        <v>0</v>
      </c>
    </row>
    <row r="95" spans="1:14" ht="15" customHeight="1" x14ac:dyDescent="0.3">
      <c r="A95" s="16" t="s">
        <v>130</v>
      </c>
      <c r="B95" s="16"/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5482828</v>
      </c>
      <c r="I95" s="8">
        <v>3262207</v>
      </c>
      <c r="J95" s="16">
        <f t="shared" si="8"/>
        <v>0</v>
      </c>
      <c r="K95" s="9" t="str">
        <f t="shared" si="9"/>
        <v>Contracción</v>
      </c>
      <c r="L95" s="8">
        <f t="shared" si="10"/>
        <v>2220621</v>
      </c>
      <c r="M95" s="16"/>
      <c r="N95" s="8">
        <f t="shared" si="11"/>
        <v>0</v>
      </c>
    </row>
    <row r="96" spans="1:14" ht="15" customHeight="1" x14ac:dyDescent="0.3">
      <c r="A96" s="16" t="s">
        <v>131</v>
      </c>
      <c r="B96" s="16" t="s">
        <v>35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7500000</v>
      </c>
      <c r="J96" s="16">
        <f t="shared" si="8"/>
        <v>0</v>
      </c>
      <c r="K96" s="9" t="str">
        <f t="shared" si="9"/>
        <v>Nueva</v>
      </c>
      <c r="L96" s="8">
        <f t="shared" si="10"/>
        <v>7500000</v>
      </c>
      <c r="M96" s="16"/>
      <c r="N96" s="8">
        <f t="shared" si="11"/>
        <v>0</v>
      </c>
    </row>
    <row r="97" spans="1:14" ht="15" customHeight="1" x14ac:dyDescent="0.3">
      <c r="A97" s="16" t="s">
        <v>132</v>
      </c>
      <c r="B97" s="16"/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16">
        <f t="shared" si="8"/>
        <v>0</v>
      </c>
      <c r="K97" s="9" t="str">
        <f t="shared" si="9"/>
        <v>Sin actividad</v>
      </c>
      <c r="L97" s="8">
        <f t="shared" si="10"/>
        <v>0</v>
      </c>
      <c r="M97" s="16"/>
      <c r="N97" s="8">
        <f t="shared" si="11"/>
        <v>0</v>
      </c>
    </row>
    <row r="98" spans="1:14" ht="15" customHeight="1" x14ac:dyDescent="0.3">
      <c r="A98" s="16" t="s">
        <v>133</v>
      </c>
      <c r="B98" s="16" t="s">
        <v>134</v>
      </c>
      <c r="C98" s="8">
        <v>0</v>
      </c>
      <c r="D98" s="8">
        <v>0</v>
      </c>
      <c r="E98" s="8">
        <v>0</v>
      </c>
      <c r="F98" s="8">
        <v>4693114</v>
      </c>
      <c r="G98" s="8">
        <v>0</v>
      </c>
      <c r="H98" s="8">
        <v>5678214</v>
      </c>
      <c r="I98" s="8">
        <v>3378214</v>
      </c>
      <c r="J98" s="16">
        <f t="shared" ref="J98:J116" si="12">IF(SUM(C98:G98)&gt;0,1,0)</f>
        <v>1</v>
      </c>
      <c r="K98" s="9" t="str">
        <f t="shared" ref="K98:K129" si="13">IF(M98&lt;&gt;"",M98,IF(AND(H98=0,I98=0),"Sin actividad",IF(AND(H98=0,I98&gt;0),IF(J98=1,"Rescatada","Nueva"),IF(AND(H98&gt;0,I98=0),"Churned",IF(I98&gt;H98,"Expansión",IF(I98&lt;H98,"Contracción","Retenida"))))))</f>
        <v>Contracción</v>
      </c>
      <c r="L98" s="8">
        <f t="shared" ref="L98:L129" si="14">IF(K98="Up Sale (no recurrente)",0,IF(K98="Expansión",I98-H98,IF(K98="Contracción",H98-I98,IF(K98="Retenida",I98,IF(OR(K98="Nueva",K98="Rescatada"),I98,IF(K98="Churned",H98,0))))))</f>
        <v>2300000</v>
      </c>
      <c r="M98" s="16"/>
      <c r="N98" s="8">
        <f t="shared" ref="N98:N116" si="15">IF(K98="Up Sale (no recurrente)",I98,0)</f>
        <v>0</v>
      </c>
    </row>
    <row r="99" spans="1:14" ht="15" customHeight="1" x14ac:dyDescent="0.3">
      <c r="A99" s="16" t="s">
        <v>135</v>
      </c>
      <c r="B99" s="16"/>
      <c r="C99" s="8">
        <v>0</v>
      </c>
      <c r="D99" s="8">
        <v>0</v>
      </c>
      <c r="E99" s="8">
        <v>0</v>
      </c>
      <c r="F99" s="8">
        <v>0</v>
      </c>
      <c r="G99" s="8">
        <v>1395000</v>
      </c>
      <c r="H99" s="8">
        <v>0</v>
      </c>
      <c r="I99" s="8">
        <v>0</v>
      </c>
      <c r="J99" s="16">
        <f t="shared" si="12"/>
        <v>1</v>
      </c>
      <c r="K99" s="9" t="str">
        <f t="shared" si="13"/>
        <v>Sin actividad</v>
      </c>
      <c r="L99" s="8">
        <f t="shared" si="14"/>
        <v>0</v>
      </c>
      <c r="M99" s="16"/>
      <c r="N99" s="8">
        <f t="shared" si="15"/>
        <v>0</v>
      </c>
    </row>
    <row r="100" spans="1:14" ht="15" customHeight="1" x14ac:dyDescent="0.3">
      <c r="A100" s="16" t="s">
        <v>136</v>
      </c>
      <c r="B100" s="16"/>
      <c r="C100" s="8">
        <v>0</v>
      </c>
      <c r="D100" s="8">
        <v>0</v>
      </c>
      <c r="E100" s="8">
        <v>0</v>
      </c>
      <c r="F100" s="8">
        <v>0</v>
      </c>
      <c r="G100" s="8">
        <v>6698888</v>
      </c>
      <c r="H100" s="8">
        <v>3284952</v>
      </c>
      <c r="I100" s="8">
        <v>3055320</v>
      </c>
      <c r="J100" s="16">
        <f t="shared" si="12"/>
        <v>1</v>
      </c>
      <c r="K100" s="9" t="str">
        <f t="shared" si="13"/>
        <v>Contracción</v>
      </c>
      <c r="L100" s="8">
        <f t="shared" si="14"/>
        <v>229632</v>
      </c>
      <c r="M100" s="16"/>
      <c r="N100" s="8">
        <f t="shared" si="15"/>
        <v>0</v>
      </c>
    </row>
    <row r="101" spans="1:14" ht="15" customHeight="1" x14ac:dyDescent="0.3">
      <c r="A101" s="16" t="s">
        <v>137</v>
      </c>
      <c r="B101" s="16"/>
      <c r="C101" s="8">
        <v>0</v>
      </c>
      <c r="D101" s="8">
        <v>0</v>
      </c>
      <c r="E101" s="8">
        <v>0</v>
      </c>
      <c r="F101" s="8">
        <v>0</v>
      </c>
      <c r="G101" s="8">
        <v>4560072</v>
      </c>
      <c r="H101" s="8">
        <v>2181136</v>
      </c>
      <c r="I101" s="8">
        <v>2127224</v>
      </c>
      <c r="J101" s="16">
        <f t="shared" si="12"/>
        <v>1</v>
      </c>
      <c r="K101" s="9" t="str">
        <f t="shared" si="13"/>
        <v>Contracción</v>
      </c>
      <c r="L101" s="8">
        <f t="shared" si="14"/>
        <v>53912</v>
      </c>
      <c r="M101" s="16"/>
      <c r="N101" s="8">
        <f t="shared" si="15"/>
        <v>0</v>
      </c>
    </row>
    <row r="102" spans="1:14" ht="15" customHeight="1" x14ac:dyDescent="0.3">
      <c r="A102" s="16" t="s">
        <v>138</v>
      </c>
      <c r="B102" s="16"/>
      <c r="C102" s="8">
        <v>0</v>
      </c>
      <c r="D102" s="8">
        <v>0</v>
      </c>
      <c r="E102" s="8">
        <v>0</v>
      </c>
      <c r="F102" s="8">
        <v>0</v>
      </c>
      <c r="G102" s="8">
        <v>4360248</v>
      </c>
      <c r="H102" s="8">
        <v>2262648</v>
      </c>
      <c r="I102" s="8">
        <v>2060064</v>
      </c>
      <c r="J102" s="16">
        <f t="shared" si="12"/>
        <v>1</v>
      </c>
      <c r="K102" s="9" t="str">
        <f t="shared" si="13"/>
        <v>Contracción</v>
      </c>
      <c r="L102" s="8">
        <f t="shared" si="14"/>
        <v>202584</v>
      </c>
      <c r="M102" s="16"/>
      <c r="N102" s="8">
        <f t="shared" si="15"/>
        <v>0</v>
      </c>
    </row>
    <row r="103" spans="1:14" ht="15" customHeight="1" x14ac:dyDescent="0.3">
      <c r="A103" s="16" t="s">
        <v>139</v>
      </c>
      <c r="B103" s="16"/>
      <c r="C103" s="8">
        <v>0</v>
      </c>
      <c r="D103" s="8">
        <v>0</v>
      </c>
      <c r="E103" s="8">
        <v>0</v>
      </c>
      <c r="F103" s="8">
        <v>1133440</v>
      </c>
      <c r="G103" s="8">
        <v>1042728</v>
      </c>
      <c r="H103" s="8">
        <v>774456</v>
      </c>
      <c r="I103" s="8">
        <v>672520</v>
      </c>
      <c r="J103" s="16">
        <f t="shared" si="12"/>
        <v>1</v>
      </c>
      <c r="K103" s="9" t="str">
        <f t="shared" si="13"/>
        <v>Contracción</v>
      </c>
      <c r="L103" s="8">
        <f t="shared" si="14"/>
        <v>101936</v>
      </c>
      <c r="M103" s="16"/>
      <c r="N103" s="8">
        <f t="shared" si="15"/>
        <v>0</v>
      </c>
    </row>
    <row r="104" spans="1:14" ht="15" customHeight="1" x14ac:dyDescent="0.3">
      <c r="A104" s="16" t="s">
        <v>140</v>
      </c>
      <c r="B104" s="16"/>
      <c r="C104" s="8">
        <v>0</v>
      </c>
      <c r="D104" s="8">
        <v>0</v>
      </c>
      <c r="E104" s="8">
        <v>0</v>
      </c>
      <c r="F104" s="8">
        <v>0</v>
      </c>
      <c r="G104" s="8">
        <v>916136</v>
      </c>
      <c r="H104" s="8">
        <v>0</v>
      </c>
      <c r="I104" s="8">
        <v>0</v>
      </c>
      <c r="J104" s="16">
        <f t="shared" si="12"/>
        <v>1</v>
      </c>
      <c r="K104" s="9" t="str">
        <f t="shared" si="13"/>
        <v>Sin actividad</v>
      </c>
      <c r="L104" s="8">
        <f t="shared" si="14"/>
        <v>0</v>
      </c>
      <c r="M104" s="16"/>
      <c r="N104" s="8">
        <f t="shared" si="15"/>
        <v>0</v>
      </c>
    </row>
    <row r="105" spans="1:14" ht="15" customHeight="1" x14ac:dyDescent="0.3">
      <c r="A105" s="16" t="s">
        <v>141</v>
      </c>
      <c r="B105" s="16"/>
      <c r="C105" s="8">
        <v>0</v>
      </c>
      <c r="D105" s="8">
        <v>0</v>
      </c>
      <c r="E105" s="8">
        <v>0</v>
      </c>
      <c r="F105" s="8">
        <v>0</v>
      </c>
      <c r="G105" s="8">
        <v>666080</v>
      </c>
      <c r="H105" s="8">
        <v>456320</v>
      </c>
      <c r="I105" s="8">
        <v>310592</v>
      </c>
      <c r="J105" s="16">
        <f t="shared" si="12"/>
        <v>1</v>
      </c>
      <c r="K105" s="9" t="str">
        <f t="shared" si="13"/>
        <v>Contracción</v>
      </c>
      <c r="L105" s="8">
        <f t="shared" si="14"/>
        <v>145728</v>
      </c>
      <c r="M105" s="16"/>
      <c r="N105" s="8">
        <f t="shared" si="15"/>
        <v>0</v>
      </c>
    </row>
    <row r="106" spans="1:14" ht="15" customHeight="1" x14ac:dyDescent="0.3">
      <c r="A106" s="16" t="s">
        <v>142</v>
      </c>
      <c r="B106" s="16"/>
      <c r="C106" s="8">
        <v>0</v>
      </c>
      <c r="D106" s="8">
        <v>0</v>
      </c>
      <c r="E106" s="8">
        <v>0</v>
      </c>
      <c r="F106" s="8">
        <v>0</v>
      </c>
      <c r="G106" s="8">
        <v>464232</v>
      </c>
      <c r="H106" s="8">
        <v>329912</v>
      </c>
      <c r="I106" s="8">
        <v>154376</v>
      </c>
      <c r="J106" s="16">
        <f t="shared" si="12"/>
        <v>1</v>
      </c>
      <c r="K106" s="9" t="str">
        <f t="shared" si="13"/>
        <v>Contracción</v>
      </c>
      <c r="L106" s="8">
        <f t="shared" si="14"/>
        <v>175536</v>
      </c>
      <c r="M106" s="16"/>
      <c r="N106" s="8">
        <f t="shared" si="15"/>
        <v>0</v>
      </c>
    </row>
    <row r="107" spans="1:14" ht="15" customHeight="1" x14ac:dyDescent="0.3">
      <c r="A107" s="16" t="s">
        <v>143</v>
      </c>
      <c r="B107" s="16"/>
      <c r="C107" s="8">
        <v>0</v>
      </c>
      <c r="D107" s="8">
        <v>0</v>
      </c>
      <c r="E107" s="8">
        <v>0</v>
      </c>
      <c r="F107" s="8">
        <v>0</v>
      </c>
      <c r="G107" s="8">
        <v>670680</v>
      </c>
      <c r="H107" s="8">
        <v>430928</v>
      </c>
      <c r="I107" s="8">
        <v>412528</v>
      </c>
      <c r="J107" s="16">
        <f t="shared" si="12"/>
        <v>1</v>
      </c>
      <c r="K107" s="9" t="str">
        <f t="shared" si="13"/>
        <v>Contracción</v>
      </c>
      <c r="L107" s="8">
        <f t="shared" si="14"/>
        <v>18400</v>
      </c>
      <c r="M107" s="16"/>
      <c r="N107" s="8">
        <f t="shared" si="15"/>
        <v>0</v>
      </c>
    </row>
    <row r="108" spans="1:14" ht="15" customHeight="1" x14ac:dyDescent="0.3">
      <c r="A108" s="16" t="s">
        <v>144</v>
      </c>
      <c r="B108" s="16"/>
      <c r="C108" s="8">
        <v>0</v>
      </c>
      <c r="D108" s="8">
        <v>0</v>
      </c>
      <c r="E108" s="8">
        <v>0</v>
      </c>
      <c r="F108" s="8">
        <v>0</v>
      </c>
      <c r="G108" s="8">
        <v>973912</v>
      </c>
      <c r="H108" s="8">
        <v>586040</v>
      </c>
      <c r="I108" s="8">
        <v>438472</v>
      </c>
      <c r="J108" s="16">
        <f t="shared" si="12"/>
        <v>1</v>
      </c>
      <c r="K108" s="9" t="str">
        <f t="shared" si="13"/>
        <v>Contracción</v>
      </c>
      <c r="L108" s="8">
        <f t="shared" si="14"/>
        <v>147568</v>
      </c>
      <c r="M108" s="16"/>
      <c r="N108" s="8">
        <f t="shared" si="15"/>
        <v>0</v>
      </c>
    </row>
    <row r="109" spans="1:14" ht="15" customHeight="1" x14ac:dyDescent="0.3">
      <c r="A109" s="16" t="s">
        <v>145</v>
      </c>
      <c r="B109" s="16"/>
      <c r="C109" s="8">
        <v>0</v>
      </c>
      <c r="D109" s="8">
        <v>0</v>
      </c>
      <c r="E109" s="8">
        <v>0</v>
      </c>
      <c r="F109" s="8">
        <v>422036</v>
      </c>
      <c r="G109" s="8">
        <v>323820</v>
      </c>
      <c r="H109" s="8">
        <v>299324</v>
      </c>
      <c r="I109" s="8">
        <v>334412</v>
      </c>
      <c r="J109" s="16">
        <f t="shared" si="12"/>
        <v>1</v>
      </c>
      <c r="K109" s="9" t="str">
        <f t="shared" si="13"/>
        <v>Expansión</v>
      </c>
      <c r="L109" s="8">
        <f t="shared" si="14"/>
        <v>35088</v>
      </c>
      <c r="M109" s="16"/>
      <c r="N109" s="8">
        <f t="shared" si="15"/>
        <v>0</v>
      </c>
    </row>
    <row r="110" spans="1:14" ht="15" customHeight="1" x14ac:dyDescent="0.3">
      <c r="A110" s="16" t="s">
        <v>146</v>
      </c>
      <c r="B110" s="16"/>
      <c r="C110" s="8">
        <v>0</v>
      </c>
      <c r="D110" s="8">
        <v>0</v>
      </c>
      <c r="E110" s="8">
        <v>0</v>
      </c>
      <c r="F110" s="8">
        <v>0</v>
      </c>
      <c r="G110" s="8">
        <v>28707128</v>
      </c>
      <c r="H110" s="8">
        <v>14757352</v>
      </c>
      <c r="I110" s="8">
        <v>13563000</v>
      </c>
      <c r="J110" s="16">
        <f t="shared" si="12"/>
        <v>1</v>
      </c>
      <c r="K110" s="9" t="str">
        <f t="shared" si="13"/>
        <v>Contracción</v>
      </c>
      <c r="L110" s="8">
        <f t="shared" si="14"/>
        <v>1194352</v>
      </c>
      <c r="M110" s="16"/>
      <c r="N110" s="8">
        <f t="shared" si="15"/>
        <v>0</v>
      </c>
    </row>
    <row r="111" spans="1:14" ht="15" customHeight="1" x14ac:dyDescent="0.3">
      <c r="A111" s="16" t="s">
        <v>147</v>
      </c>
      <c r="B111" s="16"/>
      <c r="C111" s="8">
        <v>0</v>
      </c>
      <c r="D111" s="8">
        <v>0</v>
      </c>
      <c r="E111" s="8">
        <v>0</v>
      </c>
      <c r="F111" s="8">
        <v>0</v>
      </c>
      <c r="G111" s="8">
        <v>4842500</v>
      </c>
      <c r="H111" s="8">
        <v>4842500</v>
      </c>
      <c r="I111" s="8">
        <v>4842500</v>
      </c>
      <c r="J111" s="16">
        <f t="shared" si="12"/>
        <v>1</v>
      </c>
      <c r="K111" s="9" t="str">
        <f t="shared" si="13"/>
        <v>Retenida</v>
      </c>
      <c r="L111" s="8">
        <f t="shared" si="14"/>
        <v>4842500</v>
      </c>
      <c r="M111" s="16"/>
      <c r="N111" s="8">
        <f t="shared" si="15"/>
        <v>0</v>
      </c>
    </row>
    <row r="112" spans="1:14" ht="15" customHeight="1" x14ac:dyDescent="0.3">
      <c r="A112" s="16" t="s">
        <v>148</v>
      </c>
      <c r="B112" s="16"/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16">
        <f t="shared" si="12"/>
        <v>0</v>
      </c>
      <c r="K112" s="9" t="str">
        <f t="shared" si="13"/>
        <v>Sin actividad</v>
      </c>
      <c r="L112" s="8">
        <f t="shared" si="14"/>
        <v>0</v>
      </c>
      <c r="M112" s="16"/>
      <c r="N112" s="8">
        <f t="shared" si="15"/>
        <v>0</v>
      </c>
    </row>
    <row r="113" spans="1:14" ht="15" customHeight="1" x14ac:dyDescent="0.3">
      <c r="A113" s="16" t="s">
        <v>149</v>
      </c>
      <c r="B113" s="16"/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16">
        <f t="shared" si="12"/>
        <v>0</v>
      </c>
      <c r="K113" s="9" t="str">
        <f t="shared" si="13"/>
        <v>Sin actividad</v>
      </c>
      <c r="L113" s="8">
        <f t="shared" si="14"/>
        <v>0</v>
      </c>
      <c r="M113" s="16"/>
      <c r="N113" s="8">
        <f t="shared" si="15"/>
        <v>0</v>
      </c>
    </row>
    <row r="114" spans="1:14" ht="15" customHeight="1" x14ac:dyDescent="0.3">
      <c r="A114" s="16" t="s">
        <v>150</v>
      </c>
      <c r="B114" s="16"/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16">
        <f t="shared" si="12"/>
        <v>0</v>
      </c>
      <c r="K114" s="9" t="str">
        <f t="shared" si="13"/>
        <v>Sin actividad</v>
      </c>
      <c r="L114" s="8">
        <f t="shared" si="14"/>
        <v>0</v>
      </c>
      <c r="M114" s="16"/>
      <c r="N114" s="8">
        <f t="shared" si="15"/>
        <v>0</v>
      </c>
    </row>
    <row r="115" spans="1:14" ht="15" customHeight="1" x14ac:dyDescent="0.3">
      <c r="A115" s="16" t="s">
        <v>151</v>
      </c>
      <c r="B115" s="16"/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16">
        <f t="shared" si="12"/>
        <v>0</v>
      </c>
      <c r="K115" s="9" t="str">
        <f t="shared" si="13"/>
        <v>Sin actividad</v>
      </c>
      <c r="L115" s="8">
        <f t="shared" si="14"/>
        <v>0</v>
      </c>
      <c r="M115" s="16"/>
      <c r="N115" s="8">
        <f t="shared" si="15"/>
        <v>0</v>
      </c>
    </row>
    <row r="116" spans="1:14" ht="15" customHeight="1" x14ac:dyDescent="0.3">
      <c r="A116" s="16" t="s">
        <v>152</v>
      </c>
      <c r="B116" s="16"/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16">
        <f t="shared" si="12"/>
        <v>0</v>
      </c>
      <c r="K116" s="9" t="str">
        <f t="shared" si="13"/>
        <v>Sin actividad</v>
      </c>
      <c r="L116" s="8">
        <f t="shared" si="14"/>
        <v>0</v>
      </c>
      <c r="M116" s="16"/>
      <c r="N116" s="8">
        <f t="shared" si="15"/>
        <v>0</v>
      </c>
    </row>
    <row r="117" spans="1:14" x14ac:dyDescent="0.3">
      <c r="I117" s="21">
        <f>SUM(I2:I116)</f>
        <v>1197953197.70262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MRR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LUISA FERNANDA CARMONA VILLEGAS</cp:lastModifiedBy>
  <cp:revision>0</cp:revision>
  <dcterms:created xsi:type="dcterms:W3CDTF">2026-08-13T21:29:27Z</dcterms:created>
  <dcterms:modified xsi:type="dcterms:W3CDTF">2026-09-02T21:32:04Z</dcterms:modified>
  <dc:language>en-US</dc:language>
</cp:coreProperties>
</file>