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3" activeTab="7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PyG_Mensual_Col" sheetId="3" state="visible" r:id="rId3"/>
    <sheet xmlns:r="http://schemas.openxmlformats.org/officeDocument/2006/relationships" name="Subsidiarias_PyG" sheetId="4" state="visible" r:id="rId4"/>
    <sheet xmlns:r="http://schemas.openxmlformats.org/officeDocument/2006/relationships" name="PyG_Oficial" sheetId="5" state="visible" r:id="rId5"/>
    <sheet xmlns:r="http://schemas.openxmlformats.org/officeDocument/2006/relationships" name="Finanzas" sheetId="6" state="visible" r:id="rId6"/>
    <sheet xmlns:r="http://schemas.openxmlformats.org/officeDocument/2006/relationships" name="Contabilidad" sheetId="7" state="visible" r:id="rId7"/>
    <sheet xmlns:r="http://schemas.openxmlformats.org/officeDocument/2006/relationships" name="SaaS_Revenue" sheetId="8" state="visible" r:id="rId8"/>
    <sheet xmlns:r="http://schemas.openxmlformats.org/officeDocument/2006/relationships" name="Ventas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Customer_Success" sheetId="11" state="visible" r:id="rId11"/>
    <sheet xmlns:r="http://schemas.openxmlformats.org/officeDocument/2006/relationships" name="TRM" sheetId="12" state="visible" r:id="rId12"/>
    <sheet xmlns:r="http://schemas.openxmlformats.org/officeDocument/2006/relationships" name="TRM_Peru" sheetId="13" state="visible" r:id="rId13"/>
    <sheet xmlns:r="http://schemas.openxmlformats.org/officeDocument/2006/relationships" name="Calc_LTV_Fin" sheetId="14" state="visible" r:id="rId14"/>
    <sheet xmlns:r="http://schemas.openxmlformats.org/officeDocument/2006/relationships" name="Analisis_Churn" sheetId="15" state="visible" r:id="rId15"/>
    <sheet xmlns:r="http://schemas.openxmlformats.org/officeDocument/2006/relationships" name="Analisis_Reconciliacion" sheetId="16" state="visible" r:id="rId16"/>
    <sheet xmlns:r="http://schemas.openxmlformats.org/officeDocument/2006/relationships" name="CATALOGOS" sheetId="17" state="visible" r:id="rId17"/>
    <sheet xmlns:r="http://schemas.openxmlformats.org/officeDocument/2006/relationships" name="LOG" sheetId="18" state="visible" r:id="rId18"/>
    <sheet xmlns:r="http://schemas.openxmlformats.org/officeDocument/2006/relationships" name="Pipeline_Comercial" sheetId="19" state="visible" r:id="rId19"/>
    <sheet xmlns:r="http://schemas.openxmlformats.org/officeDocument/2006/relationships" name="EEFF_Resumen" sheetId="20" state="visible" r:id="rId20"/>
    <sheet xmlns:r="http://schemas.openxmlformats.org/officeDocument/2006/relationships" name="EEFF_COCO_Oficial" sheetId="21" state="visible" r:id="rId21"/>
    <sheet xmlns:r="http://schemas.openxmlformats.org/officeDocument/2006/relationships" name="EEFF_Balance" sheetId="22" state="visible" r:id="rId22"/>
    <sheet xmlns:r="http://schemas.openxmlformats.org/officeDocument/2006/relationships" name="EEFF_Resultados_YTD" sheetId="23" state="visible" r:id="rId23"/>
    <sheet xmlns:r="http://schemas.openxmlformats.org/officeDocument/2006/relationships" name="EEFF_Movimientos" sheetId="24" state="visible" r:id="rId24"/>
    <sheet xmlns:r="http://schemas.openxmlformats.org/officeDocument/2006/relationships" name="EEFF_Base_Homologada" sheetId="25" state="visible" r:id="rId25"/>
    <sheet xmlns:r="http://schemas.openxmlformats.org/officeDocument/2006/relationships" name="EEFF_Homologacion" sheetId="26" state="visible" r:id="rId26"/>
    <sheet xmlns:r="http://schemas.openxmlformats.org/officeDocument/2006/relationships" name="EEFF_Intercompanias" sheetId="27" state="visible" r:id="rId27"/>
    <sheet xmlns:r="http://schemas.openxmlformats.org/officeDocument/2006/relationships" name="EEFF_Alertas" sheetId="28" state="visible" r:id="rId28"/>
    <sheet xmlns:r="http://schemas.openxmlformats.org/officeDocument/2006/relationships" name="EEFF_Checks" sheetId="29" state="visible" r:id="rId29"/>
    <sheet xmlns:r="http://schemas.openxmlformats.org/officeDocument/2006/relationships" name="EEFF_Notas_COCO" sheetId="30" state="visible" r:id="rId30"/>
    <sheet xmlns:r="http://schemas.openxmlformats.org/officeDocument/2006/relationships" name="EEFF_Fuentes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00"/>
  </numFmts>
  <fonts count="20">
    <font>
      <name val="Calibri"/>
      <charset val="1"/>
      <family val="2"/>
      <color theme="1"/>
      <sz val="11"/>
    </font>
    <font>
      <name val="Arial"/>
      <charset val="1"/>
      <i val="1"/>
      <color rgb="FF9AA7A0"/>
      <sz val="9"/>
    </font>
    <font>
      <name val="Arial"/>
      <charset val="1"/>
      <b val="1"/>
      <color rgb="FF39FF88"/>
      <sz val="10"/>
    </font>
    <font>
      <name val="Arial"/>
      <charset val="1"/>
      <color rgb="FF222222"/>
      <sz val="9"/>
    </font>
    <font>
      <name val="Arial"/>
      <charset val="1"/>
      <i val="1"/>
      <color rgb="FF9AA7A0"/>
      <sz val="8"/>
    </font>
    <font>
      <name val="Arial"/>
      <charset val="1"/>
      <b val="1"/>
      <color rgb="FF222222"/>
      <sz val="10"/>
    </font>
    <font>
      <name val="Arial"/>
      <charset val="1"/>
      <b val="1"/>
      <color rgb="FF0000FF"/>
      <sz val="10"/>
    </font>
    <font>
      <name val="Arial"/>
      <charset val="1"/>
      <color rgb="FF9AA7A0"/>
      <sz val="8"/>
    </font>
    <font>
      <name val="Arial"/>
      <charset val="1"/>
      <color rgb="FF222222"/>
      <sz val="10"/>
    </font>
    <font>
      <name val="Arial"/>
      <charset val="1"/>
      <b val="1"/>
      <color rgb="FF006400"/>
      <sz val="10"/>
    </font>
    <font>
      <name val="Arial"/>
      <charset val="1"/>
      <color rgb="FF9AA7A0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222222"/>
      <sz val="9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b val="1"/>
      <color rgb="001F4E78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E1A14"/>
        <bgColor rgb="FF16271E"/>
      </patternFill>
    </fill>
    <fill>
      <patternFill patternType="solid">
        <fgColor rgb="FF16271E"/>
        <bgColor rgb="FF222222"/>
      </patternFill>
    </fill>
    <fill>
      <patternFill patternType="solid">
        <fgColor rgb="FFFFFFFF"/>
        <bgColor rgb="FFF4F8F5"/>
      </patternFill>
    </fill>
    <fill>
      <patternFill patternType="solid">
        <fgColor rgb="FFF4F8F5"/>
        <bgColor rgb="FFFFFFFF"/>
      </patternFill>
    </fill>
    <fill>
      <patternFill patternType="solid">
        <fgColor rgb="FFFFF4CC"/>
        <bgColor rgb="FFF4F8F5"/>
      </patternFill>
    </fill>
    <fill>
      <patternFill patternType="solid">
        <fgColor rgb="FFFFFF00"/>
        <b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3" fillId="6" borderId="1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indent="1"/>
    </xf>
    <xf numFmtId="0" fontId="3" fillId="4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3" fontId="3" fillId="4" borderId="1" applyAlignment="1" pivotButton="0" quotePrefix="0" xfId="0">
      <alignment horizontal="left" indent="1"/>
    </xf>
    <xf numFmtId="164" fontId="3" fillId="5" borderId="1" applyAlignment="1" pivotButton="0" quotePrefix="0" xfId="0">
      <alignment horizontal="left" indent="1"/>
    </xf>
    <xf numFmtId="2" fontId="3" fillId="4" borderId="1" applyAlignment="1" pivotButton="0" quotePrefix="0" xfId="0">
      <alignment horizontal="left" indent="1"/>
    </xf>
    <xf numFmtId="0" fontId="0" fillId="0" borderId="1" pivotButton="0" quotePrefix="0" xfId="0"/>
    <xf numFmtId="0" fontId="5" fillId="0" borderId="1" applyAlignment="1" pivotButton="0" quotePrefix="0" xfId="0">
      <alignment horizontal="left" indent="1"/>
    </xf>
    <xf numFmtId="165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 indent="1"/>
    </xf>
    <xf numFmtId="0" fontId="10" fillId="4" borderId="1" applyAlignment="1" pivotButton="0" quotePrefix="0" xfId="0">
      <alignment horizontal="left" indent="1"/>
    </xf>
    <xf numFmtId="3" fontId="3" fillId="5" borderId="1" applyAlignment="1" pivotButton="0" quotePrefix="0" xfId="0">
      <alignment horizontal="left" indent="1"/>
    </xf>
    <xf numFmtId="0" fontId="10" fillId="5" borderId="1" applyAlignment="1" pivotButton="0" quotePrefix="0" xfId="0">
      <alignment horizontal="left" indent="1"/>
    </xf>
    <xf numFmtId="0" fontId="11" fillId="3" borderId="1" applyAlignment="1" pivotButton="0" quotePrefix="0" xfId="0">
      <alignment horizontal="left" indent="1"/>
    </xf>
    <xf numFmtId="165" fontId="3" fillId="4" borderId="1" applyAlignment="1" pivotButton="0" quotePrefix="0" xfId="0">
      <alignment horizontal="left" indent="1"/>
    </xf>
    <xf numFmtId="165" fontId="3" fillId="5" borderId="1" applyAlignment="1" pivotButton="0" quotePrefix="0" xfId="0">
      <alignment horizontal="left" indent="1"/>
    </xf>
    <xf numFmtId="0" fontId="12" fillId="5" borderId="1" applyAlignment="1" pivotButton="0" quotePrefix="0" xfId="0">
      <alignment horizontal="left" indent="1"/>
    </xf>
    <xf numFmtId="0" fontId="12" fillId="4" borderId="1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0" fontId="10" fillId="0" borderId="0" applyAlignment="1" pivotButton="0" quotePrefix="0" xfId="0">
      <alignment horizontal="left" indent="1"/>
    </xf>
    <xf numFmtId="0" fontId="13" fillId="0" borderId="0" pivotButton="0" quotePrefix="0" xfId="0"/>
    <xf numFmtId="0" fontId="14" fillId="8" borderId="0" pivotButton="0" quotePrefix="0" xfId="0"/>
    <xf numFmtId="0" fontId="14" fillId="8" borderId="0" applyAlignment="1" pivotButton="0" quotePrefix="0" xfId="0">
      <alignment horizontal="center"/>
    </xf>
    <xf numFmtId="3" fontId="0" fillId="0" borderId="0" pivotButton="0" quotePrefix="0" xfId="0"/>
    <xf numFmtId="0" fontId="15" fillId="0" borderId="0" pivotButton="0" quotePrefix="0" xfId="0"/>
    <xf numFmtId="3" fontId="15" fillId="0" borderId="0" pivotButton="0" quotePrefix="0" xfId="0"/>
    <xf numFmtId="0" fontId="15" fillId="9" borderId="0" pivotButton="0" quotePrefix="0" xfId="0"/>
    <xf numFmtId="3" fontId="15" fillId="9" borderId="0" pivotButton="0" quotePrefix="0" xfId="0"/>
    <xf numFmtId="0" fontId="17" fillId="8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1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left" indent="1"/>
    </xf>
    <xf numFmtId="2" fontId="3" fillId="5" borderId="1" applyAlignment="1" pivotButton="0" quotePrefix="0" xfId="0">
      <alignment horizontal="left" indent="1"/>
    </xf>
    <xf numFmtId="3" fontId="0" fillId="0" borderId="1" pivotButton="0" quotePrefix="0" xfId="0"/>
    <xf numFmtId="164" fontId="0" fillId="0" borderId="0" pivotButton="0" quotePrefix="0" xfId="0"/>
    <xf numFmtId="0" fontId="16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 indent="1"/>
    </xf>
    <xf numFmtId="4" fontId="0" fillId="0" borderId="0" pivotButton="0" quotePrefix="0" xfId="0"/>
    <xf numFmtId="4" fontId="3" fillId="5" borderId="1" applyAlignment="1" pivotButton="0" quotePrefix="0" xfId="0">
      <alignment horizontal="left" indent="1"/>
    </xf>
    <xf numFmtId="4" fontId="3" fillId="0" borderId="0" applyAlignment="1" pivotButton="0" quotePrefix="0" xfId="0">
      <alignment horizontal="left" indent="1"/>
    </xf>
    <xf numFmtId="0" fontId="17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6" fillId="2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wrapText="1" indent="1"/>
    </xf>
    <xf numFmtId="0" fontId="2" fillId="3" borderId="0" applyAlignment="1" pivotButton="0" quotePrefix="0" xfId="0">
      <alignment horizontal="left" vertical="center" indent="1"/>
    </xf>
    <xf numFmtId="0" fontId="19" fillId="10" borderId="1" applyAlignment="1" pivotButton="0" quotePrefix="0" xfId="0">
      <alignment horizontal="center"/>
    </xf>
    <xf numFmtId="0" fontId="19" fillId="10" borderId="0" applyAlignment="1" pivotButton="0" quotePrefix="0" xfId="0">
      <alignment horizontal="center"/>
    </xf>
    <xf numFmtId="0" fontId="1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541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yG_Mensual" displayName="tbl_PyG_Mensual" ref="A4:G16" headerRowCount="1">
  <autoFilter ref="A4:G16"/>
  <tableColumns count="7">
    <tableColumn id="1" name="Concepto"/>
    <tableColumn id="2" name="Ene"/>
    <tableColumn id="3" name="Feb"/>
    <tableColumn id="4" name="Mar"/>
    <tableColumn id="5" name="Abr"/>
    <tableColumn id="6" name="May"/>
    <tableColumn id="7" name="J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ubsidiarias" displayName="tbl_Subsidiarias" ref="A4:G133" headerRowCount="1">
  <autoFilter ref="A4:G133"/>
  <tableColumns count="7">
    <tableColumn id="1" name="periodo"/>
    <tableColumn id="2" name="pais"/>
    <tableColumn id="3" name="compania"/>
    <tableColumn id="4" name="rubro"/>
    <tableColumn id="5" name="codigo_indicador"/>
    <tableColumn id="6" name="moneda"/>
    <tableColumn id="7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yG_Oficial" displayName="tbl_PyG_Oficial" ref="A4:M205" headerRowCount="1">
  <autoFilter ref="A4:M20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Finanzas" displayName="tbl_Finanzas" ref="A4:M190" headerRowCount="1">
  <autoFilter ref="A4:M190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ntabilidad" displayName="tbl_Contabilidad" ref="A4:M1034" headerRowCount="1">
  <autoFilter ref="A4:M103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aaS_Revenue" displayName="tbl_SaaS_Revenue" ref="A4:M6" headerRowCount="1">
  <autoFilter ref="A4:M6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entas" displayName="tbl_Ventas" ref="A4:M64" headerRowCount="1">
  <autoFilter ref="A4:M6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Marketing" displayName="tbl_Marketing" ref="A4:M55" headerRowCount="1">
  <autoFilter ref="A4:M5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ustomer_Success" displayName="tbl_Customer_Success" ref="A4:M12" headerRowCount="1">
  <autoFilter ref="A4:M12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zoomScaleNormal="100" workbookViewId="0">
      <pane ySplit="3" topLeftCell="A15" activePane="bottomLeft" state="frozen"/>
      <selection pane="bottomLeft" activeCell="A34" sqref="A34"/>
    </sheetView>
  </sheetViews>
  <sheetFormatPr baseColWidth="8" defaultColWidth="8.6640625" defaultRowHeight="14.4"/>
  <cols>
    <col width="6" customWidth="1" style="57" min="1" max="1"/>
    <col width="16" customWidth="1" style="57" min="2" max="2"/>
    <col width="26" customWidth="1" style="57" min="3" max="4"/>
    <col width="12" customWidth="1" style="57" min="5" max="5"/>
    <col width="40" customWidth="1" style="57" min="6" max="6"/>
    <col width="12" customWidth="1" style="57" min="7" max="7"/>
    <col width="16" customWidth="1" style="57" min="8" max="8"/>
    <col width="18" customWidth="1" style="57" min="9" max="10"/>
    <col width="40" customWidth="1" style="57" min="11" max="11"/>
    <col width="9" customWidth="1" style="57" min="12" max="12"/>
    <col width="34" customWidth="1" style="57" min="13" max="13"/>
  </cols>
  <sheetData>
    <row r="1" ht="30" customHeight="1" s="57">
      <c r="A1" s="58" t="inlineStr">
        <is>
          <t>Diccionario de indicadores — Dashboard Ejecutivo COCO Tecnologías</t>
        </is>
      </c>
    </row>
    <row r="2" ht="19.5" customHeight="1" s="57">
      <c r="A2" s="56" t="inlineStr">
        <is>
          <t>Catálogo único de variables. 'Origen=COCO' viene de tu archivo; 'Origen=Claude' son inputs base que las fórmulas requieren y conviene validar.</t>
        </is>
      </c>
    </row>
    <row r="3" ht="30" customHeight="1" s="57">
      <c r="A3" s="39" t="inlineStr">
        <is>
          <t>ID</t>
        </is>
      </c>
      <c r="B3" s="39" t="inlineStr">
        <is>
          <t>Categoría</t>
        </is>
      </c>
      <c r="C3" s="39" t="inlineStr">
        <is>
          <t>Código indicador</t>
        </is>
      </c>
      <c r="D3" s="39" t="inlineStr">
        <is>
          <t>Nombre visible</t>
        </is>
      </c>
      <c r="E3" s="39" t="inlineStr">
        <is>
          <t>Tipo</t>
        </is>
      </c>
      <c r="F3" s="39" t="inlineStr">
        <is>
          <t>Fórmula / regla de cálculo</t>
        </is>
      </c>
      <c r="G3" s="39" t="inlineStr">
        <is>
          <t>Unidad</t>
        </is>
      </c>
      <c r="H3" s="39" t="inlineStr">
        <is>
          <t>Responsable carga</t>
        </is>
      </c>
      <c r="I3" s="39" t="inlineStr">
        <is>
          <t>Fuente sugerida</t>
        </is>
      </c>
      <c r="J3" s="39" t="inlineStr">
        <is>
          <t>Frecuencia</t>
        </is>
      </c>
      <c r="K3" s="39" t="inlineStr">
        <is>
          <t>Desglose (segmento / detalle)</t>
        </is>
      </c>
      <c r="L3" s="39" t="inlineStr">
        <is>
          <t>Origen</t>
        </is>
      </c>
      <c r="M3" s="39" t="inlineStr">
        <is>
          <t>Comentario</t>
        </is>
      </c>
      <c r="N3" s="40" t="inlineStr">
        <is>
          <t>periodicidad</t>
        </is>
      </c>
    </row>
    <row r="4" ht="14.25" customHeight="1" s="57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7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7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7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7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7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7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7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7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7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7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7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7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7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7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7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7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7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7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7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7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7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7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7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7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7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7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7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7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7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7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7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7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7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7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7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7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7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7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7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7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7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7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7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7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7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7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7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7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7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7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7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7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7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7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7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7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7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7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7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7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7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7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7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7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7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7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7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7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7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7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7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7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7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7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7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7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7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7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7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7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7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7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7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7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7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7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7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7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7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1"/>
  <sheetViews>
    <sheetView showGridLines="0" topLeftCell="G1" zoomScaleNormal="100" workbookViewId="0">
      <pane ySplit="3" topLeftCell="A4" activePane="bottomLeft" state="frozen"/>
      <selection pane="bottomLeft" activeCell="N1517" sqref="N1517"/>
    </sheetView>
  </sheetViews>
  <sheetFormatPr baseColWidth="8" defaultColWidth="8.6640625" defaultRowHeight="14.4"/>
  <cols>
    <col width="12" customWidth="1" style="57" min="1" max="1"/>
    <col width="12" customWidth="1" style="57" min="2" max="2"/>
    <col width="14" customWidth="1" style="57" min="3" max="3"/>
    <col width="12" customWidth="1" style="57" min="4" max="4"/>
    <col width="12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12" customWidth="1" style="57" min="10" max="10"/>
    <col width="30" customWidth="1" style="57" min="11" max="11"/>
    <col width="14" customWidth="1" style="57" min="12" max="12"/>
    <col width="16" customWidth="1" style="57" min="13" max="13"/>
    <col width="12" customWidth="1" style="57" min="14" max="14"/>
  </cols>
  <sheetData>
    <row r="1" ht="25.5" customHeight="1" s="57">
      <c r="A1" s="58" t="inlineStr">
        <is>
          <t>BD_Indicadores — tabla de hechos (formato largo). 1 fila = 1 indicador en 1 periodo y dimensiones.</t>
        </is>
      </c>
    </row>
    <row r="2" ht="14.25" customHeight="1" s="57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7">
      <c r="A3" s="63" t="inlineStr">
        <is>
          <t>periodo</t>
        </is>
      </c>
      <c r="B3" s="63" t="inlineStr">
        <is>
          <t>pais</t>
        </is>
      </c>
      <c r="C3" s="63" t="inlineStr">
        <is>
          <t>compania</t>
        </is>
      </c>
      <c r="D3" s="63" t="inlineStr">
        <is>
          <t>moneda</t>
        </is>
      </c>
      <c r="E3" s="63" t="inlineStr">
        <is>
          <t>escenario</t>
        </is>
      </c>
      <c r="F3" s="63" t="inlineStr">
        <is>
          <t>codigo_indicador</t>
        </is>
      </c>
      <c r="G3" s="63" t="inlineStr">
        <is>
          <t>segmento</t>
        </is>
      </c>
      <c r="H3" s="63" t="inlineStr">
        <is>
          <t>detalle</t>
        </is>
      </c>
      <c r="I3" s="63" t="inlineStr">
        <is>
          <t>valor</t>
        </is>
      </c>
      <c r="J3" s="63" t="inlineStr">
        <is>
          <t>unidad</t>
        </is>
      </c>
      <c r="K3" s="63" t="inlineStr">
        <is>
          <t>comentario</t>
        </is>
      </c>
      <c r="L3" s="64" t="inlineStr">
        <is>
          <t>area</t>
        </is>
      </c>
      <c r="M3" s="64" t="inlineStr">
        <is>
          <t>area_responsable</t>
        </is>
      </c>
      <c r="N3" s="64" t="inlineStr">
        <is>
          <t>periodicidad</t>
        </is>
      </c>
    </row>
    <row r="4" ht="14.25" customHeight="1" s="57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7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7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7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7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7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7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7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7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7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7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7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7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7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7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7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7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7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7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7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7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7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7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7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7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7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7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7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7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7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7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7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7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7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7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7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7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7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7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7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7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7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7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7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7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7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7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7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7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7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7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7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7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7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7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7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7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7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7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7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7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7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7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7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7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7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7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7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7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7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7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7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7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7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7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7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7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7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7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7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7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7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7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7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7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7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7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7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7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7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7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7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7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7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7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7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7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7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7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7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7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7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7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7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7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7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7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7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7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7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7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7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7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7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7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7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7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7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7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7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7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7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7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7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7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7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7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7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7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7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7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7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7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7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7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7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7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7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7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7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7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7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7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7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7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7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7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7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7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7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7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7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7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7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7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7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7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7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7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7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7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7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7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7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7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7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7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7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7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7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7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7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7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7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7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7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7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7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7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7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7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7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7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7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7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7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7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7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7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7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7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7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7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7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7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7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7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7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7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7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7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7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7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7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7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7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7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7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7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7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7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7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7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7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7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7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7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7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7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7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7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7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7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7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7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7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7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7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7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7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7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7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7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7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7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7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7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7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7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7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7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7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7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7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7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7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7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7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7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7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7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7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7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7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7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7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7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7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7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7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7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7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7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7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7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7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7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7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7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7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7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7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7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7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7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7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7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7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7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7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7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7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7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7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7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7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7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7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7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7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7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7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7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7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7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7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7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7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7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7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7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7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7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7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7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7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7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7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7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7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7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7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7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7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7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7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7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7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7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7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7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7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7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7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7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7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7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7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7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7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7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7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7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7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7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7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7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7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7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7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7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7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7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7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7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7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7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7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7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7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7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7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7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7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7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7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7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7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7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7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7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7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7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7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7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7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7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7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7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7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7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7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7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7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7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7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7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7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7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7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7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7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7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7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7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7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7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7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7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7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7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7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7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7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7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7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7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7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7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7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7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7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7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7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7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7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7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7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7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7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7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7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7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7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7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7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7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7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7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7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7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7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7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7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7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7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7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7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7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7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7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7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7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7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7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7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7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7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7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7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7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7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7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7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7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7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7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7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7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7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7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7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7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7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7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7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7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7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7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7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7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7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7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7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7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7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7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7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7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7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7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7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7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7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7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7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7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7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7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7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7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7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7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7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7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7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7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7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7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7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7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7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7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7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7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7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7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7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7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7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7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7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7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7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7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7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7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7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7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7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7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7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7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7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7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7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7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7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7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7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7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7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7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7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7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7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7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7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7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7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7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7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7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7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7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7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7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7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7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7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7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7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7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7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7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7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7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7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7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7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7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7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7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7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7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7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7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7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7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7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7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7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7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7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7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7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7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7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7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7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7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7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7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7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7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7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7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7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7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7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7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7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7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7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7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7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7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7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7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7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7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7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7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7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7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7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7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7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7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7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7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7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7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7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7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7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7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7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7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7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7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7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7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7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7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7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7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7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7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7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7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7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7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7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7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7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7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7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7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7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7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7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7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7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7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7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7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7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7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7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7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7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7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7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7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7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7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7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7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7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7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7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7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7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7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7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7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7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7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7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7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7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7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7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7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7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7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7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7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7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7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7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7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7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7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7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7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7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7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7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7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7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7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7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7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7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7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7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7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7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7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7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7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7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7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7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7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7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7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7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7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7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7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7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7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7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7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7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7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7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7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7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7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7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7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7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7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7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7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7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7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7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7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7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7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7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7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7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7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7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7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7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7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7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7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7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7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7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7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7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7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7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7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7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7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7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7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7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7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7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7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7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7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7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7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7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7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7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7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7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7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7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7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7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7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7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7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7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7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7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7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7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7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7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7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7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7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7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7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7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7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7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7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7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7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7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7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7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7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7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7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7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7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7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7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7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7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7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7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7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7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7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7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7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7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7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7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7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7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7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7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7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7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7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7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7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7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7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7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7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7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7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7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7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7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7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7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7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7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7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7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7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7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7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7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7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7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7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7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7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7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7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7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7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7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7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7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7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7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7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7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7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7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7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7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7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7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7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7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7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7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7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7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7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7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7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7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7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7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7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7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7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7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7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7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7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7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7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7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7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7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7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7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7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7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7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7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7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7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7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7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7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7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7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7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7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7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7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7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7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7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7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7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7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7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7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7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7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7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7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7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7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7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7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7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7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7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7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7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7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7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7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7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7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7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7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7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7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7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7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7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7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7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7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7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7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7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7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7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7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7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7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7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7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7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7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7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7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7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7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7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7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7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7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7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7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7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7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7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7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7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7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7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7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7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7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7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7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7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7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7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7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7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7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7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7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7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7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7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7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7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7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7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7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7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7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7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7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7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7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7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7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7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7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7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7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7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7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7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7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7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7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7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7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7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7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7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7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7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7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7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7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7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7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7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7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7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7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7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7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7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7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7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7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7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7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7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7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7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7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7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7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7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7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7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7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7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7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7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7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7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7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7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7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7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7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7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7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7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7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7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7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7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7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7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7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7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7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7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7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7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7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7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7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7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7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7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7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7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7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7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7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7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7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7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7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7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7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7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7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7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7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7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7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7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7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7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7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7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7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7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7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7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7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7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7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7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7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7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7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7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7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7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7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7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7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7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7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7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7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7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7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7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7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7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7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7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7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7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7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7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7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7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7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7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7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7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7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7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7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7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7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7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7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7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7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7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7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7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7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7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7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7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7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7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7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7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7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7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7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7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7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7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7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7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7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7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7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7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7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7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7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7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7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7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7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7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7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7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7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7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7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7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7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7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7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7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7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7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7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7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7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7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7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7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7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7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7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7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7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7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7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7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7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7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7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7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7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7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7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7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7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7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7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7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7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7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7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7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7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7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7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7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7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7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7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7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7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7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7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7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7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7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7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7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7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7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7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7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7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7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7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7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7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7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7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7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7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7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7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7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7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7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7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7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7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7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7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7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7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7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7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7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7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7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7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7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7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7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7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7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7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7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7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7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7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7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7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7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7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7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7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7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7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7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7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7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7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7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7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7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7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7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7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7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7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7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7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7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7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7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7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7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7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7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7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7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7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7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7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7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7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7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7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7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7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7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7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7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7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7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7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17616.15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Perú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2988.97</v>
      </c>
      <c r="J1414" t="inlineStr">
        <is>
          <t>USD</t>
        </is>
      </c>
      <c r="K1414" t="inlineStr">
        <is>
          <t>Consolidación subsidiarias (USD). Colombia derivado del P&amp;G oficial / TRM del mes.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Consolidación subsidiarias (USD). Colombia derivado del P&amp;G oficial / TRM del mes.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Consolidado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228169.4</v>
      </c>
      <c r="J1417" t="inlineStr">
        <is>
          <t>USD</t>
        </is>
      </c>
      <c r="K1417" t="inlineStr">
        <is>
          <t>Consolidado = suma de EE.UU.+Perú+Costa Rica+Colombia (USD).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Perú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Consolidación subsidiarias (USD). Colombia derivado del P&amp;G oficial / TRM del mes.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Consolidación subsidiarias (USD). Colombia derivado del P&amp;G oficial / TRM del mes.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Consolidado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Consolidado = suma de EE.UU.+Perú+Costa Rica+Colombia (USD).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Perú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Consolidación subsidiarias (USD). Colombia derivado del P&amp;G oficial / TRM del mes.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Ingresos de 137.010 USD reversados: no corresponden a junio (entran después). Balance de la filial no registra ingresos.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Consolidado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Ingresos de 137.010 USD reversados: no corresponden a junio (entran después). Balance de la filial no registra ingresos.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0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Perú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Consolidación subsidiarias (USD). Colombia derivado del P&amp;G oficial / TRM del mes.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Consolidación subsidiarias (USD). Colombia derivado del P&amp;G oficial / TRM del mes.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Consolidado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250.6</v>
      </c>
      <c r="J1432" t="inlineStr">
        <is>
          <t>USD</t>
        </is>
      </c>
      <c r="K1432" t="inlineStr">
        <is>
          <t>Consolidado = suma de EE.UU.+Perú+Costa Rica+Colombia (USD).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0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Perú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Consolidación subsidiarias (USD). Colombia derivado del P&amp;G oficial / TRM del mes.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Consolidación subsidiarias (USD). Colombia derivado del P&amp;G oficial / TRM del mes.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Consolidado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367.89</v>
      </c>
      <c r="J1437" t="inlineStr">
        <is>
          <t>USD</t>
        </is>
      </c>
      <c r="K1437" t="inlineStr">
        <is>
          <t>Consolidado = suma de EE.UU.+Perú+Costa Rica+Colombia (USD).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0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Perú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Consolidación subsidiarias (USD). Colombia derivado del P&amp;G oficial / TRM del mes.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Consolidación subsidiarias (USD). Colombia derivado del P&amp;G oficial / TRM del mes.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Consolidado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1118.39</v>
      </c>
      <c r="J1442" t="inlineStr">
        <is>
          <t>USD</t>
        </is>
      </c>
      <c r="K1442" t="inlineStr">
        <is>
          <t>Consolidado = suma de EE.UU.+Perú+Costa Rica+Colombia (USD).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Perú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Consolidación subsidiarias (USD). Colombia derivado del P&amp;G oficial / TRM del mes.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Consolidación subsidiarias (USD). Colombia derivado del P&amp;G oficial / TRM del mes.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Consolidado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Consolidado = suma de EE.UU.+Perú+Costa Rica+Colombia (USD).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Perú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4478.38</v>
      </c>
      <c r="J1449" t="inlineStr">
        <is>
          <t>USD</t>
        </is>
      </c>
      <c r="K1449" t="inlineStr">
        <is>
          <t>Consolidación subsidiarias (USD). Colombia derivado del P&amp;G oficial / TRM del mes.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Consolidación subsidiarias (USD). Colombia derivado del P&amp;G oficial / TRM del mes.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Consolidado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100188.8</v>
      </c>
      <c r="J1452" t="inlineStr">
        <is>
          <t>USD</t>
        </is>
      </c>
      <c r="K1452" t="inlineStr">
        <is>
          <t>Consolidado = suma de EE.UU.+Perú+Costa Rica+Colombia (USD).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Perú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Consolidación subsidiarias (USD). Colombia derivado del P&amp;G oficial / TRM del mes.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Consolidación subsidiarias (USD). Colombia derivado del P&amp;G oficial / TRM del mes.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Consolidado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Consolidado = suma de EE.UU.+Perú+Costa Rica+Colombia (USD).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-46372.59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Perú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0</v>
      </c>
      <c r="J1459" t="inlineStr">
        <is>
          <t>USD</t>
        </is>
      </c>
      <c r="K1459" t="inlineStr">
        <is>
          <t>Consolidación subsidiarias (USD). Colombia derivado del P&amp;G oficial / TRM del mes.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-17320.22</v>
      </c>
      <c r="J1460" t="inlineStr">
        <is>
          <t>USD</t>
        </is>
      </c>
      <c r="K1460" t="inlineStr">
        <is>
          <t>Consolidación subsidiarias (USD). Colombia derivado del P&amp;G oficial / TRM del mes.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Consolidado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-32101.85</v>
      </c>
      <c r="J1462" t="inlineStr">
        <is>
          <t>USD</t>
        </is>
      </c>
      <c r="K1462" t="inlineStr">
        <is>
          <t>Consolidado = suma de EE.UU.+Perú+Costa Rica+Colombia (USD).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21616.02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Perú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0</v>
      </c>
      <c r="J1464" t="inlineStr">
        <is>
          <t>USD</t>
        </is>
      </c>
      <c r="K1464" t="inlineStr">
        <is>
          <t>Consolidación subsidiarias (USD). Colombia derivado del P&amp;G oficial / TRM del mes.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57.8</v>
      </c>
      <c r="J1465" t="inlineStr">
        <is>
          <t>USD</t>
        </is>
      </c>
      <c r="K1465" t="inlineStr">
        <is>
          <t>Consolidación subsidiarias (USD). Colombia derivado del P&amp;G oficial / TRM del mes.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Consolidado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53124.59</v>
      </c>
      <c r="J1467" t="inlineStr">
        <is>
          <t>USD</t>
        </is>
      </c>
      <c r="K1467" t="inlineStr">
        <is>
          <t>Consolidado = suma de EE.UU.+Perú+Costa Rica+Colombia (USD).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25433.27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Perú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0</v>
      </c>
      <c r="J1469" t="inlineStr">
        <is>
          <t>USD</t>
        </is>
      </c>
      <c r="K1469" t="inlineStr">
        <is>
          <t>Consolidación subsidiarias (USD). Colombia derivado del P&amp;G oficial / TRM del mes.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71.98999999999999</v>
      </c>
      <c r="J1470" t="inlineStr">
        <is>
          <t>USD</t>
        </is>
      </c>
      <c r="K1470" t="inlineStr">
        <is>
          <t>Consolidación subsidiarias (USD). Colombia derivado del P&amp;G oficial / TRM del mes.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Consolidado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57539.52</v>
      </c>
      <c r="J1472" t="inlineStr">
        <is>
          <t>USD</t>
        </is>
      </c>
      <c r="K1472" t="inlineStr">
        <is>
          <t>Consolidado = suma de EE.UU.+Perú+Costa Rica+Colombia (USD).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Perú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0</v>
      </c>
      <c r="J1474" t="inlineStr">
        <is>
          <t>USD</t>
        </is>
      </c>
      <c r="K1474" t="inlineStr">
        <is>
          <t>Consolidación subsidiarias (USD). Colombia derivado del P&amp;G oficial / TRM del mes.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Consolidación subsidiarias (USD). Colombia derivado del P&amp;G oficial / TRM del mes.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Consolidado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35961.23</v>
      </c>
      <c r="J1477" t="inlineStr">
        <is>
          <t>USD</t>
        </is>
      </c>
      <c r="K1477" t="inlineStr">
        <is>
          <t>Consolidado = suma de EE.UU.+Perú+Costa Rica+Colombia (USD).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4000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Perú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0</v>
      </c>
      <c r="J1479" t="inlineStr">
        <is>
          <t>USD</t>
        </is>
      </c>
      <c r="K1479" t="inlineStr">
        <is>
          <t>Consolidación subsidiarias (USD). Colombia derivado del P&amp;G oficial / TRM del mes.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1300</v>
      </c>
      <c r="J1480" t="inlineStr">
        <is>
          <t>USD</t>
        </is>
      </c>
      <c r="K1480" t="inlineStr">
        <is>
          <t>Consolidación subsidiarias (USD). Colombia derivado del P&amp;G oficial / TRM del mes.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Consolidado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37672.79</v>
      </c>
      <c r="J1482" t="inlineStr">
        <is>
          <t>USD</t>
        </is>
      </c>
      <c r="K1482" t="inlineStr">
        <is>
          <t>Consolidado = suma de EE.UU.+Perú+Costa Rica+Colombia (USD).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2535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Perú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0</v>
      </c>
      <c r="J1484" t="inlineStr">
        <is>
          <t>USD</t>
        </is>
      </c>
      <c r="K1484" t="inlineStr">
        <is>
          <t>Consolidación subsidiarias (USD). Colombia derivado del P&amp;G oficial / TRM del mes.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2550</v>
      </c>
      <c r="J1485" t="inlineStr">
        <is>
          <t>USD</t>
        </is>
      </c>
      <c r="K1485" t="inlineStr">
        <is>
          <t>Consolidación subsidiarias (USD). Colombia derivado del P&amp;G oficial / TRM del mes.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Consolidado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46965.81</v>
      </c>
      <c r="J1487" t="inlineStr">
        <is>
          <t>USD</t>
        </is>
      </c>
      <c r="K1487" t="inlineStr">
        <is>
          <t>Consolidado = suma de EE.UU.+Perú+Costa Rica+Colombia (USD).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Perú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Consolidación subsidiarias (USD). Colombia derivado del P&amp;G oficial / TRM del mes.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Consolidación subsidiarias (USD). Colombia derivado del P&amp;G oficial / TRM del mes.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Consolidado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Consolidado = suma de EE.UU.+Perú+Costa Rica+Colombia (USD).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7500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Perú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Consolidación subsidiarias (USD). Colombia derivado del P&amp;G oficial / TRM del mes.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Consolidación subsidiarias (USD). Colombia derivado del P&amp;G oficial / TRM del mes.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Consolidado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40077.28</v>
      </c>
      <c r="J1497" t="inlineStr">
        <is>
          <t>USD</t>
        </is>
      </c>
      <c r="K1497" t="inlineStr">
        <is>
          <t>Consolidado = suma de EE.UU.+Perú+Costa Rica+Colombia (USD).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Perú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Consolidación subsidiarias (USD). Colombia derivado del P&amp;G oficial / TRM del mes.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Consolidación subsidiarias (USD). Colombia derivado del P&amp;G oficial / TRM del mes.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Consolidado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Consolidado = suma de EE.UU.+Perú+Costa Rica+Colombia (USD).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0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Perú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-92.64</v>
      </c>
      <c r="J1504" t="inlineStr">
        <is>
          <t>USD</t>
        </is>
      </c>
      <c r="K1504" t="inlineStr">
        <is>
          <t>Consolidación subsidiarias (USD). Colombia derivado del P&amp;G oficial / TRM del mes.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267.92</v>
      </c>
      <c r="J1505" t="inlineStr">
        <is>
          <t>USD</t>
        </is>
      </c>
      <c r="K1505" t="inlineStr">
        <is>
          <t>Consolidación subsidiarias (USD). Colombia derivado del P&amp;G oficial / TRM del mes.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Consolidado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1568.11</v>
      </c>
      <c r="J1507" t="inlineStr">
        <is>
          <t>USD</t>
        </is>
      </c>
      <c r="K1507" t="inlineStr">
        <is>
          <t>Consolidado = suma de EE.UU.+Perú+Costa Rica+Colombia (USD).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0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Perú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32.31</v>
      </c>
      <c r="J1509" t="inlineStr">
        <is>
          <t>USD</t>
        </is>
      </c>
      <c r="K1509" t="inlineStr">
        <is>
          <t>Consolidación subsidiarias (USD). Colombia derivado del P&amp;G oficial / TRM del mes.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Consolidación subsidiarias (USD). Colombia derivado del P&amp;G oficial / TRM del mes.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Consolidado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1684.04</v>
      </c>
      <c r="J1512" t="inlineStr">
        <is>
          <t>USD</t>
        </is>
      </c>
      <c r="K1512" t="inlineStr">
        <is>
          <t>Consolidado = suma de EE.UU.+Perú+Costa Rica+Colombia (USD).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0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Perú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11.97</v>
      </c>
      <c r="J1514" t="inlineStr">
        <is>
          <t>USD</t>
        </is>
      </c>
      <c r="K1514" t="inlineStr">
        <is>
          <t>Consolidación subsidiarias (USD). Colombia derivado del P&amp;G oficial / TRM del mes.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Consolidación subsidiarias (USD). Colombia derivado del P&amp;G oficial / TRM del mes.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Consolidado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1645.9</v>
      </c>
      <c r="J1517" t="inlineStr">
        <is>
          <t>USD</t>
        </is>
      </c>
      <c r="K1517" t="inlineStr">
        <is>
          <t>Consolidado = suma de EE.UU.+Perú+Costa Rica+Colombia (USD).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-28756.44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Perú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3081.61</v>
      </c>
      <c r="J1519" t="inlineStr">
        <is>
          <t>USD</t>
        </is>
      </c>
      <c r="K1519" t="inlineStr">
        <is>
          <t>Consolidación subsidiarias (USD). Colombia derivado del P&amp;G oficial / TRM del mes.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-17052.3</v>
      </c>
      <c r="J1520" t="inlineStr">
        <is>
          <t>USD</t>
        </is>
      </c>
      <c r="K1520" t="inlineStr">
        <is>
          <t>Consolidación subsidiarias (USD). Colombia derivado del P&amp;G oficial / TRM del mes.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Consolidado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-42531.91</v>
      </c>
      <c r="J1522" t="inlineStr">
        <is>
          <t>USD</t>
        </is>
      </c>
      <c r="K1522" t="inlineStr">
        <is>
          <t>Consolidado = suma de EE.UU.+Perú+Costa Rica+Colombia (USD).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-23399.57</v>
      </c>
      <c r="J1523" t="inlineStr">
        <is>
          <t>USD</t>
        </is>
      </c>
      <c r="K1523" t="inlineStr">
        <is>
          <t>Consolidación subsidiarias (USD). Colombia derivado del P&amp;G oficial / TRM del mes.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-3691.48</v>
      </c>
      <c r="J1524" t="inlineStr">
        <is>
          <t>USD</t>
        </is>
      </c>
      <c r="K1524" t="inlineStr">
        <is>
          <t>Consolidación subsidiarias (USD). Colombia derivado del P&amp;G oficial / TRM del mes.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Consolidación subsidiarias (USD). Colombia derivado del P&amp;G oficial / TRM del mes.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Consolidado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695.11</v>
      </c>
      <c r="J1527" t="inlineStr">
        <is>
          <t>USD</t>
        </is>
      </c>
      <c r="K1527" t="inlineStr">
        <is>
          <t>Consolidado = suma de EE.UU.+Perú+Costa Rica+Colombia (USD).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-22303.82</v>
      </c>
      <c r="J1528" t="inlineStr">
        <is>
          <t>USD</t>
        </is>
      </c>
      <c r="K1528" t="inlineStr">
        <is>
          <t>Consolidación subsidiarias (USD). Colombia derivado del P&amp;G oficial / TRM del mes.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Perú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1809.54</v>
      </c>
      <c r="J1529" t="inlineStr">
        <is>
          <t>USD</t>
        </is>
      </c>
      <c r="K1529" t="inlineStr">
        <is>
          <t>Consolidación subsidiarias (USD). Colombia derivado del P&amp;G oficial / TRM del mes.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Ingresos de 137.010 USD reversados: no corresponden a junio (entran después). Balance de la filial no registra ingresos.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Consolidado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-13653.83</v>
      </c>
      <c r="J1532" t="inlineStr">
        <is>
          <t>USD</t>
        </is>
      </c>
      <c r="K1532" t="inlineStr">
        <is>
          <t>Ingresos de 137.010 USD reversados: no corresponden a junio (entran después). Balance de la filial no registra ingresos.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12001.75</v>
      </c>
      <c r="J1651" t="inlineStr">
        <is>
          <t>USD</t>
        </is>
      </c>
      <c r="K1651" t="inlineStr">
        <is>
          <t>Consolidado estructurado julio 2026: julio mensual derivado por diferencia entre acumulado julio y acumulado junio.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0</v>
      </c>
      <c r="J1653" t="inlineStr">
        <is>
          <t>USD</t>
        </is>
      </c>
      <c r="K1653" t="inlineStr">
        <is>
          <t>Consolidado estructurado julio 2026: julio mensual derivado por diferencia entre acumulado julio y acumulado junio.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Consolidado estructurado julio 2026: julio mensual derivado por diferencia entre acumulado julio y acumulado junio.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Consolidado estructurado julio 2026: julio mensual derivado por diferencia entre acumulado julio y acumulado junio.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Consolidado estructurado julio 2026: julio mensual derivado por diferencia entre acumulado julio y acumulado junio.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Proyecto especial Perú - moneda origen</t>
        </is>
      </c>
      <c r="I1664" t="n">
        <v>0</v>
      </c>
      <c r="J1664" t="inlineStr">
        <is>
          <t>PEN</t>
        </is>
      </c>
      <c r="K166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0</v>
      </c>
      <c r="J1665" t="inlineStr">
        <is>
          <t>USD</t>
        </is>
      </c>
      <c r="K166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Proyecto especial Perú - moneda origen</t>
        </is>
      </c>
      <c r="I1666" t="n">
        <v>0</v>
      </c>
      <c r="J1666" t="inlineStr">
        <is>
          <t>PEN</t>
        </is>
      </c>
      <c r="K166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Proyecto especial Perú - moneda origen</t>
        </is>
      </c>
      <c r="I1668" t="n">
        <v>0</v>
      </c>
      <c r="J1668" t="inlineStr">
        <is>
          <t>PEN</t>
        </is>
      </c>
      <c r="K166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0</v>
      </c>
      <c r="J1669" t="inlineStr">
        <is>
          <t>USD</t>
        </is>
      </c>
      <c r="K166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Proyecto especial Perú - moneda origen</t>
        </is>
      </c>
      <c r="I1670" t="n">
        <v>0</v>
      </c>
      <c r="J1670" t="inlineStr">
        <is>
          <t>PEN</t>
        </is>
      </c>
      <c r="K167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Proyecto especial Perú - moneda origen</t>
        </is>
      </c>
      <c r="I1672" t="n">
        <v>0</v>
      </c>
      <c r="J1672" t="inlineStr">
        <is>
          <t>PEN</t>
        </is>
      </c>
      <c r="K167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Proyecto especial Perú - moneda origen</t>
        </is>
      </c>
      <c r="I1674" t="n">
        <v>0</v>
      </c>
      <c r="J1674" t="inlineStr">
        <is>
          <t>PEN</t>
        </is>
      </c>
      <c r="K167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Perú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0</v>
      </c>
      <c r="J1675" t="inlineStr">
        <is>
          <t>USD</t>
        </is>
      </c>
      <c r="K167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Proyecto especial Perú - moneda origen</t>
        </is>
      </c>
      <c r="I1676" t="n">
        <v>0</v>
      </c>
      <c r="J1676" t="inlineStr">
        <is>
          <t>PEN</t>
        </is>
      </c>
      <c r="K167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Perú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0</v>
      </c>
      <c r="J1677" t="inlineStr">
        <is>
          <t>USD</t>
        </is>
      </c>
      <c r="K167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Proyecto especial Perú - moneda origen</t>
        </is>
      </c>
      <c r="I1678" t="n">
        <v>0</v>
      </c>
      <c r="J1678" t="inlineStr">
        <is>
          <t>PEN</t>
        </is>
      </c>
      <c r="K167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Perú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Proyecto especial Perú - moneda origen</t>
        </is>
      </c>
      <c r="I1680" t="n">
        <v>0</v>
      </c>
      <c r="J1680" t="inlineStr">
        <is>
          <t>PEN</t>
        </is>
      </c>
      <c r="K168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Perú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0</v>
      </c>
      <c r="J1681" t="inlineStr">
        <is>
          <t>USD</t>
        </is>
      </c>
      <c r="K168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Proyecto especial Perú - moneda origen</t>
        </is>
      </c>
      <c r="I1682" t="n">
        <v>0</v>
      </c>
      <c r="J1682" t="inlineStr">
        <is>
          <t>PEN</t>
        </is>
      </c>
      <c r="K168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0</v>
      </c>
      <c r="J1683" t="inlineStr">
        <is>
          <t>USD</t>
        </is>
      </c>
      <c r="K168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Proyecto especial Perú - moneda origen</t>
        </is>
      </c>
      <c r="I1684" t="n">
        <v>0</v>
      </c>
      <c r="J1684" t="inlineStr">
        <is>
          <t>PEN</t>
        </is>
      </c>
      <c r="K168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0</v>
      </c>
      <c r="J1685" t="inlineStr">
        <is>
          <t>USD</t>
        </is>
      </c>
      <c r="K168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Proyecto especial Perú - moneda origen</t>
        </is>
      </c>
      <c r="I1686" t="n">
        <v>0</v>
      </c>
      <c r="J1686" t="inlineStr">
        <is>
          <t>PEN</t>
        </is>
      </c>
      <c r="K168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Perú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0</v>
      </c>
      <c r="J1687" t="inlineStr">
        <is>
          <t>USD</t>
        </is>
      </c>
      <c r="K168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343211.93</v>
      </c>
      <c r="J1688" t="inlineStr">
        <is>
          <t>USD</t>
        </is>
      </c>
      <c r="K1688" t="inlineStr">
        <is>
          <t>Consolidado recalculado con Costa Rica julio 2026.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recalculado con Costa Rica julio 2026.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Consolidado COCO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334079.94</v>
      </c>
      <c r="J1690" t="inlineStr">
        <is>
          <t>USD</t>
        </is>
      </c>
      <c r="K1690" t="inlineStr">
        <is>
          <t>Consolidado recalculado con Costa Rica julio 2026.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Consolidado COCO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Consolidado recalculado con Costa Rica julio 2026.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242241.65</v>
      </c>
      <c r="J1692" t="inlineStr">
        <is>
          <t>USD</t>
        </is>
      </c>
      <c r="K1692" t="inlineStr">
        <is>
          <t>Consolidado recalculado con Costa Rica julio 2026.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Consolidado COCO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45840.27</v>
      </c>
      <c r="J1693" t="inlineStr">
        <is>
          <t>USD</t>
        </is>
      </c>
      <c r="K1693" t="inlineStr">
        <is>
          <t>Consolidado recalculado con Costa Rica julio 2026.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Consolidado COCO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Consolidado recalculado con Costa Rica julio 2026.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Consolidado COCO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33595.5</v>
      </c>
      <c r="J1695" t="inlineStr">
        <is>
          <t>USD</t>
        </is>
      </c>
      <c r="K1695" t="inlineStr">
        <is>
          <t>Consolidado recalculado con Costa Rica julio 2026.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133439.69</v>
      </c>
      <c r="J1696" t="inlineStr">
        <is>
          <t>USD</t>
        </is>
      </c>
      <c r="K1696" t="inlineStr">
        <is>
          <t>Consolidado recalculado con Costa Rica julio 2026.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Consolidado COCO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Consolidado recalculado con Costa Rica julio 2026.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Consolidado COCO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1691.59</v>
      </c>
      <c r="J1698" t="inlineStr">
        <is>
          <t>USD</t>
        </is>
      </c>
      <c r="K1698" t="inlineStr">
        <is>
          <t>Consolidado recalculado con Costa Rica julio 2026.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Consolidado COCO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131963.79</v>
      </c>
      <c r="J1699" t="inlineStr">
        <is>
          <t>USD</t>
        </is>
      </c>
      <c r="K1699" t="inlineStr">
        <is>
          <t>Consolidado recalculado con Costa Rica julio 2026.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Julio 2026 CR.xlsx ? movimiento mensual del auxiliar: ingresos por cr?ditos y gastos por d?bitos; moneda fuente USD.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Julio 2026 CR.xlsx ? movimiento mensual del auxiliar: ingresos por cr?ditos y gastos por d?bitos; moneda fuente USD.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Julio 2026 CR.xlsx ? movimiento mensual del auxiliar: ingresos por cr?ditos y gastos por d?bitos; moneda fuente USD.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Julio 2026 CR.xlsx ? movimiento mensual del auxiliar: ingresos por cr?ditos y gastos por d?bitos; moneda fuente USD.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Julio 2026 CR.xlsx ? movimiento mensual del auxiliar: ingresos por cr?ditos y gastos por d?bitos; moneda fuente USD.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Julio 2026 CR.xlsx ? movimiento mensual del auxiliar: ingresos por cr?ditos y gastos por d?bitos; moneda fuente USD.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Julio 2026 CR.xlsx ? movimiento mensual del auxiliar: ingresos por cr?ditos y gastos por d?bitos; moneda fuente USD.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Julio 2026 CR.xlsx ? movimiento mensual del auxiliar: ingresos por cr?ditos y gastos por d?bitos; moneda fuente USD.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4.4"/>
  <cols>
    <col width="34" customWidth="1" style="57" min="1" max="1"/>
    <col width="15" customWidth="1" style="57" min="2" max="7"/>
    <col width="13" customWidth="1" style="57" min="3" max="3"/>
    <col width="13" customWidth="1" style="57" min="4" max="4"/>
    <col width="13" customWidth="1" style="57" min="5" max="5"/>
    <col width="13" customWidth="1" style="57" min="6" max="6"/>
    <col width="13" customWidth="1" style="57" min="7" max="7"/>
    <col width="13" customWidth="1" style="57" min="8" max="8"/>
  </cols>
  <sheetData>
    <row r="1" ht="15.6" customHeight="1" s="57">
      <c r="A1" s="46" t="inlineStr">
        <is>
          <t>P&amp;G Ejecutivo Mensual — Coco Colombia 2026 (COP)</t>
        </is>
      </c>
    </row>
    <row r="2">
      <c r="A2" s="31" t="inlineStr">
        <is>
          <t>Fuente: estados financieros oficiales. Julio 2026 derivado desde acumulado oficial a julio menos enero-junio.</t>
        </is>
      </c>
    </row>
    <row r="4">
      <c r="A4" s="64" t="inlineStr">
        <is>
          <t>Concepto</t>
        </is>
      </c>
      <c r="B4" s="64" t="inlineStr">
        <is>
          <t>Ene</t>
        </is>
      </c>
      <c r="C4" s="64" t="inlineStr">
        <is>
          <t>Feb</t>
        </is>
      </c>
      <c r="D4" s="64" t="inlineStr">
        <is>
          <t>Mar</t>
        </is>
      </c>
      <c r="E4" s="64" t="inlineStr">
        <is>
          <t>Abr</t>
        </is>
      </c>
      <c r="F4" s="64" t="inlineStr">
        <is>
          <t>May</t>
        </is>
      </c>
      <c r="G4" s="64" t="inlineStr">
        <is>
          <t>Jun</t>
        </is>
      </c>
      <c r="H4" s="64" t="inlineStr">
        <is>
          <t>Jul</t>
        </is>
      </c>
    </row>
    <row r="5">
      <c r="A5" t="inlineStr">
        <is>
          <t>Servicio de software</t>
        </is>
      </c>
      <c r="B5" s="34" t="n">
        <v>689690890</v>
      </c>
      <c r="C5" s="34" t="n">
        <v>744218137</v>
      </c>
      <c r="D5" s="34" t="n">
        <v>839105106</v>
      </c>
      <c r="E5" s="34" t="n">
        <v>819197300</v>
      </c>
      <c r="F5" s="34" t="n">
        <v>881948086</v>
      </c>
      <c r="G5" s="34" t="n">
        <v>929451219</v>
      </c>
      <c r="H5" t="n">
        <v>711900651</v>
      </c>
    </row>
    <row r="6">
      <c r="A6" t="inlineStr">
        <is>
          <t>(-) Devoluciones</t>
        </is>
      </c>
      <c r="B6" s="34" t="n">
        <v>-77443189</v>
      </c>
      <c r="C6" s="34" t="n">
        <v>0</v>
      </c>
      <c r="D6" s="34" t="n">
        <v>-52063919</v>
      </c>
      <c r="E6" s="34" t="n">
        <v>-68329638</v>
      </c>
      <c r="F6" s="34" t="n">
        <v>-55433340</v>
      </c>
      <c r="G6" s="34" t="n">
        <v>-177997905</v>
      </c>
      <c r="H6" t="n">
        <v>-32010099</v>
      </c>
    </row>
    <row r="7">
      <c r="A7" s="35">
        <f>Ingresos operacionales netos</f>
        <v/>
      </c>
      <c r="B7" s="36" t="n">
        <v>612247701</v>
      </c>
      <c r="C7" s="36" t="n">
        <v>744218137</v>
      </c>
      <c r="D7" s="36" t="n">
        <v>787041187</v>
      </c>
      <c r="E7" s="36" t="n">
        <v>750867662</v>
      </c>
      <c r="F7" s="36" t="n">
        <v>826514746</v>
      </c>
      <c r="G7" s="36" t="n">
        <v>751453314</v>
      </c>
      <c r="H7" t="n">
        <v>679890552</v>
      </c>
    </row>
    <row r="8">
      <c r="A8" t="inlineStr">
        <is>
          <t>(-) Costo de ventas</t>
        </is>
      </c>
      <c r="B8" s="34" t="n">
        <v>238535794</v>
      </c>
      <c r="C8" s="34" t="n">
        <v>343308791</v>
      </c>
      <c r="D8" s="34" t="n">
        <v>455639201</v>
      </c>
      <c r="E8" s="34" t="n">
        <v>379273594</v>
      </c>
      <c r="F8" s="34" t="n">
        <v>355470523</v>
      </c>
      <c r="G8" s="34" t="n">
        <v>348477606</v>
      </c>
      <c r="H8" t="n">
        <v>321917837</v>
      </c>
    </row>
    <row r="9">
      <c r="A9" s="35">
        <f>Utilidad bruta</f>
        <v/>
      </c>
      <c r="B9" s="36" t="n">
        <v>373711907</v>
      </c>
      <c r="C9" s="36" t="n">
        <v>400909346</v>
      </c>
      <c r="D9" s="36" t="n">
        <v>331401986</v>
      </c>
      <c r="E9" s="36" t="n">
        <v>371594068</v>
      </c>
      <c r="F9" s="36" t="n">
        <v>471044223</v>
      </c>
      <c r="G9" s="36" t="n">
        <v>402975708</v>
      </c>
      <c r="H9" t="n">
        <v>357972713</v>
      </c>
    </row>
    <row r="10">
      <c r="A10" t="inlineStr">
        <is>
          <t>(-) Gastos de administración</t>
        </is>
      </c>
      <c r="B10" s="34" t="n">
        <v>98722435</v>
      </c>
      <c r="C10" s="34" t="n">
        <v>105633472</v>
      </c>
      <c r="D10" s="34" t="n">
        <v>141811865</v>
      </c>
      <c r="E10" s="34" t="n">
        <v>114280887</v>
      </c>
      <c r="F10" s="34" t="n">
        <v>116808824</v>
      </c>
      <c r="G10" s="34" t="n">
        <v>112288693</v>
      </c>
      <c r="H10" t="n">
        <v>107932742</v>
      </c>
    </row>
    <row r="11">
      <c r="A11" t="inlineStr">
        <is>
          <t>(-) Gastos operación / proyectos</t>
        </is>
      </c>
      <c r="B11" s="34" t="n">
        <v>73409852</v>
      </c>
      <c r="C11" s="34" t="n">
        <v>75509638</v>
      </c>
      <c r="D11" s="34" t="n">
        <v>72217138</v>
      </c>
      <c r="E11" s="34" t="n">
        <v>122384514</v>
      </c>
      <c r="F11" s="34" t="n">
        <v>120992711</v>
      </c>
      <c r="G11" s="34" t="n">
        <v>108908060</v>
      </c>
      <c r="H11" t="n">
        <v>102936374</v>
      </c>
    </row>
    <row r="12">
      <c r="A12" t="inlineStr">
        <is>
          <t>(-) Gastos de ventas</t>
        </is>
      </c>
      <c r="B12" s="34" t="n">
        <v>131600259</v>
      </c>
      <c r="C12" s="34" t="n">
        <v>173632204</v>
      </c>
      <c r="D12" s="34" t="n">
        <v>139615776</v>
      </c>
      <c r="E12" s="34" t="n">
        <v>130090415</v>
      </c>
      <c r="F12" s="34" t="n">
        <v>120233213</v>
      </c>
      <c r="G12" s="34" t="n">
        <v>146803460</v>
      </c>
      <c r="H12" t="n">
        <v>117761236</v>
      </c>
    </row>
    <row r="13">
      <c r="A13" s="35">
        <f>Utilidad operativa</f>
        <v/>
      </c>
      <c r="B13" s="36" t="n">
        <v>69979361</v>
      </c>
      <c r="C13" s="36" t="n">
        <v>46134032</v>
      </c>
      <c r="D13" s="36" t="n">
        <v>-22242793</v>
      </c>
      <c r="E13" s="36" t="n">
        <v>4838252</v>
      </c>
      <c r="F13" s="36" t="n">
        <v>113009475</v>
      </c>
      <c r="G13" s="36" t="n">
        <v>34975495</v>
      </c>
      <c r="H13" t="n">
        <v>29342360</v>
      </c>
    </row>
    <row r="14">
      <c r="A14" t="inlineStr">
        <is>
          <t>(+) Ingresos no operacionales</t>
        </is>
      </c>
      <c r="B14" s="34" t="n">
        <v>597687</v>
      </c>
      <c r="C14" s="34" t="n">
        <v>13488976</v>
      </c>
      <c r="D14" s="34" t="n">
        <v>-10197660</v>
      </c>
      <c r="E14" s="34" t="n">
        <v>906545</v>
      </c>
      <c r="F14" s="34" t="n">
        <v>1366339</v>
      </c>
      <c r="G14" s="34" t="n">
        <v>3920249</v>
      </c>
      <c r="H14" t="n">
        <v>718311</v>
      </c>
    </row>
    <row r="15">
      <c r="A15" t="inlineStr">
        <is>
          <t>(-) Gastos financieros</t>
        </is>
      </c>
      <c r="B15" s="34" t="n">
        <v>7091551</v>
      </c>
      <c r="C15" s="34" t="n">
        <v>5574093</v>
      </c>
      <c r="D15" s="34" t="n">
        <v>5497554</v>
      </c>
      <c r="E15" s="34" t="n">
        <v>5038594</v>
      </c>
      <c r="F15" s="34" t="n">
        <v>6000846</v>
      </c>
      <c r="G15" s="34" t="n">
        <v>5552094</v>
      </c>
      <c r="H15" t="n">
        <v>5353621</v>
      </c>
    </row>
    <row r="16">
      <c r="A16" s="37">
        <f>Utilidad neta</f>
        <v/>
      </c>
      <c r="B16" s="38" t="n">
        <v>63485497</v>
      </c>
      <c r="C16" s="38" t="n">
        <v>54048915</v>
      </c>
      <c r="D16" s="38" t="n">
        <v>-37938007</v>
      </c>
      <c r="E16" s="38" t="n">
        <v>706203</v>
      </c>
      <c r="F16" s="38" t="n">
        <v>108374968</v>
      </c>
      <c r="G16" s="38" t="n">
        <v>33343650</v>
      </c>
      <c r="H16" t="n">
        <v>24707051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57" min="1" max="1"/>
    <col width="13" customWidth="1" style="57" min="2" max="2"/>
    <col width="17" customWidth="1" style="57" min="3" max="3"/>
    <col width="20" customWidth="1" style="57" min="4" max="4"/>
    <col width="26" customWidth="1" style="57" min="5" max="5"/>
    <col width="12" customWidth="1" style="57" min="6" max="6"/>
    <col width="14" customWidth="1" style="57" min="7" max="7"/>
  </cols>
  <sheetData>
    <row r="1" ht="15.6" customHeight="1" s="57">
      <c r="A1" s="46" t="inlineStr">
        <is>
          <t>Estado de Resultados Subsidiarias y Consolidado ? 2026 (USD de presentaci?n; Perú convertido desde PEN)</t>
        </is>
      </c>
    </row>
    <row r="2">
      <c r="A2" s="31" t="inlineStr">
        <is>
          <t>Julio 2026 actualizado con COCO Colombia, EE.UU., Per? y Costa Rica; cifras en USD de presentaci?n.</t>
        </is>
      </c>
    </row>
    <row r="4">
      <c r="A4" s="64" t="inlineStr">
        <is>
          <t>periodo</t>
        </is>
      </c>
      <c r="B4" s="64" t="inlineStr">
        <is>
          <t>pais</t>
        </is>
      </c>
      <c r="C4" s="64" t="inlineStr">
        <is>
          <t>compania</t>
        </is>
      </c>
      <c r="D4" s="64" t="inlineStr">
        <is>
          <t>rubro</t>
        </is>
      </c>
      <c r="E4" s="64" t="inlineStr">
        <is>
          <t>codigo_indicador</t>
        </is>
      </c>
      <c r="F4" s="64" t="inlineStr">
        <is>
          <t>moneda</t>
        </is>
      </c>
      <c r="G4" s="6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137010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134338.01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358874.22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123356.17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0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0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0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0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0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0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0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0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343211.93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334079.94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242241.65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45840.27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33595.5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133439.69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1691.59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131963.79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57" min="1" max="1"/>
    <col width="12" customWidth="1" style="57" min="2" max="2"/>
    <col width="14" customWidth="1" style="57" min="3" max="3"/>
    <col width="12" customWidth="1" style="57" min="4" max="4"/>
    <col width="12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12" customWidth="1" style="57" min="10" max="10"/>
    <col width="30" customWidth="1" style="57" min="11" max="11"/>
    <col width="14" customWidth="1" style="57" min="12" max="12"/>
    <col width="12" customWidth="1" style="57" min="13" max="13"/>
  </cols>
  <sheetData>
    <row r="1" ht="15.6" customHeight="1" s="57">
      <c r="A1" s="46" t="inlineStr">
        <is>
          <t>P&amp;G Oficial y Consolidación — vista de solo lectura</t>
        </is>
      </c>
    </row>
    <row r="2">
      <c r="A2" s="31" t="inlineStr">
        <is>
          <t>Regenerada con EEFF julio 2026 el 2026-08-12 ? Colombia julio derivado del acumulado oficial.</t>
        </is>
      </c>
    </row>
    <row r="4">
      <c r="A4" s="64" t="inlineStr">
        <is>
          <t>periodo</t>
        </is>
      </c>
      <c r="B4" s="64" t="inlineStr">
        <is>
          <t>pais</t>
        </is>
      </c>
      <c r="C4" s="64" t="inlineStr">
        <is>
          <t>compania</t>
        </is>
      </c>
      <c r="D4" s="64" t="inlineStr">
        <is>
          <t>moneda</t>
        </is>
      </c>
      <c r="E4" s="64" t="inlineStr">
        <is>
          <t>escenario</t>
        </is>
      </c>
      <c r="F4" s="64" t="inlineStr">
        <is>
          <t>codigo_indicador</t>
        </is>
      </c>
      <c r="G4" s="64" t="inlineStr">
        <is>
          <t>segmento</t>
        </is>
      </c>
      <c r="H4" s="64" t="inlineStr">
        <is>
          <t>detalle</t>
        </is>
      </c>
      <c r="I4" s="64" t="inlineStr">
        <is>
          <t>valor</t>
        </is>
      </c>
      <c r="J4" s="64" t="inlineStr">
        <is>
          <t>unidad</t>
        </is>
      </c>
      <c r="K4" s="64" t="inlineStr">
        <is>
          <t>comentario</t>
        </is>
      </c>
      <c r="L4" s="64" t="inlineStr">
        <is>
          <t>area_responsable</t>
        </is>
      </c>
      <c r="M4" s="6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Finanzas — vista de solo lectura</t>
        </is>
      </c>
    </row>
    <row r="2" ht="15" customHeight="1" s="57">
      <c r="A2" s="31" t="inlineStr">
        <is>
          <t>Regenerada desde BD_Indicadores el 2026-07-13 · 186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s="4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  <c r="M5">
        <f>IFERROR(INDEX(Diccionario!$N:$N,MATCH(F1226,Diccionario!$C:$C,0)),"")</f>
        <v/>
      </c>
    </row>
    <row r="6" ht="15" customHeight="1" s="57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s="45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  <c r="M6">
        <f>IFERROR(INDEX(Diccionario!$N:$N,MATCH(F1229,Diccionario!$C:$C,0)),"")</f>
        <v/>
      </c>
    </row>
    <row r="7" ht="15" customHeight="1" s="5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s="45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  <c r="M7">
        <f>IFERROR(INDEX(Diccionario!$N:$N,MATCH(F1220,Diccionario!$C:$C,0)),"")</f>
        <v/>
      </c>
    </row>
    <row r="8" ht="15" customHeight="1" s="57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s="45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  <c r="M8">
        <f>IFERROR(INDEX(Diccionario!$N:$N,MATCH(F1223,Diccionario!$C:$C,0)),"")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s="34" t="n">
        <v>547000000</v>
      </c>
      <c r="J9" t="inlineStr">
        <is>
          <t>COP</t>
        </is>
      </c>
      <c r="L9" t="inlineStr">
        <is>
          <t>Finanzas</t>
        </is>
      </c>
      <c r="M9">
        <f>IFERROR(INDEX(Diccionario!$N:$N,MATCH(F5,Diccionario!$C:$C,0)),"")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s="34" t="n">
        <v>24800000</v>
      </c>
      <c r="J10" t="inlineStr">
        <is>
          <t>COP</t>
        </is>
      </c>
      <c r="L10" t="inlineStr">
        <is>
          <t>Finanzas</t>
        </is>
      </c>
      <c r="M10">
        <f>IFERROR(INDEX(Diccionario!$N:$N,MATCH(F1055,Diccionario!$C:$C,0)),"")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s="34" t="n">
        <v>393759551</v>
      </c>
      <c r="J11" t="inlineStr">
        <is>
          <t>COP</t>
        </is>
      </c>
      <c r="L11" t="inlineStr">
        <is>
          <t>Finanzas</t>
        </is>
      </c>
      <c r="M11">
        <f>IFERROR(INDEX(Diccionario!$N:$N,MATCH(F1026,Diccionario!$C:$C,0)),"")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s="34" t="n">
        <v>430000000</v>
      </c>
      <c r="J12" t="inlineStr">
        <is>
          <t>COP</t>
        </is>
      </c>
      <c r="L12" t="inlineStr">
        <is>
          <t>Finanzas</t>
        </is>
      </c>
      <c r="M12">
        <f>IFERROR(INDEX(Diccionario!$N:$N,MATCH(F4,Diccionario!$C:$C,0)),"")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s="34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  <c r="M13">
        <f>IFERROR(INDEX(Diccionario!$N:$N,MATCH(F6,Diccionario!$C:$C,0)),"")</f>
        <v/>
      </c>
    </row>
    <row r="14" ht="15" customHeight="1" s="57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s="34" t="n">
        <v>515000000</v>
      </c>
      <c r="J14" t="inlineStr">
        <is>
          <t>COP</t>
        </is>
      </c>
      <c r="L14" t="inlineStr">
        <is>
          <t>Finanzas</t>
        </is>
      </c>
      <c r="M14">
        <f>IFERROR(INDEX(Diccionario!$N:$N,MATCH(F8,Diccionario!$C:$C,0)),"")</f>
        <v/>
      </c>
    </row>
    <row r="15" ht="15" customHeight="1" s="57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s="34" t="n">
        <v>118729053</v>
      </c>
      <c r="J15" t="inlineStr">
        <is>
          <t>COP</t>
        </is>
      </c>
      <c r="L15" t="inlineStr">
        <is>
          <t>Finanzas</t>
        </is>
      </c>
      <c r="M15">
        <f>IFERROR(INDEX(Diccionario!$N:$N,MATCH(F1056,Diccionario!$C:$C,0)),"")</f>
        <v/>
      </c>
    </row>
    <row r="16" ht="15" customHeight="1" s="57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s="34" t="n">
        <v>546983304</v>
      </c>
      <c r="J16" t="inlineStr">
        <is>
          <t>COP</t>
        </is>
      </c>
      <c r="L16" t="inlineStr">
        <is>
          <t>Finanzas</t>
        </is>
      </c>
      <c r="M16">
        <f>IFERROR(INDEX(Diccionario!$N:$N,MATCH(F1027,Diccionario!$C:$C,0)),"")</f>
        <v/>
      </c>
    </row>
    <row r="17" ht="15" customHeight="1" s="5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s="34" t="n">
        <v>692000000</v>
      </c>
      <c r="J17" t="inlineStr">
        <is>
          <t>COP</t>
        </is>
      </c>
      <c r="L17" t="inlineStr">
        <is>
          <t>Finanzas</t>
        </is>
      </c>
      <c r="M17">
        <f>IFERROR(INDEX(Diccionario!$N:$N,MATCH(F7,Diccionario!$C:$C,0)),"")</f>
        <v/>
      </c>
    </row>
    <row r="18" ht="15" customHeight="1" s="57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s="34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  <c r="M18">
        <f>IFERROR(INDEX(Diccionario!$N:$N,MATCH(F9,Diccionario!$C:$C,0)),"")</f>
        <v/>
      </c>
    </row>
    <row r="19" ht="15" customHeight="1" s="57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s="34" t="n">
        <v>571000000</v>
      </c>
      <c r="J19" t="inlineStr">
        <is>
          <t>COP</t>
        </is>
      </c>
      <c r="L19" t="inlineStr">
        <is>
          <t>Finanzas</t>
        </is>
      </c>
      <c r="M19">
        <f>IFERROR(INDEX(Diccionario!$N:$N,MATCH(F11,Diccionario!$C:$C,0)),"")</f>
        <v/>
      </c>
    </row>
    <row r="20" ht="15" customHeight="1" s="57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s="34" t="n">
        <v>12750000</v>
      </c>
      <c r="J20" t="inlineStr">
        <is>
          <t>COP</t>
        </is>
      </c>
      <c r="L20" t="inlineStr">
        <is>
          <t>Finanzas</t>
        </is>
      </c>
      <c r="M20">
        <f>IFERROR(INDEX(Diccionario!$N:$N,MATCH(F1057,Diccionario!$C:$C,0)),"")</f>
        <v/>
      </c>
    </row>
    <row r="21" ht="15" customHeight="1" s="57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s="34" t="n">
        <v>543692148</v>
      </c>
      <c r="J21" t="inlineStr">
        <is>
          <t>COP</t>
        </is>
      </c>
      <c r="L21" t="inlineStr">
        <is>
          <t>Finanzas</t>
        </is>
      </c>
      <c r="M21">
        <f>IFERROR(INDEX(Diccionario!$N:$N,MATCH(F1028,Diccionario!$C:$C,0)),"")</f>
        <v/>
      </c>
    </row>
    <row r="22" ht="15" customHeight="1" s="57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s="34" t="n">
        <v>582000000</v>
      </c>
      <c r="J22" t="inlineStr">
        <is>
          <t>COP</t>
        </is>
      </c>
      <c r="L22" t="inlineStr">
        <is>
          <t>Finanzas</t>
        </is>
      </c>
      <c r="M22">
        <f>IFERROR(INDEX(Diccionario!$N:$N,MATCH(F10,Diccionario!$C:$C,0)),"")</f>
        <v/>
      </c>
    </row>
    <row r="23" ht="15" customHeight="1" s="57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s="34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  <c r="M23">
        <f>IFERROR(INDEX(Diccionario!$N:$N,MATCH(F12,Diccionario!$C:$C,0)),"")</f>
        <v/>
      </c>
    </row>
    <row r="24" ht="15" customHeight="1" s="57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s="34" t="n">
        <v>573000000</v>
      </c>
      <c r="J24" t="inlineStr">
        <is>
          <t>COP</t>
        </is>
      </c>
      <c r="L24" t="inlineStr">
        <is>
          <t>Finanzas</t>
        </is>
      </c>
      <c r="M24">
        <f>IFERROR(INDEX(Diccionario!$N:$N,MATCH(F14,Diccionario!$C:$C,0)),"")</f>
        <v/>
      </c>
    </row>
    <row r="25" ht="15" customHeight="1" s="57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s="34" t="n">
        <v>39644578</v>
      </c>
      <c r="J25" t="inlineStr">
        <is>
          <t>COP</t>
        </is>
      </c>
      <c r="L25" t="inlineStr">
        <is>
          <t>Finanzas</t>
        </is>
      </c>
      <c r="M25">
        <f>IFERROR(INDEX(Diccionario!$N:$N,MATCH(F1058,Diccionario!$C:$C,0)),"")</f>
        <v/>
      </c>
    </row>
    <row r="26" ht="15" customHeight="1" s="57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s="34" t="n">
        <v>529778177</v>
      </c>
      <c r="J26" t="inlineStr">
        <is>
          <t>COP</t>
        </is>
      </c>
      <c r="L26" t="inlineStr">
        <is>
          <t>Finanzas</t>
        </is>
      </c>
      <c r="M26">
        <f>IFERROR(INDEX(Diccionario!$N:$N,MATCH(F1029,Diccionario!$C:$C,0)),"")</f>
        <v/>
      </c>
    </row>
    <row r="27" ht="15" customHeight="1" s="5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s="34" t="n">
        <v>578000000</v>
      </c>
      <c r="J27" t="inlineStr">
        <is>
          <t>COP</t>
        </is>
      </c>
      <c r="L27" t="inlineStr">
        <is>
          <t>Finanzas</t>
        </is>
      </c>
      <c r="M27">
        <f>IFERROR(INDEX(Diccionario!$N:$N,MATCH(F13,Diccionario!$C:$C,0)),"")</f>
        <v/>
      </c>
    </row>
    <row r="28" ht="15" customHeight="1" s="57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s="34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  <c r="M28">
        <f>IFERROR(INDEX(Diccionario!$N:$N,MATCH(F15,Diccionario!$C:$C,0)),"")</f>
        <v/>
      </c>
    </row>
    <row r="29" ht="15" customHeight="1" s="57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s="34" t="n">
        <v>574000000</v>
      </c>
      <c r="J29" t="inlineStr">
        <is>
          <t>COP</t>
        </is>
      </c>
      <c r="L29" t="inlineStr">
        <is>
          <t>Finanzas</t>
        </is>
      </c>
      <c r="M29">
        <f>IFERROR(INDEX(Diccionario!$N:$N,MATCH(F17,Diccionario!$C:$C,0)),"")</f>
        <v/>
      </c>
    </row>
    <row r="30" ht="15" customHeight="1" s="57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s="34" t="n">
        <v>43120258</v>
      </c>
      <c r="J30" t="inlineStr">
        <is>
          <t>COP</t>
        </is>
      </c>
      <c r="L30" t="inlineStr">
        <is>
          <t>Finanzas</t>
        </is>
      </c>
      <c r="M30">
        <f>IFERROR(INDEX(Diccionario!$N:$N,MATCH(F1059,Diccionario!$C:$C,0)),"")</f>
        <v/>
      </c>
    </row>
    <row r="31" ht="15" customHeight="1" s="57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s="34" t="n">
        <v>605227323</v>
      </c>
      <c r="J31" t="inlineStr">
        <is>
          <t>COP</t>
        </is>
      </c>
      <c r="L31" t="inlineStr">
        <is>
          <t>Finanzas</t>
        </is>
      </c>
      <c r="M31">
        <f>IFERROR(INDEX(Diccionario!$N:$N,MATCH(F1030,Diccionario!$C:$C,0)),"")</f>
        <v/>
      </c>
    </row>
    <row r="32" ht="15" customHeight="1" s="57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s="34" t="n">
        <v>679000000</v>
      </c>
      <c r="J32" t="inlineStr">
        <is>
          <t>COP</t>
        </is>
      </c>
      <c r="L32" t="inlineStr">
        <is>
          <t>Finanzas</t>
        </is>
      </c>
      <c r="M32">
        <f>IFERROR(INDEX(Diccionario!$N:$N,MATCH(F16,Diccionario!$C:$C,0)),"")</f>
        <v/>
      </c>
    </row>
    <row r="33" ht="15" customHeight="1" s="57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s="34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  <c r="M33">
        <f>IFERROR(INDEX(Diccionario!$N:$N,MATCH(F18,Diccionario!$C:$C,0)),"")</f>
        <v/>
      </c>
    </row>
    <row r="34" ht="15" customHeight="1" s="57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s="34" t="n">
        <v>611000000</v>
      </c>
      <c r="J34" t="inlineStr">
        <is>
          <t>COP</t>
        </is>
      </c>
      <c r="L34" t="inlineStr">
        <is>
          <t>Finanzas</t>
        </is>
      </c>
      <c r="M34">
        <f>IFERROR(INDEX(Diccionario!$N:$N,MATCH(F20,Diccionario!$C:$C,0)),"")</f>
        <v/>
      </c>
    </row>
    <row r="35" ht="15" customHeight="1" s="57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s="34" t="n">
        <v>104205606</v>
      </c>
      <c r="J35" t="inlineStr">
        <is>
          <t>COP</t>
        </is>
      </c>
      <c r="L35" t="inlineStr">
        <is>
          <t>Finanzas</t>
        </is>
      </c>
      <c r="M35">
        <f>IFERROR(INDEX(Diccionario!$N:$N,MATCH(F1060,Diccionario!$C:$C,0)),"")</f>
        <v/>
      </c>
    </row>
    <row r="36" ht="15" customHeight="1" s="57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s="34" t="n">
        <v>547523725</v>
      </c>
      <c r="J36" t="inlineStr">
        <is>
          <t>COP</t>
        </is>
      </c>
      <c r="L36" t="inlineStr">
        <is>
          <t>Finanzas</t>
        </is>
      </c>
      <c r="M36">
        <f>IFERROR(INDEX(Diccionario!$N:$N,MATCH(F1031,Diccionario!$C:$C,0)),"")</f>
        <v/>
      </c>
    </row>
    <row r="37" ht="15" customHeight="1" s="5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s="34" t="n">
        <v>684000000</v>
      </c>
      <c r="J37" t="inlineStr">
        <is>
          <t>COP</t>
        </is>
      </c>
      <c r="L37" t="inlineStr">
        <is>
          <t>Finanzas</t>
        </is>
      </c>
      <c r="M37">
        <f>IFERROR(INDEX(Diccionario!$N:$N,MATCH(F19,Diccionario!$C:$C,0)),"")</f>
        <v/>
      </c>
    </row>
    <row r="38" ht="15" customHeight="1" s="57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s="34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  <c r="M38">
        <f>IFERROR(INDEX(Diccionario!$N:$N,MATCH(F21,Diccionario!$C:$C,0)),"")</f>
        <v/>
      </c>
    </row>
    <row r="39" ht="15" customHeight="1" s="57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s="34" t="n">
        <v>555000000</v>
      </c>
      <c r="J39" t="inlineStr">
        <is>
          <t>COP</t>
        </is>
      </c>
      <c r="L39" t="inlineStr">
        <is>
          <t>Finanzas</t>
        </is>
      </c>
      <c r="M39">
        <f>IFERROR(INDEX(Diccionario!$N:$N,MATCH(F23,Diccionario!$C:$C,0)),"")</f>
        <v/>
      </c>
    </row>
    <row r="40" ht="15" customHeight="1" s="57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s="34" t="n">
        <v>38194640</v>
      </c>
      <c r="J40" t="inlineStr">
        <is>
          <t>COP</t>
        </is>
      </c>
      <c r="L40" t="inlineStr">
        <is>
          <t>Finanzas</t>
        </is>
      </c>
      <c r="M40">
        <f>IFERROR(INDEX(Diccionario!$N:$N,MATCH(F1061,Diccionario!$C:$C,0)),"")</f>
        <v/>
      </c>
    </row>
    <row r="41" ht="15" customHeight="1" s="57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s="34" t="n">
        <v>578363325</v>
      </c>
      <c r="J41" t="inlineStr">
        <is>
          <t>COP</t>
        </is>
      </c>
      <c r="L41" t="inlineStr">
        <is>
          <t>Finanzas</t>
        </is>
      </c>
      <c r="M41">
        <f>IFERROR(INDEX(Diccionario!$N:$N,MATCH(F1032,Diccionario!$C:$C,0)),"")</f>
        <v/>
      </c>
    </row>
    <row r="42" ht="15" customHeight="1" s="57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s="34" t="n">
        <v>642000000</v>
      </c>
      <c r="J42" t="inlineStr">
        <is>
          <t>COP</t>
        </is>
      </c>
      <c r="L42" t="inlineStr">
        <is>
          <t>Finanzas</t>
        </is>
      </c>
      <c r="M42">
        <f>IFERROR(INDEX(Diccionario!$N:$N,MATCH(F22,Diccionario!$C:$C,0)),"")</f>
        <v/>
      </c>
    </row>
    <row r="43" ht="15" customHeight="1" s="57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s="34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  <c r="M43">
        <f>IFERROR(INDEX(Diccionario!$N:$N,MATCH(F24,Diccionario!$C:$C,0)),"")</f>
        <v/>
      </c>
    </row>
    <row r="44" ht="15" customHeight="1" s="57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s="34" t="n">
        <v>638000000</v>
      </c>
      <c r="J44" t="inlineStr">
        <is>
          <t>COP</t>
        </is>
      </c>
      <c r="L44" t="inlineStr">
        <is>
          <t>Finanzas</t>
        </is>
      </c>
      <c r="M44">
        <f>IFERROR(INDEX(Diccionario!$N:$N,MATCH(F26,Diccionario!$C:$C,0)),"")</f>
        <v/>
      </c>
    </row>
    <row r="45" ht="15" customHeight="1" s="57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s="34" t="n">
        <v>39148433</v>
      </c>
      <c r="J45" t="inlineStr">
        <is>
          <t>COP</t>
        </is>
      </c>
      <c r="L45" t="inlineStr">
        <is>
          <t>Finanzas</t>
        </is>
      </c>
      <c r="M45">
        <f>IFERROR(INDEX(Diccionario!$N:$N,MATCH(F1062,Diccionario!$C:$C,0)),"")</f>
        <v/>
      </c>
    </row>
    <row r="46" ht="15" customHeight="1" s="57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s="34" t="n">
        <v>602616989</v>
      </c>
      <c r="J46" t="inlineStr">
        <is>
          <t>COP</t>
        </is>
      </c>
      <c r="L46" t="inlineStr">
        <is>
          <t>Finanzas</t>
        </is>
      </c>
      <c r="M46">
        <f>IFERROR(INDEX(Diccionario!$N:$N,MATCH(F1033,Diccionario!$C:$C,0)),"")</f>
        <v/>
      </c>
    </row>
    <row r="47" ht="15" customHeight="1" s="5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s="34" t="n">
        <v>675000000</v>
      </c>
      <c r="J47" t="inlineStr">
        <is>
          <t>COP</t>
        </is>
      </c>
      <c r="L47" t="inlineStr">
        <is>
          <t>Finanzas</t>
        </is>
      </c>
      <c r="M47">
        <f>IFERROR(INDEX(Diccionario!$N:$N,MATCH(F25,Diccionario!$C:$C,0)),"")</f>
        <v/>
      </c>
    </row>
    <row r="48" ht="15" customHeight="1" s="57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s="34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  <c r="M48">
        <f>IFERROR(INDEX(Diccionario!$N:$N,MATCH(F27,Diccionario!$C:$C,0)),"")</f>
        <v/>
      </c>
    </row>
    <row r="49" ht="15" customHeight="1" s="57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s="34" t="n">
        <v>679000000</v>
      </c>
      <c r="J49" t="inlineStr">
        <is>
          <t>COP</t>
        </is>
      </c>
      <c r="L49" t="inlineStr">
        <is>
          <t>Finanzas</t>
        </is>
      </c>
      <c r="M49">
        <f>IFERROR(INDEX(Diccionario!$N:$N,MATCH(F29,Diccionario!$C:$C,0)),"")</f>
        <v/>
      </c>
    </row>
    <row r="50" ht="15" customHeight="1" s="57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s="34" t="n">
        <v>38448771</v>
      </c>
      <c r="J50" t="inlineStr">
        <is>
          <t>COP</t>
        </is>
      </c>
      <c r="L50" t="inlineStr">
        <is>
          <t>Finanzas</t>
        </is>
      </c>
      <c r="M50">
        <f>IFERROR(INDEX(Diccionario!$N:$N,MATCH(F1063,Diccionario!$C:$C,0)),"")</f>
        <v/>
      </c>
    </row>
    <row r="51" ht="15" customHeight="1" s="57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s="34" t="n">
        <v>594469220</v>
      </c>
      <c r="J51" t="inlineStr">
        <is>
          <t>COP</t>
        </is>
      </c>
      <c r="L51" t="inlineStr">
        <is>
          <t>Finanzas</t>
        </is>
      </c>
      <c r="M51">
        <f>IFERROR(INDEX(Diccionario!$N:$N,MATCH(F1034,Diccionario!$C:$C,0)),"")</f>
        <v/>
      </c>
    </row>
    <row r="52" ht="15" customHeight="1" s="57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s="34" t="n">
        <v>663000000</v>
      </c>
      <c r="J52" t="inlineStr">
        <is>
          <t>COP</t>
        </is>
      </c>
      <c r="L52" t="inlineStr">
        <is>
          <t>Finanzas</t>
        </is>
      </c>
      <c r="M52">
        <f>IFERROR(INDEX(Diccionario!$N:$N,MATCH(F28,Diccionario!$C:$C,0)),"")</f>
        <v/>
      </c>
    </row>
    <row r="53" ht="15" customHeight="1" s="57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s="34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  <c r="M53">
        <f>IFERROR(INDEX(Diccionario!$N:$N,MATCH(F30,Diccionario!$C:$C,0)),"")</f>
        <v/>
      </c>
    </row>
    <row r="54" ht="15" customHeight="1" s="57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s="34" t="n">
        <v>716000000</v>
      </c>
      <c r="J54" t="inlineStr">
        <is>
          <t>COP</t>
        </is>
      </c>
      <c r="L54" t="inlineStr">
        <is>
          <t>Finanzas</t>
        </is>
      </c>
      <c r="M54">
        <f>IFERROR(INDEX(Diccionario!$N:$N,MATCH(F32,Diccionario!$C:$C,0)),"")</f>
        <v/>
      </c>
    </row>
    <row r="55" ht="15" customHeight="1" s="57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s="34" t="n">
        <v>17301320</v>
      </c>
      <c r="J55" t="inlineStr">
        <is>
          <t>COP</t>
        </is>
      </c>
      <c r="L55" t="inlineStr">
        <is>
          <t>Finanzas</t>
        </is>
      </c>
      <c r="M55">
        <f>IFERROR(INDEX(Diccionario!$N:$N,MATCH(F1064,Diccionario!$C:$C,0)),"")</f>
        <v/>
      </c>
    </row>
    <row r="56" ht="15" customHeight="1" s="57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s="34" t="n">
        <v>627068547</v>
      </c>
      <c r="J56" t="inlineStr">
        <is>
          <t>COP</t>
        </is>
      </c>
      <c r="L56" t="inlineStr">
        <is>
          <t>Finanzas</t>
        </is>
      </c>
      <c r="M56">
        <f>IFERROR(INDEX(Diccionario!$N:$N,MATCH(F1035,Diccionario!$C:$C,0)),"")</f>
        <v/>
      </c>
    </row>
    <row r="57" ht="15" customHeight="1" s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s="34" t="n">
        <v>672000000</v>
      </c>
      <c r="J57" t="inlineStr">
        <is>
          <t>COP</t>
        </is>
      </c>
      <c r="L57" t="inlineStr">
        <is>
          <t>Finanzas</t>
        </is>
      </c>
      <c r="M57">
        <f>IFERROR(INDEX(Diccionario!$N:$N,MATCH(F31,Diccionario!$C:$C,0)),"")</f>
        <v/>
      </c>
    </row>
    <row r="58" ht="15" customHeight="1" s="57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s="34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  <c r="M58">
        <f>IFERROR(INDEX(Diccionario!$N:$N,MATCH(F33,Diccionario!$C:$C,0)),"")</f>
        <v/>
      </c>
    </row>
    <row r="59" ht="15" customHeight="1" s="57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s="34" t="n">
        <v>740000000</v>
      </c>
      <c r="J59" t="inlineStr">
        <is>
          <t>COP</t>
        </is>
      </c>
      <c r="L59" t="inlineStr">
        <is>
          <t>Finanzas</t>
        </is>
      </c>
      <c r="M59">
        <f>IFERROR(INDEX(Diccionario!$N:$N,MATCH(F35,Diccionario!$C:$C,0)),"")</f>
        <v/>
      </c>
    </row>
    <row r="60" ht="15" customHeight="1" s="57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s="34" t="n">
        <v>25645918</v>
      </c>
      <c r="J60" t="inlineStr">
        <is>
          <t>COP</t>
        </is>
      </c>
      <c r="L60" t="inlineStr">
        <is>
          <t>Finanzas</t>
        </is>
      </c>
      <c r="M60">
        <f>IFERROR(INDEX(Diccionario!$N:$N,MATCH(F1065,Diccionario!$C:$C,0)),"")</f>
        <v/>
      </c>
    </row>
    <row r="61" ht="15" customHeight="1" s="57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s="34" t="n">
        <v>702199047</v>
      </c>
      <c r="J61" t="inlineStr">
        <is>
          <t>COP</t>
        </is>
      </c>
      <c r="L61" t="inlineStr">
        <is>
          <t>Finanzas</t>
        </is>
      </c>
      <c r="M61">
        <f>IFERROR(INDEX(Diccionario!$N:$N,MATCH(F1036,Diccionario!$C:$C,0)),"")</f>
        <v/>
      </c>
    </row>
    <row r="62" ht="15" customHeight="1" s="57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s="34" t="n">
        <v>761000000</v>
      </c>
      <c r="J62" t="inlineStr">
        <is>
          <t>COP</t>
        </is>
      </c>
      <c r="L62" t="inlineStr">
        <is>
          <t>Finanzas</t>
        </is>
      </c>
      <c r="M62">
        <f>IFERROR(INDEX(Diccionario!$N:$N,MATCH(F34,Diccionario!$C:$C,0)),"")</f>
        <v/>
      </c>
    </row>
    <row r="63" ht="15" customHeight="1" s="57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s="34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  <c r="M63">
        <f>IFERROR(INDEX(Diccionario!$N:$N,MATCH(F36,Diccionario!$C:$C,0)),"")</f>
        <v/>
      </c>
    </row>
    <row r="64" ht="15" customHeight="1" s="57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s="34" t="n">
        <v>810000000</v>
      </c>
      <c r="J64" t="inlineStr">
        <is>
          <t>COP</t>
        </is>
      </c>
      <c r="L64" t="inlineStr">
        <is>
          <t>Finanzas</t>
        </is>
      </c>
      <c r="M64">
        <f>IFERROR(INDEX(Diccionario!$N:$N,MATCH(F38,Diccionario!$C:$C,0)),"")</f>
        <v/>
      </c>
    </row>
    <row r="65" ht="15" customHeight="1" s="57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s="34" t="n">
        <v>252667553</v>
      </c>
      <c r="J65" t="inlineStr">
        <is>
          <t>COP</t>
        </is>
      </c>
      <c r="L65" t="inlineStr">
        <is>
          <t>Finanzas</t>
        </is>
      </c>
      <c r="M65">
        <f>IFERROR(INDEX(Diccionario!$N:$N,MATCH(F1066,Diccionario!$C:$C,0)),"")</f>
        <v/>
      </c>
    </row>
    <row r="66" ht="15" customHeight="1" s="57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s="34" t="n">
        <v>895000000</v>
      </c>
      <c r="J66" t="inlineStr">
        <is>
          <t>COP</t>
        </is>
      </c>
      <c r="L66" t="inlineStr">
        <is>
          <t>Finanzas</t>
        </is>
      </c>
      <c r="M66">
        <f>IFERROR(INDEX(Diccionario!$N:$N,MATCH(F1037,Diccionario!$C:$C,0)),"")</f>
        <v/>
      </c>
    </row>
    <row r="67" ht="15" customHeight="1" s="5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s="34" t="n">
        <v>1279000000</v>
      </c>
      <c r="J67" t="inlineStr">
        <is>
          <t>COP</t>
        </is>
      </c>
      <c r="L67" t="inlineStr">
        <is>
          <t>Finanzas</t>
        </is>
      </c>
      <c r="M67">
        <f>IFERROR(INDEX(Diccionario!$N:$N,MATCH(F37,Diccionario!$C:$C,0)),"")</f>
        <v/>
      </c>
    </row>
    <row r="68" ht="15" customHeight="1" s="57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s="34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  <c r="M68">
        <f>IFERROR(INDEX(Diccionario!$N:$N,MATCH(F39,Diccionario!$C:$C,0)),"")</f>
        <v/>
      </c>
    </row>
    <row r="69" ht="15" customHeight="1" s="57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s="34" t="n">
        <v>694000000</v>
      </c>
      <c r="J69" t="inlineStr">
        <is>
          <t>COP</t>
        </is>
      </c>
      <c r="L69" t="inlineStr">
        <is>
          <t>Finanzas</t>
        </is>
      </c>
      <c r="M69">
        <f>IFERROR(INDEX(Diccionario!$N:$N,MATCH(F41,Diccionario!$C:$C,0)),"")</f>
        <v/>
      </c>
    </row>
    <row r="70" ht="15" customHeight="1" s="57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s="34" t="n">
        <v>5800000</v>
      </c>
      <c r="J70" t="inlineStr">
        <is>
          <t>COP</t>
        </is>
      </c>
      <c r="L70" t="inlineStr">
        <is>
          <t>Finanzas</t>
        </is>
      </c>
      <c r="M70">
        <f>IFERROR(INDEX(Diccionario!$N:$N,MATCH(F1067,Diccionario!$C:$C,0)),"")</f>
        <v/>
      </c>
    </row>
    <row r="71" ht="15" customHeight="1" s="57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s="34" t="n">
        <v>507300096</v>
      </c>
      <c r="J71" t="inlineStr">
        <is>
          <t>COP</t>
        </is>
      </c>
      <c r="L71" t="inlineStr">
        <is>
          <t>Finanzas</t>
        </is>
      </c>
      <c r="M71">
        <f>IFERROR(INDEX(Diccionario!$N:$N,MATCH(F1038,Diccionario!$C:$C,0)),"")</f>
        <v/>
      </c>
    </row>
    <row r="72" ht="15" customHeight="1" s="57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s="34" t="n">
        <v>504000000</v>
      </c>
      <c r="J72" t="inlineStr">
        <is>
          <t>COP</t>
        </is>
      </c>
      <c r="L72" t="inlineStr">
        <is>
          <t>Finanzas</t>
        </is>
      </c>
      <c r="M72">
        <f>IFERROR(INDEX(Diccionario!$N:$N,MATCH(F40,Diccionario!$C:$C,0)),"")</f>
        <v/>
      </c>
    </row>
    <row r="73" ht="15" customHeight="1" s="57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s="34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  <c r="M73">
        <f>IFERROR(INDEX(Diccionario!$N:$N,MATCH(F42,Diccionario!$C:$C,0)),"")</f>
        <v/>
      </c>
    </row>
    <row r="74" ht="15" customHeight="1" s="57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s="34" t="n">
        <v>688000000</v>
      </c>
      <c r="J74" t="inlineStr">
        <is>
          <t>COP</t>
        </is>
      </c>
      <c r="L74" t="inlineStr">
        <is>
          <t>Finanzas</t>
        </is>
      </c>
      <c r="M74">
        <f>IFERROR(INDEX(Diccionario!$N:$N,MATCH(F44,Diccionario!$C:$C,0)),"")</f>
        <v/>
      </c>
    </row>
    <row r="75" ht="15" customHeight="1" s="57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s="34" t="n">
        <v>0</v>
      </c>
      <c r="J75" t="inlineStr">
        <is>
          <t>COP</t>
        </is>
      </c>
      <c r="L75" t="inlineStr">
        <is>
          <t>Finanzas</t>
        </is>
      </c>
      <c r="M75">
        <f>IFERROR(INDEX(Diccionario!$N:$N,MATCH(F1068,Diccionario!$C:$C,0)),"")</f>
        <v/>
      </c>
    </row>
    <row r="76" ht="15" customHeight="1" s="57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s="34" t="n">
        <v>571613281</v>
      </c>
      <c r="J76" t="inlineStr">
        <is>
          <t>COP</t>
        </is>
      </c>
      <c r="L76" t="inlineStr">
        <is>
          <t>Finanzas</t>
        </is>
      </c>
      <c r="M76">
        <f>IFERROR(INDEX(Diccionario!$N:$N,MATCH(F1039,Diccionario!$C:$C,0)),"")</f>
        <v/>
      </c>
    </row>
    <row r="77" ht="15" customHeight="1" s="5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s="34" t="n">
        <v>564000000</v>
      </c>
      <c r="J77" t="inlineStr">
        <is>
          <t>COP</t>
        </is>
      </c>
      <c r="L77" t="inlineStr">
        <is>
          <t>Finanzas</t>
        </is>
      </c>
      <c r="M77">
        <f>IFERROR(INDEX(Diccionario!$N:$N,MATCH(F43,Diccionario!$C:$C,0)),"")</f>
        <v/>
      </c>
    </row>
    <row r="78" ht="15" customHeight="1" s="57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s="34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  <c r="M78">
        <f>IFERROR(INDEX(Diccionario!$N:$N,MATCH(F45,Diccionario!$C:$C,0)),"")</f>
        <v/>
      </c>
    </row>
    <row r="79" ht="15" customHeight="1" s="57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s="34" t="n">
        <v>809000000</v>
      </c>
      <c r="J79" t="inlineStr">
        <is>
          <t>COP</t>
        </is>
      </c>
      <c r="L79" t="inlineStr">
        <is>
          <t>Finanzas</t>
        </is>
      </c>
      <c r="M79">
        <f>IFERROR(INDEX(Diccionario!$N:$N,MATCH(F47,Diccionario!$C:$C,0)),"")</f>
        <v/>
      </c>
    </row>
    <row r="80" ht="15" customHeight="1" s="57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s="34" t="n">
        <v>2546881</v>
      </c>
      <c r="J80" t="inlineStr">
        <is>
          <t>COP</t>
        </is>
      </c>
      <c r="L80" t="inlineStr">
        <is>
          <t>Finanzas</t>
        </is>
      </c>
      <c r="M80">
        <f>IFERROR(INDEX(Diccionario!$N:$N,MATCH(F1069,Diccionario!$C:$C,0)),"")</f>
        <v/>
      </c>
    </row>
    <row r="81" ht="15" customHeight="1" s="57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s="34" t="n">
        <v>674275375</v>
      </c>
      <c r="J81" t="inlineStr">
        <is>
          <t>COP</t>
        </is>
      </c>
      <c r="L81" t="inlineStr">
        <is>
          <t>Finanzas</t>
        </is>
      </c>
      <c r="M81">
        <f>IFERROR(INDEX(Diccionario!$N:$N,MATCH(F1040,Diccionario!$C:$C,0)),"")</f>
        <v/>
      </c>
    </row>
    <row r="82" ht="15" customHeight="1" s="57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s="34" t="n">
        <v>695000000</v>
      </c>
      <c r="J82" t="inlineStr">
        <is>
          <t>COP</t>
        </is>
      </c>
      <c r="L82" t="inlineStr">
        <is>
          <t>Finanzas</t>
        </is>
      </c>
      <c r="M82">
        <f>IFERROR(INDEX(Diccionario!$N:$N,MATCH(F46,Diccionario!$C:$C,0)),"")</f>
        <v/>
      </c>
    </row>
    <row r="83" ht="15" customHeight="1" s="57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s="34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  <c r="M83">
        <f>IFERROR(INDEX(Diccionario!$N:$N,MATCH(F48,Diccionario!$C:$C,0)),"")</f>
        <v/>
      </c>
    </row>
    <row r="84" ht="15" customHeight="1" s="57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s="34" t="n">
        <v>766600000</v>
      </c>
      <c r="J84" t="inlineStr">
        <is>
          <t>COP</t>
        </is>
      </c>
      <c r="L84" t="inlineStr">
        <is>
          <t>Finanzas</t>
        </is>
      </c>
      <c r="M84">
        <f>IFERROR(INDEX(Diccionario!$N:$N,MATCH(F50,Diccionario!$C:$C,0)),"")</f>
        <v/>
      </c>
    </row>
    <row r="85" ht="15" customHeight="1" s="57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s="34" t="n">
        <v>2546881</v>
      </c>
      <c r="J85" t="inlineStr">
        <is>
          <t>COP</t>
        </is>
      </c>
      <c r="L85" t="inlineStr">
        <is>
          <t>Finanzas</t>
        </is>
      </c>
      <c r="M85">
        <f>IFERROR(INDEX(Diccionario!$N:$N,MATCH(F1070,Diccionario!$C:$C,0)),"")</f>
        <v/>
      </c>
    </row>
    <row r="86" ht="15" customHeight="1" s="57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s="34" t="n">
        <v>583911889</v>
      </c>
      <c r="J86" t="inlineStr">
        <is>
          <t>COP</t>
        </is>
      </c>
      <c r="L86" t="inlineStr">
        <is>
          <t>Finanzas</t>
        </is>
      </c>
      <c r="M86">
        <f>IFERROR(INDEX(Diccionario!$N:$N,MATCH(F1041,Diccionario!$C:$C,0)),"")</f>
        <v/>
      </c>
    </row>
    <row r="87" ht="15" customHeight="1" s="5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s="34" t="n">
        <v>578000000</v>
      </c>
      <c r="J87" t="inlineStr">
        <is>
          <t>COP</t>
        </is>
      </c>
      <c r="L87" t="inlineStr">
        <is>
          <t>Finanzas</t>
        </is>
      </c>
      <c r="M87">
        <f>IFERROR(INDEX(Diccionario!$N:$N,MATCH(F49,Diccionario!$C:$C,0)),"")</f>
        <v/>
      </c>
    </row>
    <row r="88" ht="15" customHeight="1" s="57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s="34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  <c r="M88">
        <f>IFERROR(INDEX(Diccionario!$N:$N,MATCH(F51,Diccionario!$C:$C,0)),"")</f>
        <v/>
      </c>
    </row>
    <row r="89" ht="15" customHeight="1" s="57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s="34" t="n">
        <v>729000000</v>
      </c>
      <c r="J89" t="inlineStr">
        <is>
          <t>COP</t>
        </is>
      </c>
      <c r="L89" t="inlineStr">
        <is>
          <t>Finanzas</t>
        </is>
      </c>
      <c r="M89">
        <f>IFERROR(INDEX(Diccionario!$N:$N,MATCH(F53,Diccionario!$C:$C,0)),"")</f>
        <v/>
      </c>
    </row>
    <row r="90" ht="15" customHeight="1" s="57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s="34" t="n">
        <v>26543424</v>
      </c>
      <c r="J90" t="inlineStr">
        <is>
          <t>COP</t>
        </is>
      </c>
      <c r="L90" t="inlineStr">
        <is>
          <t>Finanzas</t>
        </is>
      </c>
      <c r="M90">
        <f>IFERROR(INDEX(Diccionario!$N:$N,MATCH(F1071,Diccionario!$C:$C,0)),"")</f>
        <v/>
      </c>
    </row>
    <row r="91" ht="15" customHeight="1" s="57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s="34" t="n">
        <v>697602788</v>
      </c>
      <c r="J91" t="inlineStr">
        <is>
          <t>COP</t>
        </is>
      </c>
      <c r="L91" t="inlineStr">
        <is>
          <t>Finanzas</t>
        </is>
      </c>
      <c r="M91">
        <f>IFERROR(INDEX(Diccionario!$N:$N,MATCH(F1042,Diccionario!$C:$C,0)),"")</f>
        <v/>
      </c>
    </row>
    <row r="92" ht="15" customHeight="1" s="57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s="34" t="n">
        <v>716000000</v>
      </c>
      <c r="J92" t="inlineStr">
        <is>
          <t>COP</t>
        </is>
      </c>
      <c r="L92" t="inlineStr">
        <is>
          <t>Finanzas</t>
        </is>
      </c>
      <c r="M92">
        <f>IFERROR(INDEX(Diccionario!$N:$N,MATCH(F52,Diccionario!$C:$C,0)),"")</f>
        <v/>
      </c>
    </row>
    <row r="93" ht="15" customHeight="1" s="57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s="34" t="n">
        <v>780829403</v>
      </c>
      <c r="J93" t="inlineStr">
        <is>
          <t>COP</t>
        </is>
      </c>
      <c r="L93" t="inlineStr">
        <is>
          <t>Finanzas</t>
        </is>
      </c>
      <c r="M93">
        <f>IFERROR(INDEX(Diccionario!$N:$N,MATCH(F1152,Diccionario!$C:$C,0)),"")</f>
        <v/>
      </c>
    </row>
    <row r="94" ht="15" customHeight="1" s="57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s="3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  <c r="M94">
        <f>IFERROR(INDEX(Diccionario!$N:$N,MATCH(F54,Diccionario!$C:$C,0)),"")</f>
        <v/>
      </c>
    </row>
    <row r="95" ht="15" customHeight="1" s="57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s="34" t="n">
        <v>154028000</v>
      </c>
      <c r="J95" t="inlineStr">
        <is>
          <t>COP</t>
        </is>
      </c>
      <c r="L95" t="inlineStr">
        <is>
          <t>Finanzas</t>
        </is>
      </c>
      <c r="M95">
        <f>IFERROR(INDEX(Diccionario!$N:$N,MATCH(F91,Diccionario!$C:$C,0)),"")</f>
        <v/>
      </c>
    </row>
    <row r="96" ht="15" customHeight="1" s="57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s="34" t="n">
        <v>636000000</v>
      </c>
      <c r="J96" t="inlineStr">
        <is>
          <t>COP</t>
        </is>
      </c>
      <c r="L96" t="inlineStr">
        <is>
          <t>Finanzas</t>
        </is>
      </c>
      <c r="M96">
        <f>IFERROR(INDEX(Diccionario!$N:$N,MATCH(F56,Diccionario!$C:$C,0)),"")</f>
        <v/>
      </c>
    </row>
    <row r="97" ht="15" customHeight="1" s="5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s="34" t="n">
        <v>21130000</v>
      </c>
      <c r="J97" t="inlineStr">
        <is>
          <t>COP</t>
        </is>
      </c>
      <c r="L97" t="inlineStr">
        <is>
          <t>Finanzas</t>
        </is>
      </c>
      <c r="M97">
        <f>IFERROR(INDEX(Diccionario!$N:$N,MATCH(F1072,Diccionario!$C:$C,0)),"")</f>
        <v/>
      </c>
    </row>
    <row r="98" ht="15" customHeight="1" s="57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s="34" t="n">
        <v>589403143</v>
      </c>
      <c r="J98" t="inlineStr">
        <is>
          <t>COP</t>
        </is>
      </c>
      <c r="L98" t="inlineStr">
        <is>
          <t>Finanzas</t>
        </is>
      </c>
      <c r="M98">
        <f>IFERROR(INDEX(Diccionario!$N:$N,MATCH(F1043,Diccionario!$C:$C,0)),"")</f>
        <v/>
      </c>
    </row>
    <row r="99" ht="15" customHeight="1" s="57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s="34" t="n">
        <v>610000000</v>
      </c>
      <c r="J99" t="inlineStr">
        <is>
          <t>COP</t>
        </is>
      </c>
      <c r="L99" t="inlineStr">
        <is>
          <t>Finanzas</t>
        </is>
      </c>
      <c r="M99">
        <f>IFERROR(INDEX(Diccionario!$N:$N,MATCH(F55,Diccionario!$C:$C,0)),"")</f>
        <v/>
      </c>
    </row>
    <row r="100" ht="15" customHeight="1" s="57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s="34" t="n">
        <v>689843197</v>
      </c>
      <c r="J100" t="inlineStr">
        <is>
          <t>COP</t>
        </is>
      </c>
      <c r="L100" t="inlineStr">
        <is>
          <t>Finanzas</t>
        </is>
      </c>
      <c r="M100">
        <f>IFERROR(INDEX(Diccionario!$N:$N,MATCH(F1153,Diccionario!$C:$C,0)),"")</f>
        <v/>
      </c>
    </row>
    <row r="101" ht="15" customHeight="1" s="57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s="34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  <c r="M101">
        <f>IFERROR(INDEX(Diccionario!$N:$N,MATCH(F57,Diccionario!$C:$C,0)),"")</f>
        <v/>
      </c>
    </row>
    <row r="102" ht="15" customHeight="1" s="57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s="34" t="n">
        <v>210623000</v>
      </c>
      <c r="J102" t="inlineStr">
        <is>
          <t>COP</t>
        </is>
      </c>
      <c r="L102" t="inlineStr">
        <is>
          <t>Finanzas</t>
        </is>
      </c>
      <c r="M102">
        <f>IFERROR(INDEX(Diccionario!$N:$N,MATCH(F92,Diccionario!$C:$C,0)),"")</f>
        <v/>
      </c>
    </row>
    <row r="103" ht="15" customHeight="1" s="57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s="34" t="n">
        <v>884000000</v>
      </c>
      <c r="J103" t="inlineStr">
        <is>
          <t>COP</t>
        </is>
      </c>
      <c r="L103" t="inlineStr">
        <is>
          <t>Finanzas</t>
        </is>
      </c>
      <c r="M103">
        <f>IFERROR(INDEX(Diccionario!$N:$N,MATCH(F59,Diccionario!$C:$C,0)),"")</f>
        <v/>
      </c>
    </row>
    <row r="104" ht="15" customHeight="1" s="57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s="34" t="n">
        <v>27206633</v>
      </c>
      <c r="J104" t="inlineStr">
        <is>
          <t>COP</t>
        </is>
      </c>
      <c r="L104" t="inlineStr">
        <is>
          <t>Finanzas</t>
        </is>
      </c>
      <c r="M104">
        <f>IFERROR(INDEX(Diccionario!$N:$N,MATCH(F1073,Diccionario!$C:$C,0)),"")</f>
        <v/>
      </c>
    </row>
    <row r="105" ht="15" customHeight="1" s="57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s="34" t="n">
        <v>641951176</v>
      </c>
      <c r="J105" t="inlineStr">
        <is>
          <t>COP</t>
        </is>
      </c>
      <c r="L105" t="inlineStr">
        <is>
          <t>Finanzas</t>
        </is>
      </c>
      <c r="M105">
        <f>IFERROR(INDEX(Diccionario!$N:$N,MATCH(F1044,Diccionario!$C:$C,0)),"")</f>
        <v/>
      </c>
    </row>
    <row r="106" ht="15" customHeight="1" s="57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s="34" t="n">
        <v>648000000</v>
      </c>
      <c r="J106" t="inlineStr">
        <is>
          <t>COP</t>
        </is>
      </c>
      <c r="L106" t="inlineStr">
        <is>
          <t>Finanzas</t>
        </is>
      </c>
      <c r="M106">
        <f>IFERROR(INDEX(Diccionario!$N:$N,MATCH(F58,Diccionario!$C:$C,0)),"")</f>
        <v/>
      </c>
    </row>
    <row r="107" ht="15" customHeight="1" s="5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s="34" t="n">
        <v>698445595</v>
      </c>
      <c r="J107" t="inlineStr">
        <is>
          <t>COP</t>
        </is>
      </c>
      <c r="L107" t="inlineStr">
        <is>
          <t>Finanzas</t>
        </is>
      </c>
      <c r="M107">
        <f>IFERROR(INDEX(Diccionario!$N:$N,MATCH(F1154,Diccionario!$C:$C,0)),"")</f>
        <v/>
      </c>
    </row>
    <row r="108" ht="15" customHeight="1" s="57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s="34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  <c r="M108">
        <f>IFERROR(INDEX(Diccionario!$N:$N,MATCH(F60,Diccionario!$C:$C,0)),"")</f>
        <v/>
      </c>
    </row>
    <row r="109" ht="15" customHeight="1" s="57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s="34" t="n">
        <v>219976000</v>
      </c>
      <c r="J109" t="inlineStr">
        <is>
          <t>COP</t>
        </is>
      </c>
      <c r="L109" t="inlineStr">
        <is>
          <t>Finanzas</t>
        </is>
      </c>
      <c r="M109">
        <f>IFERROR(INDEX(Diccionario!$N:$N,MATCH(F93,Diccionario!$C:$C,0)),"")</f>
        <v/>
      </c>
    </row>
    <row r="110" ht="15" customHeight="1" s="57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s="34" t="n">
        <v>673000000</v>
      </c>
      <c r="J110" t="inlineStr">
        <is>
          <t>COP</t>
        </is>
      </c>
      <c r="L110" t="inlineStr">
        <is>
          <t>Finanzas</t>
        </is>
      </c>
      <c r="M110">
        <f>IFERROR(INDEX(Diccionario!$N:$N,MATCH(F62,Diccionario!$C:$C,0)),"")</f>
        <v/>
      </c>
    </row>
    <row r="111" ht="15" customHeight="1" s="57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s="34" t="n">
        <v>30397673</v>
      </c>
      <c r="J111" t="inlineStr">
        <is>
          <t>COP</t>
        </is>
      </c>
      <c r="L111" t="inlineStr">
        <is>
          <t>Finanzas</t>
        </is>
      </c>
      <c r="M111">
        <f>IFERROR(INDEX(Diccionario!$N:$N,MATCH(F1074,Diccionario!$C:$C,0)),"")</f>
        <v/>
      </c>
    </row>
    <row r="112" ht="15" customHeight="1" s="57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s="34" t="n">
        <v>631848159</v>
      </c>
      <c r="J112" t="inlineStr">
        <is>
          <t>COP</t>
        </is>
      </c>
      <c r="L112" t="inlineStr">
        <is>
          <t>Finanzas</t>
        </is>
      </c>
      <c r="M112">
        <f>IFERROR(INDEX(Diccionario!$N:$N,MATCH(F1045,Diccionario!$C:$C,0)),"")</f>
        <v/>
      </c>
    </row>
    <row r="113" ht="15" customHeight="1" s="57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s="34" t="n">
        <v>634000000</v>
      </c>
      <c r="J113" t="inlineStr">
        <is>
          <t>COP</t>
        </is>
      </c>
      <c r="L113" t="inlineStr">
        <is>
          <t>Finanzas</t>
        </is>
      </c>
      <c r="M113">
        <f>IFERROR(INDEX(Diccionario!$N:$N,MATCH(F61,Diccionario!$C:$C,0)),"")</f>
        <v/>
      </c>
    </row>
    <row r="114" ht="15" customHeight="1" s="57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s="34" t="n">
        <v>685729356</v>
      </c>
      <c r="J114" t="inlineStr">
        <is>
          <t>COP</t>
        </is>
      </c>
      <c r="L114" t="inlineStr">
        <is>
          <t>Finanzas</t>
        </is>
      </c>
      <c r="M114">
        <f>IFERROR(INDEX(Diccionario!$N:$N,MATCH(F1155,Diccionario!$C:$C,0)),"")</f>
        <v/>
      </c>
    </row>
    <row r="115" ht="15" customHeight="1" s="57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s="34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  <c r="M115">
        <f>IFERROR(INDEX(Diccionario!$N:$N,MATCH(F63,Diccionario!$C:$C,0)),"")</f>
        <v/>
      </c>
    </row>
    <row r="116" ht="15" customHeight="1" s="57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s="34" t="n">
        <v>207986000</v>
      </c>
      <c r="J116" t="inlineStr">
        <is>
          <t>COP</t>
        </is>
      </c>
      <c r="L116" t="inlineStr">
        <is>
          <t>Finanzas</t>
        </is>
      </c>
      <c r="M116">
        <f>IFERROR(INDEX(Diccionario!$N:$N,MATCH(F94,Diccionario!$C:$C,0)),"")</f>
        <v/>
      </c>
    </row>
    <row r="117" ht="15" customHeight="1" s="5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s="34" t="n">
        <v>708000000</v>
      </c>
      <c r="J117" t="inlineStr">
        <is>
          <t>COP</t>
        </is>
      </c>
      <c r="L117" t="inlineStr">
        <is>
          <t>Finanzas</t>
        </is>
      </c>
      <c r="M117">
        <f>IFERROR(INDEX(Diccionario!$N:$N,MATCH(F65,Diccionario!$C:$C,0)),"")</f>
        <v/>
      </c>
    </row>
    <row r="118" ht="15" customHeight="1" s="57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s="34" t="n">
        <v>56793147</v>
      </c>
      <c r="J118" t="inlineStr">
        <is>
          <t>COP</t>
        </is>
      </c>
      <c r="L118" t="inlineStr">
        <is>
          <t>Finanzas</t>
        </is>
      </c>
      <c r="M118">
        <f>IFERROR(INDEX(Diccionario!$N:$N,MATCH(F1075,Diccionario!$C:$C,0)),"")</f>
        <v/>
      </c>
    </row>
    <row r="119" ht="15" customHeight="1" s="57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s="34" t="n">
        <v>697647109</v>
      </c>
      <c r="J119" t="inlineStr">
        <is>
          <t>COP</t>
        </is>
      </c>
      <c r="L119" t="inlineStr">
        <is>
          <t>Finanzas</t>
        </is>
      </c>
      <c r="M119">
        <f>IFERROR(INDEX(Diccionario!$N:$N,MATCH(F1046,Diccionario!$C:$C,0)),"")</f>
        <v/>
      </c>
    </row>
    <row r="120" ht="15" customHeight="1" s="57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s="34" t="n">
        <v>758000000</v>
      </c>
      <c r="J120" t="inlineStr">
        <is>
          <t>COP</t>
        </is>
      </c>
      <c r="L120" t="inlineStr">
        <is>
          <t>Finanzas</t>
        </is>
      </c>
      <c r="M120">
        <f>IFERROR(INDEX(Diccionario!$N:$N,MATCH(F64,Diccionario!$C:$C,0)),"")</f>
        <v/>
      </c>
    </row>
    <row r="121" ht="15" customHeight="1" s="57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s="34" t="n">
        <v>686599972</v>
      </c>
      <c r="J121" t="inlineStr">
        <is>
          <t>COP</t>
        </is>
      </c>
      <c r="L121" t="inlineStr">
        <is>
          <t>Finanzas</t>
        </is>
      </c>
      <c r="M121">
        <f>IFERROR(INDEX(Diccionario!$N:$N,MATCH(F1156,Diccionario!$C:$C,0)),"")</f>
        <v/>
      </c>
    </row>
    <row r="122" ht="15" customHeight="1" s="57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s="34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  <c r="M122">
        <f>IFERROR(INDEX(Diccionario!$N:$N,MATCH(F66,Diccionario!$C:$C,0)),"")</f>
        <v/>
      </c>
    </row>
    <row r="123" ht="15" customHeight="1" s="57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s="34" t="n">
        <v>230467000</v>
      </c>
      <c r="J123" t="inlineStr">
        <is>
          <t>COP</t>
        </is>
      </c>
      <c r="L123" t="inlineStr">
        <is>
          <t>Finanzas</t>
        </is>
      </c>
      <c r="M123">
        <f>IFERROR(INDEX(Diccionario!$N:$N,MATCH(F95,Diccionario!$C:$C,0)),"")</f>
        <v/>
      </c>
    </row>
    <row r="124" ht="15" customHeight="1" s="57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s="34" t="n">
        <v>778000000</v>
      </c>
      <c r="J124" t="inlineStr">
        <is>
          <t>COP</t>
        </is>
      </c>
      <c r="L124" t="inlineStr">
        <is>
          <t>Finanzas</t>
        </is>
      </c>
      <c r="M124">
        <f>IFERROR(INDEX(Diccionario!$N:$N,MATCH(F68,Diccionario!$C:$C,0)),"")</f>
        <v/>
      </c>
    </row>
    <row r="125" ht="15" customHeight="1" s="57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s="34" t="n">
        <v>17650000</v>
      </c>
      <c r="J125" t="inlineStr">
        <is>
          <t>COP</t>
        </is>
      </c>
      <c r="L125" t="inlineStr">
        <is>
          <t>Finanzas</t>
        </is>
      </c>
      <c r="M125">
        <f>IFERROR(INDEX(Diccionario!$N:$N,MATCH(F1076,Diccionario!$C:$C,0)),"")</f>
        <v/>
      </c>
    </row>
    <row r="126" ht="15" customHeight="1" s="57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s="34" t="n">
        <v>673186093</v>
      </c>
      <c r="J126" t="inlineStr">
        <is>
          <t>COP</t>
        </is>
      </c>
      <c r="L126" t="inlineStr">
        <is>
          <t>Finanzas</t>
        </is>
      </c>
      <c r="M126">
        <f>IFERROR(INDEX(Diccionario!$N:$N,MATCH(F1047,Diccionario!$C:$C,0)),"")</f>
        <v/>
      </c>
    </row>
    <row r="127" ht="15" customHeight="1" s="5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s="34" t="n">
        <v>691000000</v>
      </c>
      <c r="J127" t="inlineStr">
        <is>
          <t>COP</t>
        </is>
      </c>
      <c r="L127" t="inlineStr">
        <is>
          <t>Finanzas</t>
        </is>
      </c>
      <c r="M127">
        <f>IFERROR(INDEX(Diccionario!$N:$N,MATCH(F67,Diccionario!$C:$C,0)),"")</f>
        <v/>
      </c>
    </row>
    <row r="128" ht="15" customHeight="1" s="57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s="34" t="n">
        <v>663435516</v>
      </c>
      <c r="J128" t="inlineStr">
        <is>
          <t>COP</t>
        </is>
      </c>
      <c r="L128" t="inlineStr">
        <is>
          <t>Finanzas</t>
        </is>
      </c>
      <c r="M128">
        <f>IFERROR(INDEX(Diccionario!$N:$N,MATCH(F1157,Diccionario!$C:$C,0)),"")</f>
        <v/>
      </c>
    </row>
    <row r="129" ht="15" customHeight="1" s="57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s="34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  <c r="M129">
        <f>IFERROR(INDEX(Diccionario!$N:$N,MATCH(F69,Diccionario!$C:$C,0)),"")</f>
        <v/>
      </c>
    </row>
    <row r="130" ht="15" customHeight="1" s="57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s="34" t="n">
        <v>240545000</v>
      </c>
      <c r="J130" t="inlineStr">
        <is>
          <t>COP</t>
        </is>
      </c>
      <c r="L130" t="inlineStr">
        <is>
          <t>Finanzas</t>
        </is>
      </c>
      <c r="M130">
        <f>IFERROR(INDEX(Diccionario!$N:$N,MATCH(F96,Diccionario!$C:$C,0)),"")</f>
        <v/>
      </c>
    </row>
    <row r="131" ht="15" customHeight="1" s="57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s="34" t="n">
        <v>739000000</v>
      </c>
      <c r="J131" t="inlineStr">
        <is>
          <t>COP</t>
        </is>
      </c>
      <c r="L131" t="inlineStr">
        <is>
          <t>Finanzas</t>
        </is>
      </c>
      <c r="M131">
        <f>IFERROR(INDEX(Diccionario!$N:$N,MATCH(F71,Diccionario!$C:$C,0)),"")</f>
        <v/>
      </c>
    </row>
    <row r="132" ht="15" customHeight="1" s="57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s="34" t="n">
        <v>1</v>
      </c>
      <c r="J132" t="inlineStr">
        <is>
          <t>COP</t>
        </is>
      </c>
      <c r="L132" t="inlineStr">
        <is>
          <t>Finanzas</t>
        </is>
      </c>
      <c r="M132">
        <f>IFERROR(INDEX(Diccionario!$N:$N,MATCH(F1077,Diccionario!$C:$C,0)),"")</f>
        <v/>
      </c>
    </row>
    <row r="133" ht="15" customHeight="1" s="57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s="34" t="n">
        <v>676346785</v>
      </c>
      <c r="J133" t="inlineStr">
        <is>
          <t>COP</t>
        </is>
      </c>
      <c r="L133" t="inlineStr">
        <is>
          <t>Finanzas</t>
        </is>
      </c>
      <c r="M133">
        <f>IFERROR(INDEX(Diccionario!$N:$N,MATCH(F1048,Diccionario!$C:$C,0)),"")</f>
        <v/>
      </c>
    </row>
    <row r="134" ht="15" customHeight="1" s="57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s="34" t="n">
        <v>700000000</v>
      </c>
      <c r="J134" t="inlineStr">
        <is>
          <t>COP</t>
        </is>
      </c>
      <c r="L134" t="inlineStr">
        <is>
          <t>Finanzas</t>
        </is>
      </c>
      <c r="M134">
        <f>IFERROR(INDEX(Diccionario!$N:$N,MATCH(F70,Diccionario!$C:$C,0)),"")</f>
        <v/>
      </c>
    </row>
    <row r="135" ht="15" customHeight="1" s="57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s="34" t="n">
        <v>682507167</v>
      </c>
      <c r="J135" t="inlineStr">
        <is>
          <t>COP</t>
        </is>
      </c>
      <c r="L135" t="inlineStr">
        <is>
          <t>Finanzas</t>
        </is>
      </c>
      <c r="M135">
        <f>IFERROR(INDEX(Diccionario!$N:$N,MATCH(F1158,Diccionario!$C:$C,0)),"")</f>
        <v/>
      </c>
    </row>
    <row r="136" ht="15" customHeight="1" s="57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s="34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  <c r="M136">
        <f>IFERROR(INDEX(Diccionario!$N:$N,MATCH(F72,Diccionario!$C:$C,0)),"")</f>
        <v/>
      </c>
    </row>
    <row r="137" ht="15" customHeight="1" s="5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s="45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  <c r="M137">
        <f>IFERROR(INDEX(Diccionario!$N:$N,MATCH(F1227,Diccionario!$C:$C,0)),"")</f>
        <v/>
      </c>
    </row>
    <row r="138" ht="15" customHeight="1" s="57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s="45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  <c r="M138">
        <f>IFERROR(INDEX(Diccionario!$N:$N,MATCH(F1230,Diccionario!$C:$C,0)),"")</f>
        <v/>
      </c>
    </row>
    <row r="139" ht="15" customHeight="1" s="57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s="45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  <c r="M139">
        <f>IFERROR(INDEX(Diccionario!$N:$N,MATCH(F1221,Diccionario!$C:$C,0)),"")</f>
        <v/>
      </c>
    </row>
    <row r="140" ht="15" customHeight="1" s="57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s="45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  <c r="M140">
        <f>IFERROR(INDEX(Diccionario!$N:$N,MATCH(F1224,Diccionario!$C:$C,0)),"")</f>
        <v/>
      </c>
    </row>
    <row r="141" ht="15" customHeight="1" s="57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s="34" t="n">
        <v>231501000</v>
      </c>
      <c r="J141" t="inlineStr">
        <is>
          <t>COP</t>
        </is>
      </c>
      <c r="L141" t="inlineStr">
        <is>
          <t>Finanzas</t>
        </is>
      </c>
      <c r="M141">
        <f>IFERROR(INDEX(Diccionario!$N:$N,MATCH(F97,Diccionario!$C:$C,0)),"")</f>
        <v/>
      </c>
    </row>
    <row r="142" ht="15" customHeight="1" s="57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s="34" t="n">
        <v>718000000</v>
      </c>
      <c r="J142" t="inlineStr">
        <is>
          <t>COP</t>
        </is>
      </c>
      <c r="L142" t="inlineStr">
        <is>
          <t>Finanzas</t>
        </is>
      </c>
      <c r="M142">
        <f>IFERROR(INDEX(Diccionario!$N:$N,MATCH(F74,Diccionario!$C:$C,0)),"")</f>
        <v/>
      </c>
    </row>
    <row r="143" ht="15" customHeight="1" s="57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s="34" t="n">
        <v>71452835</v>
      </c>
      <c r="J143" t="inlineStr">
        <is>
          <t>COP</t>
        </is>
      </c>
      <c r="L143" t="inlineStr">
        <is>
          <t>Finanzas</t>
        </is>
      </c>
      <c r="M143">
        <f>IFERROR(INDEX(Diccionario!$N:$N,MATCH(F1078,Diccionario!$C:$C,0)),"")</f>
        <v/>
      </c>
    </row>
    <row r="144" ht="15" customHeight="1" s="57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s="34" t="n">
        <v>678500265</v>
      </c>
      <c r="J144" t="inlineStr">
        <is>
          <t>COP</t>
        </is>
      </c>
      <c r="L144" t="inlineStr">
        <is>
          <t>Finanzas</t>
        </is>
      </c>
      <c r="M144">
        <f>IFERROR(INDEX(Diccionario!$N:$N,MATCH(F1049,Diccionario!$C:$C,0)),"")</f>
        <v/>
      </c>
    </row>
    <row r="145" ht="15" customHeight="1" s="57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s="34" t="n">
        <v>765000000</v>
      </c>
      <c r="J145" t="inlineStr">
        <is>
          <t>COP</t>
        </is>
      </c>
      <c r="L145" t="inlineStr">
        <is>
          <t>Finanzas</t>
        </is>
      </c>
      <c r="M145">
        <f>IFERROR(INDEX(Diccionario!$N:$N,MATCH(F73,Diccionario!$C:$C,0)),"")</f>
        <v/>
      </c>
    </row>
    <row r="146" ht="15" customHeight="1" s="57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s="34" t="n">
        <v>662313152</v>
      </c>
      <c r="J146" t="inlineStr">
        <is>
          <t>COP</t>
        </is>
      </c>
      <c r="L146" t="inlineStr">
        <is>
          <t>Finanzas</t>
        </is>
      </c>
      <c r="M146">
        <f>IFERROR(INDEX(Diccionario!$N:$N,MATCH(F1159,Diccionario!$C:$C,0)),"")</f>
        <v/>
      </c>
    </row>
    <row r="147" ht="15" customHeight="1" s="5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s="34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  <c r="M147">
        <f>IFERROR(INDEX(Diccionario!$N:$N,MATCH(F75,Diccionario!$C:$C,0)),"")</f>
        <v/>
      </c>
    </row>
    <row r="148" ht="15" customHeight="1" s="57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s="34" t="n">
        <v>207987000</v>
      </c>
      <c r="J148" t="inlineStr">
        <is>
          <t>COP</t>
        </is>
      </c>
      <c r="L148" t="inlineStr">
        <is>
          <t>Finanzas</t>
        </is>
      </c>
      <c r="M148">
        <f>IFERROR(INDEX(Diccionario!$N:$N,MATCH(F98,Diccionario!$C:$C,0)),"")</f>
        <v/>
      </c>
    </row>
    <row r="149" ht="15" customHeight="1" s="57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s="34" t="n">
        <v>542000000</v>
      </c>
      <c r="J149" t="inlineStr">
        <is>
          <t>COP</t>
        </is>
      </c>
      <c r="L149" t="inlineStr">
        <is>
          <t>Finanzas</t>
        </is>
      </c>
      <c r="M149">
        <f>IFERROR(INDEX(Diccionario!$N:$N,MATCH(F77,Diccionario!$C:$C,0)),"")</f>
        <v/>
      </c>
    </row>
    <row r="150" ht="15" customHeight="1" s="57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s="34" t="n">
        <v>40047000</v>
      </c>
      <c r="J150" t="inlineStr">
        <is>
          <t>COP</t>
        </is>
      </c>
      <c r="L150" t="inlineStr">
        <is>
          <t>Finanzas</t>
        </is>
      </c>
      <c r="M150">
        <f>IFERROR(INDEX(Diccionario!$N:$N,MATCH(F1079,Diccionario!$C:$C,0)),"")</f>
        <v/>
      </c>
    </row>
    <row r="151" ht="15" customHeight="1" s="57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s="34" t="n">
        <v>580720049</v>
      </c>
      <c r="J151" t="inlineStr">
        <is>
          <t>COP</t>
        </is>
      </c>
      <c r="L151" t="inlineStr">
        <is>
          <t>Finanzas</t>
        </is>
      </c>
      <c r="M151">
        <f>IFERROR(INDEX(Diccionario!$N:$N,MATCH(F1050,Diccionario!$C:$C,0)),"")</f>
        <v/>
      </c>
    </row>
    <row r="152" ht="15" customHeight="1" s="57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s="34" t="n">
        <v>633000000</v>
      </c>
      <c r="J152" t="inlineStr">
        <is>
          <t>COP</t>
        </is>
      </c>
      <c r="L152" t="inlineStr">
        <is>
          <t>Finanzas</t>
        </is>
      </c>
      <c r="M152">
        <f>IFERROR(INDEX(Diccionario!$N:$N,MATCH(F76,Diccionario!$C:$C,0)),"")</f>
        <v/>
      </c>
    </row>
    <row r="153" ht="15" customHeight="1" s="57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s="34" t="n">
        <v>659132098</v>
      </c>
      <c r="J153" t="inlineStr">
        <is>
          <t>COP</t>
        </is>
      </c>
      <c r="L153" t="inlineStr">
        <is>
          <t>Finanzas</t>
        </is>
      </c>
      <c r="M153">
        <f>IFERROR(INDEX(Diccionario!$N:$N,MATCH(F1160,Diccionario!$C:$C,0)),"")</f>
        <v/>
      </c>
    </row>
    <row r="154" ht="15" customHeight="1" s="57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s="3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  <c r="M154">
        <f>IFERROR(INDEX(Diccionario!$N:$N,MATCH(F78,Diccionario!$C:$C,0)),"")</f>
        <v/>
      </c>
    </row>
    <row r="155" ht="15" customHeight="1" s="57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s="34" t="n">
        <v>191717000</v>
      </c>
      <c r="J155" t="inlineStr">
        <is>
          <t>COP</t>
        </is>
      </c>
      <c r="L155" t="inlineStr">
        <is>
          <t>Finanzas</t>
        </is>
      </c>
      <c r="M155">
        <f>IFERROR(INDEX(Diccionario!$N:$N,MATCH(F99,Diccionario!$C:$C,0)),"")</f>
        <v/>
      </c>
    </row>
    <row r="156" ht="15" customHeight="1" s="57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s="34" t="n">
        <v>684000000</v>
      </c>
      <c r="J156" t="inlineStr">
        <is>
          <t>COP</t>
        </is>
      </c>
      <c r="L156" t="inlineStr">
        <is>
          <t>Finanzas</t>
        </is>
      </c>
      <c r="M156">
        <f>IFERROR(INDEX(Diccionario!$N:$N,MATCH(F80,Diccionario!$C:$C,0)),"")</f>
        <v/>
      </c>
    </row>
    <row r="157" ht="15" customHeight="1" s="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s="34" t="n">
        <v>67164125</v>
      </c>
      <c r="J157" t="inlineStr">
        <is>
          <t>COP</t>
        </is>
      </c>
      <c r="L157" t="inlineStr">
        <is>
          <t>Finanzas</t>
        </is>
      </c>
      <c r="M157">
        <f>IFERROR(INDEX(Diccionario!$N:$N,MATCH(F1080,Diccionario!$C:$C,0)),"")</f>
        <v/>
      </c>
    </row>
    <row r="158" ht="15" customHeight="1" s="57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s="34" t="n">
        <v>678104625</v>
      </c>
      <c r="J158" t="inlineStr">
        <is>
          <t>COP</t>
        </is>
      </c>
      <c r="L158" t="inlineStr">
        <is>
          <t>Finanzas</t>
        </is>
      </c>
      <c r="M158">
        <f>IFERROR(INDEX(Diccionario!$N:$N,MATCH(F1051,Diccionario!$C:$C,0)),"")</f>
        <v/>
      </c>
    </row>
    <row r="159" ht="15" customHeight="1" s="57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s="34" t="n">
        <v>744000000</v>
      </c>
      <c r="J159" t="inlineStr">
        <is>
          <t>COP</t>
        </is>
      </c>
      <c r="L159" t="inlineStr">
        <is>
          <t>Finanzas</t>
        </is>
      </c>
      <c r="M159">
        <f>IFERROR(INDEX(Diccionario!$N:$N,MATCH(F79,Diccionario!$C:$C,0)),"")</f>
        <v/>
      </c>
    </row>
    <row r="160" ht="15" customHeight="1" s="57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s="34" t="n">
        <v>833921932</v>
      </c>
      <c r="J160" t="inlineStr">
        <is>
          <t>COP</t>
        </is>
      </c>
      <c r="L160" t="inlineStr">
        <is>
          <t>Finanzas</t>
        </is>
      </c>
      <c r="M160">
        <f>IFERROR(INDEX(Diccionario!$N:$N,MATCH(F1161,Diccionario!$C:$C,0)),"")</f>
        <v/>
      </c>
    </row>
    <row r="161" ht="15" customHeight="1" s="57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s="34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  <c r="M161">
        <f>IFERROR(INDEX(Diccionario!$N:$N,MATCH(F81,Diccionario!$C:$C,0)),"")</f>
        <v/>
      </c>
    </row>
    <row r="162" ht="15" customHeight="1" s="57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s="34" t="n">
        <v>201750000</v>
      </c>
      <c r="J162" t="inlineStr">
        <is>
          <t>COP</t>
        </is>
      </c>
      <c r="L162" t="inlineStr">
        <is>
          <t>Finanzas</t>
        </is>
      </c>
      <c r="M162">
        <f>IFERROR(INDEX(Diccionario!$N:$N,MATCH(F100,Diccionario!$C:$C,0)),"")</f>
        <v/>
      </c>
    </row>
    <row r="163" ht="15" customHeight="1" s="57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s="34" t="n">
        <v>806000000</v>
      </c>
      <c r="J163" t="inlineStr">
        <is>
          <t>COP</t>
        </is>
      </c>
      <c r="L163" t="inlineStr">
        <is>
          <t>Finanzas</t>
        </is>
      </c>
      <c r="M163">
        <f>IFERROR(INDEX(Diccionario!$N:$N,MATCH(F83,Diccionario!$C:$C,0)),"")</f>
        <v/>
      </c>
    </row>
    <row r="164" ht="15" customHeight="1" s="57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s="34" t="n">
        <v>54801528</v>
      </c>
      <c r="J164" t="inlineStr">
        <is>
          <t>COP</t>
        </is>
      </c>
      <c r="L164" t="inlineStr">
        <is>
          <t>Finanzas</t>
        </is>
      </c>
      <c r="M164">
        <f>IFERROR(INDEX(Diccionario!$N:$N,MATCH(F1081,Diccionario!$C:$C,0)),"")</f>
        <v/>
      </c>
    </row>
    <row r="165" ht="15" customHeight="1" s="57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s="34" t="n">
        <v>714287498</v>
      </c>
      <c r="J165" t="inlineStr">
        <is>
          <t>COP</t>
        </is>
      </c>
      <c r="L165" t="inlineStr">
        <is>
          <t>Finanzas</t>
        </is>
      </c>
      <c r="M165">
        <f>IFERROR(INDEX(Diccionario!$N:$N,MATCH(F1052,Diccionario!$C:$C,0)),"")</f>
        <v/>
      </c>
    </row>
    <row r="166" ht="15" customHeight="1" s="57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s="34" t="n">
        <v>769000000</v>
      </c>
      <c r="J166" t="inlineStr">
        <is>
          <t>COP</t>
        </is>
      </c>
      <c r="L166" t="inlineStr">
        <is>
          <t>Finanzas</t>
        </is>
      </c>
      <c r="M166">
        <f>IFERROR(INDEX(Diccionario!$N:$N,MATCH(F82,Diccionario!$C:$C,0)),"")</f>
        <v/>
      </c>
    </row>
    <row r="167" ht="15" customHeight="1" s="5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s="34" t="n">
        <v>747778319</v>
      </c>
      <c r="J167" t="inlineStr">
        <is>
          <t>COP</t>
        </is>
      </c>
      <c r="L167" t="inlineStr">
        <is>
          <t>Finanzas</t>
        </is>
      </c>
      <c r="M167">
        <f>IFERROR(INDEX(Diccionario!$N:$N,MATCH(F1162,Diccionario!$C:$C,0)),"")</f>
        <v/>
      </c>
    </row>
    <row r="168" ht="15" customHeight="1" s="57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s="34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  <c r="M168">
        <f>IFERROR(INDEX(Diccionario!$N:$N,MATCH(F84,Diccionario!$C:$C,0)),"")</f>
        <v/>
      </c>
    </row>
    <row r="169" ht="15" customHeight="1" s="57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s="34" t="n">
        <v>202016000</v>
      </c>
      <c r="J169" t="inlineStr">
        <is>
          <t>COP</t>
        </is>
      </c>
      <c r="L169" t="inlineStr">
        <is>
          <t>Finanzas</t>
        </is>
      </c>
      <c r="M169">
        <f>IFERROR(INDEX(Diccionario!$N:$N,MATCH(F101,Diccionario!$C:$C,0)),"")</f>
        <v/>
      </c>
    </row>
    <row r="170" ht="15" customHeight="1" s="57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s="34" t="n">
        <v>755000000</v>
      </c>
      <c r="J170" t="inlineStr">
        <is>
          <t>COP</t>
        </is>
      </c>
      <c r="L170" t="inlineStr">
        <is>
          <t>Finanzas</t>
        </is>
      </c>
      <c r="M170">
        <f>IFERROR(INDEX(Diccionario!$N:$N,MATCH(F86,Diccionario!$C:$C,0)),"")</f>
        <v/>
      </c>
    </row>
    <row r="171" ht="15" customHeight="1" s="57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s="34" t="n">
        <v>30501180</v>
      </c>
      <c r="J171" t="inlineStr">
        <is>
          <t>COP</t>
        </is>
      </c>
      <c r="L171" t="inlineStr">
        <is>
          <t>Finanzas</t>
        </is>
      </c>
      <c r="M171">
        <f>IFERROR(INDEX(Diccionario!$N:$N,MATCH(F1082,Diccionario!$C:$C,0)),"")</f>
        <v/>
      </c>
    </row>
    <row r="172" ht="15" customHeight="1" s="57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s="34" t="n">
        <v>728855485</v>
      </c>
      <c r="J172" t="inlineStr">
        <is>
          <t>COP</t>
        </is>
      </c>
      <c r="L172" t="inlineStr">
        <is>
          <t>Finanzas</t>
        </is>
      </c>
      <c r="M172">
        <f>IFERROR(INDEX(Diccionario!$N:$N,MATCH(F1053,Diccionario!$C:$C,0)),"")</f>
        <v/>
      </c>
    </row>
    <row r="173" ht="15" customHeight="1" s="57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s="34" t="n">
        <v>754000000</v>
      </c>
      <c r="J173" t="inlineStr">
        <is>
          <t>COP</t>
        </is>
      </c>
      <c r="L173" t="inlineStr">
        <is>
          <t>Finanzas</t>
        </is>
      </c>
      <c r="M173">
        <f>IFERROR(INDEX(Diccionario!$N:$N,MATCH(F85,Diccionario!$C:$C,0)),"")</f>
        <v/>
      </c>
    </row>
    <row r="174" ht="15" customHeight="1" s="57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s="34" t="n">
        <v>742766594</v>
      </c>
      <c r="J174" t="inlineStr">
        <is>
          <t>COP</t>
        </is>
      </c>
      <c r="L174" t="inlineStr">
        <is>
          <t>Finanzas</t>
        </is>
      </c>
      <c r="M174">
        <f>IFERROR(INDEX(Diccionario!$N:$N,MATCH(F1163,Diccionario!$C:$C,0)),"")</f>
        <v/>
      </c>
    </row>
    <row r="175" ht="15" customHeight="1" s="57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s="34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  <c r="M175">
        <f>IFERROR(INDEX(Diccionario!$N:$N,MATCH(F87,Diccionario!$C:$C,0)),"")</f>
        <v/>
      </c>
    </row>
    <row r="176" ht="15" customHeight="1" s="57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s="45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  <c r="M176">
        <f>IFERROR(INDEX(Diccionario!$N:$N,MATCH(F1228,Diccionario!$C:$C,0)),"")</f>
        <v/>
      </c>
    </row>
    <row r="177" ht="15" customHeight="1" s="5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s="45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  <c r="M177">
        <f>IFERROR(INDEX(Diccionario!$N:$N,MATCH(F1231,Diccionario!$C:$C,0)),"")</f>
        <v/>
      </c>
    </row>
    <row r="178" ht="15" customHeight="1" s="57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s="45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  <c r="M178">
        <f>IFERROR(INDEX(Diccionario!$N:$N,MATCH(F1222,Diccionario!$C:$C,0)),"")</f>
        <v/>
      </c>
    </row>
    <row r="179" ht="15" customHeight="1" s="57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s="45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  <c r="M179">
        <f>IFERROR(INDEX(Diccionario!$N:$N,MATCH(F1225,Diccionario!$C:$C,0)),"")</f>
        <v/>
      </c>
    </row>
    <row r="180" ht="15" customHeight="1" s="57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s="34" t="n">
        <v>177548000</v>
      </c>
      <c r="J180" t="inlineStr">
        <is>
          <t>COP</t>
        </is>
      </c>
      <c r="L180" t="inlineStr">
        <is>
          <t>Finanzas</t>
        </is>
      </c>
      <c r="M180">
        <f>IFERROR(INDEX(Diccionario!$N:$N,MATCH(F102,Diccionario!$C:$C,0)),"")</f>
        <v/>
      </c>
    </row>
    <row r="181" ht="15" customHeight="1" s="57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s="34" t="n">
        <v>720000000</v>
      </c>
      <c r="J181" t="inlineStr">
        <is>
          <t>COP</t>
        </is>
      </c>
      <c r="L181" t="inlineStr">
        <is>
          <t>Finanzas</t>
        </is>
      </c>
      <c r="M181">
        <f>IFERROR(INDEX(Diccionario!$N:$N,MATCH(F89,Diccionario!$C:$C,0)),"")</f>
        <v/>
      </c>
    </row>
    <row r="182" ht="15" customHeight="1" s="57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s="34" t="n">
        <v>61451942</v>
      </c>
      <c r="J182" t="inlineStr">
        <is>
          <t>COP</t>
        </is>
      </c>
      <c r="L182" t="inlineStr">
        <is>
          <t>Finanzas</t>
        </is>
      </c>
      <c r="M182">
        <f>IFERROR(INDEX(Diccionario!$N:$N,MATCH(F1083,Diccionario!$C:$C,0)),"")</f>
        <v/>
      </c>
    </row>
    <row r="183" ht="15" customHeight="1" s="57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s="34" t="n">
        <v>774122623</v>
      </c>
      <c r="J183" t="inlineStr">
        <is>
          <t>COP</t>
        </is>
      </c>
      <c r="L183" t="inlineStr">
        <is>
          <t>Finanzas</t>
        </is>
      </c>
      <c r="M183">
        <f>IFERROR(INDEX(Diccionario!$N:$N,MATCH(F1054,Diccionario!$C:$C,0)),"")</f>
        <v/>
      </c>
    </row>
    <row r="184" ht="15" customHeight="1" s="57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s="34" t="n">
        <v>812000000</v>
      </c>
      <c r="J184" t="inlineStr">
        <is>
          <t>COP</t>
        </is>
      </c>
      <c r="L184" t="inlineStr">
        <is>
          <t>Finanzas</t>
        </is>
      </c>
      <c r="M184">
        <f>IFERROR(INDEX(Diccionario!$N:$N,MATCH(F88,Diccionario!$C:$C,0)),"")</f>
        <v/>
      </c>
    </row>
    <row r="185" ht="15" customHeight="1" s="57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s="34" t="n">
        <v>706728865</v>
      </c>
      <c r="J185" t="inlineStr">
        <is>
          <t>COP</t>
        </is>
      </c>
      <c r="L185" t="inlineStr">
        <is>
          <t>Finanzas</t>
        </is>
      </c>
      <c r="M185">
        <f>IFERROR(INDEX(Diccionario!$N:$N,MATCH(F1164,Diccionario!$C:$C,0)),"")</f>
        <v/>
      </c>
    </row>
    <row r="186" ht="15" customHeight="1" s="57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s="34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  <c r="M186">
        <f>IFERROR(INDEX(Diccionario!$N:$N,MATCH(F90,Diccionario!$C:$C,0)),"")</f>
        <v/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s="34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s="34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s="34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s="34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Contabilidad — vista de solo lectura</t>
        </is>
      </c>
    </row>
    <row r="2" ht="15" customHeight="1" s="57">
      <c r="A2" s="31" t="inlineStr">
        <is>
          <t>Regenerada desde BD_Indicadores el 2026-07-13 · 1030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s="34" t="n">
        <v>7000000</v>
      </c>
      <c r="J5" t="inlineStr">
        <is>
          <t>COP</t>
        </is>
      </c>
      <c r="L5" t="inlineStr">
        <is>
          <t>Contabilidad</t>
        </is>
      </c>
      <c r="M5">
        <f>IFERROR(INDEX(Diccionario!$N:$N,MATCH(F597,Diccionario!$C:$C,0)),"")</f>
        <v/>
      </c>
    </row>
    <row r="6" ht="1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s="34" t="n">
        <v>44000000</v>
      </c>
      <c r="J6" t="inlineStr">
        <is>
          <t>COP</t>
        </is>
      </c>
      <c r="L6" t="inlineStr">
        <is>
          <t>Contabilidad</t>
        </is>
      </c>
      <c r="M6">
        <f>IFERROR(INDEX(Diccionario!$N:$N,MATCH(F596,Diccionario!$C:$C,0)),"")</f>
        <v/>
      </c>
    </row>
    <row r="7" ht="15" customHeight="1" s="5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s="34" t="n">
        <v>5000000</v>
      </c>
      <c r="J7" t="inlineStr">
        <is>
          <t>COP</t>
        </is>
      </c>
      <c r="L7" t="inlineStr">
        <is>
          <t>Contabilidad</t>
        </is>
      </c>
      <c r="M7">
        <f>IFERROR(INDEX(Diccionario!$N:$N,MATCH(F598,Diccionario!$C:$C,0)),"")</f>
        <v/>
      </c>
    </row>
    <row r="8" ht="15" customHeight="1" s="57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s="34" t="n">
        <v>25000000</v>
      </c>
      <c r="J8" t="inlineStr">
        <is>
          <t>COP</t>
        </is>
      </c>
      <c r="L8" t="inlineStr">
        <is>
          <t>Contabilidad</t>
        </is>
      </c>
      <c r="M8">
        <f>IFERROR(INDEX(Diccionario!$N:$N,MATCH(F458,Diccionario!$C:$C,0)),"")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s="34" t="n">
        <v>1000000</v>
      </c>
      <c r="J9" t="inlineStr">
        <is>
          <t>COP</t>
        </is>
      </c>
      <c r="L9" t="inlineStr">
        <is>
          <t>Contabilidad</t>
        </is>
      </c>
      <c r="M9">
        <f>IFERROR(INDEX(Diccionario!$N:$N,MATCH(F459,Diccionario!$C:$C,0)),"")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s="34" t="n">
        <v>0</v>
      </c>
      <c r="J10" t="inlineStr">
        <is>
          <t>COP</t>
        </is>
      </c>
      <c r="L10" t="inlineStr">
        <is>
          <t>Contabilidad</t>
        </is>
      </c>
      <c r="M10">
        <f>IFERROR(INDEX(Diccionario!$N:$N,MATCH(F457,Diccionario!$C:$C,0)),"")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s="34" t="n">
        <v>85000000</v>
      </c>
      <c r="J11" t="inlineStr">
        <is>
          <t>COP</t>
        </is>
      </c>
      <c r="L11" t="inlineStr">
        <is>
          <t>Contabilidad</t>
        </is>
      </c>
      <c r="M11">
        <f>IFERROR(INDEX(Diccionario!$N:$N,MATCH(F456,Diccionario!$C:$C,0)),"")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s="34" t="n">
        <v>22000000</v>
      </c>
      <c r="J12" t="inlineStr">
        <is>
          <t>COP</t>
        </is>
      </c>
      <c r="L12" t="inlineStr">
        <is>
          <t>Contabilidad</t>
        </is>
      </c>
      <c r="M12">
        <f>IFERROR(INDEX(Diccionario!$N:$N,MATCH(F460,Diccionario!$C:$C,0)),"")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s="34" t="n">
        <v>22000000</v>
      </c>
      <c r="J13" t="inlineStr">
        <is>
          <t>COP</t>
        </is>
      </c>
      <c r="L13" t="inlineStr">
        <is>
          <t>Contabilidad</t>
        </is>
      </c>
      <c r="M13">
        <f>IFERROR(INDEX(Diccionario!$N:$N,MATCH(F256,Diccionario!$C:$C,0)),"")</f>
        <v/>
      </c>
    </row>
    <row r="14" ht="15" customHeight="1" s="57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s="34" t="n">
        <v>3000000</v>
      </c>
      <c r="J14" t="inlineStr">
        <is>
          <t>COP</t>
        </is>
      </c>
      <c r="L14" t="inlineStr">
        <is>
          <t>Contabilidad</t>
        </is>
      </c>
      <c r="M14">
        <f>IFERROR(INDEX(Diccionario!$N:$N,MATCH(F260,Diccionario!$C:$C,0)),"")</f>
        <v/>
      </c>
    </row>
    <row r="15" ht="15" customHeight="1" s="57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s="34" t="n">
        <v>14000000</v>
      </c>
      <c r="J15" t="inlineStr">
        <is>
          <t>COP</t>
        </is>
      </c>
      <c r="L15" t="inlineStr">
        <is>
          <t>Contabilidad</t>
        </is>
      </c>
      <c r="M15">
        <f>IFERROR(INDEX(Diccionario!$N:$N,MATCH(F255,Diccionario!$C:$C,0)),"")</f>
        <v/>
      </c>
    </row>
    <row r="16" ht="15" customHeight="1" s="57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s="34" t="n">
        <v>43000000</v>
      </c>
      <c r="J16" t="inlineStr">
        <is>
          <t>COP</t>
        </is>
      </c>
      <c r="L16" t="inlineStr">
        <is>
          <t>Contabilidad</t>
        </is>
      </c>
      <c r="M16">
        <f>IFERROR(INDEX(Diccionario!$N:$N,MATCH(F254,Diccionario!$C:$C,0)),"")</f>
        <v/>
      </c>
    </row>
    <row r="17" ht="15" customHeight="1" s="5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s="34" t="n">
        <v>3000000</v>
      </c>
      <c r="J17" t="inlineStr">
        <is>
          <t>COP</t>
        </is>
      </c>
      <c r="L17" t="inlineStr">
        <is>
          <t>Contabilidad</t>
        </is>
      </c>
      <c r="M17">
        <f>IFERROR(INDEX(Diccionario!$N:$N,MATCH(F257,Diccionario!$C:$C,0)),"")</f>
        <v/>
      </c>
    </row>
    <row r="18" ht="15" customHeight="1" s="57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s="34" t="n">
        <v>6000000</v>
      </c>
      <c r="J18" t="inlineStr">
        <is>
          <t>COP</t>
        </is>
      </c>
      <c r="L18" t="inlineStr">
        <is>
          <t>Contabilidad</t>
        </is>
      </c>
      <c r="M18">
        <f>IFERROR(INDEX(Diccionario!$N:$N,MATCH(F258,Diccionario!$C:$C,0)),"")</f>
        <v/>
      </c>
    </row>
    <row r="19" ht="15" customHeight="1" s="57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s="34" t="n">
        <v>20000000</v>
      </c>
      <c r="J19" t="inlineStr">
        <is>
          <t>COP</t>
        </is>
      </c>
      <c r="L19" t="inlineStr">
        <is>
          <t>Contabilidad</t>
        </is>
      </c>
      <c r="M19">
        <f>IFERROR(INDEX(Diccionario!$N:$N,MATCH(F259,Diccionario!$C:$C,0)),"")</f>
        <v/>
      </c>
    </row>
    <row r="20" ht="15" customHeight="1" s="57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s="34" t="n">
        <v>109000000</v>
      </c>
      <c r="J20" t="inlineStr">
        <is>
          <t>COP</t>
        </is>
      </c>
      <c r="L20" t="inlineStr">
        <is>
          <t>Contabilidad</t>
        </is>
      </c>
      <c r="M20">
        <f>IFERROR(INDEX(Diccionario!$N:$N,MATCH(F118,Diccionario!$C:$C,0)),"")</f>
        <v/>
      </c>
    </row>
    <row r="21" ht="15" customHeight="1" s="57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s="34" t="n">
        <v>125000000</v>
      </c>
      <c r="J21" t="inlineStr">
        <is>
          <t>COP</t>
        </is>
      </c>
      <c r="L21" t="inlineStr">
        <is>
          <t>Contabilidad</t>
        </is>
      </c>
      <c r="M21">
        <f>IFERROR(INDEX(Diccionario!$N:$N,MATCH(F117,Diccionario!$C:$C,0)),"")</f>
        <v/>
      </c>
    </row>
    <row r="22" ht="15" customHeight="1" s="57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s="34" t="n">
        <v>3000000</v>
      </c>
      <c r="J22" t="inlineStr">
        <is>
          <t>COP</t>
        </is>
      </c>
      <c r="L22" t="inlineStr">
        <is>
          <t>Contabilidad</t>
        </is>
      </c>
      <c r="M22">
        <f>IFERROR(INDEX(Diccionario!$N:$N,MATCH(F114,Diccionario!$C:$C,0)),"")</f>
        <v/>
      </c>
    </row>
    <row r="23" ht="15" customHeight="1" s="57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s="34" t="n">
        <v>133000000</v>
      </c>
      <c r="J23" t="inlineStr">
        <is>
          <t>COP</t>
        </is>
      </c>
      <c r="L23" t="inlineStr">
        <is>
          <t>Contabilidad</t>
        </is>
      </c>
      <c r="M23">
        <f>IFERROR(INDEX(Diccionario!$N:$N,MATCH(F116,Diccionario!$C:$C,0)),"")</f>
        <v/>
      </c>
    </row>
    <row r="24" ht="15" customHeight="1" s="57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s="34" t="n">
        <v>175000000</v>
      </c>
      <c r="J24" t="inlineStr">
        <is>
          <t>COP</t>
        </is>
      </c>
      <c r="L24" t="inlineStr">
        <is>
          <t>Contabilidad</t>
        </is>
      </c>
      <c r="M24">
        <f>IFERROR(INDEX(Diccionario!$N:$N,MATCH(F115,Diccionario!$C:$C,0)),"")</f>
        <v/>
      </c>
    </row>
    <row r="25" ht="15" customHeight="1" s="57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s="34" t="n">
        <v>6000000</v>
      </c>
      <c r="J25" t="inlineStr">
        <is>
          <t>COP</t>
        </is>
      </c>
      <c r="L25" t="inlineStr">
        <is>
          <t>Contabilidad</t>
        </is>
      </c>
      <c r="M25">
        <f>IFERROR(INDEX(Diccionario!$N:$N,MATCH(F833,Diccionario!$C:$C,0)),"")</f>
        <v/>
      </c>
    </row>
    <row r="26" ht="15" customHeight="1" s="57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s="34" t="n">
        <v>6000000</v>
      </c>
      <c r="J26" t="inlineStr">
        <is>
          <t>COP</t>
        </is>
      </c>
      <c r="L26" t="inlineStr">
        <is>
          <t>Contabilidad</t>
        </is>
      </c>
      <c r="M26">
        <f>IFERROR(INDEX(Diccionario!$N:$N,MATCH(F829,Diccionario!$C:$C,0)),"")</f>
        <v/>
      </c>
    </row>
    <row r="27" ht="15" customHeight="1" s="5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s="34" t="n">
        <v>85000000</v>
      </c>
      <c r="J27" t="inlineStr">
        <is>
          <t>COP</t>
        </is>
      </c>
      <c r="L27" t="inlineStr">
        <is>
          <t>Contabilidad</t>
        </is>
      </c>
      <c r="M27">
        <f>IFERROR(INDEX(Diccionario!$N:$N,MATCH(F828,Diccionario!$C:$C,0)),"")</f>
        <v/>
      </c>
    </row>
    <row r="28" ht="15" customHeight="1" s="57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s="34" t="n">
        <v>3000000</v>
      </c>
      <c r="J28" t="inlineStr">
        <is>
          <t>COP</t>
        </is>
      </c>
      <c r="L28" t="inlineStr">
        <is>
          <t>Contabilidad</t>
        </is>
      </c>
      <c r="M28">
        <f>IFERROR(INDEX(Diccionario!$N:$N,MATCH(F830,Diccionario!$C:$C,0)),"")</f>
        <v/>
      </c>
    </row>
    <row r="29" ht="15" customHeight="1" s="57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s="34" t="n">
        <v>17000000</v>
      </c>
      <c r="J29" t="inlineStr">
        <is>
          <t>COP</t>
        </is>
      </c>
      <c r="L29" t="inlineStr">
        <is>
          <t>Contabilidad</t>
        </is>
      </c>
      <c r="M29">
        <f>IFERROR(INDEX(Diccionario!$N:$N,MATCH(F831,Diccionario!$C:$C,0)),"")</f>
        <v/>
      </c>
    </row>
    <row r="30" ht="15" customHeight="1" s="57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s="34" t="n">
        <v>10000000</v>
      </c>
      <c r="J30" t="inlineStr">
        <is>
          <t>COP</t>
        </is>
      </c>
      <c r="L30" t="inlineStr">
        <is>
          <t>Contabilidad</t>
        </is>
      </c>
      <c r="M30">
        <f>IFERROR(INDEX(Diccionario!$N:$N,MATCH(F832,Diccionario!$C:$C,0)),"")</f>
        <v/>
      </c>
    </row>
    <row r="31" ht="15" customHeight="1" s="57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s="34" t="n">
        <v>6000000</v>
      </c>
      <c r="J31" t="inlineStr">
        <is>
          <t>COP</t>
        </is>
      </c>
      <c r="L31" t="inlineStr">
        <is>
          <t>Contabilidad</t>
        </is>
      </c>
      <c r="M31">
        <f>IFERROR(INDEX(Diccionario!$N:$N,MATCH(F717,Diccionario!$C:$C,0)),"")</f>
        <v/>
      </c>
    </row>
    <row r="32" ht="15" customHeight="1" s="57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s="34" t="n">
        <v>102000000</v>
      </c>
      <c r="J32" t="inlineStr">
        <is>
          <t>COP</t>
        </is>
      </c>
      <c r="L32" t="inlineStr">
        <is>
          <t>Contabilidad</t>
        </is>
      </c>
      <c r="M32">
        <f>IFERROR(INDEX(Diccionario!$N:$N,MATCH(F716,Diccionario!$C:$C,0)),"")</f>
        <v/>
      </c>
    </row>
    <row r="33" ht="15" customHeight="1" s="57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s="34" t="n">
        <v>9000000</v>
      </c>
      <c r="J33" t="inlineStr">
        <is>
          <t>COP</t>
        </is>
      </c>
      <c r="L33" t="inlineStr">
        <is>
          <t>Contabilidad</t>
        </is>
      </c>
      <c r="M33">
        <f>IFERROR(INDEX(Diccionario!$N:$N,MATCH(F718,Diccionario!$C:$C,0)),"")</f>
        <v/>
      </c>
    </row>
    <row r="34" ht="15" customHeight="1" s="57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s="34" t="n">
        <v>1000000</v>
      </c>
      <c r="J34" t="inlineStr">
        <is>
          <t>COP</t>
        </is>
      </c>
      <c r="L34" t="inlineStr">
        <is>
          <t>Contabilidad</t>
        </is>
      </c>
      <c r="M34">
        <f>IFERROR(INDEX(Diccionario!$N:$N,MATCH(F719,Diccionario!$C:$C,0)),"")</f>
        <v/>
      </c>
    </row>
    <row r="35" ht="15" customHeight="1" s="57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s="34" t="n">
        <v>0</v>
      </c>
      <c r="J35" t="inlineStr">
        <is>
          <t>COP</t>
        </is>
      </c>
      <c r="L35" t="inlineStr">
        <is>
          <t>Contabilidad</t>
        </is>
      </c>
      <c r="M35">
        <f>IFERROR(INDEX(Diccionario!$N:$N,MATCH(F600,Diccionario!$C:$C,0)),"")</f>
        <v/>
      </c>
    </row>
    <row r="36" ht="15" customHeight="1" s="57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s="34" t="n">
        <v>45000000</v>
      </c>
      <c r="J36" t="inlineStr">
        <is>
          <t>COP</t>
        </is>
      </c>
      <c r="L36" t="inlineStr">
        <is>
          <t>Contabilidad</t>
        </is>
      </c>
      <c r="M36">
        <f>IFERROR(INDEX(Diccionario!$N:$N,MATCH(F599,Diccionario!$C:$C,0)),"")</f>
        <v/>
      </c>
    </row>
    <row r="37" ht="15" customHeight="1" s="5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s="34" t="n">
        <v>6000000</v>
      </c>
      <c r="J37" t="inlineStr">
        <is>
          <t>COP</t>
        </is>
      </c>
      <c r="L37" t="inlineStr">
        <is>
          <t>Contabilidad</t>
        </is>
      </c>
      <c r="M37">
        <f>IFERROR(INDEX(Diccionario!$N:$N,MATCH(F601,Diccionario!$C:$C,0)),"")</f>
        <v/>
      </c>
    </row>
    <row r="38" ht="15" customHeight="1" s="57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s="34" t="n">
        <v>17000000</v>
      </c>
      <c r="J38" t="inlineStr">
        <is>
          <t>COP</t>
        </is>
      </c>
      <c r="L38" t="inlineStr">
        <is>
          <t>Contabilidad</t>
        </is>
      </c>
      <c r="M38">
        <f>IFERROR(INDEX(Diccionario!$N:$N,MATCH(F463,Diccionario!$C:$C,0)),"")</f>
        <v/>
      </c>
    </row>
    <row r="39" ht="15" customHeight="1" s="57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s="34" t="n">
        <v>1000000</v>
      </c>
      <c r="J39" t="inlineStr">
        <is>
          <t>COP</t>
        </is>
      </c>
      <c r="L39" t="inlineStr">
        <is>
          <t>Contabilidad</t>
        </is>
      </c>
      <c r="M39">
        <f>IFERROR(INDEX(Diccionario!$N:$N,MATCH(F464,Diccionario!$C:$C,0)),"")</f>
        <v/>
      </c>
    </row>
    <row r="40" ht="15" customHeight="1" s="57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s="34" t="n">
        <v>0</v>
      </c>
      <c r="J40" t="inlineStr">
        <is>
          <t>COP</t>
        </is>
      </c>
      <c r="L40" t="inlineStr">
        <is>
          <t>Contabilidad</t>
        </is>
      </c>
      <c r="M40">
        <f>IFERROR(INDEX(Diccionario!$N:$N,MATCH(F462,Diccionario!$C:$C,0)),"")</f>
        <v/>
      </c>
    </row>
    <row r="41" ht="15" customHeight="1" s="57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s="34" t="n">
        <v>92000000</v>
      </c>
      <c r="J41" t="inlineStr">
        <is>
          <t>COP</t>
        </is>
      </c>
      <c r="L41" t="inlineStr">
        <is>
          <t>Contabilidad</t>
        </is>
      </c>
      <c r="M41">
        <f>IFERROR(INDEX(Diccionario!$N:$N,MATCH(F461,Diccionario!$C:$C,0)),"")</f>
        <v/>
      </c>
    </row>
    <row r="42" ht="15" customHeight="1" s="57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s="34" t="n">
        <v>5000000</v>
      </c>
      <c r="J42" t="inlineStr">
        <is>
          <t>COP</t>
        </is>
      </c>
      <c r="L42" t="inlineStr">
        <is>
          <t>Contabilidad</t>
        </is>
      </c>
      <c r="M42">
        <f>IFERROR(INDEX(Diccionario!$N:$N,MATCH(F465,Diccionario!$C:$C,0)),"")</f>
        <v/>
      </c>
    </row>
    <row r="43" ht="15" customHeight="1" s="57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s="34" t="n">
        <v>22000000</v>
      </c>
      <c r="J43" t="inlineStr">
        <is>
          <t>COP</t>
        </is>
      </c>
      <c r="L43" t="inlineStr">
        <is>
          <t>Contabilidad</t>
        </is>
      </c>
      <c r="M43">
        <f>IFERROR(INDEX(Diccionario!$N:$N,MATCH(F263,Diccionario!$C:$C,0)),"")</f>
        <v/>
      </c>
    </row>
    <row r="44" ht="15" customHeight="1" s="57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s="34" t="n">
        <v>2000000</v>
      </c>
      <c r="J44" t="inlineStr">
        <is>
          <t>COP</t>
        </is>
      </c>
      <c r="L44" t="inlineStr">
        <is>
          <t>Contabilidad</t>
        </is>
      </c>
      <c r="M44">
        <f>IFERROR(INDEX(Diccionario!$N:$N,MATCH(F267,Diccionario!$C:$C,0)),"")</f>
        <v/>
      </c>
    </row>
    <row r="45" ht="15" customHeight="1" s="57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s="34" t="n">
        <v>16000000</v>
      </c>
      <c r="J45" t="inlineStr">
        <is>
          <t>COP</t>
        </is>
      </c>
      <c r="L45" t="inlineStr">
        <is>
          <t>Contabilidad</t>
        </is>
      </c>
      <c r="M45">
        <f>IFERROR(INDEX(Diccionario!$N:$N,MATCH(F262,Diccionario!$C:$C,0)),"")</f>
        <v/>
      </c>
    </row>
    <row r="46" ht="15" customHeight="1" s="57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s="34" t="n">
        <v>44000000</v>
      </c>
      <c r="J46" t="inlineStr">
        <is>
          <t>COP</t>
        </is>
      </c>
      <c r="L46" t="inlineStr">
        <is>
          <t>Contabilidad</t>
        </is>
      </c>
      <c r="M46">
        <f>IFERROR(INDEX(Diccionario!$N:$N,MATCH(F261,Diccionario!$C:$C,0)),"")</f>
        <v/>
      </c>
    </row>
    <row r="47" ht="15" customHeight="1" s="5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s="34" t="n">
        <v>2000000</v>
      </c>
      <c r="J47" t="inlineStr">
        <is>
          <t>COP</t>
        </is>
      </c>
      <c r="L47" t="inlineStr">
        <is>
          <t>Contabilidad</t>
        </is>
      </c>
      <c r="M47">
        <f>IFERROR(INDEX(Diccionario!$N:$N,MATCH(F264,Diccionario!$C:$C,0)),"")</f>
        <v/>
      </c>
    </row>
    <row r="48" ht="15" customHeight="1" s="57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s="34" t="n">
        <v>6000000</v>
      </c>
      <c r="J48" t="inlineStr">
        <is>
          <t>COP</t>
        </is>
      </c>
      <c r="L48" t="inlineStr">
        <is>
          <t>Contabilidad</t>
        </is>
      </c>
      <c r="M48">
        <f>IFERROR(INDEX(Diccionario!$N:$N,MATCH(F265,Diccionario!$C:$C,0)),"")</f>
        <v/>
      </c>
    </row>
    <row r="49" ht="15" customHeight="1" s="57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s="34" t="n">
        <v>24000000</v>
      </c>
      <c r="J49" t="inlineStr">
        <is>
          <t>COP</t>
        </is>
      </c>
      <c r="L49" t="inlineStr">
        <is>
          <t>Contabilidad</t>
        </is>
      </c>
      <c r="M49">
        <f>IFERROR(INDEX(Diccionario!$N:$N,MATCH(F266,Diccionario!$C:$C,0)),"")</f>
        <v/>
      </c>
    </row>
    <row r="50" ht="15" customHeight="1" s="57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s="34" t="n">
        <v>124000000</v>
      </c>
      <c r="J50" t="inlineStr">
        <is>
          <t>COP</t>
        </is>
      </c>
      <c r="L50" t="inlineStr">
        <is>
          <t>Contabilidad</t>
        </is>
      </c>
      <c r="M50">
        <f>IFERROR(INDEX(Diccionario!$N:$N,MATCH(F123,Diccionario!$C:$C,0)),"")</f>
        <v/>
      </c>
    </row>
    <row r="51" ht="15" customHeight="1" s="57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s="34" t="n">
        <v>112000000</v>
      </c>
      <c r="J51" t="inlineStr">
        <is>
          <t>COP</t>
        </is>
      </c>
      <c r="L51" t="inlineStr">
        <is>
          <t>Contabilidad</t>
        </is>
      </c>
      <c r="M51">
        <f>IFERROR(INDEX(Diccionario!$N:$N,MATCH(F122,Diccionario!$C:$C,0)),"")</f>
        <v/>
      </c>
    </row>
    <row r="52" ht="15" customHeight="1" s="57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s="34" t="n">
        <v>3000000</v>
      </c>
      <c r="J52" t="inlineStr">
        <is>
          <t>COP</t>
        </is>
      </c>
      <c r="L52" t="inlineStr">
        <is>
          <t>Contabilidad</t>
        </is>
      </c>
      <c r="M52">
        <f>IFERROR(INDEX(Diccionario!$N:$N,MATCH(F119,Diccionario!$C:$C,0)),"")</f>
        <v/>
      </c>
    </row>
    <row r="53" ht="15" customHeight="1" s="57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s="34" t="n">
        <v>115000000</v>
      </c>
      <c r="J53" t="inlineStr">
        <is>
          <t>COP</t>
        </is>
      </c>
      <c r="L53" t="inlineStr">
        <is>
          <t>Contabilidad</t>
        </is>
      </c>
      <c r="M53">
        <f>IFERROR(INDEX(Diccionario!$N:$N,MATCH(F121,Diccionario!$C:$C,0)),"")</f>
        <v/>
      </c>
    </row>
    <row r="54" ht="15" customHeight="1" s="57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s="34" t="n">
        <v>161000000</v>
      </c>
      <c r="J54" t="inlineStr">
        <is>
          <t>COP</t>
        </is>
      </c>
      <c r="L54" t="inlineStr">
        <is>
          <t>Contabilidad</t>
        </is>
      </c>
      <c r="M54">
        <f>IFERROR(INDEX(Diccionario!$N:$N,MATCH(F120,Diccionario!$C:$C,0)),"")</f>
        <v/>
      </c>
    </row>
    <row r="55" ht="15" customHeight="1" s="57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s="34" t="n">
        <v>3000000</v>
      </c>
      <c r="J55" t="inlineStr">
        <is>
          <t>COP</t>
        </is>
      </c>
      <c r="L55" t="inlineStr">
        <is>
          <t>Contabilidad</t>
        </is>
      </c>
      <c r="M55">
        <f>IFERROR(INDEX(Diccionario!$N:$N,MATCH(F839,Diccionario!$C:$C,0)),"")</f>
        <v/>
      </c>
    </row>
    <row r="56" ht="15" customHeight="1" s="57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s="34" t="n">
        <v>3000000</v>
      </c>
      <c r="J56" t="inlineStr">
        <is>
          <t>COP</t>
        </is>
      </c>
      <c r="L56" t="inlineStr">
        <is>
          <t>Contabilidad</t>
        </is>
      </c>
      <c r="M56">
        <f>IFERROR(INDEX(Diccionario!$N:$N,MATCH(F835,Diccionario!$C:$C,0)),"")</f>
        <v/>
      </c>
    </row>
    <row r="57" ht="15" customHeight="1" s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s="34" t="n">
        <v>83000000</v>
      </c>
      <c r="J57" t="inlineStr">
        <is>
          <t>COP</t>
        </is>
      </c>
      <c r="L57" t="inlineStr">
        <is>
          <t>Contabilidad</t>
        </is>
      </c>
      <c r="M57">
        <f>IFERROR(INDEX(Diccionario!$N:$N,MATCH(F834,Diccionario!$C:$C,0)),"")</f>
        <v/>
      </c>
    </row>
    <row r="58" ht="15" customHeight="1" s="57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s="34" t="n">
        <v>2000000</v>
      </c>
      <c r="J58" t="inlineStr">
        <is>
          <t>COP</t>
        </is>
      </c>
      <c r="L58" t="inlineStr">
        <is>
          <t>Contabilidad</t>
        </is>
      </c>
      <c r="M58">
        <f>IFERROR(INDEX(Diccionario!$N:$N,MATCH(F836,Diccionario!$C:$C,0)),"")</f>
        <v/>
      </c>
    </row>
    <row r="59" ht="15" customHeight="1" s="57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s="34" t="n">
        <v>11000000</v>
      </c>
      <c r="J59" t="inlineStr">
        <is>
          <t>COP</t>
        </is>
      </c>
      <c r="L59" t="inlineStr">
        <is>
          <t>Contabilidad</t>
        </is>
      </c>
      <c r="M59">
        <f>IFERROR(INDEX(Diccionario!$N:$N,MATCH(F837,Diccionario!$C:$C,0)),"")</f>
        <v/>
      </c>
    </row>
    <row r="60" ht="15" customHeight="1" s="57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s="34" t="n">
        <v>10000000</v>
      </c>
      <c r="J60" t="inlineStr">
        <is>
          <t>COP</t>
        </is>
      </c>
      <c r="L60" t="inlineStr">
        <is>
          <t>Contabilidad</t>
        </is>
      </c>
      <c r="M60">
        <f>IFERROR(INDEX(Diccionario!$N:$N,MATCH(F838,Diccionario!$C:$C,0)),"")</f>
        <v/>
      </c>
    </row>
    <row r="61" ht="15" customHeight="1" s="57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s="34" t="n">
        <v>6000000</v>
      </c>
      <c r="J61" t="inlineStr">
        <is>
          <t>COP</t>
        </is>
      </c>
      <c r="L61" t="inlineStr">
        <is>
          <t>Contabilidad</t>
        </is>
      </c>
      <c r="M61">
        <f>IFERROR(INDEX(Diccionario!$N:$N,MATCH(F721,Diccionario!$C:$C,0)),"")</f>
        <v/>
      </c>
    </row>
    <row r="62" ht="15" customHeight="1" s="57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s="34" t="n">
        <v>99000000</v>
      </c>
      <c r="J62" t="inlineStr">
        <is>
          <t>COP</t>
        </is>
      </c>
      <c r="L62" t="inlineStr">
        <is>
          <t>Contabilidad</t>
        </is>
      </c>
      <c r="M62">
        <f>IFERROR(INDEX(Diccionario!$N:$N,MATCH(F720,Diccionario!$C:$C,0)),"")</f>
        <v/>
      </c>
    </row>
    <row r="63" ht="15" customHeight="1" s="57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s="34" t="n">
        <v>2000000</v>
      </c>
      <c r="J63" t="inlineStr">
        <is>
          <t>COP</t>
        </is>
      </c>
      <c r="L63" t="inlineStr">
        <is>
          <t>Contabilidad</t>
        </is>
      </c>
      <c r="M63">
        <f>IFERROR(INDEX(Diccionario!$N:$N,MATCH(F722,Diccionario!$C:$C,0)),"")</f>
        <v/>
      </c>
    </row>
    <row r="64" ht="15" customHeight="1" s="57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s="34" t="n">
        <v>0</v>
      </c>
      <c r="J64" t="inlineStr">
        <is>
          <t>COP</t>
        </is>
      </c>
      <c r="L64" t="inlineStr">
        <is>
          <t>Contabilidad</t>
        </is>
      </c>
      <c r="M64">
        <f>IFERROR(INDEX(Diccionario!$N:$N,MATCH(F723,Diccionario!$C:$C,0)),"")</f>
        <v/>
      </c>
    </row>
    <row r="65" ht="15" customHeight="1" s="57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s="34" t="n">
        <v>1000000</v>
      </c>
      <c r="J65" t="inlineStr">
        <is>
          <t>COP</t>
        </is>
      </c>
      <c r="L65" t="inlineStr">
        <is>
          <t>Contabilidad</t>
        </is>
      </c>
      <c r="M65">
        <f>IFERROR(INDEX(Diccionario!$N:$N,MATCH(F603,Diccionario!$C:$C,0)),"")</f>
        <v/>
      </c>
    </row>
    <row r="66" ht="15" customHeight="1" s="57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s="34" t="n">
        <v>54000000</v>
      </c>
      <c r="J66" t="inlineStr">
        <is>
          <t>COP</t>
        </is>
      </c>
      <c r="L66" t="inlineStr">
        <is>
          <t>Contabilidad</t>
        </is>
      </c>
      <c r="M66">
        <f>IFERROR(INDEX(Diccionario!$N:$N,MATCH(F602,Diccionario!$C:$C,0)),"")</f>
        <v/>
      </c>
    </row>
    <row r="67" ht="15" customHeight="1" s="5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s="34" t="n">
        <v>4000000</v>
      </c>
      <c r="J67" t="inlineStr">
        <is>
          <t>COP</t>
        </is>
      </c>
      <c r="L67" t="inlineStr">
        <is>
          <t>Contabilidad</t>
        </is>
      </c>
      <c r="M67">
        <f>IFERROR(INDEX(Diccionario!$N:$N,MATCH(F604,Diccionario!$C:$C,0)),"")</f>
        <v/>
      </c>
    </row>
    <row r="68" ht="15" customHeight="1" s="57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s="34" t="n">
        <v>21000000</v>
      </c>
      <c r="J68" t="inlineStr">
        <is>
          <t>COP</t>
        </is>
      </c>
      <c r="L68" t="inlineStr">
        <is>
          <t>Contabilidad</t>
        </is>
      </c>
      <c r="M68">
        <f>IFERROR(INDEX(Diccionario!$N:$N,MATCH(F468,Diccionario!$C:$C,0)),"")</f>
        <v/>
      </c>
    </row>
    <row r="69" ht="15" customHeight="1" s="57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s="34" t="n">
        <v>3000000</v>
      </c>
      <c r="J69" t="inlineStr">
        <is>
          <t>COP</t>
        </is>
      </c>
      <c r="L69" t="inlineStr">
        <is>
          <t>Contabilidad</t>
        </is>
      </c>
      <c r="M69">
        <f>IFERROR(INDEX(Diccionario!$N:$N,MATCH(F469,Diccionario!$C:$C,0)),"")</f>
        <v/>
      </c>
    </row>
    <row r="70" ht="15" customHeight="1" s="57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s="34" t="n">
        <v>0</v>
      </c>
      <c r="J70" t="inlineStr">
        <is>
          <t>COP</t>
        </is>
      </c>
      <c r="L70" t="inlineStr">
        <is>
          <t>Contabilidad</t>
        </is>
      </c>
      <c r="M70">
        <f>IFERROR(INDEX(Diccionario!$N:$N,MATCH(F467,Diccionario!$C:$C,0)),"")</f>
        <v/>
      </c>
    </row>
    <row r="71" ht="15" customHeight="1" s="57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s="34" t="n">
        <v>110000000</v>
      </c>
      <c r="J71" t="inlineStr">
        <is>
          <t>COP</t>
        </is>
      </c>
      <c r="L71" t="inlineStr">
        <is>
          <t>Contabilidad</t>
        </is>
      </c>
      <c r="M71">
        <f>IFERROR(INDEX(Diccionario!$N:$N,MATCH(F466,Diccionario!$C:$C,0)),"")</f>
        <v/>
      </c>
    </row>
    <row r="72" ht="15" customHeight="1" s="57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s="34" t="n">
        <v>5000000</v>
      </c>
      <c r="J72" t="inlineStr">
        <is>
          <t>COP</t>
        </is>
      </c>
      <c r="L72" t="inlineStr">
        <is>
          <t>Contabilidad</t>
        </is>
      </c>
      <c r="M72">
        <f>IFERROR(INDEX(Diccionario!$N:$N,MATCH(F470,Diccionario!$C:$C,0)),"")</f>
        <v/>
      </c>
    </row>
    <row r="73" ht="15" customHeight="1" s="57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s="34" t="n">
        <v>19000000</v>
      </c>
      <c r="J73" t="inlineStr">
        <is>
          <t>COP</t>
        </is>
      </c>
      <c r="L73" t="inlineStr">
        <is>
          <t>Contabilidad</t>
        </is>
      </c>
      <c r="M73">
        <f>IFERROR(INDEX(Diccionario!$N:$N,MATCH(F270,Diccionario!$C:$C,0)),"")</f>
        <v/>
      </c>
    </row>
    <row r="74" ht="15" customHeight="1" s="57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s="34" t="n">
        <v>6000000</v>
      </c>
      <c r="J74" t="inlineStr">
        <is>
          <t>COP</t>
        </is>
      </c>
      <c r="L74" t="inlineStr">
        <is>
          <t>Contabilidad</t>
        </is>
      </c>
      <c r="M74">
        <f>IFERROR(INDEX(Diccionario!$N:$N,MATCH(F274,Diccionario!$C:$C,0)),"")</f>
        <v/>
      </c>
    </row>
    <row r="75" ht="15" customHeight="1" s="57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s="34" t="n">
        <v>18000000</v>
      </c>
      <c r="J75" t="inlineStr">
        <is>
          <t>COP</t>
        </is>
      </c>
      <c r="L75" t="inlineStr">
        <is>
          <t>Contabilidad</t>
        </is>
      </c>
      <c r="M75">
        <f>IFERROR(INDEX(Diccionario!$N:$N,MATCH(F269,Diccionario!$C:$C,0)),"")</f>
        <v/>
      </c>
    </row>
    <row r="76" ht="15" customHeight="1" s="57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s="34" t="n">
        <v>69000000</v>
      </c>
      <c r="J76" t="inlineStr">
        <is>
          <t>COP</t>
        </is>
      </c>
      <c r="L76" t="inlineStr">
        <is>
          <t>Contabilidad</t>
        </is>
      </c>
      <c r="M76">
        <f>IFERROR(INDEX(Diccionario!$N:$N,MATCH(F268,Diccionario!$C:$C,0)),"")</f>
        <v/>
      </c>
    </row>
    <row r="77" ht="15" customHeight="1" s="5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s="34" t="n">
        <v>2000000</v>
      </c>
      <c r="J77" t="inlineStr">
        <is>
          <t>COP</t>
        </is>
      </c>
      <c r="L77" t="inlineStr">
        <is>
          <t>Contabilidad</t>
        </is>
      </c>
      <c r="M77">
        <f>IFERROR(INDEX(Diccionario!$N:$N,MATCH(F271,Diccionario!$C:$C,0)),"")</f>
        <v/>
      </c>
    </row>
    <row r="78" ht="15" customHeight="1" s="57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s="34" t="n">
        <v>1000000</v>
      </c>
      <c r="J78" t="inlineStr">
        <is>
          <t>COP</t>
        </is>
      </c>
      <c r="L78" t="inlineStr">
        <is>
          <t>Contabilidad</t>
        </is>
      </c>
      <c r="M78">
        <f>IFERROR(INDEX(Diccionario!$N:$N,MATCH(F272,Diccionario!$C:$C,0)),"")</f>
        <v/>
      </c>
    </row>
    <row r="79" ht="15" customHeight="1" s="57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s="34" t="n">
        <v>7000000</v>
      </c>
      <c r="J79" t="inlineStr">
        <is>
          <t>COP</t>
        </is>
      </c>
      <c r="L79" t="inlineStr">
        <is>
          <t>Contabilidad</t>
        </is>
      </c>
      <c r="M79">
        <f>IFERROR(INDEX(Diccionario!$N:$N,MATCH(F273,Diccionario!$C:$C,0)),"")</f>
        <v/>
      </c>
    </row>
    <row r="80" ht="15" customHeight="1" s="57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s="34" t="n">
        <v>125000000</v>
      </c>
      <c r="J80" t="inlineStr">
        <is>
          <t>COP</t>
        </is>
      </c>
      <c r="L80" t="inlineStr">
        <is>
          <t>Contabilidad</t>
        </is>
      </c>
      <c r="M80">
        <f>IFERROR(INDEX(Diccionario!$N:$N,MATCH(F128,Diccionario!$C:$C,0)),"")</f>
        <v/>
      </c>
    </row>
    <row r="81" ht="15" customHeight="1" s="57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s="34" t="n">
        <v>132000000</v>
      </c>
      <c r="J81" t="inlineStr">
        <is>
          <t>COP</t>
        </is>
      </c>
      <c r="L81" t="inlineStr">
        <is>
          <t>Contabilidad</t>
        </is>
      </c>
      <c r="M81">
        <f>IFERROR(INDEX(Diccionario!$N:$N,MATCH(F127,Diccionario!$C:$C,0)),"")</f>
        <v/>
      </c>
    </row>
    <row r="82" ht="15" customHeight="1" s="57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s="34" t="n">
        <v>3000000</v>
      </c>
      <c r="J82" t="inlineStr">
        <is>
          <t>COP</t>
        </is>
      </c>
      <c r="L82" t="inlineStr">
        <is>
          <t>Contabilidad</t>
        </is>
      </c>
      <c r="M82">
        <f>IFERROR(INDEX(Diccionario!$N:$N,MATCH(F124,Diccionario!$C:$C,0)),"")</f>
        <v/>
      </c>
    </row>
    <row r="83" ht="15" customHeight="1" s="57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s="34" t="n">
        <v>130000000</v>
      </c>
      <c r="J83" t="inlineStr">
        <is>
          <t>COP</t>
        </is>
      </c>
      <c r="L83" t="inlineStr">
        <is>
          <t>Contabilidad</t>
        </is>
      </c>
      <c r="M83">
        <f>IFERROR(INDEX(Diccionario!$N:$N,MATCH(F126,Diccionario!$C:$C,0)),"")</f>
        <v/>
      </c>
    </row>
    <row r="84" ht="15" customHeight="1" s="57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s="34" t="n">
        <v>175000000</v>
      </c>
      <c r="J84" t="inlineStr">
        <is>
          <t>COP</t>
        </is>
      </c>
      <c r="L84" t="inlineStr">
        <is>
          <t>Contabilidad</t>
        </is>
      </c>
      <c r="M84">
        <f>IFERROR(INDEX(Diccionario!$N:$N,MATCH(F125,Diccionario!$C:$C,0)),"")</f>
        <v/>
      </c>
    </row>
    <row r="85" ht="15" customHeight="1" s="57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s="34" t="n">
        <v>2000000</v>
      </c>
      <c r="J85" t="inlineStr">
        <is>
          <t>COP</t>
        </is>
      </c>
      <c r="L85" t="inlineStr">
        <is>
          <t>Contabilidad</t>
        </is>
      </c>
      <c r="M85">
        <f>IFERROR(INDEX(Diccionario!$N:$N,MATCH(F844,Diccionario!$C:$C,0)),"")</f>
        <v/>
      </c>
    </row>
    <row r="86" ht="15" customHeight="1" s="57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s="34" t="n">
        <v>6000000</v>
      </c>
      <c r="J86" t="inlineStr">
        <is>
          <t>COP</t>
        </is>
      </c>
      <c r="L86" t="inlineStr">
        <is>
          <t>Contabilidad</t>
        </is>
      </c>
      <c r="M86">
        <f>IFERROR(INDEX(Diccionario!$N:$N,MATCH(F841,Diccionario!$C:$C,0)),"")</f>
        <v/>
      </c>
    </row>
    <row r="87" ht="15" customHeight="1" s="5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s="34" t="n">
        <v>63000000</v>
      </c>
      <c r="J87" t="inlineStr">
        <is>
          <t>COP</t>
        </is>
      </c>
      <c r="L87" t="inlineStr">
        <is>
          <t>Contabilidad</t>
        </is>
      </c>
      <c r="M87">
        <f>IFERROR(INDEX(Diccionario!$N:$N,MATCH(F840,Diccionario!$C:$C,0)),"")</f>
        <v/>
      </c>
    </row>
    <row r="88" ht="15" customHeight="1" s="57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s="34" t="n">
        <v>1000000</v>
      </c>
      <c r="J88" t="inlineStr">
        <is>
          <t>COP</t>
        </is>
      </c>
      <c r="L88" t="inlineStr">
        <is>
          <t>Contabilidad</t>
        </is>
      </c>
      <c r="M88">
        <f>IFERROR(INDEX(Diccionario!$N:$N,MATCH(F842,Diccionario!$C:$C,0)),"")</f>
        <v/>
      </c>
    </row>
    <row r="89" ht="15" customHeight="1" s="57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s="34" t="n">
        <v>46000000</v>
      </c>
      <c r="J89" t="inlineStr">
        <is>
          <t>COP</t>
        </is>
      </c>
      <c r="L89" t="inlineStr">
        <is>
          <t>Contabilidad</t>
        </is>
      </c>
      <c r="M89">
        <f>IFERROR(INDEX(Diccionario!$N:$N,MATCH(F843,Diccionario!$C:$C,0)),"")</f>
        <v/>
      </c>
    </row>
    <row r="90" ht="15" customHeight="1" s="57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s="34" t="n">
        <v>12000000</v>
      </c>
      <c r="J90" t="inlineStr">
        <is>
          <t>COP</t>
        </is>
      </c>
      <c r="L90" t="inlineStr">
        <is>
          <t>Contabilidad</t>
        </is>
      </c>
      <c r="M90">
        <f>IFERROR(INDEX(Diccionario!$N:$N,MATCH(F725,Diccionario!$C:$C,0)),"")</f>
        <v/>
      </c>
    </row>
    <row r="91" ht="15" customHeight="1" s="57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s="34" t="n">
        <v>103000000</v>
      </c>
      <c r="J91" t="inlineStr">
        <is>
          <t>COP</t>
        </is>
      </c>
      <c r="L91" t="inlineStr">
        <is>
          <t>Contabilidad</t>
        </is>
      </c>
      <c r="M91">
        <f>IFERROR(INDEX(Diccionario!$N:$N,MATCH(F724,Diccionario!$C:$C,0)),"")</f>
        <v/>
      </c>
    </row>
    <row r="92" ht="15" customHeight="1" s="57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s="34" t="n">
        <v>0</v>
      </c>
      <c r="J92" t="inlineStr">
        <is>
          <t>COP</t>
        </is>
      </c>
      <c r="L92" t="inlineStr">
        <is>
          <t>Contabilidad</t>
        </is>
      </c>
      <c r="M92">
        <f>IFERROR(INDEX(Diccionario!$N:$N,MATCH(F726,Diccionario!$C:$C,0)),"")</f>
        <v/>
      </c>
    </row>
    <row r="93" ht="15" customHeight="1" s="57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s="34" t="n">
        <v>0</v>
      </c>
      <c r="J93" t="inlineStr">
        <is>
          <t>COP</t>
        </is>
      </c>
      <c r="L93" t="inlineStr">
        <is>
          <t>Contabilidad</t>
        </is>
      </c>
      <c r="M93">
        <f>IFERROR(INDEX(Diccionario!$N:$N,MATCH(F727,Diccionario!$C:$C,0)),"")</f>
        <v/>
      </c>
    </row>
    <row r="94" ht="15" customHeight="1" s="57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s="34" t="n">
        <v>1000000</v>
      </c>
      <c r="J94" t="inlineStr">
        <is>
          <t>COP</t>
        </is>
      </c>
      <c r="L94" t="inlineStr">
        <is>
          <t>Contabilidad</t>
        </is>
      </c>
      <c r="M94">
        <f>IFERROR(INDEX(Diccionario!$N:$N,MATCH(F606,Diccionario!$C:$C,0)),"")</f>
        <v/>
      </c>
    </row>
    <row r="95" ht="15" customHeight="1" s="57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s="34" t="n">
        <v>46000000</v>
      </c>
      <c r="J95" t="inlineStr">
        <is>
          <t>COP</t>
        </is>
      </c>
      <c r="L95" t="inlineStr">
        <is>
          <t>Contabilidad</t>
        </is>
      </c>
      <c r="M95">
        <f>IFERROR(INDEX(Diccionario!$N:$N,MATCH(F605,Diccionario!$C:$C,0)),"")</f>
        <v/>
      </c>
    </row>
    <row r="96" ht="15" customHeight="1" s="57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s="34" t="n">
        <v>3000000</v>
      </c>
      <c r="J96" t="inlineStr">
        <is>
          <t>COP</t>
        </is>
      </c>
      <c r="L96" t="inlineStr">
        <is>
          <t>Contabilidad</t>
        </is>
      </c>
      <c r="M96">
        <f>IFERROR(INDEX(Diccionario!$N:$N,MATCH(F607,Diccionario!$C:$C,0)),"")</f>
        <v/>
      </c>
    </row>
    <row r="97" ht="15" customHeight="1" s="5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s="34" t="n">
        <v>18000000</v>
      </c>
      <c r="J97" t="inlineStr">
        <is>
          <t>COP</t>
        </is>
      </c>
      <c r="L97" t="inlineStr">
        <is>
          <t>Contabilidad</t>
        </is>
      </c>
      <c r="M97">
        <f>IFERROR(INDEX(Diccionario!$N:$N,MATCH(F473,Diccionario!$C:$C,0)),"")</f>
        <v/>
      </c>
    </row>
    <row r="98" ht="15" customHeight="1" s="57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s="34" t="n">
        <v>2000000</v>
      </c>
      <c r="J98" t="inlineStr">
        <is>
          <t>COP</t>
        </is>
      </c>
      <c r="L98" t="inlineStr">
        <is>
          <t>Contabilidad</t>
        </is>
      </c>
      <c r="M98">
        <f>IFERROR(INDEX(Diccionario!$N:$N,MATCH(F474,Diccionario!$C:$C,0)),"")</f>
        <v/>
      </c>
    </row>
    <row r="99" ht="15" customHeight="1" s="57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s="34" t="n">
        <v>0</v>
      </c>
      <c r="J99" t="inlineStr">
        <is>
          <t>COP</t>
        </is>
      </c>
      <c r="L99" t="inlineStr">
        <is>
          <t>Contabilidad</t>
        </is>
      </c>
      <c r="M99">
        <f>IFERROR(INDEX(Diccionario!$N:$N,MATCH(F472,Diccionario!$C:$C,0)),"")</f>
        <v/>
      </c>
    </row>
    <row r="100" ht="15" customHeight="1" s="57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s="34" t="n">
        <v>107000000</v>
      </c>
      <c r="J100" t="inlineStr">
        <is>
          <t>COP</t>
        </is>
      </c>
      <c r="L100" t="inlineStr">
        <is>
          <t>Contabilidad</t>
        </is>
      </c>
      <c r="M100">
        <f>IFERROR(INDEX(Diccionario!$N:$N,MATCH(F471,Diccionario!$C:$C,0)),"")</f>
        <v/>
      </c>
    </row>
    <row r="101" ht="15" customHeight="1" s="57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s="34" t="n">
        <v>4000000</v>
      </c>
      <c r="J101" t="inlineStr">
        <is>
          <t>COP</t>
        </is>
      </c>
      <c r="L101" t="inlineStr">
        <is>
          <t>Contabilidad</t>
        </is>
      </c>
      <c r="M101">
        <f>IFERROR(INDEX(Diccionario!$N:$N,MATCH(F475,Diccionario!$C:$C,0)),"")</f>
        <v/>
      </c>
    </row>
    <row r="102" ht="15" customHeight="1" s="57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s="45" t="n">
        <v>22.66</v>
      </c>
      <c r="J102" t="inlineStr">
        <is>
          <t>%</t>
        </is>
      </c>
      <c r="L102" t="inlineStr">
        <is>
          <t>Contabilidad</t>
        </is>
      </c>
      <c r="M102">
        <f>IFERROR(INDEX(Diccionario!$N:$N,MATCH(F1001,Diccionario!$C:$C,0)),"")</f>
        <v/>
      </c>
    </row>
    <row r="103" ht="15" customHeight="1" s="57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s="34" t="n">
        <v>22000000</v>
      </c>
      <c r="J103" t="inlineStr">
        <is>
          <t>COP</t>
        </is>
      </c>
      <c r="L103" t="inlineStr">
        <is>
          <t>Contabilidad</t>
        </is>
      </c>
      <c r="M103">
        <f>IFERROR(INDEX(Diccionario!$N:$N,MATCH(F277,Diccionario!$C:$C,0)),"")</f>
        <v/>
      </c>
    </row>
    <row r="104" ht="15" customHeight="1" s="57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s="34" t="n">
        <v>2000000</v>
      </c>
      <c r="J104" t="inlineStr">
        <is>
          <t>COP</t>
        </is>
      </c>
      <c r="L104" t="inlineStr">
        <is>
          <t>Contabilidad</t>
        </is>
      </c>
      <c r="M104">
        <f>IFERROR(INDEX(Diccionario!$N:$N,MATCH(F281,Diccionario!$C:$C,0)),"")</f>
        <v/>
      </c>
    </row>
    <row r="105" ht="15" customHeight="1" s="57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s="34" t="n">
        <v>6000000</v>
      </c>
      <c r="J105" t="inlineStr">
        <is>
          <t>COP</t>
        </is>
      </c>
      <c r="L105" t="inlineStr">
        <is>
          <t>Contabilidad</t>
        </is>
      </c>
      <c r="M105">
        <f>IFERROR(INDEX(Diccionario!$N:$N,MATCH(F276,Diccionario!$C:$C,0)),"")</f>
        <v/>
      </c>
    </row>
    <row r="106" ht="15" customHeight="1" s="57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s="34" t="n">
        <v>48000000</v>
      </c>
      <c r="J106" t="inlineStr">
        <is>
          <t>COP</t>
        </is>
      </c>
      <c r="L106" t="inlineStr">
        <is>
          <t>Contabilidad</t>
        </is>
      </c>
      <c r="M106">
        <f>IFERROR(INDEX(Diccionario!$N:$N,MATCH(F275,Diccionario!$C:$C,0)),"")</f>
        <v/>
      </c>
    </row>
    <row r="107" ht="15" customHeight="1" s="5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s="34" t="n">
        <v>5000000</v>
      </c>
      <c r="J107" t="inlineStr">
        <is>
          <t>COP</t>
        </is>
      </c>
      <c r="L107" t="inlineStr">
        <is>
          <t>Contabilidad</t>
        </is>
      </c>
      <c r="M107">
        <f>IFERROR(INDEX(Diccionario!$N:$N,MATCH(F278,Diccionario!$C:$C,0)),"")</f>
        <v/>
      </c>
    </row>
    <row r="108" ht="15" customHeight="1" s="57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s="34" t="n">
        <v>7000000</v>
      </c>
      <c r="J108" t="inlineStr">
        <is>
          <t>COP</t>
        </is>
      </c>
      <c r="L108" t="inlineStr">
        <is>
          <t>Contabilidad</t>
        </is>
      </c>
      <c r="M108">
        <f>IFERROR(INDEX(Diccionario!$N:$N,MATCH(F279,Diccionario!$C:$C,0)),"")</f>
        <v/>
      </c>
    </row>
    <row r="109" ht="15" customHeight="1" s="57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s="34" t="n">
        <v>4000000</v>
      </c>
      <c r="J109" t="inlineStr">
        <is>
          <t>COP</t>
        </is>
      </c>
      <c r="L109" t="inlineStr">
        <is>
          <t>Contabilidad</t>
        </is>
      </c>
      <c r="M109">
        <f>IFERROR(INDEX(Diccionario!$N:$N,MATCH(F280,Diccionario!$C:$C,0)),"")</f>
        <v/>
      </c>
    </row>
    <row r="110" ht="15" customHeight="1" s="57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s="34" t="n">
        <v>94000000</v>
      </c>
      <c r="J110" t="inlineStr">
        <is>
          <t>COP</t>
        </is>
      </c>
      <c r="L110" t="inlineStr">
        <is>
          <t>Contabilidad</t>
        </is>
      </c>
      <c r="M110">
        <f>IFERROR(INDEX(Diccionario!$N:$N,MATCH(F133,Diccionario!$C:$C,0)),"")</f>
        <v/>
      </c>
    </row>
    <row r="111" ht="15" customHeight="1" s="57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s="34" t="n">
        <v>147000000</v>
      </c>
      <c r="J111" t="inlineStr">
        <is>
          <t>COP</t>
        </is>
      </c>
      <c r="L111" t="inlineStr">
        <is>
          <t>Contabilidad</t>
        </is>
      </c>
      <c r="M111">
        <f>IFERROR(INDEX(Diccionario!$N:$N,MATCH(F132,Diccionario!$C:$C,0)),"")</f>
        <v/>
      </c>
    </row>
    <row r="112" ht="15" customHeight="1" s="57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s="34" t="n">
        <v>6000000</v>
      </c>
      <c r="J112" t="inlineStr">
        <is>
          <t>COP</t>
        </is>
      </c>
      <c r="L112" t="inlineStr">
        <is>
          <t>Contabilidad</t>
        </is>
      </c>
      <c r="M112">
        <f>IFERROR(INDEX(Diccionario!$N:$N,MATCH(F129,Diccionario!$C:$C,0)),"")</f>
        <v/>
      </c>
    </row>
    <row r="113" ht="15" customHeight="1" s="57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s="34" t="n">
        <v>130000000</v>
      </c>
      <c r="J113" t="inlineStr">
        <is>
          <t>COP</t>
        </is>
      </c>
      <c r="L113" t="inlineStr">
        <is>
          <t>Contabilidad</t>
        </is>
      </c>
      <c r="M113">
        <f>IFERROR(INDEX(Diccionario!$N:$N,MATCH(F131,Diccionario!$C:$C,0)),"")</f>
        <v/>
      </c>
    </row>
    <row r="114" ht="15" customHeight="1" s="57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s="34" t="n">
        <v>195000000</v>
      </c>
      <c r="J114" t="inlineStr">
        <is>
          <t>COP</t>
        </is>
      </c>
      <c r="L114" t="inlineStr">
        <is>
          <t>Contabilidad</t>
        </is>
      </c>
      <c r="M114">
        <f>IFERROR(INDEX(Diccionario!$N:$N,MATCH(F130,Diccionario!$C:$C,0)),"")</f>
        <v/>
      </c>
    </row>
    <row r="115" ht="15" customHeight="1" s="57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s="34" t="n">
        <v>4000000</v>
      </c>
      <c r="J115" t="inlineStr">
        <is>
          <t>COP</t>
        </is>
      </c>
      <c r="L115" t="inlineStr">
        <is>
          <t>Contabilidad</t>
        </is>
      </c>
      <c r="M115">
        <f>IFERROR(INDEX(Diccionario!$N:$N,MATCH(F850,Diccionario!$C:$C,0)),"")</f>
        <v/>
      </c>
    </row>
    <row r="116" ht="15" customHeight="1" s="57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s="34" t="n">
        <v>12000000</v>
      </c>
      <c r="J116" t="inlineStr">
        <is>
          <t>COP</t>
        </is>
      </c>
      <c r="L116" t="inlineStr">
        <is>
          <t>Contabilidad</t>
        </is>
      </c>
      <c r="M116">
        <f>IFERROR(INDEX(Diccionario!$N:$N,MATCH(F846,Diccionario!$C:$C,0)),"")</f>
        <v/>
      </c>
    </row>
    <row r="117" ht="15" customHeight="1" s="5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s="34" t="n">
        <v>93000000</v>
      </c>
      <c r="J117" t="inlineStr">
        <is>
          <t>COP</t>
        </is>
      </c>
      <c r="L117" t="inlineStr">
        <is>
          <t>Contabilidad</t>
        </is>
      </c>
      <c r="M117">
        <f>IFERROR(INDEX(Diccionario!$N:$N,MATCH(F845,Diccionario!$C:$C,0)),"")</f>
        <v/>
      </c>
    </row>
    <row r="118" ht="15" customHeight="1" s="57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s="34" t="n">
        <v>0</v>
      </c>
      <c r="J118" t="inlineStr">
        <is>
          <t>COP</t>
        </is>
      </c>
      <c r="L118" t="inlineStr">
        <is>
          <t>Contabilidad</t>
        </is>
      </c>
      <c r="M118">
        <f>IFERROR(INDEX(Diccionario!$N:$N,MATCH(F847,Diccionario!$C:$C,0)),"")</f>
        <v/>
      </c>
    </row>
    <row r="119" ht="15" customHeight="1" s="57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s="34" t="n">
        <v>22000000</v>
      </c>
      <c r="J119" t="inlineStr">
        <is>
          <t>COP</t>
        </is>
      </c>
      <c r="L119" t="inlineStr">
        <is>
          <t>Contabilidad</t>
        </is>
      </c>
      <c r="M119">
        <f>IFERROR(INDEX(Diccionario!$N:$N,MATCH(F848,Diccionario!$C:$C,0)),"")</f>
        <v/>
      </c>
    </row>
    <row r="120" ht="15" customHeight="1" s="57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s="34" t="n">
        <v>15000000</v>
      </c>
      <c r="J120" t="inlineStr">
        <is>
          <t>COP</t>
        </is>
      </c>
      <c r="L120" t="inlineStr">
        <is>
          <t>Contabilidad</t>
        </is>
      </c>
      <c r="M120">
        <f>IFERROR(INDEX(Diccionario!$N:$N,MATCH(F849,Diccionario!$C:$C,0)),"")</f>
        <v/>
      </c>
    </row>
    <row r="121" ht="15" customHeight="1" s="57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s="34" t="n">
        <v>10000000</v>
      </c>
      <c r="J121" t="inlineStr">
        <is>
          <t>COP</t>
        </is>
      </c>
      <c r="L121" t="inlineStr">
        <is>
          <t>Contabilidad</t>
        </is>
      </c>
      <c r="M121">
        <f>IFERROR(INDEX(Diccionario!$N:$N,MATCH(F729,Diccionario!$C:$C,0)),"")</f>
        <v/>
      </c>
    </row>
    <row r="122" ht="15" customHeight="1" s="57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s="34" t="n">
        <v>108000000</v>
      </c>
      <c r="J122" t="inlineStr">
        <is>
          <t>COP</t>
        </is>
      </c>
      <c r="L122" t="inlineStr">
        <is>
          <t>Contabilidad</t>
        </is>
      </c>
      <c r="M122">
        <f>IFERROR(INDEX(Diccionario!$N:$N,MATCH(F728,Diccionario!$C:$C,0)),"")</f>
        <v/>
      </c>
    </row>
    <row r="123" ht="15" customHeight="1" s="57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s="34" t="n">
        <v>15000000</v>
      </c>
      <c r="J123" t="inlineStr">
        <is>
          <t>COP</t>
        </is>
      </c>
      <c r="L123" t="inlineStr">
        <is>
          <t>Contabilidad</t>
        </is>
      </c>
      <c r="M123">
        <f>IFERROR(INDEX(Diccionario!$N:$N,MATCH(F730,Diccionario!$C:$C,0)),"")</f>
        <v/>
      </c>
    </row>
    <row r="124" ht="15" customHeight="1" s="57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s="34" t="n">
        <v>1000000</v>
      </c>
      <c r="J124" t="inlineStr">
        <is>
          <t>COP</t>
        </is>
      </c>
      <c r="L124" t="inlineStr">
        <is>
          <t>Contabilidad</t>
        </is>
      </c>
      <c r="M124">
        <f>IFERROR(INDEX(Diccionario!$N:$N,MATCH(F731,Diccionario!$C:$C,0)),"")</f>
        <v/>
      </c>
    </row>
    <row r="125" ht="15" customHeight="1" s="57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s="34" t="n">
        <v>1000000</v>
      </c>
      <c r="J125" t="inlineStr">
        <is>
          <t>COP</t>
        </is>
      </c>
      <c r="L125" t="inlineStr">
        <is>
          <t>Contabilidad</t>
        </is>
      </c>
      <c r="M125">
        <f>IFERROR(INDEX(Diccionario!$N:$N,MATCH(F609,Diccionario!$C:$C,0)),"")</f>
        <v/>
      </c>
    </row>
    <row r="126" ht="15" customHeight="1" s="57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s="34" t="n">
        <v>47000000</v>
      </c>
      <c r="J126" t="inlineStr">
        <is>
          <t>COP</t>
        </is>
      </c>
      <c r="L126" t="inlineStr">
        <is>
          <t>Contabilidad</t>
        </is>
      </c>
      <c r="M126">
        <f>IFERROR(INDEX(Diccionario!$N:$N,MATCH(F608,Diccionario!$C:$C,0)),"")</f>
        <v/>
      </c>
    </row>
    <row r="127" ht="15" customHeight="1" s="5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s="34" t="n">
        <v>7000000</v>
      </c>
      <c r="J127" t="inlineStr">
        <is>
          <t>COP</t>
        </is>
      </c>
      <c r="L127" t="inlineStr">
        <is>
          <t>Contabilidad</t>
        </is>
      </c>
      <c r="M127">
        <f>IFERROR(INDEX(Diccionario!$N:$N,MATCH(F610,Diccionario!$C:$C,0)),"")</f>
        <v/>
      </c>
    </row>
    <row r="128" ht="15" customHeight="1" s="57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s="34" t="n">
        <v>23000000</v>
      </c>
      <c r="J128" t="inlineStr">
        <is>
          <t>COP</t>
        </is>
      </c>
      <c r="L128" t="inlineStr">
        <is>
          <t>Contabilidad</t>
        </is>
      </c>
      <c r="M128">
        <f>IFERROR(INDEX(Diccionario!$N:$N,MATCH(F478,Diccionario!$C:$C,0)),"")</f>
        <v/>
      </c>
    </row>
    <row r="129" ht="15" customHeight="1" s="57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s="34" t="n">
        <v>3000000</v>
      </c>
      <c r="J129" t="inlineStr">
        <is>
          <t>COP</t>
        </is>
      </c>
      <c r="L129" t="inlineStr">
        <is>
          <t>Contabilidad</t>
        </is>
      </c>
      <c r="M129">
        <f>IFERROR(INDEX(Diccionario!$N:$N,MATCH(F479,Diccionario!$C:$C,0)),"")</f>
        <v/>
      </c>
    </row>
    <row r="130" ht="15" customHeight="1" s="57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s="34" t="n">
        <v>0</v>
      </c>
      <c r="J130" t="inlineStr">
        <is>
          <t>COP</t>
        </is>
      </c>
      <c r="L130" t="inlineStr">
        <is>
          <t>Contabilidad</t>
        </is>
      </c>
      <c r="M130">
        <f>IFERROR(INDEX(Diccionario!$N:$N,MATCH(F477,Diccionario!$C:$C,0)),"")</f>
        <v/>
      </c>
    </row>
    <row r="131" ht="15" customHeight="1" s="57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s="34" t="n">
        <v>123000000</v>
      </c>
      <c r="J131" t="inlineStr">
        <is>
          <t>COP</t>
        </is>
      </c>
      <c r="L131" t="inlineStr">
        <is>
          <t>Contabilidad</t>
        </is>
      </c>
      <c r="M131">
        <f>IFERROR(INDEX(Diccionario!$N:$N,MATCH(F476,Diccionario!$C:$C,0)),"")</f>
        <v/>
      </c>
    </row>
    <row r="132" ht="15" customHeight="1" s="57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s="34" t="n">
        <v>3000000</v>
      </c>
      <c r="J132" t="inlineStr">
        <is>
          <t>COP</t>
        </is>
      </c>
      <c r="L132" t="inlineStr">
        <is>
          <t>Contabilidad</t>
        </is>
      </c>
      <c r="M132">
        <f>IFERROR(INDEX(Diccionario!$N:$N,MATCH(F480,Diccionario!$C:$C,0)),"")</f>
        <v/>
      </c>
    </row>
    <row r="133" ht="15" customHeight="1" s="57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s="45" t="n">
        <v>22.39</v>
      </c>
      <c r="J133" t="inlineStr">
        <is>
          <t>%</t>
        </is>
      </c>
      <c r="L133" t="inlineStr">
        <is>
          <t>Contabilidad</t>
        </is>
      </c>
      <c r="M133">
        <f>IFERROR(INDEX(Diccionario!$N:$N,MATCH(F1002,Diccionario!$C:$C,0)),"")</f>
        <v/>
      </c>
    </row>
    <row r="134" ht="15" customHeight="1" s="57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s="34" t="n">
        <v>23000000</v>
      </c>
      <c r="J134" t="inlineStr">
        <is>
          <t>COP</t>
        </is>
      </c>
      <c r="L134" t="inlineStr">
        <is>
          <t>Contabilidad</t>
        </is>
      </c>
      <c r="M134">
        <f>IFERROR(INDEX(Diccionario!$N:$N,MATCH(F284,Diccionario!$C:$C,0)),"")</f>
        <v/>
      </c>
    </row>
    <row r="135" ht="15" customHeight="1" s="57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s="34" t="n">
        <v>1000000</v>
      </c>
      <c r="J135" t="inlineStr">
        <is>
          <t>COP</t>
        </is>
      </c>
      <c r="L135" t="inlineStr">
        <is>
          <t>Contabilidad</t>
        </is>
      </c>
      <c r="M135">
        <f>IFERROR(INDEX(Diccionario!$N:$N,MATCH(F288,Diccionario!$C:$C,0)),"")</f>
        <v/>
      </c>
    </row>
    <row r="136" ht="15" customHeight="1" s="57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s="34" t="n">
        <v>13000000</v>
      </c>
      <c r="J136" t="inlineStr">
        <is>
          <t>COP</t>
        </is>
      </c>
      <c r="L136" t="inlineStr">
        <is>
          <t>Contabilidad</t>
        </is>
      </c>
      <c r="M136">
        <f>IFERROR(INDEX(Diccionario!$N:$N,MATCH(F283,Diccionario!$C:$C,0)),"")</f>
        <v/>
      </c>
    </row>
    <row r="137" ht="15" customHeight="1" s="5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s="34" t="n">
        <v>46000000</v>
      </c>
      <c r="J137" t="inlineStr">
        <is>
          <t>COP</t>
        </is>
      </c>
      <c r="L137" t="inlineStr">
        <is>
          <t>Contabilidad</t>
        </is>
      </c>
      <c r="M137">
        <f>IFERROR(INDEX(Diccionario!$N:$N,MATCH(F282,Diccionario!$C:$C,0)),"")</f>
        <v/>
      </c>
    </row>
    <row r="138" ht="15" customHeight="1" s="57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s="34" t="n">
        <v>4000000</v>
      </c>
      <c r="J138" t="inlineStr">
        <is>
          <t>COP</t>
        </is>
      </c>
      <c r="L138" t="inlineStr">
        <is>
          <t>Contabilidad</t>
        </is>
      </c>
      <c r="M138">
        <f>IFERROR(INDEX(Diccionario!$N:$N,MATCH(F285,Diccionario!$C:$C,0)),"")</f>
        <v/>
      </c>
    </row>
    <row r="139" ht="15" customHeight="1" s="57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s="34" t="n">
        <v>7000000</v>
      </c>
      <c r="J139" t="inlineStr">
        <is>
          <t>COP</t>
        </is>
      </c>
      <c r="L139" t="inlineStr">
        <is>
          <t>Contabilidad</t>
        </is>
      </c>
      <c r="M139">
        <f>IFERROR(INDEX(Diccionario!$N:$N,MATCH(F286,Diccionario!$C:$C,0)),"")</f>
        <v/>
      </c>
    </row>
    <row r="140" ht="15" customHeight="1" s="57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s="34" t="n">
        <v>2000000</v>
      </c>
      <c r="J140" t="inlineStr">
        <is>
          <t>COP</t>
        </is>
      </c>
      <c r="L140" t="inlineStr">
        <is>
          <t>Contabilidad</t>
        </is>
      </c>
      <c r="M140">
        <f>IFERROR(INDEX(Diccionario!$N:$N,MATCH(F287,Diccionario!$C:$C,0)),"")</f>
        <v/>
      </c>
    </row>
    <row r="141" ht="15" customHeight="1" s="57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s="34" t="n">
        <v>3000000</v>
      </c>
      <c r="J141" t="inlineStr">
        <is>
          <t>COP</t>
        </is>
      </c>
      <c r="L141" t="inlineStr">
        <is>
          <t>Contabilidad</t>
        </is>
      </c>
      <c r="M141">
        <f>IFERROR(INDEX(Diccionario!$N:$N,MATCH(F856,Diccionario!$C:$C,0)),"")</f>
        <v/>
      </c>
    </row>
    <row r="142" ht="15" customHeight="1" s="57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s="34" t="n">
        <v>14000000</v>
      </c>
      <c r="J142" t="inlineStr">
        <is>
          <t>COP</t>
        </is>
      </c>
      <c r="L142" t="inlineStr">
        <is>
          <t>Contabilidad</t>
        </is>
      </c>
      <c r="M142">
        <f>IFERROR(INDEX(Diccionario!$N:$N,MATCH(F852,Diccionario!$C:$C,0)),"")</f>
        <v/>
      </c>
    </row>
    <row r="143" ht="15" customHeight="1" s="57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s="34" t="n">
        <v>65000000</v>
      </c>
      <c r="J143" t="inlineStr">
        <is>
          <t>COP</t>
        </is>
      </c>
      <c r="L143" t="inlineStr">
        <is>
          <t>Contabilidad</t>
        </is>
      </c>
      <c r="M143">
        <f>IFERROR(INDEX(Diccionario!$N:$N,MATCH(F851,Diccionario!$C:$C,0)),"")</f>
        <v/>
      </c>
    </row>
    <row r="144" ht="15" customHeight="1" s="57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s="34" t="n">
        <v>1000000</v>
      </c>
      <c r="J144" t="inlineStr">
        <is>
          <t>COP</t>
        </is>
      </c>
      <c r="L144" t="inlineStr">
        <is>
          <t>Contabilidad</t>
        </is>
      </c>
      <c r="M144">
        <f>IFERROR(INDEX(Diccionario!$N:$N,MATCH(F853,Diccionario!$C:$C,0)),"")</f>
        <v/>
      </c>
    </row>
    <row r="145" ht="15" customHeight="1" s="57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s="34" t="n">
        <v>17000000</v>
      </c>
      <c r="J145" t="inlineStr">
        <is>
          <t>COP</t>
        </is>
      </c>
      <c r="L145" t="inlineStr">
        <is>
          <t>Contabilidad</t>
        </is>
      </c>
      <c r="M145">
        <f>IFERROR(INDEX(Diccionario!$N:$N,MATCH(F854,Diccionario!$C:$C,0)),"")</f>
        <v/>
      </c>
    </row>
    <row r="146" ht="15" customHeight="1" s="57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s="34" t="n">
        <v>18000000</v>
      </c>
      <c r="J146" t="inlineStr">
        <is>
          <t>COP</t>
        </is>
      </c>
      <c r="L146" t="inlineStr">
        <is>
          <t>Contabilidad</t>
        </is>
      </c>
      <c r="M146">
        <f>IFERROR(INDEX(Diccionario!$N:$N,MATCH(F855,Diccionario!$C:$C,0)),"")</f>
        <v/>
      </c>
    </row>
    <row r="147" ht="15" customHeight="1" s="5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s="34" t="n">
        <v>12000000</v>
      </c>
      <c r="J147" t="inlineStr">
        <is>
          <t>COP</t>
        </is>
      </c>
      <c r="L147" t="inlineStr">
        <is>
          <t>Contabilidad</t>
        </is>
      </c>
      <c r="M147">
        <f>IFERROR(INDEX(Diccionario!$N:$N,MATCH(F733,Diccionario!$C:$C,0)),"")</f>
        <v/>
      </c>
    </row>
    <row r="148" ht="15" customHeight="1" s="57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s="34" t="n">
        <v>115000000</v>
      </c>
      <c r="J148" t="inlineStr">
        <is>
          <t>COP</t>
        </is>
      </c>
      <c r="L148" t="inlineStr">
        <is>
          <t>Contabilidad</t>
        </is>
      </c>
      <c r="M148">
        <f>IFERROR(INDEX(Diccionario!$N:$N,MATCH(F732,Diccionario!$C:$C,0)),"")</f>
        <v/>
      </c>
    </row>
    <row r="149" ht="15" customHeight="1" s="57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s="34" t="n">
        <v>6000000</v>
      </c>
      <c r="J149" t="inlineStr">
        <is>
          <t>COP</t>
        </is>
      </c>
      <c r="L149" t="inlineStr">
        <is>
          <t>Contabilidad</t>
        </is>
      </c>
      <c r="M149">
        <f>IFERROR(INDEX(Diccionario!$N:$N,MATCH(F734,Diccionario!$C:$C,0)),"")</f>
        <v/>
      </c>
    </row>
    <row r="150" ht="15" customHeight="1" s="57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s="34" t="n">
        <v>0</v>
      </c>
      <c r="J150" t="inlineStr">
        <is>
          <t>COP</t>
        </is>
      </c>
      <c r="L150" t="inlineStr">
        <is>
          <t>Contabilidad</t>
        </is>
      </c>
      <c r="M150">
        <f>IFERROR(INDEX(Diccionario!$N:$N,MATCH(F735,Diccionario!$C:$C,0)),"")</f>
        <v/>
      </c>
    </row>
    <row r="151" ht="15" customHeight="1" s="57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s="34" t="n">
        <v>1000000</v>
      </c>
      <c r="J151" t="inlineStr">
        <is>
          <t>COP</t>
        </is>
      </c>
      <c r="L151" t="inlineStr">
        <is>
          <t>Contabilidad</t>
        </is>
      </c>
      <c r="M151">
        <f>IFERROR(INDEX(Diccionario!$N:$N,MATCH(F612,Diccionario!$C:$C,0)),"")</f>
        <v/>
      </c>
    </row>
    <row r="152" ht="15" customHeight="1" s="57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s="34" t="n">
        <v>47000000</v>
      </c>
      <c r="J152" t="inlineStr">
        <is>
          <t>COP</t>
        </is>
      </c>
      <c r="L152" t="inlineStr">
        <is>
          <t>Contabilidad</t>
        </is>
      </c>
      <c r="M152">
        <f>IFERROR(INDEX(Diccionario!$N:$N,MATCH(F611,Diccionario!$C:$C,0)),"")</f>
        <v/>
      </c>
    </row>
    <row r="153" ht="15" customHeight="1" s="57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s="34" t="n">
        <v>5000000</v>
      </c>
      <c r="J153" t="inlineStr">
        <is>
          <t>COP</t>
        </is>
      </c>
      <c r="L153" t="inlineStr">
        <is>
          <t>Contabilidad</t>
        </is>
      </c>
      <c r="M153">
        <f>IFERROR(INDEX(Diccionario!$N:$N,MATCH(F613,Diccionario!$C:$C,0)),"")</f>
        <v/>
      </c>
    </row>
    <row r="154" ht="15" customHeight="1" s="57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s="34" t="n">
        <v>17000000</v>
      </c>
      <c r="J154" t="inlineStr">
        <is>
          <t>COP</t>
        </is>
      </c>
      <c r="L154" t="inlineStr">
        <is>
          <t>Contabilidad</t>
        </is>
      </c>
      <c r="M154">
        <f>IFERROR(INDEX(Diccionario!$N:$N,MATCH(F483,Diccionario!$C:$C,0)),"")</f>
        <v/>
      </c>
    </row>
    <row r="155" ht="15" customHeight="1" s="57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s="34" t="n">
        <v>4000000</v>
      </c>
      <c r="J155" t="inlineStr">
        <is>
          <t>COP</t>
        </is>
      </c>
      <c r="L155" t="inlineStr">
        <is>
          <t>Contabilidad</t>
        </is>
      </c>
      <c r="M155">
        <f>IFERROR(INDEX(Diccionario!$N:$N,MATCH(F484,Diccionario!$C:$C,0)),"")</f>
        <v/>
      </c>
    </row>
    <row r="156" ht="15" customHeight="1" s="57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s="34" t="n">
        <v>0</v>
      </c>
      <c r="J156" t="inlineStr">
        <is>
          <t>COP</t>
        </is>
      </c>
      <c r="L156" t="inlineStr">
        <is>
          <t>Contabilidad</t>
        </is>
      </c>
      <c r="M156">
        <f>IFERROR(INDEX(Diccionario!$N:$N,MATCH(F482,Diccionario!$C:$C,0)),"")</f>
        <v/>
      </c>
    </row>
    <row r="157" ht="15" customHeight="1" s="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s="34" t="n">
        <v>143000000</v>
      </c>
      <c r="J157" t="inlineStr">
        <is>
          <t>COP</t>
        </is>
      </c>
      <c r="L157" t="inlineStr">
        <is>
          <t>Contabilidad</t>
        </is>
      </c>
      <c r="M157">
        <f>IFERROR(INDEX(Diccionario!$N:$N,MATCH(F481,Diccionario!$C:$C,0)),"")</f>
        <v/>
      </c>
    </row>
    <row r="158" ht="15" customHeight="1" s="57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s="34" t="n">
        <v>3000000</v>
      </c>
      <c r="J158" t="inlineStr">
        <is>
          <t>COP</t>
        </is>
      </c>
      <c r="L158" t="inlineStr">
        <is>
          <t>Contabilidad</t>
        </is>
      </c>
      <c r="M158">
        <f>IFERROR(INDEX(Diccionario!$N:$N,MATCH(F485,Diccionario!$C:$C,0)),"")</f>
        <v/>
      </c>
    </row>
    <row r="159" ht="15" customHeight="1" s="57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s="45" t="n">
        <v>24.42</v>
      </c>
      <c r="J159" t="inlineStr">
        <is>
          <t>%</t>
        </is>
      </c>
      <c r="L159" t="inlineStr">
        <is>
          <t>Contabilidad</t>
        </is>
      </c>
      <c r="M159">
        <f>IFERROR(INDEX(Diccionario!$N:$N,MATCH(F1003,Diccionario!$C:$C,0)),"")</f>
        <v/>
      </c>
    </row>
    <row r="160" ht="15" customHeight="1" s="57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s="34" t="n">
        <v>23000000</v>
      </c>
      <c r="J160" t="inlineStr">
        <is>
          <t>COP</t>
        </is>
      </c>
      <c r="L160" t="inlineStr">
        <is>
          <t>Contabilidad</t>
        </is>
      </c>
      <c r="M160">
        <f>IFERROR(INDEX(Diccionario!$N:$N,MATCH(F291,Diccionario!$C:$C,0)),"")</f>
        <v/>
      </c>
    </row>
    <row r="161" ht="15" customHeight="1" s="57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s="34" t="n">
        <v>4000000</v>
      </c>
      <c r="J161" t="inlineStr">
        <is>
          <t>COP</t>
        </is>
      </c>
      <c r="L161" t="inlineStr">
        <is>
          <t>Contabilidad</t>
        </is>
      </c>
      <c r="M161">
        <f>IFERROR(INDEX(Diccionario!$N:$N,MATCH(F295,Diccionario!$C:$C,0)),"")</f>
        <v/>
      </c>
    </row>
    <row r="162" ht="15" customHeight="1" s="57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s="34" t="n">
        <v>8000000</v>
      </c>
      <c r="J162" t="inlineStr">
        <is>
          <t>COP</t>
        </is>
      </c>
      <c r="L162" t="inlineStr">
        <is>
          <t>Contabilidad</t>
        </is>
      </c>
      <c r="M162">
        <f>IFERROR(INDEX(Diccionario!$N:$N,MATCH(F290,Diccionario!$C:$C,0)),"")</f>
        <v/>
      </c>
    </row>
    <row r="163" ht="15" customHeight="1" s="57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s="34" t="n">
        <v>44000000</v>
      </c>
      <c r="J163" t="inlineStr">
        <is>
          <t>COP</t>
        </is>
      </c>
      <c r="L163" t="inlineStr">
        <is>
          <t>Contabilidad</t>
        </is>
      </c>
      <c r="M163">
        <f>IFERROR(INDEX(Diccionario!$N:$N,MATCH(F289,Diccionario!$C:$C,0)),"")</f>
        <v/>
      </c>
    </row>
    <row r="164" ht="15" customHeight="1" s="57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s="34" t="n">
        <v>4000000</v>
      </c>
      <c r="J164" t="inlineStr">
        <is>
          <t>COP</t>
        </is>
      </c>
      <c r="L164" t="inlineStr">
        <is>
          <t>Contabilidad</t>
        </is>
      </c>
      <c r="M164">
        <f>IFERROR(INDEX(Diccionario!$N:$N,MATCH(F292,Diccionario!$C:$C,0)),"")</f>
        <v/>
      </c>
    </row>
    <row r="165" ht="15" customHeight="1" s="57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s="34" t="n">
        <v>5000000</v>
      </c>
      <c r="J165" t="inlineStr">
        <is>
          <t>COP</t>
        </is>
      </c>
      <c r="L165" t="inlineStr">
        <is>
          <t>Contabilidad</t>
        </is>
      </c>
      <c r="M165">
        <f>IFERROR(INDEX(Diccionario!$N:$N,MATCH(F293,Diccionario!$C:$C,0)),"")</f>
        <v/>
      </c>
    </row>
    <row r="166" ht="15" customHeight="1" s="57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s="34" t="n">
        <v>8000000</v>
      </c>
      <c r="J166" t="inlineStr">
        <is>
          <t>COP</t>
        </is>
      </c>
      <c r="L166" t="inlineStr">
        <is>
          <t>Contabilidad</t>
        </is>
      </c>
      <c r="M166">
        <f>IFERROR(INDEX(Diccionario!$N:$N,MATCH(F294,Diccionario!$C:$C,0)),"")</f>
        <v/>
      </c>
    </row>
    <row r="167" ht="15" customHeight="1" s="5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s="34" t="n">
        <v>99000000</v>
      </c>
      <c r="J167" t="inlineStr">
        <is>
          <t>COP</t>
        </is>
      </c>
      <c r="L167" t="inlineStr">
        <is>
          <t>Contabilidad</t>
        </is>
      </c>
      <c r="M167">
        <f>IFERROR(INDEX(Diccionario!$N:$N,MATCH(F138,Diccionario!$C:$C,0)),"")</f>
        <v/>
      </c>
    </row>
    <row r="168" ht="15" customHeight="1" s="57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s="34" t="n">
        <v>157000000</v>
      </c>
      <c r="J168" t="inlineStr">
        <is>
          <t>COP</t>
        </is>
      </c>
      <c r="L168" t="inlineStr">
        <is>
          <t>Contabilidad</t>
        </is>
      </c>
      <c r="M168">
        <f>IFERROR(INDEX(Diccionario!$N:$N,MATCH(F137,Diccionario!$C:$C,0)),"")</f>
        <v/>
      </c>
    </row>
    <row r="169" ht="15" customHeight="1" s="57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s="34" t="n">
        <v>10000000</v>
      </c>
      <c r="J169" t="inlineStr">
        <is>
          <t>COP</t>
        </is>
      </c>
      <c r="L169" t="inlineStr">
        <is>
          <t>Contabilidad</t>
        </is>
      </c>
      <c r="M169">
        <f>IFERROR(INDEX(Diccionario!$N:$N,MATCH(F134,Diccionario!$C:$C,0)),"")</f>
        <v/>
      </c>
    </row>
    <row r="170" ht="15" customHeight="1" s="57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s="34" t="n">
        <v>167000000</v>
      </c>
      <c r="J170" t="inlineStr">
        <is>
          <t>COP</t>
        </is>
      </c>
      <c r="L170" t="inlineStr">
        <is>
          <t>Contabilidad</t>
        </is>
      </c>
      <c r="M170">
        <f>IFERROR(INDEX(Diccionario!$N:$N,MATCH(F136,Diccionario!$C:$C,0)),"")</f>
        <v/>
      </c>
    </row>
    <row r="171" ht="15" customHeight="1" s="57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s="34" t="n">
        <v>177000000</v>
      </c>
      <c r="J171" t="inlineStr">
        <is>
          <t>COP</t>
        </is>
      </c>
      <c r="L171" t="inlineStr">
        <is>
          <t>Contabilidad</t>
        </is>
      </c>
      <c r="M171">
        <f>IFERROR(INDEX(Diccionario!$N:$N,MATCH(F135,Diccionario!$C:$C,0)),"")</f>
        <v/>
      </c>
    </row>
    <row r="172" ht="15" customHeight="1" s="57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s="34" t="n">
        <v>6000000</v>
      </c>
      <c r="J172" t="inlineStr">
        <is>
          <t>COP</t>
        </is>
      </c>
      <c r="L172" t="inlineStr">
        <is>
          <t>Contabilidad</t>
        </is>
      </c>
      <c r="M172">
        <f>IFERROR(INDEX(Diccionario!$N:$N,MATCH(F862,Diccionario!$C:$C,0)),"")</f>
        <v/>
      </c>
    </row>
    <row r="173" ht="15" customHeight="1" s="57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s="34" t="n">
        <v>10000000</v>
      </c>
      <c r="J173" t="inlineStr">
        <is>
          <t>COP</t>
        </is>
      </c>
      <c r="L173" t="inlineStr">
        <is>
          <t>Contabilidad</t>
        </is>
      </c>
      <c r="M173">
        <f>IFERROR(INDEX(Diccionario!$N:$N,MATCH(F858,Diccionario!$C:$C,0)),"")</f>
        <v/>
      </c>
    </row>
    <row r="174" ht="15" customHeight="1" s="57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s="34" t="n">
        <v>82000000</v>
      </c>
      <c r="J174" t="inlineStr">
        <is>
          <t>COP</t>
        </is>
      </c>
      <c r="L174" t="inlineStr">
        <is>
          <t>Contabilidad</t>
        </is>
      </c>
      <c r="M174">
        <f>IFERROR(INDEX(Diccionario!$N:$N,MATCH(F857,Diccionario!$C:$C,0)),"")</f>
        <v/>
      </c>
    </row>
    <row r="175" ht="15" customHeight="1" s="57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s="34" t="n">
        <v>1000000</v>
      </c>
      <c r="J175" t="inlineStr">
        <is>
          <t>COP</t>
        </is>
      </c>
      <c r="L175" t="inlineStr">
        <is>
          <t>Contabilidad</t>
        </is>
      </c>
      <c r="M175">
        <f>IFERROR(INDEX(Diccionario!$N:$N,MATCH(F859,Diccionario!$C:$C,0)),"")</f>
        <v/>
      </c>
    </row>
    <row r="176" ht="15" customHeight="1" s="57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s="34" t="n">
        <v>45000000</v>
      </c>
      <c r="J176" t="inlineStr">
        <is>
          <t>COP</t>
        </is>
      </c>
      <c r="L176" t="inlineStr">
        <is>
          <t>Contabilidad</t>
        </is>
      </c>
      <c r="M176">
        <f>IFERROR(INDEX(Diccionario!$N:$N,MATCH(F860,Diccionario!$C:$C,0)),"")</f>
        <v/>
      </c>
    </row>
    <row r="177" ht="15" customHeight="1" s="5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s="34" t="n">
        <v>12000000</v>
      </c>
      <c r="J177" t="inlineStr">
        <is>
          <t>COP</t>
        </is>
      </c>
      <c r="L177" t="inlineStr">
        <is>
          <t>Contabilidad</t>
        </is>
      </c>
      <c r="M177">
        <f>IFERROR(INDEX(Diccionario!$N:$N,MATCH(F861,Diccionario!$C:$C,0)),"")</f>
        <v/>
      </c>
    </row>
    <row r="178" ht="15" customHeight="1" s="57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s="34" t="n">
        <v>4000000</v>
      </c>
      <c r="J178" t="inlineStr">
        <is>
          <t>COP</t>
        </is>
      </c>
      <c r="L178" t="inlineStr">
        <is>
          <t>Contabilidad</t>
        </is>
      </c>
      <c r="M178">
        <f>IFERROR(INDEX(Diccionario!$N:$N,MATCH(F737,Diccionario!$C:$C,0)),"")</f>
        <v/>
      </c>
    </row>
    <row r="179" ht="15" customHeight="1" s="57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s="34" t="n">
        <v>113000000</v>
      </c>
      <c r="J179" t="inlineStr">
        <is>
          <t>COP</t>
        </is>
      </c>
      <c r="L179" t="inlineStr">
        <is>
          <t>Contabilidad</t>
        </is>
      </c>
      <c r="M179">
        <f>IFERROR(INDEX(Diccionario!$N:$N,MATCH(F736,Diccionario!$C:$C,0)),"")</f>
        <v/>
      </c>
    </row>
    <row r="180" ht="15" customHeight="1" s="57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s="34" t="n">
        <v>3000000</v>
      </c>
      <c r="J180" t="inlineStr">
        <is>
          <t>COP</t>
        </is>
      </c>
      <c r="L180" t="inlineStr">
        <is>
          <t>Contabilidad</t>
        </is>
      </c>
      <c r="M180">
        <f>IFERROR(INDEX(Diccionario!$N:$N,MATCH(F738,Diccionario!$C:$C,0)),"")</f>
        <v/>
      </c>
    </row>
    <row r="181" ht="15" customHeight="1" s="57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s="34" t="n">
        <v>0</v>
      </c>
      <c r="J181" t="inlineStr">
        <is>
          <t>COP</t>
        </is>
      </c>
      <c r="L181" t="inlineStr">
        <is>
          <t>Contabilidad</t>
        </is>
      </c>
      <c r="M181">
        <f>IFERROR(INDEX(Diccionario!$N:$N,MATCH(F739,Diccionario!$C:$C,0)),"")</f>
        <v/>
      </c>
    </row>
    <row r="182" ht="15" customHeight="1" s="57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s="34" t="n">
        <v>1000000</v>
      </c>
      <c r="J182" t="inlineStr">
        <is>
          <t>COP</t>
        </is>
      </c>
      <c r="L182" t="inlineStr">
        <is>
          <t>Contabilidad</t>
        </is>
      </c>
      <c r="M182">
        <f>IFERROR(INDEX(Diccionario!$N:$N,MATCH(F615,Diccionario!$C:$C,0)),"")</f>
        <v/>
      </c>
    </row>
    <row r="183" ht="15" customHeight="1" s="57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s="34" t="n">
        <v>61000000</v>
      </c>
      <c r="J183" t="inlineStr">
        <is>
          <t>COP</t>
        </is>
      </c>
      <c r="L183" t="inlineStr">
        <is>
          <t>Contabilidad</t>
        </is>
      </c>
      <c r="M183">
        <f>IFERROR(INDEX(Diccionario!$N:$N,MATCH(F614,Diccionario!$C:$C,0)),"")</f>
        <v/>
      </c>
    </row>
    <row r="184" ht="15" customHeight="1" s="57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s="34" t="n">
        <v>5000000</v>
      </c>
      <c r="J184" t="inlineStr">
        <is>
          <t>COP</t>
        </is>
      </c>
      <c r="L184" t="inlineStr">
        <is>
          <t>Contabilidad</t>
        </is>
      </c>
      <c r="M184">
        <f>IFERROR(INDEX(Diccionario!$N:$N,MATCH(F616,Diccionario!$C:$C,0)),"")</f>
        <v/>
      </c>
    </row>
    <row r="185" ht="15" customHeight="1" s="57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s="34" t="n">
        <v>18000000</v>
      </c>
      <c r="J185" t="inlineStr">
        <is>
          <t>COP</t>
        </is>
      </c>
      <c r="L185" t="inlineStr">
        <is>
          <t>Contabilidad</t>
        </is>
      </c>
      <c r="M185">
        <f>IFERROR(INDEX(Diccionario!$N:$N,MATCH(F488,Diccionario!$C:$C,0)),"")</f>
        <v/>
      </c>
    </row>
    <row r="186" ht="15" customHeight="1" s="57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s="34" t="n">
        <v>5000000</v>
      </c>
      <c r="J186" t="inlineStr">
        <is>
          <t>COP</t>
        </is>
      </c>
      <c r="L186" t="inlineStr">
        <is>
          <t>Contabilidad</t>
        </is>
      </c>
      <c r="M186">
        <f>IFERROR(INDEX(Diccionario!$N:$N,MATCH(F489,Diccionario!$C:$C,0)),"")</f>
        <v/>
      </c>
    </row>
    <row r="187" ht="15" customHeight="1" s="5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s="34" t="n">
        <v>1000000</v>
      </c>
      <c r="J187" t="inlineStr">
        <is>
          <t>COP</t>
        </is>
      </c>
      <c r="L187" t="inlineStr">
        <is>
          <t>Contabilidad</t>
        </is>
      </c>
      <c r="M187">
        <f>IFERROR(INDEX(Diccionario!$N:$N,MATCH(F487,Diccionario!$C:$C,0)),"")</f>
        <v/>
      </c>
    </row>
    <row r="188" ht="15" customHeight="1" s="57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s="34" t="n">
        <v>55000000</v>
      </c>
      <c r="J188" t="inlineStr">
        <is>
          <t>COP</t>
        </is>
      </c>
      <c r="L188" t="inlineStr">
        <is>
          <t>Contabilidad</t>
        </is>
      </c>
      <c r="M188">
        <f>IFERROR(INDEX(Diccionario!$N:$N,MATCH(F486,Diccionario!$C:$C,0)),"")</f>
        <v/>
      </c>
    </row>
    <row r="189" ht="15" customHeight="1" s="57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s="34" t="n">
        <v>5000000</v>
      </c>
      <c r="J189" t="inlineStr">
        <is>
          <t>COP</t>
        </is>
      </c>
      <c r="L189" t="inlineStr">
        <is>
          <t>Contabilidad</t>
        </is>
      </c>
      <c r="M189">
        <f>IFERROR(INDEX(Diccionario!$N:$N,MATCH(F490,Diccionario!$C:$C,0)),"")</f>
        <v/>
      </c>
    </row>
    <row r="190" ht="15" customHeight="1" s="57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s="45" t="n">
        <v>13.1</v>
      </c>
      <c r="J190" t="inlineStr">
        <is>
          <t>%</t>
        </is>
      </c>
      <c r="L190" t="inlineStr">
        <is>
          <t>Contabilidad</t>
        </is>
      </c>
      <c r="M190">
        <f>IFERROR(INDEX(Diccionario!$N:$N,MATCH(F1004,Diccionario!$C:$C,0)),"")</f>
        <v/>
      </c>
    </row>
    <row r="191" ht="15" customHeight="1" s="57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s="34" t="n">
        <v>23000000</v>
      </c>
      <c r="J191" t="inlineStr">
        <is>
          <t>COP</t>
        </is>
      </c>
      <c r="L191" t="inlineStr">
        <is>
          <t>Contabilidad</t>
        </is>
      </c>
      <c r="M191">
        <f>IFERROR(INDEX(Diccionario!$N:$N,MATCH(F298,Diccionario!$C:$C,0)),"")</f>
        <v/>
      </c>
    </row>
    <row r="192" ht="15" customHeight="1" s="57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s="34" t="n">
        <v>1000000</v>
      </c>
      <c r="J192" t="inlineStr">
        <is>
          <t>COP</t>
        </is>
      </c>
      <c r="L192" t="inlineStr">
        <is>
          <t>Contabilidad</t>
        </is>
      </c>
      <c r="M192">
        <f>IFERROR(INDEX(Diccionario!$N:$N,MATCH(F302,Diccionario!$C:$C,0)),"")</f>
        <v/>
      </c>
    </row>
    <row r="193" ht="15" customHeight="1" s="57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s="34" t="n">
        <v>7000000</v>
      </c>
      <c r="J193" t="inlineStr">
        <is>
          <t>COP</t>
        </is>
      </c>
      <c r="L193" t="inlineStr">
        <is>
          <t>Contabilidad</t>
        </is>
      </c>
      <c r="M193">
        <f>IFERROR(INDEX(Diccionario!$N:$N,MATCH(F297,Diccionario!$C:$C,0)),"")</f>
        <v/>
      </c>
    </row>
    <row r="194" ht="15" customHeight="1" s="57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s="34" t="n">
        <v>50000000</v>
      </c>
      <c r="J194" t="inlineStr">
        <is>
          <t>COP</t>
        </is>
      </c>
      <c r="L194" t="inlineStr">
        <is>
          <t>Contabilidad</t>
        </is>
      </c>
      <c r="M194">
        <f>IFERROR(INDEX(Diccionario!$N:$N,MATCH(F296,Diccionario!$C:$C,0)),"")</f>
        <v/>
      </c>
    </row>
    <row r="195" ht="15" customHeight="1" s="57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s="34" t="n">
        <v>4000000</v>
      </c>
      <c r="J195" t="inlineStr">
        <is>
          <t>COP</t>
        </is>
      </c>
      <c r="L195" t="inlineStr">
        <is>
          <t>Contabilidad</t>
        </is>
      </c>
      <c r="M195">
        <f>IFERROR(INDEX(Diccionario!$N:$N,MATCH(F299,Diccionario!$C:$C,0)),"")</f>
        <v/>
      </c>
    </row>
    <row r="196" ht="15" customHeight="1" s="57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s="34" t="n">
        <v>6000000</v>
      </c>
      <c r="J196" t="inlineStr">
        <is>
          <t>COP</t>
        </is>
      </c>
      <c r="L196" t="inlineStr">
        <is>
          <t>Contabilidad</t>
        </is>
      </c>
      <c r="M196">
        <f>IFERROR(INDEX(Diccionario!$N:$N,MATCH(F300,Diccionario!$C:$C,0)),"")</f>
        <v/>
      </c>
    </row>
    <row r="197" ht="15" customHeight="1" s="5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s="34" t="n">
        <v>17000000</v>
      </c>
      <c r="J197" t="inlineStr">
        <is>
          <t>COP</t>
        </is>
      </c>
      <c r="L197" t="inlineStr">
        <is>
          <t>Contabilidad</t>
        </is>
      </c>
      <c r="M197">
        <f>IFERROR(INDEX(Diccionario!$N:$N,MATCH(F301,Diccionario!$C:$C,0)),"")</f>
        <v/>
      </c>
    </row>
    <row r="198" ht="15" customHeight="1" s="57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s="34" t="n">
        <v>107000000</v>
      </c>
      <c r="J198" t="inlineStr">
        <is>
          <t>COP</t>
        </is>
      </c>
      <c r="L198" t="inlineStr">
        <is>
          <t>Contabilidad</t>
        </is>
      </c>
      <c r="M198">
        <f>IFERROR(INDEX(Diccionario!$N:$N,MATCH(F143,Diccionario!$C:$C,0)),"")</f>
        <v/>
      </c>
    </row>
    <row r="199" ht="15" customHeight="1" s="57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s="34" t="n">
        <v>162000000</v>
      </c>
      <c r="J199" t="inlineStr">
        <is>
          <t>COP</t>
        </is>
      </c>
      <c r="L199" t="inlineStr">
        <is>
          <t>Contabilidad</t>
        </is>
      </c>
      <c r="M199">
        <f>IFERROR(INDEX(Diccionario!$N:$N,MATCH(F142,Diccionario!$C:$C,0)),"")</f>
        <v/>
      </c>
    </row>
    <row r="200" ht="15" customHeight="1" s="57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s="34" t="n">
        <v>4000000</v>
      </c>
      <c r="J200" t="inlineStr">
        <is>
          <t>COP</t>
        </is>
      </c>
      <c r="L200" t="inlineStr">
        <is>
          <t>Contabilidad</t>
        </is>
      </c>
      <c r="M200">
        <f>IFERROR(INDEX(Diccionario!$N:$N,MATCH(F139,Diccionario!$C:$C,0)),"")</f>
        <v/>
      </c>
    </row>
    <row r="201" ht="15" customHeight="1" s="57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s="34" t="n">
        <v>84000000</v>
      </c>
      <c r="J201" t="inlineStr">
        <is>
          <t>COP</t>
        </is>
      </c>
      <c r="L201" t="inlineStr">
        <is>
          <t>Contabilidad</t>
        </is>
      </c>
      <c r="M201">
        <f>IFERROR(INDEX(Diccionario!$N:$N,MATCH(F141,Diccionario!$C:$C,0)),"")</f>
        <v/>
      </c>
    </row>
    <row r="202" ht="15" customHeight="1" s="57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s="34" t="n">
        <v>199000000</v>
      </c>
      <c r="J202" t="inlineStr">
        <is>
          <t>COP</t>
        </is>
      </c>
      <c r="L202" t="inlineStr">
        <is>
          <t>Contabilidad</t>
        </is>
      </c>
      <c r="M202">
        <f>IFERROR(INDEX(Diccionario!$N:$N,MATCH(F140,Diccionario!$C:$C,0)),"")</f>
        <v/>
      </c>
    </row>
    <row r="203" ht="15" customHeight="1" s="57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s="34" t="n">
        <v>3000000</v>
      </c>
      <c r="J203" t="inlineStr">
        <is>
          <t>COP</t>
        </is>
      </c>
      <c r="L203" t="inlineStr">
        <is>
          <t>Contabilidad</t>
        </is>
      </c>
      <c r="M203">
        <f>IFERROR(INDEX(Diccionario!$N:$N,MATCH(F868,Diccionario!$C:$C,0)),"")</f>
        <v/>
      </c>
    </row>
    <row r="204" ht="15" customHeight="1" s="57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s="34" t="n">
        <v>7000000</v>
      </c>
      <c r="J204" t="inlineStr">
        <is>
          <t>COP</t>
        </is>
      </c>
      <c r="L204" t="inlineStr">
        <is>
          <t>Contabilidad</t>
        </is>
      </c>
      <c r="M204">
        <f>IFERROR(INDEX(Diccionario!$N:$N,MATCH(F864,Diccionario!$C:$C,0)),"")</f>
        <v/>
      </c>
    </row>
    <row r="205" ht="15" customHeight="1" s="57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s="34" t="n">
        <v>93000000</v>
      </c>
      <c r="J205" t="inlineStr">
        <is>
          <t>COP</t>
        </is>
      </c>
      <c r="L205" t="inlineStr">
        <is>
          <t>Contabilidad</t>
        </is>
      </c>
      <c r="M205">
        <f>IFERROR(INDEX(Diccionario!$N:$N,MATCH(F863,Diccionario!$C:$C,0)),"")</f>
        <v/>
      </c>
    </row>
    <row r="206" ht="15" customHeight="1" s="57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s="34" t="n">
        <v>0</v>
      </c>
      <c r="J206" t="inlineStr">
        <is>
          <t>COP</t>
        </is>
      </c>
      <c r="L206" t="inlineStr">
        <is>
          <t>Contabilidad</t>
        </is>
      </c>
      <c r="M206">
        <f>IFERROR(INDEX(Diccionario!$N:$N,MATCH(F865,Diccionario!$C:$C,0)),"")</f>
        <v/>
      </c>
    </row>
    <row r="207" ht="15" customHeight="1" s="5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s="34" t="n">
        <v>34000000</v>
      </c>
      <c r="J207" t="inlineStr">
        <is>
          <t>COP</t>
        </is>
      </c>
      <c r="L207" t="inlineStr">
        <is>
          <t>Contabilidad</t>
        </is>
      </c>
      <c r="M207">
        <f>IFERROR(INDEX(Diccionario!$N:$N,MATCH(F866,Diccionario!$C:$C,0)),"")</f>
        <v/>
      </c>
    </row>
    <row r="208" ht="15" customHeight="1" s="57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s="34" t="n">
        <v>24000000</v>
      </c>
      <c r="J208" t="inlineStr">
        <is>
          <t>COP</t>
        </is>
      </c>
      <c r="L208" t="inlineStr">
        <is>
          <t>Contabilidad</t>
        </is>
      </c>
      <c r="M208">
        <f>IFERROR(INDEX(Diccionario!$N:$N,MATCH(F867,Diccionario!$C:$C,0)),"")</f>
        <v/>
      </c>
    </row>
    <row r="209" ht="15" customHeight="1" s="57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s="34" t="n">
        <v>8000000</v>
      </c>
      <c r="J209" t="inlineStr">
        <is>
          <t>COP</t>
        </is>
      </c>
      <c r="L209" t="inlineStr">
        <is>
          <t>Contabilidad</t>
        </is>
      </c>
      <c r="M209">
        <f>IFERROR(INDEX(Diccionario!$N:$N,MATCH(F741,Diccionario!$C:$C,0)),"")</f>
        <v/>
      </c>
    </row>
    <row r="210" ht="15" customHeight="1" s="57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s="34" t="n">
        <v>104000000</v>
      </c>
      <c r="J210" t="inlineStr">
        <is>
          <t>COP</t>
        </is>
      </c>
      <c r="L210" t="inlineStr">
        <is>
          <t>Contabilidad</t>
        </is>
      </c>
      <c r="M210">
        <f>IFERROR(INDEX(Diccionario!$N:$N,MATCH(F740,Diccionario!$C:$C,0)),"")</f>
        <v/>
      </c>
    </row>
    <row r="211" ht="15" customHeight="1" s="57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s="34" t="n">
        <v>16000000</v>
      </c>
      <c r="J211" t="inlineStr">
        <is>
          <t>COP</t>
        </is>
      </c>
      <c r="L211" t="inlineStr">
        <is>
          <t>Contabilidad</t>
        </is>
      </c>
      <c r="M211">
        <f>IFERROR(INDEX(Diccionario!$N:$N,MATCH(F742,Diccionario!$C:$C,0)),"")</f>
        <v/>
      </c>
    </row>
    <row r="212" ht="15" customHeight="1" s="57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s="34" t="n">
        <v>1000000</v>
      </c>
      <c r="J212" t="inlineStr">
        <is>
          <t>COP</t>
        </is>
      </c>
      <c r="L212" t="inlineStr">
        <is>
          <t>Contabilidad</t>
        </is>
      </c>
      <c r="M212">
        <f>IFERROR(INDEX(Diccionario!$N:$N,MATCH(F743,Diccionario!$C:$C,0)),"")</f>
        <v/>
      </c>
    </row>
    <row r="213" ht="15" customHeight="1" s="57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s="34" t="n">
        <v>1000000</v>
      </c>
      <c r="J213" t="inlineStr">
        <is>
          <t>COP</t>
        </is>
      </c>
      <c r="L213" t="inlineStr">
        <is>
          <t>Contabilidad</t>
        </is>
      </c>
      <c r="M213">
        <f>IFERROR(INDEX(Diccionario!$N:$N,MATCH(F618,Diccionario!$C:$C,0)),"")</f>
        <v/>
      </c>
    </row>
    <row r="214" ht="15" customHeight="1" s="57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s="34" t="n">
        <v>57000000</v>
      </c>
      <c r="J214" t="inlineStr">
        <is>
          <t>COP</t>
        </is>
      </c>
      <c r="L214" t="inlineStr">
        <is>
          <t>Contabilidad</t>
        </is>
      </c>
      <c r="M214">
        <f>IFERROR(INDEX(Diccionario!$N:$N,MATCH(F617,Diccionario!$C:$C,0)),"")</f>
        <v/>
      </c>
    </row>
    <row r="215" ht="15" customHeight="1" s="57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s="34" t="n">
        <v>5000000</v>
      </c>
      <c r="J215" t="inlineStr">
        <is>
          <t>COP</t>
        </is>
      </c>
      <c r="L215" t="inlineStr">
        <is>
          <t>Contabilidad</t>
        </is>
      </c>
      <c r="M215">
        <f>IFERROR(INDEX(Diccionario!$N:$N,MATCH(F619,Diccionario!$C:$C,0)),"")</f>
        <v/>
      </c>
    </row>
    <row r="216" ht="15" customHeight="1" s="57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s="34" t="n">
        <v>24000000</v>
      </c>
      <c r="J216" t="inlineStr">
        <is>
          <t>COP</t>
        </is>
      </c>
      <c r="L216" t="inlineStr">
        <is>
          <t>Contabilidad</t>
        </is>
      </c>
      <c r="M216">
        <f>IFERROR(INDEX(Diccionario!$N:$N,MATCH(F493,Diccionario!$C:$C,0)),"")</f>
        <v/>
      </c>
    </row>
    <row r="217" ht="15" customHeight="1" s="5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s="34" t="n">
        <v>6000000</v>
      </c>
      <c r="J217" t="inlineStr">
        <is>
          <t>COP</t>
        </is>
      </c>
      <c r="L217" t="inlineStr">
        <is>
          <t>Contabilidad</t>
        </is>
      </c>
      <c r="M217">
        <f>IFERROR(INDEX(Diccionario!$N:$N,MATCH(F494,Diccionario!$C:$C,0)),"")</f>
        <v/>
      </c>
    </row>
    <row r="218" ht="15" customHeight="1" s="57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s="34" t="n">
        <v>23000000</v>
      </c>
      <c r="J218" t="inlineStr">
        <is>
          <t>COP</t>
        </is>
      </c>
      <c r="L218" t="inlineStr">
        <is>
          <t>Contabilidad</t>
        </is>
      </c>
      <c r="M218">
        <f>IFERROR(INDEX(Diccionario!$N:$N,MATCH(F492,Diccionario!$C:$C,0)),"")</f>
        <v/>
      </c>
    </row>
    <row r="219" ht="15" customHeight="1" s="57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s="34" t="n">
        <v>119000000</v>
      </c>
      <c r="J219" t="inlineStr">
        <is>
          <t>COP</t>
        </is>
      </c>
      <c r="L219" t="inlineStr">
        <is>
          <t>Contabilidad</t>
        </is>
      </c>
      <c r="M219">
        <f>IFERROR(INDEX(Diccionario!$N:$N,MATCH(F491,Diccionario!$C:$C,0)),"")</f>
        <v/>
      </c>
    </row>
    <row r="220" ht="15" customHeight="1" s="57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s="34" t="n">
        <v>4000000</v>
      </c>
      <c r="J220" t="inlineStr">
        <is>
          <t>COP</t>
        </is>
      </c>
      <c r="L220" t="inlineStr">
        <is>
          <t>Contabilidad</t>
        </is>
      </c>
      <c r="M220">
        <f>IFERROR(INDEX(Diccionario!$N:$N,MATCH(F495,Diccionario!$C:$C,0)),"")</f>
        <v/>
      </c>
    </row>
    <row r="221" ht="15" customHeight="1" s="57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s="45" t="n">
        <v>26.07</v>
      </c>
      <c r="J221" t="inlineStr">
        <is>
          <t>%</t>
        </is>
      </c>
      <c r="L221" t="inlineStr">
        <is>
          <t>Contabilidad</t>
        </is>
      </c>
      <c r="M221">
        <f>IFERROR(INDEX(Diccionario!$N:$N,MATCH(F1005,Diccionario!$C:$C,0)),"")</f>
        <v/>
      </c>
    </row>
    <row r="222" ht="15" customHeight="1" s="57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s="34" t="n">
        <v>23000000</v>
      </c>
      <c r="J222" t="inlineStr">
        <is>
          <t>COP</t>
        </is>
      </c>
      <c r="L222" t="inlineStr">
        <is>
          <t>Contabilidad</t>
        </is>
      </c>
      <c r="M222">
        <f>IFERROR(INDEX(Diccionario!$N:$N,MATCH(F305,Diccionario!$C:$C,0)),"")</f>
        <v/>
      </c>
    </row>
    <row r="223" ht="15" customHeight="1" s="57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s="34" t="n">
        <v>1000000</v>
      </c>
      <c r="J223" t="inlineStr">
        <is>
          <t>COP</t>
        </is>
      </c>
      <c r="L223" t="inlineStr">
        <is>
          <t>Contabilidad</t>
        </is>
      </c>
      <c r="M223">
        <f>IFERROR(INDEX(Diccionario!$N:$N,MATCH(F309,Diccionario!$C:$C,0)),"")</f>
        <v/>
      </c>
    </row>
    <row r="224" ht="15" customHeight="1" s="57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s="34" t="n">
        <v>33000000</v>
      </c>
      <c r="J224" t="inlineStr">
        <is>
          <t>COP</t>
        </is>
      </c>
      <c r="L224" t="inlineStr">
        <is>
          <t>Contabilidad</t>
        </is>
      </c>
      <c r="M224">
        <f>IFERROR(INDEX(Diccionario!$N:$N,MATCH(F304,Diccionario!$C:$C,0)),"")</f>
        <v/>
      </c>
    </row>
    <row r="225" ht="15" customHeight="1" s="57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s="34" t="n">
        <v>52000000</v>
      </c>
      <c r="J225" t="inlineStr">
        <is>
          <t>COP</t>
        </is>
      </c>
      <c r="L225" t="inlineStr">
        <is>
          <t>Contabilidad</t>
        </is>
      </c>
      <c r="M225">
        <f>IFERROR(INDEX(Diccionario!$N:$N,MATCH(F303,Diccionario!$C:$C,0)),"")</f>
        <v/>
      </c>
    </row>
    <row r="226" ht="15" customHeight="1" s="57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s="34" t="n">
        <v>4000000</v>
      </c>
      <c r="J226" t="inlineStr">
        <is>
          <t>COP</t>
        </is>
      </c>
      <c r="L226" t="inlineStr">
        <is>
          <t>Contabilidad</t>
        </is>
      </c>
      <c r="M226">
        <f>IFERROR(INDEX(Diccionario!$N:$N,MATCH(F306,Diccionario!$C:$C,0)),"")</f>
        <v/>
      </c>
    </row>
    <row r="227" ht="15" customHeight="1" s="5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s="34" t="n">
        <v>6000000</v>
      </c>
      <c r="J227" t="inlineStr">
        <is>
          <t>COP</t>
        </is>
      </c>
      <c r="L227" t="inlineStr">
        <is>
          <t>Contabilidad</t>
        </is>
      </c>
      <c r="M227">
        <f>IFERROR(INDEX(Diccionario!$N:$N,MATCH(F307,Diccionario!$C:$C,0)),"")</f>
        <v/>
      </c>
    </row>
    <row r="228" ht="15" customHeight="1" s="57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s="34" t="n">
        <v>10000000</v>
      </c>
      <c r="J228" t="inlineStr">
        <is>
          <t>COP</t>
        </is>
      </c>
      <c r="L228" t="inlineStr">
        <is>
          <t>Contabilidad</t>
        </is>
      </c>
      <c r="M228">
        <f>IFERROR(INDEX(Diccionario!$N:$N,MATCH(F308,Diccionario!$C:$C,0)),"")</f>
        <v/>
      </c>
    </row>
    <row r="229" ht="15" customHeight="1" s="57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s="34" t="n">
        <v>133000000</v>
      </c>
      <c r="J229" t="inlineStr">
        <is>
          <t>COP</t>
        </is>
      </c>
      <c r="L229" t="inlineStr">
        <is>
          <t>Contabilidad</t>
        </is>
      </c>
      <c r="M229">
        <f>IFERROR(INDEX(Diccionario!$N:$N,MATCH(F148,Diccionario!$C:$C,0)),"")</f>
        <v/>
      </c>
    </row>
    <row r="230" ht="15" customHeight="1" s="57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s="34" t="n">
        <v>121000000</v>
      </c>
      <c r="J230" t="inlineStr">
        <is>
          <t>COP</t>
        </is>
      </c>
      <c r="L230" t="inlineStr">
        <is>
          <t>Contabilidad</t>
        </is>
      </c>
      <c r="M230">
        <f>IFERROR(INDEX(Diccionario!$N:$N,MATCH(F147,Diccionario!$C:$C,0)),"")</f>
        <v/>
      </c>
    </row>
    <row r="231" ht="15" customHeight="1" s="57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s="34" t="n">
        <v>3000000</v>
      </c>
      <c r="J231" t="inlineStr">
        <is>
          <t>COP</t>
        </is>
      </c>
      <c r="L231" t="inlineStr">
        <is>
          <t>Contabilidad</t>
        </is>
      </c>
      <c r="M231">
        <f>IFERROR(INDEX(Diccionario!$N:$N,MATCH(F144,Diccionario!$C:$C,0)),"")</f>
        <v/>
      </c>
    </row>
    <row r="232" ht="15" customHeight="1" s="57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s="34" t="n">
        <v>176000000</v>
      </c>
      <c r="J232" t="inlineStr">
        <is>
          <t>COP</t>
        </is>
      </c>
      <c r="L232" t="inlineStr">
        <is>
          <t>Contabilidad</t>
        </is>
      </c>
      <c r="M232">
        <f>IFERROR(INDEX(Diccionario!$N:$N,MATCH(F146,Diccionario!$C:$C,0)),"")</f>
        <v/>
      </c>
    </row>
    <row r="233" ht="15" customHeight="1" s="57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s="34" t="n">
        <v>205000000</v>
      </c>
      <c r="J233" t="inlineStr">
        <is>
          <t>COP</t>
        </is>
      </c>
      <c r="L233" t="inlineStr">
        <is>
          <t>Contabilidad</t>
        </is>
      </c>
      <c r="M233">
        <f>IFERROR(INDEX(Diccionario!$N:$N,MATCH(F145,Diccionario!$C:$C,0)),"")</f>
        <v/>
      </c>
    </row>
    <row r="234" ht="15" customHeight="1" s="57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s="34" t="n">
        <v>9000000</v>
      </c>
      <c r="J234" t="inlineStr">
        <is>
          <t>COP</t>
        </is>
      </c>
      <c r="L234" t="inlineStr">
        <is>
          <t>Contabilidad</t>
        </is>
      </c>
      <c r="M234">
        <f>IFERROR(INDEX(Diccionario!$N:$N,MATCH(F874,Diccionario!$C:$C,0)),"")</f>
        <v/>
      </c>
    </row>
    <row r="235" ht="15" customHeight="1" s="57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s="34" t="n">
        <v>4000000</v>
      </c>
      <c r="J235" t="inlineStr">
        <is>
          <t>COP</t>
        </is>
      </c>
      <c r="L235" t="inlineStr">
        <is>
          <t>Contabilidad</t>
        </is>
      </c>
      <c r="M235">
        <f>IFERROR(INDEX(Diccionario!$N:$N,MATCH(F870,Diccionario!$C:$C,0)),"")</f>
        <v/>
      </c>
    </row>
    <row r="236" ht="15" customHeight="1" s="57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s="34" t="n">
        <v>76000000</v>
      </c>
      <c r="J236" t="inlineStr">
        <is>
          <t>COP</t>
        </is>
      </c>
      <c r="L236" t="inlineStr">
        <is>
          <t>Contabilidad</t>
        </is>
      </c>
      <c r="M236">
        <f>IFERROR(INDEX(Diccionario!$N:$N,MATCH(F869,Diccionario!$C:$C,0)),"")</f>
        <v/>
      </c>
    </row>
    <row r="237" ht="15" customHeight="1" s="5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s="34" t="n">
        <v>1000000</v>
      </c>
      <c r="J237" t="inlineStr">
        <is>
          <t>COP</t>
        </is>
      </c>
      <c r="L237" t="inlineStr">
        <is>
          <t>Contabilidad</t>
        </is>
      </c>
      <c r="M237">
        <f>IFERROR(INDEX(Diccionario!$N:$N,MATCH(F871,Diccionario!$C:$C,0)),"")</f>
        <v/>
      </c>
    </row>
    <row r="238" ht="15" customHeight="1" s="57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s="34" t="n">
        <v>16000000</v>
      </c>
      <c r="J238" t="inlineStr">
        <is>
          <t>COP</t>
        </is>
      </c>
      <c r="L238" t="inlineStr">
        <is>
          <t>Contabilidad</t>
        </is>
      </c>
      <c r="M238">
        <f>IFERROR(INDEX(Diccionario!$N:$N,MATCH(F872,Diccionario!$C:$C,0)),"")</f>
        <v/>
      </c>
    </row>
    <row r="239" ht="15" customHeight="1" s="57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s="34" t="n">
        <v>15000000</v>
      </c>
      <c r="J239" t="inlineStr">
        <is>
          <t>COP</t>
        </is>
      </c>
      <c r="L239" t="inlineStr">
        <is>
          <t>Contabilidad</t>
        </is>
      </c>
      <c r="M239">
        <f>IFERROR(INDEX(Diccionario!$N:$N,MATCH(F873,Diccionario!$C:$C,0)),"")</f>
        <v/>
      </c>
    </row>
    <row r="240" ht="15" customHeight="1" s="57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s="34" t="n">
        <v>12000000</v>
      </c>
      <c r="J240" t="inlineStr">
        <is>
          <t>COP</t>
        </is>
      </c>
      <c r="L240" t="inlineStr">
        <is>
          <t>Contabilidad</t>
        </is>
      </c>
      <c r="M240">
        <f>IFERROR(INDEX(Diccionario!$N:$N,MATCH(F745,Diccionario!$C:$C,0)),"")</f>
        <v/>
      </c>
    </row>
    <row r="241" ht="15" customHeight="1" s="57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s="34" t="n">
        <v>110000000</v>
      </c>
      <c r="J241" t="inlineStr">
        <is>
          <t>COP</t>
        </is>
      </c>
      <c r="L241" t="inlineStr">
        <is>
          <t>Contabilidad</t>
        </is>
      </c>
      <c r="M241">
        <f>IFERROR(INDEX(Diccionario!$N:$N,MATCH(F744,Diccionario!$C:$C,0)),"")</f>
        <v/>
      </c>
    </row>
    <row r="242" ht="15" customHeight="1" s="57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s="34" t="n">
        <v>6000000</v>
      </c>
      <c r="J242" t="inlineStr">
        <is>
          <t>COP</t>
        </is>
      </c>
      <c r="L242" t="inlineStr">
        <is>
          <t>Contabilidad</t>
        </is>
      </c>
      <c r="M242">
        <f>IFERROR(INDEX(Diccionario!$N:$N,MATCH(F746,Diccionario!$C:$C,0)),"")</f>
        <v/>
      </c>
    </row>
    <row r="243" ht="15" customHeight="1" s="57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s="34" t="n">
        <v>2000000</v>
      </c>
      <c r="J243" t="inlineStr">
        <is>
          <t>COP</t>
        </is>
      </c>
      <c r="L243" t="inlineStr">
        <is>
          <t>Contabilidad</t>
        </is>
      </c>
      <c r="M243">
        <f>IFERROR(INDEX(Diccionario!$N:$N,MATCH(F747,Diccionario!$C:$C,0)),"")</f>
        <v/>
      </c>
    </row>
    <row r="244" ht="15" customHeight="1" s="57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s="34" t="n">
        <v>3000000</v>
      </c>
      <c r="J244" t="inlineStr">
        <is>
          <t>COP</t>
        </is>
      </c>
      <c r="L244" t="inlineStr">
        <is>
          <t>Contabilidad</t>
        </is>
      </c>
      <c r="M244">
        <f>IFERROR(INDEX(Diccionario!$N:$N,MATCH(F621,Diccionario!$C:$C,0)),"")</f>
        <v/>
      </c>
    </row>
    <row r="245" ht="15" customHeight="1" s="57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s="34" t="n">
        <v>62000000</v>
      </c>
      <c r="J245" t="inlineStr">
        <is>
          <t>COP</t>
        </is>
      </c>
      <c r="L245" t="inlineStr">
        <is>
          <t>Contabilidad</t>
        </is>
      </c>
      <c r="M245">
        <f>IFERROR(INDEX(Diccionario!$N:$N,MATCH(F620,Diccionario!$C:$C,0)),"")</f>
        <v/>
      </c>
    </row>
    <row r="246" ht="15" customHeight="1" s="57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s="34" t="n">
        <v>1000000</v>
      </c>
      <c r="J246" t="inlineStr">
        <is>
          <t>COP</t>
        </is>
      </c>
      <c r="L246" t="inlineStr">
        <is>
          <t>Contabilidad</t>
        </is>
      </c>
      <c r="M246">
        <f>IFERROR(INDEX(Diccionario!$N:$N,MATCH(F622,Diccionario!$C:$C,0)),"")</f>
        <v/>
      </c>
    </row>
    <row r="247" ht="15" customHeight="1" s="5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s="34" t="n">
        <v>33000000</v>
      </c>
      <c r="J247" t="inlineStr">
        <is>
          <t>COP</t>
        </is>
      </c>
      <c r="L247" t="inlineStr">
        <is>
          <t>Contabilidad</t>
        </is>
      </c>
      <c r="M247">
        <f>IFERROR(INDEX(Diccionario!$N:$N,MATCH(F498,Diccionario!$C:$C,0)),"")</f>
        <v/>
      </c>
    </row>
    <row r="248" ht="15" customHeight="1" s="57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s="34" t="n">
        <v>0</v>
      </c>
      <c r="J248" t="inlineStr">
        <is>
          <t>COP</t>
        </is>
      </c>
      <c r="L248" t="inlineStr">
        <is>
          <t>Contabilidad</t>
        </is>
      </c>
      <c r="M248">
        <f>IFERROR(INDEX(Diccionario!$N:$N,MATCH(F499,Diccionario!$C:$C,0)),"")</f>
        <v/>
      </c>
    </row>
    <row r="249" ht="15" customHeight="1" s="57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s="34" t="n">
        <v>21000000</v>
      </c>
      <c r="J249" t="inlineStr">
        <is>
          <t>COP</t>
        </is>
      </c>
      <c r="L249" t="inlineStr">
        <is>
          <t>Contabilidad</t>
        </is>
      </c>
      <c r="M249">
        <f>IFERROR(INDEX(Diccionario!$N:$N,MATCH(F497,Diccionario!$C:$C,0)),"")</f>
        <v/>
      </c>
    </row>
    <row r="250" ht="15" customHeight="1" s="57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s="34" t="n">
        <v>112000000</v>
      </c>
      <c r="J250" t="inlineStr">
        <is>
          <t>COP</t>
        </is>
      </c>
      <c r="L250" t="inlineStr">
        <is>
          <t>Contabilidad</t>
        </is>
      </c>
      <c r="M250">
        <f>IFERROR(INDEX(Diccionario!$N:$N,MATCH(F496,Diccionario!$C:$C,0)),"")</f>
        <v/>
      </c>
    </row>
    <row r="251" ht="15" customHeight="1" s="57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s="34" t="n">
        <v>3000000</v>
      </c>
      <c r="J251" t="inlineStr">
        <is>
          <t>COP</t>
        </is>
      </c>
      <c r="L251" t="inlineStr">
        <is>
          <t>Contabilidad</t>
        </is>
      </c>
      <c r="M251">
        <f>IFERROR(INDEX(Diccionario!$N:$N,MATCH(F500,Diccionario!$C:$C,0)),"")</f>
        <v/>
      </c>
    </row>
    <row r="252" ht="15" customHeight="1" s="57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s="45" t="n">
        <v>25.49</v>
      </c>
      <c r="J252" t="inlineStr">
        <is>
          <t>%</t>
        </is>
      </c>
      <c r="L252" t="inlineStr">
        <is>
          <t>Contabilidad</t>
        </is>
      </c>
      <c r="M252">
        <f>IFERROR(INDEX(Diccionario!$N:$N,MATCH(F1006,Diccionario!$C:$C,0)),"")</f>
        <v/>
      </c>
    </row>
    <row r="253" ht="15" customHeight="1" s="57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s="34" t="n">
        <v>25000000</v>
      </c>
      <c r="J253" t="inlineStr">
        <is>
          <t>COP</t>
        </is>
      </c>
      <c r="L253" t="inlineStr">
        <is>
          <t>Contabilidad</t>
        </is>
      </c>
      <c r="M253">
        <f>IFERROR(INDEX(Diccionario!$N:$N,MATCH(F312,Diccionario!$C:$C,0)),"")</f>
        <v/>
      </c>
    </row>
    <row r="254" ht="15" customHeight="1" s="57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s="34" t="n">
        <v>0</v>
      </c>
      <c r="J254" t="inlineStr">
        <is>
          <t>COP</t>
        </is>
      </c>
      <c r="L254" t="inlineStr">
        <is>
          <t>Contabilidad</t>
        </is>
      </c>
      <c r="M254">
        <f>IFERROR(INDEX(Diccionario!$N:$N,MATCH(F316,Diccionario!$C:$C,0)),"")</f>
        <v/>
      </c>
    </row>
    <row r="255" ht="15" customHeight="1" s="57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s="34" t="n">
        <v>9000000</v>
      </c>
      <c r="J255" t="inlineStr">
        <is>
          <t>COP</t>
        </is>
      </c>
      <c r="L255" t="inlineStr">
        <is>
          <t>Contabilidad</t>
        </is>
      </c>
      <c r="M255">
        <f>IFERROR(INDEX(Diccionario!$N:$N,MATCH(F311,Diccionario!$C:$C,0)),"")</f>
        <v/>
      </c>
    </row>
    <row r="256" ht="15" customHeight="1" s="57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s="34" t="n">
        <v>58000000</v>
      </c>
      <c r="J256" t="inlineStr">
        <is>
          <t>COP</t>
        </is>
      </c>
      <c r="L256" t="inlineStr">
        <is>
          <t>Contabilidad</t>
        </is>
      </c>
      <c r="M256">
        <f>IFERROR(INDEX(Diccionario!$N:$N,MATCH(F310,Diccionario!$C:$C,0)),"")</f>
        <v/>
      </c>
    </row>
    <row r="257" ht="15" customHeight="1" s="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s="34" t="n">
        <v>3000000</v>
      </c>
      <c r="J257" t="inlineStr">
        <is>
          <t>COP</t>
        </is>
      </c>
      <c r="L257" t="inlineStr">
        <is>
          <t>Contabilidad</t>
        </is>
      </c>
      <c r="M257">
        <f>IFERROR(INDEX(Diccionario!$N:$N,MATCH(F313,Diccionario!$C:$C,0)),"")</f>
        <v/>
      </c>
    </row>
    <row r="258" ht="15" customHeight="1" s="57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s="34" t="n">
        <v>4000000</v>
      </c>
      <c r="J258" t="inlineStr">
        <is>
          <t>COP</t>
        </is>
      </c>
      <c r="L258" t="inlineStr">
        <is>
          <t>Contabilidad</t>
        </is>
      </c>
      <c r="M258">
        <f>IFERROR(INDEX(Diccionario!$N:$N,MATCH(F314,Diccionario!$C:$C,0)),"")</f>
        <v/>
      </c>
    </row>
    <row r="259" ht="15" customHeight="1" s="57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s="34" t="n">
        <v>5000000</v>
      </c>
      <c r="J259" t="inlineStr">
        <is>
          <t>COP</t>
        </is>
      </c>
      <c r="L259" t="inlineStr">
        <is>
          <t>Contabilidad</t>
        </is>
      </c>
      <c r="M259">
        <f>IFERROR(INDEX(Diccionario!$N:$N,MATCH(F315,Diccionario!$C:$C,0)),"")</f>
        <v/>
      </c>
    </row>
    <row r="260" ht="15" customHeight="1" s="57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s="34" t="n">
        <v>152000000</v>
      </c>
      <c r="J260" t="inlineStr">
        <is>
          <t>COP</t>
        </is>
      </c>
      <c r="L260" t="inlineStr">
        <is>
          <t>Contabilidad</t>
        </is>
      </c>
      <c r="M260">
        <f>IFERROR(INDEX(Diccionario!$N:$N,MATCH(F153,Diccionario!$C:$C,0)),"")</f>
        <v/>
      </c>
    </row>
    <row r="261" ht="15" customHeight="1" s="57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s="34" t="n">
        <v>169000000</v>
      </c>
      <c r="J261" t="inlineStr">
        <is>
          <t>COP</t>
        </is>
      </c>
      <c r="L261" t="inlineStr">
        <is>
          <t>Contabilidad</t>
        </is>
      </c>
      <c r="M261">
        <f>IFERROR(INDEX(Diccionario!$N:$N,MATCH(F152,Diccionario!$C:$C,0)),"")</f>
        <v/>
      </c>
    </row>
    <row r="262" ht="15" customHeight="1" s="57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s="34" t="n">
        <v>4000000</v>
      </c>
      <c r="J262" t="inlineStr">
        <is>
          <t>COP</t>
        </is>
      </c>
      <c r="L262" t="inlineStr">
        <is>
          <t>Contabilidad</t>
        </is>
      </c>
      <c r="M262">
        <f>IFERROR(INDEX(Diccionario!$N:$N,MATCH(F149,Diccionario!$C:$C,0)),"")</f>
        <v/>
      </c>
    </row>
    <row r="263" ht="15" customHeight="1" s="57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s="34" t="n">
        <v>169000000</v>
      </c>
      <c r="J263" t="inlineStr">
        <is>
          <t>COP</t>
        </is>
      </c>
      <c r="L263" t="inlineStr">
        <is>
          <t>Contabilidad</t>
        </is>
      </c>
      <c r="M263">
        <f>IFERROR(INDEX(Diccionario!$N:$N,MATCH(F151,Diccionario!$C:$C,0)),"")</f>
        <v/>
      </c>
    </row>
    <row r="264" ht="15" customHeight="1" s="57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s="34" t="n">
        <v>184000000</v>
      </c>
      <c r="J264" t="inlineStr">
        <is>
          <t>COP</t>
        </is>
      </c>
      <c r="L264" t="inlineStr">
        <is>
          <t>Contabilidad</t>
        </is>
      </c>
      <c r="M264">
        <f>IFERROR(INDEX(Diccionario!$N:$N,MATCH(F150,Diccionario!$C:$C,0)),"")</f>
        <v/>
      </c>
    </row>
    <row r="265" ht="15" customHeight="1" s="57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s="34" t="n">
        <v>7000000</v>
      </c>
      <c r="J265" t="inlineStr">
        <is>
          <t>COP</t>
        </is>
      </c>
      <c r="L265" t="inlineStr">
        <is>
          <t>Contabilidad</t>
        </is>
      </c>
      <c r="M265">
        <f>IFERROR(INDEX(Diccionario!$N:$N,MATCH(F880,Diccionario!$C:$C,0)),"")</f>
        <v/>
      </c>
    </row>
    <row r="266" ht="15" customHeight="1" s="57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s="34" t="n">
        <v>13000000</v>
      </c>
      <c r="J266" t="inlineStr">
        <is>
          <t>COP</t>
        </is>
      </c>
      <c r="L266" t="inlineStr">
        <is>
          <t>Contabilidad</t>
        </is>
      </c>
      <c r="M266">
        <f>IFERROR(INDEX(Diccionario!$N:$N,MATCH(F876,Diccionario!$C:$C,0)),"")</f>
        <v/>
      </c>
    </row>
    <row r="267" ht="15" customHeight="1" s="5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s="34" t="n">
        <v>91000000</v>
      </c>
      <c r="J267" t="inlineStr">
        <is>
          <t>COP</t>
        </is>
      </c>
      <c r="L267" t="inlineStr">
        <is>
          <t>Contabilidad</t>
        </is>
      </c>
      <c r="M267">
        <f>IFERROR(INDEX(Diccionario!$N:$N,MATCH(F875,Diccionario!$C:$C,0)),"")</f>
        <v/>
      </c>
    </row>
    <row r="268" ht="15" customHeight="1" s="57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s="34" t="n">
        <v>1000000</v>
      </c>
      <c r="J268" t="inlineStr">
        <is>
          <t>COP</t>
        </is>
      </c>
      <c r="L268" t="inlineStr">
        <is>
          <t>Contabilidad</t>
        </is>
      </c>
      <c r="M268">
        <f>IFERROR(INDEX(Diccionario!$N:$N,MATCH(F877,Diccionario!$C:$C,0)),"")</f>
        <v/>
      </c>
    </row>
    <row r="269" ht="15" customHeight="1" s="57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s="34" t="n">
        <v>28000000</v>
      </c>
      <c r="J269" t="inlineStr">
        <is>
          <t>COP</t>
        </is>
      </c>
      <c r="L269" t="inlineStr">
        <is>
          <t>Contabilidad</t>
        </is>
      </c>
      <c r="M269">
        <f>IFERROR(INDEX(Diccionario!$N:$N,MATCH(F878,Diccionario!$C:$C,0)),"")</f>
        <v/>
      </c>
    </row>
    <row r="270" ht="15" customHeight="1" s="57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s="34" t="n">
        <v>29000000</v>
      </c>
      <c r="J270" t="inlineStr">
        <is>
          <t>COP</t>
        </is>
      </c>
      <c r="L270" t="inlineStr">
        <is>
          <t>Contabilidad</t>
        </is>
      </c>
      <c r="M270">
        <f>IFERROR(INDEX(Diccionario!$N:$N,MATCH(F879,Diccionario!$C:$C,0)),"")</f>
        <v/>
      </c>
    </row>
    <row r="271" ht="15" customHeight="1" s="57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s="34" t="n">
        <v>11000000</v>
      </c>
      <c r="J271" t="inlineStr">
        <is>
          <t>COP</t>
        </is>
      </c>
      <c r="L271" t="inlineStr">
        <is>
          <t>Contabilidad</t>
        </is>
      </c>
      <c r="M271">
        <f>IFERROR(INDEX(Diccionario!$N:$N,MATCH(F749,Diccionario!$C:$C,0)),"")</f>
        <v/>
      </c>
    </row>
    <row r="272" ht="15" customHeight="1" s="57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s="34" t="n">
        <v>91000000</v>
      </c>
      <c r="J272" t="inlineStr">
        <is>
          <t>COP</t>
        </is>
      </c>
      <c r="L272" t="inlineStr">
        <is>
          <t>Contabilidad</t>
        </is>
      </c>
      <c r="M272">
        <f>IFERROR(INDEX(Diccionario!$N:$N,MATCH(F748,Diccionario!$C:$C,0)),"")</f>
        <v/>
      </c>
    </row>
    <row r="273" ht="15" customHeight="1" s="57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s="34" t="n">
        <v>55000000</v>
      </c>
      <c r="J273" t="inlineStr">
        <is>
          <t>COP</t>
        </is>
      </c>
      <c r="L273" t="inlineStr">
        <is>
          <t>Contabilidad</t>
        </is>
      </c>
      <c r="M273">
        <f>IFERROR(INDEX(Diccionario!$N:$N,MATCH(F750,Diccionario!$C:$C,0)),"")</f>
        <v/>
      </c>
    </row>
    <row r="274" ht="15" customHeight="1" s="57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s="34" t="n">
        <v>0</v>
      </c>
      <c r="J274" t="inlineStr">
        <is>
          <t>COP</t>
        </is>
      </c>
      <c r="L274" t="inlineStr">
        <is>
          <t>Contabilidad</t>
        </is>
      </c>
      <c r="M274">
        <f>IFERROR(INDEX(Diccionario!$N:$N,MATCH(F751,Diccionario!$C:$C,0)),"")</f>
        <v/>
      </c>
    </row>
    <row r="275" ht="15" customHeight="1" s="57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s="34" t="n">
        <v>5000000</v>
      </c>
      <c r="J275" t="inlineStr">
        <is>
          <t>COP</t>
        </is>
      </c>
      <c r="L275" t="inlineStr">
        <is>
          <t>Contabilidad</t>
        </is>
      </c>
      <c r="M275">
        <f>IFERROR(INDEX(Diccionario!$N:$N,MATCH(F624,Diccionario!$C:$C,0)),"")</f>
        <v/>
      </c>
    </row>
    <row r="276" ht="15" customHeight="1" s="57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s="34" t="n">
        <v>62000000</v>
      </c>
      <c r="J276" t="inlineStr">
        <is>
          <t>COP</t>
        </is>
      </c>
      <c r="L276" t="inlineStr">
        <is>
          <t>Contabilidad</t>
        </is>
      </c>
      <c r="M276">
        <f>IFERROR(INDEX(Diccionario!$N:$N,MATCH(F623,Diccionario!$C:$C,0)),"")</f>
        <v/>
      </c>
    </row>
    <row r="277" ht="15" customHeight="1" s="5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s="34" t="n">
        <v>6000000</v>
      </c>
      <c r="J277" t="inlineStr">
        <is>
          <t>COP</t>
        </is>
      </c>
      <c r="L277" t="inlineStr">
        <is>
          <t>Contabilidad</t>
        </is>
      </c>
      <c r="M277">
        <f>IFERROR(INDEX(Diccionario!$N:$N,MATCH(F625,Diccionario!$C:$C,0)),"")</f>
        <v/>
      </c>
    </row>
    <row r="278" ht="15" customHeight="1" s="57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s="34" t="n">
        <v>27000000</v>
      </c>
      <c r="J278" t="inlineStr">
        <is>
          <t>COP</t>
        </is>
      </c>
      <c r="L278" t="inlineStr">
        <is>
          <t>Contabilidad</t>
        </is>
      </c>
      <c r="M278">
        <f>IFERROR(INDEX(Diccionario!$N:$N,MATCH(F503,Diccionario!$C:$C,0)),"")</f>
        <v/>
      </c>
    </row>
    <row r="279" ht="15" customHeight="1" s="57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s="34" t="n">
        <v>6000000</v>
      </c>
      <c r="J279" t="inlineStr">
        <is>
          <t>COP</t>
        </is>
      </c>
      <c r="L279" t="inlineStr">
        <is>
          <t>Contabilidad</t>
        </is>
      </c>
      <c r="M279">
        <f>IFERROR(INDEX(Diccionario!$N:$N,MATCH(F504,Diccionario!$C:$C,0)),"")</f>
        <v/>
      </c>
    </row>
    <row r="280" ht="15" customHeight="1" s="57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s="34" t="n">
        <v>27000000</v>
      </c>
      <c r="J280" t="inlineStr">
        <is>
          <t>COP</t>
        </is>
      </c>
      <c r="L280" t="inlineStr">
        <is>
          <t>Contabilidad</t>
        </is>
      </c>
      <c r="M280">
        <f>IFERROR(INDEX(Diccionario!$N:$N,MATCH(F502,Diccionario!$C:$C,0)),"")</f>
        <v/>
      </c>
    </row>
    <row r="281" ht="15" customHeight="1" s="57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s="34" t="n">
        <v>140000000</v>
      </c>
      <c r="J281" t="inlineStr">
        <is>
          <t>COP</t>
        </is>
      </c>
      <c r="L281" t="inlineStr">
        <is>
          <t>Contabilidad</t>
        </is>
      </c>
      <c r="M281">
        <f>IFERROR(INDEX(Diccionario!$N:$N,MATCH(F501,Diccionario!$C:$C,0)),"")</f>
        <v/>
      </c>
    </row>
    <row r="282" ht="15" customHeight="1" s="57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s="34" t="n">
        <v>6000000</v>
      </c>
      <c r="J282" t="inlineStr">
        <is>
          <t>COP</t>
        </is>
      </c>
      <c r="L282" t="inlineStr">
        <is>
          <t>Contabilidad</t>
        </is>
      </c>
      <c r="M282">
        <f>IFERROR(INDEX(Diccionario!$N:$N,MATCH(F505,Diccionario!$C:$C,0)),"")</f>
        <v/>
      </c>
    </row>
    <row r="283" ht="15" customHeight="1" s="57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s="45" t="n">
        <v>30.65</v>
      </c>
      <c r="J283" t="inlineStr">
        <is>
          <t>%</t>
        </is>
      </c>
      <c r="L283" t="inlineStr">
        <is>
          <t>Contabilidad</t>
        </is>
      </c>
      <c r="M283">
        <f>IFERROR(INDEX(Diccionario!$N:$N,MATCH(F1007,Diccionario!$C:$C,0)),"")</f>
        <v/>
      </c>
    </row>
    <row r="284" ht="15" customHeight="1" s="57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s="34" t="n">
        <v>25000000</v>
      </c>
      <c r="J284" t="inlineStr">
        <is>
          <t>COP</t>
        </is>
      </c>
      <c r="L284" t="inlineStr">
        <is>
          <t>Contabilidad</t>
        </is>
      </c>
      <c r="M284">
        <f>IFERROR(INDEX(Diccionario!$N:$N,MATCH(F319,Diccionario!$C:$C,0)),"")</f>
        <v/>
      </c>
    </row>
    <row r="285" ht="15" customHeight="1" s="57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s="34" t="n">
        <v>1000000</v>
      </c>
      <c r="J285" t="inlineStr">
        <is>
          <t>COP</t>
        </is>
      </c>
      <c r="L285" t="inlineStr">
        <is>
          <t>Contabilidad</t>
        </is>
      </c>
      <c r="M285">
        <f>IFERROR(INDEX(Diccionario!$N:$N,MATCH(F323,Diccionario!$C:$C,0)),"")</f>
        <v/>
      </c>
    </row>
    <row r="286" ht="15" customHeight="1" s="57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s="34" t="n">
        <v>16000000</v>
      </c>
      <c r="J286" t="inlineStr">
        <is>
          <t>COP</t>
        </is>
      </c>
      <c r="L286" t="inlineStr">
        <is>
          <t>Contabilidad</t>
        </is>
      </c>
      <c r="M286">
        <f>IFERROR(INDEX(Diccionario!$N:$N,MATCH(F318,Diccionario!$C:$C,0)),"")</f>
        <v/>
      </c>
    </row>
    <row r="287" ht="15" customHeight="1" s="5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s="34" t="n">
        <v>64000000</v>
      </c>
      <c r="J287" t="inlineStr">
        <is>
          <t>COP</t>
        </is>
      </c>
      <c r="L287" t="inlineStr">
        <is>
          <t>Contabilidad</t>
        </is>
      </c>
      <c r="M287">
        <f>IFERROR(INDEX(Diccionario!$N:$N,MATCH(F317,Diccionario!$C:$C,0)),"")</f>
        <v/>
      </c>
    </row>
    <row r="288" ht="15" customHeight="1" s="57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s="34" t="n">
        <v>2000000</v>
      </c>
      <c r="J288" t="inlineStr">
        <is>
          <t>COP</t>
        </is>
      </c>
      <c r="L288" t="inlineStr">
        <is>
          <t>Contabilidad</t>
        </is>
      </c>
      <c r="M288">
        <f>IFERROR(INDEX(Diccionario!$N:$N,MATCH(F320,Diccionario!$C:$C,0)),"")</f>
        <v/>
      </c>
    </row>
    <row r="289" ht="15" customHeight="1" s="57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s="34" t="n">
        <v>6000000</v>
      </c>
      <c r="J289" t="inlineStr">
        <is>
          <t>COP</t>
        </is>
      </c>
      <c r="L289" t="inlineStr">
        <is>
          <t>Contabilidad</t>
        </is>
      </c>
      <c r="M289">
        <f>IFERROR(INDEX(Diccionario!$N:$N,MATCH(F321,Diccionario!$C:$C,0)),"")</f>
        <v/>
      </c>
    </row>
    <row r="290" ht="15" customHeight="1" s="57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s="34" t="n">
        <v>15000000</v>
      </c>
      <c r="J290" t="inlineStr">
        <is>
          <t>COP</t>
        </is>
      </c>
      <c r="L290" t="inlineStr">
        <is>
          <t>Contabilidad</t>
        </is>
      </c>
      <c r="M290">
        <f>IFERROR(INDEX(Diccionario!$N:$N,MATCH(F322,Diccionario!$C:$C,0)),"")</f>
        <v/>
      </c>
    </row>
    <row r="291" ht="15" customHeight="1" s="57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s="34" t="n">
        <v>134000000</v>
      </c>
      <c r="J291" t="inlineStr">
        <is>
          <t>COP</t>
        </is>
      </c>
      <c r="L291" t="inlineStr">
        <is>
          <t>Contabilidad</t>
        </is>
      </c>
      <c r="M291">
        <f>IFERROR(INDEX(Diccionario!$N:$N,MATCH(F158,Diccionario!$C:$C,0)),"")</f>
        <v/>
      </c>
    </row>
    <row r="292" ht="15" customHeight="1" s="57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s="34" t="n">
        <v>176000000</v>
      </c>
      <c r="J292" t="inlineStr">
        <is>
          <t>COP</t>
        </is>
      </c>
      <c r="L292" t="inlineStr">
        <is>
          <t>Contabilidad</t>
        </is>
      </c>
      <c r="M292">
        <f>IFERROR(INDEX(Diccionario!$N:$N,MATCH(F157,Diccionario!$C:$C,0)),"")</f>
        <v/>
      </c>
    </row>
    <row r="293" ht="15" customHeight="1" s="57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s="34" t="n">
        <v>5000000</v>
      </c>
      <c r="J293" t="inlineStr">
        <is>
          <t>COP</t>
        </is>
      </c>
      <c r="L293" t="inlineStr">
        <is>
          <t>Contabilidad</t>
        </is>
      </c>
      <c r="M293">
        <f>IFERROR(INDEX(Diccionario!$N:$N,MATCH(F154,Diccionario!$C:$C,0)),"")</f>
        <v/>
      </c>
    </row>
    <row r="294" ht="15" customHeight="1" s="57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s="34" t="n">
        <v>205000000</v>
      </c>
      <c r="J294" t="inlineStr">
        <is>
          <t>COP</t>
        </is>
      </c>
      <c r="L294" t="inlineStr">
        <is>
          <t>Contabilidad</t>
        </is>
      </c>
      <c r="M294">
        <f>IFERROR(INDEX(Diccionario!$N:$N,MATCH(F156,Diccionario!$C:$C,0)),"")</f>
        <v/>
      </c>
    </row>
    <row r="295" ht="15" customHeight="1" s="57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s="34" t="n">
        <v>195000000</v>
      </c>
      <c r="J295" t="inlineStr">
        <is>
          <t>COP</t>
        </is>
      </c>
      <c r="L295" t="inlineStr">
        <is>
          <t>Contabilidad</t>
        </is>
      </c>
      <c r="M295">
        <f>IFERROR(INDEX(Diccionario!$N:$N,MATCH(F155,Diccionario!$C:$C,0)),"")</f>
        <v/>
      </c>
    </row>
    <row r="296" ht="15" customHeight="1" s="57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s="34" t="n">
        <v>11000000</v>
      </c>
      <c r="J296" t="inlineStr">
        <is>
          <t>COP</t>
        </is>
      </c>
      <c r="L296" t="inlineStr">
        <is>
          <t>Contabilidad</t>
        </is>
      </c>
      <c r="M296">
        <f>IFERROR(INDEX(Diccionario!$N:$N,MATCH(F886,Diccionario!$C:$C,0)),"")</f>
        <v/>
      </c>
    </row>
    <row r="297" ht="15" customHeight="1" s="5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s="34" t="n">
        <v>16000000</v>
      </c>
      <c r="J297" t="inlineStr">
        <is>
          <t>COP</t>
        </is>
      </c>
      <c r="L297" t="inlineStr">
        <is>
          <t>Contabilidad</t>
        </is>
      </c>
      <c r="M297">
        <f>IFERROR(INDEX(Diccionario!$N:$N,MATCH(F882,Diccionario!$C:$C,0)),"")</f>
        <v/>
      </c>
    </row>
    <row r="298" ht="15" customHeight="1" s="57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s="34" t="n">
        <v>92000000</v>
      </c>
      <c r="J298" t="inlineStr">
        <is>
          <t>COP</t>
        </is>
      </c>
      <c r="L298" t="inlineStr">
        <is>
          <t>Contabilidad</t>
        </is>
      </c>
      <c r="M298">
        <f>IFERROR(INDEX(Diccionario!$N:$N,MATCH(F881,Diccionario!$C:$C,0)),"")</f>
        <v/>
      </c>
    </row>
    <row r="299" ht="15" customHeight="1" s="57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s="34" t="n">
        <v>1000000</v>
      </c>
      <c r="J299" t="inlineStr">
        <is>
          <t>COP</t>
        </is>
      </c>
      <c r="L299" t="inlineStr">
        <is>
          <t>Contabilidad</t>
        </is>
      </c>
      <c r="M299">
        <f>IFERROR(INDEX(Diccionario!$N:$N,MATCH(F883,Diccionario!$C:$C,0)),"")</f>
        <v/>
      </c>
    </row>
    <row r="300" ht="15" customHeight="1" s="57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s="34" t="n">
        <v>19000000</v>
      </c>
      <c r="J300" t="inlineStr">
        <is>
          <t>COP</t>
        </is>
      </c>
      <c r="L300" t="inlineStr">
        <is>
          <t>Contabilidad</t>
        </is>
      </c>
      <c r="M300">
        <f>IFERROR(INDEX(Diccionario!$N:$N,MATCH(F884,Diccionario!$C:$C,0)),"")</f>
        <v/>
      </c>
    </row>
    <row r="301" ht="15" customHeight="1" s="57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s="34" t="n">
        <v>37000000</v>
      </c>
      <c r="J301" t="inlineStr">
        <is>
          <t>COP</t>
        </is>
      </c>
      <c r="L301" t="inlineStr">
        <is>
          <t>Contabilidad</t>
        </is>
      </c>
      <c r="M301">
        <f>IFERROR(INDEX(Diccionario!$N:$N,MATCH(F885,Diccionario!$C:$C,0)),"")</f>
        <v/>
      </c>
    </row>
    <row r="302" ht="15" customHeight="1" s="57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s="34" t="n">
        <v>8000000</v>
      </c>
      <c r="J302" t="inlineStr">
        <is>
          <t>COP</t>
        </is>
      </c>
      <c r="L302" t="inlineStr">
        <is>
          <t>Contabilidad</t>
        </is>
      </c>
      <c r="M302">
        <f>IFERROR(INDEX(Diccionario!$N:$N,MATCH(F753,Diccionario!$C:$C,0)),"")</f>
        <v/>
      </c>
    </row>
    <row r="303" ht="15" customHeight="1" s="57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s="34" t="n">
        <v>95000000</v>
      </c>
      <c r="J303" t="inlineStr">
        <is>
          <t>COP</t>
        </is>
      </c>
      <c r="L303" t="inlineStr">
        <is>
          <t>Contabilidad</t>
        </is>
      </c>
      <c r="M303">
        <f>IFERROR(INDEX(Diccionario!$N:$N,MATCH(F752,Diccionario!$C:$C,0)),"")</f>
        <v/>
      </c>
    </row>
    <row r="304" ht="15" customHeight="1" s="57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s="34" t="n">
        <v>7000000</v>
      </c>
      <c r="J304" t="inlineStr">
        <is>
          <t>COP</t>
        </is>
      </c>
      <c r="L304" t="inlineStr">
        <is>
          <t>Contabilidad</t>
        </is>
      </c>
      <c r="M304">
        <f>IFERROR(INDEX(Diccionario!$N:$N,MATCH(F754,Diccionario!$C:$C,0)),"")</f>
        <v/>
      </c>
    </row>
    <row r="305" ht="15" customHeight="1" s="57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s="34" t="n">
        <v>6000000</v>
      </c>
      <c r="J305" t="inlineStr">
        <is>
          <t>COP</t>
        </is>
      </c>
      <c r="L305" t="inlineStr">
        <is>
          <t>Contabilidad</t>
        </is>
      </c>
      <c r="M305">
        <f>IFERROR(INDEX(Diccionario!$N:$N,MATCH(F755,Diccionario!$C:$C,0)),"")</f>
        <v/>
      </c>
    </row>
    <row r="306" ht="15" customHeight="1" s="57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s="34" t="n">
        <v>7000000</v>
      </c>
      <c r="J306" t="inlineStr">
        <is>
          <t>COP</t>
        </is>
      </c>
      <c r="L306" t="inlineStr">
        <is>
          <t>Contabilidad</t>
        </is>
      </c>
      <c r="M306">
        <f>IFERROR(INDEX(Diccionario!$N:$N,MATCH(F627,Diccionario!$C:$C,0)),"")</f>
        <v/>
      </c>
    </row>
    <row r="307" ht="15" customHeight="1" s="5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s="34" t="n">
        <v>2000000</v>
      </c>
      <c r="J307" t="inlineStr">
        <is>
          <t>COP</t>
        </is>
      </c>
      <c r="L307" t="inlineStr">
        <is>
          <t>Contabilidad</t>
        </is>
      </c>
      <c r="M307">
        <f>IFERROR(INDEX(Diccionario!$N:$N,MATCH(F629,Diccionario!$C:$C,0)),"")</f>
        <v/>
      </c>
    </row>
    <row r="308" ht="15" customHeight="1" s="57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s="34" t="n">
        <v>66000000</v>
      </c>
      <c r="J308" t="inlineStr">
        <is>
          <t>COP</t>
        </is>
      </c>
      <c r="L308" t="inlineStr">
        <is>
          <t>Contabilidad</t>
        </is>
      </c>
      <c r="M308">
        <f>IFERROR(INDEX(Diccionario!$N:$N,MATCH(F626,Diccionario!$C:$C,0)),"")</f>
        <v/>
      </c>
    </row>
    <row r="309" ht="15" customHeight="1" s="57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s="34" t="n">
        <v>6000000</v>
      </c>
      <c r="J309" t="inlineStr">
        <is>
          <t>COP</t>
        </is>
      </c>
      <c r="L309" t="inlineStr">
        <is>
          <t>Contabilidad</t>
        </is>
      </c>
      <c r="M309">
        <f>IFERROR(INDEX(Diccionario!$N:$N,MATCH(F628,Diccionario!$C:$C,0)),"")</f>
        <v/>
      </c>
    </row>
    <row r="310" ht="15" customHeight="1" s="57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s="34" t="n">
        <v>11000000</v>
      </c>
      <c r="J310" t="inlineStr">
        <is>
          <t>COP</t>
        </is>
      </c>
      <c r="L310" t="inlineStr">
        <is>
          <t>Contabilidad</t>
        </is>
      </c>
      <c r="M310">
        <f>IFERROR(INDEX(Diccionario!$N:$N,MATCH(F630,Diccionario!$C:$C,0)),"")</f>
        <v/>
      </c>
    </row>
    <row r="311" ht="15" customHeight="1" s="57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s="34" t="n">
        <v>10000000</v>
      </c>
      <c r="J311" t="inlineStr">
        <is>
          <t>COP</t>
        </is>
      </c>
      <c r="L311" t="inlineStr">
        <is>
          <t>Contabilidad</t>
        </is>
      </c>
      <c r="M311">
        <f>IFERROR(INDEX(Diccionario!$N:$N,MATCH(F508,Diccionario!$C:$C,0)),"")</f>
        <v/>
      </c>
    </row>
    <row r="312" ht="15" customHeight="1" s="57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s="34" t="n">
        <v>7000000</v>
      </c>
      <c r="J312" t="inlineStr">
        <is>
          <t>COP</t>
        </is>
      </c>
      <c r="L312" t="inlineStr">
        <is>
          <t>Contabilidad</t>
        </is>
      </c>
      <c r="M312">
        <f>IFERROR(INDEX(Diccionario!$N:$N,MATCH(F509,Diccionario!$C:$C,0)),"")</f>
        <v/>
      </c>
    </row>
    <row r="313" ht="15" customHeight="1" s="57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s="34" t="n">
        <v>25000000</v>
      </c>
      <c r="J313" t="inlineStr">
        <is>
          <t>COP</t>
        </is>
      </c>
      <c r="L313" t="inlineStr">
        <is>
          <t>Contabilidad</t>
        </is>
      </c>
      <c r="M313">
        <f>IFERROR(INDEX(Diccionario!$N:$N,MATCH(F507,Diccionario!$C:$C,0)),"")</f>
        <v/>
      </c>
    </row>
    <row r="314" ht="15" customHeight="1" s="57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s="34" t="n">
        <v>131000000</v>
      </c>
      <c r="J314" t="inlineStr">
        <is>
          <t>COP</t>
        </is>
      </c>
      <c r="L314" t="inlineStr">
        <is>
          <t>Contabilidad</t>
        </is>
      </c>
      <c r="M314">
        <f>IFERROR(INDEX(Diccionario!$N:$N,MATCH(F506,Diccionario!$C:$C,0)),"")</f>
        <v/>
      </c>
    </row>
    <row r="315" ht="15" customHeight="1" s="57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s="34" t="n">
        <v>5000000</v>
      </c>
      <c r="J315" t="inlineStr">
        <is>
          <t>COP</t>
        </is>
      </c>
      <c r="L315" t="inlineStr">
        <is>
          <t>Contabilidad</t>
        </is>
      </c>
      <c r="M315">
        <f>IFERROR(INDEX(Diccionario!$N:$N,MATCH(F510,Diccionario!$C:$C,0)),"")</f>
        <v/>
      </c>
    </row>
    <row r="316" ht="15" customHeight="1" s="57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s="45" t="n">
        <v>23.39</v>
      </c>
      <c r="J316" t="inlineStr">
        <is>
          <t>%</t>
        </is>
      </c>
      <c r="L316" t="inlineStr">
        <is>
          <t>Contabilidad</t>
        </is>
      </c>
      <c r="M316">
        <f>IFERROR(INDEX(Diccionario!$N:$N,MATCH(F1008,Diccionario!$C:$C,0)),"")</f>
        <v/>
      </c>
    </row>
    <row r="317" ht="15" customHeight="1" s="5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s="34" t="n">
        <v>25000000</v>
      </c>
      <c r="J317" t="inlineStr">
        <is>
          <t>COP</t>
        </is>
      </c>
      <c r="L317" t="inlineStr">
        <is>
          <t>Contabilidad</t>
        </is>
      </c>
      <c r="M317">
        <f>IFERROR(INDEX(Diccionario!$N:$N,MATCH(F326,Diccionario!$C:$C,0)),"")</f>
        <v/>
      </c>
    </row>
    <row r="318" ht="15" customHeight="1" s="57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s="34" t="n">
        <v>0</v>
      </c>
      <c r="J318" t="inlineStr">
        <is>
          <t>COP</t>
        </is>
      </c>
      <c r="L318" t="inlineStr">
        <is>
          <t>Contabilidad</t>
        </is>
      </c>
      <c r="M318">
        <f>IFERROR(INDEX(Diccionario!$N:$N,MATCH(F330,Diccionario!$C:$C,0)),"")</f>
        <v/>
      </c>
    </row>
    <row r="319" ht="15" customHeight="1" s="57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s="34" t="n">
        <v>8000000</v>
      </c>
      <c r="J319" t="inlineStr">
        <is>
          <t>COP</t>
        </is>
      </c>
      <c r="L319" t="inlineStr">
        <is>
          <t>Contabilidad</t>
        </is>
      </c>
      <c r="M319">
        <f>IFERROR(INDEX(Diccionario!$N:$N,MATCH(F325,Diccionario!$C:$C,0)),"")</f>
        <v/>
      </c>
    </row>
    <row r="320" ht="15" customHeight="1" s="57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s="34" t="n">
        <v>73000000</v>
      </c>
      <c r="J320" t="inlineStr">
        <is>
          <t>COP</t>
        </is>
      </c>
      <c r="L320" t="inlineStr">
        <is>
          <t>Contabilidad</t>
        </is>
      </c>
      <c r="M320">
        <f>IFERROR(INDEX(Diccionario!$N:$N,MATCH(F324,Diccionario!$C:$C,0)),"")</f>
        <v/>
      </c>
    </row>
    <row r="321" ht="15" customHeight="1" s="57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s="34" t="n">
        <v>4000000</v>
      </c>
      <c r="J321" t="inlineStr">
        <is>
          <t>COP</t>
        </is>
      </c>
      <c r="L321" t="inlineStr">
        <is>
          <t>Contabilidad</t>
        </is>
      </c>
      <c r="M321">
        <f>IFERROR(INDEX(Diccionario!$N:$N,MATCH(F327,Diccionario!$C:$C,0)),"")</f>
        <v/>
      </c>
    </row>
    <row r="322" ht="15" customHeight="1" s="57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s="34" t="n">
        <v>6000000</v>
      </c>
      <c r="J322" t="inlineStr">
        <is>
          <t>COP</t>
        </is>
      </c>
      <c r="L322" t="inlineStr">
        <is>
          <t>Contabilidad</t>
        </is>
      </c>
      <c r="M322">
        <f>IFERROR(INDEX(Diccionario!$N:$N,MATCH(F328,Diccionario!$C:$C,0)),"")</f>
        <v/>
      </c>
    </row>
    <row r="323" ht="15" customHeight="1" s="57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s="34" t="n">
        <v>28000000</v>
      </c>
      <c r="J323" t="inlineStr">
        <is>
          <t>COP</t>
        </is>
      </c>
      <c r="L323" t="inlineStr">
        <is>
          <t>Contabilidad</t>
        </is>
      </c>
      <c r="M323">
        <f>IFERROR(INDEX(Diccionario!$N:$N,MATCH(F329,Diccionario!$C:$C,0)),"")</f>
        <v/>
      </c>
    </row>
    <row r="324" ht="1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s="34" t="n">
        <v>158000000</v>
      </c>
      <c r="J324" t="inlineStr">
        <is>
          <t>COP</t>
        </is>
      </c>
      <c r="L324" t="inlineStr">
        <is>
          <t>Contabilidad</t>
        </is>
      </c>
      <c r="M324">
        <f>IFERROR(INDEX(Diccionario!$N:$N,MATCH(F163,Diccionario!$C:$C,0)),"")</f>
        <v/>
      </c>
    </row>
    <row r="325" ht="1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s="34" t="n">
        <v>169000000</v>
      </c>
      <c r="J325" t="inlineStr">
        <is>
          <t>COP</t>
        </is>
      </c>
      <c r="L325" t="inlineStr">
        <is>
          <t>Contabilidad</t>
        </is>
      </c>
      <c r="M325">
        <f>IFERROR(INDEX(Diccionario!$N:$N,MATCH(F162,Diccionario!$C:$C,0)),"")</f>
        <v/>
      </c>
    </row>
    <row r="326" ht="1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s="34" t="n">
        <v>5000000</v>
      </c>
      <c r="J326" t="inlineStr">
        <is>
          <t>COP</t>
        </is>
      </c>
      <c r="L326" t="inlineStr">
        <is>
          <t>Contabilidad</t>
        </is>
      </c>
      <c r="M326">
        <f>IFERROR(INDEX(Diccionario!$N:$N,MATCH(F159,Diccionario!$C:$C,0)),"")</f>
        <v/>
      </c>
    </row>
    <row r="327" ht="1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s="34" t="n">
        <v>178000000</v>
      </c>
      <c r="J327" t="inlineStr">
        <is>
          <t>COP</t>
        </is>
      </c>
      <c r="L327" t="inlineStr">
        <is>
          <t>Contabilidad</t>
        </is>
      </c>
      <c r="M327">
        <f>IFERROR(INDEX(Diccionario!$N:$N,MATCH(F161,Diccionario!$C:$C,0)),"")</f>
        <v/>
      </c>
    </row>
    <row r="328" ht="1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s="34" t="n">
        <v>230000000</v>
      </c>
      <c r="J328" t="inlineStr">
        <is>
          <t>COP</t>
        </is>
      </c>
      <c r="L328" t="inlineStr">
        <is>
          <t>Contabilidad</t>
        </is>
      </c>
      <c r="M328">
        <f>IFERROR(INDEX(Diccionario!$N:$N,MATCH(F160,Diccionario!$C:$C,0)),"")</f>
        <v/>
      </c>
    </row>
    <row r="329" ht="1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s="34" t="n">
        <v>8100000</v>
      </c>
      <c r="J329" t="inlineStr">
        <is>
          <t>COP</t>
        </is>
      </c>
      <c r="L329" t="inlineStr">
        <is>
          <t>Contabilidad</t>
        </is>
      </c>
      <c r="M329">
        <f>IFERROR(INDEX(Diccionario!$N:$N,MATCH(F892,Diccionario!$C:$C,0)),"")</f>
        <v/>
      </c>
    </row>
    <row r="330" ht="1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s="34" t="n">
        <v>23000000</v>
      </c>
      <c r="J330" t="inlineStr">
        <is>
          <t>COP</t>
        </is>
      </c>
      <c r="L330" t="inlineStr">
        <is>
          <t>Contabilidad</t>
        </is>
      </c>
      <c r="M330">
        <f>IFERROR(INDEX(Diccionario!$N:$N,MATCH(F888,Diccionario!$C:$C,0)),"")</f>
        <v/>
      </c>
    </row>
    <row r="331" ht="15" customHeight="1" s="57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s="34" t="n">
        <v>88300000</v>
      </c>
      <c r="J331" t="inlineStr">
        <is>
          <t>COP</t>
        </is>
      </c>
      <c r="L331" t="inlineStr">
        <is>
          <t>Contabilidad</t>
        </is>
      </c>
      <c r="M331">
        <f>IFERROR(INDEX(Diccionario!$N:$N,MATCH(F887,Diccionario!$C:$C,0)),"")</f>
        <v/>
      </c>
    </row>
    <row r="332" ht="15" customHeight="1" s="57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s="34" t="n">
        <v>150000</v>
      </c>
      <c r="J332" t="inlineStr">
        <is>
          <t>COP</t>
        </is>
      </c>
      <c r="L332" t="inlineStr">
        <is>
          <t>Contabilidad</t>
        </is>
      </c>
      <c r="M332">
        <f>IFERROR(INDEX(Diccionario!$N:$N,MATCH(F889,Diccionario!$C:$C,0)),"")</f>
        <v/>
      </c>
    </row>
    <row r="333" ht="15" customHeight="1" s="57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s="34" t="n">
        <v>18000000</v>
      </c>
      <c r="J333" t="inlineStr">
        <is>
          <t>COP</t>
        </is>
      </c>
      <c r="L333" t="inlineStr">
        <is>
          <t>Contabilidad</t>
        </is>
      </c>
      <c r="M333">
        <f>IFERROR(INDEX(Diccionario!$N:$N,MATCH(F890,Diccionario!$C:$C,0)),"")</f>
        <v/>
      </c>
    </row>
    <row r="334" ht="15" customHeight="1" s="57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s="34" t="n">
        <v>28300000</v>
      </c>
      <c r="J334" t="inlineStr">
        <is>
          <t>COP</t>
        </is>
      </c>
      <c r="L334" t="inlineStr">
        <is>
          <t>Contabilidad</t>
        </is>
      </c>
      <c r="M334">
        <f>IFERROR(INDEX(Diccionario!$N:$N,MATCH(F891,Diccionario!$C:$C,0)),"")</f>
        <v/>
      </c>
    </row>
    <row r="335" ht="15" customHeight="1" s="57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s="34" t="n">
        <v>8000000</v>
      </c>
      <c r="J335" t="inlineStr">
        <is>
          <t>COP</t>
        </is>
      </c>
      <c r="L335" t="inlineStr">
        <is>
          <t>Contabilidad</t>
        </is>
      </c>
      <c r="M335">
        <f>IFERROR(INDEX(Diccionario!$N:$N,MATCH(F757,Diccionario!$C:$C,0)),"")</f>
        <v/>
      </c>
    </row>
    <row r="336" ht="15" customHeight="1" s="57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s="34" t="n">
        <v>95000000</v>
      </c>
      <c r="J336" t="inlineStr">
        <is>
          <t>COP</t>
        </is>
      </c>
      <c r="L336" t="inlineStr">
        <is>
          <t>Contabilidad</t>
        </is>
      </c>
      <c r="M336">
        <f>IFERROR(INDEX(Diccionario!$N:$N,MATCH(F756,Diccionario!$C:$C,0)),"")</f>
        <v/>
      </c>
    </row>
    <row r="337" ht="15" customHeight="1" s="5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s="34" t="n">
        <v>30000000</v>
      </c>
      <c r="J337" t="inlineStr">
        <is>
          <t>COP</t>
        </is>
      </c>
      <c r="L337" t="inlineStr">
        <is>
          <t>Contabilidad</t>
        </is>
      </c>
      <c r="M337">
        <f>IFERROR(INDEX(Diccionario!$N:$N,MATCH(F758,Diccionario!$C:$C,0)),"")</f>
        <v/>
      </c>
    </row>
    <row r="338" ht="15" customHeight="1" s="57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s="34" t="n">
        <v>3000000</v>
      </c>
      <c r="J338" t="inlineStr">
        <is>
          <t>COP</t>
        </is>
      </c>
      <c r="L338" t="inlineStr">
        <is>
          <t>Contabilidad</t>
        </is>
      </c>
      <c r="M338">
        <f>IFERROR(INDEX(Diccionario!$N:$N,MATCH(F759,Diccionario!$C:$C,0)),"")</f>
        <v/>
      </c>
    </row>
    <row r="339" ht="15" customHeight="1" s="57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s="34" t="n">
        <v>3200000</v>
      </c>
      <c r="J339" t="inlineStr">
        <is>
          <t>COP</t>
        </is>
      </c>
      <c r="L339" t="inlineStr">
        <is>
          <t>Contabilidad</t>
        </is>
      </c>
      <c r="M339">
        <f>IFERROR(INDEX(Diccionario!$N:$N,MATCH(F632,Diccionario!$C:$C,0)),"")</f>
        <v/>
      </c>
    </row>
    <row r="340" ht="15" customHeight="1" s="57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s="34" t="n">
        <v>66400000</v>
      </c>
      <c r="J340" t="inlineStr">
        <is>
          <t>COP</t>
        </is>
      </c>
      <c r="L340" t="inlineStr">
        <is>
          <t>Contabilidad</t>
        </is>
      </c>
      <c r="M340">
        <f>IFERROR(INDEX(Diccionario!$N:$N,MATCH(F631,Diccionario!$C:$C,0)),"")</f>
        <v/>
      </c>
    </row>
    <row r="341" ht="15" customHeight="1" s="57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s="34" t="n">
        <v>33000000</v>
      </c>
      <c r="J341" t="inlineStr">
        <is>
          <t>COP</t>
        </is>
      </c>
      <c r="L341" t="inlineStr">
        <is>
          <t>Contabilidad</t>
        </is>
      </c>
      <c r="M341">
        <f>IFERROR(INDEX(Diccionario!$N:$N,MATCH(F633,Diccionario!$C:$C,0)),"")</f>
        <v/>
      </c>
    </row>
    <row r="342" ht="15" customHeight="1" s="57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s="34" t="n">
        <v>5600000</v>
      </c>
      <c r="J342" t="inlineStr">
        <is>
          <t>COP</t>
        </is>
      </c>
      <c r="L342" t="inlineStr">
        <is>
          <t>Contabilidad</t>
        </is>
      </c>
      <c r="M342">
        <f>IFERROR(INDEX(Diccionario!$N:$N,MATCH(F634,Diccionario!$C:$C,0)),"")</f>
        <v/>
      </c>
    </row>
    <row r="343" ht="15" customHeight="1" s="57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s="34" t="n">
        <v>26800000</v>
      </c>
      <c r="J343" t="inlineStr">
        <is>
          <t>COP</t>
        </is>
      </c>
      <c r="L343" t="inlineStr">
        <is>
          <t>Contabilidad</t>
        </is>
      </c>
      <c r="M343">
        <f>IFERROR(INDEX(Diccionario!$N:$N,MATCH(F513,Diccionario!$C:$C,0)),"")</f>
        <v/>
      </c>
    </row>
    <row r="344" ht="15" customHeight="1" s="57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s="34" t="n">
        <v>8000000</v>
      </c>
      <c r="J344" t="inlineStr">
        <is>
          <t>COP</t>
        </is>
      </c>
      <c r="L344" t="inlineStr">
        <is>
          <t>Contabilidad</t>
        </is>
      </c>
      <c r="M344">
        <f>IFERROR(INDEX(Diccionario!$N:$N,MATCH(F514,Diccionario!$C:$C,0)),"")</f>
        <v/>
      </c>
    </row>
    <row r="345" ht="15" customHeight="1" s="57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s="34" t="n">
        <v>13500000</v>
      </c>
      <c r="J345" t="inlineStr">
        <is>
          <t>COP</t>
        </is>
      </c>
      <c r="L345" t="inlineStr">
        <is>
          <t>Contabilidad</t>
        </is>
      </c>
      <c r="M345">
        <f>IFERROR(INDEX(Diccionario!$N:$N,MATCH(F512,Diccionario!$C:$C,0)),"")</f>
        <v/>
      </c>
    </row>
    <row r="346" ht="15" customHeight="1" s="57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s="34" t="n">
        <v>123000000</v>
      </c>
      <c r="J346" t="inlineStr">
        <is>
          <t>COP</t>
        </is>
      </c>
      <c r="L346" t="inlineStr">
        <is>
          <t>Contabilidad</t>
        </is>
      </c>
      <c r="M346">
        <f>IFERROR(INDEX(Diccionario!$N:$N,MATCH(F511,Diccionario!$C:$C,0)),"")</f>
        <v/>
      </c>
    </row>
    <row r="347" ht="15" customHeight="1" s="5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s="34" t="n">
        <v>10000000</v>
      </c>
      <c r="J347" t="inlineStr">
        <is>
          <t>COP</t>
        </is>
      </c>
      <c r="L347" t="inlineStr">
        <is>
          <t>Contabilidad</t>
        </is>
      </c>
      <c r="M347">
        <f>IFERROR(INDEX(Diccionario!$N:$N,MATCH(F515,Diccionario!$C:$C,0)),"")</f>
        <v/>
      </c>
    </row>
    <row r="348" ht="15" customHeight="1" s="57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s="45" t="n">
        <v>14.18</v>
      </c>
      <c r="J348" t="inlineStr">
        <is>
          <t>%</t>
        </is>
      </c>
      <c r="L348" t="inlineStr">
        <is>
          <t>Contabilidad</t>
        </is>
      </c>
      <c r="M348">
        <f>IFERROR(INDEX(Diccionario!$N:$N,MATCH(F1009,Diccionario!$C:$C,0)),"")</f>
        <v/>
      </c>
    </row>
    <row r="349" ht="15" customHeight="1" s="57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s="34" t="n">
        <v>26300000</v>
      </c>
      <c r="J349" t="inlineStr">
        <is>
          <t>COP</t>
        </is>
      </c>
      <c r="L349" t="inlineStr">
        <is>
          <t>Contabilidad</t>
        </is>
      </c>
      <c r="M349">
        <f>IFERROR(INDEX(Diccionario!$N:$N,MATCH(F333,Diccionario!$C:$C,0)),"")</f>
        <v/>
      </c>
    </row>
    <row r="350" ht="15" customHeight="1" s="57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s="34" t="n">
        <v>6000000</v>
      </c>
      <c r="J350" t="inlineStr">
        <is>
          <t>COP</t>
        </is>
      </c>
      <c r="L350" t="inlineStr">
        <is>
          <t>Contabilidad</t>
        </is>
      </c>
      <c r="M350">
        <f>IFERROR(INDEX(Diccionario!$N:$N,MATCH(F337,Diccionario!$C:$C,0)),"")</f>
        <v/>
      </c>
    </row>
    <row r="351" ht="15" customHeight="1" s="57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s="34" t="n">
        <v>103400000</v>
      </c>
      <c r="J351" t="inlineStr">
        <is>
          <t>COP</t>
        </is>
      </c>
      <c r="L351" t="inlineStr">
        <is>
          <t>Contabilidad</t>
        </is>
      </c>
      <c r="M351">
        <f>IFERROR(INDEX(Diccionario!$N:$N,MATCH(F332,Diccionario!$C:$C,0)),"")</f>
        <v/>
      </c>
    </row>
    <row r="352" ht="15" customHeight="1" s="57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s="34" t="n">
        <v>60600000</v>
      </c>
      <c r="J352" t="inlineStr">
        <is>
          <t>COP</t>
        </is>
      </c>
      <c r="L352" t="inlineStr">
        <is>
          <t>Contabilidad</t>
        </is>
      </c>
      <c r="M352">
        <f>IFERROR(INDEX(Diccionario!$N:$N,MATCH(F331,Diccionario!$C:$C,0)),"")</f>
        <v/>
      </c>
    </row>
    <row r="353" ht="15" customHeight="1" s="57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s="34" t="n">
        <v>9400000</v>
      </c>
      <c r="J353" t="inlineStr">
        <is>
          <t>COP</t>
        </is>
      </c>
      <c r="L353" t="inlineStr">
        <is>
          <t>Contabilidad</t>
        </is>
      </c>
      <c r="M353">
        <f>IFERROR(INDEX(Diccionario!$N:$N,MATCH(F334,Diccionario!$C:$C,0)),"")</f>
        <v/>
      </c>
    </row>
    <row r="354" ht="15" customHeight="1" s="57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s="34" t="n">
        <v>15000000</v>
      </c>
      <c r="J354" t="inlineStr">
        <is>
          <t>COP</t>
        </is>
      </c>
      <c r="L354" t="inlineStr">
        <is>
          <t>Contabilidad</t>
        </is>
      </c>
      <c r="M354">
        <f>IFERROR(INDEX(Diccionario!$N:$N,MATCH(F335,Diccionario!$C:$C,0)),"")</f>
        <v/>
      </c>
    </row>
    <row r="355" ht="15" customHeight="1" s="57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s="34" t="n">
        <v>8000000</v>
      </c>
      <c r="J355" t="inlineStr">
        <is>
          <t>COP</t>
        </is>
      </c>
      <c r="L355" t="inlineStr">
        <is>
          <t>Contabilidad</t>
        </is>
      </c>
      <c r="M355">
        <f>IFERROR(INDEX(Diccionario!$N:$N,MATCH(F336,Diccionario!$C:$C,0)),"")</f>
        <v/>
      </c>
    </row>
    <row r="356" ht="15" customHeight="1" s="57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s="34" t="n">
        <v>231000000</v>
      </c>
      <c r="J356" t="inlineStr">
        <is>
          <t>COP</t>
        </is>
      </c>
      <c r="L356" t="inlineStr">
        <is>
          <t>Contabilidad</t>
        </is>
      </c>
      <c r="M356">
        <f>IFERROR(INDEX(Diccionario!$N:$N,MATCH(F168,Diccionario!$C:$C,0)),"")</f>
        <v/>
      </c>
    </row>
    <row r="357" ht="15" customHeight="1" s="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s="34" t="n">
        <v>175000000</v>
      </c>
      <c r="J357" t="inlineStr">
        <is>
          <t>COP</t>
        </is>
      </c>
      <c r="L357" t="inlineStr">
        <is>
          <t>Contabilidad</t>
        </is>
      </c>
      <c r="M357">
        <f>IFERROR(INDEX(Diccionario!$N:$N,MATCH(F167,Diccionario!$C:$C,0)),"")</f>
        <v/>
      </c>
    </row>
    <row r="358" ht="15" customHeight="1" s="57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s="34" t="n">
        <v>6500000</v>
      </c>
      <c r="J358" t="inlineStr">
        <is>
          <t>COP</t>
        </is>
      </c>
      <c r="L358" t="inlineStr">
        <is>
          <t>Contabilidad</t>
        </is>
      </c>
      <c r="M358">
        <f>IFERROR(INDEX(Diccionario!$N:$N,MATCH(F164,Diccionario!$C:$C,0)),"")</f>
        <v/>
      </c>
    </row>
    <row r="359" ht="15" customHeight="1" s="57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s="34" t="n">
        <v>182000000</v>
      </c>
      <c r="J359" t="inlineStr">
        <is>
          <t>COP</t>
        </is>
      </c>
      <c r="L359" t="inlineStr">
        <is>
          <t>Contabilidad</t>
        </is>
      </c>
      <c r="M359">
        <f>IFERROR(INDEX(Diccionario!$N:$N,MATCH(F166,Diccionario!$C:$C,0)),"")</f>
        <v/>
      </c>
    </row>
    <row r="360" ht="15" customHeight="1" s="57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s="34" t="n">
        <v>216000000</v>
      </c>
      <c r="J360" t="inlineStr">
        <is>
          <t>COP</t>
        </is>
      </c>
      <c r="L360" t="inlineStr">
        <is>
          <t>Contabilidad</t>
        </is>
      </c>
      <c r="M360">
        <f>IFERROR(INDEX(Diccionario!$N:$N,MATCH(F165,Diccionario!$C:$C,0)),"")</f>
        <v/>
      </c>
    </row>
    <row r="361" ht="15" customHeight="1" s="57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s="34" t="n">
        <v>8700000</v>
      </c>
      <c r="J361" t="inlineStr">
        <is>
          <t>COP</t>
        </is>
      </c>
      <c r="L361" t="inlineStr">
        <is>
          <t>Contabilidad</t>
        </is>
      </c>
      <c r="M361">
        <f>IFERROR(INDEX(Diccionario!$N:$N,MATCH(F898,Diccionario!$C:$C,0)),"")</f>
        <v/>
      </c>
    </row>
    <row r="362" ht="15" customHeight="1" s="57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s="34" t="n">
        <v>37400000</v>
      </c>
      <c r="J362" t="inlineStr">
        <is>
          <t>COP</t>
        </is>
      </c>
      <c r="L362" t="inlineStr">
        <is>
          <t>Contabilidad</t>
        </is>
      </c>
      <c r="M362">
        <f>IFERROR(INDEX(Diccionario!$N:$N,MATCH(F894,Diccionario!$C:$C,0)),"")</f>
        <v/>
      </c>
    </row>
    <row r="363" ht="15" customHeight="1" s="57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s="34" t="n">
        <v>79000000</v>
      </c>
      <c r="J363" t="inlineStr">
        <is>
          <t>COP</t>
        </is>
      </c>
      <c r="L363" t="inlineStr">
        <is>
          <t>Contabilidad</t>
        </is>
      </c>
      <c r="M363">
        <f>IFERROR(INDEX(Diccionario!$N:$N,MATCH(F893,Diccionario!$C:$C,0)),"")</f>
        <v/>
      </c>
    </row>
    <row r="364" ht="15" customHeight="1" s="57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s="34" t="n">
        <v>270000</v>
      </c>
      <c r="J364" t="inlineStr">
        <is>
          <t>COP</t>
        </is>
      </c>
      <c r="L364" t="inlineStr">
        <is>
          <t>Contabilidad</t>
        </is>
      </c>
      <c r="M364">
        <f>IFERROR(INDEX(Diccionario!$N:$N,MATCH(F895,Diccionario!$C:$C,0)),"")</f>
        <v/>
      </c>
    </row>
    <row r="365" ht="15" customHeight="1" s="57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s="34" t="n">
        <v>43800000</v>
      </c>
      <c r="J365" t="inlineStr">
        <is>
          <t>COP</t>
        </is>
      </c>
      <c r="L365" t="inlineStr">
        <is>
          <t>Contabilidad</t>
        </is>
      </c>
      <c r="M365">
        <f>IFERROR(INDEX(Diccionario!$N:$N,MATCH(F896,Diccionario!$C:$C,0)),"")</f>
        <v/>
      </c>
    </row>
    <row r="366" ht="15" customHeight="1" s="57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s="34" t="n">
        <v>6000000</v>
      </c>
      <c r="J366" t="inlineStr">
        <is>
          <t>COP</t>
        </is>
      </c>
      <c r="L366" t="inlineStr">
        <is>
          <t>Contabilidad</t>
        </is>
      </c>
      <c r="M366">
        <f>IFERROR(INDEX(Diccionario!$N:$N,MATCH(F897,Diccionario!$C:$C,0)),"")</f>
        <v/>
      </c>
    </row>
    <row r="367" ht="15" customHeight="1" s="5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s="34" t="n">
        <v>3300000</v>
      </c>
      <c r="J367" t="inlineStr">
        <is>
          <t>COP</t>
        </is>
      </c>
      <c r="L367" t="inlineStr">
        <is>
          <t>Contabilidad</t>
        </is>
      </c>
      <c r="M367">
        <f>IFERROR(INDEX(Diccionario!$N:$N,MATCH(F761,Diccionario!$C:$C,0)),"")</f>
        <v/>
      </c>
    </row>
    <row r="368" ht="15" customHeight="1" s="57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s="34" t="n">
        <v>100800000</v>
      </c>
      <c r="J368" t="inlineStr">
        <is>
          <t>COP</t>
        </is>
      </c>
      <c r="L368" t="inlineStr">
        <is>
          <t>Contabilidad</t>
        </is>
      </c>
      <c r="M368">
        <f>IFERROR(INDEX(Diccionario!$N:$N,MATCH(F760,Diccionario!$C:$C,0)),"")</f>
        <v/>
      </c>
    </row>
    <row r="369" ht="15" customHeight="1" s="57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s="34" t="n">
        <v>2600000</v>
      </c>
      <c r="J369" t="inlineStr">
        <is>
          <t>COP</t>
        </is>
      </c>
      <c r="L369" t="inlineStr">
        <is>
          <t>Contabilidad</t>
        </is>
      </c>
      <c r="M369">
        <f>IFERROR(INDEX(Diccionario!$N:$N,MATCH(F762,Diccionario!$C:$C,0)),"")</f>
        <v/>
      </c>
    </row>
    <row r="370" ht="15" customHeight="1" s="57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s="34" t="n">
        <v>3000000</v>
      </c>
      <c r="J370" t="inlineStr">
        <is>
          <t>COP</t>
        </is>
      </c>
      <c r="L370" t="inlineStr">
        <is>
          <t>Contabilidad</t>
        </is>
      </c>
      <c r="M370">
        <f>IFERROR(INDEX(Diccionario!$N:$N,MATCH(F763,Diccionario!$C:$C,0)),"")</f>
        <v/>
      </c>
    </row>
    <row r="371" ht="15" customHeight="1" s="57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s="34" t="n">
        <v>87200000</v>
      </c>
      <c r="J371" t="inlineStr">
        <is>
          <t>COP</t>
        </is>
      </c>
      <c r="L371" t="inlineStr">
        <is>
          <t>Contabilidad</t>
        </is>
      </c>
      <c r="M371">
        <f>IFERROR(INDEX(Diccionario!$N:$N,MATCH(F635,Diccionario!$C:$C,0)),"")</f>
        <v/>
      </c>
    </row>
    <row r="372" ht="15" customHeight="1" s="57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s="34" t="n">
        <v>4700000</v>
      </c>
      <c r="J372" t="inlineStr">
        <is>
          <t>COP</t>
        </is>
      </c>
      <c r="L372" t="inlineStr">
        <is>
          <t>Contabilidad</t>
        </is>
      </c>
      <c r="M372">
        <f>IFERROR(INDEX(Diccionario!$N:$N,MATCH(F636,Diccionario!$C:$C,0)),"")</f>
        <v/>
      </c>
    </row>
    <row r="373" ht="15" customHeight="1" s="57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s="34" t="n">
        <v>18500000</v>
      </c>
      <c r="J373" t="inlineStr">
        <is>
          <t>COP</t>
        </is>
      </c>
      <c r="L373" t="inlineStr">
        <is>
          <t>Contabilidad</t>
        </is>
      </c>
      <c r="M373">
        <f>IFERROR(INDEX(Diccionario!$N:$N,MATCH(F637,Diccionario!$C:$C,0)),"")</f>
        <v/>
      </c>
    </row>
    <row r="374" ht="15" customHeight="1" s="57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s="34" t="n">
        <v>7900000</v>
      </c>
      <c r="J374" t="inlineStr">
        <is>
          <t>COP</t>
        </is>
      </c>
      <c r="L374" t="inlineStr">
        <is>
          <t>Contabilidad</t>
        </is>
      </c>
      <c r="M374">
        <f>IFERROR(INDEX(Diccionario!$N:$N,MATCH(F340,Diccionario!$C:$C,0)),"")</f>
        <v/>
      </c>
    </row>
    <row r="375" ht="15" customHeight="1" s="57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s="34" t="n">
        <v>500000</v>
      </c>
      <c r="J375" t="inlineStr">
        <is>
          <t>COP</t>
        </is>
      </c>
      <c r="L375" t="inlineStr">
        <is>
          <t>Contabilidad</t>
        </is>
      </c>
      <c r="M375">
        <f>IFERROR(INDEX(Diccionario!$N:$N,MATCH(F344,Diccionario!$C:$C,0)),"")</f>
        <v/>
      </c>
    </row>
    <row r="376" ht="15" customHeight="1" s="57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s="34" t="n">
        <v>37400000</v>
      </c>
      <c r="J376" t="inlineStr">
        <is>
          <t>COP</t>
        </is>
      </c>
      <c r="L376" t="inlineStr">
        <is>
          <t>Contabilidad</t>
        </is>
      </c>
      <c r="M376">
        <f>IFERROR(INDEX(Diccionario!$N:$N,MATCH(F339,Diccionario!$C:$C,0)),"")</f>
        <v/>
      </c>
    </row>
    <row r="377" ht="15" customHeight="1" s="5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s="34" t="n">
        <v>60300000</v>
      </c>
      <c r="J377" t="inlineStr">
        <is>
          <t>COP</t>
        </is>
      </c>
      <c r="L377" t="inlineStr">
        <is>
          <t>Contabilidad</t>
        </is>
      </c>
      <c r="M377">
        <f>IFERROR(INDEX(Diccionario!$N:$N,MATCH(F338,Diccionario!$C:$C,0)),"")</f>
        <v/>
      </c>
    </row>
    <row r="378" ht="15" customHeight="1" s="57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s="34" t="n">
        <v>4200000</v>
      </c>
      <c r="J378" t="inlineStr">
        <is>
          <t>COP</t>
        </is>
      </c>
      <c r="L378" t="inlineStr">
        <is>
          <t>Contabilidad</t>
        </is>
      </c>
      <c r="M378">
        <f>IFERROR(INDEX(Diccionario!$N:$N,MATCH(F341,Diccionario!$C:$C,0)),"")</f>
        <v/>
      </c>
    </row>
    <row r="379" ht="15" customHeight="1" s="57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s="34" t="n">
        <v>20000000</v>
      </c>
      <c r="J379" t="inlineStr">
        <is>
          <t>COP</t>
        </is>
      </c>
      <c r="L379" t="inlineStr">
        <is>
          <t>Contabilidad</t>
        </is>
      </c>
      <c r="M379">
        <f>IFERROR(INDEX(Diccionario!$N:$N,MATCH(F342,Diccionario!$C:$C,0)),"")</f>
        <v/>
      </c>
    </row>
    <row r="380" ht="15" customHeight="1" s="57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s="34" t="n">
        <v>28000000</v>
      </c>
      <c r="J380" t="inlineStr">
        <is>
          <t>COP</t>
        </is>
      </c>
      <c r="L380" t="inlineStr">
        <is>
          <t>Contabilidad</t>
        </is>
      </c>
      <c r="M380">
        <f>IFERROR(INDEX(Diccionario!$N:$N,MATCH(F343,Diccionario!$C:$C,0)),"")</f>
        <v/>
      </c>
    </row>
    <row r="381" ht="15" customHeight="1" s="57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s="34" t="n">
        <v>158000000</v>
      </c>
      <c r="J381" t="inlineStr">
        <is>
          <t>COP</t>
        </is>
      </c>
      <c r="L381" t="inlineStr">
        <is>
          <t>Contabilidad</t>
        </is>
      </c>
      <c r="M381">
        <f>IFERROR(INDEX(Diccionario!$N:$N,MATCH(F173,Diccionario!$C:$C,0)),"")</f>
        <v/>
      </c>
    </row>
    <row r="382" ht="15" customHeight="1" s="57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s="34" t="n">
        <v>163000000</v>
      </c>
      <c r="J382" t="inlineStr">
        <is>
          <t>COP</t>
        </is>
      </c>
      <c r="L382" t="inlineStr">
        <is>
          <t>Contabilidad</t>
        </is>
      </c>
      <c r="M382">
        <f>IFERROR(INDEX(Diccionario!$N:$N,MATCH(F172,Diccionario!$C:$C,0)),"")</f>
        <v/>
      </c>
    </row>
    <row r="383" ht="15" customHeight="1" s="57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s="34" t="n">
        <v>4700000</v>
      </c>
      <c r="J383" t="inlineStr">
        <is>
          <t>COP</t>
        </is>
      </c>
      <c r="L383" t="inlineStr">
        <is>
          <t>Contabilidad</t>
        </is>
      </c>
      <c r="M383">
        <f>IFERROR(INDEX(Diccionario!$N:$N,MATCH(F169,Diccionario!$C:$C,0)),"")</f>
        <v/>
      </c>
    </row>
    <row r="384" ht="15" customHeight="1" s="57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s="34" t="n">
        <v>130000000</v>
      </c>
      <c r="J384" t="inlineStr">
        <is>
          <t>COP</t>
        </is>
      </c>
      <c r="L384" t="inlineStr">
        <is>
          <t>Contabilidad</t>
        </is>
      </c>
      <c r="M384">
        <f>IFERROR(INDEX(Diccionario!$N:$N,MATCH(F171,Diccionario!$C:$C,0)),"")</f>
        <v/>
      </c>
    </row>
    <row r="385" ht="15" customHeight="1" s="57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s="34" t="n">
        <v>238000000</v>
      </c>
      <c r="J385" t="inlineStr">
        <is>
          <t>COP</t>
        </is>
      </c>
      <c r="L385" t="inlineStr">
        <is>
          <t>Contabilidad</t>
        </is>
      </c>
      <c r="M385">
        <f>IFERROR(INDEX(Diccionario!$N:$N,MATCH(F170,Diccionario!$C:$C,0)),"")</f>
        <v/>
      </c>
    </row>
    <row r="386" ht="15" customHeight="1" s="57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s="34" t="n">
        <v>8400000</v>
      </c>
      <c r="J386" t="inlineStr">
        <is>
          <t>COP</t>
        </is>
      </c>
      <c r="L386" t="inlineStr">
        <is>
          <t>Contabilidad</t>
        </is>
      </c>
      <c r="M386">
        <f>IFERROR(INDEX(Diccionario!$N:$N,MATCH(F904,Diccionario!$C:$C,0)),"")</f>
        <v/>
      </c>
    </row>
    <row r="387" ht="15" customHeight="1" s="5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s="34" t="n">
        <v>0</v>
      </c>
      <c r="J387" t="inlineStr">
        <is>
          <t>COP</t>
        </is>
      </c>
      <c r="L387" t="inlineStr">
        <is>
          <t>Contabilidad</t>
        </is>
      </c>
      <c r="M387">
        <f>IFERROR(INDEX(Diccionario!$N:$N,MATCH(F900,Diccionario!$C:$C,0)),"")</f>
        <v/>
      </c>
    </row>
    <row r="388" ht="15" customHeight="1" s="57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s="34" t="n">
        <v>94600000</v>
      </c>
      <c r="J388" t="inlineStr">
        <is>
          <t>COP</t>
        </is>
      </c>
      <c r="L388" t="inlineStr">
        <is>
          <t>Contabilidad</t>
        </is>
      </c>
      <c r="M388">
        <f>IFERROR(INDEX(Diccionario!$N:$N,MATCH(F899,Diccionario!$C:$C,0)),"")</f>
        <v/>
      </c>
    </row>
    <row r="389" ht="15" customHeight="1" s="57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s="34" t="n">
        <v>0</v>
      </c>
      <c r="J389" t="inlineStr">
        <is>
          <t>COP</t>
        </is>
      </c>
      <c r="L389" t="inlineStr">
        <is>
          <t>Contabilidad</t>
        </is>
      </c>
      <c r="M389">
        <f>IFERROR(INDEX(Diccionario!$N:$N,MATCH(F901,Diccionario!$C:$C,0)),"")</f>
        <v/>
      </c>
    </row>
    <row r="390" ht="15" customHeight="1" s="57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s="34" t="n">
        <v>24800000</v>
      </c>
      <c r="J390" t="inlineStr">
        <is>
          <t>COP</t>
        </is>
      </c>
      <c r="L390" t="inlineStr">
        <is>
          <t>Contabilidad</t>
        </is>
      </c>
      <c r="M390">
        <f>IFERROR(INDEX(Diccionario!$N:$N,MATCH(F902,Diccionario!$C:$C,0)),"")</f>
        <v/>
      </c>
    </row>
    <row r="391" ht="15" customHeight="1" s="57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s="34" t="n">
        <v>35500000</v>
      </c>
      <c r="J391" t="inlineStr">
        <is>
          <t>COP</t>
        </is>
      </c>
      <c r="L391" t="inlineStr">
        <is>
          <t>Contabilidad</t>
        </is>
      </c>
      <c r="M391">
        <f>IFERROR(INDEX(Diccionario!$N:$N,MATCH(F903,Diccionario!$C:$C,0)),"")</f>
        <v/>
      </c>
    </row>
    <row r="392" ht="15" customHeight="1" s="57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s="34" t="n">
        <v>3800000</v>
      </c>
      <c r="J392" t="inlineStr">
        <is>
          <t>COP</t>
        </is>
      </c>
      <c r="L392" t="inlineStr">
        <is>
          <t>Contabilidad</t>
        </is>
      </c>
      <c r="M392">
        <f>IFERROR(INDEX(Diccionario!$N:$N,MATCH(F765,Diccionario!$C:$C,0)),"")</f>
        <v/>
      </c>
    </row>
    <row r="393" ht="15" customHeight="1" s="57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s="34" t="n">
        <v>120000000</v>
      </c>
      <c r="J393" t="inlineStr">
        <is>
          <t>COP</t>
        </is>
      </c>
      <c r="L393" t="inlineStr">
        <is>
          <t>Contabilidad</t>
        </is>
      </c>
      <c r="M393">
        <f>IFERROR(INDEX(Diccionario!$N:$N,MATCH(F764,Diccionario!$C:$C,0)),"")</f>
        <v/>
      </c>
    </row>
    <row r="394" ht="15" customHeight="1" s="57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s="34" t="n">
        <v>3300000</v>
      </c>
      <c r="J394" t="inlineStr">
        <is>
          <t>COP</t>
        </is>
      </c>
      <c r="L394" t="inlineStr">
        <is>
          <t>Contabilidad</t>
        </is>
      </c>
      <c r="M394">
        <f>IFERROR(INDEX(Diccionario!$N:$N,MATCH(F766,Diccionario!$C:$C,0)),"")</f>
        <v/>
      </c>
    </row>
    <row r="395" ht="15" customHeight="1" s="57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s="34" t="n">
        <v>0</v>
      </c>
      <c r="J395" t="inlineStr">
        <is>
          <t>COP</t>
        </is>
      </c>
      <c r="L395" t="inlineStr">
        <is>
          <t>Contabilidad</t>
        </is>
      </c>
      <c r="M395">
        <f>IFERROR(INDEX(Diccionario!$N:$N,MATCH(F767,Diccionario!$C:$C,0)),"")</f>
        <v/>
      </c>
    </row>
    <row r="396" ht="15" customHeight="1" s="57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s="34" t="n">
        <v>8000000</v>
      </c>
      <c r="J396" t="inlineStr">
        <is>
          <t>COP</t>
        </is>
      </c>
      <c r="L396" t="inlineStr">
        <is>
          <t>Contabilidad</t>
        </is>
      </c>
      <c r="M396">
        <f>IFERROR(INDEX(Diccionario!$N:$N,MATCH(F639,Diccionario!$C:$C,0)),"")</f>
        <v/>
      </c>
    </row>
    <row r="397" ht="15" customHeight="1" s="5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s="34" t="n">
        <v>100000000</v>
      </c>
      <c r="J397" t="inlineStr">
        <is>
          <t>COP</t>
        </is>
      </c>
      <c r="L397" t="inlineStr">
        <is>
          <t>Contabilidad</t>
        </is>
      </c>
      <c r="M397">
        <f>IFERROR(INDEX(Diccionario!$N:$N,MATCH(F638,Diccionario!$C:$C,0)),"")</f>
        <v/>
      </c>
    </row>
    <row r="398" ht="15" customHeight="1" s="57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s="34" t="n">
        <v>5300000</v>
      </c>
      <c r="J398" t="inlineStr">
        <is>
          <t>COP</t>
        </is>
      </c>
      <c r="L398" t="inlineStr">
        <is>
          <t>Contabilidad</t>
        </is>
      </c>
      <c r="M398">
        <f>IFERROR(INDEX(Diccionario!$N:$N,MATCH(F640,Diccionario!$C:$C,0)),"")</f>
        <v/>
      </c>
    </row>
    <row r="399" ht="15" customHeight="1" s="57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s="34" t="n">
        <v>5800000</v>
      </c>
      <c r="J399" t="inlineStr">
        <is>
          <t>COP</t>
        </is>
      </c>
      <c r="L399" t="inlineStr">
        <is>
          <t>Contabilidad</t>
        </is>
      </c>
      <c r="M399">
        <f>IFERROR(INDEX(Diccionario!$N:$N,MATCH(F641,Diccionario!$C:$C,0)),"")</f>
        <v/>
      </c>
    </row>
    <row r="400" ht="15" customHeight="1" s="57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s="34" t="n">
        <v>31100000</v>
      </c>
      <c r="J400" t="inlineStr">
        <is>
          <t>COP</t>
        </is>
      </c>
      <c r="L400" t="inlineStr">
        <is>
          <t>Contabilidad</t>
        </is>
      </c>
      <c r="M400">
        <f>IFERROR(INDEX(Diccionario!$N:$N,MATCH(F518,Diccionario!$C:$C,0)),"")</f>
        <v/>
      </c>
    </row>
    <row r="401" ht="15" customHeight="1" s="57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s="34" t="n">
        <v>10100000</v>
      </c>
      <c r="J401" t="inlineStr">
        <is>
          <t>COP</t>
        </is>
      </c>
      <c r="L401" t="inlineStr">
        <is>
          <t>Contabilidad</t>
        </is>
      </c>
      <c r="M401">
        <f>IFERROR(INDEX(Diccionario!$N:$N,MATCH(F519,Diccionario!$C:$C,0)),"")</f>
        <v/>
      </c>
    </row>
    <row r="402" ht="15" customHeight="1" s="57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s="34" t="n">
        <v>0</v>
      </c>
      <c r="J402" t="inlineStr">
        <is>
          <t>COP</t>
        </is>
      </c>
      <c r="L402" t="inlineStr">
        <is>
          <t>Contabilidad</t>
        </is>
      </c>
      <c r="M402">
        <f>IFERROR(INDEX(Diccionario!$N:$N,MATCH(F517,Diccionario!$C:$C,0)),"")</f>
        <v/>
      </c>
    </row>
    <row r="403" ht="15" customHeight="1" s="57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s="34" t="n">
        <v>0</v>
      </c>
      <c r="J403" t="inlineStr">
        <is>
          <t>COP</t>
        </is>
      </c>
      <c r="L403" t="inlineStr">
        <is>
          <t>Contabilidad</t>
        </is>
      </c>
      <c r="M403">
        <f>IFERROR(INDEX(Diccionario!$N:$N,MATCH(F516,Diccionario!$C:$C,0)),"")</f>
        <v/>
      </c>
    </row>
    <row r="404" ht="15" customHeight="1" s="57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s="34" t="n">
        <v>5100000</v>
      </c>
      <c r="J404" t="inlineStr">
        <is>
          <t>COP</t>
        </is>
      </c>
      <c r="L404" t="inlineStr">
        <is>
          <t>Contabilidad</t>
        </is>
      </c>
      <c r="M404">
        <f>IFERROR(INDEX(Diccionario!$N:$N,MATCH(F520,Diccionario!$C:$C,0)),"")</f>
        <v/>
      </c>
    </row>
    <row r="405" ht="15" customHeight="1" s="57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s="45" t="n">
        <v>8.210000000000001</v>
      </c>
      <c r="J405" t="inlineStr">
        <is>
          <t>%</t>
        </is>
      </c>
      <c r="L405" t="inlineStr">
        <is>
          <t>Contabilidad</t>
        </is>
      </c>
      <c r="M405">
        <f>IFERROR(INDEX(Diccionario!$N:$N,MATCH(F1010,Diccionario!$C:$C,0)),"")</f>
        <v/>
      </c>
    </row>
    <row r="406" ht="15" customHeight="1" s="57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s="34" t="n">
        <v>9100000</v>
      </c>
      <c r="J406" t="inlineStr">
        <is>
          <t>COP</t>
        </is>
      </c>
      <c r="L406" t="inlineStr">
        <is>
          <t>Contabilidad</t>
        </is>
      </c>
      <c r="M406">
        <f>IFERROR(INDEX(Diccionario!$N:$N,MATCH(F347,Diccionario!$C:$C,0)),"")</f>
        <v/>
      </c>
    </row>
    <row r="407" ht="15" customHeight="1" s="5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s="34" t="n">
        <v>4200000</v>
      </c>
      <c r="J407" t="inlineStr">
        <is>
          <t>COP</t>
        </is>
      </c>
      <c r="L407" t="inlineStr">
        <is>
          <t>Contabilidad</t>
        </is>
      </c>
      <c r="M407">
        <f>IFERROR(INDEX(Diccionario!$N:$N,MATCH(F346,Diccionario!$C:$C,0)),"")</f>
        <v/>
      </c>
    </row>
    <row r="408" ht="15" customHeight="1" s="57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s="34" t="n">
        <v>81000000</v>
      </c>
      <c r="J408" t="inlineStr">
        <is>
          <t>COP</t>
        </is>
      </c>
      <c r="L408" t="inlineStr">
        <is>
          <t>Contabilidad</t>
        </is>
      </c>
      <c r="M408">
        <f>IFERROR(INDEX(Diccionario!$N:$N,MATCH(F345,Diccionario!$C:$C,0)),"")</f>
        <v/>
      </c>
    </row>
    <row r="409" ht="15" customHeight="1" s="57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s="34" t="n">
        <v>3600000</v>
      </c>
      <c r="J409" t="inlineStr">
        <is>
          <t>COP</t>
        </is>
      </c>
      <c r="L409" t="inlineStr">
        <is>
          <t>Contabilidad</t>
        </is>
      </c>
      <c r="M409">
        <f>IFERROR(INDEX(Diccionario!$N:$N,MATCH(F348,Diccionario!$C:$C,0)),"")</f>
        <v/>
      </c>
    </row>
    <row r="410" ht="15" customHeight="1" s="57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s="34" t="n">
        <v>11700000</v>
      </c>
      <c r="J410" t="inlineStr">
        <is>
          <t>COP</t>
        </is>
      </c>
      <c r="L410" t="inlineStr">
        <is>
          <t>Contabilidad</t>
        </is>
      </c>
      <c r="M410">
        <f>IFERROR(INDEX(Diccionario!$N:$N,MATCH(F349,Diccionario!$C:$C,0)),"")</f>
        <v/>
      </c>
    </row>
    <row r="411" ht="15" customHeight="1" s="57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s="34" t="n">
        <v>30000000</v>
      </c>
      <c r="J411" t="inlineStr">
        <is>
          <t>COP</t>
        </is>
      </c>
      <c r="L411" t="inlineStr">
        <is>
          <t>Contabilidad</t>
        </is>
      </c>
      <c r="M411">
        <f>IFERROR(INDEX(Diccionario!$N:$N,MATCH(F350,Diccionario!$C:$C,0)),"")</f>
        <v/>
      </c>
    </row>
    <row r="412" ht="15" customHeight="1" s="57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s="34" t="n">
        <v>140000000</v>
      </c>
      <c r="J412" t="inlineStr">
        <is>
          <t>COP</t>
        </is>
      </c>
      <c r="L412" t="inlineStr">
        <is>
          <t>Contabilidad</t>
        </is>
      </c>
      <c r="M412">
        <f>IFERROR(INDEX(Diccionario!$N:$N,MATCH(F178,Diccionario!$C:$C,0)),"")</f>
        <v/>
      </c>
    </row>
    <row r="413" ht="15" customHeight="1" s="57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s="34" t="n">
        <v>233000000</v>
      </c>
      <c r="J413" t="inlineStr">
        <is>
          <t>COP</t>
        </is>
      </c>
      <c r="L413" t="inlineStr">
        <is>
          <t>Contabilidad</t>
        </is>
      </c>
      <c r="M413">
        <f>IFERROR(INDEX(Diccionario!$N:$N,MATCH(F177,Diccionario!$C:$C,0)),"")</f>
        <v/>
      </c>
    </row>
    <row r="414" ht="15" customHeight="1" s="57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s="34" t="n">
        <v>3800000</v>
      </c>
      <c r="J414" t="inlineStr">
        <is>
          <t>COP</t>
        </is>
      </c>
      <c r="L414" t="inlineStr">
        <is>
          <t>Contabilidad</t>
        </is>
      </c>
      <c r="M414">
        <f>IFERROR(INDEX(Diccionario!$N:$N,MATCH(F174,Diccionario!$C:$C,0)),"")</f>
        <v/>
      </c>
    </row>
    <row r="415" ht="15" customHeight="1" s="57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s="34" t="n">
        <v>47000000</v>
      </c>
      <c r="J415" t="inlineStr">
        <is>
          <t>COP</t>
        </is>
      </c>
      <c r="L415" t="inlineStr">
        <is>
          <t>Contabilidad</t>
        </is>
      </c>
      <c r="M415">
        <f>IFERROR(INDEX(Diccionario!$N:$N,MATCH(F176,Diccionario!$C:$C,0)),"")</f>
        <v/>
      </c>
    </row>
    <row r="416" ht="15" customHeight="1" s="57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s="34" t="n">
        <v>263000000</v>
      </c>
      <c r="J416" t="inlineStr">
        <is>
          <t>COP</t>
        </is>
      </c>
      <c r="L416" t="inlineStr">
        <is>
          <t>Contabilidad</t>
        </is>
      </c>
      <c r="M416">
        <f>IFERROR(INDEX(Diccionario!$N:$N,MATCH(F175,Diccionario!$C:$C,0)),"")</f>
        <v/>
      </c>
    </row>
    <row r="417" ht="15" customHeight="1" s="5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s="34" t="n">
        <v>5800000</v>
      </c>
      <c r="J417" t="inlineStr">
        <is>
          <t>COP</t>
        </is>
      </c>
      <c r="L417" t="inlineStr">
        <is>
          <t>Contabilidad</t>
        </is>
      </c>
      <c r="M417">
        <f>IFERROR(INDEX(Diccionario!$N:$N,MATCH(F910,Diccionario!$C:$C,0)),"")</f>
        <v/>
      </c>
    </row>
    <row r="418" ht="15" customHeight="1" s="57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s="34" t="n">
        <v>29300000</v>
      </c>
      <c r="J418" t="inlineStr">
        <is>
          <t>COP</t>
        </is>
      </c>
      <c r="L418" t="inlineStr">
        <is>
          <t>Contabilidad</t>
        </is>
      </c>
      <c r="M418">
        <f>IFERROR(INDEX(Diccionario!$N:$N,MATCH(F906,Diccionario!$C:$C,0)),"")</f>
        <v/>
      </c>
    </row>
    <row r="419" ht="15" customHeight="1" s="57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s="34" t="n">
        <v>110000000</v>
      </c>
      <c r="J419" t="inlineStr">
        <is>
          <t>COP</t>
        </is>
      </c>
      <c r="L419" t="inlineStr">
        <is>
          <t>Contabilidad</t>
        </is>
      </c>
      <c r="M419">
        <f>IFERROR(INDEX(Diccionario!$N:$N,MATCH(F905,Diccionario!$C:$C,0)),"")</f>
        <v/>
      </c>
    </row>
    <row r="420" ht="15" customHeight="1" s="57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s="34" t="n">
        <v>1500000</v>
      </c>
      <c r="J420" t="inlineStr">
        <is>
          <t>COP</t>
        </is>
      </c>
      <c r="L420" t="inlineStr">
        <is>
          <t>Contabilidad</t>
        </is>
      </c>
      <c r="M420">
        <f>IFERROR(INDEX(Diccionario!$N:$N,MATCH(F907,Diccionario!$C:$C,0)),"")</f>
        <v/>
      </c>
    </row>
    <row r="421" ht="15" customHeight="1" s="57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s="34" t="n">
        <v>38400000</v>
      </c>
      <c r="J421" t="inlineStr">
        <is>
          <t>COP</t>
        </is>
      </c>
      <c r="L421" t="inlineStr">
        <is>
          <t>Contabilidad</t>
        </is>
      </c>
      <c r="M421">
        <f>IFERROR(INDEX(Diccionario!$N:$N,MATCH(F908,Diccionario!$C:$C,0)),"")</f>
        <v/>
      </c>
    </row>
    <row r="422" ht="15" customHeight="1" s="57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s="34" t="n">
        <v>48100000</v>
      </c>
      <c r="J422" t="inlineStr">
        <is>
          <t>COP</t>
        </is>
      </c>
      <c r="L422" t="inlineStr">
        <is>
          <t>Contabilidad</t>
        </is>
      </c>
      <c r="M422">
        <f>IFERROR(INDEX(Diccionario!$N:$N,MATCH(F909,Diccionario!$C:$C,0)),"")</f>
        <v/>
      </c>
    </row>
    <row r="423" ht="15" customHeight="1" s="57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s="34" t="n">
        <v>300000</v>
      </c>
      <c r="J423" t="inlineStr">
        <is>
          <t>COP</t>
        </is>
      </c>
      <c r="L423" t="inlineStr">
        <is>
          <t>Contabilidad</t>
        </is>
      </c>
      <c r="M423">
        <f>IFERROR(INDEX(Diccionario!$N:$N,MATCH(F643,Diccionario!$C:$C,0)),"")</f>
        <v/>
      </c>
    </row>
    <row r="424" ht="15" customHeight="1" s="57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s="34" t="n">
        <v>0</v>
      </c>
      <c r="J424" t="inlineStr">
        <is>
          <t>COP</t>
        </is>
      </c>
      <c r="L424" t="inlineStr">
        <is>
          <t>Contabilidad</t>
        </is>
      </c>
      <c r="M424">
        <f>IFERROR(INDEX(Diccionario!$N:$N,MATCH(F645,Diccionario!$C:$C,0)),"")</f>
        <v/>
      </c>
    </row>
    <row r="425" ht="15" customHeight="1" s="57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s="34" t="n">
        <v>73500000</v>
      </c>
      <c r="J425" t="inlineStr">
        <is>
          <t>COP</t>
        </is>
      </c>
      <c r="L425" t="inlineStr">
        <is>
          <t>Contabilidad</t>
        </is>
      </c>
      <c r="M425">
        <f>IFERROR(INDEX(Diccionario!$N:$N,MATCH(F642,Diccionario!$C:$C,0)),"")</f>
        <v/>
      </c>
    </row>
    <row r="426" ht="15" customHeight="1" s="57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s="34" t="n">
        <v>19000000</v>
      </c>
      <c r="J426" t="inlineStr">
        <is>
          <t>COP</t>
        </is>
      </c>
      <c r="L426" t="inlineStr">
        <is>
          <t>Contabilidad</t>
        </is>
      </c>
      <c r="M426">
        <f>IFERROR(INDEX(Diccionario!$N:$N,MATCH(F644,Diccionario!$C:$C,0)),"")</f>
        <v/>
      </c>
    </row>
    <row r="427" ht="15" customHeight="1" s="5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s="34" t="n">
        <v>13800000</v>
      </c>
      <c r="J427" t="inlineStr">
        <is>
          <t>COP</t>
        </is>
      </c>
      <c r="L427" t="inlineStr">
        <is>
          <t>Contabilidad</t>
        </is>
      </c>
      <c r="M427">
        <f>IFERROR(INDEX(Diccionario!$N:$N,MATCH(F646,Diccionario!$C:$C,0)),"")</f>
        <v/>
      </c>
    </row>
    <row r="428" ht="15" customHeight="1" s="57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s="34" t="n">
        <v>24600000</v>
      </c>
      <c r="J428" t="inlineStr">
        <is>
          <t>COP</t>
        </is>
      </c>
      <c r="L428" t="inlineStr">
        <is>
          <t>Contabilidad</t>
        </is>
      </c>
      <c r="M428">
        <f>IFERROR(INDEX(Diccionario!$N:$N,MATCH(F523,Diccionario!$C:$C,0)),"")</f>
        <v/>
      </c>
    </row>
    <row r="429" ht="15" customHeight="1" s="57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s="34" t="n">
        <v>10300000</v>
      </c>
      <c r="J429" t="inlineStr">
        <is>
          <t>COP</t>
        </is>
      </c>
      <c r="L429" t="inlineStr">
        <is>
          <t>Contabilidad</t>
        </is>
      </c>
      <c r="M429">
        <f>IFERROR(INDEX(Diccionario!$N:$N,MATCH(F524,Diccionario!$C:$C,0)),"")</f>
        <v/>
      </c>
    </row>
    <row r="430" ht="15" customHeight="1" s="57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s="34" t="n">
        <v>91000</v>
      </c>
      <c r="J430" t="inlineStr">
        <is>
          <t>COP</t>
        </is>
      </c>
      <c r="L430" t="inlineStr">
        <is>
          <t>Contabilidad</t>
        </is>
      </c>
      <c r="M430">
        <f>IFERROR(INDEX(Diccionario!$N:$N,MATCH(F522,Diccionario!$C:$C,0)),"")</f>
        <v/>
      </c>
    </row>
    <row r="431" ht="15" customHeight="1" s="57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s="34" t="n">
        <v>167000000</v>
      </c>
      <c r="J431" t="inlineStr">
        <is>
          <t>COP</t>
        </is>
      </c>
      <c r="L431" t="inlineStr">
        <is>
          <t>Contabilidad</t>
        </is>
      </c>
      <c r="M431">
        <f>IFERROR(INDEX(Diccionario!$N:$N,MATCH(F521,Diccionario!$C:$C,0)),"")</f>
        <v/>
      </c>
    </row>
    <row r="432" ht="15" customHeight="1" s="57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s="34" t="n">
        <v>6009000</v>
      </c>
      <c r="J432" t="inlineStr">
        <is>
          <t>COP</t>
        </is>
      </c>
      <c r="L432" t="inlineStr">
        <is>
          <t>Contabilidad</t>
        </is>
      </c>
      <c r="M432">
        <f>IFERROR(INDEX(Diccionario!$N:$N,MATCH(F525,Diccionario!$C:$C,0)),"")</f>
        <v/>
      </c>
    </row>
    <row r="433" ht="15" customHeight="1" s="57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s="45" t="n">
        <v>29.93</v>
      </c>
      <c r="J433" t="inlineStr">
        <is>
          <t>%</t>
        </is>
      </c>
      <c r="L433" t="inlineStr">
        <is>
          <t>Contabilidad</t>
        </is>
      </c>
      <c r="M433">
        <f>IFERROR(INDEX(Diccionario!$N:$N,MATCH(F1011,Diccionario!$C:$C,0)),"")</f>
        <v/>
      </c>
    </row>
    <row r="434" ht="15" customHeight="1" s="57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s="34" t="n">
        <v>7900000</v>
      </c>
      <c r="J434" t="inlineStr">
        <is>
          <t>COP</t>
        </is>
      </c>
      <c r="L434" t="inlineStr">
        <is>
          <t>Contabilidad</t>
        </is>
      </c>
      <c r="M434">
        <f>IFERROR(INDEX(Diccionario!$N:$N,MATCH(F353,Diccionario!$C:$C,0)),"")</f>
        <v/>
      </c>
    </row>
    <row r="435" ht="15" customHeight="1" s="57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s="34" t="n">
        <v>7100000</v>
      </c>
      <c r="J435" t="inlineStr">
        <is>
          <t>COP</t>
        </is>
      </c>
      <c r="L435" t="inlineStr">
        <is>
          <t>Contabilidad</t>
        </is>
      </c>
      <c r="M435">
        <f>IFERROR(INDEX(Diccionario!$N:$N,MATCH(F357,Diccionario!$C:$C,0)),"")</f>
        <v/>
      </c>
    </row>
    <row r="436" ht="15" customHeight="1" s="57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s="34" t="n">
        <v>9800000</v>
      </c>
      <c r="J436" t="inlineStr">
        <is>
          <t>COP</t>
        </is>
      </c>
      <c r="L436" t="inlineStr">
        <is>
          <t>Contabilidad</t>
        </is>
      </c>
      <c r="M436">
        <f>IFERROR(INDEX(Diccionario!$N:$N,MATCH(F352,Diccionario!$C:$C,0)),"")</f>
        <v/>
      </c>
    </row>
    <row r="437" ht="15" customHeight="1" s="5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s="34" t="n">
        <v>58800000</v>
      </c>
      <c r="J437" t="inlineStr">
        <is>
          <t>COP</t>
        </is>
      </c>
      <c r="L437" t="inlineStr">
        <is>
          <t>Contabilidad</t>
        </is>
      </c>
      <c r="M437">
        <f>IFERROR(INDEX(Diccionario!$N:$N,MATCH(F351,Diccionario!$C:$C,0)),"")</f>
        <v/>
      </c>
    </row>
    <row r="438" ht="15" customHeight="1" s="57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s="34" t="n">
        <v>2900000</v>
      </c>
      <c r="J438" t="inlineStr">
        <is>
          <t>COP</t>
        </is>
      </c>
      <c r="L438" t="inlineStr">
        <is>
          <t>Contabilidad</t>
        </is>
      </c>
      <c r="M438">
        <f>IFERROR(INDEX(Diccionario!$N:$N,MATCH(F354,Diccionario!$C:$C,0)),"")</f>
        <v/>
      </c>
    </row>
    <row r="439" ht="15" customHeight="1" s="57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s="34" t="n">
        <v>20700000</v>
      </c>
      <c r="J439" t="inlineStr">
        <is>
          <t>COP</t>
        </is>
      </c>
      <c r="L439" t="inlineStr">
        <is>
          <t>Contabilidad</t>
        </is>
      </c>
      <c r="M439">
        <f>IFERROR(INDEX(Diccionario!$N:$N,MATCH(F355,Diccionario!$C:$C,0)),"")</f>
        <v/>
      </c>
    </row>
    <row r="440" ht="15" customHeight="1" s="57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s="34" t="n">
        <v>33500000</v>
      </c>
      <c r="J440" t="inlineStr">
        <is>
          <t>COP</t>
        </is>
      </c>
      <c r="L440" t="inlineStr">
        <is>
          <t>Contabilidad</t>
        </is>
      </c>
      <c r="M440">
        <f>IFERROR(INDEX(Diccionario!$N:$N,MATCH(F356,Diccionario!$C:$C,0)),"")</f>
        <v/>
      </c>
    </row>
    <row r="441" ht="15" customHeight="1" s="57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s="34" t="n">
        <v>141000000</v>
      </c>
      <c r="J441" t="inlineStr">
        <is>
          <t>COP</t>
        </is>
      </c>
      <c r="L441" t="inlineStr">
        <is>
          <t>Contabilidad</t>
        </is>
      </c>
      <c r="M441">
        <f>IFERROR(INDEX(Diccionario!$N:$N,MATCH(F183,Diccionario!$C:$C,0)),"")</f>
        <v/>
      </c>
    </row>
    <row r="442" ht="15" customHeight="1" s="57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s="34" t="n">
        <v>227600000</v>
      </c>
      <c r="J442" t="inlineStr">
        <is>
          <t>COP</t>
        </is>
      </c>
      <c r="L442" t="inlineStr">
        <is>
          <t>Contabilidad</t>
        </is>
      </c>
      <c r="M442">
        <f>IFERROR(INDEX(Diccionario!$N:$N,MATCH(F182,Diccionario!$C:$C,0)),"")</f>
        <v/>
      </c>
    </row>
    <row r="443" ht="15" customHeight="1" s="57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s="34" t="n">
        <v>4700000</v>
      </c>
      <c r="J443" t="inlineStr">
        <is>
          <t>COP</t>
        </is>
      </c>
      <c r="L443" t="inlineStr">
        <is>
          <t>Contabilidad</t>
        </is>
      </c>
      <c r="M443">
        <f>IFERROR(INDEX(Diccionario!$N:$N,MATCH(F179,Diccionario!$C:$C,0)),"")</f>
        <v/>
      </c>
    </row>
    <row r="444" ht="15" customHeight="1" s="57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s="34" t="n">
        <v>208000000</v>
      </c>
      <c r="J444" t="inlineStr">
        <is>
          <t>COP</t>
        </is>
      </c>
      <c r="L444" t="inlineStr">
        <is>
          <t>Contabilidad</t>
        </is>
      </c>
      <c r="M444">
        <f>IFERROR(INDEX(Diccionario!$N:$N,MATCH(F181,Diccionario!$C:$C,0)),"")</f>
        <v/>
      </c>
    </row>
    <row r="445" ht="15" customHeight="1" s="57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s="34" t="n">
        <v>231000000</v>
      </c>
      <c r="J445" t="inlineStr">
        <is>
          <t>COP</t>
        </is>
      </c>
      <c r="L445" t="inlineStr">
        <is>
          <t>Contabilidad</t>
        </is>
      </c>
      <c r="M445">
        <f>IFERROR(INDEX(Diccionario!$N:$N,MATCH(F180,Diccionario!$C:$C,0)),"")</f>
        <v/>
      </c>
    </row>
    <row r="446" ht="15" customHeight="1" s="57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s="34" t="n">
        <v>8300000</v>
      </c>
      <c r="J446" t="inlineStr">
        <is>
          <t>COP</t>
        </is>
      </c>
      <c r="L446" t="inlineStr">
        <is>
          <t>Contabilidad</t>
        </is>
      </c>
      <c r="M446">
        <f>IFERROR(INDEX(Diccionario!$N:$N,MATCH(F916,Diccionario!$C:$C,0)),"")</f>
        <v/>
      </c>
    </row>
    <row r="447" ht="15" customHeight="1" s="5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s="34" t="n">
        <v>28800000</v>
      </c>
      <c r="J447" t="inlineStr">
        <is>
          <t>COP</t>
        </is>
      </c>
      <c r="L447" t="inlineStr">
        <is>
          <t>Contabilidad</t>
        </is>
      </c>
      <c r="M447">
        <f>IFERROR(INDEX(Diccionario!$N:$N,MATCH(F912,Diccionario!$C:$C,0)),"")</f>
        <v/>
      </c>
    </row>
    <row r="448" ht="15" customHeight="1" s="57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s="34" t="n">
        <v>112400000</v>
      </c>
      <c r="J448" t="inlineStr">
        <is>
          <t>COP</t>
        </is>
      </c>
      <c r="L448" t="inlineStr">
        <is>
          <t>Contabilidad</t>
        </is>
      </c>
      <c r="M448">
        <f>IFERROR(INDEX(Diccionario!$N:$N,MATCH(F911,Diccionario!$C:$C,0)),"")</f>
        <v/>
      </c>
    </row>
    <row r="449" ht="15" customHeight="1" s="57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s="34" t="n">
        <v>1600000</v>
      </c>
      <c r="J449" t="inlineStr">
        <is>
          <t>COP</t>
        </is>
      </c>
      <c r="L449" t="inlineStr">
        <is>
          <t>Contabilidad</t>
        </is>
      </c>
      <c r="M449">
        <f>IFERROR(INDEX(Diccionario!$N:$N,MATCH(F913,Diccionario!$C:$C,0)),"")</f>
        <v/>
      </c>
    </row>
    <row r="450" ht="15" customHeight="1" s="57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s="34" t="n">
        <v>43100000</v>
      </c>
      <c r="J450" t="inlineStr">
        <is>
          <t>COP</t>
        </is>
      </c>
      <c r="L450" t="inlineStr">
        <is>
          <t>Contabilidad</t>
        </is>
      </c>
      <c r="M450">
        <f>IFERROR(INDEX(Diccionario!$N:$N,MATCH(F914,Diccionario!$C:$C,0)),"")</f>
        <v/>
      </c>
    </row>
    <row r="451" ht="15" customHeight="1" s="57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s="34" t="n">
        <v>33200000</v>
      </c>
      <c r="J451" t="inlineStr">
        <is>
          <t>COP</t>
        </is>
      </c>
      <c r="L451" t="inlineStr">
        <is>
          <t>Contabilidad</t>
        </is>
      </c>
      <c r="M451">
        <f>IFERROR(INDEX(Diccionario!$N:$N,MATCH(F915,Diccionario!$C:$C,0)),"")</f>
        <v/>
      </c>
    </row>
    <row r="452" ht="15" customHeight="1" s="57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s="34" t="n">
        <v>13300000</v>
      </c>
      <c r="J452" t="inlineStr">
        <is>
          <t>COP</t>
        </is>
      </c>
      <c r="L452" t="inlineStr">
        <is>
          <t>Contabilidad</t>
        </is>
      </c>
      <c r="M452">
        <f>IFERROR(INDEX(Diccionario!$N:$N,MATCH(F769,Diccionario!$C:$C,0)),"")</f>
        <v/>
      </c>
    </row>
    <row r="453" ht="15" customHeight="1" s="57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s="34" t="n">
        <v>105400000</v>
      </c>
      <c r="J453" t="inlineStr">
        <is>
          <t>COP</t>
        </is>
      </c>
      <c r="L453" t="inlineStr">
        <is>
          <t>Contabilidad</t>
        </is>
      </c>
      <c r="M453">
        <f>IFERROR(INDEX(Diccionario!$N:$N,MATCH(F768,Diccionario!$C:$C,0)),"")</f>
        <v/>
      </c>
    </row>
    <row r="454" ht="15" customHeight="1" s="57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s="34" t="n">
        <v>3200000</v>
      </c>
      <c r="J454" t="inlineStr">
        <is>
          <t>COP</t>
        </is>
      </c>
      <c r="L454" t="inlineStr">
        <is>
          <t>Contabilidad</t>
        </is>
      </c>
      <c r="M454">
        <f>IFERROR(INDEX(Diccionario!$N:$N,MATCH(F770,Diccionario!$C:$C,0)),"")</f>
        <v/>
      </c>
    </row>
    <row r="455" ht="15" customHeight="1" s="57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s="34" t="n">
        <v>1900000</v>
      </c>
      <c r="J455" t="inlineStr">
        <is>
          <t>COP</t>
        </is>
      </c>
      <c r="L455" t="inlineStr">
        <is>
          <t>Contabilidad</t>
        </is>
      </c>
      <c r="M455">
        <f>IFERROR(INDEX(Diccionario!$N:$N,MATCH(F771,Diccionario!$C:$C,0)),"")</f>
        <v/>
      </c>
    </row>
    <row r="456" ht="15" customHeight="1" s="57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s="34" t="n">
        <v>11700000</v>
      </c>
      <c r="J456" t="inlineStr">
        <is>
          <t>COP</t>
        </is>
      </c>
      <c r="L456" t="inlineStr">
        <is>
          <t>Contabilidad</t>
        </is>
      </c>
      <c r="M456">
        <f>IFERROR(INDEX(Diccionario!$N:$N,MATCH(F648,Diccionario!$C:$C,0)),"")</f>
        <v/>
      </c>
    </row>
    <row r="457" ht="15" customHeight="1" s="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s="34" t="n">
        <v>82000000</v>
      </c>
      <c r="J457" t="inlineStr">
        <is>
          <t>COP</t>
        </is>
      </c>
      <c r="L457" t="inlineStr">
        <is>
          <t>Contabilidad</t>
        </is>
      </c>
      <c r="M457">
        <f>IFERROR(INDEX(Diccionario!$N:$N,MATCH(F647,Diccionario!$C:$C,0)),"")</f>
        <v/>
      </c>
    </row>
    <row r="458" ht="15" customHeight="1" s="57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s="34" t="n">
        <v>15400000</v>
      </c>
      <c r="J458" t="inlineStr">
        <is>
          <t>COP</t>
        </is>
      </c>
      <c r="L458" t="inlineStr">
        <is>
          <t>Contabilidad</t>
        </is>
      </c>
      <c r="M458">
        <f>IFERROR(INDEX(Diccionario!$N:$N,MATCH(F649,Diccionario!$C:$C,0)),"")</f>
        <v/>
      </c>
    </row>
    <row r="459" ht="15" customHeight="1" s="57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s="34" t="n">
        <v>4200000</v>
      </c>
      <c r="J459" t="inlineStr">
        <is>
          <t>COP</t>
        </is>
      </c>
      <c r="L459" t="inlineStr">
        <is>
          <t>Contabilidad</t>
        </is>
      </c>
      <c r="M459">
        <f>IFERROR(INDEX(Diccionario!$N:$N,MATCH(F650,Diccionario!$C:$C,0)),"")</f>
        <v/>
      </c>
    </row>
    <row r="460" ht="15" customHeight="1" s="57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s="34" t="n">
        <v>46900000</v>
      </c>
      <c r="J460" t="inlineStr">
        <is>
          <t>COP</t>
        </is>
      </c>
      <c r="L460" t="inlineStr">
        <is>
          <t>Contabilidad</t>
        </is>
      </c>
      <c r="M460">
        <f>IFERROR(INDEX(Diccionario!$N:$N,MATCH(F528,Diccionario!$C:$C,0)),"")</f>
        <v/>
      </c>
    </row>
    <row r="461" ht="15" customHeight="1" s="57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s="34" t="n">
        <v>14100000</v>
      </c>
      <c r="J461" t="inlineStr">
        <is>
          <t>COP</t>
        </is>
      </c>
      <c r="L461" t="inlineStr">
        <is>
          <t>Contabilidad</t>
        </is>
      </c>
      <c r="M461">
        <f>IFERROR(INDEX(Diccionario!$N:$N,MATCH(F529,Diccionario!$C:$C,0)),"")</f>
        <v/>
      </c>
    </row>
    <row r="462" ht="15" customHeight="1" s="57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s="34" t="n">
        <v>0</v>
      </c>
      <c r="J462" t="inlineStr">
        <is>
          <t>COP</t>
        </is>
      </c>
      <c r="L462" t="inlineStr">
        <is>
          <t>Contabilidad</t>
        </is>
      </c>
      <c r="M462">
        <f>IFERROR(INDEX(Diccionario!$N:$N,MATCH(F527,Diccionario!$C:$C,0)),"")</f>
        <v/>
      </c>
    </row>
    <row r="463" ht="15" customHeight="1" s="57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s="34" t="n">
        <v>88200000</v>
      </c>
      <c r="J463" t="inlineStr">
        <is>
          <t>COP</t>
        </is>
      </c>
      <c r="L463" t="inlineStr">
        <is>
          <t>Contabilidad</t>
        </is>
      </c>
      <c r="M463">
        <f>IFERROR(INDEX(Diccionario!$N:$N,MATCH(F526,Diccionario!$C:$C,0)),"")</f>
        <v/>
      </c>
    </row>
    <row r="464" ht="15" customHeight="1" s="57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s="34" t="n">
        <v>6700000</v>
      </c>
      <c r="J464" t="inlineStr">
        <is>
          <t>COP</t>
        </is>
      </c>
      <c r="L464" t="inlineStr">
        <is>
          <t>Contabilidad</t>
        </is>
      </c>
      <c r="M464">
        <f>IFERROR(INDEX(Diccionario!$N:$N,MATCH(F530,Diccionario!$C:$C,0)),"")</f>
        <v/>
      </c>
    </row>
    <row r="465" ht="15" customHeight="1" s="57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s="45" t="n">
        <v>26.97</v>
      </c>
      <c r="J465" t="inlineStr">
        <is>
          <t>%</t>
        </is>
      </c>
      <c r="L465" t="inlineStr">
        <is>
          <t>Contabilidad</t>
        </is>
      </c>
      <c r="M465">
        <f>IFERROR(INDEX(Diccionario!$N:$N,MATCH(F1012,Diccionario!$C:$C,0)),"")</f>
        <v/>
      </c>
    </row>
    <row r="466" ht="15" customHeight="1" s="57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s="34" t="n">
        <v>9100000</v>
      </c>
      <c r="J466" t="inlineStr">
        <is>
          <t>COP</t>
        </is>
      </c>
      <c r="L466" t="inlineStr">
        <is>
          <t>Contabilidad</t>
        </is>
      </c>
      <c r="M466">
        <f>IFERROR(INDEX(Diccionario!$N:$N,MATCH(F360,Diccionario!$C:$C,0)),"")</f>
        <v/>
      </c>
    </row>
    <row r="467" ht="15" customHeight="1" s="5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s="34" t="n">
        <v>2850000</v>
      </c>
      <c r="J467" t="inlineStr">
        <is>
          <t>COP</t>
        </is>
      </c>
      <c r="L467" t="inlineStr">
        <is>
          <t>Contabilidad</t>
        </is>
      </c>
      <c r="M467">
        <f>IFERROR(INDEX(Diccionario!$N:$N,MATCH(F364,Diccionario!$C:$C,0)),"")</f>
        <v/>
      </c>
    </row>
    <row r="468" ht="15" customHeight="1" s="57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s="34" t="n">
        <v>6150000</v>
      </c>
      <c r="J468" t="inlineStr">
        <is>
          <t>COP</t>
        </is>
      </c>
      <c r="L468" t="inlineStr">
        <is>
          <t>Contabilidad</t>
        </is>
      </c>
      <c r="M468">
        <f>IFERROR(INDEX(Diccionario!$N:$N,MATCH(F359,Diccionario!$C:$C,0)),"")</f>
        <v/>
      </c>
    </row>
    <row r="469" ht="15" customHeight="1" s="57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s="34" t="n">
        <v>58800000</v>
      </c>
      <c r="J469" t="inlineStr">
        <is>
          <t>COP</t>
        </is>
      </c>
      <c r="L469" t="inlineStr">
        <is>
          <t>Contabilidad</t>
        </is>
      </c>
      <c r="M469">
        <f>IFERROR(INDEX(Diccionario!$N:$N,MATCH(F358,Diccionario!$C:$C,0)),"")</f>
        <v/>
      </c>
    </row>
    <row r="470" ht="15" customHeight="1" s="57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s="34" t="n">
        <v>3400000</v>
      </c>
      <c r="J470" t="inlineStr">
        <is>
          <t>COP</t>
        </is>
      </c>
      <c r="L470" t="inlineStr">
        <is>
          <t>Contabilidad</t>
        </is>
      </c>
      <c r="M470">
        <f>IFERROR(INDEX(Diccionario!$N:$N,MATCH(F361,Diccionario!$C:$C,0)),"")</f>
        <v/>
      </c>
    </row>
    <row r="471" ht="15" customHeight="1" s="57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s="34" t="n">
        <v>6400000</v>
      </c>
      <c r="J471" t="inlineStr">
        <is>
          <t>COP</t>
        </is>
      </c>
      <c r="L471" t="inlineStr">
        <is>
          <t>Contabilidad</t>
        </is>
      </c>
      <c r="M471">
        <f>IFERROR(INDEX(Diccionario!$N:$N,MATCH(F362,Diccionario!$C:$C,0)),"")</f>
        <v/>
      </c>
    </row>
    <row r="472" ht="15" customHeight="1" s="57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s="34" t="n">
        <v>31100000</v>
      </c>
      <c r="J472" t="inlineStr">
        <is>
          <t>COP</t>
        </is>
      </c>
      <c r="L472" t="inlineStr">
        <is>
          <t>Contabilidad</t>
        </is>
      </c>
      <c r="M472">
        <f>IFERROR(INDEX(Diccionario!$N:$N,MATCH(F363,Diccionario!$C:$C,0)),"")</f>
        <v/>
      </c>
    </row>
    <row r="473" ht="15" customHeight="1" s="57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s="34" t="n">
        <v>118000000</v>
      </c>
      <c r="J473" t="inlineStr">
        <is>
          <t>COP</t>
        </is>
      </c>
      <c r="L473" t="inlineStr">
        <is>
          <t>Contabilidad</t>
        </is>
      </c>
      <c r="M473">
        <f>IFERROR(INDEX(Diccionario!$N:$N,MATCH(F188,Diccionario!$C:$C,0)),"")</f>
        <v/>
      </c>
    </row>
    <row r="474" ht="15" customHeight="1" s="57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s="34" t="n">
        <v>222000000</v>
      </c>
      <c r="J474" t="inlineStr">
        <is>
          <t>COP</t>
        </is>
      </c>
      <c r="L474" t="inlineStr">
        <is>
          <t>Contabilidad</t>
        </is>
      </c>
      <c r="M474">
        <f>IFERROR(INDEX(Diccionario!$N:$N,MATCH(F187,Diccionario!$C:$C,0)),"")</f>
        <v/>
      </c>
    </row>
    <row r="475" ht="15" customHeight="1" s="57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s="34" t="n">
        <v>5000000</v>
      </c>
      <c r="J475" t="inlineStr">
        <is>
          <t>COP</t>
        </is>
      </c>
      <c r="L475" t="inlineStr">
        <is>
          <t>Contabilidad</t>
        </is>
      </c>
      <c r="M475">
        <f>IFERROR(INDEX(Diccionario!$N:$N,MATCH(F184,Diccionario!$C:$C,0)),"")</f>
        <v/>
      </c>
    </row>
    <row r="476" ht="15" customHeight="1" s="57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s="34" t="n">
        <v>156000000</v>
      </c>
      <c r="J476" t="inlineStr">
        <is>
          <t>COP</t>
        </is>
      </c>
      <c r="L476" t="inlineStr">
        <is>
          <t>Contabilidad</t>
        </is>
      </c>
      <c r="M476">
        <f>IFERROR(INDEX(Diccionario!$N:$N,MATCH(F186,Diccionario!$C:$C,0)),"")</f>
        <v/>
      </c>
    </row>
    <row r="477" ht="15" customHeight="1" s="5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s="34" t="n">
        <v>253000000</v>
      </c>
      <c r="J477" t="inlineStr">
        <is>
          <t>COP</t>
        </is>
      </c>
      <c r="L477" t="inlineStr">
        <is>
          <t>Contabilidad</t>
        </is>
      </c>
      <c r="M477">
        <f>IFERROR(INDEX(Diccionario!$N:$N,MATCH(F185,Diccionario!$C:$C,0)),"")</f>
        <v/>
      </c>
    </row>
    <row r="478" ht="15" customHeight="1" s="57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s="34" t="n">
        <v>17500000</v>
      </c>
      <c r="J478" t="inlineStr">
        <is>
          <t>COP</t>
        </is>
      </c>
      <c r="L478" t="inlineStr">
        <is>
          <t>Contabilidad</t>
        </is>
      </c>
      <c r="M478">
        <f>IFERROR(INDEX(Diccionario!$N:$N,MATCH(F922,Diccionario!$C:$C,0)),"")</f>
        <v/>
      </c>
    </row>
    <row r="479" ht="15" customHeight="1" s="57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s="34" t="n">
        <v>60000000</v>
      </c>
      <c r="J479" t="inlineStr">
        <is>
          <t>COP</t>
        </is>
      </c>
      <c r="L479" t="inlineStr">
        <is>
          <t>Contabilidad</t>
        </is>
      </c>
      <c r="M479">
        <f>IFERROR(INDEX(Diccionario!$N:$N,MATCH(F918,Diccionario!$C:$C,0)),"")</f>
        <v/>
      </c>
    </row>
    <row r="480" ht="15" customHeight="1" s="57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s="34" t="n">
        <v>96200000</v>
      </c>
      <c r="J480" t="inlineStr">
        <is>
          <t>COP</t>
        </is>
      </c>
      <c r="L480" t="inlineStr">
        <is>
          <t>Contabilidad</t>
        </is>
      </c>
      <c r="M480">
        <f>IFERROR(INDEX(Diccionario!$N:$N,MATCH(F917,Diccionario!$C:$C,0)),"")</f>
        <v/>
      </c>
    </row>
    <row r="481" ht="15" customHeight="1" s="57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s="34" t="n">
        <v>1500000</v>
      </c>
      <c r="J481" t="inlineStr">
        <is>
          <t>COP</t>
        </is>
      </c>
      <c r="L481" t="inlineStr">
        <is>
          <t>Contabilidad</t>
        </is>
      </c>
      <c r="M481">
        <f>IFERROR(INDEX(Diccionario!$N:$N,MATCH(F919,Diccionario!$C:$C,0)),"")</f>
        <v/>
      </c>
    </row>
    <row r="482" ht="15" customHeight="1" s="57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s="34" t="n">
        <v>22000000</v>
      </c>
      <c r="J482" t="inlineStr">
        <is>
          <t>COP</t>
        </is>
      </c>
      <c r="L482" t="inlineStr">
        <is>
          <t>Contabilidad</t>
        </is>
      </c>
      <c r="M482">
        <f>IFERROR(INDEX(Diccionario!$N:$N,MATCH(F920,Diccionario!$C:$C,0)),"")</f>
        <v/>
      </c>
    </row>
    <row r="483" ht="15" customHeight="1" s="57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s="34" t="n">
        <v>31600000</v>
      </c>
      <c r="J483" t="inlineStr">
        <is>
          <t>COP</t>
        </is>
      </c>
      <c r="L483" t="inlineStr">
        <is>
          <t>Contabilidad</t>
        </is>
      </c>
      <c r="M483">
        <f>IFERROR(INDEX(Diccionario!$N:$N,MATCH(F921,Diccionario!$C:$C,0)),"")</f>
        <v/>
      </c>
    </row>
    <row r="484" ht="15" customHeight="1" s="57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s="34" t="n">
        <v>36800000</v>
      </c>
      <c r="J484" t="inlineStr">
        <is>
          <t>COP</t>
        </is>
      </c>
      <c r="L484" t="inlineStr">
        <is>
          <t>Contabilidad</t>
        </is>
      </c>
      <c r="M484">
        <f>IFERROR(INDEX(Diccionario!$N:$N,MATCH(F773,Diccionario!$C:$C,0)),"")</f>
        <v/>
      </c>
    </row>
    <row r="485" ht="15" customHeight="1" s="57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s="34" t="n">
        <v>104800000</v>
      </c>
      <c r="J485" t="inlineStr">
        <is>
          <t>COP</t>
        </is>
      </c>
      <c r="L485" t="inlineStr">
        <is>
          <t>Contabilidad</t>
        </is>
      </c>
      <c r="M485">
        <f>IFERROR(INDEX(Diccionario!$N:$N,MATCH(F772,Diccionario!$C:$C,0)),"")</f>
        <v/>
      </c>
    </row>
    <row r="486" ht="15" customHeight="1" s="57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s="34" t="n">
        <v>3200000</v>
      </c>
      <c r="J486" t="inlineStr">
        <is>
          <t>COP</t>
        </is>
      </c>
      <c r="L486" t="inlineStr">
        <is>
          <t>Contabilidad</t>
        </is>
      </c>
      <c r="M486">
        <f>IFERROR(INDEX(Diccionario!$N:$N,MATCH(F774,Diccionario!$C:$C,0)),"")</f>
        <v/>
      </c>
    </row>
    <row r="487" ht="15" customHeight="1" s="5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s="34" t="n">
        <v>76000</v>
      </c>
      <c r="J487" t="inlineStr">
        <is>
          <t>COP</t>
        </is>
      </c>
      <c r="L487" t="inlineStr">
        <is>
          <t>Contabilidad</t>
        </is>
      </c>
      <c r="M487">
        <f>IFERROR(INDEX(Diccionario!$N:$N,MATCH(F775,Diccionario!$C:$C,0)),"")</f>
        <v/>
      </c>
    </row>
    <row r="488" ht="15" customHeight="1" s="57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s="34" t="n">
        <v>-11304705</v>
      </c>
      <c r="J488" t="inlineStr">
        <is>
          <t>COP</t>
        </is>
      </c>
      <c r="L488" t="inlineStr">
        <is>
          <t>Contabilidad</t>
        </is>
      </c>
      <c r="M488">
        <f>IFERROR(INDEX(Diccionario!$N:$N,MATCH(F1139,Diccionario!$C:$C,0)),"")</f>
        <v/>
      </c>
    </row>
    <row r="489" ht="15" customHeight="1" s="57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s="34" t="n">
        <v>-37514312</v>
      </c>
      <c r="J489" t="inlineStr">
        <is>
          <t>COP</t>
        </is>
      </c>
      <c r="L489" t="inlineStr">
        <is>
          <t>Contabilidad</t>
        </is>
      </c>
      <c r="M489">
        <f>IFERROR(INDEX(Diccionario!$N:$N,MATCH(F1126,Diccionario!$C:$C,0)),"")</f>
        <v/>
      </c>
    </row>
    <row r="490" ht="15" customHeight="1" s="57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s="34" t="n">
        <v>2600000</v>
      </c>
      <c r="J490" t="inlineStr">
        <is>
          <t>COP</t>
        </is>
      </c>
      <c r="L490" t="inlineStr">
        <is>
          <t>Contabilidad</t>
        </is>
      </c>
      <c r="M490">
        <f>IFERROR(INDEX(Diccionario!$N:$N,MATCH(F652,Diccionario!$C:$C,0)),"")</f>
        <v/>
      </c>
    </row>
    <row r="491" ht="15" customHeight="1" s="57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s="34" t="n">
        <v>2000000</v>
      </c>
      <c r="J491" t="inlineStr">
        <is>
          <t>COP</t>
        </is>
      </c>
      <c r="L491" t="inlineStr">
        <is>
          <t>Contabilidad</t>
        </is>
      </c>
      <c r="M491">
        <f>IFERROR(INDEX(Diccionario!$N:$N,MATCH(F654,Diccionario!$C:$C,0)),"")</f>
        <v/>
      </c>
    </row>
    <row r="492" ht="15" customHeight="1" s="57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s="34" t="n">
        <v>89700000</v>
      </c>
      <c r="J492" t="inlineStr">
        <is>
          <t>COP</t>
        </is>
      </c>
      <c r="L492" t="inlineStr">
        <is>
          <t>Contabilidad</t>
        </is>
      </c>
      <c r="M492">
        <f>IFERROR(INDEX(Diccionario!$N:$N,MATCH(F651,Diccionario!$C:$C,0)),"")</f>
        <v/>
      </c>
    </row>
    <row r="493" ht="15" customHeight="1" s="57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s="34" t="n">
        <v>18400000</v>
      </c>
      <c r="J493" t="inlineStr">
        <is>
          <t>COP</t>
        </is>
      </c>
      <c r="L493" t="inlineStr">
        <is>
          <t>Contabilidad</t>
        </is>
      </c>
      <c r="M493">
        <f>IFERROR(INDEX(Diccionario!$N:$N,MATCH(F653,Diccionario!$C:$C,0)),"")</f>
        <v/>
      </c>
    </row>
    <row r="494" ht="15" customHeight="1" s="57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s="34" t="n">
        <v>2800000</v>
      </c>
      <c r="J494" t="inlineStr">
        <is>
          <t>COP</t>
        </is>
      </c>
      <c r="L494" t="inlineStr">
        <is>
          <t>Contabilidad</t>
        </is>
      </c>
      <c r="M494">
        <f>IFERROR(INDEX(Diccionario!$N:$N,MATCH(F655,Diccionario!$C:$C,0)),"")</f>
        <v/>
      </c>
    </row>
    <row r="495" ht="15" customHeight="1" s="57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s="34" t="n">
        <v>40400000</v>
      </c>
      <c r="J495" t="inlineStr">
        <is>
          <t>COP</t>
        </is>
      </c>
      <c r="L495" t="inlineStr">
        <is>
          <t>Contabilidad</t>
        </is>
      </c>
      <c r="M495">
        <f>IFERROR(INDEX(Diccionario!$N:$N,MATCH(F533,Diccionario!$C:$C,0)),"")</f>
        <v/>
      </c>
    </row>
    <row r="496" ht="15" customHeight="1" s="57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s="34" t="n">
        <v>15700000</v>
      </c>
      <c r="J496" t="inlineStr">
        <is>
          <t>COP</t>
        </is>
      </c>
      <c r="L496" t="inlineStr">
        <is>
          <t>Contabilidad</t>
        </is>
      </c>
      <c r="M496">
        <f>IFERROR(INDEX(Diccionario!$N:$N,MATCH(F534,Diccionario!$C:$C,0)),"")</f>
        <v/>
      </c>
    </row>
    <row r="497" ht="15" customHeight="1" s="5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s="34" t="n">
        <v>0</v>
      </c>
      <c r="J497" t="inlineStr">
        <is>
          <t>COP</t>
        </is>
      </c>
      <c r="L497" t="inlineStr">
        <is>
          <t>Contabilidad</t>
        </is>
      </c>
      <c r="M497">
        <f>IFERROR(INDEX(Diccionario!$N:$N,MATCH(F532,Diccionario!$C:$C,0)),"")</f>
        <v/>
      </c>
    </row>
    <row r="498" ht="15" customHeight="1" s="57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s="34" t="n">
        <v>83500000</v>
      </c>
      <c r="J498" t="inlineStr">
        <is>
          <t>COP</t>
        </is>
      </c>
      <c r="L498" t="inlineStr">
        <is>
          <t>Contabilidad</t>
        </is>
      </c>
      <c r="M498">
        <f>IFERROR(INDEX(Diccionario!$N:$N,MATCH(F531,Diccionario!$C:$C,0)),"")</f>
        <v/>
      </c>
    </row>
    <row r="499" ht="15" customHeight="1" s="57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s="34" t="n">
        <v>17400000</v>
      </c>
      <c r="J499" t="inlineStr">
        <is>
          <t>COP</t>
        </is>
      </c>
      <c r="L499" t="inlineStr">
        <is>
          <t>Contabilidad</t>
        </is>
      </c>
      <c r="M499">
        <f>IFERROR(INDEX(Diccionario!$N:$N,MATCH(F535,Diccionario!$C:$C,0)),"")</f>
        <v/>
      </c>
    </row>
    <row r="500" ht="15" customHeight="1" s="57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s="45" t="n">
        <v>21.93</v>
      </c>
      <c r="J500" t="inlineStr">
        <is>
          <t>%</t>
        </is>
      </c>
      <c r="L500" t="inlineStr">
        <is>
          <t>Contabilidad</t>
        </is>
      </c>
      <c r="M500">
        <f>IFERROR(INDEX(Diccionario!$N:$N,MATCH(F1013,Diccionario!$C:$C,0)),"")</f>
        <v/>
      </c>
    </row>
    <row r="501" ht="15" customHeight="1" s="57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s="34" t="n">
        <v>70990398</v>
      </c>
      <c r="J501" t="inlineStr">
        <is>
          <t>COP</t>
        </is>
      </c>
      <c r="L501" t="inlineStr">
        <is>
          <t>Contabilidad</t>
        </is>
      </c>
      <c r="M501">
        <f>IFERROR(INDEX(Diccionario!$N:$N,MATCH(F1113,Diccionario!$C:$C,0)),"")</f>
        <v/>
      </c>
    </row>
    <row r="502" ht="15" customHeight="1" s="57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s="34" t="n">
        <v>17400000</v>
      </c>
      <c r="J502" t="inlineStr">
        <is>
          <t>COP</t>
        </is>
      </c>
      <c r="L502" t="inlineStr">
        <is>
          <t>Contabilidad</t>
        </is>
      </c>
      <c r="M502">
        <f>IFERROR(INDEX(Diccionario!$N:$N,MATCH(F367,Diccionario!$C:$C,0)),"")</f>
        <v/>
      </c>
    </row>
    <row r="503" ht="15" customHeight="1" s="57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s="34" t="n">
        <v>1700000</v>
      </c>
      <c r="J503" t="inlineStr">
        <is>
          <t>COP</t>
        </is>
      </c>
      <c r="L503" t="inlineStr">
        <is>
          <t>Contabilidad</t>
        </is>
      </c>
      <c r="M503">
        <f>IFERROR(INDEX(Diccionario!$N:$N,MATCH(F371,Diccionario!$C:$C,0)),"")</f>
        <v/>
      </c>
    </row>
    <row r="504" ht="15" customHeight="1" s="57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s="34" t="n">
        <v>16000000</v>
      </c>
      <c r="J504" t="inlineStr">
        <is>
          <t>COP</t>
        </is>
      </c>
      <c r="L504" t="inlineStr">
        <is>
          <t>Contabilidad</t>
        </is>
      </c>
      <c r="M504">
        <f>IFERROR(INDEX(Diccionario!$N:$N,MATCH(F366,Diccionario!$C:$C,0)),"")</f>
        <v/>
      </c>
    </row>
    <row r="505" ht="15" customHeight="1" s="57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s="34" t="n">
        <v>60500000</v>
      </c>
      <c r="J505" t="inlineStr">
        <is>
          <t>COP</t>
        </is>
      </c>
      <c r="L505" t="inlineStr">
        <is>
          <t>Contabilidad</t>
        </is>
      </c>
      <c r="M505">
        <f>IFERROR(INDEX(Diccionario!$N:$N,MATCH(F365,Diccionario!$C:$C,0)),"")</f>
        <v/>
      </c>
    </row>
    <row r="506" ht="15" customHeight="1" s="57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s="34" t="n">
        <v>3400000</v>
      </c>
      <c r="J506" t="inlineStr">
        <is>
          <t>COP</t>
        </is>
      </c>
      <c r="L506" t="inlineStr">
        <is>
          <t>Contabilidad</t>
        </is>
      </c>
      <c r="M506">
        <f>IFERROR(INDEX(Diccionario!$N:$N,MATCH(F368,Diccionario!$C:$C,0)),"")</f>
        <v/>
      </c>
    </row>
    <row r="507" ht="15" customHeight="1" s="5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s="34" t="n">
        <v>2100000</v>
      </c>
      <c r="J507" t="inlineStr">
        <is>
          <t>COP</t>
        </is>
      </c>
      <c r="L507" t="inlineStr">
        <is>
          <t>Contabilidad</t>
        </is>
      </c>
      <c r="M507">
        <f>IFERROR(INDEX(Diccionario!$N:$N,MATCH(F369,Diccionario!$C:$C,0)),"")</f>
        <v/>
      </c>
    </row>
    <row r="508" ht="15" customHeight="1" s="57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s="34" t="n">
        <v>20300000</v>
      </c>
      <c r="J508" t="inlineStr">
        <is>
          <t>COP</t>
        </is>
      </c>
      <c r="L508" t="inlineStr">
        <is>
          <t>Contabilidad</t>
        </is>
      </c>
      <c r="M508">
        <f>IFERROR(INDEX(Diccionario!$N:$N,MATCH(F370,Diccionario!$C:$C,0)),"")</f>
        <v/>
      </c>
    </row>
    <row r="509" ht="15" customHeight="1" s="57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s="34" t="n">
        <v>121900000</v>
      </c>
      <c r="J509" t="inlineStr">
        <is>
          <t>COP</t>
        </is>
      </c>
      <c r="L509" t="inlineStr">
        <is>
          <t>Contabilidad</t>
        </is>
      </c>
      <c r="M509">
        <f>IFERROR(INDEX(Diccionario!$N:$N,MATCH(F193,Diccionario!$C:$C,0)),"")</f>
        <v/>
      </c>
    </row>
    <row r="510" ht="15" customHeight="1" s="57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s="34" t="n">
        <v>194000000</v>
      </c>
      <c r="J510" t="inlineStr">
        <is>
          <t>COP</t>
        </is>
      </c>
      <c r="L510" t="inlineStr">
        <is>
          <t>Contabilidad</t>
        </is>
      </c>
      <c r="M510">
        <f>IFERROR(INDEX(Diccionario!$N:$N,MATCH(F192,Diccionario!$C:$C,0)),"")</f>
        <v/>
      </c>
    </row>
    <row r="511" ht="15" customHeight="1" s="57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s="34" t="n">
        <v>200000</v>
      </c>
      <c r="J511" t="inlineStr">
        <is>
          <t>COP</t>
        </is>
      </c>
      <c r="L511" t="inlineStr">
        <is>
          <t>Contabilidad</t>
        </is>
      </c>
      <c r="M511">
        <f>IFERROR(INDEX(Diccionario!$N:$N,MATCH(F189,Diccionario!$C:$C,0)),"")</f>
        <v/>
      </c>
    </row>
    <row r="512" ht="15" customHeight="1" s="57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s="34" t="n">
        <v>157000000</v>
      </c>
      <c r="J512" t="inlineStr">
        <is>
          <t>COP</t>
        </is>
      </c>
      <c r="L512" t="inlineStr">
        <is>
          <t>Contabilidad</t>
        </is>
      </c>
      <c r="M512">
        <f>IFERROR(INDEX(Diccionario!$N:$N,MATCH(F191,Diccionario!$C:$C,0)),"")</f>
        <v/>
      </c>
    </row>
    <row r="513" ht="15" customHeight="1" s="57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s="34" t="n">
        <v>255000000</v>
      </c>
      <c r="J513" t="inlineStr">
        <is>
          <t>COP</t>
        </is>
      </c>
      <c r="L513" t="inlineStr">
        <is>
          <t>Contabilidad</t>
        </is>
      </c>
      <c r="M513">
        <f>IFERROR(INDEX(Diccionario!$N:$N,MATCH(F190,Diccionario!$C:$C,0)),"")</f>
        <v/>
      </c>
    </row>
    <row r="514" ht="15" customHeight="1" s="57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s="34" t="n">
        <v>9900000</v>
      </c>
      <c r="J514" t="inlineStr">
        <is>
          <t>COP</t>
        </is>
      </c>
      <c r="L514" t="inlineStr">
        <is>
          <t>Contabilidad</t>
        </is>
      </c>
      <c r="M514">
        <f>IFERROR(INDEX(Diccionario!$N:$N,MATCH(F928,Diccionario!$C:$C,0)),"")</f>
        <v/>
      </c>
    </row>
    <row r="515" ht="15" customHeight="1" s="57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s="34" t="n">
        <v>45000000</v>
      </c>
      <c r="J515" t="inlineStr">
        <is>
          <t>COP</t>
        </is>
      </c>
      <c r="L515" t="inlineStr">
        <is>
          <t>Contabilidad</t>
        </is>
      </c>
      <c r="M515">
        <f>IFERROR(INDEX(Diccionario!$N:$N,MATCH(F924,Diccionario!$C:$C,0)),"")</f>
        <v/>
      </c>
    </row>
    <row r="516" ht="15" customHeight="1" s="57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s="34" t="n">
        <v>103300000</v>
      </c>
      <c r="J516" t="inlineStr">
        <is>
          <t>COP</t>
        </is>
      </c>
      <c r="L516" t="inlineStr">
        <is>
          <t>Contabilidad</t>
        </is>
      </c>
      <c r="M516">
        <f>IFERROR(INDEX(Diccionario!$N:$N,MATCH(F923,Diccionario!$C:$C,0)),"")</f>
        <v/>
      </c>
    </row>
    <row r="517" ht="15" customHeight="1" s="5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s="34" t="n">
        <v>0</v>
      </c>
      <c r="J517" t="inlineStr">
        <is>
          <t>COP</t>
        </is>
      </c>
      <c r="L517" t="inlineStr">
        <is>
          <t>Contabilidad</t>
        </is>
      </c>
      <c r="M517">
        <f>IFERROR(INDEX(Diccionario!$N:$N,MATCH(F925,Diccionario!$C:$C,0)),"")</f>
        <v/>
      </c>
    </row>
    <row r="518" ht="15" customHeight="1" s="57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s="34" t="n">
        <v>9500000</v>
      </c>
      <c r="J518" t="inlineStr">
        <is>
          <t>COP</t>
        </is>
      </c>
      <c r="L518" t="inlineStr">
        <is>
          <t>Contabilidad</t>
        </is>
      </c>
      <c r="M518">
        <f>IFERROR(INDEX(Diccionario!$N:$N,MATCH(F926,Diccionario!$C:$C,0)),"")</f>
        <v/>
      </c>
    </row>
    <row r="519" ht="15" customHeight="1" s="57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s="34" t="n">
        <v>25600000</v>
      </c>
      <c r="J519" t="inlineStr">
        <is>
          <t>COP</t>
        </is>
      </c>
      <c r="L519" t="inlineStr">
        <is>
          <t>Contabilidad</t>
        </is>
      </c>
      <c r="M519">
        <f>IFERROR(INDEX(Diccionario!$N:$N,MATCH(F927,Diccionario!$C:$C,0)),"")</f>
        <v/>
      </c>
    </row>
    <row r="520" ht="15" customHeight="1" s="57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s="34" t="n">
        <v>26200000</v>
      </c>
      <c r="J520" t="inlineStr">
        <is>
          <t>COP</t>
        </is>
      </c>
      <c r="L520" t="inlineStr">
        <is>
          <t>Contabilidad</t>
        </is>
      </c>
      <c r="M520">
        <f>IFERROR(INDEX(Diccionario!$N:$N,MATCH(F777,Diccionario!$C:$C,0)),"")</f>
        <v/>
      </c>
    </row>
    <row r="521" ht="15" customHeight="1" s="57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s="34" t="n">
        <v>110000000</v>
      </c>
      <c r="J521" t="inlineStr">
        <is>
          <t>COP</t>
        </is>
      </c>
      <c r="L521" t="inlineStr">
        <is>
          <t>Contabilidad</t>
        </is>
      </c>
      <c r="M521">
        <f>IFERROR(INDEX(Diccionario!$N:$N,MATCH(F776,Diccionario!$C:$C,0)),"")</f>
        <v/>
      </c>
    </row>
    <row r="522" ht="15" customHeight="1" s="57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s="34" t="n">
        <v>3300000</v>
      </c>
      <c r="J522" t="inlineStr">
        <is>
          <t>COP</t>
        </is>
      </c>
      <c r="L522" t="inlineStr">
        <is>
          <t>Contabilidad</t>
        </is>
      </c>
      <c r="M522">
        <f>IFERROR(INDEX(Diccionario!$N:$N,MATCH(F778,Diccionario!$C:$C,0)),"")</f>
        <v/>
      </c>
    </row>
    <row r="523" ht="15" customHeight="1" s="57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s="34" t="n">
        <v>0</v>
      </c>
      <c r="J523" t="inlineStr">
        <is>
          <t>COP</t>
        </is>
      </c>
      <c r="L523" t="inlineStr">
        <is>
          <t>Contabilidad</t>
        </is>
      </c>
      <c r="M523">
        <f>IFERROR(INDEX(Diccionario!$N:$N,MATCH(F779,Diccionario!$C:$C,0)),"")</f>
        <v/>
      </c>
    </row>
    <row r="524" ht="15" customHeight="1" s="57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s="34" t="n">
        <v>12236217</v>
      </c>
      <c r="J524" t="inlineStr">
        <is>
          <t>COP</t>
        </is>
      </c>
      <c r="L524" t="inlineStr">
        <is>
          <t>Contabilidad</t>
        </is>
      </c>
      <c r="M524">
        <f>IFERROR(INDEX(Diccionario!$N:$N,MATCH(F1097,Diccionario!$C:$C,0)),"")</f>
        <v/>
      </c>
    </row>
    <row r="525" ht="15" customHeight="1" s="57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s="34" t="n">
        <v>0</v>
      </c>
      <c r="J525" t="inlineStr">
        <is>
          <t>COP</t>
        </is>
      </c>
      <c r="L525" t="inlineStr">
        <is>
          <t>Contabilidad</t>
        </is>
      </c>
      <c r="M525">
        <f>IFERROR(INDEX(Diccionario!$N:$N,MATCH(F1110,Diccionario!$C:$C,0)),"")</f>
        <v/>
      </c>
    </row>
    <row r="526" ht="15" customHeight="1" s="57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s="34" t="n">
        <v>697602788</v>
      </c>
      <c r="J526" t="inlineStr">
        <is>
          <t>COP</t>
        </is>
      </c>
      <c r="L526" t="inlineStr">
        <is>
          <t>Contabilidad</t>
        </is>
      </c>
      <c r="M526">
        <f>IFERROR(INDEX(Diccionario!$N:$N,MATCH(F1084,Diccionario!$C:$C,0)),"")</f>
        <v/>
      </c>
    </row>
    <row r="527" ht="15" customHeight="1" s="5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s="34" t="n">
        <v>-7460000</v>
      </c>
      <c r="J527" t="inlineStr">
        <is>
          <t>COP</t>
        </is>
      </c>
      <c r="L527" t="inlineStr">
        <is>
          <t>Contabilidad</t>
        </is>
      </c>
      <c r="M527">
        <f>IFERROR(INDEX(Diccionario!$N:$N,MATCH(F1140,Diccionario!$C:$C,0)),"")</f>
        <v/>
      </c>
    </row>
    <row r="528" ht="15" customHeight="1" s="57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s="34" t="n">
        <v>-29275713</v>
      </c>
      <c r="J528" t="inlineStr">
        <is>
          <t>COP</t>
        </is>
      </c>
      <c r="L528" t="inlineStr">
        <is>
          <t>Contabilidad</t>
        </is>
      </c>
      <c r="M528">
        <f>IFERROR(INDEX(Diccionario!$N:$N,MATCH(F1127,Diccionario!$C:$C,0)),"")</f>
        <v/>
      </c>
    </row>
    <row r="529" ht="15" customHeight="1" s="57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s="34" t="n">
        <v>2500000</v>
      </c>
      <c r="J529" t="inlineStr">
        <is>
          <t>COP</t>
        </is>
      </c>
      <c r="L529" t="inlineStr">
        <is>
          <t>Contabilidad</t>
        </is>
      </c>
      <c r="M529">
        <f>IFERROR(INDEX(Diccionario!$N:$N,MATCH(F657,Diccionario!$C:$C,0)),"")</f>
        <v/>
      </c>
    </row>
    <row r="530" ht="15" customHeight="1" s="57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s="34" t="n">
        <v>400000</v>
      </c>
      <c r="J530" t="inlineStr">
        <is>
          <t>COP</t>
        </is>
      </c>
      <c r="L530" t="inlineStr">
        <is>
          <t>Contabilidad</t>
        </is>
      </c>
      <c r="M530">
        <f>IFERROR(INDEX(Diccionario!$N:$N,MATCH(F659,Diccionario!$C:$C,0)),"")</f>
        <v/>
      </c>
    </row>
    <row r="531" ht="15" customHeight="1" s="57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s="34" t="n">
        <v>89000000</v>
      </c>
      <c r="J531" t="inlineStr">
        <is>
          <t>COP</t>
        </is>
      </c>
      <c r="L531" t="inlineStr">
        <is>
          <t>Contabilidad</t>
        </is>
      </c>
      <c r="M531">
        <f>IFERROR(INDEX(Diccionario!$N:$N,MATCH(F656,Diccionario!$C:$C,0)),"")</f>
        <v/>
      </c>
    </row>
    <row r="532" ht="15" customHeight="1" s="57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s="34" t="n">
        <v>34500000</v>
      </c>
      <c r="J532" t="inlineStr">
        <is>
          <t>COP</t>
        </is>
      </c>
      <c r="L532" t="inlineStr">
        <is>
          <t>Contabilidad</t>
        </is>
      </c>
      <c r="M532">
        <f>IFERROR(INDEX(Diccionario!$N:$N,MATCH(F658,Diccionario!$C:$C,0)),"")</f>
        <v/>
      </c>
    </row>
    <row r="533" ht="15" customHeight="1" s="57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s="34" t="n">
        <v>3630000</v>
      </c>
      <c r="J533" t="inlineStr">
        <is>
          <t>COP</t>
        </is>
      </c>
      <c r="L533" t="inlineStr">
        <is>
          <t>Contabilidad</t>
        </is>
      </c>
      <c r="M533">
        <f>IFERROR(INDEX(Diccionario!$N:$N,MATCH(F660,Diccionario!$C:$C,0)),"")</f>
        <v/>
      </c>
    </row>
    <row r="534" ht="15" customHeight="1" s="57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s="34" t="n">
        <v>30200000</v>
      </c>
      <c r="J534" t="inlineStr">
        <is>
          <t>COP</t>
        </is>
      </c>
      <c r="L534" t="inlineStr">
        <is>
          <t>Contabilidad</t>
        </is>
      </c>
      <c r="M534">
        <f>IFERROR(INDEX(Diccionario!$N:$N,MATCH(F538,Diccionario!$C:$C,0)),"")</f>
        <v/>
      </c>
    </row>
    <row r="535" ht="15" customHeight="1" s="57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s="34" t="n">
        <v>15680000</v>
      </c>
      <c r="J535" t="inlineStr">
        <is>
          <t>COP</t>
        </is>
      </c>
      <c r="L535" t="inlineStr">
        <is>
          <t>Contabilidad</t>
        </is>
      </c>
      <c r="M535">
        <f>IFERROR(INDEX(Diccionario!$N:$N,MATCH(F539,Diccionario!$C:$C,0)),"")</f>
        <v/>
      </c>
    </row>
    <row r="536" ht="1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s="34" t="n">
        <v>0</v>
      </c>
      <c r="J536" t="inlineStr">
        <is>
          <t>COP</t>
        </is>
      </c>
      <c r="L536" t="inlineStr">
        <is>
          <t>Contabilidad</t>
        </is>
      </c>
      <c r="M536">
        <f>IFERROR(INDEX(Diccionario!$N:$N,MATCH(F537,Diccionario!$C:$C,0)),"")</f>
        <v/>
      </c>
    </row>
    <row r="537" ht="1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s="34" t="n">
        <v>50900000</v>
      </c>
      <c r="J537" t="inlineStr">
        <is>
          <t>COP</t>
        </is>
      </c>
      <c r="L537" t="inlineStr">
        <is>
          <t>Contabilidad</t>
        </is>
      </c>
      <c r="M537">
        <f>IFERROR(INDEX(Diccionario!$N:$N,MATCH(F536,Diccionario!$C:$C,0)),"")</f>
        <v/>
      </c>
    </row>
    <row r="538" ht="1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s="34" t="n">
        <v>22400000</v>
      </c>
      <c r="J538" t="inlineStr">
        <is>
          <t>COP</t>
        </is>
      </c>
      <c r="L538" t="inlineStr">
        <is>
          <t>Contabilidad</t>
        </is>
      </c>
      <c r="M538">
        <f>IFERROR(INDEX(Diccionario!$N:$N,MATCH(F540,Diccionario!$C:$C,0)),"")</f>
        <v/>
      </c>
    </row>
    <row r="539" ht="1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s="45" t="n">
        <v>19.54</v>
      </c>
      <c r="J539" t="inlineStr">
        <is>
          <t>%</t>
        </is>
      </c>
      <c r="L539" t="inlineStr">
        <is>
          <t>Contabilidad</t>
        </is>
      </c>
      <c r="M539">
        <f>IFERROR(INDEX(Diccionario!$N:$N,MATCH(F1014,Diccionario!$C:$C,0)),"")</f>
        <v/>
      </c>
    </row>
    <row r="540" ht="1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s="34" t="n">
        <v>39382286</v>
      </c>
      <c r="J540" t="inlineStr">
        <is>
          <t>COP</t>
        </is>
      </c>
      <c r="L540" t="inlineStr">
        <is>
          <t>Contabilidad</t>
        </is>
      </c>
      <c r="M540">
        <f>IFERROR(INDEX(Diccionario!$N:$N,MATCH(F1114,Diccionario!$C:$C,0)),"")</f>
        <v/>
      </c>
    </row>
    <row r="541" ht="15" customHeight="1" s="57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s="34" t="n">
        <v>1300000</v>
      </c>
      <c r="J541" t="inlineStr">
        <is>
          <t>COP</t>
        </is>
      </c>
      <c r="L541" t="inlineStr">
        <is>
          <t>Contabilidad</t>
        </is>
      </c>
      <c r="M541">
        <f>IFERROR(INDEX(Diccionario!$N:$N,MATCH(F374,Diccionario!$C:$C,0)),"")</f>
        <v/>
      </c>
    </row>
    <row r="542" ht="15" customHeight="1" s="57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s="34" t="n">
        <v>2440000</v>
      </c>
      <c r="J542" t="inlineStr">
        <is>
          <t>COP</t>
        </is>
      </c>
      <c r="L542" t="inlineStr">
        <is>
          <t>Contabilidad</t>
        </is>
      </c>
      <c r="M542">
        <f>IFERROR(INDEX(Diccionario!$N:$N,MATCH(F378,Diccionario!$C:$C,0)),"")</f>
        <v/>
      </c>
    </row>
    <row r="543" ht="15" customHeight="1" s="57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s="34" t="n">
        <v>9900000</v>
      </c>
      <c r="J543" t="inlineStr">
        <is>
          <t>COP</t>
        </is>
      </c>
      <c r="L543" t="inlineStr">
        <is>
          <t>Contabilidad</t>
        </is>
      </c>
      <c r="M543">
        <f>IFERROR(INDEX(Diccionario!$N:$N,MATCH(F373,Diccionario!$C:$C,0)),"")</f>
        <v/>
      </c>
    </row>
    <row r="544" ht="15" customHeight="1" s="57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s="34" t="n">
        <v>60000000</v>
      </c>
      <c r="J544" t="inlineStr">
        <is>
          <t>COP</t>
        </is>
      </c>
      <c r="L544" t="inlineStr">
        <is>
          <t>Contabilidad</t>
        </is>
      </c>
      <c r="M544">
        <f>IFERROR(INDEX(Diccionario!$N:$N,MATCH(F372,Diccionario!$C:$C,0)),"")</f>
        <v/>
      </c>
    </row>
    <row r="545" ht="15" customHeight="1" s="57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s="34" t="n">
        <v>4200000</v>
      </c>
      <c r="J545" t="inlineStr">
        <is>
          <t>COP</t>
        </is>
      </c>
      <c r="L545" t="inlineStr">
        <is>
          <t>Contabilidad</t>
        </is>
      </c>
      <c r="M545">
        <f>IFERROR(INDEX(Diccionario!$N:$N,MATCH(F375,Diccionario!$C:$C,0)),"")</f>
        <v/>
      </c>
    </row>
    <row r="546" ht="15" customHeight="1" s="57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s="34" t="n">
        <v>17800000</v>
      </c>
      <c r="J546" t="inlineStr">
        <is>
          <t>COP</t>
        </is>
      </c>
      <c r="L546" t="inlineStr">
        <is>
          <t>Contabilidad</t>
        </is>
      </c>
      <c r="M546">
        <f>IFERROR(INDEX(Diccionario!$N:$N,MATCH(F376,Diccionario!$C:$C,0)),"")</f>
        <v/>
      </c>
    </row>
    <row r="547" ht="15" customHeight="1" s="5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s="34" t="n">
        <v>1100000</v>
      </c>
      <c r="J547" t="inlineStr">
        <is>
          <t>COP</t>
        </is>
      </c>
      <c r="L547" t="inlineStr">
        <is>
          <t>Contabilidad</t>
        </is>
      </c>
      <c r="M547">
        <f>IFERROR(INDEX(Diccionario!$N:$N,MATCH(F377,Diccionario!$C:$C,0)),"")</f>
        <v/>
      </c>
    </row>
    <row r="548" ht="15" customHeight="1" s="57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s="34" t="n">
        <v>105000000</v>
      </c>
      <c r="J548" t="inlineStr">
        <is>
          <t>COP</t>
        </is>
      </c>
      <c r="L548" t="inlineStr">
        <is>
          <t>Contabilidad</t>
        </is>
      </c>
      <c r="M548">
        <f>IFERROR(INDEX(Diccionario!$N:$N,MATCH(F198,Diccionario!$C:$C,0)),"")</f>
        <v/>
      </c>
    </row>
    <row r="549" ht="15" customHeight="1" s="57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s="34" t="n">
        <v>226000000</v>
      </c>
      <c r="J549" t="inlineStr">
        <is>
          <t>COP</t>
        </is>
      </c>
      <c r="L549" t="inlineStr">
        <is>
          <t>Contabilidad</t>
        </is>
      </c>
      <c r="M549">
        <f>IFERROR(INDEX(Diccionario!$N:$N,MATCH(F197,Diccionario!$C:$C,0)),"")</f>
        <v/>
      </c>
    </row>
    <row r="550" ht="15" customHeight="1" s="57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s="34" t="n">
        <v>600000</v>
      </c>
      <c r="J550" t="inlineStr">
        <is>
          <t>COP</t>
        </is>
      </c>
      <c r="L550" t="inlineStr">
        <is>
          <t>Contabilidad</t>
        </is>
      </c>
      <c r="M550">
        <f>IFERROR(INDEX(Diccionario!$N:$N,MATCH(F194,Diccionario!$C:$C,0)),"")</f>
        <v/>
      </c>
    </row>
    <row r="551" ht="15" customHeight="1" s="57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s="34" t="n">
        <v>119000000</v>
      </c>
      <c r="J551" t="inlineStr">
        <is>
          <t>COP</t>
        </is>
      </c>
      <c r="L551" t="inlineStr">
        <is>
          <t>Contabilidad</t>
        </is>
      </c>
      <c r="M551">
        <f>IFERROR(INDEX(Diccionario!$N:$N,MATCH(F196,Diccionario!$C:$C,0)),"")</f>
        <v/>
      </c>
    </row>
    <row r="552" ht="15" customHeight="1" s="57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s="34" t="n">
        <v>260000000</v>
      </c>
      <c r="J552" t="inlineStr">
        <is>
          <t>COP</t>
        </is>
      </c>
      <c r="L552" t="inlineStr">
        <is>
          <t>Contabilidad</t>
        </is>
      </c>
      <c r="M552">
        <f>IFERROR(INDEX(Diccionario!$N:$N,MATCH(F195,Diccionario!$C:$C,0)),"")</f>
        <v/>
      </c>
    </row>
    <row r="553" ht="15" customHeight="1" s="57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s="34" t="n">
        <v>8800000</v>
      </c>
      <c r="J553" t="inlineStr">
        <is>
          <t>COP</t>
        </is>
      </c>
      <c r="L553" t="inlineStr">
        <is>
          <t>Contabilidad</t>
        </is>
      </c>
      <c r="M553">
        <f>IFERROR(INDEX(Diccionario!$N:$N,MATCH(F934,Diccionario!$C:$C,0)),"")</f>
        <v/>
      </c>
    </row>
    <row r="554" ht="15" customHeight="1" s="57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s="34" t="n">
        <v>39961000</v>
      </c>
      <c r="J554" t="inlineStr">
        <is>
          <t>COP</t>
        </is>
      </c>
      <c r="L554" t="inlineStr">
        <is>
          <t>Contabilidad</t>
        </is>
      </c>
      <c r="M554">
        <f>IFERROR(INDEX(Diccionario!$N:$N,MATCH(F930,Diccionario!$C:$C,0)),"")</f>
        <v/>
      </c>
    </row>
    <row r="555" ht="15" customHeight="1" s="57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s="34" t="n">
        <v>105800000</v>
      </c>
      <c r="J555" t="inlineStr">
        <is>
          <t>COP</t>
        </is>
      </c>
      <c r="L555" t="inlineStr">
        <is>
          <t>Contabilidad</t>
        </is>
      </c>
      <c r="M555">
        <f>IFERROR(INDEX(Diccionario!$N:$N,MATCH(F929,Diccionario!$C:$C,0)),"")</f>
        <v/>
      </c>
    </row>
    <row r="556" ht="15" customHeight="1" s="57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s="34" t="n">
        <v>0</v>
      </c>
      <c r="J556" t="inlineStr">
        <is>
          <t>COP</t>
        </is>
      </c>
      <c r="L556" t="inlineStr">
        <is>
          <t>Contabilidad</t>
        </is>
      </c>
      <c r="M556">
        <f>IFERROR(INDEX(Diccionario!$N:$N,MATCH(F931,Diccionario!$C:$C,0)),"")</f>
        <v/>
      </c>
    </row>
    <row r="557" ht="15" customHeight="1" s="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s="34" t="n">
        <v>26300000</v>
      </c>
      <c r="J557" t="inlineStr">
        <is>
          <t>COP</t>
        </is>
      </c>
      <c r="L557" t="inlineStr">
        <is>
          <t>Contabilidad</t>
        </is>
      </c>
      <c r="M557">
        <f>IFERROR(INDEX(Diccionario!$N:$N,MATCH(F932,Diccionario!$C:$C,0)),"")</f>
        <v/>
      </c>
    </row>
    <row r="558" ht="15" customHeight="1" s="57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s="34" t="n">
        <v>44990000</v>
      </c>
      <c r="J558" t="inlineStr">
        <is>
          <t>COP</t>
        </is>
      </c>
      <c r="L558" t="inlineStr">
        <is>
          <t>Contabilidad</t>
        </is>
      </c>
      <c r="M558">
        <f>IFERROR(INDEX(Diccionario!$N:$N,MATCH(F933,Diccionario!$C:$C,0)),"")</f>
        <v/>
      </c>
    </row>
    <row r="559" ht="15" customHeight="1" s="57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s="34" t="n">
        <v>6840000</v>
      </c>
      <c r="J559" t="inlineStr">
        <is>
          <t>COP</t>
        </is>
      </c>
      <c r="L559" t="inlineStr">
        <is>
          <t>Contabilidad</t>
        </is>
      </c>
      <c r="M559">
        <f>IFERROR(INDEX(Diccionario!$N:$N,MATCH(F781,Diccionario!$C:$C,0)),"")</f>
        <v/>
      </c>
    </row>
    <row r="560" ht="15" customHeight="1" s="57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s="34" t="n">
        <v>116800000</v>
      </c>
      <c r="J560" t="inlineStr">
        <is>
          <t>COP</t>
        </is>
      </c>
      <c r="L560" t="inlineStr">
        <is>
          <t>Contabilidad</t>
        </is>
      </c>
      <c r="M560">
        <f>IFERROR(INDEX(Diccionario!$N:$N,MATCH(F780,Diccionario!$C:$C,0)),"")</f>
        <v/>
      </c>
    </row>
    <row r="561" ht="15" customHeight="1" s="57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s="34" t="n">
        <v>4530000</v>
      </c>
      <c r="J561" t="inlineStr">
        <is>
          <t>COP</t>
        </is>
      </c>
      <c r="L561" t="inlineStr">
        <is>
          <t>Contabilidad</t>
        </is>
      </c>
      <c r="M561">
        <f>IFERROR(INDEX(Diccionario!$N:$N,MATCH(F782,Diccionario!$C:$C,0)),"")</f>
        <v/>
      </c>
    </row>
    <row r="562" ht="15" customHeight="1" s="57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s="34" t="n">
        <v>1856000</v>
      </c>
      <c r="J562" t="inlineStr">
        <is>
          <t>COP</t>
        </is>
      </c>
      <c r="L562" t="inlineStr">
        <is>
          <t>Contabilidad</t>
        </is>
      </c>
      <c r="M562">
        <f>IFERROR(INDEX(Diccionario!$N:$N,MATCH(F783,Diccionario!$C:$C,0)),"")</f>
        <v/>
      </c>
    </row>
    <row r="563" ht="15" customHeight="1" s="57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s="34" t="n">
        <v>18476082</v>
      </c>
      <c r="J563" t="inlineStr">
        <is>
          <t>COP</t>
        </is>
      </c>
      <c r="L563" t="inlineStr">
        <is>
          <t>Contabilidad</t>
        </is>
      </c>
      <c r="M563">
        <f>IFERROR(INDEX(Diccionario!$N:$N,MATCH(F1098,Diccionario!$C:$C,0)),"")</f>
        <v/>
      </c>
    </row>
    <row r="564" ht="15" customHeight="1" s="57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s="34" t="n">
        <v>0</v>
      </c>
      <c r="J564" t="inlineStr">
        <is>
          <t>COP</t>
        </is>
      </c>
      <c r="L564" t="inlineStr">
        <is>
          <t>Contabilidad</t>
        </is>
      </c>
      <c r="M564">
        <f>IFERROR(INDEX(Diccionario!$N:$N,MATCH(F1111,Diccionario!$C:$C,0)),"")</f>
        <v/>
      </c>
    </row>
    <row r="565" ht="15" customHeight="1" s="57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s="34" t="n">
        <v>631984829</v>
      </c>
      <c r="J565" t="inlineStr">
        <is>
          <t>COP</t>
        </is>
      </c>
      <c r="L565" t="inlineStr">
        <is>
          <t>Contabilidad</t>
        </is>
      </c>
      <c r="M565">
        <f>IFERROR(INDEX(Diccionario!$N:$N,MATCH(F1085,Diccionario!$C:$C,0)),"")</f>
        <v/>
      </c>
    </row>
    <row r="566" ht="15" customHeight="1" s="57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s="34" t="n">
        <v>0</v>
      </c>
      <c r="J566" t="inlineStr">
        <is>
          <t>COP</t>
        </is>
      </c>
      <c r="L566" t="inlineStr">
        <is>
          <t>Contabilidad</t>
        </is>
      </c>
      <c r="M566">
        <f>IFERROR(INDEX(Diccionario!$N:$N,MATCH(F1141,Diccionario!$C:$C,0)),"")</f>
        <v/>
      </c>
    </row>
    <row r="567" ht="15" customHeight="1" s="5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s="34" t="n">
        <v>-66478867</v>
      </c>
      <c r="J567" t="inlineStr">
        <is>
          <t>COP</t>
        </is>
      </c>
      <c r="L567" t="inlineStr">
        <is>
          <t>Contabilidad</t>
        </is>
      </c>
      <c r="M567">
        <f>IFERROR(INDEX(Diccionario!$N:$N,MATCH(F1128,Diccionario!$C:$C,0)),"")</f>
        <v/>
      </c>
    </row>
    <row r="568" ht="15" customHeight="1" s="57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s="34" t="n">
        <v>500000</v>
      </c>
      <c r="J568" t="inlineStr">
        <is>
          <t>COP</t>
        </is>
      </c>
      <c r="L568" t="inlineStr">
        <is>
          <t>Contabilidad</t>
        </is>
      </c>
      <c r="M568">
        <f>IFERROR(INDEX(Diccionario!$N:$N,MATCH(F662,Diccionario!$C:$C,0)),"")</f>
        <v/>
      </c>
    </row>
    <row r="569" ht="15" customHeight="1" s="57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s="34" t="n">
        <v>0</v>
      </c>
      <c r="J569" t="inlineStr">
        <is>
          <t>COP</t>
        </is>
      </c>
      <c r="L569" t="inlineStr">
        <is>
          <t>Contabilidad</t>
        </is>
      </c>
      <c r="M569">
        <f>IFERROR(INDEX(Diccionario!$N:$N,MATCH(F664,Diccionario!$C:$C,0)),"")</f>
        <v/>
      </c>
    </row>
    <row r="570" ht="15" customHeight="1" s="57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s="34" t="n">
        <v>75200000</v>
      </c>
      <c r="J570" t="inlineStr">
        <is>
          <t>COP</t>
        </is>
      </c>
      <c r="L570" t="inlineStr">
        <is>
          <t>Contabilidad</t>
        </is>
      </c>
      <c r="M570">
        <f>IFERROR(INDEX(Diccionario!$N:$N,MATCH(F661,Diccionario!$C:$C,0)),"")</f>
        <v/>
      </c>
    </row>
    <row r="571" ht="15" customHeight="1" s="57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s="34" t="n">
        <v>17800000</v>
      </c>
      <c r="J571" t="inlineStr">
        <is>
          <t>COP</t>
        </is>
      </c>
      <c r="L571" t="inlineStr">
        <is>
          <t>Contabilidad</t>
        </is>
      </c>
      <c r="M571">
        <f>IFERROR(INDEX(Diccionario!$N:$N,MATCH(F663,Diccionario!$C:$C,0)),"")</f>
        <v/>
      </c>
    </row>
    <row r="572" ht="15" customHeight="1" s="57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s="34" t="n">
        <v>12400000</v>
      </c>
      <c r="J572" t="inlineStr">
        <is>
          <t>COP</t>
        </is>
      </c>
      <c r="L572" t="inlineStr">
        <is>
          <t>Contabilidad</t>
        </is>
      </c>
      <c r="M572">
        <f>IFERROR(INDEX(Diccionario!$N:$N,MATCH(F665,Diccionario!$C:$C,0)),"")</f>
        <v/>
      </c>
    </row>
    <row r="573" ht="15" customHeight="1" s="57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s="34" t="n">
        <v>62400000</v>
      </c>
      <c r="J573" t="inlineStr">
        <is>
          <t>COP</t>
        </is>
      </c>
      <c r="L573" t="inlineStr">
        <is>
          <t>Contabilidad</t>
        </is>
      </c>
      <c r="M573">
        <f>IFERROR(INDEX(Diccionario!$N:$N,MATCH(F543,Diccionario!$C:$C,0)),"")</f>
        <v/>
      </c>
    </row>
    <row r="574" ht="15" customHeight="1" s="57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s="34" t="n">
        <v>16600000</v>
      </c>
      <c r="J574" t="inlineStr">
        <is>
          <t>COP</t>
        </is>
      </c>
      <c r="L574" t="inlineStr">
        <is>
          <t>Contabilidad</t>
        </is>
      </c>
      <c r="M574">
        <f>IFERROR(INDEX(Diccionario!$N:$N,MATCH(F544,Diccionario!$C:$C,0)),"")</f>
        <v/>
      </c>
    </row>
    <row r="575" ht="15" customHeight="1" s="57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s="34" t="n">
        <v>0</v>
      </c>
      <c r="J575" t="inlineStr">
        <is>
          <t>COP</t>
        </is>
      </c>
      <c r="L575" t="inlineStr">
        <is>
          <t>Contabilidad</t>
        </is>
      </c>
      <c r="M575">
        <f>IFERROR(INDEX(Diccionario!$N:$N,MATCH(F542,Diccionario!$C:$C,0)),"")</f>
        <v/>
      </c>
    </row>
    <row r="576" ht="15" customHeight="1" s="57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s="34" t="n">
        <v>213300000</v>
      </c>
      <c r="J576" t="inlineStr">
        <is>
          <t>COP</t>
        </is>
      </c>
      <c r="L576" t="inlineStr">
        <is>
          <t>Contabilidad</t>
        </is>
      </c>
      <c r="M576">
        <f>IFERROR(INDEX(Diccionario!$N:$N,MATCH(F541,Diccionario!$C:$C,0)),"")</f>
        <v/>
      </c>
    </row>
    <row r="577" ht="15" customHeight="1" s="5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s="34" t="n">
        <v>9900000</v>
      </c>
      <c r="J577" t="inlineStr">
        <is>
          <t>COP</t>
        </is>
      </c>
      <c r="L577" t="inlineStr">
        <is>
          <t>Contabilidad</t>
        </is>
      </c>
      <c r="M577">
        <f>IFERROR(INDEX(Diccionario!$N:$N,MATCH(F545,Diccionario!$C:$C,0)),"")</f>
        <v/>
      </c>
    </row>
    <row r="578" ht="15" customHeight="1" s="57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s="45" t="n">
        <v>46.64</v>
      </c>
      <c r="J578" t="inlineStr">
        <is>
          <t>%</t>
        </is>
      </c>
      <c r="L578" t="inlineStr">
        <is>
          <t>Contabilidad</t>
        </is>
      </c>
      <c r="M578">
        <f>IFERROR(INDEX(Diccionario!$N:$N,MATCH(F1015,Diccionario!$C:$C,0)),"")</f>
        <v/>
      </c>
    </row>
    <row r="579" ht="15" customHeight="1" s="57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s="34" t="n">
        <v>33230383</v>
      </c>
      <c r="J579" t="inlineStr">
        <is>
          <t>COP</t>
        </is>
      </c>
      <c r="L579" t="inlineStr">
        <is>
          <t>Contabilidad</t>
        </is>
      </c>
      <c r="M579">
        <f>IFERROR(INDEX(Diccionario!$N:$N,MATCH(F1115,Diccionario!$C:$C,0)),"")</f>
        <v/>
      </c>
    </row>
    <row r="580" ht="15" customHeight="1" s="57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s="34" t="n">
        <v>16300000</v>
      </c>
      <c r="J580" t="inlineStr">
        <is>
          <t>COP</t>
        </is>
      </c>
      <c r="L580" t="inlineStr">
        <is>
          <t>Contabilidad</t>
        </is>
      </c>
      <c r="M580">
        <f>IFERROR(INDEX(Diccionario!$N:$N,MATCH(F381,Diccionario!$C:$C,0)),"")</f>
        <v/>
      </c>
    </row>
    <row r="581" ht="15" customHeight="1" s="57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s="34" t="n">
        <v>8900000</v>
      </c>
      <c r="J581" t="inlineStr">
        <is>
          <t>COP</t>
        </is>
      </c>
      <c r="L581" t="inlineStr">
        <is>
          <t>Contabilidad</t>
        </is>
      </c>
      <c r="M581">
        <f>IFERROR(INDEX(Diccionario!$N:$N,MATCH(F385,Diccionario!$C:$C,0)),"")</f>
        <v/>
      </c>
    </row>
    <row r="582" ht="15" customHeight="1" s="57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s="34" t="n">
        <v>16000000</v>
      </c>
      <c r="J582" t="inlineStr">
        <is>
          <t>COP</t>
        </is>
      </c>
      <c r="L582" t="inlineStr">
        <is>
          <t>Contabilidad</t>
        </is>
      </c>
      <c r="M582">
        <f>IFERROR(INDEX(Diccionario!$N:$N,MATCH(F380,Diccionario!$C:$C,0)),"")</f>
        <v/>
      </c>
    </row>
    <row r="583" ht="15" customHeight="1" s="57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s="34" t="n">
        <v>60600000</v>
      </c>
      <c r="J583" t="inlineStr">
        <is>
          <t>COP</t>
        </is>
      </c>
      <c r="L583" t="inlineStr">
        <is>
          <t>Contabilidad</t>
        </is>
      </c>
      <c r="M583">
        <f>IFERROR(INDEX(Diccionario!$N:$N,MATCH(F379,Diccionario!$C:$C,0)),"")</f>
        <v/>
      </c>
    </row>
    <row r="584" ht="15" customHeight="1" s="57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s="34" t="n">
        <v>3400000</v>
      </c>
      <c r="J584" t="inlineStr">
        <is>
          <t>COP</t>
        </is>
      </c>
      <c r="L584" t="inlineStr">
        <is>
          <t>Contabilidad</t>
        </is>
      </c>
      <c r="M584">
        <f>IFERROR(INDEX(Diccionario!$N:$N,MATCH(F382,Diccionario!$C:$C,0)),"")</f>
        <v/>
      </c>
    </row>
    <row r="585" ht="15" customHeight="1" s="57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s="34" t="n">
        <v>9800000</v>
      </c>
      <c r="J585" t="inlineStr">
        <is>
          <t>COP</t>
        </is>
      </c>
      <c r="L585" t="inlineStr">
        <is>
          <t>Contabilidad</t>
        </is>
      </c>
      <c r="M585">
        <f>IFERROR(INDEX(Diccionario!$N:$N,MATCH(F383,Diccionario!$C:$C,0)),"")</f>
        <v/>
      </c>
    </row>
    <row r="586" ht="15" customHeight="1" s="57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s="34" t="n">
        <v>3100000</v>
      </c>
      <c r="J586" t="inlineStr">
        <is>
          <t>COP</t>
        </is>
      </c>
      <c r="L586" t="inlineStr">
        <is>
          <t>Contabilidad</t>
        </is>
      </c>
      <c r="M586">
        <f>IFERROR(INDEX(Diccionario!$N:$N,MATCH(F384,Diccionario!$C:$C,0)),"")</f>
        <v/>
      </c>
    </row>
    <row r="587" ht="15" customHeight="1" s="5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s="34" t="n">
        <v>122700000</v>
      </c>
      <c r="J587" t="inlineStr">
        <is>
          <t>COP</t>
        </is>
      </c>
      <c r="L587" t="inlineStr">
        <is>
          <t>Contabilidad</t>
        </is>
      </c>
      <c r="M587">
        <f>IFERROR(INDEX(Diccionario!$N:$N,MATCH(F203,Diccionario!$C:$C,0)),"")</f>
        <v/>
      </c>
    </row>
    <row r="588" ht="15" customHeight="1" s="57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s="34" t="n">
        <v>227000000</v>
      </c>
      <c r="J588" t="inlineStr">
        <is>
          <t>COP</t>
        </is>
      </c>
      <c r="L588" t="inlineStr">
        <is>
          <t>Contabilidad</t>
        </is>
      </c>
      <c r="M588">
        <f>IFERROR(INDEX(Diccionario!$N:$N,MATCH(F202,Diccionario!$C:$C,0)),"")</f>
        <v/>
      </c>
    </row>
    <row r="589" ht="15" customHeight="1" s="57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s="34" t="n">
        <v>1800000</v>
      </c>
      <c r="J589" t="inlineStr">
        <is>
          <t>COP</t>
        </is>
      </c>
      <c r="L589" t="inlineStr">
        <is>
          <t>Contabilidad</t>
        </is>
      </c>
      <c r="M589">
        <f>IFERROR(INDEX(Diccionario!$N:$N,MATCH(F199,Diccionario!$C:$C,0)),"")</f>
        <v/>
      </c>
    </row>
    <row r="590" ht="15" customHeight="1" s="57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s="34" t="n">
        <v>302000000</v>
      </c>
      <c r="J590" t="inlineStr">
        <is>
          <t>COP</t>
        </is>
      </c>
      <c r="L590" t="inlineStr">
        <is>
          <t>Contabilidad</t>
        </is>
      </c>
      <c r="M590">
        <f>IFERROR(INDEX(Diccionario!$N:$N,MATCH(F201,Diccionario!$C:$C,0)),"")</f>
        <v/>
      </c>
    </row>
    <row r="591" ht="15" customHeight="1" s="57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s="34" t="n">
        <v>230000000</v>
      </c>
      <c r="J591" t="inlineStr">
        <is>
          <t>COP</t>
        </is>
      </c>
      <c r="L591" t="inlineStr">
        <is>
          <t>Contabilidad</t>
        </is>
      </c>
      <c r="M591">
        <f>IFERROR(INDEX(Diccionario!$N:$N,MATCH(F200,Diccionario!$C:$C,0)),"")</f>
        <v/>
      </c>
    </row>
    <row r="592" ht="15" customHeight="1" s="57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s="34" t="n">
        <v>11100000</v>
      </c>
      <c r="J592" t="inlineStr">
        <is>
          <t>COP</t>
        </is>
      </c>
      <c r="L592" t="inlineStr">
        <is>
          <t>Contabilidad</t>
        </is>
      </c>
      <c r="M592">
        <f>IFERROR(INDEX(Diccionario!$N:$N,MATCH(F940,Diccionario!$C:$C,0)),"")</f>
        <v/>
      </c>
    </row>
    <row r="593" ht="15" customHeight="1" s="57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s="34" t="n">
        <v>54765000</v>
      </c>
      <c r="J593" t="inlineStr">
        <is>
          <t>COP</t>
        </is>
      </c>
      <c r="L593" t="inlineStr">
        <is>
          <t>Contabilidad</t>
        </is>
      </c>
      <c r="M593">
        <f>IFERROR(INDEX(Diccionario!$N:$N,MATCH(F936,Diccionario!$C:$C,0)),"")</f>
        <v/>
      </c>
    </row>
    <row r="594" ht="15" customHeight="1" s="57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s="34" t="n">
        <v>91900000</v>
      </c>
      <c r="J594" t="inlineStr">
        <is>
          <t>COP</t>
        </is>
      </c>
      <c r="L594" t="inlineStr">
        <is>
          <t>Contabilidad</t>
        </is>
      </c>
      <c r="M594">
        <f>IFERROR(INDEX(Diccionario!$N:$N,MATCH(F935,Diccionario!$C:$C,0)),"")</f>
        <v/>
      </c>
    </row>
    <row r="595" ht="15" customHeight="1" s="57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s="34" t="n">
        <v>300000</v>
      </c>
      <c r="J595" t="inlineStr">
        <is>
          <t>COP</t>
        </is>
      </c>
      <c r="L595" t="inlineStr">
        <is>
          <t>Contabilidad</t>
        </is>
      </c>
      <c r="M595">
        <f>IFERROR(INDEX(Diccionario!$N:$N,MATCH(F937,Diccionario!$C:$C,0)),"")</f>
        <v/>
      </c>
    </row>
    <row r="596" ht="15" customHeight="1" s="57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s="34" t="n">
        <v>58200000</v>
      </c>
      <c r="J596" t="inlineStr">
        <is>
          <t>COP</t>
        </is>
      </c>
      <c r="L596" t="inlineStr">
        <is>
          <t>Contabilidad</t>
        </is>
      </c>
      <c r="M596">
        <f>IFERROR(INDEX(Diccionario!$N:$N,MATCH(F938,Diccionario!$C:$C,0)),"")</f>
        <v/>
      </c>
    </row>
    <row r="597" ht="15" customHeight="1" s="5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s="34" t="n">
        <v>23400000</v>
      </c>
      <c r="J597" t="inlineStr">
        <is>
          <t>COP</t>
        </is>
      </c>
      <c r="L597" t="inlineStr">
        <is>
          <t>Contabilidad</t>
        </is>
      </c>
      <c r="M597">
        <f>IFERROR(INDEX(Diccionario!$N:$N,MATCH(F939,Diccionario!$C:$C,0)),"")</f>
        <v/>
      </c>
    </row>
    <row r="598" ht="15" customHeight="1" s="57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s="34" t="n">
        <v>12400000</v>
      </c>
      <c r="J598" t="inlineStr">
        <is>
          <t>COP</t>
        </is>
      </c>
      <c r="L598" t="inlineStr">
        <is>
          <t>Contabilidad</t>
        </is>
      </c>
      <c r="M598">
        <f>IFERROR(INDEX(Diccionario!$N:$N,MATCH(F785,Diccionario!$C:$C,0)),"")</f>
        <v/>
      </c>
    </row>
    <row r="599" ht="15" customHeight="1" s="57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s="34" t="n">
        <v>118200000</v>
      </c>
      <c r="J599" t="inlineStr">
        <is>
          <t>COP</t>
        </is>
      </c>
      <c r="L599" t="inlineStr">
        <is>
          <t>Contabilidad</t>
        </is>
      </c>
      <c r="M599">
        <f>IFERROR(INDEX(Diccionario!$N:$N,MATCH(F784,Diccionario!$C:$C,0)),"")</f>
        <v/>
      </c>
    </row>
    <row r="600" ht="15" customHeight="1" s="57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s="34" t="n">
        <v>3200000</v>
      </c>
      <c r="J600" t="inlineStr">
        <is>
          <t>COP</t>
        </is>
      </c>
      <c r="L600" t="inlineStr">
        <is>
          <t>Contabilidad</t>
        </is>
      </c>
      <c r="M600">
        <f>IFERROR(INDEX(Diccionario!$N:$N,MATCH(F786,Diccionario!$C:$C,0)),"")</f>
        <v/>
      </c>
    </row>
    <row r="601" ht="15" customHeight="1" s="57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s="34" t="n">
        <v>500000</v>
      </c>
      <c r="J601" t="inlineStr">
        <is>
          <t>COP</t>
        </is>
      </c>
      <c r="L601" t="inlineStr">
        <is>
          <t>Contabilidad</t>
        </is>
      </c>
      <c r="M601">
        <f>IFERROR(INDEX(Diccionario!$N:$N,MATCH(F787,Diccionario!$C:$C,0)),"")</f>
        <v/>
      </c>
    </row>
    <row r="602" ht="15" customHeight="1" s="57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s="34" t="n">
        <v>0</v>
      </c>
      <c r="J602" t="inlineStr">
        <is>
          <t>COP</t>
        </is>
      </c>
      <c r="L602" t="inlineStr">
        <is>
          <t>Contabilidad</t>
        </is>
      </c>
      <c r="M602">
        <f>IFERROR(INDEX(Diccionario!$N:$N,MATCH(F1099,Diccionario!$C:$C,0)),"")</f>
        <v/>
      </c>
    </row>
    <row r="603" ht="15" customHeight="1" s="57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s="34" t="n">
        <v>665215212</v>
      </c>
      <c r="J603" t="inlineStr">
        <is>
          <t>COP</t>
        </is>
      </c>
      <c r="L603" t="inlineStr">
        <is>
          <t>Contabilidad</t>
        </is>
      </c>
      <c r="M603">
        <f>IFERROR(INDEX(Diccionario!$N:$N,MATCH(F1086,Diccionario!$C:$C,0)),"")</f>
        <v/>
      </c>
    </row>
    <row r="604" ht="15" customHeight="1" s="57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s="34" t="n">
        <v>-11465728</v>
      </c>
      <c r="J604" t="inlineStr">
        <is>
          <t>COP</t>
        </is>
      </c>
      <c r="L604" t="inlineStr">
        <is>
          <t>Contabilidad</t>
        </is>
      </c>
      <c r="M604">
        <f>IFERROR(INDEX(Diccionario!$N:$N,MATCH(F1142,Diccionario!$C:$C,0)),"")</f>
        <v/>
      </c>
    </row>
    <row r="605" ht="15" customHeight="1" s="57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s="34" t="n">
        <v>-53026479</v>
      </c>
      <c r="J605" t="inlineStr">
        <is>
          <t>COP</t>
        </is>
      </c>
      <c r="L605" t="inlineStr">
        <is>
          <t>Contabilidad</t>
        </is>
      </c>
      <c r="M605">
        <f>IFERROR(INDEX(Diccionario!$N:$N,MATCH(F1129,Diccionario!$C:$C,0)),"")</f>
        <v/>
      </c>
    </row>
    <row r="606" ht="15" customHeight="1" s="57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s="34" t="n">
        <v>0</v>
      </c>
      <c r="J606" t="inlineStr">
        <is>
          <t>COP</t>
        </is>
      </c>
      <c r="L606" t="inlineStr">
        <is>
          <t>Contabilidad</t>
        </is>
      </c>
      <c r="M606">
        <f>IFERROR(INDEX(Diccionario!$N:$N,MATCH(F667,Diccionario!$C:$C,0)),"")</f>
        <v/>
      </c>
    </row>
    <row r="607" ht="15" customHeight="1" s="5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s="34" t="n">
        <v>0</v>
      </c>
      <c r="J607" t="inlineStr">
        <is>
          <t>COP</t>
        </is>
      </c>
      <c r="L607" t="inlineStr">
        <is>
          <t>Contabilidad</t>
        </is>
      </c>
      <c r="M607">
        <f>IFERROR(INDEX(Diccionario!$N:$N,MATCH(F669,Diccionario!$C:$C,0)),"")</f>
        <v/>
      </c>
    </row>
    <row r="608" ht="15" customHeight="1" s="57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s="34" t="n">
        <v>74000000</v>
      </c>
      <c r="J608" t="inlineStr">
        <is>
          <t>COP</t>
        </is>
      </c>
      <c r="L608" t="inlineStr">
        <is>
          <t>Contabilidad</t>
        </is>
      </c>
      <c r="M608">
        <f>IFERROR(INDEX(Diccionario!$N:$N,MATCH(F666,Diccionario!$C:$C,0)),"")</f>
        <v/>
      </c>
    </row>
    <row r="609" ht="15" customHeight="1" s="57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s="34" t="n">
        <v>9000000</v>
      </c>
      <c r="J609" t="inlineStr">
        <is>
          <t>COP</t>
        </is>
      </c>
      <c r="L609" t="inlineStr">
        <is>
          <t>Contabilidad</t>
        </is>
      </c>
      <c r="M609">
        <f>IFERROR(INDEX(Diccionario!$N:$N,MATCH(F668,Diccionario!$C:$C,0)),"")</f>
        <v/>
      </c>
    </row>
    <row r="610" ht="15" customHeight="1" s="57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s="34" t="n">
        <v>16400000</v>
      </c>
      <c r="J610" t="inlineStr">
        <is>
          <t>COP</t>
        </is>
      </c>
      <c r="L610" t="inlineStr">
        <is>
          <t>Contabilidad</t>
        </is>
      </c>
      <c r="M610">
        <f>IFERROR(INDEX(Diccionario!$N:$N,MATCH(F670,Diccionario!$C:$C,0)),"")</f>
        <v/>
      </c>
    </row>
    <row r="611" ht="15" customHeight="1" s="57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s="34" t="n">
        <v>30100000</v>
      </c>
      <c r="J611" t="inlineStr">
        <is>
          <t>COP</t>
        </is>
      </c>
      <c r="L611" t="inlineStr">
        <is>
          <t>Contabilidad</t>
        </is>
      </c>
      <c r="M611">
        <f>IFERROR(INDEX(Diccionario!$N:$N,MATCH(F548,Diccionario!$C:$C,0)),"")</f>
        <v/>
      </c>
    </row>
    <row r="612" ht="15" customHeight="1" s="57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s="34" t="n">
        <v>12070000</v>
      </c>
      <c r="J612" t="inlineStr">
        <is>
          <t>COP</t>
        </is>
      </c>
      <c r="L612" t="inlineStr">
        <is>
          <t>Contabilidad</t>
        </is>
      </c>
      <c r="M612">
        <f>IFERROR(INDEX(Diccionario!$N:$N,MATCH(F549,Diccionario!$C:$C,0)),"")</f>
        <v/>
      </c>
    </row>
    <row r="613" ht="15" customHeight="1" s="57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s="34" t="n">
        <v>0</v>
      </c>
      <c r="J613" t="inlineStr">
        <is>
          <t>COP</t>
        </is>
      </c>
      <c r="L613" t="inlineStr">
        <is>
          <t>Contabilidad</t>
        </is>
      </c>
      <c r="M613">
        <f>IFERROR(INDEX(Diccionario!$N:$N,MATCH(F547,Diccionario!$C:$C,0)),"")</f>
        <v/>
      </c>
    </row>
    <row r="614" ht="15" customHeight="1" s="57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s="34" t="n">
        <v>0</v>
      </c>
      <c r="J614" t="inlineStr">
        <is>
          <t>COP</t>
        </is>
      </c>
      <c r="L614" t="inlineStr">
        <is>
          <t>Contabilidad</t>
        </is>
      </c>
      <c r="M614">
        <f>IFERROR(INDEX(Diccionario!$N:$N,MATCH(F546,Diccionario!$C:$C,0)),"")</f>
        <v/>
      </c>
    </row>
    <row r="615" ht="15" customHeight="1" s="57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s="34" t="n">
        <v>7900000</v>
      </c>
      <c r="J615" t="inlineStr">
        <is>
          <t>COP</t>
        </is>
      </c>
      <c r="L615" t="inlineStr">
        <is>
          <t>Contabilidad</t>
        </is>
      </c>
      <c r="M615">
        <f>IFERROR(INDEX(Diccionario!$N:$N,MATCH(F550,Diccionario!$C:$C,0)),"")</f>
        <v/>
      </c>
    </row>
    <row r="616" ht="15" customHeight="1" s="57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s="45" t="n">
        <v>7.9</v>
      </c>
      <c r="J616" t="inlineStr">
        <is>
          <t>%</t>
        </is>
      </c>
      <c r="L616" t="inlineStr">
        <is>
          <t>Contabilidad</t>
        </is>
      </c>
      <c r="M616">
        <f>IFERROR(INDEX(Diccionario!$N:$N,MATCH(F1016,Diccionario!$C:$C,0)),"")</f>
        <v/>
      </c>
    </row>
    <row r="617" ht="15" customHeight="1" s="5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s="34" t="n">
        <v>10257072</v>
      </c>
      <c r="J617" t="inlineStr">
        <is>
          <t>COP</t>
        </is>
      </c>
      <c r="L617" t="inlineStr">
        <is>
          <t>Contabilidad</t>
        </is>
      </c>
      <c r="M617">
        <f>IFERROR(INDEX(Diccionario!$N:$N,MATCH(F1116,Diccionario!$C:$C,0)),"")</f>
        <v/>
      </c>
    </row>
    <row r="618" ht="15" customHeight="1" s="57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s="34" t="n">
        <v>16100000</v>
      </c>
      <c r="J618" t="inlineStr">
        <is>
          <t>COP</t>
        </is>
      </c>
      <c r="L618" t="inlineStr">
        <is>
          <t>Contabilidad</t>
        </is>
      </c>
      <c r="M618">
        <f>IFERROR(INDEX(Diccionario!$N:$N,MATCH(F388,Diccionario!$C:$C,0)),"")</f>
        <v/>
      </c>
    </row>
    <row r="619" ht="15" customHeight="1" s="57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s="34" t="n">
        <v>27200000</v>
      </c>
      <c r="J619" t="inlineStr">
        <is>
          <t>COP</t>
        </is>
      </c>
      <c r="L619" t="inlineStr">
        <is>
          <t>Contabilidad</t>
        </is>
      </c>
      <c r="M619">
        <f>IFERROR(INDEX(Diccionario!$N:$N,MATCH(F392,Diccionario!$C:$C,0)),"")</f>
        <v/>
      </c>
    </row>
    <row r="620" ht="15" customHeight="1" s="57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s="34" t="n">
        <v>6100000</v>
      </c>
      <c r="J620" t="inlineStr">
        <is>
          <t>COP</t>
        </is>
      </c>
      <c r="L620" t="inlineStr">
        <is>
          <t>Contabilidad</t>
        </is>
      </c>
      <c r="M620">
        <f>IFERROR(INDEX(Diccionario!$N:$N,MATCH(F387,Diccionario!$C:$C,0)),"")</f>
        <v/>
      </c>
    </row>
    <row r="621" ht="15" customHeight="1" s="57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s="34" t="n">
        <v>62400000</v>
      </c>
      <c r="J621" t="inlineStr">
        <is>
          <t>COP</t>
        </is>
      </c>
      <c r="L621" t="inlineStr">
        <is>
          <t>Contabilidad</t>
        </is>
      </c>
      <c r="M621">
        <f>IFERROR(INDEX(Diccionario!$N:$N,MATCH(F386,Diccionario!$C:$C,0)),"")</f>
        <v/>
      </c>
    </row>
    <row r="622" ht="15" customHeight="1" s="57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s="34" t="n">
        <v>1800000</v>
      </c>
      <c r="J622" t="inlineStr">
        <is>
          <t>COP</t>
        </is>
      </c>
      <c r="L622" t="inlineStr">
        <is>
          <t>Contabilidad</t>
        </is>
      </c>
      <c r="M622">
        <f>IFERROR(INDEX(Diccionario!$N:$N,MATCH(F389,Diccionario!$C:$C,0)),"")</f>
        <v/>
      </c>
    </row>
    <row r="623" ht="15" customHeight="1" s="57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s="34" t="n">
        <v>3000000</v>
      </c>
      <c r="J623" t="inlineStr">
        <is>
          <t>COP</t>
        </is>
      </c>
      <c r="L623" t="inlineStr">
        <is>
          <t>Contabilidad</t>
        </is>
      </c>
      <c r="M623">
        <f>IFERROR(INDEX(Diccionario!$N:$N,MATCH(F390,Diccionario!$C:$C,0)),"")</f>
        <v/>
      </c>
    </row>
    <row r="624" ht="15" customHeight="1" s="57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s="34" t="n">
        <v>4300000</v>
      </c>
      <c r="J624" t="inlineStr">
        <is>
          <t>COP</t>
        </is>
      </c>
      <c r="L624" t="inlineStr">
        <is>
          <t>Contabilidad</t>
        </is>
      </c>
      <c r="M624">
        <f>IFERROR(INDEX(Diccionario!$N:$N,MATCH(F391,Diccionario!$C:$C,0)),"")</f>
        <v/>
      </c>
    </row>
    <row r="625" ht="15" customHeight="1" s="57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s="34" t="n">
        <v>121000000</v>
      </c>
      <c r="J625" t="inlineStr">
        <is>
          <t>COP</t>
        </is>
      </c>
      <c r="L625" t="inlineStr">
        <is>
          <t>Contabilidad</t>
        </is>
      </c>
      <c r="M625">
        <f>IFERROR(INDEX(Diccionario!$N:$N,MATCH(F208,Diccionario!$C:$C,0)),"")</f>
        <v/>
      </c>
    </row>
    <row r="626" ht="15" customHeight="1" s="57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s="34" t="n">
        <v>169000000</v>
      </c>
      <c r="J626" t="inlineStr">
        <is>
          <t>COP</t>
        </is>
      </c>
      <c r="L626" t="inlineStr">
        <is>
          <t>Contabilidad</t>
        </is>
      </c>
      <c r="M626">
        <f>IFERROR(INDEX(Diccionario!$N:$N,MATCH(F207,Diccionario!$C:$C,0)),"")</f>
        <v/>
      </c>
    </row>
    <row r="627" ht="15" customHeight="1" s="5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s="34" t="n">
        <v>1400000</v>
      </c>
      <c r="J627" t="inlineStr">
        <is>
          <t>COP</t>
        </is>
      </c>
      <c r="L627" t="inlineStr">
        <is>
          <t>Contabilidad</t>
        </is>
      </c>
      <c r="M627">
        <f>IFERROR(INDEX(Diccionario!$N:$N,MATCH(F204,Diccionario!$C:$C,0)),"")</f>
        <v/>
      </c>
    </row>
    <row r="628" ht="15" customHeight="1" s="57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s="34" t="n">
        <v>102000000</v>
      </c>
      <c r="J628" t="inlineStr">
        <is>
          <t>COP</t>
        </is>
      </c>
      <c r="L628" t="inlineStr">
        <is>
          <t>Contabilidad</t>
        </is>
      </c>
      <c r="M628">
        <f>IFERROR(INDEX(Diccionario!$N:$N,MATCH(F206,Diccionario!$C:$C,0)),"")</f>
        <v/>
      </c>
    </row>
    <row r="629" ht="15" customHeight="1" s="57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s="34" t="n">
        <v>332000000</v>
      </c>
      <c r="J629" t="inlineStr">
        <is>
          <t>COP</t>
        </is>
      </c>
      <c r="L629" t="inlineStr">
        <is>
          <t>Contabilidad</t>
        </is>
      </c>
      <c r="M629">
        <f>IFERROR(INDEX(Diccionario!$N:$N,MATCH(F205,Diccionario!$C:$C,0)),"")</f>
        <v/>
      </c>
    </row>
    <row r="630" ht="15" customHeight="1" s="57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s="34" t="n">
        <v>7600000</v>
      </c>
      <c r="J630" t="inlineStr">
        <is>
          <t>COP</t>
        </is>
      </c>
      <c r="L630" t="inlineStr">
        <is>
          <t>Contabilidad</t>
        </is>
      </c>
      <c r="M630">
        <f>IFERROR(INDEX(Diccionario!$N:$N,MATCH(F946,Diccionario!$C:$C,0)),"")</f>
        <v/>
      </c>
    </row>
    <row r="631" ht="15" customHeight="1" s="57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s="34" t="n">
        <v>24700000</v>
      </c>
      <c r="J631" t="inlineStr">
        <is>
          <t>COP</t>
        </is>
      </c>
      <c r="L631" t="inlineStr">
        <is>
          <t>Contabilidad</t>
        </is>
      </c>
      <c r="M631">
        <f>IFERROR(INDEX(Diccionario!$N:$N,MATCH(F942,Diccionario!$C:$C,0)),"")</f>
        <v/>
      </c>
    </row>
    <row r="632" ht="15" customHeight="1" s="57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s="34" t="n">
        <v>77100000</v>
      </c>
      <c r="J632" t="inlineStr">
        <is>
          <t>COP</t>
        </is>
      </c>
      <c r="L632" t="inlineStr">
        <is>
          <t>Contabilidad</t>
        </is>
      </c>
      <c r="M632">
        <f>IFERROR(INDEX(Diccionario!$N:$N,MATCH(F941,Diccionario!$C:$C,0)),"")</f>
        <v/>
      </c>
    </row>
    <row r="633" ht="15" customHeight="1" s="57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s="34" t="n">
        <v>0</v>
      </c>
      <c r="J633" t="inlineStr">
        <is>
          <t>COP</t>
        </is>
      </c>
      <c r="L633" t="inlineStr">
        <is>
          <t>Contabilidad</t>
        </is>
      </c>
      <c r="M633">
        <f>IFERROR(INDEX(Diccionario!$N:$N,MATCH(F943,Diccionario!$C:$C,0)),"")</f>
        <v/>
      </c>
    </row>
    <row r="634" ht="15" customHeight="1" s="57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s="34" t="n">
        <v>33200000</v>
      </c>
      <c r="J634" t="inlineStr">
        <is>
          <t>COP</t>
        </is>
      </c>
      <c r="L634" t="inlineStr">
        <is>
          <t>Contabilidad</t>
        </is>
      </c>
      <c r="M634">
        <f>IFERROR(INDEX(Diccionario!$N:$N,MATCH(F944,Diccionario!$C:$C,0)),"")</f>
        <v/>
      </c>
    </row>
    <row r="635" ht="15" customHeight="1" s="57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s="34" t="n">
        <v>26700000</v>
      </c>
      <c r="J635" t="inlineStr">
        <is>
          <t>COP</t>
        </is>
      </c>
      <c r="L635" t="inlineStr">
        <is>
          <t>Contabilidad</t>
        </is>
      </c>
      <c r="M635">
        <f>IFERROR(INDEX(Diccionario!$N:$N,MATCH(F945,Diccionario!$C:$C,0)),"")</f>
        <v/>
      </c>
    </row>
    <row r="636" ht="15" customHeight="1" s="57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s="34" t="n">
        <v>7600000</v>
      </c>
      <c r="J636" t="inlineStr">
        <is>
          <t>COP</t>
        </is>
      </c>
      <c r="L636" t="inlineStr">
        <is>
          <t>Contabilidad</t>
        </is>
      </c>
      <c r="M636">
        <f>IFERROR(INDEX(Diccionario!$N:$N,MATCH(F789,Diccionario!$C:$C,0)),"")</f>
        <v/>
      </c>
    </row>
    <row r="637" ht="15" customHeight="1" s="5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s="34" t="n">
        <v>200000000</v>
      </c>
      <c r="J637" t="inlineStr">
        <is>
          <t>COP</t>
        </is>
      </c>
      <c r="L637" t="inlineStr">
        <is>
          <t>Contabilidad</t>
        </is>
      </c>
      <c r="M637">
        <f>IFERROR(INDEX(Diccionario!$N:$N,MATCH(F788,Diccionario!$C:$C,0)),"")</f>
        <v/>
      </c>
    </row>
    <row r="638" ht="15" customHeight="1" s="57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s="34" t="n">
        <v>15200000</v>
      </c>
      <c r="J638" t="inlineStr">
        <is>
          <t>COP</t>
        </is>
      </c>
      <c r="L638" t="inlineStr">
        <is>
          <t>Contabilidad</t>
        </is>
      </c>
      <c r="M638">
        <f>IFERROR(INDEX(Diccionario!$N:$N,MATCH(F790,Diccionario!$C:$C,0)),"")</f>
        <v/>
      </c>
    </row>
    <row r="639" ht="15" customHeight="1" s="57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s="34" t="n">
        <v>9000000</v>
      </c>
      <c r="J639" t="inlineStr">
        <is>
          <t>COP</t>
        </is>
      </c>
      <c r="L639" t="inlineStr">
        <is>
          <t>Contabilidad</t>
        </is>
      </c>
      <c r="M639">
        <f>IFERROR(INDEX(Diccionario!$N:$N,MATCH(F791,Diccionario!$C:$C,0)),"")</f>
        <v/>
      </c>
    </row>
    <row r="640" ht="15" customHeight="1" s="57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s="34" t="n">
        <v>30328404</v>
      </c>
      <c r="J640" t="inlineStr">
        <is>
          <t>COP</t>
        </is>
      </c>
      <c r="L640" t="inlineStr">
        <is>
          <t>Contabilidad</t>
        </is>
      </c>
      <c r="M640">
        <f>IFERROR(INDEX(Diccionario!$N:$N,MATCH(F1100,Diccionario!$C:$C,0)),"")</f>
        <v/>
      </c>
    </row>
    <row r="641" ht="15" customHeight="1" s="57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s="34" t="n">
        <v>645143880</v>
      </c>
      <c r="J641" t="inlineStr">
        <is>
          <t>COP</t>
        </is>
      </c>
      <c r="L641" t="inlineStr">
        <is>
          <t>Contabilidad</t>
        </is>
      </c>
      <c r="M641">
        <f>IFERROR(INDEX(Diccionario!$N:$N,MATCH(F1087,Diccionario!$C:$C,0)),"")</f>
        <v/>
      </c>
    </row>
    <row r="642" ht="15" customHeight="1" s="57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s="34" t="n">
        <v>-1414500</v>
      </c>
      <c r="J642" t="inlineStr">
        <is>
          <t>COP</t>
        </is>
      </c>
      <c r="L642" t="inlineStr">
        <is>
          <t>Contabilidad</t>
        </is>
      </c>
      <c r="M642">
        <f>IFERROR(INDEX(Diccionario!$N:$N,MATCH(F1143,Diccionario!$C:$C,0)),"")</f>
        <v/>
      </c>
    </row>
    <row r="643" ht="15" customHeight="1" s="57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s="34" t="n">
        <v>-47500121</v>
      </c>
      <c r="J643" t="inlineStr">
        <is>
          <t>COP</t>
        </is>
      </c>
      <c r="L643" t="inlineStr">
        <is>
          <t>Contabilidad</t>
        </is>
      </c>
      <c r="M643">
        <f>IFERROR(INDEX(Diccionario!$N:$N,MATCH(F1130,Diccionario!$C:$C,0)),"")</f>
        <v/>
      </c>
    </row>
    <row r="644" ht="15" customHeight="1" s="57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s="34" t="n">
        <v>4000000</v>
      </c>
      <c r="J644" t="inlineStr">
        <is>
          <t>COP</t>
        </is>
      </c>
      <c r="L644" t="inlineStr">
        <is>
          <t>Contabilidad</t>
        </is>
      </c>
      <c r="M644">
        <f>IFERROR(INDEX(Diccionario!$N:$N,MATCH(F672,Diccionario!$C:$C,0)),"")</f>
        <v/>
      </c>
    </row>
    <row r="645" ht="15" customHeight="1" s="57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s="34" t="n">
        <v>500000</v>
      </c>
      <c r="J645" t="inlineStr">
        <is>
          <t>COP</t>
        </is>
      </c>
      <c r="L645" t="inlineStr">
        <is>
          <t>Contabilidad</t>
        </is>
      </c>
      <c r="M645">
        <f>IFERROR(INDEX(Diccionario!$N:$N,MATCH(F674,Diccionario!$C:$C,0)),"")</f>
        <v/>
      </c>
    </row>
    <row r="646" ht="15" customHeight="1" s="57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s="34" t="n">
        <v>62500000</v>
      </c>
      <c r="J646" t="inlineStr">
        <is>
          <t>COP</t>
        </is>
      </c>
      <c r="L646" t="inlineStr">
        <is>
          <t>Contabilidad</t>
        </is>
      </c>
      <c r="M646">
        <f>IFERROR(INDEX(Diccionario!$N:$N,MATCH(F671,Diccionario!$C:$C,0)),"")</f>
        <v/>
      </c>
    </row>
    <row r="647" ht="15" customHeight="1" s="5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s="34" t="n">
        <v>9800000</v>
      </c>
      <c r="J647" t="inlineStr">
        <is>
          <t>COP</t>
        </is>
      </c>
      <c r="L647" t="inlineStr">
        <is>
          <t>Contabilidad</t>
        </is>
      </c>
      <c r="M647">
        <f>IFERROR(INDEX(Diccionario!$N:$N,MATCH(F673,Diccionario!$C:$C,0)),"")</f>
        <v/>
      </c>
    </row>
    <row r="648" ht="15" customHeight="1" s="57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s="34" t="n">
        <v>8600000</v>
      </c>
      <c r="J648" t="inlineStr">
        <is>
          <t>COP</t>
        </is>
      </c>
      <c r="L648" t="inlineStr">
        <is>
          <t>Contabilidad</t>
        </is>
      </c>
      <c r="M648">
        <f>IFERROR(INDEX(Diccionario!$N:$N,MATCH(F675,Diccionario!$C:$C,0)),"")</f>
        <v/>
      </c>
    </row>
    <row r="649" ht="15" customHeight="1" s="57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s="34" t="n">
        <v>75800000</v>
      </c>
      <c r="J649" t="inlineStr">
        <is>
          <t>COP</t>
        </is>
      </c>
      <c r="L649" t="inlineStr">
        <is>
          <t>Contabilidad</t>
        </is>
      </c>
      <c r="M649">
        <f>IFERROR(INDEX(Diccionario!$N:$N,MATCH(F553,Diccionario!$C:$C,0)),"")</f>
        <v/>
      </c>
    </row>
    <row r="650" ht="15" customHeight="1" s="57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s="34" t="n">
        <v>10800000</v>
      </c>
      <c r="J650" t="inlineStr">
        <is>
          <t>COP</t>
        </is>
      </c>
      <c r="L650" t="inlineStr">
        <is>
          <t>Contabilidad</t>
        </is>
      </c>
      <c r="M650">
        <f>IFERROR(INDEX(Diccionario!$N:$N,MATCH(F554,Diccionario!$C:$C,0)),"")</f>
        <v/>
      </c>
    </row>
    <row r="651" ht="15" customHeight="1" s="57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s="34" t="n">
        <v>0</v>
      </c>
      <c r="J651" t="inlineStr">
        <is>
          <t>COP</t>
        </is>
      </c>
      <c r="L651" t="inlineStr">
        <is>
          <t>Contabilidad</t>
        </is>
      </c>
      <c r="M651">
        <f>IFERROR(INDEX(Diccionario!$N:$N,MATCH(F552,Diccionario!$C:$C,0)),"")</f>
        <v/>
      </c>
    </row>
    <row r="652" ht="15" customHeight="1" s="57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s="34" t="n">
        <v>0</v>
      </c>
      <c r="J652" t="inlineStr">
        <is>
          <t>COP</t>
        </is>
      </c>
      <c r="L652" t="inlineStr">
        <is>
          <t>Contabilidad</t>
        </is>
      </c>
      <c r="M652">
        <f>IFERROR(INDEX(Diccionario!$N:$N,MATCH(F551,Diccionario!$C:$C,0)),"")</f>
        <v/>
      </c>
    </row>
    <row r="653" ht="15" customHeight="1" s="57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s="34" t="n">
        <v>14600000</v>
      </c>
      <c r="J653" t="inlineStr">
        <is>
          <t>COP</t>
        </is>
      </c>
      <c r="L653" t="inlineStr">
        <is>
          <t>Contabilidad</t>
        </is>
      </c>
      <c r="M653">
        <f>IFERROR(INDEX(Diccionario!$N:$N,MATCH(F555,Diccionario!$C:$C,0)),"")</f>
        <v/>
      </c>
    </row>
    <row r="654" ht="15" customHeight="1" s="57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s="45" t="n">
        <v>13.35</v>
      </c>
      <c r="J654" t="inlineStr">
        <is>
          <t>%</t>
        </is>
      </c>
      <c r="L654" t="inlineStr">
        <is>
          <t>Contabilidad</t>
        </is>
      </c>
      <c r="M654">
        <f>IFERROR(INDEX(Diccionario!$N:$N,MATCH(F1017,Diccionario!$C:$C,0)),"")</f>
        <v/>
      </c>
    </row>
    <row r="655" ht="15" customHeight="1" s="57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s="34" t="n">
        <v>20728046</v>
      </c>
      <c r="J655" t="inlineStr">
        <is>
          <t>COP</t>
        </is>
      </c>
      <c r="L655" t="inlineStr">
        <is>
          <t>Contabilidad</t>
        </is>
      </c>
      <c r="M655">
        <f>IFERROR(INDEX(Diccionario!$N:$N,MATCH(F1117,Diccionario!$C:$C,0)),"")</f>
        <v/>
      </c>
    </row>
    <row r="656" ht="15" customHeight="1" s="57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s="34" t="n">
        <v>12700000</v>
      </c>
      <c r="J656" t="inlineStr">
        <is>
          <t>COP</t>
        </is>
      </c>
      <c r="L656" t="inlineStr">
        <is>
          <t>Contabilidad</t>
        </is>
      </c>
      <c r="M656">
        <f>IFERROR(INDEX(Diccionario!$N:$N,MATCH(F395,Diccionario!$C:$C,0)),"")</f>
        <v/>
      </c>
    </row>
    <row r="657" ht="15" customHeight="1" s="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s="34" t="n">
        <v>8000000</v>
      </c>
      <c r="J657" t="inlineStr">
        <is>
          <t>COP</t>
        </is>
      </c>
      <c r="L657" t="inlineStr">
        <is>
          <t>Contabilidad</t>
        </is>
      </c>
      <c r="M657">
        <f>IFERROR(INDEX(Diccionario!$N:$N,MATCH(F399,Diccionario!$C:$C,0)),"")</f>
        <v/>
      </c>
    </row>
    <row r="658" ht="15" customHeight="1" s="57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s="34" t="n">
        <v>20100000</v>
      </c>
      <c r="J658" t="inlineStr">
        <is>
          <t>COP</t>
        </is>
      </c>
      <c r="L658" t="inlineStr">
        <is>
          <t>Contabilidad</t>
        </is>
      </c>
      <c r="M658">
        <f>IFERROR(INDEX(Diccionario!$N:$N,MATCH(F394,Diccionario!$C:$C,0)),"")</f>
        <v/>
      </c>
    </row>
    <row r="659" ht="15" customHeight="1" s="57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s="34" t="n">
        <v>66300000</v>
      </c>
      <c r="J659" t="inlineStr">
        <is>
          <t>COP</t>
        </is>
      </c>
      <c r="L659" t="inlineStr">
        <is>
          <t>Contabilidad</t>
        </is>
      </c>
      <c r="M659">
        <f>IFERROR(INDEX(Diccionario!$N:$N,MATCH(F393,Diccionario!$C:$C,0)),"")</f>
        <v/>
      </c>
    </row>
    <row r="660" ht="15" customHeight="1" s="57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s="34" t="n">
        <v>5800000</v>
      </c>
      <c r="J660" t="inlineStr">
        <is>
          <t>COP</t>
        </is>
      </c>
      <c r="L660" t="inlineStr">
        <is>
          <t>Contabilidad</t>
        </is>
      </c>
      <c r="M660">
        <f>IFERROR(INDEX(Diccionario!$N:$N,MATCH(F396,Diccionario!$C:$C,0)),"")</f>
        <v/>
      </c>
    </row>
    <row r="661" ht="15" customHeight="1" s="57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s="34" t="n">
        <v>6500000</v>
      </c>
      <c r="J661" t="inlineStr">
        <is>
          <t>COP</t>
        </is>
      </c>
      <c r="L661" t="inlineStr">
        <is>
          <t>Contabilidad</t>
        </is>
      </c>
      <c r="M661">
        <f>IFERROR(INDEX(Diccionario!$N:$N,MATCH(F397,Diccionario!$C:$C,0)),"")</f>
        <v/>
      </c>
    </row>
    <row r="662" ht="15" customHeight="1" s="57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s="34" t="n">
        <v>15100000</v>
      </c>
      <c r="J662" t="inlineStr">
        <is>
          <t>COP</t>
        </is>
      </c>
      <c r="L662" t="inlineStr">
        <is>
          <t>Contabilidad</t>
        </is>
      </c>
      <c r="M662">
        <f>IFERROR(INDEX(Diccionario!$N:$N,MATCH(F398,Diccionario!$C:$C,0)),"")</f>
        <v/>
      </c>
    </row>
    <row r="663" ht="15" customHeight="1" s="57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s="34" t="n">
        <v>138000000</v>
      </c>
      <c r="J663" t="inlineStr">
        <is>
          <t>COP</t>
        </is>
      </c>
      <c r="L663" t="inlineStr">
        <is>
          <t>Contabilidad</t>
        </is>
      </c>
      <c r="M663">
        <f>IFERROR(INDEX(Diccionario!$N:$N,MATCH(F213,Diccionario!$C:$C,0)),"")</f>
        <v/>
      </c>
    </row>
    <row r="664" ht="15" customHeight="1" s="57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s="34" t="n">
        <v>184000000</v>
      </c>
      <c r="J664" t="inlineStr">
        <is>
          <t>COP</t>
        </is>
      </c>
      <c r="L664" t="inlineStr">
        <is>
          <t>Contabilidad</t>
        </is>
      </c>
      <c r="M664">
        <f>IFERROR(INDEX(Diccionario!$N:$N,MATCH(F212,Diccionario!$C:$C,0)),"")</f>
        <v/>
      </c>
    </row>
    <row r="665" ht="15" customHeight="1" s="57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s="34" t="n">
        <v>10600000</v>
      </c>
      <c r="J665" t="inlineStr">
        <is>
          <t>COP</t>
        </is>
      </c>
      <c r="L665" t="inlineStr">
        <is>
          <t>Contabilidad</t>
        </is>
      </c>
      <c r="M665">
        <f>IFERROR(INDEX(Diccionario!$N:$N,MATCH(F209,Diccionario!$C:$C,0)),"")</f>
        <v/>
      </c>
    </row>
    <row r="666" ht="15" customHeight="1" s="57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s="34" t="n">
        <v>101000000</v>
      </c>
      <c r="J666" t="inlineStr">
        <is>
          <t>COP</t>
        </is>
      </c>
      <c r="L666" t="inlineStr">
        <is>
          <t>Contabilidad</t>
        </is>
      </c>
      <c r="M666">
        <f>IFERROR(INDEX(Diccionario!$N:$N,MATCH(F211,Diccionario!$C:$C,0)),"")</f>
        <v/>
      </c>
    </row>
    <row r="667" ht="15" customHeight="1" s="5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s="34" t="n">
        <v>269000000</v>
      </c>
      <c r="J667" t="inlineStr">
        <is>
          <t>COP</t>
        </is>
      </c>
      <c r="L667" t="inlineStr">
        <is>
          <t>Contabilidad</t>
        </is>
      </c>
      <c r="M667">
        <f>IFERROR(INDEX(Diccionario!$N:$N,MATCH(F210,Diccionario!$C:$C,0)),"")</f>
        <v/>
      </c>
    </row>
    <row r="668" ht="15" customHeight="1" s="57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s="34" t="n">
        <v>10600000</v>
      </c>
      <c r="J668" t="inlineStr">
        <is>
          <t>COP</t>
        </is>
      </c>
      <c r="L668" t="inlineStr">
        <is>
          <t>Contabilidad</t>
        </is>
      </c>
      <c r="M668">
        <f>IFERROR(INDEX(Diccionario!$N:$N,MATCH(F952,Diccionario!$C:$C,0)),"")</f>
        <v/>
      </c>
    </row>
    <row r="669" ht="15" customHeight="1" s="57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s="34" t="n">
        <v>38000000</v>
      </c>
      <c r="J669" t="inlineStr">
        <is>
          <t>COP</t>
        </is>
      </c>
      <c r="L669" t="inlineStr">
        <is>
          <t>Contabilidad</t>
        </is>
      </c>
      <c r="M669">
        <f>IFERROR(INDEX(Diccionario!$N:$N,MATCH(F948,Diccionario!$C:$C,0)),"")</f>
        <v/>
      </c>
    </row>
    <row r="670" ht="15" customHeight="1" s="57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s="34" t="n">
        <v>66220000</v>
      </c>
      <c r="J670" t="inlineStr">
        <is>
          <t>COP</t>
        </is>
      </c>
      <c r="L670" t="inlineStr">
        <is>
          <t>Contabilidad</t>
        </is>
      </c>
      <c r="M670">
        <f>IFERROR(INDEX(Diccionario!$N:$N,MATCH(F947,Diccionario!$C:$C,0)),"")</f>
        <v/>
      </c>
    </row>
    <row r="671" ht="1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s="34" t="n">
        <v>1900000</v>
      </c>
      <c r="J671" t="inlineStr">
        <is>
          <t>COP</t>
        </is>
      </c>
      <c r="L671" t="inlineStr">
        <is>
          <t>Contabilidad</t>
        </is>
      </c>
      <c r="M671">
        <f>IFERROR(INDEX(Diccionario!$N:$N,MATCH(F949,Diccionario!$C:$C,0)),"")</f>
        <v/>
      </c>
    </row>
    <row r="672" ht="1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s="34" t="n">
        <v>52800000</v>
      </c>
      <c r="J672" t="inlineStr">
        <is>
          <t>COP</t>
        </is>
      </c>
      <c r="L672" t="inlineStr">
        <is>
          <t>Contabilidad</t>
        </is>
      </c>
      <c r="M672">
        <f>IFERROR(INDEX(Diccionario!$N:$N,MATCH(F950,Diccionario!$C:$C,0)),"")</f>
        <v/>
      </c>
    </row>
    <row r="673" ht="1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s="34" t="n">
        <v>19100000</v>
      </c>
      <c r="J673" t="inlineStr">
        <is>
          <t>COP</t>
        </is>
      </c>
      <c r="L673" t="inlineStr">
        <is>
          <t>Contabilidad</t>
        </is>
      </c>
      <c r="M673">
        <f>IFERROR(INDEX(Diccionario!$N:$N,MATCH(F951,Diccionario!$C:$C,0)),"")</f>
        <v/>
      </c>
    </row>
    <row r="674" ht="1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s="34" t="n">
        <v>7300000</v>
      </c>
      <c r="J674" t="inlineStr">
        <is>
          <t>COP</t>
        </is>
      </c>
      <c r="L674" t="inlineStr">
        <is>
          <t>Contabilidad</t>
        </is>
      </c>
      <c r="M674">
        <f>IFERROR(INDEX(Diccionario!$N:$N,MATCH(F793,Diccionario!$C:$C,0)),"")</f>
        <v/>
      </c>
    </row>
    <row r="675" ht="1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s="34" t="n">
        <v>168100000</v>
      </c>
      <c r="J675" t="inlineStr">
        <is>
          <t>COP</t>
        </is>
      </c>
      <c r="L675" t="inlineStr">
        <is>
          <t>Contabilidad</t>
        </is>
      </c>
      <c r="M675">
        <f>IFERROR(INDEX(Diccionario!$N:$N,MATCH(F792,Diccionario!$C:$C,0)),"")</f>
        <v/>
      </c>
    </row>
    <row r="676" ht="15" customHeight="1" s="57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s="34" t="n">
        <v>6400000</v>
      </c>
      <c r="J676" t="inlineStr">
        <is>
          <t>COP</t>
        </is>
      </c>
      <c r="L676" t="inlineStr">
        <is>
          <t>Contabilidad</t>
        </is>
      </c>
      <c r="M676">
        <f>IFERROR(INDEX(Diccionario!$N:$N,MATCH(F794,Diccionario!$C:$C,0)),"")</f>
        <v/>
      </c>
    </row>
    <row r="677" ht="15" customHeight="1" s="5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s="34" t="n">
        <v>1700000</v>
      </c>
      <c r="J677" t="inlineStr">
        <is>
          <t>COP</t>
        </is>
      </c>
      <c r="L677" t="inlineStr">
        <is>
          <t>Contabilidad</t>
        </is>
      </c>
      <c r="M677">
        <f>IFERROR(INDEX(Diccionario!$N:$N,MATCH(F795,Diccionario!$C:$C,0)),"")</f>
        <v/>
      </c>
    </row>
    <row r="678" ht="15" customHeight="1" s="57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s="34" t="n">
        <v>66758720</v>
      </c>
      <c r="J678" t="inlineStr">
        <is>
          <t>COP</t>
        </is>
      </c>
      <c r="L678" t="inlineStr">
        <is>
          <t>Contabilidad</t>
        </is>
      </c>
      <c r="M678">
        <f>IFERROR(INDEX(Diccionario!$N:$N,MATCH(F1101,Diccionario!$C:$C,0)),"")</f>
        <v/>
      </c>
    </row>
    <row r="679" ht="15" customHeight="1" s="57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s="34" t="n">
        <v>0</v>
      </c>
      <c r="J679" t="inlineStr">
        <is>
          <t>COP</t>
        </is>
      </c>
      <c r="L679" t="inlineStr">
        <is>
          <t>Contabilidad</t>
        </is>
      </c>
      <c r="M679">
        <f>IFERROR(INDEX(Diccionario!$N:$N,MATCH(F1112,Diccionario!$C:$C,0)),"")</f>
        <v/>
      </c>
    </row>
    <row r="680" ht="15" customHeight="1" s="57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s="34" t="n">
        <v>599113206</v>
      </c>
      <c r="J680" t="inlineStr">
        <is>
          <t>COP</t>
        </is>
      </c>
      <c r="L680" t="inlineStr">
        <is>
          <t>Contabilidad</t>
        </is>
      </c>
      <c r="M680">
        <f>IFERROR(INDEX(Diccionario!$N:$N,MATCH(F1088,Diccionario!$C:$C,0)),"")</f>
        <v/>
      </c>
    </row>
    <row r="681" ht="15" customHeight="1" s="57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s="34" t="n">
        <v>-906843</v>
      </c>
      <c r="J681" t="inlineStr">
        <is>
          <t>COP</t>
        </is>
      </c>
      <c r="L681" t="inlineStr">
        <is>
          <t>Contabilidad</t>
        </is>
      </c>
      <c r="M681">
        <f>IFERROR(INDEX(Diccionario!$N:$N,MATCH(F1144,Diccionario!$C:$C,0)),"")</f>
        <v/>
      </c>
    </row>
    <row r="682" ht="15" customHeight="1" s="57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s="34" t="n">
        <v>-40805021</v>
      </c>
      <c r="J682" t="inlineStr">
        <is>
          <t>COP</t>
        </is>
      </c>
      <c r="L682" t="inlineStr">
        <is>
          <t>Contabilidad</t>
        </is>
      </c>
      <c r="M682">
        <f>IFERROR(INDEX(Diccionario!$N:$N,MATCH(F1131,Diccionario!$C:$C,0)),"")</f>
        <v/>
      </c>
    </row>
    <row r="683" ht="15" customHeight="1" s="57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s="34" t="n">
        <v>1900000</v>
      </c>
      <c r="J683" t="inlineStr">
        <is>
          <t>COP</t>
        </is>
      </c>
      <c r="L683" t="inlineStr">
        <is>
          <t>Contabilidad</t>
        </is>
      </c>
      <c r="M683">
        <f>IFERROR(INDEX(Diccionario!$N:$N,MATCH(F677,Diccionario!$C:$C,0)),"")</f>
        <v/>
      </c>
    </row>
    <row r="684" ht="15" customHeight="1" s="57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s="34" t="n">
        <v>0</v>
      </c>
      <c r="J684" t="inlineStr">
        <is>
          <t>COP</t>
        </is>
      </c>
      <c r="L684" t="inlineStr">
        <is>
          <t>Contabilidad</t>
        </is>
      </c>
      <c r="M684">
        <f>IFERROR(INDEX(Diccionario!$N:$N,MATCH(F679,Diccionario!$C:$C,0)),"")</f>
        <v/>
      </c>
    </row>
    <row r="685" ht="15" customHeight="1" s="57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s="34" t="n">
        <v>62900000</v>
      </c>
      <c r="J685" t="inlineStr">
        <is>
          <t>COP</t>
        </is>
      </c>
      <c r="L685" t="inlineStr">
        <is>
          <t>Contabilidad</t>
        </is>
      </c>
      <c r="M685">
        <f>IFERROR(INDEX(Diccionario!$N:$N,MATCH(F676,Diccionario!$C:$C,0)),"")</f>
        <v/>
      </c>
    </row>
    <row r="686" ht="15" customHeight="1" s="57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s="34" t="n">
        <v>22600000</v>
      </c>
      <c r="J686" t="inlineStr">
        <is>
          <t>COP</t>
        </is>
      </c>
      <c r="L686" t="inlineStr">
        <is>
          <t>Contabilidad</t>
        </is>
      </c>
      <c r="M686">
        <f>IFERROR(INDEX(Diccionario!$N:$N,MATCH(F678,Diccionario!$C:$C,0)),"")</f>
        <v/>
      </c>
    </row>
    <row r="687" ht="15" customHeight="1" s="5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s="34" t="n">
        <v>21400000</v>
      </c>
      <c r="J687" t="inlineStr">
        <is>
          <t>COP</t>
        </is>
      </c>
      <c r="L687" t="inlineStr">
        <is>
          <t>Contabilidad</t>
        </is>
      </c>
      <c r="M687">
        <f>IFERROR(INDEX(Diccionario!$N:$N,MATCH(F680,Diccionario!$C:$C,0)),"")</f>
        <v/>
      </c>
    </row>
    <row r="688" ht="15" customHeight="1" s="57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s="34" t="n">
        <v>30000000</v>
      </c>
      <c r="J688" t="inlineStr">
        <is>
          <t>COP</t>
        </is>
      </c>
      <c r="L688" t="inlineStr">
        <is>
          <t>Contabilidad</t>
        </is>
      </c>
      <c r="M688">
        <f>IFERROR(INDEX(Diccionario!$N:$N,MATCH(F558,Diccionario!$C:$C,0)),"")</f>
        <v/>
      </c>
    </row>
    <row r="689" ht="15" customHeight="1" s="57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s="34" t="n">
        <v>14200000</v>
      </c>
      <c r="J689" t="inlineStr">
        <is>
          <t>COP</t>
        </is>
      </c>
      <c r="L689" t="inlineStr">
        <is>
          <t>Contabilidad</t>
        </is>
      </c>
      <c r="M689">
        <f>IFERROR(INDEX(Diccionario!$N:$N,MATCH(F559,Diccionario!$C:$C,0)),"")</f>
        <v/>
      </c>
    </row>
    <row r="690" ht="15" customHeight="1" s="57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s="34" t="n">
        <v>0</v>
      </c>
      <c r="J690" t="inlineStr">
        <is>
          <t>COP</t>
        </is>
      </c>
      <c r="L690" t="inlineStr">
        <is>
          <t>Contabilidad</t>
        </is>
      </c>
      <c r="M690">
        <f>IFERROR(INDEX(Diccionario!$N:$N,MATCH(F557,Diccionario!$C:$C,0)),"")</f>
        <v/>
      </c>
    </row>
    <row r="691" ht="15" customHeight="1" s="57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s="34" t="n">
        <v>104500000</v>
      </c>
      <c r="J691" t="inlineStr">
        <is>
          <t>COP</t>
        </is>
      </c>
      <c r="L691" t="inlineStr">
        <is>
          <t>Contabilidad</t>
        </is>
      </c>
      <c r="M691">
        <f>IFERROR(INDEX(Diccionario!$N:$N,MATCH(F556,Diccionario!$C:$C,0)),"")</f>
        <v/>
      </c>
    </row>
    <row r="692" ht="15" customHeight="1" s="57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s="34" t="n">
        <v>24300000</v>
      </c>
      <c r="J692" t="inlineStr">
        <is>
          <t>COP</t>
        </is>
      </c>
      <c r="L692" t="inlineStr">
        <is>
          <t>Contabilidad</t>
        </is>
      </c>
      <c r="M692">
        <f>IFERROR(INDEX(Diccionario!$N:$N,MATCH(F560,Diccionario!$C:$C,0)),"")</f>
        <v/>
      </c>
    </row>
    <row r="693" ht="15" customHeight="1" s="57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s="45" t="n">
        <v>25.04</v>
      </c>
      <c r="J693" t="inlineStr">
        <is>
          <t>%</t>
        </is>
      </c>
      <c r="L693" t="inlineStr">
        <is>
          <t>Contabilidad</t>
        </is>
      </c>
      <c r="M693">
        <f>IFERROR(INDEX(Diccionario!$N:$N,MATCH(F1018,Diccionario!$C:$C,0)),"")</f>
        <v/>
      </c>
    </row>
    <row r="694" ht="15" customHeight="1" s="57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s="34" t="n">
        <v>32161155</v>
      </c>
      <c r="J694" t="inlineStr">
        <is>
          <t>COP</t>
        </is>
      </c>
      <c r="L694" t="inlineStr">
        <is>
          <t>Contabilidad</t>
        </is>
      </c>
      <c r="M694">
        <f>IFERROR(INDEX(Diccionario!$N:$N,MATCH(F1118,Diccionario!$C:$C,0)),"")</f>
        <v/>
      </c>
    </row>
    <row r="695" ht="15" customHeight="1" s="57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s="34" t="n">
        <v>4600000</v>
      </c>
      <c r="J695" t="inlineStr">
        <is>
          <t>COP</t>
        </is>
      </c>
      <c r="L695" t="inlineStr">
        <is>
          <t>Contabilidad</t>
        </is>
      </c>
      <c r="M695">
        <f>IFERROR(INDEX(Diccionario!$N:$N,MATCH(F402,Diccionario!$C:$C,0)),"")</f>
        <v/>
      </c>
    </row>
    <row r="696" ht="15" customHeight="1" s="57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s="34" t="n">
        <v>33100000</v>
      </c>
      <c r="J696" t="inlineStr">
        <is>
          <t>COP</t>
        </is>
      </c>
      <c r="L696" t="inlineStr">
        <is>
          <t>Contabilidad</t>
        </is>
      </c>
      <c r="M696">
        <f>IFERROR(INDEX(Diccionario!$N:$N,MATCH(F406,Diccionario!$C:$C,0)),"")</f>
        <v/>
      </c>
    </row>
    <row r="697" ht="15" customHeight="1" s="5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s="34" t="n">
        <v>9700000</v>
      </c>
      <c r="J697" t="inlineStr">
        <is>
          <t>COP</t>
        </is>
      </c>
      <c r="L697" t="inlineStr">
        <is>
          <t>Contabilidad</t>
        </is>
      </c>
      <c r="M697">
        <f>IFERROR(INDEX(Diccionario!$N:$N,MATCH(F401,Diccionario!$C:$C,0)),"")</f>
        <v/>
      </c>
    </row>
    <row r="698" ht="15" customHeight="1" s="57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s="34" t="n">
        <v>59600000</v>
      </c>
      <c r="J698" t="inlineStr">
        <is>
          <t>COP</t>
        </is>
      </c>
      <c r="L698" t="inlineStr">
        <is>
          <t>Contabilidad</t>
        </is>
      </c>
      <c r="M698">
        <f>IFERROR(INDEX(Diccionario!$N:$N,MATCH(F400,Diccionario!$C:$C,0)),"")</f>
        <v/>
      </c>
    </row>
    <row r="699" ht="15" customHeight="1" s="57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s="34" t="n">
        <v>2800000</v>
      </c>
      <c r="J699" t="inlineStr">
        <is>
          <t>COP</t>
        </is>
      </c>
      <c r="L699" t="inlineStr">
        <is>
          <t>Contabilidad</t>
        </is>
      </c>
      <c r="M699">
        <f>IFERROR(INDEX(Diccionario!$N:$N,MATCH(F403,Diccionario!$C:$C,0)),"")</f>
        <v/>
      </c>
    </row>
    <row r="700" ht="15" customHeight="1" s="57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s="34" t="n">
        <v>7600000</v>
      </c>
      <c r="J700" t="inlineStr">
        <is>
          <t>COP</t>
        </is>
      </c>
      <c r="L700" t="inlineStr">
        <is>
          <t>Contabilidad</t>
        </is>
      </c>
      <c r="M700">
        <f>IFERROR(INDEX(Diccionario!$N:$N,MATCH(F404,Diccionario!$C:$C,0)),"")</f>
        <v/>
      </c>
    </row>
    <row r="701" ht="15" customHeight="1" s="57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s="34" t="n">
        <v>11500000</v>
      </c>
      <c r="J701" t="inlineStr">
        <is>
          <t>COP</t>
        </is>
      </c>
      <c r="L701" t="inlineStr">
        <is>
          <t>Contabilidad</t>
        </is>
      </c>
      <c r="M701">
        <f>IFERROR(INDEX(Diccionario!$N:$N,MATCH(F405,Diccionario!$C:$C,0)),"")</f>
        <v/>
      </c>
    </row>
    <row r="702" ht="15" customHeight="1" s="57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s="34" t="n">
        <v>127900000</v>
      </c>
      <c r="J702" t="inlineStr">
        <is>
          <t>COP</t>
        </is>
      </c>
      <c r="L702" t="inlineStr">
        <is>
          <t>Contabilidad</t>
        </is>
      </c>
      <c r="M702">
        <f>IFERROR(INDEX(Diccionario!$N:$N,MATCH(F218,Diccionario!$C:$C,0)),"")</f>
        <v/>
      </c>
    </row>
    <row r="703" ht="15" customHeight="1" s="57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s="34" t="n">
        <v>165000000</v>
      </c>
      <c r="J703" t="inlineStr">
        <is>
          <t>COP</t>
        </is>
      </c>
      <c r="L703" t="inlineStr">
        <is>
          <t>Contabilidad</t>
        </is>
      </c>
      <c r="M703">
        <f>IFERROR(INDEX(Diccionario!$N:$N,MATCH(F217,Diccionario!$C:$C,0)),"")</f>
        <v/>
      </c>
    </row>
    <row r="704" ht="15" customHeight="1" s="57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s="34" t="n">
        <v>10300000</v>
      </c>
      <c r="J704" t="inlineStr">
        <is>
          <t>COP</t>
        </is>
      </c>
      <c r="L704" t="inlineStr">
        <is>
          <t>Contabilidad</t>
        </is>
      </c>
      <c r="M704">
        <f>IFERROR(INDEX(Diccionario!$N:$N,MATCH(F214,Diccionario!$C:$C,0)),"")</f>
        <v/>
      </c>
    </row>
    <row r="705" ht="15" customHeight="1" s="57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s="34" t="n">
        <v>173000000</v>
      </c>
      <c r="J705" t="inlineStr">
        <is>
          <t>COP</t>
        </is>
      </c>
      <c r="L705" t="inlineStr">
        <is>
          <t>Contabilidad</t>
        </is>
      </c>
      <c r="M705">
        <f>IFERROR(INDEX(Diccionario!$N:$N,MATCH(F216,Diccionario!$C:$C,0)),"")</f>
        <v/>
      </c>
    </row>
    <row r="706" ht="15" customHeight="1" s="57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s="34" t="n">
        <v>301900000</v>
      </c>
      <c r="J706" t="inlineStr">
        <is>
          <t>COP</t>
        </is>
      </c>
      <c r="L706" t="inlineStr">
        <is>
          <t>Contabilidad</t>
        </is>
      </c>
      <c r="M706">
        <f>IFERROR(INDEX(Diccionario!$N:$N,MATCH(F215,Diccionario!$C:$C,0)),"")</f>
        <v/>
      </c>
    </row>
    <row r="707" ht="15" customHeight="1" s="5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s="34" t="n">
        <v>9000000</v>
      </c>
      <c r="J707" t="inlineStr">
        <is>
          <t>COP</t>
        </is>
      </c>
      <c r="L707" t="inlineStr">
        <is>
          <t>Contabilidad</t>
        </is>
      </c>
      <c r="M707">
        <f>IFERROR(INDEX(Diccionario!$N:$N,MATCH(F958,Diccionario!$C:$C,0)),"")</f>
        <v/>
      </c>
    </row>
    <row r="708" ht="15" customHeight="1" s="57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s="34" t="n">
        <v>38600000</v>
      </c>
      <c r="J708" t="inlineStr">
        <is>
          <t>COP</t>
        </is>
      </c>
      <c r="L708" t="inlineStr">
        <is>
          <t>Contabilidad</t>
        </is>
      </c>
      <c r="M708">
        <f>IFERROR(INDEX(Diccionario!$N:$N,MATCH(F954,Diccionario!$C:$C,0)),"")</f>
        <v/>
      </c>
    </row>
    <row r="709" ht="15" customHeight="1" s="57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s="34" t="n">
        <v>80100000</v>
      </c>
      <c r="J709" t="inlineStr">
        <is>
          <t>COP</t>
        </is>
      </c>
      <c r="L709" t="inlineStr">
        <is>
          <t>Contabilidad</t>
        </is>
      </c>
      <c r="M709">
        <f>IFERROR(INDEX(Diccionario!$N:$N,MATCH(F953,Diccionario!$C:$C,0)),"")</f>
        <v/>
      </c>
    </row>
    <row r="710" ht="15" customHeight="1" s="57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s="34" t="n">
        <v>100000</v>
      </c>
      <c r="J710" t="inlineStr">
        <is>
          <t>COP</t>
        </is>
      </c>
      <c r="L710" t="inlineStr">
        <is>
          <t>Contabilidad</t>
        </is>
      </c>
      <c r="M710">
        <f>IFERROR(INDEX(Diccionario!$N:$N,MATCH(F955,Diccionario!$C:$C,0)),"")</f>
        <v/>
      </c>
    </row>
    <row r="711" ht="15" customHeight="1" s="57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s="34" t="n">
        <v>14000000</v>
      </c>
      <c r="J711" t="inlineStr">
        <is>
          <t>COP</t>
        </is>
      </c>
      <c r="L711" t="inlineStr">
        <is>
          <t>Contabilidad</t>
        </is>
      </c>
      <c r="M711">
        <f>IFERROR(INDEX(Diccionario!$N:$N,MATCH(F956,Diccionario!$C:$C,0)),"")</f>
        <v/>
      </c>
    </row>
    <row r="712" ht="15" customHeight="1" s="57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s="34" t="n">
        <v>23200000</v>
      </c>
      <c r="J712" t="inlineStr">
        <is>
          <t>COP</t>
        </is>
      </c>
      <c r="L712" t="inlineStr">
        <is>
          <t>Contabilidad</t>
        </is>
      </c>
      <c r="M712">
        <f>IFERROR(INDEX(Diccionario!$N:$N,MATCH(F957,Diccionario!$C:$C,0)),"")</f>
        <v/>
      </c>
    </row>
    <row r="713" ht="15" customHeight="1" s="57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s="34" t="n">
        <v>8600000</v>
      </c>
      <c r="J713" t="inlineStr">
        <is>
          <t>COP</t>
        </is>
      </c>
      <c r="L713" t="inlineStr">
        <is>
          <t>Contabilidad</t>
        </is>
      </c>
      <c r="M713">
        <f>IFERROR(INDEX(Diccionario!$N:$N,MATCH(F797,Diccionario!$C:$C,0)),"")</f>
        <v/>
      </c>
    </row>
    <row r="714" ht="15" customHeight="1" s="57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s="34" t="n">
        <v>168200000</v>
      </c>
      <c r="J714" t="inlineStr">
        <is>
          <t>COP</t>
        </is>
      </c>
      <c r="L714" t="inlineStr">
        <is>
          <t>Contabilidad</t>
        </is>
      </c>
      <c r="M714">
        <f>IFERROR(INDEX(Diccionario!$N:$N,MATCH(F796,Diccionario!$C:$C,0)),"")</f>
        <v/>
      </c>
    </row>
    <row r="715" ht="15" customHeight="1" s="57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s="34" t="n">
        <v>17600000</v>
      </c>
      <c r="J715" t="inlineStr">
        <is>
          <t>COP</t>
        </is>
      </c>
      <c r="L715" t="inlineStr">
        <is>
          <t>Contabilidad</t>
        </is>
      </c>
      <c r="M715">
        <f>IFERROR(INDEX(Diccionario!$N:$N,MATCH(F798,Diccionario!$C:$C,0)),"")</f>
        <v/>
      </c>
    </row>
    <row r="716" ht="15" customHeight="1" s="57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s="34" t="n">
        <v>100000</v>
      </c>
      <c r="J716" t="inlineStr">
        <is>
          <t>COP</t>
        </is>
      </c>
      <c r="L716" t="inlineStr">
        <is>
          <t>Contabilidad</t>
        </is>
      </c>
      <c r="M716">
        <f>IFERROR(INDEX(Diccionario!$N:$N,MATCH(F799,Diccionario!$C:$C,0)),"")</f>
        <v/>
      </c>
    </row>
    <row r="717" ht="15" customHeight="1" s="5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s="34" t="n">
        <v>9744000</v>
      </c>
      <c r="J717" t="inlineStr">
        <is>
          <t>COP</t>
        </is>
      </c>
      <c r="L717" t="inlineStr">
        <is>
          <t>Contabilidad</t>
        </is>
      </c>
      <c r="M717">
        <f>IFERROR(INDEX(Diccionario!$N:$N,MATCH(F1102,Diccionario!$C:$C,0)),"")</f>
        <v/>
      </c>
    </row>
    <row r="718" ht="15" customHeight="1" s="57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s="34" t="n">
        <v>621530361</v>
      </c>
      <c r="J718" t="inlineStr">
        <is>
          <t>COP</t>
        </is>
      </c>
      <c r="L718" t="inlineStr">
        <is>
          <t>Contabilidad</t>
        </is>
      </c>
      <c r="M718">
        <f>IFERROR(INDEX(Diccionario!$N:$N,MATCH(F1089,Diccionario!$C:$C,0)),"")</f>
        <v/>
      </c>
    </row>
    <row r="719" ht="15" customHeight="1" s="57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s="34" t="n">
        <v>-5800000</v>
      </c>
      <c r="J719" t="inlineStr">
        <is>
          <t>COP</t>
        </is>
      </c>
      <c r="L719" t="inlineStr">
        <is>
          <t>Contabilidad</t>
        </is>
      </c>
      <c r="M719">
        <f>IFERROR(INDEX(Diccionario!$N:$N,MATCH(F1145,Diccionario!$C:$C,0)),"")</f>
        <v/>
      </c>
    </row>
    <row r="720" ht="15" customHeight="1" s="57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s="34" t="n">
        <v>-46520913</v>
      </c>
      <c r="J720" t="inlineStr">
        <is>
          <t>COP</t>
        </is>
      </c>
      <c r="L720" t="inlineStr">
        <is>
          <t>Contabilidad</t>
        </is>
      </c>
      <c r="M720">
        <f>IFERROR(INDEX(Diccionario!$N:$N,MATCH(F1132,Diccionario!$C:$C,0)),"")</f>
        <v/>
      </c>
    </row>
    <row r="721" ht="15" customHeight="1" s="57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s="34" t="n">
        <v>0</v>
      </c>
      <c r="J721" t="inlineStr">
        <is>
          <t>COP</t>
        </is>
      </c>
      <c r="L721" t="inlineStr">
        <is>
          <t>Contabilidad</t>
        </is>
      </c>
      <c r="M721">
        <f>IFERROR(INDEX(Diccionario!$N:$N,MATCH(F682,Diccionario!$C:$C,0)),"")</f>
        <v/>
      </c>
    </row>
    <row r="722" ht="15" customHeight="1" s="57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s="34" t="n">
        <v>0</v>
      </c>
      <c r="J722" t="inlineStr">
        <is>
          <t>COP</t>
        </is>
      </c>
      <c r="L722" t="inlineStr">
        <is>
          <t>Contabilidad</t>
        </is>
      </c>
      <c r="M722">
        <f>IFERROR(INDEX(Diccionario!$N:$N,MATCH(F684,Diccionario!$C:$C,0)),"")</f>
        <v/>
      </c>
    </row>
    <row r="723" ht="15" customHeight="1" s="57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s="34" t="n">
        <v>59500000</v>
      </c>
      <c r="J723" t="inlineStr">
        <is>
          <t>COP</t>
        </is>
      </c>
      <c r="L723" t="inlineStr">
        <is>
          <t>Contabilidad</t>
        </is>
      </c>
      <c r="M723">
        <f>IFERROR(INDEX(Diccionario!$N:$N,MATCH(F681,Diccionario!$C:$C,0)),"")</f>
        <v/>
      </c>
    </row>
    <row r="724" ht="15" customHeight="1" s="57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s="34" t="n">
        <v>9900000</v>
      </c>
      <c r="J724" t="inlineStr">
        <is>
          <t>COP</t>
        </is>
      </c>
      <c r="L724" t="inlineStr">
        <is>
          <t>Contabilidad</t>
        </is>
      </c>
      <c r="M724">
        <f>IFERROR(INDEX(Diccionario!$N:$N,MATCH(F683,Diccionario!$C:$C,0)),"")</f>
        <v/>
      </c>
    </row>
    <row r="725" ht="15" customHeight="1" s="57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s="34" t="n">
        <v>2300000</v>
      </c>
      <c r="J725" t="inlineStr">
        <is>
          <t>COP</t>
        </is>
      </c>
      <c r="L725" t="inlineStr">
        <is>
          <t>Contabilidad</t>
        </is>
      </c>
      <c r="M725">
        <f>IFERROR(INDEX(Diccionario!$N:$N,MATCH(F685,Diccionario!$C:$C,0)),"")</f>
        <v/>
      </c>
    </row>
    <row r="726" ht="15" customHeight="1" s="57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s="34" t="n">
        <v>12900000</v>
      </c>
      <c r="J726" t="inlineStr">
        <is>
          <t>COP</t>
        </is>
      </c>
      <c r="L726" t="inlineStr">
        <is>
          <t>Contabilidad</t>
        </is>
      </c>
      <c r="M726">
        <f>IFERROR(INDEX(Diccionario!$N:$N,MATCH(F563,Diccionario!$C:$C,0)),"")</f>
        <v/>
      </c>
    </row>
    <row r="727" ht="15" customHeight="1" s="5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s="34" t="n">
        <v>15000000</v>
      </c>
      <c r="J727" t="inlineStr">
        <is>
          <t>COP</t>
        </is>
      </c>
      <c r="L727" t="inlineStr">
        <is>
          <t>Contabilidad</t>
        </is>
      </c>
      <c r="M727">
        <f>IFERROR(INDEX(Diccionario!$N:$N,MATCH(F564,Diccionario!$C:$C,0)),"")</f>
        <v/>
      </c>
    </row>
    <row r="728" ht="15" customHeight="1" s="57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s="34" t="n">
        <v>0</v>
      </c>
      <c r="J728" t="inlineStr">
        <is>
          <t>COP</t>
        </is>
      </c>
      <c r="L728" t="inlineStr">
        <is>
          <t>Contabilidad</t>
        </is>
      </c>
      <c r="M728">
        <f>IFERROR(INDEX(Diccionario!$N:$N,MATCH(F562,Diccionario!$C:$C,0)),"")</f>
        <v/>
      </c>
    </row>
    <row r="729" ht="15" customHeight="1" s="57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s="34" t="n">
        <v>230500000</v>
      </c>
      <c r="J729" t="inlineStr">
        <is>
          <t>COP</t>
        </is>
      </c>
      <c r="L729" t="inlineStr">
        <is>
          <t>Contabilidad</t>
        </is>
      </c>
      <c r="M729">
        <f>IFERROR(INDEX(Diccionario!$N:$N,MATCH(F561,Diccionario!$C:$C,0)),"")</f>
        <v/>
      </c>
    </row>
    <row r="730" ht="15" customHeight="1" s="57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s="34" t="n">
        <v>19400000</v>
      </c>
      <c r="J730" t="inlineStr">
        <is>
          <t>COP</t>
        </is>
      </c>
      <c r="L730" t="inlineStr">
        <is>
          <t>Contabilidad</t>
        </is>
      </c>
      <c r="M730">
        <f>IFERROR(INDEX(Diccionario!$N:$N,MATCH(F565,Diccionario!$C:$C,0)),"")</f>
        <v/>
      </c>
    </row>
    <row r="731" ht="15" customHeight="1" s="57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s="45" t="n">
        <v>39.69</v>
      </c>
      <c r="J731" t="inlineStr">
        <is>
          <t>%</t>
        </is>
      </c>
      <c r="L731" t="inlineStr">
        <is>
          <t>Contabilidad</t>
        </is>
      </c>
      <c r="M731">
        <f>IFERROR(INDEX(Diccionario!$N:$N,MATCH(F1019,Diccionario!$C:$C,0)),"")</f>
        <v/>
      </c>
    </row>
    <row r="732" ht="15" customHeight="1" s="57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s="34" t="n">
        <v>30488403</v>
      </c>
      <c r="J732" t="inlineStr">
        <is>
          <t>COP</t>
        </is>
      </c>
      <c r="L732" t="inlineStr">
        <is>
          <t>Contabilidad</t>
        </is>
      </c>
      <c r="M732">
        <f>IFERROR(INDEX(Diccionario!$N:$N,MATCH(F1119,Diccionario!$C:$C,0)),"")</f>
        <v/>
      </c>
    </row>
    <row r="733" ht="15" customHeight="1" s="57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s="34" t="n">
        <v>12700000</v>
      </c>
      <c r="J733" t="inlineStr">
        <is>
          <t>COP</t>
        </is>
      </c>
      <c r="L733" t="inlineStr">
        <is>
          <t>Contabilidad</t>
        </is>
      </c>
      <c r="M733">
        <f>IFERROR(INDEX(Diccionario!$N:$N,MATCH(F409,Diccionario!$C:$C,0)),"")</f>
        <v/>
      </c>
    </row>
    <row r="734" ht="15" customHeight="1" s="57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s="34" t="n">
        <v>53200000</v>
      </c>
      <c r="J734" t="inlineStr">
        <is>
          <t>COP</t>
        </is>
      </c>
      <c r="L734" t="inlineStr">
        <is>
          <t>Contabilidad</t>
        </is>
      </c>
      <c r="M734">
        <f>IFERROR(INDEX(Diccionario!$N:$N,MATCH(F413,Diccionario!$C:$C,0)),"")</f>
        <v/>
      </c>
    </row>
    <row r="735" ht="15" customHeight="1" s="57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s="34" t="n">
        <v>2500000</v>
      </c>
      <c r="J735" t="inlineStr">
        <is>
          <t>COP</t>
        </is>
      </c>
      <c r="L735" t="inlineStr">
        <is>
          <t>Contabilidad</t>
        </is>
      </c>
      <c r="M735">
        <f>IFERROR(INDEX(Diccionario!$N:$N,MATCH(F408,Diccionario!$C:$C,0)),"")</f>
        <v/>
      </c>
    </row>
    <row r="736" ht="15" customHeight="1" s="57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s="34" t="n">
        <v>55000000</v>
      </c>
      <c r="J736" t="inlineStr">
        <is>
          <t>COP</t>
        </is>
      </c>
      <c r="L736" t="inlineStr">
        <is>
          <t>Contabilidad</t>
        </is>
      </c>
      <c r="M736">
        <f>IFERROR(INDEX(Diccionario!$N:$N,MATCH(F407,Diccionario!$C:$C,0)),"")</f>
        <v/>
      </c>
    </row>
    <row r="737" ht="15" customHeight="1" s="5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s="34" t="n">
        <v>1500000</v>
      </c>
      <c r="J737" t="inlineStr">
        <is>
          <t>COP</t>
        </is>
      </c>
      <c r="L737" t="inlineStr">
        <is>
          <t>Contabilidad</t>
        </is>
      </c>
      <c r="M737">
        <f>IFERROR(INDEX(Diccionario!$N:$N,MATCH(F410,Diccionario!$C:$C,0)),"")</f>
        <v/>
      </c>
    </row>
    <row r="738" ht="15" customHeight="1" s="57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s="34" t="n">
        <v>4100000</v>
      </c>
      <c r="J738" t="inlineStr">
        <is>
          <t>COP</t>
        </is>
      </c>
      <c r="L738" t="inlineStr">
        <is>
          <t>Contabilidad</t>
        </is>
      </c>
      <c r="M738">
        <f>IFERROR(INDEX(Diccionario!$N:$N,MATCH(F411,Diccionario!$C:$C,0)),"")</f>
        <v/>
      </c>
    </row>
    <row r="739" ht="15" customHeight="1" s="57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s="34" t="n">
        <v>16600000</v>
      </c>
      <c r="J739" t="inlineStr">
        <is>
          <t>COP</t>
        </is>
      </c>
      <c r="L739" t="inlineStr">
        <is>
          <t>Contabilidad</t>
        </is>
      </c>
      <c r="M739">
        <f>IFERROR(INDEX(Diccionario!$N:$N,MATCH(F412,Diccionario!$C:$C,0)),"")</f>
        <v/>
      </c>
    </row>
    <row r="740" ht="15" customHeight="1" s="57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s="34" t="n">
        <v>151500000</v>
      </c>
      <c r="J740" t="inlineStr">
        <is>
          <t>COP</t>
        </is>
      </c>
      <c r="L740" t="inlineStr">
        <is>
          <t>Contabilidad</t>
        </is>
      </c>
      <c r="M740">
        <f>IFERROR(INDEX(Diccionario!$N:$N,MATCH(F223,Diccionario!$C:$C,0)),"")</f>
        <v/>
      </c>
    </row>
    <row r="741" ht="15" customHeight="1" s="57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s="34" t="n">
        <v>171300000</v>
      </c>
      <c r="J741" t="inlineStr">
        <is>
          <t>COP</t>
        </is>
      </c>
      <c r="L741" t="inlineStr">
        <is>
          <t>Contabilidad</t>
        </is>
      </c>
      <c r="M741">
        <f>IFERROR(INDEX(Diccionario!$N:$N,MATCH(F222,Diccionario!$C:$C,0)),"")</f>
        <v/>
      </c>
    </row>
    <row r="742" ht="15" customHeight="1" s="57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s="34" t="n">
        <v>8200000</v>
      </c>
      <c r="J742" t="inlineStr">
        <is>
          <t>COP</t>
        </is>
      </c>
      <c r="L742" t="inlineStr">
        <is>
          <t>Contabilidad</t>
        </is>
      </c>
      <c r="M742">
        <f>IFERROR(INDEX(Diccionario!$N:$N,MATCH(F219,Diccionario!$C:$C,0)),"")</f>
        <v/>
      </c>
    </row>
    <row r="743" ht="15" customHeight="1" s="57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s="34" t="n">
        <v>277900000</v>
      </c>
      <c r="J743" t="inlineStr">
        <is>
          <t>COP</t>
        </is>
      </c>
      <c r="L743" t="inlineStr">
        <is>
          <t>Contabilidad</t>
        </is>
      </c>
      <c r="M743">
        <f>IFERROR(INDEX(Diccionario!$N:$N,MATCH(F221,Diccionario!$C:$C,0)),"")</f>
        <v/>
      </c>
    </row>
    <row r="744" ht="15" customHeight="1" s="57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s="34" t="n">
        <v>261900000</v>
      </c>
      <c r="J744" t="inlineStr">
        <is>
          <t>COP</t>
        </is>
      </c>
      <c r="L744" t="inlineStr">
        <is>
          <t>Contabilidad</t>
        </is>
      </c>
      <c r="M744">
        <f>IFERROR(INDEX(Diccionario!$N:$N,MATCH(F220,Diccionario!$C:$C,0)),"")</f>
        <v/>
      </c>
    </row>
    <row r="745" ht="15" customHeight="1" s="57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s="34" t="n">
        <v>16100000</v>
      </c>
      <c r="J745" t="inlineStr">
        <is>
          <t>COP</t>
        </is>
      </c>
      <c r="L745" t="inlineStr">
        <is>
          <t>Contabilidad</t>
        </is>
      </c>
      <c r="M745">
        <f>IFERROR(INDEX(Diccionario!$N:$N,MATCH(F964,Diccionario!$C:$C,0)),"")</f>
        <v/>
      </c>
    </row>
    <row r="746" ht="15" customHeight="1" s="57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s="34" t="n">
        <v>16500000</v>
      </c>
      <c r="J746" t="inlineStr">
        <is>
          <t>COP</t>
        </is>
      </c>
      <c r="L746" t="inlineStr">
        <is>
          <t>Contabilidad</t>
        </is>
      </c>
      <c r="M746">
        <f>IFERROR(INDEX(Diccionario!$N:$N,MATCH(F960,Diccionario!$C:$C,0)),"")</f>
        <v/>
      </c>
    </row>
    <row r="747" ht="15" customHeight="1" s="5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s="34" t="n">
        <v>107200000</v>
      </c>
      <c r="J747" t="inlineStr">
        <is>
          <t>COP</t>
        </is>
      </c>
      <c r="L747" t="inlineStr">
        <is>
          <t>Contabilidad</t>
        </is>
      </c>
      <c r="M747">
        <f>IFERROR(INDEX(Diccionario!$N:$N,MATCH(F959,Diccionario!$C:$C,0)),"")</f>
        <v/>
      </c>
    </row>
    <row r="748" ht="15" customHeight="1" s="57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s="34" t="n">
        <v>400000</v>
      </c>
      <c r="J748" t="inlineStr">
        <is>
          <t>COP</t>
        </is>
      </c>
      <c r="L748" t="inlineStr">
        <is>
          <t>Contabilidad</t>
        </is>
      </c>
      <c r="M748">
        <f>IFERROR(INDEX(Diccionario!$N:$N,MATCH(F961,Diccionario!$C:$C,0)),"")</f>
        <v/>
      </c>
    </row>
    <row r="749" ht="15" customHeight="1" s="57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s="34" t="n">
        <v>21600000</v>
      </c>
      <c r="J749" t="inlineStr">
        <is>
          <t>COP</t>
        </is>
      </c>
      <c r="L749" t="inlineStr">
        <is>
          <t>Contabilidad</t>
        </is>
      </c>
      <c r="M749">
        <f>IFERROR(INDEX(Diccionario!$N:$N,MATCH(F962,Diccionario!$C:$C,0)),"")</f>
        <v/>
      </c>
    </row>
    <row r="750" ht="15" customHeight="1" s="57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s="34" t="n">
        <v>9300000</v>
      </c>
      <c r="J750" t="inlineStr">
        <is>
          <t>COP</t>
        </is>
      </c>
      <c r="L750" t="inlineStr">
        <is>
          <t>Contabilidad</t>
        </is>
      </c>
      <c r="M750">
        <f>IFERROR(INDEX(Diccionario!$N:$N,MATCH(F963,Diccionario!$C:$C,0)),"")</f>
        <v/>
      </c>
    </row>
    <row r="751" ht="15" customHeight="1" s="57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s="34" t="n">
        <v>3800000</v>
      </c>
      <c r="J751" t="inlineStr">
        <is>
          <t>COP</t>
        </is>
      </c>
      <c r="L751" t="inlineStr">
        <is>
          <t>Contabilidad</t>
        </is>
      </c>
      <c r="M751">
        <f>IFERROR(INDEX(Diccionario!$N:$N,MATCH(F801,Diccionario!$C:$C,0)),"")</f>
        <v/>
      </c>
    </row>
    <row r="752" ht="15" customHeight="1" s="57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s="34" t="n">
        <v>174000000</v>
      </c>
      <c r="J752" t="inlineStr">
        <is>
          <t>COP</t>
        </is>
      </c>
      <c r="L752" t="inlineStr">
        <is>
          <t>Contabilidad</t>
        </is>
      </c>
      <c r="M752">
        <f>IFERROR(INDEX(Diccionario!$N:$N,MATCH(F800,Diccionario!$C:$C,0)),"")</f>
        <v/>
      </c>
    </row>
    <row r="753" ht="15" customHeight="1" s="57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s="34" t="n">
        <v>12600000</v>
      </c>
      <c r="J753" t="inlineStr">
        <is>
          <t>COP</t>
        </is>
      </c>
      <c r="L753" t="inlineStr">
        <is>
          <t>Contabilidad</t>
        </is>
      </c>
      <c r="M753">
        <f>IFERROR(INDEX(Diccionario!$N:$N,MATCH(F802,Diccionario!$C:$C,0)),"")</f>
        <v/>
      </c>
    </row>
    <row r="754" ht="15" customHeight="1" s="57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s="34" t="n">
        <v>0</v>
      </c>
      <c r="J754" t="inlineStr">
        <is>
          <t>COP</t>
        </is>
      </c>
      <c r="L754" t="inlineStr">
        <is>
          <t>Contabilidad</t>
        </is>
      </c>
      <c r="M754">
        <f>IFERROR(INDEX(Diccionario!$N:$N,MATCH(F803,Diccionario!$C:$C,0)),"")</f>
        <v/>
      </c>
    </row>
    <row r="755" ht="15" customHeight="1" s="57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s="34" t="n">
        <v>4576586</v>
      </c>
      <c r="J755" t="inlineStr">
        <is>
          <t>COP</t>
        </is>
      </c>
      <c r="L755" t="inlineStr">
        <is>
          <t>Contabilidad</t>
        </is>
      </c>
      <c r="M755">
        <f>IFERROR(INDEX(Diccionario!$N:$N,MATCH(F1103,Diccionario!$C:$C,0)),"")</f>
        <v/>
      </c>
    </row>
    <row r="756" ht="15" customHeight="1" s="57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s="34" t="n">
        <v>647442178</v>
      </c>
      <c r="J756" t="inlineStr">
        <is>
          <t>COP</t>
        </is>
      </c>
      <c r="L756" t="inlineStr">
        <is>
          <t>Contabilidad</t>
        </is>
      </c>
      <c r="M756">
        <f>IFERROR(INDEX(Diccionario!$N:$N,MATCH(F1090,Diccionario!$C:$C,0)),"")</f>
        <v/>
      </c>
    </row>
    <row r="757" ht="15" customHeight="1" s="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s="34" t="n">
        <v>-1685823</v>
      </c>
      <c r="J757" t="inlineStr">
        <is>
          <t>COP</t>
        </is>
      </c>
      <c r="L757" t="inlineStr">
        <is>
          <t>Contabilidad</t>
        </is>
      </c>
      <c r="M757">
        <f>IFERROR(INDEX(Diccionario!$N:$N,MATCH(F1146,Diccionario!$C:$C,0)),"")</f>
        <v/>
      </c>
    </row>
    <row r="758" ht="15" customHeight="1" s="57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s="34" t="n">
        <v>-63176870</v>
      </c>
      <c r="J758" t="inlineStr">
        <is>
          <t>COP</t>
        </is>
      </c>
      <c r="L758" t="inlineStr">
        <is>
          <t>Contabilidad</t>
        </is>
      </c>
      <c r="M758">
        <f>IFERROR(INDEX(Diccionario!$N:$N,MATCH(F1133,Diccionario!$C:$C,0)),"")</f>
        <v/>
      </c>
    </row>
    <row r="759" ht="15" customHeight="1" s="57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s="34" t="n">
        <v>4300000</v>
      </c>
      <c r="J759" t="inlineStr">
        <is>
          <t>COP</t>
        </is>
      </c>
      <c r="L759" t="inlineStr">
        <is>
          <t>Contabilidad</t>
        </is>
      </c>
      <c r="M759">
        <f>IFERROR(INDEX(Diccionario!$N:$N,MATCH(F687,Diccionario!$C:$C,0)),"")</f>
        <v/>
      </c>
    </row>
    <row r="760" ht="15" customHeight="1" s="57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s="34" t="n">
        <v>0</v>
      </c>
      <c r="J760" t="inlineStr">
        <is>
          <t>COP</t>
        </is>
      </c>
      <c r="L760" t="inlineStr">
        <is>
          <t>Contabilidad</t>
        </is>
      </c>
      <c r="M760">
        <f>IFERROR(INDEX(Diccionario!$N:$N,MATCH(F689,Diccionario!$C:$C,0)),"")</f>
        <v/>
      </c>
    </row>
    <row r="761" ht="15" customHeight="1" s="57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s="34" t="n">
        <v>60800000</v>
      </c>
      <c r="J761" t="inlineStr">
        <is>
          <t>COP</t>
        </is>
      </c>
      <c r="L761" t="inlineStr">
        <is>
          <t>Contabilidad</t>
        </is>
      </c>
      <c r="M761">
        <f>IFERROR(INDEX(Diccionario!$N:$N,MATCH(F686,Diccionario!$C:$C,0)),"")</f>
        <v/>
      </c>
    </row>
    <row r="762" ht="15" customHeight="1" s="57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s="34" t="n">
        <v>21900000</v>
      </c>
      <c r="J762" t="inlineStr">
        <is>
          <t>COP</t>
        </is>
      </c>
      <c r="L762" t="inlineStr">
        <is>
          <t>Contabilidad</t>
        </is>
      </c>
      <c r="M762">
        <f>IFERROR(INDEX(Diccionario!$N:$N,MATCH(F688,Diccionario!$C:$C,0)),"")</f>
        <v/>
      </c>
    </row>
    <row r="763" ht="15" customHeight="1" s="57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s="34" t="n">
        <v>2300000</v>
      </c>
      <c r="J763" t="inlineStr">
        <is>
          <t>COP</t>
        </is>
      </c>
      <c r="L763" t="inlineStr">
        <is>
          <t>Contabilidad</t>
        </is>
      </c>
      <c r="M763">
        <f>IFERROR(INDEX(Diccionario!$N:$N,MATCH(F690,Diccionario!$C:$C,0)),"")</f>
        <v/>
      </c>
    </row>
    <row r="764" ht="15" customHeight="1" s="57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s="34" t="n">
        <v>25100000</v>
      </c>
      <c r="J764" t="inlineStr">
        <is>
          <t>COP</t>
        </is>
      </c>
      <c r="L764" t="inlineStr">
        <is>
          <t>Contabilidad</t>
        </is>
      </c>
      <c r="M764">
        <f>IFERROR(INDEX(Diccionario!$N:$N,MATCH(F568,Diccionario!$C:$C,0)),"")</f>
        <v/>
      </c>
    </row>
    <row r="765" ht="15" customHeight="1" s="57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s="34" t="n">
        <v>16100000</v>
      </c>
      <c r="J765" t="inlineStr">
        <is>
          <t>COP</t>
        </is>
      </c>
      <c r="L765" t="inlineStr">
        <is>
          <t>Contabilidad</t>
        </is>
      </c>
      <c r="M765">
        <f>IFERROR(INDEX(Diccionario!$N:$N,MATCH(F569,Diccionario!$C:$C,0)),"")</f>
        <v/>
      </c>
    </row>
    <row r="766" ht="15" customHeight="1" s="57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s="34" t="n">
        <v>0</v>
      </c>
      <c r="J766" t="inlineStr">
        <is>
          <t>COP</t>
        </is>
      </c>
      <c r="L766" t="inlineStr">
        <is>
          <t>Contabilidad</t>
        </is>
      </c>
      <c r="M766">
        <f>IFERROR(INDEX(Diccionario!$N:$N,MATCH(F567,Diccionario!$C:$C,0)),"")</f>
        <v/>
      </c>
    </row>
    <row r="767" ht="15" customHeight="1" s="5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s="34" t="n">
        <v>107300000</v>
      </c>
      <c r="J767" t="inlineStr">
        <is>
          <t>COP</t>
        </is>
      </c>
      <c r="L767" t="inlineStr">
        <is>
          <t>Contabilidad</t>
        </is>
      </c>
      <c r="M767">
        <f>IFERROR(INDEX(Diccionario!$N:$N,MATCH(F566,Diccionario!$C:$C,0)),"")</f>
        <v/>
      </c>
    </row>
    <row r="768" ht="15" customHeight="1" s="57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s="34" t="n">
        <v>9300000</v>
      </c>
      <c r="J768" t="inlineStr">
        <is>
          <t>COP</t>
        </is>
      </c>
      <c r="L768" t="inlineStr">
        <is>
          <t>Contabilidad</t>
        </is>
      </c>
      <c r="M768">
        <f>IFERROR(INDEX(Diccionario!$N:$N,MATCH(F570,Diccionario!$C:$C,0)),"")</f>
        <v/>
      </c>
    </row>
    <row r="769" ht="15" customHeight="1" s="57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s="45" t="n">
        <v>20.96</v>
      </c>
      <c r="J769" t="inlineStr">
        <is>
          <t>%</t>
        </is>
      </c>
      <c r="L769" t="inlineStr">
        <is>
          <t>Contabilidad</t>
        </is>
      </c>
      <c r="M769">
        <f>IFERROR(INDEX(Diccionario!$N:$N,MATCH(F1020,Diccionario!$C:$C,0)),"")</f>
        <v/>
      </c>
    </row>
    <row r="770" ht="15" customHeight="1" s="57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s="34" t="n">
        <v>7435487</v>
      </c>
      <c r="J770" t="inlineStr">
        <is>
          <t>COP</t>
        </is>
      </c>
      <c r="L770" t="inlineStr">
        <is>
          <t>Contabilidad</t>
        </is>
      </c>
      <c r="M770">
        <f>IFERROR(INDEX(Diccionario!$N:$N,MATCH(F1120,Diccionario!$C:$C,0)),"")</f>
        <v/>
      </c>
    </row>
    <row r="771" ht="15" customHeight="1" s="57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s="34" t="n">
        <v>12400000</v>
      </c>
      <c r="J771" t="inlineStr">
        <is>
          <t>COP</t>
        </is>
      </c>
      <c r="L771" t="inlineStr">
        <is>
          <t>Contabilidad</t>
        </is>
      </c>
      <c r="M771">
        <f>IFERROR(INDEX(Diccionario!$N:$N,MATCH(F416,Diccionario!$C:$C,0)),"")</f>
        <v/>
      </c>
    </row>
    <row r="772" ht="15" customHeight="1" s="57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s="34" t="n">
        <v>9400000</v>
      </c>
      <c r="J772" t="inlineStr">
        <is>
          <t>COP</t>
        </is>
      </c>
      <c r="L772" t="inlineStr">
        <is>
          <t>Contabilidad</t>
        </is>
      </c>
      <c r="M772">
        <f>IFERROR(INDEX(Diccionario!$N:$N,MATCH(F420,Diccionario!$C:$C,0)),"")</f>
        <v/>
      </c>
    </row>
    <row r="773" ht="15" customHeight="1" s="57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s="34" t="n">
        <v>9200000</v>
      </c>
      <c r="J773" t="inlineStr">
        <is>
          <t>COP</t>
        </is>
      </c>
      <c r="L773" t="inlineStr">
        <is>
          <t>Contabilidad</t>
        </is>
      </c>
      <c r="M773">
        <f>IFERROR(INDEX(Diccionario!$N:$N,MATCH(F415,Diccionario!$C:$C,0)),"")</f>
        <v/>
      </c>
    </row>
    <row r="774" ht="15" customHeight="1" s="57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s="34" t="n">
        <v>40100000</v>
      </c>
      <c r="J774" t="inlineStr">
        <is>
          <t>COP</t>
        </is>
      </c>
      <c r="L774" t="inlineStr">
        <is>
          <t>Contabilidad</t>
        </is>
      </c>
      <c r="M774">
        <f>IFERROR(INDEX(Diccionario!$N:$N,MATCH(F414,Diccionario!$C:$C,0)),"")</f>
        <v/>
      </c>
    </row>
    <row r="775" ht="15" customHeight="1" s="57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s="34" t="n">
        <v>3000000</v>
      </c>
      <c r="J775" t="inlineStr">
        <is>
          <t>COP</t>
        </is>
      </c>
      <c r="L775" t="inlineStr">
        <is>
          <t>Contabilidad</t>
        </is>
      </c>
      <c r="M775">
        <f>IFERROR(INDEX(Diccionario!$N:$N,MATCH(F417,Diccionario!$C:$C,0)),"")</f>
        <v/>
      </c>
    </row>
    <row r="776" ht="15" customHeight="1" s="57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s="34" t="n">
        <v>5700000</v>
      </c>
      <c r="J776" t="inlineStr">
        <is>
          <t>COP</t>
        </is>
      </c>
      <c r="L776" t="inlineStr">
        <is>
          <t>Contabilidad</t>
        </is>
      </c>
      <c r="M776">
        <f>IFERROR(INDEX(Diccionario!$N:$N,MATCH(F418,Diccionario!$C:$C,0)),"")</f>
        <v/>
      </c>
    </row>
    <row r="777" ht="15" customHeight="1" s="5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s="34" t="n">
        <v>2900000</v>
      </c>
      <c r="J777" t="inlineStr">
        <is>
          <t>COP</t>
        </is>
      </c>
      <c r="L777" t="inlineStr">
        <is>
          <t>Contabilidad</t>
        </is>
      </c>
      <c r="M777">
        <f>IFERROR(INDEX(Diccionario!$N:$N,MATCH(F419,Diccionario!$C:$C,0)),"")</f>
        <v/>
      </c>
    </row>
    <row r="778" ht="15" customHeight="1" s="57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s="34" t="n">
        <v>83100000</v>
      </c>
      <c r="J778" t="inlineStr">
        <is>
          <t>COP</t>
        </is>
      </c>
      <c r="L778" t="inlineStr">
        <is>
          <t>Contabilidad</t>
        </is>
      </c>
      <c r="M778">
        <f>IFERROR(INDEX(Diccionario!$N:$N,MATCH(F228,Diccionario!$C:$C,0)),"")</f>
        <v/>
      </c>
    </row>
    <row r="779" ht="15" customHeight="1" s="57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s="34" t="n">
        <v>194800000</v>
      </c>
      <c r="J779" t="inlineStr">
        <is>
          <t>COP</t>
        </is>
      </c>
      <c r="L779" t="inlineStr">
        <is>
          <t>Contabilidad</t>
        </is>
      </c>
      <c r="M779">
        <f>IFERROR(INDEX(Diccionario!$N:$N,MATCH(F227,Diccionario!$C:$C,0)),"")</f>
        <v/>
      </c>
    </row>
    <row r="780" ht="15" customHeight="1" s="57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s="34" t="n">
        <v>13100000</v>
      </c>
      <c r="J780" t="inlineStr">
        <is>
          <t>COP</t>
        </is>
      </c>
      <c r="L780" t="inlineStr">
        <is>
          <t>Contabilidad</t>
        </is>
      </c>
      <c r="M780">
        <f>IFERROR(INDEX(Diccionario!$N:$N,MATCH(F224,Diccionario!$C:$C,0)),"")</f>
        <v/>
      </c>
    </row>
    <row r="781" ht="15" customHeight="1" s="57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s="34" t="n">
        <v>154700000</v>
      </c>
      <c r="J781" t="inlineStr">
        <is>
          <t>COP</t>
        </is>
      </c>
      <c r="L781" t="inlineStr">
        <is>
          <t>Contabilidad</t>
        </is>
      </c>
      <c r="M781">
        <f>IFERROR(INDEX(Diccionario!$N:$N,MATCH(F226,Diccionario!$C:$C,0)),"")</f>
        <v/>
      </c>
    </row>
    <row r="782" ht="15" customHeight="1" s="57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s="34" t="n">
        <v>272200000</v>
      </c>
      <c r="J782" t="inlineStr">
        <is>
          <t>COP</t>
        </is>
      </c>
      <c r="L782" t="inlineStr">
        <is>
          <t>Contabilidad</t>
        </is>
      </c>
      <c r="M782">
        <f>IFERROR(INDEX(Diccionario!$N:$N,MATCH(F225,Diccionario!$C:$C,0)),"")</f>
        <v/>
      </c>
    </row>
    <row r="783" ht="15" customHeight="1" s="57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s="34" t="n">
        <v>12200000</v>
      </c>
      <c r="J783" t="inlineStr">
        <is>
          <t>COP</t>
        </is>
      </c>
      <c r="L783" t="inlineStr">
        <is>
          <t>Contabilidad</t>
        </is>
      </c>
      <c r="M783">
        <f>IFERROR(INDEX(Diccionario!$N:$N,MATCH(F970,Diccionario!$C:$C,0)),"")</f>
        <v/>
      </c>
    </row>
    <row r="784" ht="15" customHeight="1" s="57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s="34" t="n">
        <v>47800000</v>
      </c>
      <c r="J784" t="inlineStr">
        <is>
          <t>COP</t>
        </is>
      </c>
      <c r="L784" t="inlineStr">
        <is>
          <t>Contabilidad</t>
        </is>
      </c>
      <c r="M784">
        <f>IFERROR(INDEX(Diccionario!$N:$N,MATCH(F966,Diccionario!$C:$C,0)),"")</f>
        <v/>
      </c>
    </row>
    <row r="785" ht="15" customHeight="1" s="57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s="34" t="n">
        <v>99200000</v>
      </c>
      <c r="J785" t="inlineStr">
        <is>
          <t>COP</t>
        </is>
      </c>
      <c r="L785" t="inlineStr">
        <is>
          <t>Contabilidad</t>
        </is>
      </c>
      <c r="M785">
        <f>IFERROR(INDEX(Diccionario!$N:$N,MATCH(F965,Diccionario!$C:$C,0)),"")</f>
        <v/>
      </c>
    </row>
    <row r="786" ht="15" customHeight="1" s="57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s="34" t="n">
        <v>700000</v>
      </c>
      <c r="J786" t="inlineStr">
        <is>
          <t>COP</t>
        </is>
      </c>
      <c r="L786" t="inlineStr">
        <is>
          <t>Contabilidad</t>
        </is>
      </c>
      <c r="M786">
        <f>IFERROR(INDEX(Diccionario!$N:$N,MATCH(F967,Diccionario!$C:$C,0)),"")</f>
        <v/>
      </c>
    </row>
    <row r="787" ht="15" customHeight="1" s="5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s="34" t="n">
        <v>23300000</v>
      </c>
      <c r="J787" t="inlineStr">
        <is>
          <t>COP</t>
        </is>
      </c>
      <c r="L787" t="inlineStr">
        <is>
          <t>Contabilidad</t>
        </is>
      </c>
      <c r="M787">
        <f>IFERROR(INDEX(Diccionario!$N:$N,MATCH(F968,Diccionario!$C:$C,0)),"")</f>
        <v/>
      </c>
    </row>
    <row r="788" ht="15" customHeight="1" s="57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s="34" t="n">
        <v>11400000</v>
      </c>
      <c r="J788" t="inlineStr">
        <is>
          <t>COP</t>
        </is>
      </c>
      <c r="L788" t="inlineStr">
        <is>
          <t>Contabilidad</t>
        </is>
      </c>
      <c r="M788">
        <f>IFERROR(INDEX(Diccionario!$N:$N,MATCH(F969,Diccionario!$C:$C,0)),"")</f>
        <v/>
      </c>
    </row>
    <row r="789" ht="15" customHeight="1" s="57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s="34" t="n">
        <v>7200000</v>
      </c>
      <c r="J789" t="inlineStr">
        <is>
          <t>COP</t>
        </is>
      </c>
      <c r="L789" t="inlineStr">
        <is>
          <t>Contabilidad</t>
        </is>
      </c>
      <c r="M789">
        <f>IFERROR(INDEX(Diccionario!$N:$N,MATCH(F805,Diccionario!$C:$C,0)),"")</f>
        <v/>
      </c>
    </row>
    <row r="790" ht="15" customHeight="1" s="57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s="34" t="n">
        <v>164000000</v>
      </c>
      <c r="J790" t="inlineStr">
        <is>
          <t>COP</t>
        </is>
      </c>
      <c r="L790" t="inlineStr">
        <is>
          <t>Contabilidad</t>
        </is>
      </c>
      <c r="M790">
        <f>IFERROR(INDEX(Diccionario!$N:$N,MATCH(F804,Diccionario!$C:$C,0)),"")</f>
        <v/>
      </c>
    </row>
    <row r="791" ht="15" customHeight="1" s="57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s="34" t="n">
        <v>4300000</v>
      </c>
      <c r="J791" t="inlineStr">
        <is>
          <t>COP</t>
        </is>
      </c>
      <c r="L791" t="inlineStr">
        <is>
          <t>Contabilidad</t>
        </is>
      </c>
      <c r="M791">
        <f>IFERROR(INDEX(Diccionario!$N:$N,MATCH(F806,Diccionario!$C:$C,0)),"")</f>
        <v/>
      </c>
    </row>
    <row r="792" ht="15" customHeight="1" s="57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s="34" t="n">
        <v>3100000</v>
      </c>
      <c r="J792" t="inlineStr">
        <is>
          <t>COP</t>
        </is>
      </c>
      <c r="L792" t="inlineStr">
        <is>
          <t>Contabilidad</t>
        </is>
      </c>
      <c r="M792">
        <f>IFERROR(INDEX(Diccionario!$N:$N,MATCH(F807,Diccionario!$C:$C,0)),"")</f>
        <v/>
      </c>
    </row>
    <row r="793" ht="15" customHeight="1" s="57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s="34" t="n">
        <v>121130467</v>
      </c>
      <c r="J793" t="inlineStr">
        <is>
          <t>COP</t>
        </is>
      </c>
      <c r="L793" t="inlineStr">
        <is>
          <t>Contabilidad</t>
        </is>
      </c>
      <c r="M793">
        <f>IFERROR(INDEX(Diccionario!$N:$N,MATCH(F1104,Diccionario!$C:$C,0)),"")</f>
        <v/>
      </c>
    </row>
    <row r="794" ht="15" customHeight="1" s="57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s="34" t="n">
        <v>533747198</v>
      </c>
      <c r="J794" t="inlineStr">
        <is>
          <t>COP</t>
        </is>
      </c>
      <c r="L794" t="inlineStr">
        <is>
          <t>Contabilidad</t>
        </is>
      </c>
      <c r="M794">
        <f>IFERROR(INDEX(Diccionario!$N:$N,MATCH(F1091,Diccionario!$C:$C,0)),"")</f>
        <v/>
      </c>
    </row>
    <row r="795" ht="15" customHeight="1" s="57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s="34" t="n">
        <v>-35983665</v>
      </c>
      <c r="J795" t="inlineStr">
        <is>
          <t>COP</t>
        </is>
      </c>
      <c r="L795" t="inlineStr">
        <is>
          <t>Contabilidad</t>
        </is>
      </c>
      <c r="M795">
        <f>IFERROR(INDEX(Diccionario!$N:$N,MATCH(F1147,Diccionario!$C:$C,0)),"")</f>
        <v/>
      </c>
    </row>
    <row r="796" ht="15" customHeight="1" s="57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s="34" t="n">
        <v>-37202034</v>
      </c>
      <c r="J796" t="inlineStr">
        <is>
          <t>COP</t>
        </is>
      </c>
      <c r="L796" t="inlineStr">
        <is>
          <t>Contabilidad</t>
        </is>
      </c>
      <c r="M796">
        <f>IFERROR(INDEX(Diccionario!$N:$N,MATCH(F1134,Diccionario!$C:$C,0)),"")</f>
        <v/>
      </c>
    </row>
    <row r="797" ht="15" customHeight="1" s="5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s="34" t="n">
        <v>0</v>
      </c>
      <c r="J797" t="inlineStr">
        <is>
          <t>COP</t>
        </is>
      </c>
      <c r="L797" t="inlineStr">
        <is>
          <t>Contabilidad</t>
        </is>
      </c>
      <c r="M797">
        <f>IFERROR(INDEX(Diccionario!$N:$N,MATCH(F692,Diccionario!$C:$C,0)),"")</f>
        <v/>
      </c>
    </row>
    <row r="798" ht="15" customHeight="1" s="57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s="34" t="n">
        <v>354000</v>
      </c>
      <c r="J798" t="inlineStr">
        <is>
          <t>COP</t>
        </is>
      </c>
      <c r="L798" t="inlineStr">
        <is>
          <t>Contabilidad</t>
        </is>
      </c>
      <c r="M798">
        <f>IFERROR(INDEX(Diccionario!$N:$N,MATCH(F694,Diccionario!$C:$C,0)),"")</f>
        <v/>
      </c>
    </row>
    <row r="799" ht="15" customHeight="1" s="57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s="34" t="n">
        <v>55300000</v>
      </c>
      <c r="J799" t="inlineStr">
        <is>
          <t>COP</t>
        </is>
      </c>
      <c r="L799" t="inlineStr">
        <is>
          <t>Contabilidad</t>
        </is>
      </c>
      <c r="M799">
        <f>IFERROR(INDEX(Diccionario!$N:$N,MATCH(F691,Diccionario!$C:$C,0)),"")</f>
        <v/>
      </c>
    </row>
    <row r="800" ht="15" customHeight="1" s="57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s="34" t="n">
        <v>17400000</v>
      </c>
      <c r="J800" t="inlineStr">
        <is>
          <t>COP</t>
        </is>
      </c>
      <c r="L800" t="inlineStr">
        <is>
          <t>Contabilidad</t>
        </is>
      </c>
      <c r="M800">
        <f>IFERROR(INDEX(Diccionario!$N:$N,MATCH(F693,Diccionario!$C:$C,0)),"")</f>
        <v/>
      </c>
    </row>
    <row r="801" ht="15" customHeight="1" s="57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s="34" t="n">
        <v>307000</v>
      </c>
      <c r="J801" t="inlineStr">
        <is>
          <t>COP</t>
        </is>
      </c>
      <c r="L801" t="inlineStr">
        <is>
          <t>Contabilidad</t>
        </is>
      </c>
      <c r="M801">
        <f>IFERROR(INDEX(Diccionario!$N:$N,MATCH(F695,Diccionario!$C:$C,0)),"")</f>
        <v/>
      </c>
    </row>
    <row r="802" ht="15" customHeight="1" s="57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s="34" t="n">
        <v>33600000</v>
      </c>
      <c r="J802" t="inlineStr">
        <is>
          <t>COP</t>
        </is>
      </c>
      <c r="L802" t="inlineStr">
        <is>
          <t>Contabilidad</t>
        </is>
      </c>
      <c r="M802">
        <f>IFERROR(INDEX(Diccionario!$N:$N,MATCH(F573,Diccionario!$C:$C,0)),"")</f>
        <v/>
      </c>
    </row>
    <row r="803" ht="15" customHeight="1" s="57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s="34" t="n">
        <v>17900000</v>
      </c>
      <c r="J803" t="inlineStr">
        <is>
          <t>COP</t>
        </is>
      </c>
      <c r="L803" t="inlineStr">
        <is>
          <t>Contabilidad</t>
        </is>
      </c>
      <c r="M803">
        <f>IFERROR(INDEX(Diccionario!$N:$N,MATCH(F574,Diccionario!$C:$C,0)),"")</f>
        <v/>
      </c>
    </row>
    <row r="804" ht="15" customHeight="1" s="57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s="34" t="n">
        <v>0</v>
      </c>
      <c r="J804" t="inlineStr">
        <is>
          <t>COP</t>
        </is>
      </c>
      <c r="L804" t="inlineStr">
        <is>
          <t>Contabilidad</t>
        </is>
      </c>
      <c r="M804">
        <f>IFERROR(INDEX(Diccionario!$N:$N,MATCH(F572,Diccionario!$C:$C,0)),"")</f>
        <v/>
      </c>
    </row>
    <row r="805" ht="15" customHeight="1" s="57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s="34" t="n">
        <v>0</v>
      </c>
      <c r="J805" t="inlineStr">
        <is>
          <t>COP</t>
        </is>
      </c>
      <c r="L805" t="inlineStr">
        <is>
          <t>Contabilidad</t>
        </is>
      </c>
      <c r="M805">
        <f>IFERROR(INDEX(Diccionario!$N:$N,MATCH(F571,Diccionario!$C:$C,0)),"")</f>
        <v/>
      </c>
    </row>
    <row r="806" ht="15" customHeight="1" s="57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s="34" t="n">
        <v>15300000</v>
      </c>
      <c r="J806" t="inlineStr">
        <is>
          <t>COP</t>
        </is>
      </c>
      <c r="L806" t="inlineStr">
        <is>
          <t>Contabilidad</t>
        </is>
      </c>
      <c r="M806">
        <f>IFERROR(INDEX(Diccionario!$N:$N,MATCH(F575,Diccionario!$C:$C,0)),"")</f>
        <v/>
      </c>
    </row>
    <row r="807" ht="15" customHeight="1" s="5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s="45" t="n">
        <v>10.55</v>
      </c>
      <c r="J807" t="inlineStr">
        <is>
          <t>%</t>
        </is>
      </c>
      <c r="L807" t="inlineStr">
        <is>
          <t>Contabilidad</t>
        </is>
      </c>
      <c r="M807">
        <f>IFERROR(INDEX(Diccionario!$N:$N,MATCH(F1021,Diccionario!$C:$C,0)),"")</f>
        <v/>
      </c>
    </row>
    <row r="808" ht="1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s="34" t="n">
        <v>62692450</v>
      </c>
      <c r="J808" t="inlineStr">
        <is>
          <t>COP</t>
        </is>
      </c>
      <c r="L808" t="inlineStr">
        <is>
          <t>Contabilidad</t>
        </is>
      </c>
      <c r="M808">
        <f>IFERROR(INDEX(Diccionario!$N:$N,MATCH(F1121,Diccionario!$C:$C,0)),"")</f>
        <v/>
      </c>
    </row>
    <row r="809" ht="1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s="34" t="n">
        <v>12200000</v>
      </c>
      <c r="J809" t="inlineStr">
        <is>
          <t>COP</t>
        </is>
      </c>
      <c r="L809" t="inlineStr">
        <is>
          <t>Contabilidad</t>
        </is>
      </c>
      <c r="M809">
        <f>IFERROR(INDEX(Diccionario!$N:$N,MATCH(F423,Diccionario!$C:$C,0)),"")</f>
        <v/>
      </c>
    </row>
    <row r="810" ht="1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s="34" t="n">
        <v>6800000</v>
      </c>
      <c r="J810" t="inlineStr">
        <is>
          <t>COP</t>
        </is>
      </c>
      <c r="L810" t="inlineStr">
        <is>
          <t>Contabilidad</t>
        </is>
      </c>
      <c r="M810">
        <f>IFERROR(INDEX(Diccionario!$N:$N,MATCH(F427,Diccionario!$C:$C,0)),"")</f>
        <v/>
      </c>
    </row>
    <row r="811" ht="1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s="34" t="n">
        <v>6900000</v>
      </c>
      <c r="J811" t="inlineStr">
        <is>
          <t>COP</t>
        </is>
      </c>
      <c r="L811" t="inlineStr">
        <is>
          <t>Contabilidad</t>
        </is>
      </c>
      <c r="M811">
        <f>IFERROR(INDEX(Diccionario!$N:$N,MATCH(F422,Diccionario!$C:$C,0)),"")</f>
        <v/>
      </c>
    </row>
    <row r="812" ht="15" customHeight="1" s="57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s="34" t="n">
        <v>58300000</v>
      </c>
      <c r="J812" t="inlineStr">
        <is>
          <t>COP</t>
        </is>
      </c>
      <c r="L812" t="inlineStr">
        <is>
          <t>Contabilidad</t>
        </is>
      </c>
      <c r="M812">
        <f>IFERROR(INDEX(Diccionario!$N:$N,MATCH(F421,Diccionario!$C:$C,0)),"")</f>
        <v/>
      </c>
    </row>
    <row r="813" ht="15" customHeight="1" s="57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s="34" t="n">
        <v>3500000</v>
      </c>
      <c r="J813" t="inlineStr">
        <is>
          <t>COP</t>
        </is>
      </c>
      <c r="L813" t="inlineStr">
        <is>
          <t>Contabilidad</t>
        </is>
      </c>
      <c r="M813">
        <f>IFERROR(INDEX(Diccionario!$N:$N,MATCH(F424,Diccionario!$C:$C,0)),"")</f>
        <v/>
      </c>
    </row>
    <row r="814" ht="15" customHeight="1" s="57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s="34" t="n">
        <v>6600000</v>
      </c>
      <c r="J814" t="inlineStr">
        <is>
          <t>COP</t>
        </is>
      </c>
      <c r="L814" t="inlineStr">
        <is>
          <t>Contabilidad</t>
        </is>
      </c>
      <c r="M814">
        <f>IFERROR(INDEX(Diccionario!$N:$N,MATCH(F425,Diccionario!$C:$C,0)),"")</f>
        <v/>
      </c>
    </row>
    <row r="815" ht="15" customHeight="1" s="57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s="34" t="n">
        <v>4200000</v>
      </c>
      <c r="J815" t="inlineStr">
        <is>
          <t>COP</t>
        </is>
      </c>
      <c r="L815" t="inlineStr">
        <is>
          <t>Contabilidad</t>
        </is>
      </c>
      <c r="M815">
        <f>IFERROR(INDEX(Diccionario!$N:$N,MATCH(F426,Diccionario!$C:$C,0)),"")</f>
        <v/>
      </c>
    </row>
    <row r="816" ht="15" customHeight="1" s="57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s="34" t="n">
        <v>98700000</v>
      </c>
      <c r="J816" t="inlineStr">
        <is>
          <t>COP</t>
        </is>
      </c>
      <c r="L816" t="inlineStr">
        <is>
          <t>Contabilidad</t>
        </is>
      </c>
      <c r="M816">
        <f>IFERROR(INDEX(Diccionario!$N:$N,MATCH(F233,Diccionario!$C:$C,0)),"")</f>
        <v/>
      </c>
    </row>
    <row r="817" ht="15" customHeight="1" s="5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s="34" t="n">
        <v>131600000</v>
      </c>
      <c r="J817" t="inlineStr">
        <is>
          <t>COP</t>
        </is>
      </c>
      <c r="L817" t="inlineStr">
        <is>
          <t>Contabilidad</t>
        </is>
      </c>
      <c r="M817">
        <f>IFERROR(INDEX(Diccionario!$N:$N,MATCH(F232,Diccionario!$C:$C,0)),"")</f>
        <v/>
      </c>
    </row>
    <row r="818" ht="15" customHeight="1" s="57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s="34" t="n">
        <v>7000000</v>
      </c>
      <c r="J818" t="inlineStr">
        <is>
          <t>COP</t>
        </is>
      </c>
      <c r="L818" t="inlineStr">
        <is>
          <t>Contabilidad</t>
        </is>
      </c>
      <c r="M818">
        <f>IFERROR(INDEX(Diccionario!$N:$N,MATCH(F229,Diccionario!$C:$C,0)),"")</f>
        <v/>
      </c>
    </row>
    <row r="819" ht="15" customHeight="1" s="57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s="34" t="n">
        <v>66900000</v>
      </c>
      <c r="J819" t="inlineStr">
        <is>
          <t>COP</t>
        </is>
      </c>
      <c r="L819" t="inlineStr">
        <is>
          <t>Contabilidad</t>
        </is>
      </c>
      <c r="M819">
        <f>IFERROR(INDEX(Diccionario!$N:$N,MATCH(F231,Diccionario!$C:$C,0)),"")</f>
        <v/>
      </c>
    </row>
    <row r="820" ht="15" customHeight="1" s="57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s="34" t="n">
        <v>244900000</v>
      </c>
      <c r="J820" t="inlineStr">
        <is>
          <t>COP</t>
        </is>
      </c>
      <c r="L820" t="inlineStr">
        <is>
          <t>Contabilidad</t>
        </is>
      </c>
      <c r="M820">
        <f>IFERROR(INDEX(Diccionario!$N:$N,MATCH(F230,Diccionario!$C:$C,0)),"")</f>
        <v/>
      </c>
    </row>
    <row r="821" ht="15" customHeight="1" s="57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s="34" t="n">
        <v>10300000</v>
      </c>
      <c r="J821" t="inlineStr">
        <is>
          <t>COP</t>
        </is>
      </c>
      <c r="L821" t="inlineStr">
        <is>
          <t>Contabilidad</t>
        </is>
      </c>
      <c r="M821">
        <f>IFERROR(INDEX(Diccionario!$N:$N,MATCH(F976,Diccionario!$C:$C,0)),"")</f>
        <v/>
      </c>
    </row>
    <row r="822" ht="15" customHeight="1" s="57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s="34" t="n">
        <v>29800000</v>
      </c>
      <c r="J822" t="inlineStr">
        <is>
          <t>COP</t>
        </is>
      </c>
      <c r="L822" t="inlineStr">
        <is>
          <t>Contabilidad</t>
        </is>
      </c>
      <c r="M822">
        <f>IFERROR(INDEX(Diccionario!$N:$N,MATCH(F972,Diccionario!$C:$C,0)),"")</f>
        <v/>
      </c>
    </row>
    <row r="823" ht="15" customHeight="1" s="57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s="34" t="n">
        <v>72020000</v>
      </c>
      <c r="J823" t="inlineStr">
        <is>
          <t>COP</t>
        </is>
      </c>
      <c r="L823" t="inlineStr">
        <is>
          <t>Contabilidad</t>
        </is>
      </c>
      <c r="M823">
        <f>IFERROR(INDEX(Diccionario!$N:$N,MATCH(F971,Diccionario!$C:$C,0)),"")</f>
        <v/>
      </c>
    </row>
    <row r="824" ht="15" customHeight="1" s="57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s="34" t="n">
        <v>2700000</v>
      </c>
      <c r="J824" t="inlineStr">
        <is>
          <t>COP</t>
        </is>
      </c>
      <c r="L824" t="inlineStr">
        <is>
          <t>Contabilidad</t>
        </is>
      </c>
      <c r="M824">
        <f>IFERROR(INDEX(Diccionario!$N:$N,MATCH(F973,Diccionario!$C:$C,0)),"")</f>
        <v/>
      </c>
    </row>
    <row r="825" ht="15" customHeight="1" s="57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s="34" t="n">
        <v>8600000</v>
      </c>
      <c r="J825" t="inlineStr">
        <is>
          <t>COP</t>
        </is>
      </c>
      <c r="L825" t="inlineStr">
        <is>
          <t>Contabilidad</t>
        </is>
      </c>
      <c r="M825">
        <f>IFERROR(INDEX(Diccionario!$N:$N,MATCH(F974,Diccionario!$C:$C,0)),"")</f>
        <v/>
      </c>
    </row>
    <row r="826" ht="15" customHeight="1" s="57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s="34" t="n">
        <v>8100000</v>
      </c>
      <c r="J826" t="inlineStr">
        <is>
          <t>COP</t>
        </is>
      </c>
      <c r="L826" t="inlineStr">
        <is>
          <t>Contabilidad</t>
        </is>
      </c>
      <c r="M826">
        <f>IFERROR(INDEX(Diccionario!$N:$N,MATCH(F975,Diccionario!$C:$C,0)),"")</f>
        <v/>
      </c>
    </row>
    <row r="827" ht="15" customHeight="1" s="5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s="34" t="n">
        <v>6900000</v>
      </c>
      <c r="J827" t="inlineStr">
        <is>
          <t>COP</t>
        </is>
      </c>
      <c r="L827" t="inlineStr">
        <is>
          <t>Contabilidad</t>
        </is>
      </c>
      <c r="M827">
        <f>IFERROR(INDEX(Diccionario!$N:$N,MATCH(F809,Diccionario!$C:$C,0)),"")</f>
        <v/>
      </c>
    </row>
    <row r="828" ht="15" customHeight="1" s="57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s="34" t="n">
        <v>159700000</v>
      </c>
      <c r="J828" t="inlineStr">
        <is>
          <t>COP</t>
        </is>
      </c>
      <c r="L828" t="inlineStr">
        <is>
          <t>Contabilidad</t>
        </is>
      </c>
      <c r="M828">
        <f>IFERROR(INDEX(Diccionario!$N:$N,MATCH(F808,Diccionario!$C:$C,0)),"")</f>
        <v/>
      </c>
    </row>
    <row r="829" ht="15" customHeight="1" s="57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s="34" t="n">
        <v>3900000</v>
      </c>
      <c r="J829" t="inlineStr">
        <is>
          <t>COP</t>
        </is>
      </c>
      <c r="L829" t="inlineStr">
        <is>
          <t>Contabilidad</t>
        </is>
      </c>
      <c r="M829">
        <f>IFERROR(INDEX(Diccionario!$N:$N,MATCH(F810,Diccionario!$C:$C,0)),"")</f>
        <v/>
      </c>
    </row>
    <row r="830" ht="15" customHeight="1" s="57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s="34" t="n">
        <v>923000</v>
      </c>
      <c r="J830" t="inlineStr">
        <is>
          <t>COP</t>
        </is>
      </c>
      <c r="L830" t="inlineStr">
        <is>
          <t>Contabilidad</t>
        </is>
      </c>
      <c r="M830">
        <f>IFERROR(INDEX(Diccionario!$N:$N,MATCH(F811,Diccionario!$C:$C,0)),"")</f>
        <v/>
      </c>
    </row>
    <row r="831" ht="15" customHeight="1" s="57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s="34" t="n">
        <v>42197000</v>
      </c>
      <c r="J831" t="inlineStr">
        <is>
          <t>COP</t>
        </is>
      </c>
      <c r="L831" t="inlineStr">
        <is>
          <t>Contabilidad</t>
        </is>
      </c>
      <c r="M831">
        <f>IFERROR(INDEX(Diccionario!$N:$N,MATCH(F1105,Diccionario!$C:$C,0)),"")</f>
        <v/>
      </c>
    </row>
    <row r="832" ht="15" customHeight="1" s="57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s="34" t="n">
        <v>554242648</v>
      </c>
      <c r="J832" t="inlineStr">
        <is>
          <t>COP</t>
        </is>
      </c>
      <c r="L832" t="inlineStr">
        <is>
          <t>Contabilidad</t>
        </is>
      </c>
      <c r="M832">
        <f>IFERROR(INDEX(Diccionario!$N:$N,MATCH(F1092,Diccionario!$C:$C,0)),"")</f>
        <v/>
      </c>
    </row>
    <row r="833" ht="15" customHeight="1" s="57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s="34" t="n">
        <v>-9736599</v>
      </c>
      <c r="J833" t="inlineStr">
        <is>
          <t>COP</t>
        </is>
      </c>
      <c r="L833" t="inlineStr">
        <is>
          <t>Contabilidad</t>
        </is>
      </c>
      <c r="M833">
        <f>IFERROR(INDEX(Diccionario!$N:$N,MATCH(F1148,Diccionario!$C:$C,0)),"")</f>
        <v/>
      </c>
    </row>
    <row r="834" ht="15" customHeight="1" s="57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s="34" t="n">
        <v>-11016136</v>
      </c>
      <c r="J834" t="inlineStr">
        <is>
          <t>COP</t>
        </is>
      </c>
      <c r="L834" t="inlineStr">
        <is>
          <t>Contabilidad</t>
        </is>
      </c>
      <c r="M834">
        <f>IFERROR(INDEX(Diccionario!$N:$N,MATCH(F1135,Diccionario!$C:$C,0)),"")</f>
        <v/>
      </c>
    </row>
    <row r="835" ht="15" customHeight="1" s="57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s="34" t="n">
        <v>0</v>
      </c>
      <c r="J835" t="inlineStr">
        <is>
          <t>COP</t>
        </is>
      </c>
      <c r="L835" t="inlineStr">
        <is>
          <t>Contabilidad</t>
        </is>
      </c>
      <c r="M835">
        <f>IFERROR(INDEX(Diccionario!$N:$N,MATCH(F697,Diccionario!$C:$C,0)),"")</f>
        <v/>
      </c>
    </row>
    <row r="836" ht="15" customHeight="1" s="57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s="34" t="n">
        <v>400000</v>
      </c>
      <c r="J836" t="inlineStr">
        <is>
          <t>COP</t>
        </is>
      </c>
      <c r="L836" t="inlineStr">
        <is>
          <t>Contabilidad</t>
        </is>
      </c>
      <c r="M836">
        <f>IFERROR(INDEX(Diccionario!$N:$N,MATCH(F699,Diccionario!$C:$C,0)),"")</f>
        <v/>
      </c>
    </row>
    <row r="837" ht="15" customHeight="1" s="5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s="34" t="n">
        <v>54800000</v>
      </c>
      <c r="J837" t="inlineStr">
        <is>
          <t>COP</t>
        </is>
      </c>
      <c r="L837" t="inlineStr">
        <is>
          <t>Contabilidad</t>
        </is>
      </c>
      <c r="M837">
        <f>IFERROR(INDEX(Diccionario!$N:$N,MATCH(F696,Diccionario!$C:$C,0)),"")</f>
        <v/>
      </c>
    </row>
    <row r="838" ht="15" customHeight="1" s="57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s="34" t="n">
        <v>12400000</v>
      </c>
      <c r="J838" t="inlineStr">
        <is>
          <t>COP</t>
        </is>
      </c>
      <c r="L838" t="inlineStr">
        <is>
          <t>Contabilidad</t>
        </is>
      </c>
      <c r="M838">
        <f>IFERROR(INDEX(Diccionario!$N:$N,MATCH(F698,Diccionario!$C:$C,0)),"")</f>
        <v/>
      </c>
    </row>
    <row r="839" ht="15" customHeight="1" s="57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s="34" t="n">
        <v>7600000</v>
      </c>
      <c r="J839" t="inlineStr">
        <is>
          <t>COP</t>
        </is>
      </c>
      <c r="L839" t="inlineStr">
        <is>
          <t>Contabilidad</t>
        </is>
      </c>
      <c r="M839">
        <f>IFERROR(INDEX(Diccionario!$N:$N,MATCH(F700,Diccionario!$C:$C,0)),"")</f>
        <v/>
      </c>
    </row>
    <row r="840" ht="15" customHeight="1" s="57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s="34" t="n">
        <v>25600000</v>
      </c>
      <c r="J840" t="inlineStr">
        <is>
          <t>COP</t>
        </is>
      </c>
      <c r="L840" t="inlineStr">
        <is>
          <t>Contabilidad</t>
        </is>
      </c>
      <c r="M840">
        <f>IFERROR(INDEX(Diccionario!$N:$N,MATCH(F578,Diccionario!$C:$C,0)),"")</f>
        <v/>
      </c>
    </row>
    <row r="841" ht="15" customHeight="1" s="57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s="34" t="n">
        <v>19100000</v>
      </c>
      <c r="J841" t="inlineStr">
        <is>
          <t>COP</t>
        </is>
      </c>
      <c r="L841" t="inlineStr">
        <is>
          <t>Contabilidad</t>
        </is>
      </c>
      <c r="M841">
        <f>IFERROR(INDEX(Diccionario!$N:$N,MATCH(F579,Diccionario!$C:$C,0)),"")</f>
        <v/>
      </c>
    </row>
    <row r="842" ht="15" customHeight="1" s="57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s="34" t="n">
        <v>0</v>
      </c>
      <c r="J842" t="inlineStr">
        <is>
          <t>COP</t>
        </is>
      </c>
      <c r="L842" t="inlineStr">
        <is>
          <t>Contabilidad</t>
        </is>
      </c>
      <c r="M842">
        <f>IFERROR(INDEX(Diccionario!$N:$N,MATCH(F577,Diccionario!$C:$C,0)),"")</f>
        <v/>
      </c>
    </row>
    <row r="843" ht="15" customHeight="1" s="57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s="34" t="n">
        <v>106900000</v>
      </c>
      <c r="J843" t="inlineStr">
        <is>
          <t>COP</t>
        </is>
      </c>
      <c r="L843" t="inlineStr">
        <is>
          <t>Contabilidad</t>
        </is>
      </c>
      <c r="M843">
        <f>IFERROR(INDEX(Diccionario!$N:$N,MATCH(F576,Diccionario!$C:$C,0)),"")</f>
        <v/>
      </c>
    </row>
    <row r="844" ht="15" customHeight="1" s="57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s="34" t="n">
        <v>25900000</v>
      </c>
      <c r="J844" t="inlineStr">
        <is>
          <t>COP</t>
        </is>
      </c>
      <c r="L844" t="inlineStr">
        <is>
          <t>Contabilidad</t>
        </is>
      </c>
      <c r="M844">
        <f>IFERROR(INDEX(Diccionario!$N:$N,MATCH(F580,Diccionario!$C:$C,0)),"")</f>
        <v/>
      </c>
    </row>
    <row r="845" ht="15" customHeight="1" s="57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s="45" t="n">
        <v>23.86</v>
      </c>
      <c r="J845" t="inlineStr">
        <is>
          <t>%</t>
        </is>
      </c>
      <c r="L845" t="inlineStr">
        <is>
          <t>Contabilidad</t>
        </is>
      </c>
      <c r="M845">
        <f>IFERROR(INDEX(Diccionario!$N:$N,MATCH(F1022,Diccionario!$C:$C,0)),"")</f>
        <v/>
      </c>
    </row>
    <row r="846" ht="15" customHeight="1" s="57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s="34" t="n">
        <v>139839642</v>
      </c>
      <c r="J846" t="inlineStr">
        <is>
          <t>COP</t>
        </is>
      </c>
      <c r="L846" t="inlineStr">
        <is>
          <t>Contabilidad</t>
        </is>
      </c>
      <c r="M846">
        <f>IFERROR(INDEX(Diccionario!$N:$N,MATCH(F1122,Diccionario!$C:$C,0)),"")</f>
        <v/>
      </c>
    </row>
    <row r="847" ht="15" customHeight="1" s="5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s="34" t="n">
        <v>12000000</v>
      </c>
      <c r="J847" t="inlineStr">
        <is>
          <t>COP</t>
        </is>
      </c>
      <c r="L847" t="inlineStr">
        <is>
          <t>Contabilidad</t>
        </is>
      </c>
      <c r="M847">
        <f>IFERROR(INDEX(Diccionario!$N:$N,MATCH(F430,Diccionario!$C:$C,0)),"")</f>
        <v/>
      </c>
    </row>
    <row r="848" ht="15" customHeight="1" s="57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s="34" t="n">
        <v>5900000</v>
      </c>
      <c r="J848" t="inlineStr">
        <is>
          <t>COP</t>
        </is>
      </c>
      <c r="L848" t="inlineStr">
        <is>
          <t>Contabilidad</t>
        </is>
      </c>
      <c r="M848">
        <f>IFERROR(INDEX(Diccionario!$N:$N,MATCH(F434,Diccionario!$C:$C,0)),"")</f>
        <v/>
      </c>
    </row>
    <row r="849" ht="15" customHeight="1" s="57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s="34" t="n">
        <v>10500000</v>
      </c>
      <c r="J849" t="inlineStr">
        <is>
          <t>COP</t>
        </is>
      </c>
      <c r="L849" t="inlineStr">
        <is>
          <t>Contabilidad</t>
        </is>
      </c>
      <c r="M849">
        <f>IFERROR(INDEX(Diccionario!$N:$N,MATCH(F429,Diccionario!$C:$C,0)),"")</f>
        <v/>
      </c>
    </row>
    <row r="850" ht="15" customHeight="1" s="57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s="34" t="n">
        <v>62800000</v>
      </c>
      <c r="J850" t="inlineStr">
        <is>
          <t>COP</t>
        </is>
      </c>
      <c r="L850" t="inlineStr">
        <is>
          <t>Contabilidad</t>
        </is>
      </c>
      <c r="M850">
        <f>IFERROR(INDEX(Diccionario!$N:$N,MATCH(F428,Diccionario!$C:$C,0)),"")</f>
        <v/>
      </c>
    </row>
    <row r="851" ht="15" customHeight="1" s="57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s="34" t="n">
        <v>3600000</v>
      </c>
      <c r="J851" t="inlineStr">
        <is>
          <t>COP</t>
        </is>
      </c>
      <c r="L851" t="inlineStr">
        <is>
          <t>Contabilidad</t>
        </is>
      </c>
      <c r="M851">
        <f>IFERROR(INDEX(Diccionario!$N:$N,MATCH(F431,Diccionario!$C:$C,0)),"")</f>
        <v/>
      </c>
    </row>
    <row r="852" ht="15" customHeight="1" s="57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s="34" t="n">
        <v>3300000</v>
      </c>
      <c r="J852" t="inlineStr">
        <is>
          <t>COP</t>
        </is>
      </c>
      <c r="L852" t="inlineStr">
        <is>
          <t>Contabilidad</t>
        </is>
      </c>
      <c r="M852">
        <f>IFERROR(INDEX(Diccionario!$N:$N,MATCH(F432,Diccionario!$C:$C,0)),"")</f>
        <v/>
      </c>
    </row>
    <row r="853" ht="15" customHeight="1" s="57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s="34" t="n">
        <v>3600000</v>
      </c>
      <c r="J853" t="inlineStr">
        <is>
          <t>COP</t>
        </is>
      </c>
      <c r="L853" t="inlineStr">
        <is>
          <t>Contabilidad</t>
        </is>
      </c>
      <c r="M853">
        <f>IFERROR(INDEX(Diccionario!$N:$N,MATCH(F433,Diccionario!$C:$C,0)),"")</f>
        <v/>
      </c>
    </row>
    <row r="854" ht="15" customHeight="1" s="57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s="34" t="n">
        <v>105600000</v>
      </c>
      <c r="J854" t="inlineStr">
        <is>
          <t>COP</t>
        </is>
      </c>
      <c r="L854" t="inlineStr">
        <is>
          <t>Contabilidad</t>
        </is>
      </c>
      <c r="M854">
        <f>IFERROR(INDEX(Diccionario!$N:$N,MATCH(F238,Diccionario!$C:$C,0)),"")</f>
        <v/>
      </c>
    </row>
    <row r="855" ht="15" customHeight="1" s="57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s="34" t="n">
        <v>159500000</v>
      </c>
      <c r="J855" t="inlineStr">
        <is>
          <t>COP</t>
        </is>
      </c>
      <c r="L855" t="inlineStr">
        <is>
          <t>Contabilidad</t>
        </is>
      </c>
      <c r="M855">
        <f>IFERROR(INDEX(Diccionario!$N:$N,MATCH(F237,Diccionario!$C:$C,0)),"")</f>
        <v/>
      </c>
    </row>
    <row r="856" ht="15" customHeight="1" s="57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s="34" t="n">
        <v>5500000</v>
      </c>
      <c r="J856" t="inlineStr">
        <is>
          <t>COP</t>
        </is>
      </c>
      <c r="L856" t="inlineStr">
        <is>
          <t>Contabilidad</t>
        </is>
      </c>
      <c r="M856">
        <f>IFERROR(INDEX(Diccionario!$N:$N,MATCH(F234,Diccionario!$C:$C,0)),"")</f>
        <v/>
      </c>
    </row>
    <row r="857" ht="15" customHeight="1" s="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s="34" t="n">
        <v>177700000</v>
      </c>
      <c r="J857" t="inlineStr">
        <is>
          <t>COP</t>
        </is>
      </c>
      <c r="L857" t="inlineStr">
        <is>
          <t>Contabilidad</t>
        </is>
      </c>
      <c r="M857">
        <f>IFERROR(INDEX(Diccionario!$N:$N,MATCH(F236,Diccionario!$C:$C,0)),"")</f>
        <v/>
      </c>
    </row>
    <row r="858" ht="15" customHeight="1" s="57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s="34" t="n">
        <v>241100000</v>
      </c>
      <c r="J858" t="inlineStr">
        <is>
          <t>COP</t>
        </is>
      </c>
      <c r="L858" t="inlineStr">
        <is>
          <t>Contabilidad</t>
        </is>
      </c>
      <c r="M858">
        <f>IFERROR(INDEX(Diccionario!$N:$N,MATCH(F235,Diccionario!$C:$C,0)),"")</f>
        <v/>
      </c>
    </row>
    <row r="859" ht="15" customHeight="1" s="57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s="34" t="n">
        <v>11000000</v>
      </c>
      <c r="J859" t="inlineStr">
        <is>
          <t>COP</t>
        </is>
      </c>
      <c r="L859" t="inlineStr">
        <is>
          <t>Contabilidad</t>
        </is>
      </c>
      <c r="M859">
        <f>IFERROR(INDEX(Diccionario!$N:$N,MATCH(F982,Diccionario!$C:$C,0)),"")</f>
        <v/>
      </c>
    </row>
    <row r="860" ht="15" customHeight="1" s="57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s="34" t="n">
        <v>19400000</v>
      </c>
      <c r="J860" t="inlineStr">
        <is>
          <t>COP</t>
        </is>
      </c>
      <c r="L860" t="inlineStr">
        <is>
          <t>Contabilidad</t>
        </is>
      </c>
      <c r="M860">
        <f>IFERROR(INDEX(Diccionario!$N:$N,MATCH(F978,Diccionario!$C:$C,0)),"")</f>
        <v/>
      </c>
    </row>
    <row r="861" ht="15" customHeight="1" s="57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s="34" t="n">
        <v>97900000</v>
      </c>
      <c r="J861" t="inlineStr">
        <is>
          <t>COP</t>
        </is>
      </c>
      <c r="L861" t="inlineStr">
        <is>
          <t>Contabilidad</t>
        </is>
      </c>
      <c r="M861">
        <f>IFERROR(INDEX(Diccionario!$N:$N,MATCH(F977,Diccionario!$C:$C,0)),"")</f>
        <v/>
      </c>
    </row>
    <row r="862" ht="15" customHeight="1" s="57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s="34" t="n">
        <v>400000</v>
      </c>
      <c r="J862" t="inlineStr">
        <is>
          <t>COP</t>
        </is>
      </c>
      <c r="L862" t="inlineStr">
        <is>
          <t>Contabilidad</t>
        </is>
      </c>
      <c r="M862">
        <f>IFERROR(INDEX(Diccionario!$N:$N,MATCH(F979,Diccionario!$C:$C,0)),"")</f>
        <v/>
      </c>
    </row>
    <row r="863" ht="15" customHeight="1" s="57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s="34" t="n">
        <v>20200000</v>
      </c>
      <c r="J863" t="inlineStr">
        <is>
          <t>COP</t>
        </is>
      </c>
      <c r="L863" t="inlineStr">
        <is>
          <t>Contabilidad</t>
        </is>
      </c>
      <c r="M863">
        <f>IFERROR(INDEX(Diccionario!$N:$N,MATCH(F980,Diccionario!$C:$C,0)),"")</f>
        <v/>
      </c>
    </row>
    <row r="864" ht="15" customHeight="1" s="57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s="34" t="n">
        <v>10200000</v>
      </c>
      <c r="J864" t="inlineStr">
        <is>
          <t>COP</t>
        </is>
      </c>
      <c r="L864" t="inlineStr">
        <is>
          <t>Contabilidad</t>
        </is>
      </c>
      <c r="M864">
        <f>IFERROR(INDEX(Diccionario!$N:$N,MATCH(F981,Diccionario!$C:$C,0)),"")</f>
        <v/>
      </c>
    </row>
    <row r="865" ht="15" customHeight="1" s="57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s="34" t="n">
        <v>5800000</v>
      </c>
      <c r="J865" t="inlineStr">
        <is>
          <t>COP</t>
        </is>
      </c>
      <c r="L865" t="inlineStr">
        <is>
          <t>Contabilidad</t>
        </is>
      </c>
      <c r="M865">
        <f>IFERROR(INDEX(Diccionario!$N:$N,MATCH(F813,Diccionario!$C:$C,0)),"")</f>
        <v/>
      </c>
    </row>
    <row r="866" ht="15" customHeight="1" s="57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s="34" t="n">
        <v>156090000</v>
      </c>
      <c r="J866" t="inlineStr">
        <is>
          <t>COP</t>
        </is>
      </c>
      <c r="L866" t="inlineStr">
        <is>
          <t>Contabilidad</t>
        </is>
      </c>
      <c r="M866">
        <f>IFERROR(INDEX(Diccionario!$N:$N,MATCH(F812,Diccionario!$C:$C,0)),"")</f>
        <v/>
      </c>
    </row>
    <row r="867" ht="15" customHeight="1" s="5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s="34" t="n">
        <v>3600000</v>
      </c>
      <c r="J867" t="inlineStr">
        <is>
          <t>COP</t>
        </is>
      </c>
      <c r="L867" t="inlineStr">
        <is>
          <t>Contabilidad</t>
        </is>
      </c>
      <c r="M867">
        <f>IFERROR(INDEX(Diccionario!$N:$N,MATCH(F814,Diccionario!$C:$C,0)),"")</f>
        <v/>
      </c>
    </row>
    <row r="868" ht="15" customHeight="1" s="57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s="34" t="n">
        <v>0</v>
      </c>
      <c r="J868" t="inlineStr">
        <is>
          <t>COP</t>
        </is>
      </c>
      <c r="L868" t="inlineStr">
        <is>
          <t>Contabilidad</t>
        </is>
      </c>
      <c r="M868">
        <f>IFERROR(INDEX(Diccionario!$N:$N,MATCH(F815,Diccionario!$C:$C,0)),"")</f>
        <v/>
      </c>
    </row>
    <row r="869" ht="15" customHeight="1" s="57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s="34" t="n">
        <v>67164125</v>
      </c>
      <c r="J869" t="inlineStr">
        <is>
          <t>COP</t>
        </is>
      </c>
      <c r="L869" t="inlineStr">
        <is>
          <t>Contabilidad</t>
        </is>
      </c>
      <c r="M869">
        <f>IFERROR(INDEX(Diccionario!$N:$N,MATCH(F1106,Diccionario!$C:$C,0)),"")</f>
        <v/>
      </c>
    </row>
    <row r="870" ht="15" customHeight="1" s="57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s="34" t="n">
        <v>626918165</v>
      </c>
      <c r="J870" t="inlineStr">
        <is>
          <t>COP</t>
        </is>
      </c>
      <c r="L870" t="inlineStr">
        <is>
          <t>Contabilidad</t>
        </is>
      </c>
      <c r="M870">
        <f>IFERROR(INDEX(Diccionario!$N:$N,MATCH(F1093,Diccionario!$C:$C,0)),"")</f>
        <v/>
      </c>
    </row>
    <row r="871" ht="15" customHeight="1" s="57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s="34" t="n">
        <v>-11358174</v>
      </c>
      <c r="J871" t="inlineStr">
        <is>
          <t>COP</t>
        </is>
      </c>
      <c r="L871" t="inlineStr">
        <is>
          <t>Contabilidad</t>
        </is>
      </c>
      <c r="M871">
        <f>IFERROR(INDEX(Diccionario!$N:$N,MATCH(F1149,Diccionario!$C:$C,0)),"")</f>
        <v/>
      </c>
    </row>
    <row r="872" ht="15" customHeight="1" s="57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s="34" t="n">
        <v>-25206134</v>
      </c>
      <c r="J872" t="inlineStr">
        <is>
          <t>COP</t>
        </is>
      </c>
      <c r="L872" t="inlineStr">
        <is>
          <t>Contabilidad</t>
        </is>
      </c>
      <c r="M872">
        <f>IFERROR(INDEX(Diccionario!$N:$N,MATCH(F1136,Diccionario!$C:$C,0)),"")</f>
        <v/>
      </c>
    </row>
    <row r="873" ht="15" customHeight="1" s="57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s="34" t="n">
        <v>0</v>
      </c>
      <c r="J873" t="inlineStr">
        <is>
          <t>COP</t>
        </is>
      </c>
      <c r="L873" t="inlineStr">
        <is>
          <t>Contabilidad</t>
        </is>
      </c>
      <c r="M873">
        <f>IFERROR(INDEX(Diccionario!$N:$N,MATCH(F702,Diccionario!$C:$C,0)),"")</f>
        <v/>
      </c>
    </row>
    <row r="874" ht="15" customHeight="1" s="57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s="34" t="n">
        <v>516000</v>
      </c>
      <c r="J874" t="inlineStr">
        <is>
          <t>COP</t>
        </is>
      </c>
      <c r="L874" t="inlineStr">
        <is>
          <t>Contabilidad</t>
        </is>
      </c>
      <c r="M874">
        <f>IFERROR(INDEX(Diccionario!$N:$N,MATCH(F704,Diccionario!$C:$C,0)),"")</f>
        <v/>
      </c>
    </row>
    <row r="875" ht="15" customHeight="1" s="57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s="34" t="n">
        <v>56300000</v>
      </c>
      <c r="J875" t="inlineStr">
        <is>
          <t>COP</t>
        </is>
      </c>
      <c r="L875" t="inlineStr">
        <is>
          <t>Contabilidad</t>
        </is>
      </c>
      <c r="M875">
        <f>IFERROR(INDEX(Diccionario!$N:$N,MATCH(F701,Diccionario!$C:$C,0)),"")</f>
        <v/>
      </c>
    </row>
    <row r="876" ht="15" customHeight="1" s="57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s="34" t="n">
        <v>11300000</v>
      </c>
      <c r="J876" t="inlineStr">
        <is>
          <t>COP</t>
        </is>
      </c>
      <c r="L876" t="inlineStr">
        <is>
          <t>Contabilidad</t>
        </is>
      </c>
      <c r="M876">
        <f>IFERROR(INDEX(Diccionario!$N:$N,MATCH(F703,Diccionario!$C:$C,0)),"")</f>
        <v/>
      </c>
    </row>
    <row r="877" ht="15" customHeight="1" s="5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s="34" t="n">
        <v>8100000</v>
      </c>
      <c r="J877" t="inlineStr">
        <is>
          <t>COP</t>
        </is>
      </c>
      <c r="L877" t="inlineStr">
        <is>
          <t>Contabilidad</t>
        </is>
      </c>
      <c r="M877">
        <f>IFERROR(INDEX(Diccionario!$N:$N,MATCH(F705,Diccionario!$C:$C,0)),"")</f>
        <v/>
      </c>
    </row>
    <row r="878" ht="15" customHeight="1" s="57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s="34" t="n">
        <v>27400000</v>
      </c>
      <c r="J878" t="inlineStr">
        <is>
          <t>COP</t>
        </is>
      </c>
      <c r="L878" t="inlineStr">
        <is>
          <t>Contabilidad</t>
        </is>
      </c>
      <c r="M878">
        <f>IFERROR(INDEX(Diccionario!$N:$N,MATCH(F583,Diccionario!$C:$C,0)),"")</f>
        <v/>
      </c>
    </row>
    <row r="879" ht="15" customHeight="1" s="57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s="34" t="n">
        <v>21100000</v>
      </c>
      <c r="J879" t="inlineStr">
        <is>
          <t>COP</t>
        </is>
      </c>
      <c r="L879" t="inlineStr">
        <is>
          <t>Contabilidad</t>
        </is>
      </c>
      <c r="M879">
        <f>IFERROR(INDEX(Diccionario!$N:$N,MATCH(F584,Diccionario!$C:$C,0)),"")</f>
        <v/>
      </c>
    </row>
    <row r="880" ht="15" customHeight="1" s="57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s="34" t="n">
        <v>0</v>
      </c>
      <c r="J880" t="inlineStr">
        <is>
          <t>COP</t>
        </is>
      </c>
      <c r="L880" t="inlineStr">
        <is>
          <t>Contabilidad</t>
        </is>
      </c>
      <c r="M880">
        <f>IFERROR(INDEX(Diccionario!$N:$N,MATCH(F582,Diccionario!$C:$C,0)),"")</f>
        <v/>
      </c>
    </row>
    <row r="881" ht="15" customHeight="1" s="57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s="34" t="n">
        <v>219900000</v>
      </c>
      <c r="J881" t="inlineStr">
        <is>
          <t>COP</t>
        </is>
      </c>
      <c r="L881" t="inlineStr">
        <is>
          <t>Contabilidad</t>
        </is>
      </c>
      <c r="M881">
        <f>IFERROR(INDEX(Diccionario!$N:$N,MATCH(F581,Diccionario!$C:$C,0)),"")</f>
        <v/>
      </c>
    </row>
    <row r="882" ht="15" customHeight="1" s="57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s="34" t="n">
        <v>6000000</v>
      </c>
      <c r="J882" t="inlineStr">
        <is>
          <t>COP</t>
        </is>
      </c>
      <c r="L882" t="inlineStr">
        <is>
          <t>Contabilidad</t>
        </is>
      </c>
      <c r="M882">
        <f>IFERROR(INDEX(Diccionario!$N:$N,MATCH(F585,Diccionario!$C:$C,0)),"")</f>
        <v/>
      </c>
    </row>
    <row r="883" ht="15" customHeight="1" s="57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s="45" t="n">
        <v>35.68</v>
      </c>
      <c r="J883" t="inlineStr">
        <is>
          <t>%</t>
        </is>
      </c>
      <c r="L883" t="inlineStr">
        <is>
          <t>Contabilidad</t>
        </is>
      </c>
      <c r="M883">
        <f>IFERROR(INDEX(Diccionario!$N:$N,MATCH(F1023,Diccionario!$C:$C,0)),"")</f>
        <v/>
      </c>
    </row>
    <row r="884" ht="15" customHeight="1" s="57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s="34" t="n">
        <v>60430077</v>
      </c>
      <c r="J884" t="inlineStr">
        <is>
          <t>COP</t>
        </is>
      </c>
      <c r="L884" t="inlineStr">
        <is>
          <t>Contabilidad</t>
        </is>
      </c>
      <c r="M884">
        <f>IFERROR(INDEX(Diccionario!$N:$N,MATCH(F1123,Diccionario!$C:$C,0)),"")</f>
        <v/>
      </c>
    </row>
    <row r="885" ht="15" customHeight="1" s="57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s="34" t="n">
        <v>10700000</v>
      </c>
      <c r="J885" t="inlineStr">
        <is>
          <t>COP</t>
        </is>
      </c>
      <c r="L885" t="inlineStr">
        <is>
          <t>Contabilidad</t>
        </is>
      </c>
      <c r="M885">
        <f>IFERROR(INDEX(Diccionario!$N:$N,MATCH(F437,Diccionario!$C:$C,0)),"")</f>
        <v/>
      </c>
    </row>
    <row r="886" ht="15" customHeight="1" s="57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s="34" t="n">
        <v>14100000</v>
      </c>
      <c r="J886" t="inlineStr">
        <is>
          <t>COP</t>
        </is>
      </c>
      <c r="L886" t="inlineStr">
        <is>
          <t>Contabilidad</t>
        </is>
      </c>
      <c r="M886">
        <f>IFERROR(INDEX(Diccionario!$N:$N,MATCH(F441,Diccionario!$C:$C,0)),"")</f>
        <v/>
      </c>
    </row>
    <row r="887" ht="15" customHeight="1" s="5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s="34" t="n">
        <v>29900000</v>
      </c>
      <c r="J887" t="inlineStr">
        <is>
          <t>COP</t>
        </is>
      </c>
      <c r="L887" t="inlineStr">
        <is>
          <t>Contabilidad</t>
        </is>
      </c>
      <c r="M887">
        <f>IFERROR(INDEX(Diccionario!$N:$N,MATCH(F436,Diccionario!$C:$C,0)),"")</f>
        <v/>
      </c>
    </row>
    <row r="888" ht="15" customHeight="1" s="57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s="34" t="n">
        <v>68200000</v>
      </c>
      <c r="J888" t="inlineStr">
        <is>
          <t>COP</t>
        </is>
      </c>
      <c r="L888" t="inlineStr">
        <is>
          <t>Contabilidad</t>
        </is>
      </c>
      <c r="M888">
        <f>IFERROR(INDEX(Diccionario!$N:$N,MATCH(F435,Diccionario!$C:$C,0)),"")</f>
        <v/>
      </c>
    </row>
    <row r="889" ht="15" customHeight="1" s="57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s="34" t="n">
        <v>1700000</v>
      </c>
      <c r="J889" t="inlineStr">
        <is>
          <t>COP</t>
        </is>
      </c>
      <c r="L889" t="inlineStr">
        <is>
          <t>Contabilidad</t>
        </is>
      </c>
      <c r="M889">
        <f>IFERROR(INDEX(Diccionario!$N:$N,MATCH(F438,Diccionario!$C:$C,0)),"")</f>
        <v/>
      </c>
    </row>
    <row r="890" ht="15" customHeight="1" s="57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s="34" t="n">
        <v>4400000</v>
      </c>
      <c r="J890" t="inlineStr">
        <is>
          <t>COP</t>
        </is>
      </c>
      <c r="L890" t="inlineStr">
        <is>
          <t>Contabilidad</t>
        </is>
      </c>
      <c r="M890">
        <f>IFERROR(INDEX(Diccionario!$N:$N,MATCH(F439,Diccionario!$C:$C,0)),"")</f>
        <v/>
      </c>
    </row>
    <row r="891" ht="15" customHeight="1" s="57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s="34" t="n">
        <v>5100000</v>
      </c>
      <c r="J891" t="inlineStr">
        <is>
          <t>COP</t>
        </is>
      </c>
      <c r="L891" t="inlineStr">
        <is>
          <t>Contabilidad</t>
        </is>
      </c>
      <c r="M891">
        <f>IFERROR(INDEX(Diccionario!$N:$N,MATCH(F440,Diccionario!$C:$C,0)),"")</f>
        <v/>
      </c>
    </row>
    <row r="892" ht="15" customHeight="1" s="57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s="34" t="n">
        <v>134400000</v>
      </c>
      <c r="J892" t="inlineStr">
        <is>
          <t>COP</t>
        </is>
      </c>
      <c r="L892" t="inlineStr">
        <is>
          <t>Contabilidad</t>
        </is>
      </c>
      <c r="M892">
        <f>IFERROR(INDEX(Diccionario!$N:$N,MATCH(F243,Diccionario!$C:$C,0)),"")</f>
        <v/>
      </c>
    </row>
    <row r="893" ht="15" customHeight="1" s="57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s="34" t="n">
        <v>144000000</v>
      </c>
      <c r="J893" t="inlineStr">
        <is>
          <t>COP</t>
        </is>
      </c>
      <c r="L893" t="inlineStr">
        <is>
          <t>Contabilidad</t>
        </is>
      </c>
      <c r="M893">
        <f>IFERROR(INDEX(Diccionario!$N:$N,MATCH(F242,Diccionario!$C:$C,0)),"")</f>
        <v/>
      </c>
    </row>
    <row r="894" ht="15" customHeight="1" s="57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s="34" t="n">
        <v>5400000</v>
      </c>
      <c r="J894" t="inlineStr">
        <is>
          <t>COP</t>
        </is>
      </c>
      <c r="L894" t="inlineStr">
        <is>
          <t>Contabilidad</t>
        </is>
      </c>
      <c r="M894">
        <f>IFERROR(INDEX(Diccionario!$N:$N,MATCH(F239,Diccionario!$C:$C,0)),"")</f>
        <v/>
      </c>
    </row>
    <row r="895" ht="15" customHeight="1" s="57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s="34" t="n">
        <v>274600000</v>
      </c>
      <c r="J895" t="inlineStr">
        <is>
          <t>COP</t>
        </is>
      </c>
      <c r="L895" t="inlineStr">
        <is>
          <t>Contabilidad</t>
        </is>
      </c>
      <c r="M895">
        <f>IFERROR(INDEX(Diccionario!$N:$N,MATCH(F241,Diccionario!$C:$C,0)),"")</f>
        <v/>
      </c>
    </row>
    <row r="896" ht="15" customHeight="1" s="57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s="34" t="n">
        <v>248000000</v>
      </c>
      <c r="J896" t="inlineStr">
        <is>
          <t>COP</t>
        </is>
      </c>
      <c r="L896" t="inlineStr">
        <is>
          <t>Contabilidad</t>
        </is>
      </c>
      <c r="M896">
        <f>IFERROR(INDEX(Diccionario!$N:$N,MATCH(F240,Diccionario!$C:$C,0)),"")</f>
        <v/>
      </c>
    </row>
    <row r="897" ht="15" customHeight="1" s="5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s="34" t="n">
        <v>18500000</v>
      </c>
      <c r="J897" t="inlineStr">
        <is>
          <t>COP</t>
        </is>
      </c>
      <c r="L897" t="inlineStr">
        <is>
          <t>Contabilidad</t>
        </is>
      </c>
      <c r="M897">
        <f>IFERROR(INDEX(Diccionario!$N:$N,MATCH(F988,Diccionario!$C:$C,0)),"")</f>
        <v/>
      </c>
    </row>
    <row r="898" ht="15" customHeight="1" s="57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s="34" t="n">
        <v>25400000</v>
      </c>
      <c r="J898" t="inlineStr">
        <is>
          <t>COP</t>
        </is>
      </c>
      <c r="L898" t="inlineStr">
        <is>
          <t>Contabilidad</t>
        </is>
      </c>
      <c r="M898">
        <f>IFERROR(INDEX(Diccionario!$N:$N,MATCH(F984,Diccionario!$C:$C,0)),"")</f>
        <v/>
      </c>
    </row>
    <row r="899" ht="15" customHeight="1" s="57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s="34" t="n">
        <v>81200000</v>
      </c>
      <c r="J899" t="inlineStr">
        <is>
          <t>COP</t>
        </is>
      </c>
      <c r="L899" t="inlineStr">
        <is>
          <t>Contabilidad</t>
        </is>
      </c>
      <c r="M899">
        <f>IFERROR(INDEX(Diccionario!$N:$N,MATCH(F983,Diccionario!$C:$C,0)),"")</f>
        <v/>
      </c>
    </row>
    <row r="900" ht="15" customHeight="1" s="57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s="34" t="n">
        <v>256000</v>
      </c>
      <c r="J900" t="inlineStr">
        <is>
          <t>COP</t>
        </is>
      </c>
      <c r="L900" t="inlineStr">
        <is>
          <t>Contabilidad</t>
        </is>
      </c>
      <c r="M900">
        <f>IFERROR(INDEX(Diccionario!$N:$N,MATCH(F985,Diccionario!$C:$C,0)),"")</f>
        <v/>
      </c>
    </row>
    <row r="901" ht="15" customHeight="1" s="57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s="34" t="n">
        <v>10900000</v>
      </c>
      <c r="J901" t="inlineStr">
        <is>
          <t>COP</t>
        </is>
      </c>
      <c r="L901" t="inlineStr">
        <is>
          <t>Contabilidad</t>
        </is>
      </c>
      <c r="M901">
        <f>IFERROR(INDEX(Diccionario!$N:$N,MATCH(F986,Diccionario!$C:$C,0)),"")</f>
        <v/>
      </c>
    </row>
    <row r="902" ht="15" customHeight="1" s="57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s="34" t="n">
        <v>7600000</v>
      </c>
      <c r="J902" t="inlineStr">
        <is>
          <t>COP</t>
        </is>
      </c>
      <c r="L902" t="inlineStr">
        <is>
          <t>Contabilidad</t>
        </is>
      </c>
      <c r="M902">
        <f>IFERROR(INDEX(Diccionario!$N:$N,MATCH(F987,Diccionario!$C:$C,0)),"")</f>
        <v/>
      </c>
    </row>
    <row r="903" ht="15" customHeight="1" s="57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s="34" t="n">
        <v>7010000</v>
      </c>
      <c r="J903" t="inlineStr">
        <is>
          <t>COP</t>
        </is>
      </c>
      <c r="L903" t="inlineStr">
        <is>
          <t>Contabilidad</t>
        </is>
      </c>
      <c r="M903">
        <f>IFERROR(INDEX(Diccionario!$N:$N,MATCH(F817,Diccionario!$C:$C,0)),"")</f>
        <v/>
      </c>
    </row>
    <row r="904" ht="15" customHeight="1" s="57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s="34" t="n">
        <v>148500000</v>
      </c>
      <c r="J904" t="inlineStr">
        <is>
          <t>COP</t>
        </is>
      </c>
      <c r="L904" t="inlineStr">
        <is>
          <t>Contabilidad</t>
        </is>
      </c>
      <c r="M904">
        <f>IFERROR(INDEX(Diccionario!$N:$N,MATCH(F816,Diccionario!$C:$C,0)),"")</f>
        <v/>
      </c>
    </row>
    <row r="905" ht="15" customHeight="1" s="57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s="34" t="n">
        <v>24100000</v>
      </c>
      <c r="J905" t="inlineStr">
        <is>
          <t>COP</t>
        </is>
      </c>
      <c r="L905" t="inlineStr">
        <is>
          <t>Contabilidad</t>
        </is>
      </c>
      <c r="M905">
        <f>IFERROR(INDEX(Diccionario!$N:$N,MATCH(F818,Diccionario!$C:$C,0)),"")</f>
        <v/>
      </c>
    </row>
    <row r="906" ht="15" customHeight="1" s="57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s="34" t="n">
        <v>0</v>
      </c>
      <c r="J906" t="inlineStr">
        <is>
          <t>COP</t>
        </is>
      </c>
      <c r="L906" t="inlineStr">
        <is>
          <t>Contabilidad</t>
        </is>
      </c>
      <c r="M906">
        <f>IFERROR(INDEX(Diccionario!$N:$N,MATCH(F819,Diccionario!$C:$C,0)),"")</f>
        <v/>
      </c>
    </row>
    <row r="907" ht="15" customHeight="1" s="5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s="34" t="n">
        <v>20433810</v>
      </c>
      <c r="J907" t="inlineStr">
        <is>
          <t>COP</t>
        </is>
      </c>
      <c r="L907" t="inlineStr">
        <is>
          <t>Contabilidad</t>
        </is>
      </c>
      <c r="M907">
        <f>IFERROR(INDEX(Diccionario!$N:$N,MATCH(F1107,Diccionario!$C:$C,0)),"")</f>
        <v/>
      </c>
    </row>
    <row r="908" ht="15" customHeight="1" s="57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s="34" t="n">
        <v>666914432</v>
      </c>
      <c r="J908" t="inlineStr">
        <is>
          <t>COP</t>
        </is>
      </c>
      <c r="L908" t="inlineStr">
        <is>
          <t>Contabilidad</t>
        </is>
      </c>
      <c r="M908">
        <f>IFERROR(INDEX(Diccionario!$N:$N,MATCH(F1094,Diccionario!$C:$C,0)),"")</f>
        <v/>
      </c>
    </row>
    <row r="909" ht="15" customHeight="1" s="57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s="34" t="n">
        <v>-1358174</v>
      </c>
      <c r="J909" t="inlineStr">
        <is>
          <t>COP</t>
        </is>
      </c>
      <c r="L909" t="inlineStr">
        <is>
          <t>Contabilidad</t>
        </is>
      </c>
      <c r="M909">
        <f>IFERROR(INDEX(Diccionario!$N:$N,MATCH(F1150,Diccionario!$C:$C,0)),"")</f>
        <v/>
      </c>
    </row>
    <row r="910" ht="15" customHeight="1" s="57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s="34" t="n">
        <v>-17709872</v>
      </c>
      <c r="J910" t="inlineStr">
        <is>
          <t>COP</t>
        </is>
      </c>
      <c r="L910" t="inlineStr">
        <is>
          <t>Contabilidad</t>
        </is>
      </c>
      <c r="M910">
        <f>IFERROR(INDEX(Diccionario!$N:$N,MATCH(F1137,Diccionario!$C:$C,0)),"")</f>
        <v/>
      </c>
    </row>
    <row r="911" ht="15" customHeight="1" s="57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s="34" t="n">
        <v>0</v>
      </c>
      <c r="J911" t="inlineStr">
        <is>
          <t>COP</t>
        </is>
      </c>
      <c r="L911" t="inlineStr">
        <is>
          <t>Contabilidad</t>
        </is>
      </c>
      <c r="M911">
        <f>IFERROR(INDEX(Diccionario!$N:$N,MATCH(F707,Diccionario!$C:$C,0)),"")</f>
        <v/>
      </c>
    </row>
    <row r="912" ht="15" customHeight="1" s="57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s="34" t="n">
        <v>900000</v>
      </c>
      <c r="J912" t="inlineStr">
        <is>
          <t>COP</t>
        </is>
      </c>
      <c r="L912" t="inlineStr">
        <is>
          <t>Contabilidad</t>
        </is>
      </c>
      <c r="M912">
        <f>IFERROR(INDEX(Diccionario!$N:$N,MATCH(F709,Diccionario!$C:$C,0)),"")</f>
        <v/>
      </c>
    </row>
    <row r="913" ht="15" customHeight="1" s="57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s="34" t="n">
        <v>86400000</v>
      </c>
      <c r="J913" t="inlineStr">
        <is>
          <t>COP</t>
        </is>
      </c>
      <c r="L913" t="inlineStr">
        <is>
          <t>Contabilidad</t>
        </is>
      </c>
      <c r="M913">
        <f>IFERROR(INDEX(Diccionario!$N:$N,MATCH(F706,Diccionario!$C:$C,0)),"")</f>
        <v/>
      </c>
    </row>
    <row r="914" ht="15" customHeight="1" s="57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s="34" t="n">
        <v>14800000</v>
      </c>
      <c r="J914" t="inlineStr">
        <is>
          <t>COP</t>
        </is>
      </c>
      <c r="L914" t="inlineStr">
        <is>
          <t>Contabilidad</t>
        </is>
      </c>
      <c r="M914">
        <f>IFERROR(INDEX(Diccionario!$N:$N,MATCH(F708,Diccionario!$C:$C,0)),"")</f>
        <v/>
      </c>
    </row>
    <row r="915" ht="15" customHeight="1" s="57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s="34" t="n">
        <v>21800000</v>
      </c>
      <c r="J915" t="inlineStr">
        <is>
          <t>COP</t>
        </is>
      </c>
      <c r="L915" t="inlineStr">
        <is>
          <t>Contabilidad</t>
        </is>
      </c>
      <c r="M915">
        <f>IFERROR(INDEX(Diccionario!$N:$N,MATCH(F710,Diccionario!$C:$C,0)),"")</f>
        <v/>
      </c>
    </row>
    <row r="916" ht="15" customHeight="1" s="57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s="34" t="n">
        <v>32100000</v>
      </c>
      <c r="J916" t="inlineStr">
        <is>
          <t>COP</t>
        </is>
      </c>
      <c r="L916" t="inlineStr">
        <is>
          <t>Contabilidad</t>
        </is>
      </c>
      <c r="M916">
        <f>IFERROR(INDEX(Diccionario!$N:$N,MATCH(F588,Diccionario!$C:$C,0)),"")</f>
        <v/>
      </c>
    </row>
    <row r="917" ht="15" customHeight="1" s="5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s="34" t="n">
        <v>21000000</v>
      </c>
      <c r="J917" t="inlineStr">
        <is>
          <t>COP</t>
        </is>
      </c>
      <c r="L917" t="inlineStr">
        <is>
          <t>Contabilidad</t>
        </is>
      </c>
      <c r="M917">
        <f>IFERROR(INDEX(Diccionario!$N:$N,MATCH(F589,Diccionario!$C:$C,0)),"")</f>
        <v/>
      </c>
    </row>
    <row r="918" ht="15" customHeight="1" s="57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s="34" t="n">
        <v>0</v>
      </c>
      <c r="J918" t="inlineStr">
        <is>
          <t>COP</t>
        </is>
      </c>
      <c r="L918" t="inlineStr">
        <is>
          <t>Contabilidad</t>
        </is>
      </c>
      <c r="M918">
        <f>IFERROR(INDEX(Diccionario!$N:$N,MATCH(F587,Diccionario!$C:$C,0)),"")</f>
        <v/>
      </c>
    </row>
    <row r="919" ht="15" customHeight="1" s="57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s="34" t="n">
        <v>111800000</v>
      </c>
      <c r="J919" t="inlineStr">
        <is>
          <t>COP</t>
        </is>
      </c>
      <c r="L919" t="inlineStr">
        <is>
          <t>Contabilidad</t>
        </is>
      </c>
      <c r="M919">
        <f>IFERROR(INDEX(Diccionario!$N:$N,MATCH(F586,Diccionario!$C:$C,0)),"")</f>
        <v/>
      </c>
    </row>
    <row r="920" ht="15" customHeight="1" s="57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s="34" t="n">
        <v>29000000</v>
      </c>
      <c r="J920" t="inlineStr">
        <is>
          <t>COP</t>
        </is>
      </c>
      <c r="L920" t="inlineStr">
        <is>
          <t>Contabilidad</t>
        </is>
      </c>
      <c r="M920">
        <f>IFERROR(INDEX(Diccionario!$N:$N,MATCH(F590,Diccionario!$C:$C,0)),"")</f>
        <v/>
      </c>
    </row>
    <row r="921" ht="15" customHeight="1" s="57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s="45" t="n">
        <v>25.72</v>
      </c>
      <c r="J921" t="inlineStr">
        <is>
          <t>%</t>
        </is>
      </c>
      <c r="L921" t="inlineStr">
        <is>
          <t>Contabilidad</t>
        </is>
      </c>
      <c r="M921">
        <f>IFERROR(INDEX(Diccionario!$N:$N,MATCH(F1024,Diccionario!$C:$C,0)),"")</f>
        <v/>
      </c>
    </row>
    <row r="922" ht="15" customHeight="1" s="57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s="34" t="n">
        <v>37926081</v>
      </c>
      <c r="J922" t="inlineStr">
        <is>
          <t>COP</t>
        </is>
      </c>
      <c r="L922" t="inlineStr">
        <is>
          <t>Contabilidad</t>
        </is>
      </c>
      <c r="M922">
        <f>IFERROR(INDEX(Diccionario!$N:$N,MATCH(F1124,Diccionario!$C:$C,0)),"")</f>
        <v/>
      </c>
    </row>
    <row r="923" ht="15" customHeight="1" s="57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s="34" t="n">
        <v>10500000</v>
      </c>
      <c r="J923" t="inlineStr">
        <is>
          <t>COP</t>
        </is>
      </c>
      <c r="L923" t="inlineStr">
        <is>
          <t>Contabilidad</t>
        </is>
      </c>
      <c r="M923">
        <f>IFERROR(INDEX(Diccionario!$N:$N,MATCH(F444,Diccionario!$C:$C,0)),"")</f>
        <v/>
      </c>
    </row>
    <row r="924" ht="15" customHeight="1" s="57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s="34" t="n">
        <v>21600000</v>
      </c>
      <c r="J924" t="inlineStr">
        <is>
          <t>COP</t>
        </is>
      </c>
      <c r="L924" t="inlineStr">
        <is>
          <t>Contabilidad</t>
        </is>
      </c>
      <c r="M924">
        <f>IFERROR(INDEX(Diccionario!$N:$N,MATCH(F448,Diccionario!$C:$C,0)),"")</f>
        <v/>
      </c>
    </row>
    <row r="925" ht="15" customHeight="1" s="57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s="34" t="n">
        <v>19800000</v>
      </c>
      <c r="J925" t="inlineStr">
        <is>
          <t>COP</t>
        </is>
      </c>
      <c r="L925" t="inlineStr">
        <is>
          <t>Contabilidad</t>
        </is>
      </c>
      <c r="M925">
        <f>IFERROR(INDEX(Diccionario!$N:$N,MATCH(F443,Diccionario!$C:$C,0)),"")</f>
        <v/>
      </c>
    </row>
    <row r="926" ht="15" customHeight="1" s="57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s="34" t="n">
        <v>57500000</v>
      </c>
      <c r="J926" t="inlineStr">
        <is>
          <t>COP</t>
        </is>
      </c>
      <c r="L926" t="inlineStr">
        <is>
          <t>Contabilidad</t>
        </is>
      </c>
      <c r="M926">
        <f>IFERROR(INDEX(Diccionario!$N:$N,MATCH(F442,Diccionario!$C:$C,0)),"")</f>
        <v/>
      </c>
    </row>
    <row r="927" ht="15" customHeight="1" s="5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s="34" t="n">
        <v>900000</v>
      </c>
      <c r="J927" t="inlineStr">
        <is>
          <t>COP</t>
        </is>
      </c>
      <c r="L927" t="inlineStr">
        <is>
          <t>Contabilidad</t>
        </is>
      </c>
      <c r="M927">
        <f>IFERROR(INDEX(Diccionario!$N:$N,MATCH(F445,Diccionario!$C:$C,0)),"")</f>
        <v/>
      </c>
    </row>
    <row r="928" ht="15" customHeight="1" s="57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s="34" t="n">
        <v>3600000</v>
      </c>
      <c r="J928" t="inlineStr">
        <is>
          <t>COP</t>
        </is>
      </c>
      <c r="L928" t="inlineStr">
        <is>
          <t>Contabilidad</t>
        </is>
      </c>
      <c r="M928">
        <f>IFERROR(INDEX(Diccionario!$N:$N,MATCH(F446,Diccionario!$C:$C,0)),"")</f>
        <v/>
      </c>
    </row>
    <row r="929" ht="15" customHeight="1" s="57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s="34" t="n">
        <v>0</v>
      </c>
      <c r="J929" t="inlineStr">
        <is>
          <t>COP</t>
        </is>
      </c>
      <c r="L929" t="inlineStr">
        <is>
          <t>Contabilidad</t>
        </is>
      </c>
      <c r="M929">
        <f>IFERROR(INDEX(Diccionario!$N:$N,MATCH(F447,Diccionario!$C:$C,0)),"")</f>
        <v/>
      </c>
    </row>
    <row r="930" ht="15" customHeight="1" s="57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s="34" t="n">
        <v>114200000</v>
      </c>
      <c r="J930" t="inlineStr">
        <is>
          <t>COP</t>
        </is>
      </c>
      <c r="L930" t="inlineStr">
        <is>
          <t>Contabilidad</t>
        </is>
      </c>
      <c r="M930">
        <f>IFERROR(INDEX(Diccionario!$N:$N,MATCH(F248,Diccionario!$C:$C,0)),"")</f>
        <v/>
      </c>
    </row>
    <row r="931" ht="15" customHeight="1" s="57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s="34" t="n">
        <v>130200000</v>
      </c>
      <c r="J931" t="inlineStr">
        <is>
          <t>COP</t>
        </is>
      </c>
      <c r="L931" t="inlineStr">
        <is>
          <t>Contabilidad</t>
        </is>
      </c>
      <c r="M931">
        <f>IFERROR(INDEX(Diccionario!$N:$N,MATCH(F247,Diccionario!$C:$C,0)),"")</f>
        <v/>
      </c>
    </row>
    <row r="932" ht="15" customHeight="1" s="57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s="34" t="n">
        <v>5000000</v>
      </c>
      <c r="J932" t="inlineStr">
        <is>
          <t>COP</t>
        </is>
      </c>
      <c r="L932" t="inlineStr">
        <is>
          <t>Contabilidad</t>
        </is>
      </c>
      <c r="M932">
        <f>IFERROR(INDEX(Diccionario!$N:$N,MATCH(F244,Diccionario!$C:$C,0)),"")</f>
        <v/>
      </c>
    </row>
    <row r="933" ht="15" customHeight="1" s="57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s="34" t="n">
        <v>194000000</v>
      </c>
      <c r="J933" t="inlineStr">
        <is>
          <t>COP</t>
        </is>
      </c>
      <c r="L933" t="inlineStr">
        <is>
          <t>Contabilidad</t>
        </is>
      </c>
      <c r="M933">
        <f>IFERROR(INDEX(Diccionario!$N:$N,MATCH(F246,Diccionario!$C:$C,0)),"")</f>
        <v/>
      </c>
    </row>
    <row r="934" ht="15" customHeight="1" s="57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s="34" t="n">
        <v>311400000</v>
      </c>
      <c r="J934" t="inlineStr">
        <is>
          <t>COP</t>
        </is>
      </c>
      <c r="L934" t="inlineStr">
        <is>
          <t>Contabilidad</t>
        </is>
      </c>
      <c r="M934">
        <f>IFERROR(INDEX(Diccionario!$N:$N,MATCH(F245,Diccionario!$C:$C,0)),"")</f>
        <v/>
      </c>
    </row>
    <row r="935" ht="15" customHeight="1" s="57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s="34" t="n">
        <v>9100000</v>
      </c>
      <c r="J935" t="inlineStr">
        <is>
          <t>COP</t>
        </is>
      </c>
      <c r="L935" t="inlineStr">
        <is>
          <t>Contabilidad</t>
        </is>
      </c>
      <c r="M935">
        <f>IFERROR(INDEX(Diccionario!$N:$N,MATCH(F994,Diccionario!$C:$C,0)),"")</f>
        <v/>
      </c>
    </row>
    <row r="936" ht="15" customHeight="1" s="57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s="34" t="n">
        <v>28900000</v>
      </c>
      <c r="J936" t="inlineStr">
        <is>
          <t>COP</t>
        </is>
      </c>
      <c r="L936" t="inlineStr">
        <is>
          <t>Contabilidad</t>
        </is>
      </c>
      <c r="M936">
        <f>IFERROR(INDEX(Diccionario!$N:$N,MATCH(F990,Diccionario!$C:$C,0)),"")</f>
        <v/>
      </c>
    </row>
    <row r="937" ht="15" customHeight="1" s="5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s="34" t="n">
        <v>61100000</v>
      </c>
      <c r="J937" t="inlineStr">
        <is>
          <t>COP</t>
        </is>
      </c>
      <c r="L937" t="inlineStr">
        <is>
          <t>Contabilidad</t>
        </is>
      </c>
      <c r="M937">
        <f>IFERROR(INDEX(Diccionario!$N:$N,MATCH(F989,Diccionario!$C:$C,0)),"")</f>
        <v/>
      </c>
    </row>
    <row r="938" ht="15" customHeight="1" s="57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s="34" t="n">
        <v>100000</v>
      </c>
      <c r="J938" t="inlineStr">
        <is>
          <t>COP</t>
        </is>
      </c>
      <c r="L938" t="inlineStr">
        <is>
          <t>Contabilidad</t>
        </is>
      </c>
      <c r="M938">
        <f>IFERROR(INDEX(Diccionario!$N:$N,MATCH(F991,Diccionario!$C:$C,0)),"")</f>
        <v/>
      </c>
    </row>
    <row r="939" ht="15" customHeight="1" s="57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s="34" t="n">
        <v>23100000</v>
      </c>
      <c r="J939" t="inlineStr">
        <is>
          <t>COP</t>
        </is>
      </c>
      <c r="L939" t="inlineStr">
        <is>
          <t>Contabilidad</t>
        </is>
      </c>
      <c r="M939">
        <f>IFERROR(INDEX(Diccionario!$N:$N,MATCH(F992,Diccionario!$C:$C,0)),"")</f>
        <v/>
      </c>
    </row>
    <row r="940" ht="15" customHeight="1" s="57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s="34" t="n">
        <v>7700000</v>
      </c>
      <c r="J940" t="inlineStr">
        <is>
          <t>COP</t>
        </is>
      </c>
      <c r="L940" t="inlineStr">
        <is>
          <t>Contabilidad</t>
        </is>
      </c>
      <c r="M940">
        <f>IFERROR(INDEX(Diccionario!$N:$N,MATCH(F993,Diccionario!$C:$C,0)),"")</f>
        <v/>
      </c>
    </row>
    <row r="941" ht="15" customHeight="1" s="57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s="34" t="n">
        <v>6900000</v>
      </c>
      <c r="J941" t="inlineStr">
        <is>
          <t>COP</t>
        </is>
      </c>
      <c r="L941" t="inlineStr">
        <is>
          <t>Contabilidad</t>
        </is>
      </c>
      <c r="M941">
        <f>IFERROR(INDEX(Diccionario!$N:$N,MATCH(F821,Diccionario!$C:$C,0)),"")</f>
        <v/>
      </c>
    </row>
    <row r="942" ht="15" customHeight="1" s="57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s="34" t="n">
        <v>163400000</v>
      </c>
      <c r="J942" t="inlineStr">
        <is>
          <t>COP</t>
        </is>
      </c>
      <c r="L942" t="inlineStr">
        <is>
          <t>Contabilidad</t>
        </is>
      </c>
      <c r="M942">
        <f>IFERROR(INDEX(Diccionario!$N:$N,MATCH(F820,Diccionario!$C:$C,0)),"")</f>
        <v/>
      </c>
    </row>
    <row r="943" ht="15" customHeight="1" s="57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s="34" t="n">
        <v>14700000</v>
      </c>
      <c r="J943" t="inlineStr">
        <is>
          <t>COP</t>
        </is>
      </c>
      <c r="L943" t="inlineStr">
        <is>
          <t>Contabilidad</t>
        </is>
      </c>
      <c r="M943">
        <f>IFERROR(INDEX(Diccionario!$N:$N,MATCH(F822,Diccionario!$C:$C,0)),"")</f>
        <v/>
      </c>
    </row>
    <row r="944" ht="15" customHeight="1" s="57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s="34" t="n">
        <v>0</v>
      </c>
      <c r="J944" t="inlineStr">
        <is>
          <t>COP</t>
        </is>
      </c>
      <c r="L944" t="inlineStr">
        <is>
          <t>Contabilidad</t>
        </is>
      </c>
      <c r="M944">
        <f>IFERROR(INDEX(Diccionario!$N:$N,MATCH(F823,Diccionario!$C:$C,0)),"")</f>
        <v/>
      </c>
    </row>
    <row r="945" ht="15" customHeight="1" s="57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s="34" t="n">
        <v>19704840</v>
      </c>
      <c r="J945" t="inlineStr">
        <is>
          <t>COP</t>
        </is>
      </c>
      <c r="L945" t="inlineStr">
        <is>
          <t>Contabilidad</t>
        </is>
      </c>
      <c r="M945">
        <f>IFERROR(INDEX(Diccionario!$N:$N,MATCH(F1108,Diccionario!$C:$C,0)),"")</f>
        <v/>
      </c>
    </row>
    <row r="946" ht="15" customHeight="1" s="57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s="34" t="n">
        <v>685135673</v>
      </c>
      <c r="J946" t="inlineStr">
        <is>
          <t>COP</t>
        </is>
      </c>
      <c r="L946" t="inlineStr">
        <is>
          <t>Contabilidad</t>
        </is>
      </c>
      <c r="M946">
        <f>IFERROR(INDEX(Diccionario!$N:$N,MATCH(F1095,Diccionario!$C:$C,0)),"")</f>
        <v/>
      </c>
    </row>
    <row r="947" ht="15" customHeight="1" s="5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s="45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  <c r="M947">
        <f>IFERROR(INDEX(Diccionario!$N:$N,MATCH(F111,Diccionario!$C:$C,0)),"")</f>
        <v/>
      </c>
    </row>
    <row r="948" ht="15" customHeight="1" s="57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s="34" t="n">
        <v>9726509</v>
      </c>
      <c r="J948" t="inlineStr">
        <is>
          <t>COP</t>
        </is>
      </c>
      <c r="L948" t="inlineStr">
        <is>
          <t>Contabilidad</t>
        </is>
      </c>
      <c r="M948">
        <f>IFERROR(INDEX(Diccionario!$N:$N,MATCH(F107,Diccionario!$C:$C,0)),"")</f>
        <v/>
      </c>
    </row>
    <row r="949" ht="15" customHeight="1" s="57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s="45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  <c r="M949">
        <f>IFERROR(INDEX(Diccionario!$N:$N,MATCH(F110,Diccionario!$C:$C,0)),"")</f>
        <v/>
      </c>
    </row>
    <row r="950" ht="15" customHeight="1" s="57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s="34" t="n">
        <v>1097766089.63</v>
      </c>
      <c r="J950" t="inlineStr">
        <is>
          <t>COP</t>
        </is>
      </c>
      <c r="L950" t="inlineStr">
        <is>
          <t>Contabilidad</t>
        </is>
      </c>
      <c r="M950">
        <f>IFERROR(INDEX(Diccionario!$N:$N,MATCH(F106,Diccionario!$C:$C,0)),"")</f>
        <v/>
      </c>
    </row>
    <row r="951" ht="15" customHeight="1" s="57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s="34" t="n">
        <v>1681540719.43</v>
      </c>
      <c r="J951" t="inlineStr">
        <is>
          <t>COP</t>
        </is>
      </c>
      <c r="L951" t="inlineStr">
        <is>
          <t>Contabilidad</t>
        </is>
      </c>
      <c r="M951">
        <f>IFERROR(INDEX(Diccionario!$N:$N,MATCH(F104,Diccionario!$C:$C,0)),"")</f>
        <v/>
      </c>
    </row>
    <row r="952" ht="15" customHeight="1" s="57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s="34" t="n">
        <v>583774629.8</v>
      </c>
      <c r="J952" t="inlineStr">
        <is>
          <t>COP</t>
        </is>
      </c>
      <c r="L952" t="inlineStr">
        <is>
          <t>Contabilidad</t>
        </is>
      </c>
      <c r="M952">
        <f>IFERROR(INDEX(Diccionario!$N:$N,MATCH(F105,Diccionario!$C:$C,0)),"")</f>
        <v/>
      </c>
    </row>
    <row r="953" ht="15" customHeight="1" s="57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s="45" t="n">
        <v>7</v>
      </c>
      <c r="J953" t="inlineStr">
        <is>
          <t>%</t>
        </is>
      </c>
      <c r="L953" t="inlineStr">
        <is>
          <t>Contabilidad</t>
        </is>
      </c>
      <c r="M953">
        <f>IFERROR(INDEX(Diccionario!$N:$N,MATCH(F1213,Diccionario!$C:$C,0)),"")</f>
        <v/>
      </c>
    </row>
    <row r="954" ht="15" customHeight="1" s="57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s="45" t="n">
        <v>6</v>
      </c>
      <c r="J954" t="inlineStr">
        <is>
          <t>%</t>
        </is>
      </c>
      <c r="L954" t="inlineStr">
        <is>
          <t>Contabilidad</t>
        </is>
      </c>
      <c r="M954">
        <f>IFERROR(INDEX(Diccionario!$N:$N,MATCH(F1215,Diccionario!$C:$C,0)),"")</f>
        <v/>
      </c>
    </row>
    <row r="955" ht="15" customHeight="1" s="57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s="45" t="n">
        <v>4</v>
      </c>
      <c r="J955" t="inlineStr">
        <is>
          <t>%</t>
        </is>
      </c>
      <c r="L955" t="inlineStr">
        <is>
          <t>Contabilidad</t>
        </is>
      </c>
      <c r="M955">
        <f>IFERROR(INDEX(Diccionario!$N:$N,MATCH(F1218,Diccionario!$C:$C,0)),"")</f>
        <v/>
      </c>
    </row>
    <row r="956" ht="15" customHeight="1" s="57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s="45" t="n">
        <v>11</v>
      </c>
      <c r="J956" t="inlineStr">
        <is>
          <t>%</t>
        </is>
      </c>
      <c r="L956" t="inlineStr">
        <is>
          <t>Contabilidad</t>
        </is>
      </c>
      <c r="M956">
        <f>IFERROR(INDEX(Diccionario!$N:$N,MATCH(F1212,Diccionario!$C:$C,0)),"")</f>
        <v/>
      </c>
    </row>
    <row r="957" ht="15" customHeight="1" s="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s="45" t="n">
        <v>4</v>
      </c>
      <c r="J957" t="inlineStr">
        <is>
          <t>%</t>
        </is>
      </c>
      <c r="L957" t="inlineStr">
        <is>
          <t>Contabilidad</t>
        </is>
      </c>
      <c r="M957">
        <f>IFERROR(INDEX(Diccionario!$N:$N,MATCH(F1216,Diccionario!$C:$C,0)),"")</f>
        <v/>
      </c>
    </row>
    <row r="958" ht="15" customHeight="1" s="57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s="45" t="n">
        <v>5</v>
      </c>
      <c r="J958" t="inlineStr">
        <is>
          <t>%</t>
        </is>
      </c>
      <c r="L958" t="inlineStr">
        <is>
          <t>Contabilidad</t>
        </is>
      </c>
      <c r="M958">
        <f>IFERROR(INDEX(Diccionario!$N:$N,MATCH(F1214,Diccionario!$C:$C,0)),"")</f>
        <v/>
      </c>
    </row>
    <row r="959" ht="15" customHeight="1" s="57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s="45" t="n">
        <v>4</v>
      </c>
      <c r="J959" t="inlineStr">
        <is>
          <t>%</t>
        </is>
      </c>
      <c r="L959" t="inlineStr">
        <is>
          <t>Contabilidad</t>
        </is>
      </c>
      <c r="M959">
        <f>IFERROR(INDEX(Diccionario!$N:$N,MATCH(F1217,Diccionario!$C:$C,0)),"")</f>
        <v/>
      </c>
    </row>
    <row r="960" ht="15" customHeight="1" s="57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s="45" t="n">
        <v>59</v>
      </c>
      <c r="J960" t="inlineStr">
        <is>
          <t>%</t>
        </is>
      </c>
      <c r="L960" t="inlineStr">
        <is>
          <t>Contabilidad</t>
        </is>
      </c>
      <c r="M960">
        <f>IFERROR(INDEX(Diccionario!$N:$N,MATCH(F1219,Diccionario!$C:$C,0)),"")</f>
        <v/>
      </c>
    </row>
    <row r="961" ht="15" customHeight="1" s="57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s="34" t="n">
        <v>0</v>
      </c>
      <c r="J961" t="inlineStr">
        <is>
          <t>COP</t>
        </is>
      </c>
      <c r="L961" t="inlineStr">
        <is>
          <t>Contabilidad</t>
        </is>
      </c>
      <c r="M961">
        <f>IFERROR(INDEX(Diccionario!$N:$N,MATCH(F1151,Diccionario!$C:$C,0)),"")</f>
        <v/>
      </c>
    </row>
    <row r="962" ht="15" customHeight="1" s="57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s="45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  <c r="M962">
        <f>IFERROR(INDEX(Diccionario!$N:$N,MATCH(F112,Diccionario!$C:$C,0)),"")</f>
        <v/>
      </c>
    </row>
    <row r="963" ht="15" customHeight="1" s="57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s="34" t="n">
        <v>-43867662</v>
      </c>
      <c r="J963" t="inlineStr">
        <is>
          <t>COP</t>
        </is>
      </c>
      <c r="L963" t="inlineStr">
        <is>
          <t>Contabilidad</t>
        </is>
      </c>
      <c r="M963">
        <f>IFERROR(INDEX(Diccionario!$N:$N,MATCH(F1138,Diccionario!$C:$C,0)),"")</f>
        <v/>
      </c>
    </row>
    <row r="964" ht="15" customHeight="1" s="57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s="34" t="n">
        <v>0</v>
      </c>
      <c r="J964" t="inlineStr">
        <is>
          <t>COP</t>
        </is>
      </c>
      <c r="L964" t="inlineStr">
        <is>
          <t>Contabilidad</t>
        </is>
      </c>
      <c r="M964">
        <f>IFERROR(INDEX(Diccionario!$N:$N,MATCH(F712,Diccionario!$C:$C,0)),"")</f>
        <v/>
      </c>
    </row>
    <row r="965" ht="15" customHeight="1" s="57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s="34" t="n">
        <v>0</v>
      </c>
      <c r="J965" t="inlineStr">
        <is>
          <t>COP</t>
        </is>
      </c>
      <c r="L965" t="inlineStr">
        <is>
          <t>Contabilidad</t>
        </is>
      </c>
      <c r="M965">
        <f>IFERROR(INDEX(Diccionario!$N:$N,MATCH(F714,Diccionario!$C:$C,0)),"")</f>
        <v/>
      </c>
    </row>
    <row r="966" ht="15" customHeight="1" s="57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s="34" t="n">
        <v>92900000</v>
      </c>
      <c r="J966" t="inlineStr">
        <is>
          <t>COP</t>
        </is>
      </c>
      <c r="L966" t="inlineStr">
        <is>
          <t>Contabilidad</t>
        </is>
      </c>
      <c r="M966">
        <f>IFERROR(INDEX(Diccionario!$N:$N,MATCH(F711,Diccionario!$C:$C,0)),"")</f>
        <v/>
      </c>
    </row>
    <row r="967" ht="15" customHeight="1" s="5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s="34" t="n">
        <v>11200000</v>
      </c>
      <c r="J967" t="inlineStr">
        <is>
          <t>COP</t>
        </is>
      </c>
      <c r="L967" t="inlineStr">
        <is>
          <t>Contabilidad</t>
        </is>
      </c>
      <c r="M967">
        <f>IFERROR(INDEX(Diccionario!$N:$N,MATCH(F713,Diccionario!$C:$C,0)),"")</f>
        <v/>
      </c>
    </row>
    <row r="968" ht="15" customHeight="1" s="57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s="34" t="n">
        <v>16300000</v>
      </c>
      <c r="J968" t="inlineStr">
        <is>
          <t>COP</t>
        </is>
      </c>
      <c r="L968" t="inlineStr">
        <is>
          <t>Contabilidad</t>
        </is>
      </c>
      <c r="M968">
        <f>IFERROR(INDEX(Diccionario!$N:$N,MATCH(F715,Diccionario!$C:$C,0)),"")</f>
        <v/>
      </c>
    </row>
    <row r="969" ht="15" customHeight="1" s="57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s="34" t="n">
        <v>34300000</v>
      </c>
      <c r="J969" t="inlineStr">
        <is>
          <t>COP</t>
        </is>
      </c>
      <c r="L969" t="inlineStr">
        <is>
          <t>Contabilidad</t>
        </is>
      </c>
      <c r="M969">
        <f>IFERROR(INDEX(Diccionario!$N:$N,MATCH(F593,Diccionario!$C:$C,0)),"")</f>
        <v/>
      </c>
    </row>
    <row r="970" ht="15" customHeight="1" s="57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s="34" t="n">
        <v>21500000</v>
      </c>
      <c r="J970" t="inlineStr">
        <is>
          <t>COP</t>
        </is>
      </c>
      <c r="L970" t="inlineStr">
        <is>
          <t>Contabilidad</t>
        </is>
      </c>
      <c r="M970">
        <f>IFERROR(INDEX(Diccionario!$N:$N,MATCH(F594,Diccionario!$C:$C,0)),"")</f>
        <v/>
      </c>
    </row>
    <row r="971" ht="15" customHeight="1" s="57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s="34" t="n">
        <v>0</v>
      </c>
      <c r="J971" t="inlineStr">
        <is>
          <t>COP</t>
        </is>
      </c>
      <c r="L971" t="inlineStr">
        <is>
          <t>Contabilidad</t>
        </is>
      </c>
      <c r="M971">
        <f>IFERROR(INDEX(Diccionario!$N:$N,MATCH(F592,Diccionario!$C:$C,0)),"")</f>
        <v/>
      </c>
    </row>
    <row r="972" ht="15" customHeight="1" s="57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s="34" t="n">
        <v>112300000</v>
      </c>
      <c r="J972" t="inlineStr">
        <is>
          <t>COP</t>
        </is>
      </c>
      <c r="L972" t="inlineStr">
        <is>
          <t>Contabilidad</t>
        </is>
      </c>
      <c r="M972">
        <f>IFERROR(INDEX(Diccionario!$N:$N,MATCH(F591,Diccionario!$C:$C,0)),"")</f>
        <v/>
      </c>
    </row>
    <row r="973" ht="15" customHeight="1" s="57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s="34" t="n">
        <v>18300000</v>
      </c>
      <c r="J973" t="inlineStr">
        <is>
          <t>COP</t>
        </is>
      </c>
      <c r="L973" t="inlineStr">
        <is>
          <t>Contabilidad</t>
        </is>
      </c>
      <c r="M973">
        <f>IFERROR(INDEX(Diccionario!$N:$N,MATCH(F595,Diccionario!$C:$C,0)),"")</f>
        <v/>
      </c>
    </row>
    <row r="974" ht="15" customHeight="1" s="57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s="45" t="n">
        <v>22.96</v>
      </c>
      <c r="J974" t="inlineStr">
        <is>
          <t>%</t>
        </is>
      </c>
      <c r="L974" t="inlineStr">
        <is>
          <t>Contabilidad</t>
        </is>
      </c>
      <c r="M974">
        <f>IFERROR(INDEX(Diccionario!$N:$N,MATCH(F1025,Diccionario!$C:$C,0)),"")</f>
        <v/>
      </c>
    </row>
    <row r="975" ht="15" customHeight="1" s="57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s="47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  <c r="M975">
        <f>IFERROR(INDEX(Diccionario!$N:$N,MATCH(F108,Diccionario!$C:$C,0)),"")</f>
        <v/>
      </c>
    </row>
    <row r="976" ht="15" customHeight="1" s="57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s="34" t="n">
        <v>10796596</v>
      </c>
      <c r="J976" t="inlineStr">
        <is>
          <t>COP</t>
        </is>
      </c>
      <c r="L976" t="inlineStr">
        <is>
          <t>Contabilidad</t>
        </is>
      </c>
      <c r="M976">
        <f>IFERROR(INDEX(Diccionario!$N:$N,MATCH(F1125,Diccionario!$C:$C,0)),"")</f>
        <v/>
      </c>
    </row>
    <row r="977" ht="15" customHeight="1" s="5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s="34" t="n">
        <v>10100000</v>
      </c>
      <c r="J977" t="inlineStr">
        <is>
          <t>COP</t>
        </is>
      </c>
      <c r="L977" t="inlineStr">
        <is>
          <t>Contabilidad</t>
        </is>
      </c>
      <c r="M977">
        <f>IFERROR(INDEX(Diccionario!$N:$N,MATCH(F451,Diccionario!$C:$C,0)),"")</f>
        <v/>
      </c>
    </row>
    <row r="978" ht="15" customHeight="1" s="57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s="34" t="n">
        <v>14100000</v>
      </c>
      <c r="J978" t="inlineStr">
        <is>
          <t>COP</t>
        </is>
      </c>
      <c r="L978" t="inlineStr">
        <is>
          <t>Contabilidad</t>
        </is>
      </c>
      <c r="M978">
        <f>IFERROR(INDEX(Diccionario!$N:$N,MATCH(F455,Diccionario!$C:$C,0)),"")</f>
        <v/>
      </c>
    </row>
    <row r="979" ht="15" customHeight="1" s="57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s="34" t="n">
        <v>17100000</v>
      </c>
      <c r="J979" t="inlineStr">
        <is>
          <t>COP</t>
        </is>
      </c>
      <c r="L979" t="inlineStr">
        <is>
          <t>Contabilidad</t>
        </is>
      </c>
      <c r="M979">
        <f>IFERROR(INDEX(Diccionario!$N:$N,MATCH(F450,Diccionario!$C:$C,0)),"")</f>
        <v/>
      </c>
    </row>
    <row r="980" ht="15" customHeight="1" s="57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s="34" t="n">
        <v>62300000</v>
      </c>
      <c r="J980" t="inlineStr">
        <is>
          <t>COP</t>
        </is>
      </c>
      <c r="L980" t="inlineStr">
        <is>
          <t>Contabilidad</t>
        </is>
      </c>
      <c r="M980">
        <f>IFERROR(INDEX(Diccionario!$N:$N,MATCH(F449,Diccionario!$C:$C,0)),"")</f>
        <v/>
      </c>
    </row>
    <row r="981" ht="15" customHeight="1" s="57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s="34" t="n">
        <v>900000</v>
      </c>
      <c r="J981" t="inlineStr">
        <is>
          <t>COP</t>
        </is>
      </c>
      <c r="L981" t="inlineStr">
        <is>
          <t>Contabilidad</t>
        </is>
      </c>
      <c r="M981">
        <f>IFERROR(INDEX(Diccionario!$N:$N,MATCH(F452,Diccionario!$C:$C,0)),"")</f>
        <v/>
      </c>
    </row>
    <row r="982" ht="15" customHeight="1" s="57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s="34" t="n">
        <v>6600000</v>
      </c>
      <c r="J982" t="inlineStr">
        <is>
          <t>COP</t>
        </is>
      </c>
      <c r="L982" t="inlineStr">
        <is>
          <t>Contabilidad</t>
        </is>
      </c>
      <c r="M982">
        <f>IFERROR(INDEX(Diccionario!$N:$N,MATCH(F453,Diccionario!$C:$C,0)),"")</f>
        <v/>
      </c>
    </row>
    <row r="983" ht="15" customHeight="1" s="57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s="34" t="n">
        <v>5200000</v>
      </c>
      <c r="J983" t="inlineStr">
        <is>
          <t>COP</t>
        </is>
      </c>
      <c r="L983" t="inlineStr">
        <is>
          <t>Contabilidad</t>
        </is>
      </c>
      <c r="M983">
        <f>IFERROR(INDEX(Diccionario!$N:$N,MATCH(F454,Diccionario!$C:$C,0)),"")</f>
        <v/>
      </c>
    </row>
    <row r="984" ht="15" customHeight="1" s="57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s="34" t="n">
        <v>116800000</v>
      </c>
      <c r="J984" t="inlineStr">
        <is>
          <t>COP</t>
        </is>
      </c>
      <c r="L984" t="inlineStr">
        <is>
          <t>Contabilidad</t>
        </is>
      </c>
      <c r="M984">
        <f>IFERROR(INDEX(Diccionario!$N:$N,MATCH(F253,Diccionario!$C:$C,0)),"")</f>
        <v/>
      </c>
    </row>
    <row r="985" ht="15" customHeight="1" s="57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s="34" t="n">
        <v>120200000</v>
      </c>
      <c r="J985" t="inlineStr">
        <is>
          <t>COP</t>
        </is>
      </c>
      <c r="L985" t="inlineStr">
        <is>
          <t>Contabilidad</t>
        </is>
      </c>
      <c r="M985">
        <f>IFERROR(INDEX(Diccionario!$N:$N,MATCH(F252,Diccionario!$C:$C,0)),"")</f>
        <v/>
      </c>
    </row>
    <row r="986" ht="15" customHeight="1" s="57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s="34" t="n">
        <v>6000000</v>
      </c>
      <c r="J986" t="inlineStr">
        <is>
          <t>COP</t>
        </is>
      </c>
      <c r="L986" t="inlineStr">
        <is>
          <t>Contabilidad</t>
        </is>
      </c>
      <c r="M986">
        <f>IFERROR(INDEX(Diccionario!$N:$N,MATCH(F249,Diccionario!$C:$C,0)),"")</f>
        <v/>
      </c>
    </row>
    <row r="987" ht="15" customHeight="1" s="5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s="34" t="n">
        <v>186500000</v>
      </c>
      <c r="J987" t="inlineStr">
        <is>
          <t>COP</t>
        </is>
      </c>
      <c r="L987" t="inlineStr">
        <is>
          <t>Contabilidad</t>
        </is>
      </c>
      <c r="M987">
        <f>IFERROR(INDEX(Diccionario!$N:$N,MATCH(F251,Diccionario!$C:$C,0)),"")</f>
        <v/>
      </c>
    </row>
    <row r="988" ht="15" customHeight="1" s="57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s="34" t="n">
        <v>289900000</v>
      </c>
      <c r="J988" t="inlineStr">
        <is>
          <t>COP</t>
        </is>
      </c>
      <c r="L988" t="inlineStr">
        <is>
          <t>Contabilidad</t>
        </is>
      </c>
      <c r="M988">
        <f>IFERROR(INDEX(Diccionario!$N:$N,MATCH(F250,Diccionario!$C:$C,0)),"")</f>
        <v/>
      </c>
    </row>
    <row r="989" ht="15" customHeight="1" s="57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s="34" t="n">
        <v>11600000</v>
      </c>
      <c r="J989" t="inlineStr">
        <is>
          <t>COP</t>
        </is>
      </c>
      <c r="L989" t="inlineStr">
        <is>
          <t>Contabilidad</t>
        </is>
      </c>
      <c r="M989">
        <f>IFERROR(INDEX(Diccionario!$N:$N,MATCH(F1000,Diccionario!$C:$C,0)),"")</f>
        <v/>
      </c>
    </row>
    <row r="990" ht="15" customHeight="1" s="57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s="34" t="n">
        <v>30600000</v>
      </c>
      <c r="J990" t="inlineStr">
        <is>
          <t>COP</t>
        </is>
      </c>
      <c r="L990" t="inlineStr">
        <is>
          <t>Contabilidad</t>
        </is>
      </c>
      <c r="M990">
        <f>IFERROR(INDEX(Diccionario!$N:$N,MATCH(F996,Diccionario!$C:$C,0)),"")</f>
        <v/>
      </c>
    </row>
    <row r="991" ht="15" customHeight="1" s="57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s="34" t="n">
        <v>54300000</v>
      </c>
      <c r="J991" t="inlineStr">
        <is>
          <t>COP</t>
        </is>
      </c>
      <c r="L991" t="inlineStr">
        <is>
          <t>Contabilidad</t>
        </is>
      </c>
      <c r="M991">
        <f>IFERROR(INDEX(Diccionario!$N:$N,MATCH(F995,Diccionario!$C:$C,0)),"")</f>
        <v/>
      </c>
    </row>
    <row r="992" ht="15" customHeight="1" s="57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s="34" t="n">
        <v>2100000</v>
      </c>
      <c r="J992" t="inlineStr">
        <is>
          <t>COP</t>
        </is>
      </c>
      <c r="L992" t="inlineStr">
        <is>
          <t>Contabilidad</t>
        </is>
      </c>
      <c r="M992">
        <f>IFERROR(INDEX(Diccionario!$N:$N,MATCH(F997,Diccionario!$C:$C,0)),"")</f>
        <v/>
      </c>
    </row>
    <row r="993" ht="15" customHeight="1" s="57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s="34" t="n">
        <v>12200000</v>
      </c>
      <c r="J993" t="inlineStr">
        <is>
          <t>COP</t>
        </is>
      </c>
      <c r="L993" t="inlineStr">
        <is>
          <t>Contabilidad</t>
        </is>
      </c>
      <c r="M993">
        <f>IFERROR(INDEX(Diccionario!$N:$N,MATCH(F998,Diccionario!$C:$C,0)),"")</f>
        <v/>
      </c>
    </row>
    <row r="994" ht="15" customHeight="1" s="57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s="34" t="n">
        <v>9100000</v>
      </c>
      <c r="J994" t="inlineStr">
        <is>
          <t>COP</t>
        </is>
      </c>
      <c r="L994" t="inlineStr">
        <is>
          <t>Contabilidad</t>
        </is>
      </c>
      <c r="M994">
        <f>IFERROR(INDEX(Diccionario!$N:$N,MATCH(F999,Diccionario!$C:$C,0)),"")</f>
        <v/>
      </c>
    </row>
    <row r="995" ht="1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s="34" t="n">
        <v>7000000</v>
      </c>
      <c r="J995" t="inlineStr">
        <is>
          <t>COP</t>
        </is>
      </c>
      <c r="L995" t="inlineStr">
        <is>
          <t>Contabilidad</t>
        </is>
      </c>
      <c r="M995">
        <f>IFERROR(INDEX(Diccionario!$N:$N,MATCH(F825,Diccionario!$C:$C,0)),"")</f>
        <v/>
      </c>
    </row>
    <row r="996" ht="1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s="34" t="n">
        <v>157900000</v>
      </c>
      <c r="J996" t="inlineStr">
        <is>
          <t>COP</t>
        </is>
      </c>
      <c r="L996" t="inlineStr">
        <is>
          <t>Contabilidad</t>
        </is>
      </c>
      <c r="M996">
        <f>IFERROR(INDEX(Diccionario!$N:$N,MATCH(F824,Diccionario!$C:$C,0)),"")</f>
        <v/>
      </c>
    </row>
    <row r="997" ht="1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s="34" t="n">
        <v>3800000</v>
      </c>
      <c r="J997" t="inlineStr">
        <is>
          <t>COP</t>
        </is>
      </c>
      <c r="L997" t="inlineStr">
        <is>
          <t>Contabilidad</t>
        </is>
      </c>
      <c r="M997">
        <f>IFERROR(INDEX(Diccionario!$N:$N,MATCH(F826,Diccionario!$C:$C,0)),"")</f>
        <v/>
      </c>
    </row>
    <row r="998" ht="1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s="34" t="n">
        <v>0</v>
      </c>
      <c r="J998" t="inlineStr">
        <is>
          <t>COP</t>
        </is>
      </c>
      <c r="L998" t="inlineStr">
        <is>
          <t>Contabilidad</t>
        </is>
      </c>
      <c r="M998">
        <f>IFERROR(INDEX(Diccionario!$N:$N,MATCH(F827,Diccionario!$C:$C,0)),"")</f>
        <v/>
      </c>
    </row>
    <row r="999" ht="1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s="45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  <c r="M999">
        <f>IFERROR(INDEX(Diccionario!$N:$N,MATCH(F109,Diccionario!$C:$C,0)),"")</f>
        <v/>
      </c>
    </row>
    <row r="1000" ht="1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s="34" t="n">
        <v>57840476</v>
      </c>
      <c r="J1000" t="inlineStr">
        <is>
          <t>COP</t>
        </is>
      </c>
      <c r="L1000" t="inlineStr">
        <is>
          <t>Contabilidad</t>
        </is>
      </c>
      <c r="M1000">
        <f>IFERROR(INDEX(Diccionario!$N:$N,MATCH(F1109,Diccionario!$C:$C,0)),"")</f>
        <v/>
      </c>
    </row>
    <row r="1001" ht="15" customHeight="1" s="57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s="34" t="n">
        <v>638091793</v>
      </c>
      <c r="J1001" t="inlineStr">
        <is>
          <t>COP</t>
        </is>
      </c>
      <c r="L1001" t="inlineStr">
        <is>
          <t>Contabilidad</t>
        </is>
      </c>
      <c r="M1001">
        <f>IFERROR(INDEX(Diccionario!$N:$N,MATCH(F1096,Diccionario!$C:$C,0)),"")</f>
        <v/>
      </c>
    </row>
    <row r="1002" ht="15" customHeight="1" s="57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s="45" t="n">
        <v>18.83</v>
      </c>
      <c r="J1002" t="inlineStr">
        <is>
          <t>%</t>
        </is>
      </c>
      <c r="L1002" t="inlineStr">
        <is>
          <t>Contabilidad</t>
        </is>
      </c>
      <c r="M1002">
        <f>IFERROR(INDEX(Diccionario!$N:$N,MATCH(F1235,Diccionario!$C:$C,0)),"")</f>
        <v/>
      </c>
    </row>
    <row r="1003" ht="15" customHeight="1" s="57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s="45" t="n">
        <v>20.12</v>
      </c>
      <c r="J1003" t="inlineStr">
        <is>
          <t>%</t>
        </is>
      </c>
      <c r="L1003" t="inlineStr">
        <is>
          <t>Contabilidad</t>
        </is>
      </c>
      <c r="M1003">
        <f>IFERROR(INDEX(Diccionario!$N:$N,MATCH(F1234,Diccionario!$C:$C,0)),"")</f>
        <v/>
      </c>
    </row>
    <row r="1004" ht="15" customHeight="1" s="57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s="45" t="n">
        <v>39.05</v>
      </c>
      <c r="J1004" t="inlineStr">
        <is>
          <t>%</t>
        </is>
      </c>
      <c r="L1004" t="inlineStr">
        <is>
          <t>Contabilidad</t>
        </is>
      </c>
      <c r="M1004">
        <f>IFERROR(INDEX(Diccionario!$N:$N,MATCH(F1232,Diccionario!$C:$C,0)),"")</f>
        <v/>
      </c>
    </row>
    <row r="1005" ht="15" customHeight="1" s="57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s="45" t="n">
        <v>22</v>
      </c>
      <c r="J1005" t="inlineStr">
        <is>
          <t>%</t>
        </is>
      </c>
      <c r="L1005" t="inlineStr">
        <is>
          <t>Contabilidad</t>
        </is>
      </c>
      <c r="M1005">
        <f>IFERROR(INDEX(Diccionario!$N:$N,MATCH(F1233,Diccionario!$C:$C,0)),"")</f>
        <v/>
      </c>
    </row>
    <row r="1006" ht="15" customHeight="1" s="57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s="45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  <c r="M1006">
        <f>IFERROR(INDEX(Diccionario!$N:$N,MATCH(F113,Diccionario!$C:$C,0)),"")</f>
        <v/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s="45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s="34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s="45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s="34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s="34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s="34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s="45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s="45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s="4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s="45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s="45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s="45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s="45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s="45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s="47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s="34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s="34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s="3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s="34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s="34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s="34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s="34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s="34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s="34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s="34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s="34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s="45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s="45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SaaS / Revenue — vista de solo lectura</t>
        </is>
      </c>
    </row>
    <row r="2" ht="15" customHeight="1" s="57">
      <c r="A2" s="31" t="inlineStr">
        <is>
          <t>Regenerada desde BD_Indicadores el 2026-07-13 · 2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s="34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  <c r="M5">
        <f>IFERROR(INDEX(Diccionario!$N:$N,MATCH(F103,Diccionario!$C:$C,0)),"")</f>
        <v/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s="34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Ventas — vista de solo lectura</t>
        </is>
      </c>
    </row>
    <row r="2" ht="15" customHeight="1" s="57">
      <c r="A2" s="31" t="inlineStr">
        <is>
          <t>Regenerada desde BD_Indicadores el 2026-07-13 · 60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s="45" t="n">
        <v>33.9</v>
      </c>
      <c r="J5" t="inlineStr">
        <is>
          <t>%</t>
        </is>
      </c>
      <c r="L5" t="inlineStr">
        <is>
          <t>Comercial</t>
        </is>
      </c>
      <c r="M5">
        <f>IFERROR(INDEX(Diccionario!$N:$N,MATCH(F1173,Diccionario!$C:$C,0)),"")</f>
        <v/>
      </c>
    </row>
    <row r="6" ht="15" customHeight="1" s="57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s="45" t="n">
        <v>51.53</v>
      </c>
      <c r="J6" t="inlineStr">
        <is>
          <t>%</t>
        </is>
      </c>
      <c r="L6" t="inlineStr">
        <is>
          <t>Comercial</t>
        </is>
      </c>
      <c r="M6">
        <f>IFERROR(INDEX(Diccionario!$N:$N,MATCH(F1186,Diccionario!$C:$C,0)),"")</f>
        <v/>
      </c>
    </row>
    <row r="7" ht="15" customHeight="1" s="5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s="45" t="n">
        <v>14.57</v>
      </c>
      <c r="J7" t="inlineStr">
        <is>
          <t>%</t>
        </is>
      </c>
      <c r="L7" t="inlineStr">
        <is>
          <t>Comercial</t>
        </is>
      </c>
      <c r="M7">
        <f>IFERROR(INDEX(Diccionario!$N:$N,MATCH(F1199,Diccionario!$C:$C,0)),"")</f>
        <v/>
      </c>
    </row>
    <row r="8" ht="15" customHeight="1" s="57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s="45" t="n">
        <v>40</v>
      </c>
      <c r="J8" t="inlineStr">
        <is>
          <t>%</t>
        </is>
      </c>
      <c r="L8" t="inlineStr">
        <is>
          <t>Comercial</t>
        </is>
      </c>
      <c r="M8">
        <f>IFERROR(INDEX(Diccionario!$N:$N,MATCH(F1174,Diccionario!$C:$C,0)),"")</f>
        <v/>
      </c>
    </row>
    <row r="9" ht="15" customHeight="1" s="57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s="45" t="n">
        <v>56</v>
      </c>
      <c r="J9" t="inlineStr">
        <is>
          <t>%</t>
        </is>
      </c>
      <c r="L9" t="inlineStr">
        <is>
          <t>Comercial</t>
        </is>
      </c>
      <c r="M9">
        <f>IFERROR(INDEX(Diccionario!$N:$N,MATCH(F1187,Diccionario!$C:$C,0)),"")</f>
        <v/>
      </c>
    </row>
    <row r="10" ht="15" customHeight="1" s="57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s="45" t="n">
        <v>4</v>
      </c>
      <c r="J10" t="inlineStr">
        <is>
          <t>%</t>
        </is>
      </c>
      <c r="L10" t="inlineStr">
        <is>
          <t>Comercial</t>
        </is>
      </c>
      <c r="M10">
        <f>IFERROR(INDEX(Diccionario!$N:$N,MATCH(F1200,Diccionario!$C:$C,0)),"")</f>
        <v/>
      </c>
    </row>
    <row r="11" ht="15" customHeight="1" s="57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s="45" t="n">
        <v>37</v>
      </c>
      <c r="J11" t="inlineStr">
        <is>
          <t>%</t>
        </is>
      </c>
      <c r="L11" t="inlineStr">
        <is>
          <t>Comercial</t>
        </is>
      </c>
      <c r="M11">
        <f>IFERROR(INDEX(Diccionario!$N:$N,MATCH(F1175,Diccionario!$C:$C,0)),"")</f>
        <v/>
      </c>
    </row>
    <row r="12" ht="15" customHeight="1" s="57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s="45" t="n">
        <v>59</v>
      </c>
      <c r="J12" t="inlineStr">
        <is>
          <t>%</t>
        </is>
      </c>
      <c r="L12" t="inlineStr">
        <is>
          <t>Comercial</t>
        </is>
      </c>
      <c r="M12">
        <f>IFERROR(INDEX(Diccionario!$N:$N,MATCH(F1188,Diccionario!$C:$C,0)),"")</f>
        <v/>
      </c>
    </row>
    <row r="13" ht="15" customHeight="1" s="57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s="45" t="n">
        <v>4</v>
      </c>
      <c r="J13" t="inlineStr">
        <is>
          <t>%</t>
        </is>
      </c>
      <c r="L13" t="inlineStr">
        <is>
          <t>Comercial</t>
        </is>
      </c>
      <c r="M13">
        <f>IFERROR(INDEX(Diccionario!$N:$N,MATCH(F1201,Diccionario!$C:$C,0)),"")</f>
        <v/>
      </c>
    </row>
    <row r="14" ht="15" customHeight="1" s="57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s="45" t="n">
        <v>37</v>
      </c>
      <c r="J14" t="inlineStr">
        <is>
          <t>%</t>
        </is>
      </c>
      <c r="L14" t="inlineStr">
        <is>
          <t>Comercial</t>
        </is>
      </c>
      <c r="M14">
        <f>IFERROR(INDEX(Diccionario!$N:$N,MATCH(F1176,Diccionario!$C:$C,0)),"")</f>
        <v/>
      </c>
    </row>
    <row r="15" ht="15" customHeight="1" s="57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s="45" t="n">
        <v>49.6</v>
      </c>
      <c r="J15" t="inlineStr">
        <is>
          <t>%</t>
        </is>
      </c>
      <c r="L15" t="inlineStr">
        <is>
          <t>Comercial</t>
        </is>
      </c>
      <c r="M15">
        <f>IFERROR(INDEX(Diccionario!$N:$N,MATCH(F1189,Diccionario!$C:$C,0)),"")</f>
        <v/>
      </c>
    </row>
    <row r="16" ht="15" customHeight="1" s="57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s="45" t="n">
        <v>13.1</v>
      </c>
      <c r="J16" t="inlineStr">
        <is>
          <t>%</t>
        </is>
      </c>
      <c r="L16" t="inlineStr">
        <is>
          <t>Comercial</t>
        </is>
      </c>
      <c r="M16">
        <f>IFERROR(INDEX(Diccionario!$N:$N,MATCH(F1202,Diccionario!$C:$C,0)),"")</f>
        <v/>
      </c>
    </row>
    <row r="17" ht="15" customHeight="1" s="5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s="45" t="n">
        <v>20.9</v>
      </c>
      <c r="J17" t="inlineStr">
        <is>
          <t>%</t>
        </is>
      </c>
      <c r="L17" t="inlineStr">
        <is>
          <t>Comercial</t>
        </is>
      </c>
      <c r="M17">
        <f>IFERROR(INDEX(Diccionario!$N:$N,MATCH(F1177,Diccionario!$C:$C,0)),"")</f>
        <v/>
      </c>
    </row>
    <row r="18" ht="15" customHeight="1" s="57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s="45" t="n">
        <v>61.7</v>
      </c>
      <c r="J18" t="inlineStr">
        <is>
          <t>%</t>
        </is>
      </c>
      <c r="L18" t="inlineStr">
        <is>
          <t>Comercial</t>
        </is>
      </c>
      <c r="M18">
        <f>IFERROR(INDEX(Diccionario!$N:$N,MATCH(F1190,Diccionario!$C:$C,0)),"")</f>
        <v/>
      </c>
    </row>
    <row r="19" ht="15" customHeight="1" s="57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s="45" t="n">
        <v>17.37</v>
      </c>
      <c r="J19" t="inlineStr">
        <is>
          <t>%</t>
        </is>
      </c>
      <c r="L19" t="inlineStr">
        <is>
          <t>Comercial</t>
        </is>
      </c>
      <c r="M19">
        <f>IFERROR(INDEX(Diccionario!$N:$N,MATCH(F1203,Diccionario!$C:$C,0)),"")</f>
        <v/>
      </c>
    </row>
    <row r="20" ht="15" customHeight="1" s="57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s="45" t="n">
        <v>21</v>
      </c>
      <c r="J20" t="inlineStr">
        <is>
          <t>%</t>
        </is>
      </c>
      <c r="L20" t="inlineStr">
        <is>
          <t>Comercial</t>
        </is>
      </c>
      <c r="M20">
        <f>IFERROR(INDEX(Diccionario!$N:$N,MATCH(F1178,Diccionario!$C:$C,0)),"")</f>
        <v/>
      </c>
    </row>
    <row r="21" ht="15" customHeight="1" s="57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s="45" t="n">
        <v>65</v>
      </c>
      <c r="J21" t="inlineStr">
        <is>
          <t>%</t>
        </is>
      </c>
      <c r="L21" t="inlineStr">
        <is>
          <t>Comercial</t>
        </is>
      </c>
      <c r="M21">
        <f>IFERROR(INDEX(Diccionario!$N:$N,MATCH(F1191,Diccionario!$C:$C,0)),"")</f>
        <v/>
      </c>
    </row>
    <row r="22" ht="15" customHeight="1" s="57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s="45" t="n">
        <v>10</v>
      </c>
      <c r="J22" t="inlineStr">
        <is>
          <t>%</t>
        </is>
      </c>
      <c r="L22" t="inlineStr">
        <is>
          <t>Comercial</t>
        </is>
      </c>
      <c r="M22">
        <f>IFERROR(INDEX(Diccionario!$N:$N,MATCH(F1204,Diccionario!$C:$C,0)),"")</f>
        <v/>
      </c>
    </row>
    <row r="23" ht="15" customHeight="1" s="57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s="45" t="n">
        <v>28</v>
      </c>
      <c r="J23" t="inlineStr">
        <is>
          <t>%</t>
        </is>
      </c>
      <c r="L23" t="inlineStr">
        <is>
          <t>Comercial</t>
        </is>
      </c>
      <c r="M23">
        <f>IFERROR(INDEX(Diccionario!$N:$N,MATCH(F1179,Diccionario!$C:$C,0)),"")</f>
        <v/>
      </c>
    </row>
    <row r="24" ht="15" customHeight="1" s="57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s="45" t="n">
        <v>67</v>
      </c>
      <c r="J24" t="inlineStr">
        <is>
          <t>%</t>
        </is>
      </c>
      <c r="L24" t="inlineStr">
        <is>
          <t>Comercial</t>
        </is>
      </c>
      <c r="M24">
        <f>IFERROR(INDEX(Diccionario!$N:$N,MATCH(F1192,Diccionario!$C:$C,0)),"")</f>
        <v/>
      </c>
    </row>
    <row r="25" ht="15" customHeight="1" s="57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s="45" t="n">
        <v>5</v>
      </c>
      <c r="J25" t="inlineStr">
        <is>
          <t>%</t>
        </is>
      </c>
      <c r="L25" t="inlineStr">
        <is>
          <t>Comercial</t>
        </is>
      </c>
      <c r="M25">
        <f>IFERROR(INDEX(Diccionario!$N:$N,MATCH(F1205,Diccionario!$C:$C,0)),"")</f>
        <v/>
      </c>
    </row>
    <row r="26" ht="15" customHeight="1" s="57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s="45" t="n">
        <v>16</v>
      </c>
      <c r="J26" t="inlineStr">
        <is>
          <t>%</t>
        </is>
      </c>
      <c r="L26" t="inlineStr">
        <is>
          <t>Comercial</t>
        </is>
      </c>
      <c r="M26">
        <f>IFERROR(INDEX(Diccionario!$N:$N,MATCH(F1180,Diccionario!$C:$C,0)),"")</f>
        <v/>
      </c>
    </row>
    <row r="27" ht="15" customHeight="1" s="5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s="45" t="n">
        <v>77</v>
      </c>
      <c r="J27" t="inlineStr">
        <is>
          <t>%</t>
        </is>
      </c>
      <c r="L27" t="inlineStr">
        <is>
          <t>Comercial</t>
        </is>
      </c>
      <c r="M27">
        <f>IFERROR(INDEX(Diccionario!$N:$N,MATCH(F1193,Diccionario!$C:$C,0)),"")</f>
        <v/>
      </c>
    </row>
    <row r="28" ht="15" customHeight="1" s="57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s="45" t="n">
        <v>7</v>
      </c>
      <c r="J28" t="inlineStr">
        <is>
          <t>%</t>
        </is>
      </c>
      <c r="L28" t="inlineStr">
        <is>
          <t>Comercial</t>
        </is>
      </c>
      <c r="M28">
        <f>IFERROR(INDEX(Diccionario!$N:$N,MATCH(F1206,Diccionario!$C:$C,0)),"")</f>
        <v/>
      </c>
    </row>
    <row r="29" ht="15" customHeight="1" s="57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s="45" t="n">
        <v>40</v>
      </c>
      <c r="J29" t="inlineStr">
        <is>
          <t>%</t>
        </is>
      </c>
      <c r="L29" t="inlineStr">
        <is>
          <t>Comercial</t>
        </is>
      </c>
      <c r="M29">
        <f>IFERROR(INDEX(Diccionario!$N:$N,MATCH(F1181,Diccionario!$C:$C,0)),"")</f>
        <v/>
      </c>
    </row>
    <row r="30" ht="15" customHeight="1" s="57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s="45" t="n">
        <v>55</v>
      </c>
      <c r="J30" t="inlineStr">
        <is>
          <t>%</t>
        </is>
      </c>
      <c r="L30" t="inlineStr">
        <is>
          <t>Comercial</t>
        </is>
      </c>
      <c r="M30">
        <f>IFERROR(INDEX(Diccionario!$N:$N,MATCH(F1194,Diccionario!$C:$C,0)),"")</f>
        <v/>
      </c>
    </row>
    <row r="31" ht="15" customHeight="1" s="57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s="45" t="n">
        <v>5</v>
      </c>
      <c r="J31" t="inlineStr">
        <is>
          <t>%</t>
        </is>
      </c>
      <c r="L31" t="inlineStr">
        <is>
          <t>Comercial</t>
        </is>
      </c>
      <c r="M31">
        <f>IFERROR(INDEX(Diccionario!$N:$N,MATCH(F1207,Diccionario!$C:$C,0)),"")</f>
        <v/>
      </c>
    </row>
    <row r="32" ht="15" customHeight="1" s="57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s="45" t="n">
        <v>25</v>
      </c>
      <c r="J32" t="inlineStr">
        <is>
          <t>%</t>
        </is>
      </c>
      <c r="L32" t="inlineStr">
        <is>
          <t>Comercial</t>
        </is>
      </c>
      <c r="M32">
        <f>IFERROR(INDEX(Diccionario!$N:$N,MATCH(F1182,Diccionario!$C:$C,0)),"")</f>
        <v/>
      </c>
    </row>
    <row r="33" ht="15" customHeight="1" s="57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s="45" t="n">
        <v>64</v>
      </c>
      <c r="J33" t="inlineStr">
        <is>
          <t>%</t>
        </is>
      </c>
      <c r="L33" t="inlineStr">
        <is>
          <t>Comercial</t>
        </is>
      </c>
      <c r="M33">
        <f>IFERROR(INDEX(Diccionario!$N:$N,MATCH(F1195,Diccionario!$C:$C,0)),"")</f>
        <v/>
      </c>
    </row>
    <row r="34" ht="15" customHeight="1" s="57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s="45" t="n">
        <v>11</v>
      </c>
      <c r="J34" t="inlineStr">
        <is>
          <t>%</t>
        </is>
      </c>
      <c r="L34" t="inlineStr">
        <is>
          <t>Comercial</t>
        </is>
      </c>
      <c r="M34">
        <f>IFERROR(INDEX(Diccionario!$N:$N,MATCH(F1208,Diccionario!$C:$C,0)),"")</f>
        <v/>
      </c>
    </row>
    <row r="35" ht="15" customHeight="1" s="57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s="34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  <c r="M35">
        <f>IFERROR(INDEX(Diccionario!$N:$N,MATCH(F1289,Diccionario!$C:$C,0)),"")</f>
        <v/>
      </c>
    </row>
    <row r="36" ht="15" customHeight="1" s="57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s="45" t="n">
        <v>23</v>
      </c>
      <c r="J36" t="inlineStr">
        <is>
          <t>%</t>
        </is>
      </c>
      <c r="L36" t="inlineStr">
        <is>
          <t>Comercial</t>
        </is>
      </c>
      <c r="M36">
        <f>IFERROR(INDEX(Diccionario!$N:$N,MATCH(F1183,Diccionario!$C:$C,0)),"")</f>
        <v/>
      </c>
    </row>
    <row r="37" ht="15" customHeight="1" s="5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s="45" t="n">
        <v>65</v>
      </c>
      <c r="J37" t="inlineStr">
        <is>
          <t>%</t>
        </is>
      </c>
      <c r="L37" t="inlineStr">
        <is>
          <t>Comercial</t>
        </is>
      </c>
      <c r="M37">
        <f>IFERROR(INDEX(Diccionario!$N:$N,MATCH(F1196,Diccionario!$C:$C,0)),"")</f>
        <v/>
      </c>
    </row>
    <row r="38" ht="15" customHeight="1" s="57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s="45" t="n">
        <v>12</v>
      </c>
      <c r="J38" t="inlineStr">
        <is>
          <t>%</t>
        </is>
      </c>
      <c r="L38" t="inlineStr">
        <is>
          <t>Comercial</t>
        </is>
      </c>
      <c r="M38">
        <f>IFERROR(INDEX(Diccionario!$N:$N,MATCH(F1209,Diccionario!$C:$C,0)),"")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s="34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  <c r="M39">
        <f>IFERROR(INDEX(Diccionario!$N:$N,MATCH(F1290,Diccionario!$C:$C,0)),"")</f>
        <v/>
      </c>
    </row>
    <row r="40" ht="15" customHeight="1" s="57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s="45" t="n">
        <v>27</v>
      </c>
      <c r="J40" t="inlineStr">
        <is>
          <t>%</t>
        </is>
      </c>
      <c r="L40" t="inlineStr">
        <is>
          <t>Comercial</t>
        </is>
      </c>
      <c r="M40">
        <f>IFERROR(INDEX(Diccionario!$N:$N,MATCH(F1184,Diccionario!$C:$C,0)),"")</f>
        <v/>
      </c>
    </row>
    <row r="41" ht="15" customHeight="1" s="57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s="45" t="n">
        <v>67</v>
      </c>
      <c r="J41" t="inlineStr">
        <is>
          <t>%</t>
        </is>
      </c>
      <c r="L41" t="inlineStr">
        <is>
          <t>Comercial</t>
        </is>
      </c>
      <c r="M41">
        <f>IFERROR(INDEX(Diccionario!$N:$N,MATCH(F1197,Diccionario!$C:$C,0)),"")</f>
        <v/>
      </c>
    </row>
    <row r="42" ht="15" customHeight="1" s="57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s="45" t="n">
        <v>6</v>
      </c>
      <c r="J42" t="inlineStr">
        <is>
          <t>%</t>
        </is>
      </c>
      <c r="L42" t="inlineStr">
        <is>
          <t>Comercial</t>
        </is>
      </c>
      <c r="M42">
        <f>IFERROR(INDEX(Diccionario!$N:$N,MATCH(F1210,Diccionario!$C:$C,0)),"")</f>
        <v/>
      </c>
    </row>
    <row r="43" ht="15" customHeight="1" s="57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s="34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  <c r="M43">
        <f>IFERROR(INDEX(Diccionario!$N:$N,MATCH(F1291,Diccionario!$C:$C,0)),"")</f>
        <v/>
      </c>
    </row>
    <row r="44" ht="15" customHeight="1" s="57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s="45" t="n">
        <v>15</v>
      </c>
      <c r="J44" t="inlineStr">
        <is>
          <t>%</t>
        </is>
      </c>
      <c r="L44" t="inlineStr">
        <is>
          <t>Comercial</t>
        </is>
      </c>
      <c r="M44">
        <f>IFERROR(INDEX(Diccionario!$N:$N,MATCH(F1185,Diccionario!$C:$C,0)),"")</f>
        <v/>
      </c>
    </row>
    <row r="45" ht="15" customHeight="1" s="57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s="45" t="n">
        <v>78</v>
      </c>
      <c r="J45" t="inlineStr">
        <is>
          <t>%</t>
        </is>
      </c>
      <c r="L45" t="inlineStr">
        <is>
          <t>Comercial</t>
        </is>
      </c>
      <c r="M45">
        <f>IFERROR(INDEX(Diccionario!$N:$N,MATCH(F1198,Diccionario!$C:$C,0)),"")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s="45" t="n">
        <v>7</v>
      </c>
      <c r="J46" t="inlineStr">
        <is>
          <t>%</t>
        </is>
      </c>
      <c r="L46" t="inlineStr">
        <is>
          <t>Comercial</t>
        </is>
      </c>
      <c r="M46">
        <f>IFERROR(INDEX(Diccionario!$N:$N,MATCH(F1211,Diccionario!$C:$C,0)),"")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s="34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  <c r="M47">
        <f>IFERROR(INDEX(Diccionario!$N:$N,MATCH(F1292,Diccionario!$C:$C,0)),"")</f>
        <v/>
      </c>
    </row>
    <row r="48" ht="15" customHeight="1" s="57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s="34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  <c r="M48">
        <f>IFERROR(INDEX(Diccionario!$N:$N,MATCH(F1288,Diccionario!$C:$C,0)),"")</f>
        <v/>
      </c>
    </row>
    <row r="49" ht="15" customHeight="1" s="57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s="34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  <c r="M49">
        <f>IFERROR(INDEX(Diccionario!$N:$N,MATCH(F1293,Diccionario!$C:$C,0)),"")</f>
        <v/>
      </c>
    </row>
    <row r="50" ht="15" customHeight="1" s="57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s="34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  <c r="M50">
        <f>IFERROR(INDEX(Diccionario!$N:$N,MATCH(F1297,Diccionario!$C:$C,0)),"")</f>
        <v/>
      </c>
    </row>
    <row r="51" ht="15" customHeight="1" s="57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s="34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  <c r="M51">
        <f>IFERROR(INDEX(Diccionario!$N:$N,MATCH(F1301,Diccionario!$C:$C,0)),"")</f>
        <v/>
      </c>
    </row>
    <row r="52" ht="15" customHeight="1" s="57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s="34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  <c r="M52">
        <f>IFERROR(INDEX(Diccionario!$N:$N,MATCH(F1295,Diccionario!$C:$C,0)),"")</f>
        <v/>
      </c>
    </row>
    <row r="53" ht="15" customHeight="1" s="57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s="34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  <c r="M53">
        <f>IFERROR(INDEX(Diccionario!$N:$N,MATCH(F1299,Diccionario!$C:$C,0)),"")</f>
        <v/>
      </c>
    </row>
    <row r="54" ht="15" customHeight="1" s="57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s="3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  <c r="M54">
        <f>IFERROR(INDEX(Diccionario!$N:$N,MATCH(F1305,Diccionario!$C:$C,0)),"")</f>
        <v/>
      </c>
    </row>
    <row r="55" ht="15" customHeight="1" s="57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s="34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  <c r="M55">
        <f>IFERROR(INDEX(Diccionario!$N:$N,MATCH(F1303,Diccionario!$C:$C,0)),"")</f>
        <v/>
      </c>
    </row>
    <row r="56" ht="15" customHeight="1" s="57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s="34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  <c r="M56">
        <f>IFERROR(INDEX(Diccionario!$N:$N,MATCH(F1307,Diccionario!$C:$C,0)),"")</f>
        <v/>
      </c>
    </row>
    <row r="57" ht="15" customHeight="1" s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s="34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  <c r="M57">
        <f>IFERROR(INDEX(Diccionario!$N:$N,MATCH(F1296,Diccionario!$C:$C,0)),"")</f>
        <v/>
      </c>
    </row>
    <row r="58" ht="15" customHeight="1" s="57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s="34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  <c r="M58">
        <f>IFERROR(INDEX(Diccionario!$N:$N,MATCH(F1300,Diccionario!$C:$C,0)),"")</f>
        <v/>
      </c>
    </row>
    <row r="59" ht="15" customHeight="1" s="57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s="34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  <c r="M59">
        <f>IFERROR(INDEX(Diccionario!$N:$N,MATCH(F1294,Diccionario!$C:$C,0)),"")</f>
        <v/>
      </c>
    </row>
    <row r="60" ht="15" customHeight="1" s="57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s="34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  <c r="M60">
        <f>IFERROR(INDEX(Diccionario!$N:$N,MATCH(F1298,Diccionario!$C:$C,0)),"")</f>
        <v/>
      </c>
    </row>
    <row r="61" ht="15" customHeight="1" s="57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s="34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  <c r="M61">
        <f>IFERROR(INDEX(Diccionario!$N:$N,MATCH(F1304,Diccionario!$C:$C,0)),"")</f>
        <v/>
      </c>
    </row>
    <row r="62" ht="15" customHeight="1" s="57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s="34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  <c r="M62">
        <f>IFERROR(INDEX(Diccionario!$N:$N,MATCH(F1302,Diccionario!$C:$C,0)),"")</f>
        <v/>
      </c>
    </row>
    <row r="63" ht="15" customHeight="1" s="57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s="34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  <c r="M63">
        <f>IFERROR(INDEX(Diccionario!$N:$N,MATCH(F1306,Diccionario!$C:$C,0)),"")</f>
        <v/>
      </c>
    </row>
    <row r="64" ht="15" customHeight="1" s="57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s="3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  <c r="M64">
        <f>IFERROR(INDEX(Diccionario!$N:$N,MATCH(F1287,Diccionario!$C:$C,0)),"")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Marketing — vista de solo lectura</t>
        </is>
      </c>
    </row>
    <row r="2" ht="15" customHeight="1" s="57">
      <c r="A2" s="31" t="inlineStr">
        <is>
          <t>Regenerada desde BD_Indicadores el 2026-07-13 · 51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s="34" t="n">
        <v>233</v>
      </c>
      <c r="J5" t="inlineStr">
        <is>
          <t>Número</t>
        </is>
      </c>
      <c r="L5" t="inlineStr">
        <is>
          <t>Marketing</t>
        </is>
      </c>
      <c r="M5">
        <f>IFERROR(INDEX(Diccionario!$N:$N,MATCH(F1236,Diccionario!$C:$C,0)),"")</f>
        <v/>
      </c>
    </row>
    <row r="6" ht="15" customHeight="1" s="57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s="34" t="n">
        <v>191</v>
      </c>
      <c r="J6" t="inlineStr">
        <is>
          <t>Número</t>
        </is>
      </c>
      <c r="L6" t="inlineStr">
        <is>
          <t>Marketing</t>
        </is>
      </c>
      <c r="M6">
        <f>IFERROR(INDEX(Diccionario!$N:$N,MATCH(F1237,Diccionario!$C:$C,0)),"")</f>
        <v/>
      </c>
    </row>
    <row r="7" ht="15" customHeight="1" s="5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s="34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  <c r="M7">
        <f>IFERROR(INDEX(Diccionario!$N:$N,MATCH(F1260,Diccionario!$C:$C,0)),"")</f>
        <v/>
      </c>
    </row>
    <row r="8" ht="15" customHeight="1" s="57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s="34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  <c r="M8">
        <f>IFERROR(INDEX(Diccionario!$N:$N,MATCH(F1278,Diccionario!$C:$C,0)),"")</f>
        <v/>
      </c>
    </row>
    <row r="9" ht="15" customHeight="1" s="57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s="34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  <c r="M9">
        <f>IFERROR(INDEX(Diccionario!$N:$N,MATCH(F1254,Diccionario!$C:$C,0)),"")</f>
        <v/>
      </c>
    </row>
    <row r="10" ht="15" customHeight="1" s="57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s="34" t="n">
        <v>117</v>
      </c>
      <c r="J10" t="inlineStr">
        <is>
          <t>Número</t>
        </is>
      </c>
      <c r="L10" t="inlineStr">
        <is>
          <t>Marketing</t>
        </is>
      </c>
      <c r="M10">
        <f>IFERROR(INDEX(Diccionario!$N:$N,MATCH(F1238,Diccionario!$C:$C,0)),"")</f>
        <v/>
      </c>
    </row>
    <row r="11" ht="15" customHeight="1" s="57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s="34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  <c r="M11">
        <f>IFERROR(INDEX(Diccionario!$N:$N,MATCH(F1266,Diccionario!$C:$C,0)),"")</f>
        <v/>
      </c>
    </row>
    <row r="12" ht="15" customHeight="1" s="57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s="48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  <c r="M12">
        <f>IFERROR(INDEX(Diccionario!$N:$N,MATCH(F1272,Diccionario!$C:$C,0)),"")</f>
        <v/>
      </c>
    </row>
    <row r="13" ht="15" customHeight="1" s="57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s="34" t="n">
        <v>119</v>
      </c>
      <c r="J13" t="inlineStr">
        <is>
          <t>Número</t>
        </is>
      </c>
      <c r="L13" t="inlineStr">
        <is>
          <t>Marketing</t>
        </is>
      </c>
      <c r="M13">
        <f>IFERROR(INDEX(Diccionario!$N:$N,MATCH(F1239,Diccionario!$C:$C,0)),"")</f>
        <v/>
      </c>
    </row>
    <row r="14" ht="15" customHeight="1" s="57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s="34" t="n">
        <v>172</v>
      </c>
      <c r="J14" t="inlineStr">
        <is>
          <t>Número</t>
        </is>
      </c>
      <c r="L14" t="inlineStr">
        <is>
          <t>Marketing</t>
        </is>
      </c>
      <c r="M14">
        <f>IFERROR(INDEX(Diccionario!$N:$N,MATCH(F1240,Diccionario!$C:$C,0)),"")</f>
        <v/>
      </c>
    </row>
    <row r="15" ht="15" customHeight="1" s="57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s="34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  <c r="M15">
        <f>IFERROR(INDEX(Diccionario!$N:$N,MATCH(F1261,Diccionario!$C:$C,0)),"")</f>
        <v/>
      </c>
    </row>
    <row r="16" ht="15" customHeight="1" s="57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s="34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  <c r="M16">
        <f>IFERROR(INDEX(Diccionario!$N:$N,MATCH(F1279,Diccionario!$C:$C,0)),"")</f>
        <v/>
      </c>
    </row>
    <row r="17" ht="15" customHeight="1" s="5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s="34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  <c r="M17">
        <f>IFERROR(INDEX(Diccionario!$N:$N,MATCH(F1255,Diccionario!$C:$C,0)),"")</f>
        <v/>
      </c>
    </row>
    <row r="18" ht="15" customHeight="1" s="57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s="34" t="n">
        <v>238</v>
      </c>
      <c r="J18" t="inlineStr">
        <is>
          <t>Número</t>
        </is>
      </c>
      <c r="L18" t="inlineStr">
        <is>
          <t>Marketing</t>
        </is>
      </c>
      <c r="M18">
        <f>IFERROR(INDEX(Diccionario!$N:$N,MATCH(F1241,Diccionario!$C:$C,0)),"")</f>
        <v/>
      </c>
    </row>
    <row r="19" ht="15" customHeight="1" s="57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s="34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  <c r="M19">
        <f>IFERROR(INDEX(Diccionario!$N:$N,MATCH(F1267,Diccionario!$C:$C,0)),"")</f>
        <v/>
      </c>
    </row>
    <row r="20" ht="15" customHeight="1" s="57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s="48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  <c r="M20">
        <f>IFERROR(INDEX(Diccionario!$N:$N,MATCH(F1273,Diccionario!$C:$C,0)),"")</f>
        <v/>
      </c>
    </row>
    <row r="21" ht="15" customHeight="1" s="57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s="34" t="n">
        <v>230</v>
      </c>
      <c r="J21" t="inlineStr">
        <is>
          <t>Número</t>
        </is>
      </c>
      <c r="L21" t="inlineStr">
        <is>
          <t>Marketing</t>
        </is>
      </c>
      <c r="M21">
        <f>IFERROR(INDEX(Diccionario!$N:$N,MATCH(F1242,Diccionario!$C:$C,0)),"")</f>
        <v/>
      </c>
    </row>
    <row r="22" ht="15" customHeight="1" s="57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s="34" t="n">
        <v>413</v>
      </c>
      <c r="J22" t="inlineStr">
        <is>
          <t>Número</t>
        </is>
      </c>
      <c r="L22" t="inlineStr">
        <is>
          <t>Marketing</t>
        </is>
      </c>
      <c r="M22">
        <f>IFERROR(INDEX(Diccionario!$N:$N,MATCH(F1243,Diccionario!$C:$C,0)),"")</f>
        <v/>
      </c>
    </row>
    <row r="23" ht="15" customHeight="1" s="57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s="34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  <c r="M23">
        <f>IFERROR(INDEX(Diccionario!$N:$N,MATCH(F1262,Diccionario!$C:$C,0)),"")</f>
        <v/>
      </c>
    </row>
    <row r="24" ht="15" customHeight="1" s="57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s="3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  <c r="M24">
        <f>IFERROR(INDEX(Diccionario!$N:$N,MATCH(F1280,Diccionario!$C:$C,0)),"")</f>
        <v/>
      </c>
    </row>
    <row r="25" ht="15" customHeight="1" s="57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s="34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  <c r="M25">
        <f>IFERROR(INDEX(Diccionario!$N:$N,MATCH(F1256,Diccionario!$C:$C,0)),"")</f>
        <v/>
      </c>
    </row>
    <row r="26" ht="15" customHeight="1" s="57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s="34" t="n">
        <v>777</v>
      </c>
      <c r="J26" t="inlineStr">
        <is>
          <t>Número</t>
        </is>
      </c>
      <c r="L26" t="inlineStr">
        <is>
          <t>Marketing</t>
        </is>
      </c>
      <c r="M26">
        <f>IFERROR(INDEX(Diccionario!$N:$N,MATCH(F1244,Diccionario!$C:$C,0)),"")</f>
        <v/>
      </c>
    </row>
    <row r="27" ht="15" customHeight="1" s="5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s="34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  <c r="M27">
        <f>IFERROR(INDEX(Diccionario!$N:$N,MATCH(F1268,Diccionario!$C:$C,0)),"")</f>
        <v/>
      </c>
    </row>
    <row r="28" ht="15" customHeight="1" s="57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s="4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  <c r="M28">
        <f>IFERROR(INDEX(Diccionario!$N:$N,MATCH(F1274,Diccionario!$C:$C,0)),"")</f>
        <v/>
      </c>
    </row>
    <row r="29" ht="15" customHeight="1" s="57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s="34" t="n">
        <v>124</v>
      </c>
      <c r="J29" t="inlineStr">
        <is>
          <t>Número</t>
        </is>
      </c>
      <c r="L29" t="inlineStr">
        <is>
          <t>Marketing</t>
        </is>
      </c>
      <c r="M29">
        <f>IFERROR(INDEX(Diccionario!$N:$N,MATCH(F1245,Diccionario!$C:$C,0)),"")</f>
        <v/>
      </c>
    </row>
    <row r="30" ht="15" customHeight="1" s="57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s="34" t="n">
        <v>114</v>
      </c>
      <c r="J30" t="inlineStr">
        <is>
          <t>Número</t>
        </is>
      </c>
      <c r="L30" t="inlineStr">
        <is>
          <t>Marketing</t>
        </is>
      </c>
      <c r="M30">
        <f>IFERROR(INDEX(Diccionario!$N:$N,MATCH(F1246,Diccionario!$C:$C,0)),"")</f>
        <v/>
      </c>
    </row>
    <row r="31" ht="15" customHeight="1" s="57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s="34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  <c r="M31">
        <f>IFERROR(INDEX(Diccionario!$N:$N,MATCH(F1263,Diccionario!$C:$C,0)),"")</f>
        <v/>
      </c>
    </row>
    <row r="32" ht="15" customHeight="1" s="57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s="34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  <c r="M32">
        <f>IFERROR(INDEX(Diccionario!$N:$N,MATCH(F1281,Diccionario!$C:$C,0)),"")</f>
        <v/>
      </c>
    </row>
    <row r="33" ht="15" customHeight="1" s="57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s="34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  <c r="M33">
        <f>IFERROR(INDEX(Diccionario!$N:$N,MATCH(F1257,Diccionario!$C:$C,0)),"")</f>
        <v/>
      </c>
    </row>
    <row r="34" ht="15" customHeight="1" s="57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s="34" t="n">
        <v>514</v>
      </c>
      <c r="J34" t="inlineStr">
        <is>
          <t>Número</t>
        </is>
      </c>
      <c r="L34" t="inlineStr">
        <is>
          <t>Marketing</t>
        </is>
      </c>
      <c r="M34">
        <f>IFERROR(INDEX(Diccionario!$N:$N,MATCH(F1247,Diccionario!$C:$C,0)),"")</f>
        <v/>
      </c>
    </row>
    <row r="35" ht="15" customHeight="1" s="57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s="34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  <c r="M35">
        <f>IFERROR(INDEX(Diccionario!$N:$N,MATCH(F1269,Diccionario!$C:$C,0)),"")</f>
        <v/>
      </c>
    </row>
    <row r="36" ht="15" customHeight="1" s="57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s="48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  <c r="M36">
        <f>IFERROR(INDEX(Diccionario!$N:$N,MATCH(F1275,Diccionario!$C:$C,0)),"")</f>
        <v/>
      </c>
    </row>
    <row r="37" ht="15" customHeight="1" s="5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s="34" t="n">
        <v>237</v>
      </c>
      <c r="J37" t="inlineStr">
        <is>
          <t>Número</t>
        </is>
      </c>
      <c r="L37" t="inlineStr">
        <is>
          <t>Marketing</t>
        </is>
      </c>
      <c r="M37">
        <f>IFERROR(INDEX(Diccionario!$N:$N,MATCH(F1248,Diccionario!$C:$C,0)),"")</f>
        <v/>
      </c>
    </row>
    <row r="38" ht="15" customHeight="1" s="57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s="34" t="n">
        <v>359</v>
      </c>
      <c r="J38" t="inlineStr">
        <is>
          <t>Número</t>
        </is>
      </c>
      <c r="L38" t="inlineStr">
        <is>
          <t>Marketing</t>
        </is>
      </c>
      <c r="M38">
        <f>IFERROR(INDEX(Diccionario!$N:$N,MATCH(F1249,Diccionario!$C:$C,0)),"")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s="34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  <c r="M39">
        <f>IFERROR(INDEX(Diccionario!$N:$N,MATCH(F1264,Diccionario!$C:$C,0)),"")</f>
        <v/>
      </c>
    </row>
    <row r="40" ht="15" customHeight="1" s="57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s="34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  <c r="M40">
        <f>IFERROR(INDEX(Diccionario!$N:$N,MATCH(F1282,Diccionario!$C:$C,0)),"")</f>
        <v/>
      </c>
    </row>
    <row r="41" ht="15" customHeight="1" s="57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s="34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  <c r="M41">
        <f>IFERROR(INDEX(Diccionario!$N:$N,MATCH(F1258,Diccionario!$C:$C,0)),"")</f>
        <v/>
      </c>
    </row>
    <row r="42" ht="15" customHeight="1" s="57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s="34" t="n">
        <v>294</v>
      </c>
      <c r="J42" t="inlineStr">
        <is>
          <t>Número</t>
        </is>
      </c>
      <c r="L42" t="inlineStr">
        <is>
          <t>Marketing</t>
        </is>
      </c>
      <c r="M42">
        <f>IFERROR(INDEX(Diccionario!$N:$N,MATCH(F1250,Diccionario!$C:$C,0)),"")</f>
        <v/>
      </c>
    </row>
    <row r="43" ht="15" customHeight="1" s="57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s="34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  <c r="M43">
        <f>IFERROR(INDEX(Diccionario!$N:$N,MATCH(F1270,Diccionario!$C:$C,0)),"")</f>
        <v/>
      </c>
    </row>
    <row r="44" ht="15" customHeight="1" s="57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s="48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  <c r="M44">
        <f>IFERROR(INDEX(Diccionario!$N:$N,MATCH(F1276,Diccionario!$C:$C,0)),"")</f>
        <v/>
      </c>
    </row>
    <row r="45" ht="15" customHeight="1" s="57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s="34" t="n">
        <v>156</v>
      </c>
      <c r="J45" t="inlineStr">
        <is>
          <t>Número</t>
        </is>
      </c>
      <c r="L45" t="inlineStr">
        <is>
          <t>Marketing</t>
        </is>
      </c>
      <c r="M45">
        <f>IFERROR(INDEX(Diccionario!$N:$N,MATCH(F1251,Diccionario!$C:$C,0)),"")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I46">
        <f>Calc_LTV_Fin!B12</f>
        <v/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  <c r="M46">
        <f>IFERROR(INDEX(Diccionario!$N:$N,MATCH(F1285,Diccionario!$C:$C,0)),"")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s="34" t="n">
        <v>211</v>
      </c>
      <c r="J47" t="inlineStr">
        <is>
          <t>Número</t>
        </is>
      </c>
      <c r="L47" t="inlineStr">
        <is>
          <t>Marketing</t>
        </is>
      </c>
      <c r="M47">
        <f>IFERROR(INDEX(Diccionario!$N:$N,MATCH(F1252,Diccionario!$C:$C,0)),"")</f>
        <v/>
      </c>
    </row>
    <row r="48" ht="15" customHeight="1" s="57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I48">
        <f>Calc_LTV_Fin!B11</f>
        <v/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  <c r="M48">
        <f>IFERROR(INDEX(Diccionario!$N:$N,MATCH(F1284,Diccionario!$C:$C,0)),"")</f>
        <v/>
      </c>
    </row>
    <row r="49" ht="15" customHeight="1" s="57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I49">
        <f>Calc_LTV_Fin!B13</f>
        <v/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  <c r="M49">
        <f>IFERROR(INDEX(Diccionario!$N:$N,MATCH(F1286,Diccionario!$C:$C,0)),"")</f>
        <v/>
      </c>
    </row>
    <row r="50" ht="15" customHeight="1" s="57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s="34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  <c r="M50">
        <f>IFERROR(INDEX(Diccionario!$N:$N,MATCH(F1265,Diccionario!$C:$C,0)),"")</f>
        <v/>
      </c>
    </row>
    <row r="51" ht="15" customHeight="1" s="57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s="34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  <c r="M51">
        <f>IFERROR(INDEX(Diccionario!$N:$N,MATCH(F1283,Diccionario!$C:$C,0)),"")</f>
        <v/>
      </c>
    </row>
    <row r="52" ht="15" customHeight="1" s="57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s="34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  <c r="M52">
        <f>IFERROR(INDEX(Diccionario!$N:$N,MATCH(F1259,Diccionario!$C:$C,0)),"")</f>
        <v/>
      </c>
    </row>
    <row r="53" ht="15" customHeight="1" s="57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s="34" t="n">
        <v>20</v>
      </c>
      <c r="J53" t="inlineStr">
        <is>
          <t>Número</t>
        </is>
      </c>
      <c r="L53" t="inlineStr">
        <is>
          <t>Marketing</t>
        </is>
      </c>
      <c r="M53">
        <f>IFERROR(INDEX(Diccionario!$N:$N,MATCH(F1253,Diccionario!$C:$C,0)),"")</f>
        <v/>
      </c>
    </row>
    <row r="54" ht="15" customHeight="1" s="57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s="3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  <c r="M54">
        <f>IFERROR(INDEX(Diccionario!$N:$N,MATCH(F1271,Diccionario!$C:$C,0)),"")</f>
        <v/>
      </c>
    </row>
    <row r="55" ht="15" customHeight="1" s="57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s="48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  <c r="M55">
        <f>IFERROR(INDEX(Diccionario!$N:$N,MATCH(F1277,Diccionario!$C:$C,0)),"")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Customer Success — vista de solo lectura</t>
        </is>
      </c>
    </row>
    <row r="2" ht="15" customHeight="1" s="57">
      <c r="A2" s="31" t="inlineStr">
        <is>
          <t>Regenerada desde BD_Indicadores el 2026-07-13 · 8 filas · Editar en BD_Indicadores.</t>
        </is>
      </c>
    </row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s="45" t="n">
        <v>7.1</v>
      </c>
      <c r="J5" t="inlineStr">
        <is>
          <t>%</t>
        </is>
      </c>
      <c r="L5" t="inlineStr">
        <is>
          <t>CS</t>
        </is>
      </c>
      <c r="M5">
        <f>IFERROR(INDEX(Diccionario!$N:$N,MATCH(F1171,Diccionario!$C:$C,0)),"")</f>
        <v/>
      </c>
    </row>
    <row r="6" ht="15" customHeight="1" s="57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s="45" t="n">
        <v>14.3</v>
      </c>
      <c r="J6" t="inlineStr">
        <is>
          <t>%</t>
        </is>
      </c>
      <c r="L6" t="inlineStr">
        <is>
          <t>CS</t>
        </is>
      </c>
      <c r="M6">
        <f>IFERROR(INDEX(Diccionario!$N:$N,MATCH(F1168,Diccionario!$C:$C,0)),"")</f>
        <v/>
      </c>
    </row>
    <row r="7" ht="15" customHeight="1" s="5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s="45" t="n">
        <v>78.59999999999999</v>
      </c>
      <c r="J7" t="inlineStr">
        <is>
          <t>%</t>
        </is>
      </c>
      <c r="L7" t="inlineStr">
        <is>
          <t>CS</t>
        </is>
      </c>
      <c r="M7">
        <f>IFERROR(INDEX(Diccionario!$N:$N,MATCH(F1165,Diccionario!$C:$C,0)),"")</f>
        <v/>
      </c>
    </row>
    <row r="8" ht="15" customHeight="1" s="57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s="45" t="n">
        <v>0</v>
      </c>
      <c r="J8" t="inlineStr">
        <is>
          <t>%</t>
        </is>
      </c>
      <c r="L8" t="inlineStr">
        <is>
          <t>CS</t>
        </is>
      </c>
      <c r="M8">
        <f>IFERROR(INDEX(Diccionario!$N:$N,MATCH(F1172,Diccionario!$C:$C,0)),"")</f>
        <v/>
      </c>
    </row>
    <row r="9" ht="15" customHeight="1" s="57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s="45" t="n">
        <v>0</v>
      </c>
      <c r="J9" t="inlineStr">
        <is>
          <t>%</t>
        </is>
      </c>
      <c r="L9" t="inlineStr">
        <is>
          <t>CS</t>
        </is>
      </c>
      <c r="M9">
        <f>IFERROR(INDEX(Diccionario!$N:$N,MATCH(F1169,Diccionario!$C:$C,0)),"")</f>
        <v/>
      </c>
    </row>
    <row r="10" ht="15" customHeight="1" s="57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s="45" t="n">
        <v>100</v>
      </c>
      <c r="J10" t="inlineStr">
        <is>
          <t>%</t>
        </is>
      </c>
      <c r="L10" t="inlineStr">
        <is>
          <t>CS</t>
        </is>
      </c>
      <c r="M10">
        <f>IFERROR(INDEX(Diccionario!$N:$N,MATCH(F1166,Diccionario!$C:$C,0)),"")</f>
        <v/>
      </c>
    </row>
    <row r="11" ht="15" customHeight="1" s="57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s="45" t="n">
        <v>8.300000000000001</v>
      </c>
      <c r="J11" t="inlineStr">
        <is>
          <t>%</t>
        </is>
      </c>
      <c r="L11" t="inlineStr">
        <is>
          <t>CS</t>
        </is>
      </c>
      <c r="M11">
        <f>IFERROR(INDEX(Diccionario!$N:$N,MATCH(F1170,Diccionario!$C:$C,0)),"")</f>
        <v/>
      </c>
    </row>
    <row r="12" ht="15" customHeight="1" s="57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s="45" t="n">
        <v>91.7</v>
      </c>
      <c r="J12" t="inlineStr">
        <is>
          <t>%</t>
        </is>
      </c>
      <c r="L12" t="inlineStr">
        <is>
          <t>CS</t>
        </is>
      </c>
      <c r="M12">
        <f>IFERROR(INDEX(Diccionario!$N:$N,MATCH(F1167,Diccionario!$C:$C,0)),"")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57" min="1" max="1"/>
    <col width="14" customWidth="1" style="57" min="2" max="2"/>
    <col width="30" customWidth="1" style="57" min="3" max="3"/>
    <col width="20" customWidth="1" style="57" min="4" max="4"/>
  </cols>
  <sheetData>
    <row r="1" ht="24" customHeight="1" s="57">
      <c r="A1" s="58" t="inlineStr">
        <is>
          <t>TRM mensual (COP por USD) — derivada de ingresos COP / ingresos USD</t>
        </is>
      </c>
    </row>
    <row r="2" ht="14.25" customHeight="1" s="57">
      <c r="A2" s="59" t="inlineStr">
        <is>
          <t>El dashboard convierte a USD dividiendo el valor COP entre la TRM del periodo. Editable.</t>
        </is>
      </c>
    </row>
    <row r="3" ht="14.25" customHeight="1" s="57">
      <c r="A3" s="39" t="inlineStr">
        <is>
          <t>periodo</t>
        </is>
      </c>
      <c r="B3" s="39" t="inlineStr">
        <is>
          <t>trm_cop_usd</t>
        </is>
      </c>
      <c r="C3" s="39" t="inlineStr">
        <is>
          <t>fuente</t>
        </is>
      </c>
      <c r="D3" s="40" t="inlineStr">
        <is>
          <t>trm_promedio_mercado</t>
        </is>
      </c>
    </row>
    <row r="4" ht="14.25" customHeight="1" s="57">
      <c r="A4" s="5" t="inlineStr">
        <is>
          <t>2024-01</t>
        </is>
      </c>
      <c r="B4" s="49" t="n">
        <v>4420</v>
      </c>
      <c r="C4" s="21" t="inlineStr">
        <is>
          <t>Ingresos COP/USD</t>
        </is>
      </c>
      <c r="D4" s="50" t="n">
        <v>3915.2</v>
      </c>
    </row>
    <row r="5" ht="14.25" customHeight="1" s="57">
      <c r="A5" s="6" t="inlineStr">
        <is>
          <t>2024-02</t>
        </is>
      </c>
      <c r="B5" s="51" t="n">
        <v>4420</v>
      </c>
      <c r="C5" s="23" t="inlineStr">
        <is>
          <t>Ingresos COP/USD</t>
        </is>
      </c>
      <c r="D5" s="50" t="n">
        <v>3931.44</v>
      </c>
    </row>
    <row r="6" ht="14.25" customHeight="1" s="57">
      <c r="A6" s="5" t="inlineStr">
        <is>
          <t>2024-03</t>
        </is>
      </c>
      <c r="B6" s="49" t="n">
        <v>4420</v>
      </c>
      <c r="C6" s="21" t="inlineStr">
        <is>
          <t>Ingresos COP/USD</t>
        </is>
      </c>
      <c r="D6" s="50" t="n">
        <v>3899.34</v>
      </c>
    </row>
    <row r="7" ht="14.25" customHeight="1" s="57">
      <c r="A7" s="6" t="inlineStr">
        <is>
          <t>2024-04</t>
        </is>
      </c>
      <c r="B7" s="51" t="n">
        <v>4420</v>
      </c>
      <c r="C7" s="23" t="inlineStr">
        <is>
          <t>Ingresos COP/USD</t>
        </is>
      </c>
      <c r="D7" s="50" t="n">
        <v>3867.98</v>
      </c>
    </row>
    <row r="8" ht="14.25" customHeight="1" s="57">
      <c r="A8" s="5" t="inlineStr">
        <is>
          <t>2024-05</t>
        </is>
      </c>
      <c r="B8" s="49" t="n">
        <v>4420</v>
      </c>
      <c r="C8" s="21" t="inlineStr">
        <is>
          <t>Ingresos COP/USD</t>
        </is>
      </c>
      <c r="D8" s="50" t="n">
        <v>3869.1</v>
      </c>
    </row>
    <row r="9" ht="14.25" customHeight="1" s="57">
      <c r="A9" s="6" t="inlineStr">
        <is>
          <t>2024-06</t>
        </is>
      </c>
      <c r="B9" s="51" t="n">
        <v>4420</v>
      </c>
      <c r="C9" s="23" t="inlineStr">
        <is>
          <t>Ingresos COP/USD</t>
        </is>
      </c>
      <c r="D9" s="50" t="n">
        <v>4042.8</v>
      </c>
    </row>
    <row r="10" ht="14.25" customHeight="1" s="57">
      <c r="A10" s="5" t="inlineStr">
        <is>
          <t>2024-07</t>
        </is>
      </c>
      <c r="B10" s="49" t="n">
        <v>4420</v>
      </c>
      <c r="C10" s="21" t="inlineStr">
        <is>
          <t>Ingresos COP/USD</t>
        </is>
      </c>
      <c r="D10" s="50" t="n">
        <v>4036.92</v>
      </c>
    </row>
    <row r="11" ht="14.25" customHeight="1" s="57">
      <c r="A11" s="6" t="inlineStr">
        <is>
          <t>2024-08</t>
        </is>
      </c>
      <c r="B11" s="51" t="n">
        <v>4420</v>
      </c>
      <c r="C11" s="23" t="inlineStr">
        <is>
          <t>Ingresos COP/USD</t>
        </is>
      </c>
      <c r="D11" s="50" t="n">
        <v>4065.55</v>
      </c>
    </row>
    <row r="12" ht="14.25" customHeight="1" s="57">
      <c r="A12" s="5" t="inlineStr">
        <is>
          <t>2024-09</t>
        </is>
      </c>
      <c r="B12" s="49" t="n">
        <v>4420</v>
      </c>
      <c r="C12" s="21" t="inlineStr">
        <is>
          <t>Ingresos COP/USD</t>
        </is>
      </c>
      <c r="D12" s="50" t="n">
        <v>4182.51</v>
      </c>
    </row>
    <row r="13" ht="14.25" customHeight="1" s="57">
      <c r="A13" s="6" t="inlineStr">
        <is>
          <t>2024-10</t>
        </is>
      </c>
      <c r="B13" s="51" t="n">
        <v>4420</v>
      </c>
      <c r="C13" s="23" t="inlineStr">
        <is>
          <t>Ingresos COP/USD</t>
        </is>
      </c>
      <c r="D13" s="50" t="n">
        <v>4249.47</v>
      </c>
    </row>
    <row r="14" ht="14.25" customHeight="1" s="57">
      <c r="A14" s="5" t="inlineStr">
        <is>
          <t>2024-11</t>
        </is>
      </c>
      <c r="B14" s="49" t="n">
        <v>4420</v>
      </c>
      <c r="C14" s="21" t="inlineStr">
        <is>
          <t>Ingresos COP/USD</t>
        </is>
      </c>
      <c r="D14" s="50" t="n">
        <v>4408.65</v>
      </c>
    </row>
    <row r="15" ht="14.25" customHeight="1" s="57">
      <c r="A15" s="6" t="inlineStr">
        <is>
          <t>2024-12</t>
        </is>
      </c>
      <c r="B15" s="51" t="n">
        <v>4420</v>
      </c>
      <c r="C15" s="23" t="inlineStr">
        <is>
          <t>Ingresos COP/USD</t>
        </is>
      </c>
      <c r="D15" s="50" t="n">
        <v>4385.15</v>
      </c>
    </row>
    <row r="16" ht="14.25" customHeight="1" s="57">
      <c r="A16" s="5" t="inlineStr">
        <is>
          <t>2025-01</t>
        </is>
      </c>
      <c r="B16" s="49" t="n">
        <v>4420</v>
      </c>
      <c r="C16" s="21" t="inlineStr">
        <is>
          <t>Ingresos COP/USD</t>
        </is>
      </c>
      <c r="D16" s="50" t="n">
        <v>4307.57</v>
      </c>
    </row>
    <row r="17" ht="14.25" customHeight="1" s="57">
      <c r="A17" s="6" t="inlineStr">
        <is>
          <t>2025-02</t>
        </is>
      </c>
      <c r="B17" s="51" t="n">
        <v>4420</v>
      </c>
      <c r="C17" s="23" t="inlineStr">
        <is>
          <t>Ingresos COP/USD</t>
        </is>
      </c>
      <c r="D17" s="50" t="n">
        <v>4127.95</v>
      </c>
    </row>
    <row r="18" ht="14.25" customHeight="1" s="57">
      <c r="A18" s="5" t="inlineStr">
        <is>
          <t>2025-03</t>
        </is>
      </c>
      <c r="B18" s="49" t="n">
        <v>4420</v>
      </c>
      <c r="C18" s="21" t="inlineStr">
        <is>
          <t>Ingresos COP/USD</t>
        </is>
      </c>
      <c r="D18" s="50" t="n">
        <v>4137.68</v>
      </c>
    </row>
    <row r="19" ht="14.25" customHeight="1" s="57">
      <c r="A19" s="6" t="inlineStr">
        <is>
          <t>2025-04</t>
        </is>
      </c>
      <c r="B19" s="51" t="n">
        <v>4420</v>
      </c>
      <c r="C19" s="23" t="inlineStr">
        <is>
          <t>Ingresos COP/USD</t>
        </is>
      </c>
      <c r="D19" s="50" t="n">
        <v>4280.26</v>
      </c>
    </row>
    <row r="20" ht="14.25" customHeight="1" s="57">
      <c r="A20" s="5" t="inlineStr">
        <is>
          <t>2025-05</t>
        </is>
      </c>
      <c r="B20" s="49" t="n">
        <v>4420</v>
      </c>
      <c r="C20" s="21" t="inlineStr">
        <is>
          <t>Ingresos COP/USD</t>
        </is>
      </c>
      <c r="D20" s="50" t="n">
        <v>4203.38</v>
      </c>
    </row>
    <row r="21" ht="14.25" customHeight="1" s="57">
      <c r="A21" s="6" t="inlineStr">
        <is>
          <t>2025-06</t>
        </is>
      </c>
      <c r="B21" s="51" t="n">
        <v>4420</v>
      </c>
      <c r="C21" s="23" t="inlineStr">
        <is>
          <t>Ingresos COP/USD</t>
        </is>
      </c>
      <c r="D21" s="50" t="n">
        <v>4113.49</v>
      </c>
    </row>
    <row r="22" ht="14.25" customHeight="1" s="57">
      <c r="A22" s="5" t="inlineStr">
        <is>
          <t>2025-07</t>
        </is>
      </c>
      <c r="B22" s="49" t="n">
        <v>4420</v>
      </c>
      <c r="C22" s="21" t="inlineStr">
        <is>
          <t>Ingresos COP/USD</t>
        </is>
      </c>
      <c r="D22" s="50" t="n">
        <v>4040.85</v>
      </c>
    </row>
    <row r="23" ht="14.25" customHeight="1" s="57">
      <c r="A23" s="6" t="inlineStr">
        <is>
          <t>2025-08</t>
        </is>
      </c>
      <c r="B23" s="51" t="n">
        <v>4420</v>
      </c>
      <c r="C23" s="23" t="inlineStr">
        <is>
          <t>Ingresos COP/USD</t>
        </is>
      </c>
      <c r="D23" s="50" t="n">
        <v>4047.41</v>
      </c>
    </row>
    <row r="24" ht="14.25" customHeight="1" s="57">
      <c r="A24" s="5" t="inlineStr">
        <is>
          <t>2025-09</t>
        </is>
      </c>
      <c r="B24" s="49" t="n">
        <v>4420</v>
      </c>
      <c r="C24" s="21" t="inlineStr">
        <is>
          <t>Ingresos COP/USD</t>
        </is>
      </c>
      <c r="D24" s="50" t="n">
        <v>3922.21</v>
      </c>
    </row>
    <row r="25" ht="14.25" customHeight="1" s="57">
      <c r="A25" s="6" t="inlineStr">
        <is>
          <t>2025-10</t>
        </is>
      </c>
      <c r="B25" s="51" t="n">
        <v>4420</v>
      </c>
      <c r="C25" s="23" t="inlineStr">
        <is>
          <t>Ingresos COP/USD</t>
        </is>
      </c>
      <c r="D25" s="50" t="n">
        <v>3877.84</v>
      </c>
    </row>
    <row r="26" ht="14.25" customHeight="1" s="57">
      <c r="A26" s="5" t="inlineStr">
        <is>
          <t>2025-11</t>
        </is>
      </c>
      <c r="B26" s="49" t="n">
        <v>4420</v>
      </c>
      <c r="C26" s="21" t="inlineStr">
        <is>
          <t>Ingresos COP/USD</t>
        </is>
      </c>
      <c r="D26" s="50" t="n">
        <v>3786.18</v>
      </c>
    </row>
    <row r="27" ht="14.25" customHeight="1" s="57">
      <c r="A27" s="6" t="inlineStr">
        <is>
          <t>2025-12</t>
        </is>
      </c>
      <c r="B27" s="51" t="n">
        <v>4420</v>
      </c>
      <c r="C27" s="23" t="inlineStr">
        <is>
          <t>Ingresos COP/USD</t>
        </is>
      </c>
      <c r="D27" s="50" t="n">
        <v>3791.47</v>
      </c>
    </row>
    <row r="28" ht="14.25" customHeight="1" s="57">
      <c r="A28" s="5" t="inlineStr">
        <is>
          <t>2026-01</t>
        </is>
      </c>
      <c r="B28" s="49" t="n">
        <v>4170</v>
      </c>
      <c r="C28" s="21" t="inlineStr">
        <is>
          <t>Ingresos COP/USD</t>
        </is>
      </c>
      <c r="D28" s="50" t="n">
        <v>3703</v>
      </c>
    </row>
    <row r="29" ht="14.25" customHeight="1" s="57">
      <c r="A29" s="6" t="inlineStr">
        <is>
          <t>2026-02</t>
        </is>
      </c>
      <c r="B29" s="51" t="n">
        <v>4170</v>
      </c>
      <c r="C29" s="23" t="inlineStr">
        <is>
          <t>Ingresos COP/USD</t>
        </is>
      </c>
      <c r="D29" s="50" t="n">
        <v>3675.64</v>
      </c>
    </row>
    <row r="30" ht="14.25" customHeight="1" s="57">
      <c r="A30" s="5" t="inlineStr">
        <is>
          <t>2026-03</t>
        </is>
      </c>
      <c r="B30" s="49" t="n">
        <v>4170</v>
      </c>
      <c r="C30" s="21" t="inlineStr">
        <is>
          <t>Ingresos COP/USD</t>
        </is>
      </c>
      <c r="D30" s="50" t="n">
        <v>3717.56</v>
      </c>
    </row>
    <row r="31" ht="14.25" customHeight="1" s="57">
      <c r="A31" s="6" t="inlineStr">
        <is>
          <t>2026-04</t>
        </is>
      </c>
      <c r="B31" s="51" t="n">
        <v>4170</v>
      </c>
      <c r="C31" s="23" t="inlineStr">
        <is>
          <t>Ingresos COP/USD</t>
        </is>
      </c>
      <c r="D31" s="50" t="n">
        <v>3617.52</v>
      </c>
    </row>
    <row r="32" ht="14.25" customHeight="1" s="57">
      <c r="A32" s="5" t="inlineStr">
        <is>
          <t>2026-05</t>
        </is>
      </c>
      <c r="B32" s="49" t="n">
        <v>4170</v>
      </c>
      <c r="C32" s="21" t="inlineStr">
        <is>
          <t>Ingresos COP/USD</t>
        </is>
      </c>
      <c r="D32" s="50" t="n">
        <v>3714.02</v>
      </c>
    </row>
    <row r="33">
      <c r="A33" s="29" t="inlineStr">
        <is>
          <t>2026-06</t>
        </is>
      </c>
      <c r="B33" s="52" t="n">
        <v>4170</v>
      </c>
      <c r="C33" s="30" t="inlineStr">
        <is>
          <t>Ingresos COP/USD</t>
        </is>
      </c>
      <c r="D33" s="50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50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50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50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50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50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50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1" customWidth="1" style="57" min="1" max="1"/>
    <col width="10" customWidth="1" style="57" min="2" max="2"/>
    <col width="13" customWidth="1" style="57" min="3" max="3"/>
    <col width="15" customWidth="1" style="57" min="4" max="4"/>
    <col width="34" customWidth="1" style="57" min="5" max="5"/>
  </cols>
  <sheetData>
    <row r="1" ht="15.6" customHeight="1" s="57">
      <c r="A1" s="46" t="inlineStr">
        <is>
          <t>Tasa de cambio Perú — promedio mensual 2026 (S/ por US$)</t>
        </is>
      </c>
    </row>
    <row r="2">
      <c r="A2" s="31" t="inlineStr">
        <is>
          <t>Fuente: BCRP (promedio del periodo). Julio = promedio del mes hasta la fecha (días hábiles 1–9 jul, provisional).</t>
        </is>
      </c>
    </row>
    <row r="4">
      <c r="A4" s="53" t="inlineStr">
        <is>
          <t>periodo</t>
        </is>
      </c>
      <c r="B4" s="53" t="inlineStr">
        <is>
          <t>par</t>
        </is>
      </c>
      <c r="C4" s="53" t="inlineStr">
        <is>
          <t>tc_pen_usd</t>
        </is>
      </c>
      <c r="D4" s="53" t="inlineStr">
        <is>
          <t>factor_usd_pen</t>
        </is>
      </c>
      <c r="E4" s="53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54" t="n">
        <v>3.357</v>
      </c>
      <c r="D5" s="55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54" t="n">
        <v>3.357</v>
      </c>
      <c r="D6" s="55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54" t="n">
        <v>3.447</v>
      </c>
      <c r="D7" s="55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54" t="n">
        <v>3.443</v>
      </c>
      <c r="D8" s="55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54" t="n">
        <v>3.435</v>
      </c>
      <c r="D9" s="55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54" t="n">
        <v>3.405</v>
      </c>
      <c r="D10" s="55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54" t="n">
        <v>3.405</v>
      </c>
      <c r="D11" s="55" t="n">
        <v>0.293686</v>
      </c>
      <c r="E11" t="inlineStr">
        <is>
          <t>Promedio hasta 9-jul (provisional)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2" customWidth="1" style="57" min="1" max="1"/>
    <col width="18" customWidth="1" style="57" min="2" max="2"/>
    <col width="30" customWidth="1" style="57" min="3" max="3"/>
  </cols>
  <sheetData>
    <row r="1" ht="24" customHeight="1" s="57">
      <c r="A1" s="58" t="inlineStr">
        <is>
          <t>LTV financiero (margen bruto + churn de ingresos TTM)</t>
        </is>
      </c>
    </row>
    <row r="2" ht="14.25" customHeight="1" s="57">
      <c r="A2" s="59" t="inlineStr">
        <is>
          <t>Cambia solo la celda amarilla (margen bruto) y LTV / payback / LTV:CAC se recalculan. Ventana TTM jun-2025 a may-2026.</t>
        </is>
      </c>
    </row>
    <row r="4" ht="14.25" customHeight="1" s="57">
      <c r="A4" s="11" t="inlineStr">
        <is>
          <t>Margen bruto (EDITABLE)</t>
        </is>
      </c>
      <c r="B4" s="12" t="n">
        <v>0.51</v>
      </c>
      <c r="C4" s="13" t="inlineStr">
        <is>
          <t>Source: Contabilidad, may-2026</t>
        </is>
      </c>
    </row>
    <row r="5" ht="14.25" customHeight="1" s="57">
      <c r="A5" s="14" t="inlineStr">
        <is>
          <t>ARPA mensual prom. (TTM)</t>
        </is>
      </c>
      <c r="B5" s="15" t="n">
        <v>8307111</v>
      </c>
      <c r="C5" s="13" t="inlineStr">
        <is>
          <t>Prom. ARPU mercadeo TTM</t>
        </is>
      </c>
    </row>
    <row r="6" ht="14.25" customHeight="1" s="57">
      <c r="A6" s="14" t="inlineStr">
        <is>
          <t>Churn de ingresos mensual (TTM)</t>
        </is>
      </c>
      <c r="B6" s="16" t="n">
        <v>0.0102</v>
      </c>
      <c r="C6" s="13" t="inlineStr">
        <is>
          <t>Σchurned / Σmrr_inicio (MRR bridge)</t>
        </is>
      </c>
    </row>
    <row r="7" ht="14.25" customHeight="1" s="57">
      <c r="A7" s="14" t="inlineStr">
        <is>
          <t>Churn de clientes mensual (TTM)</t>
        </is>
      </c>
      <c r="B7" s="16" t="n">
        <v>0.0117</v>
      </c>
      <c r="C7" s="13" t="inlineStr">
        <is>
          <t>Account Churn mercadeo (comparativo)</t>
        </is>
      </c>
    </row>
    <row r="8" ht="14.25" customHeight="1" s="57">
      <c r="A8" s="14" t="inlineStr">
        <is>
          <t>CAC prom. trimestral (TTM)</t>
        </is>
      </c>
      <c r="B8" s="15" t="n">
        <v>64935810</v>
      </c>
      <c r="C8" s="13" t="inlineStr">
        <is>
          <t>Prom. CAC mercadeo en la ventana</t>
        </is>
      </c>
    </row>
    <row r="10" ht="14.25" customHeight="1" s="57">
      <c r="A10" s="60" t="inlineStr">
        <is>
          <t>RESULTADOS</t>
        </is>
      </c>
    </row>
    <row r="11" ht="14.25" customHeight="1" s="57">
      <c r="A11" s="11" t="inlineStr">
        <is>
          <t>LTV financiero (COP)</t>
        </is>
      </c>
      <c r="B11" s="17">
        <f>B5*B4/B6</f>
        <v/>
      </c>
    </row>
    <row r="12" ht="14.25" customHeight="1" s="57">
      <c r="A12" s="11" t="inlineStr">
        <is>
          <t>Payback financiero (meses)</t>
        </is>
      </c>
      <c r="B12" s="18">
        <f>B8/(B5*B4)</f>
        <v/>
      </c>
    </row>
    <row r="13" ht="14.25" customHeight="1" s="57">
      <c r="A13" s="11" t="inlineStr">
        <is>
          <t>LTV:CAC financiero (veces)</t>
        </is>
      </c>
      <c r="B13" s="19">
        <f>B11/B8</f>
        <v/>
      </c>
    </row>
  </sheetData>
  <mergeCells count="3">
    <mergeCell ref="A1:C1"/>
    <mergeCell ref="A2:C2"/>
    <mergeCell ref="A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4" customWidth="1" style="57" min="1" max="1"/>
    <col width="14" customWidth="1" style="57" min="2" max="2"/>
    <col width="18" customWidth="1" style="57" min="3" max="3"/>
    <col width="14" customWidth="1" style="57" min="4" max="5"/>
  </cols>
  <sheetData>
    <row r="1" ht="27.75" customHeight="1" s="57">
      <c r="A1" s="58" t="inlineStr">
        <is>
          <t>Análisis de Churn — Informe Contabilidad mayo 2026</t>
        </is>
      </c>
    </row>
    <row r="2" ht="14.25" customHeight="1" s="57">
      <c r="A2" s="59" t="inlineStr">
        <is>
          <t>Valor de churn en USD. Definición de la cifra (MRR perdido vs. valor de contrato) a confirmar. Total churn = 40.131 USD.</t>
        </is>
      </c>
    </row>
    <row r="4" ht="21.75" customHeight="1" s="57">
      <c r="A4" s="62" t="inlineStr">
        <is>
          <t>1. Churn por razón de retiro</t>
        </is>
      </c>
    </row>
    <row r="5" ht="14.25" customHeight="1" s="57">
      <c r="A5" s="24" t="inlineStr">
        <is>
          <t>Razón</t>
        </is>
      </c>
      <c r="B5" s="24" t="inlineStr">
        <is>
          <t>Valor USD</t>
        </is>
      </c>
      <c r="C5" s="24" t="inlineStr">
        <is>
          <t>% del total</t>
        </is>
      </c>
    </row>
    <row r="6" ht="14.25" customHeight="1" s="57">
      <c r="A6" s="5" t="inlineStr">
        <is>
          <t>Cambio de gerente</t>
        </is>
      </c>
      <c r="B6" s="7" t="n">
        <v>3689</v>
      </c>
      <c r="C6" s="25" t="n">
        <v>0.0919</v>
      </c>
    </row>
    <row r="7" ht="14.25" customHeight="1" s="57">
      <c r="A7" s="6" t="inlineStr">
        <is>
          <t>Interoperabilidad</t>
        </is>
      </c>
      <c r="B7" s="22" t="n">
        <v>1381</v>
      </c>
      <c r="C7" s="26" t="n">
        <v>0.0344</v>
      </c>
    </row>
    <row r="8" ht="14.25" customHeight="1" s="57">
      <c r="A8" s="5" t="inlineStr">
        <is>
          <t>No agrega valor</t>
        </is>
      </c>
      <c r="B8" s="7" t="n">
        <v>18462</v>
      </c>
      <c r="C8" s="25" t="n">
        <v>0.46</v>
      </c>
    </row>
    <row r="9" ht="14.25" customHeight="1" s="57">
      <c r="A9" s="6" t="inlineStr">
        <is>
          <t>Piloto no exitoso</t>
        </is>
      </c>
      <c r="B9" s="22" t="n">
        <v>558</v>
      </c>
      <c r="C9" s="26" t="n">
        <v>0.0139</v>
      </c>
    </row>
    <row r="10" ht="14.25" customHeight="1" s="57">
      <c r="A10" s="5" t="inlineStr">
        <is>
          <t>Presupuesto</t>
        </is>
      </c>
      <c r="B10" s="7" t="n">
        <v>16040</v>
      </c>
      <c r="C10" s="25" t="n">
        <v>0.3997</v>
      </c>
    </row>
    <row r="11" ht="14.25" customHeight="1" s="57">
      <c r="A11" s="27" t="inlineStr">
        <is>
          <t>Total</t>
        </is>
      </c>
      <c r="B11" s="22" t="n">
        <v>40131</v>
      </c>
      <c r="C11" s="26" t="n">
        <v>1</v>
      </c>
    </row>
    <row r="13" ht="21.75" customHeight="1" s="57">
      <c r="A13" s="62" t="inlineStr">
        <is>
          <t>2. Churn por factor</t>
        </is>
      </c>
    </row>
    <row r="14" ht="14.25" customHeight="1" s="57">
      <c r="A14" s="24" t="inlineStr">
        <is>
          <t>Factor</t>
        </is>
      </c>
      <c r="B14" s="24" t="inlineStr">
        <is>
          <t>Valor USD</t>
        </is>
      </c>
      <c r="C14" s="24" t="inlineStr">
        <is>
          <t>% del total</t>
        </is>
      </c>
    </row>
    <row r="15" ht="14.25" customHeight="1" s="57">
      <c r="A15" s="6" t="inlineStr">
        <is>
          <t>Externo</t>
        </is>
      </c>
      <c r="B15" s="22" t="n">
        <v>19436</v>
      </c>
      <c r="C15" s="26" t="n">
        <v>0.4843</v>
      </c>
    </row>
    <row r="16" ht="14.25" customHeight="1" s="57">
      <c r="A16" s="5" t="inlineStr">
        <is>
          <t>Interno</t>
        </is>
      </c>
      <c r="B16" s="7" t="n">
        <v>20694</v>
      </c>
      <c r="C16" s="25" t="n">
        <v>0.5157</v>
      </c>
    </row>
    <row r="17" ht="14.25" customHeight="1" s="57">
      <c r="A17" s="27" t="inlineStr">
        <is>
          <t>Total</t>
        </is>
      </c>
      <c r="B17" s="22" t="n">
        <v>40131</v>
      </c>
      <c r="C17" s="26" t="n">
        <v>1</v>
      </c>
    </row>
    <row r="19" ht="21.75" customHeight="1" s="57">
      <c r="A19" s="62" t="inlineStr">
        <is>
          <t>3. Churn por tamaño de cliente</t>
        </is>
      </c>
    </row>
    <row r="20" ht="14.25" customHeight="1" s="57">
      <c r="A20" s="24" t="inlineStr">
        <is>
          <t>Tamaño</t>
        </is>
      </c>
      <c r="B20" s="24" t="inlineStr">
        <is>
          <t>Valor USD</t>
        </is>
      </c>
      <c r="C20" s="24" t="inlineStr">
        <is>
          <t>Comparativo 'Enero'</t>
        </is>
      </c>
    </row>
    <row r="21" ht="14.25" customHeight="1" s="57">
      <c r="A21" s="6" t="inlineStr">
        <is>
          <t>Grande</t>
        </is>
      </c>
      <c r="B21" s="22" t="n">
        <v>28116</v>
      </c>
      <c r="C21" s="6" t="n">
        <v>0</v>
      </c>
    </row>
    <row r="22" ht="14.25" customHeight="1" s="57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7">
      <c r="A23" s="6" t="inlineStr">
        <is>
          <t>Pequeño</t>
        </is>
      </c>
      <c r="B23" s="22" t="n">
        <v>3294</v>
      </c>
      <c r="C23" s="6" t="n">
        <v>1731</v>
      </c>
    </row>
    <row r="24" ht="14.25" customHeight="1" s="57">
      <c r="A24" s="28" t="inlineStr">
        <is>
          <t>Total</t>
        </is>
      </c>
      <c r="B24" s="7" t="n">
        <v>40131</v>
      </c>
      <c r="C24" s="5" t="n">
        <v>15895</v>
      </c>
    </row>
    <row r="26" ht="21.75" customHeight="1" s="57">
      <c r="A26" s="62" t="inlineStr">
        <is>
          <t>4. Notas y hallazgos (CS)</t>
        </is>
      </c>
    </row>
    <row r="27" ht="15" customHeight="1" s="57">
      <c r="A27" s="61" t="inlineStr">
        <is>
          <t>•  Salud Total representa el 40% del churn.</t>
        </is>
      </c>
    </row>
    <row r="28" ht="15" customHeight="1" s="57">
      <c r="A28" s="61" t="inlineStr">
        <is>
          <t>•  No gastar esfuerzo comercial en clientes con &lt; 3.000 citas mensuales o consultorios particulares.</t>
        </is>
      </c>
    </row>
    <row r="29" ht="15" customHeight="1" s="57">
      <c r="A29" s="61" t="inlineStr">
        <is>
          <t>•  El churn de B2C debe medirse aparte del agendamiento.</t>
        </is>
      </c>
    </row>
    <row r="30" ht="15" customHeight="1" s="57">
      <c r="A30" s="61" t="inlineStr">
        <is>
          <t>•  Producto: estabilización del bot en Q1.</t>
        </is>
      </c>
    </row>
    <row r="31" ht="15" customHeight="1" s="57">
      <c r="A31" s="61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0" customWidth="1" style="57" min="1" max="1"/>
    <col width="18" customWidth="1" style="57" min="2" max="3"/>
    <col width="16" customWidth="1" style="57" min="4" max="5"/>
  </cols>
  <sheetData>
    <row r="1" ht="24" customHeight="1" s="57">
      <c r="A1" s="58" t="inlineStr">
        <is>
          <t>Facturación Contable vs Ejecutada — mayo 2026 (S2)</t>
        </is>
      </c>
    </row>
    <row r="3" ht="14.25" customHeight="1" s="57">
      <c r="A3" s="20" t="inlineStr">
        <is>
          <t>Concepto</t>
        </is>
      </c>
      <c r="B3" s="20" t="inlineStr">
        <is>
          <t>Contable (COP)</t>
        </is>
      </c>
      <c r="C3" s="20" t="inlineStr">
        <is>
          <t>Ejecutada (COP)</t>
        </is>
      </c>
      <c r="D3" s="20" t="inlineStr">
        <is>
          <t>Contable (USD)</t>
        </is>
      </c>
      <c r="E3" s="20" t="inlineStr">
        <is>
          <t>Ejecutada (USD)</t>
        </is>
      </c>
    </row>
    <row r="4" ht="14.25" customHeight="1" s="57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7">
      <c r="A5" s="6" t="inlineStr">
        <is>
          <t>Otros ingresos</t>
        </is>
      </c>
      <c r="B5" s="22" t="n">
        <v>1366337</v>
      </c>
      <c r="C5" s="22" t="n">
        <v>1366337</v>
      </c>
      <c r="D5" s="22" t="n">
        <v>370.281029810298</v>
      </c>
      <c r="E5" s="22" t="n">
        <v>370.281029810298</v>
      </c>
    </row>
    <row r="6" ht="14.25" customHeight="1" s="57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7">
      <c r="A7" s="6" t="inlineStr">
        <is>
          <t>Financieros</t>
        </is>
      </c>
      <c r="B7" s="22" t="n">
        <v>6000847</v>
      </c>
      <c r="C7" s="22" t="n">
        <v>6000847</v>
      </c>
      <c r="D7" s="22" t="n">
        <v>1626.245799458</v>
      </c>
      <c r="E7" s="22" t="n">
        <v>1626.245799458</v>
      </c>
    </row>
    <row r="8" ht="14.25" customHeight="1" s="57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</cols>
  <sheetData>
    <row r="1">
      <c r="A1" s="65" t="inlineStr">
        <is>
          <t>Consolidado financiero estructurado COCO 2026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s="64" t="inlineStr">
        <is>
          <t>COCO COLOMBIA VALIDADO</t>
        </is>
      </c>
      <c r="B4" s="64" t="n"/>
      <c r="C4" s="64" t="n"/>
      <c r="D4" s="64" t="n"/>
      <c r="E4" s="64" t="n"/>
      <c r="F4" s="64" t="inlineStr">
        <is>
          <t>Periodo</t>
        </is>
      </c>
      <c r="G4" s="64" t="inlineStr">
        <is>
          <t>2026-01-01 a 2026-07-31</t>
        </is>
      </c>
      <c r="H4" s="64" t="n"/>
      <c r="I4" s="64" t="n"/>
      <c r="J4" s="64" t="inlineStr">
        <is>
          <t>Archivos fuente</t>
        </is>
      </c>
      <c r="K4" s="64" t="n">
        <v>22</v>
      </c>
      <c r="L4" s="64" t="n"/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Cobertura julio</t>
        </is>
      </c>
      <c r="K7" t="inlineStr">
        <is>
          <t>COCO + EE.UU. + Per? + CR</t>
        </is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COCO Colombia - validación contra estados oficiales</t>
        </is>
      </c>
      <c r="B1" s="65" t="n"/>
      <c r="C1" s="65" t="n"/>
      <c r="D1" s="65" t="n"/>
      <c r="E1" s="65" t="n"/>
      <c r="F1" s="65" t="n"/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s="64" t="inlineStr">
        <is>
          <t>Entidad</t>
        </is>
      </c>
      <c r="B3" s="64" t="inlineStr">
        <is>
          <t>COCO INVERSIONES TECNOLOGICAS S.A.S</t>
        </is>
      </c>
      <c r="C3" s="64" t="n"/>
      <c r="D3" s="64" t="inlineStr">
        <is>
          <t>País</t>
        </is>
      </c>
      <c r="E3" s="64" t="inlineStr">
        <is>
          <t>Colombia</t>
        </is>
      </c>
      <c r="F3" s="64" t="n"/>
    </row>
    <row r="4">
      <c r="A4" s="64" t="inlineStr">
        <is>
          <t>Periodo</t>
        </is>
      </c>
      <c r="B4" s="64" t="inlineStr">
        <is>
          <t>2026-01-01 al 2026-07-31</t>
        </is>
      </c>
      <c r="C4" s="64" t="n"/>
      <c r="D4" s="64" t="inlineStr">
        <is>
          <t>Moneda</t>
        </is>
      </c>
      <c r="E4" s="64" t="inlineStr">
        <is>
          <t>COP</t>
        </is>
      </c>
      <c r="F4" s="64" t="n"/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s="64" t="inlineStr">
        <is>
          <t>Concepto</t>
        </is>
      </c>
      <c r="B7" s="64" t="inlineStr">
        <is>
          <t>Nota</t>
        </is>
      </c>
      <c r="C7" s="64" t="inlineStr">
        <is>
          <t>PDF oficial</t>
        </is>
      </c>
      <c r="D7" s="64" t="inlineStr">
        <is>
          <t>Homologado</t>
        </is>
      </c>
      <c r="E7" s="64" t="inlineStr">
        <is>
          <t>Diferencia</t>
        </is>
      </c>
      <c r="F7" s="64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Estado de situación financiera homologado</t>
        </is>
      </c>
      <c r="B1" s="65" t="n"/>
      <c r="C1" s="65" t="n"/>
      <c r="D1" s="65" t="n"/>
      <c r="E1" s="65" t="n"/>
      <c r="F1" s="65" t="n"/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s="64" t="inlineStr">
        <is>
          <t>Entidad</t>
        </is>
      </c>
      <c r="B3" s="64" t="n"/>
      <c r="C3" s="64" t="inlineStr">
        <is>
          <t>COCO</t>
        </is>
      </c>
      <c r="D3" s="64" t="inlineStr">
        <is>
          <t>USA</t>
        </is>
      </c>
      <c r="E3" s="64" t="inlineStr">
        <is>
          <t>PERU</t>
        </is>
      </c>
      <c r="F3" s="64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64" t="inlineStr">
        <is>
          <t>Periodo</t>
        </is>
      </c>
      <c r="B5" s="64" t="n"/>
      <c r="C5" s="64" t="inlineStr">
        <is>
          <t>2026-07</t>
        </is>
      </c>
      <c r="D5" s="64" t="inlineStr">
        <is>
          <t>2026-07</t>
        </is>
      </c>
      <c r="E5" s="64" t="inlineStr">
        <is>
          <t>2026-07</t>
        </is>
      </c>
      <c r="F5" s="64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Estado de resultados homologado - YTD</t>
        </is>
      </c>
      <c r="B1" s="65" t="n"/>
      <c r="C1" s="65" t="n"/>
      <c r="D1" s="65" t="n"/>
      <c r="E1" s="65" t="n"/>
      <c r="F1" s="65" t="n"/>
    </row>
    <row r="2">
      <c r="A2" t="inlineStr">
        <is>
          <t>Comparativo por entidad en moneda de origen. Los periodos se muestran en el encabezado; no se suman monedas diferentes.</t>
        </is>
      </c>
    </row>
    <row r="3">
      <c r="A3" s="64" t="inlineStr">
        <is>
          <t>Entidad</t>
        </is>
      </c>
      <c r="B3" s="64" t="n"/>
      <c r="C3" s="64" t="inlineStr">
        <is>
          <t>COCO</t>
        </is>
      </c>
      <c r="D3" s="64" t="inlineStr">
        <is>
          <t>USA</t>
        </is>
      </c>
      <c r="E3" s="64" t="inlineStr">
        <is>
          <t>PERU</t>
        </is>
      </c>
      <c r="F3" s="64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64" t="inlineStr">
        <is>
          <t>Periodo</t>
        </is>
      </c>
      <c r="B5" s="64" t="n"/>
      <c r="C5" s="64" t="inlineStr">
        <is>
          <t>2026-07</t>
        </is>
      </c>
      <c r="D5" s="64" t="inlineStr">
        <is>
          <t>2026-07</t>
        </is>
      </c>
      <c r="E5" s="64" t="inlineStr">
        <is>
          <t>2026-07</t>
        </is>
      </c>
      <c r="F5" s="64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</cols>
  <sheetData>
    <row r="1">
      <c r="A1" s="65" t="inlineStr">
        <is>
          <t>Movimientos mensuales homologados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s="64" t="inlineStr">
        <is>
          <t>Entidad</t>
        </is>
      </c>
      <c r="B3" s="64" t="inlineStr">
        <is>
          <t>Periodo</t>
        </is>
      </c>
      <c r="C3" s="64" t="inlineStr">
        <is>
          <t>Moneda</t>
        </is>
      </c>
      <c r="D3" s="64" t="inlineStr">
        <is>
          <t>Código común</t>
        </is>
      </c>
      <c r="E3" s="64" t="inlineStr">
        <is>
          <t>Rubro común</t>
        </is>
      </c>
      <c r="F3" s="64" t="inlineStr">
        <is>
          <t>Saldo inicial fuente</t>
        </is>
      </c>
      <c r="G3" s="64" t="inlineStr">
        <is>
          <t>Débitos</t>
        </is>
      </c>
      <c r="H3" s="64" t="inlineStr">
        <is>
          <t>Créditos</t>
        </is>
      </c>
      <c r="I3" s="64" t="inlineStr">
        <is>
          <t>Saldo final fuente</t>
        </is>
      </c>
      <c r="J3" s="64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  <col width="16" customWidth="1" style="57" min="14" max="14"/>
    <col width="16" customWidth="1" style="57" min="15" max="15"/>
    <col width="16" customWidth="1" style="57" min="16" max="16"/>
    <col width="16" customWidth="1" style="57" min="17" max="17"/>
    <col width="16" customWidth="1" style="57" min="18" max="18"/>
    <col width="16" customWidth="1" style="57" min="19" max="19"/>
    <col width="16" customWidth="1" style="57" min="20" max="20"/>
  </cols>
  <sheetData>
    <row r="1">
      <c r="A1" s="65" t="inlineStr">
        <is>
          <t>Base homologada de cuentas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s="64" t="inlineStr">
        <is>
          <t>Archivo fuente</t>
        </is>
      </c>
      <c r="B3" s="64" t="inlineStr">
        <is>
          <t>Referencia</t>
        </is>
      </c>
      <c r="C3" s="64" t="inlineStr">
        <is>
          <t>Entidad</t>
        </is>
      </c>
      <c r="D3" s="64" t="inlineStr">
        <is>
          <t>País</t>
        </is>
      </c>
      <c r="E3" s="64" t="inlineStr">
        <is>
          <t>Periodo</t>
        </is>
      </c>
      <c r="F3" s="64" t="inlineStr">
        <is>
          <t>Fin periodo</t>
        </is>
      </c>
      <c r="G3" s="64" t="inlineStr">
        <is>
          <t>Moneda</t>
        </is>
      </c>
      <c r="H3" s="64" t="inlineStr">
        <is>
          <t>Estado fuente</t>
        </is>
      </c>
      <c r="I3" s="64" t="inlineStr">
        <is>
          <t>Código fuente</t>
        </is>
      </c>
      <c r="J3" s="64" t="inlineStr">
        <is>
          <t>Cuenta fuente</t>
        </is>
      </c>
      <c r="K3" s="64" t="inlineStr">
        <is>
          <t>Detalle / tercero</t>
        </is>
      </c>
      <c r="L3" s="64" t="inlineStr">
        <is>
          <t>Saldo inicial</t>
        </is>
      </c>
      <c r="M3" s="64" t="inlineStr">
        <is>
          <t>Débitos</t>
        </is>
      </c>
      <c r="N3" s="64" t="inlineStr">
        <is>
          <t>Créditos</t>
        </is>
      </c>
      <c r="O3" s="64" t="inlineStr">
        <is>
          <t>Saldo final fuente</t>
        </is>
      </c>
      <c r="P3" s="64" t="inlineStr">
        <is>
          <t>Clave mapeo</t>
        </is>
      </c>
      <c r="Q3" s="64" t="inlineStr">
        <is>
          <t>Código común</t>
        </is>
      </c>
      <c r="R3" s="64" t="inlineStr">
        <is>
          <t>Estado común</t>
        </is>
      </c>
      <c r="S3" s="64" t="inlineStr">
        <is>
          <t>Categoría</t>
        </is>
      </c>
      <c r="T3" s="64" t="inlineStr">
        <is>
          <t>Rubro común</t>
        </is>
      </c>
      <c r="U3" s="64" t="inlineStr">
        <is>
          <t>Subrubro</t>
        </is>
      </c>
      <c r="V3" s="64" t="inlineStr">
        <is>
          <t>Naturaleza</t>
        </is>
      </c>
      <c r="W3" s="64" t="inlineStr">
        <is>
          <t>Factor signo</t>
        </is>
      </c>
      <c r="X3" s="64" t="inlineStr">
        <is>
          <t>Saldo presentación</t>
        </is>
      </c>
      <c r="Y3" s="64" t="inlineStr">
        <is>
          <t>Confianza</t>
        </is>
      </c>
      <c r="Z3" s="64" t="inlineStr">
        <is>
          <t>Revisar</t>
        </is>
      </c>
      <c r="AA3" s="64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  <col width="16" customWidth="1" style="57" min="14" max="14"/>
    <col width="16" customWidth="1" style="57" min="15" max="15"/>
  </cols>
  <sheetData>
    <row r="1">
      <c r="A1" s="65" t="inlineStr">
        <is>
          <t>Catálogo de homologación contable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</cols>
  <sheetData>
    <row r="1">
      <c r="A1" s="65" t="inlineStr">
        <is>
          <t>Candidatos intercompañía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s="64" t="inlineStr">
        <is>
          <t>Entidad</t>
        </is>
      </c>
      <c r="B3" s="64" t="inlineStr">
        <is>
          <t>Contraparte inferida</t>
        </is>
      </c>
      <c r="C3" s="64" t="inlineStr">
        <is>
          <t>Periodo</t>
        </is>
      </c>
      <c r="D3" s="64" t="inlineStr">
        <is>
          <t>Moneda</t>
        </is>
      </c>
      <c r="E3" s="64" t="inlineStr">
        <is>
          <t>Código fuente</t>
        </is>
      </c>
      <c r="F3" s="64" t="inlineStr">
        <is>
          <t>Cuenta fuente</t>
        </is>
      </c>
      <c r="G3" s="64" t="inlineStr">
        <is>
          <t>Tercero / detalle</t>
        </is>
      </c>
      <c r="H3" s="64" t="inlineStr">
        <is>
          <t>Código común</t>
        </is>
      </c>
      <c r="I3" s="64" t="inlineStr">
        <is>
          <t>Rubro</t>
        </is>
      </c>
      <c r="J3" s="64" t="inlineStr">
        <is>
          <t>Saldo fuente</t>
        </is>
      </c>
      <c r="K3" s="64" t="inlineStr">
        <is>
          <t>Saldo presentación</t>
        </is>
      </c>
      <c r="L3" s="64" t="inlineStr">
        <is>
          <t>Estado</t>
        </is>
      </c>
      <c r="M3" s="64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Alertas de calidad y clasificación</t>
        </is>
      </c>
      <c r="B1" s="65" t="n"/>
      <c r="C1" s="65" t="n"/>
      <c r="D1" s="65" t="n"/>
      <c r="E1" s="65" t="n"/>
      <c r="F1" s="65" t="n"/>
    </row>
    <row r="2">
      <c r="A2" t="inlineStr">
        <is>
          <t>Hallazgos que requieren soporte o decisión contable. No se realizaron reclasificaciones inciertas ni ajustes ocultos.</t>
        </is>
      </c>
    </row>
    <row r="3">
      <c r="A3" s="64" t="inlineStr">
        <is>
          <t>Severidad</t>
        </is>
      </c>
      <c r="B3" s="64" t="inlineStr">
        <is>
          <t>Tipo</t>
        </is>
      </c>
      <c r="C3" s="64" t="inlineStr">
        <is>
          <t>Entidad</t>
        </is>
      </c>
      <c r="D3" s="64" t="inlineStr">
        <is>
          <t>Hallazgo</t>
        </is>
      </c>
      <c r="E3" s="64" t="inlineStr">
        <is>
          <t>Riesgo</t>
        </is>
      </c>
      <c r="F3" s="64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Alta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solo tiene información hasta junio de 2026.</t>
        </is>
      </c>
      <c r="E6" t="inlineStr">
        <is>
          <t>La comparación con COCO, USA y PERU a julio mezcla periodos.</t>
        </is>
      </c>
      <c r="F6" t="inlineStr">
        <is>
          <t>Incorporar Julio 2026 CR antes del cierre consolidado.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Confirmar si corresponde a ingreso operacional, financiero o extraordinario.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Controles de integridad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s="64" t="inlineStr">
        <is>
          <t>ID</t>
        </is>
      </c>
      <c r="B3" s="64" t="inlineStr">
        <is>
          <t>Tipo</t>
        </is>
      </c>
      <c r="C3" s="64" t="inlineStr">
        <is>
          <t>Entidad</t>
        </is>
      </c>
      <c r="D3" s="64" t="inlineStr">
        <is>
          <t>Control</t>
        </is>
      </c>
      <c r="E3" s="64" t="inlineStr">
        <is>
          <t>Diferencia</t>
        </is>
      </c>
      <c r="F3" s="64" t="inlineStr">
        <is>
          <t>Tolerancia</t>
        </is>
      </c>
      <c r="G3" s="64" t="inlineStr">
        <is>
          <t>Estado</t>
        </is>
      </c>
      <c r="H3" s="64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COCO Colombia - detalle validado del PDF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Fuentes y cobertura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Inventario de archivos incluidos en el consolidado, con periodo y número de registros extraídos.</t>
        </is>
      </c>
    </row>
    <row r="3">
      <c r="A3" s="64" t="inlineStr">
        <is>
          <t>Archivo</t>
        </is>
      </c>
      <c r="B3" s="64" t="inlineStr">
        <is>
          <t>Entidad</t>
        </is>
      </c>
      <c r="C3" s="64" t="inlineStr">
        <is>
          <t>País</t>
        </is>
      </c>
      <c r="D3" s="64" t="inlineStr">
        <is>
          <t>Periodo</t>
        </is>
      </c>
      <c r="E3" s="64" t="inlineStr">
        <is>
          <t>Moneda</t>
        </is>
      </c>
      <c r="F3" s="64" t="inlineStr">
        <is>
          <t>Tipo</t>
        </is>
      </c>
      <c r="G3" s="64" t="inlineStr">
        <is>
          <t>Registros origen</t>
        </is>
      </c>
      <c r="H3" s="64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2026-06-30T22:05:58Z</dcterms:created>
  <dcterms:modified xmlns:dcterms="http://purl.org/dc/terms/" xmlns:xsi="http://www.w3.org/2001/XMLSchema-instance" xsi:type="dcterms:W3CDTF">2026-08-12T21:56:24Z</dcterms:modified>
  <cp:lastModifiedBy>ANDRES ARANGO SANTAMARIA</cp:lastModifiedBy>
  <cp:revision>0</cp:revision>
</cp:coreProperties>
</file>