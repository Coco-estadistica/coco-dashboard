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93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2025-06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ebitda</t>
        </is>
      </c>
      <c r="I91" t="n">
        <v>154028000</v>
      </c>
      <c r="J91" t="inlineStr">
        <is>
          <t>COP</t>
        </is>
      </c>
      <c r="L91">
        <f>IFERROR(INDEX(Diccionario!$B:$B,MATCH(F91,Diccionario!$C:$C,0)),"")</f>
        <v/>
      </c>
      <c r="M91">
        <f>IFERROR(INDEX(Diccionario!$H:$H,MATCH(F91,Diccionario!$C:$C,0)),"")</f>
        <v/>
      </c>
      <c r="N91">
        <f>IFERROR(INDEX(Diccionario!$N:$N,MATCH(F91,Diccionario!$C:$C,0)),"")</f>
        <v/>
      </c>
    </row>
    <row r="92" ht="14.25" customHeight="1" s="52">
      <c r="A92" t="inlineStr">
        <is>
          <t>2025-07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ebitda</t>
        </is>
      </c>
      <c r="I92" t="n">
        <v>210623000</v>
      </c>
      <c r="J92" t="inlineStr">
        <is>
          <t>COP</t>
        </is>
      </c>
      <c r="L92">
        <f>IFERROR(INDEX(Diccionario!$B:$B,MATCH(F92,Diccionario!$C:$C,0)),"")</f>
        <v/>
      </c>
      <c r="M92">
        <f>IFERROR(INDEX(Diccionario!$H:$H,MATCH(F92,Diccionario!$C:$C,0)),"")</f>
        <v/>
      </c>
      <c r="N92">
        <f>IFERROR(INDEX(Diccionario!$N:$N,MATCH(F92,Diccionario!$C:$C,0)),"")</f>
        <v/>
      </c>
    </row>
    <row r="93" ht="14.25" customHeight="1" s="52">
      <c r="A93" t="inlineStr">
        <is>
          <t>2025-08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ebitda</t>
        </is>
      </c>
      <c r="I93" t="n">
        <v>219976000</v>
      </c>
      <c r="J93" t="inlineStr">
        <is>
          <t>COP</t>
        </is>
      </c>
      <c r="L93">
        <f>IFERROR(INDEX(Diccionario!$B:$B,MATCH(F93,Diccionario!$C:$C,0)),"")</f>
        <v/>
      </c>
      <c r="M93">
        <f>IFERROR(INDEX(Diccionario!$H:$H,MATCH(F93,Diccionario!$C:$C,0)),"")</f>
        <v/>
      </c>
      <c r="N93">
        <f>IFERROR(INDEX(Diccionario!$N:$N,MATCH(F93,Diccionario!$C:$C,0)),"")</f>
        <v/>
      </c>
    </row>
    <row r="94" ht="14.25" customHeight="1" s="52">
      <c r="A94" t="inlineStr">
        <is>
          <t>2025-09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ebitda</t>
        </is>
      </c>
      <c r="I94" t="n">
        <v>207986000</v>
      </c>
      <c r="J94" t="inlineStr">
        <is>
          <t>COP</t>
        </is>
      </c>
      <c r="L94">
        <f>IFERROR(INDEX(Diccionario!$B:$B,MATCH(F94,Diccionario!$C:$C,0)),"")</f>
        <v/>
      </c>
      <c r="M94">
        <f>IFERROR(INDEX(Diccionario!$H:$H,MATCH(F94,Diccionario!$C:$C,0)),"")</f>
        <v/>
      </c>
      <c r="N94">
        <f>IFERROR(INDEX(Diccionario!$N:$N,MATCH(F94,Diccionario!$C:$C,0)),"")</f>
        <v/>
      </c>
    </row>
    <row r="95" ht="14.25" customHeight="1" s="52">
      <c r="A95" t="inlineStr">
        <is>
          <t>2025-10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230467000</v>
      </c>
      <c r="J95" t="inlineStr">
        <is>
          <t>COP</t>
        </is>
      </c>
      <c r="L95">
        <f>IFERROR(INDEX(Diccionario!$B:$B,MATCH(F95,Diccionario!$C:$C,0)),"")</f>
        <v/>
      </c>
      <c r="M95">
        <f>IFERROR(INDEX(Diccionario!$H:$H,MATCH(F95,Diccionario!$C:$C,0)),"")</f>
        <v/>
      </c>
      <c r="N95">
        <f>IFERROR(INDEX(Diccionario!$N:$N,MATCH(F95,Diccionario!$C:$C,0)),"")</f>
        <v/>
      </c>
    </row>
    <row r="96" ht="14.25" customHeight="1" s="52">
      <c r="A96" t="inlineStr">
        <is>
          <t>2025-11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ebitda</t>
        </is>
      </c>
      <c r="I96" t="n">
        <v>240545000</v>
      </c>
      <c r="J96" t="inlineStr">
        <is>
          <t>COP</t>
        </is>
      </c>
      <c r="L96">
        <f>IFERROR(INDEX(Diccionario!$B:$B,MATCH(F96,Diccionario!$C:$C,0)),"")</f>
        <v/>
      </c>
      <c r="M96">
        <f>IFERROR(INDEX(Diccionario!$H:$H,MATCH(F96,Diccionario!$C:$C,0)),"")</f>
        <v/>
      </c>
      <c r="N96">
        <f>IFERROR(INDEX(Diccionario!$N:$N,MATCH(F96,Diccionario!$C:$C,0)),"")</f>
        <v/>
      </c>
    </row>
    <row r="97" ht="14.25" customHeight="1" s="52">
      <c r="A97" t="inlineStr">
        <is>
          <t>2025-12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ebitda</t>
        </is>
      </c>
      <c r="I97" t="n">
        <v>231501000</v>
      </c>
      <c r="J97" t="inlineStr">
        <is>
          <t>COP</t>
        </is>
      </c>
      <c r="L97">
        <f>IFERROR(INDEX(Diccionario!$B:$B,MATCH(F97,Diccionario!$C:$C,0)),"")</f>
        <v/>
      </c>
      <c r="M97">
        <f>IFERROR(INDEX(Diccionario!$H:$H,MATCH(F97,Diccionario!$C:$C,0)),"")</f>
        <v/>
      </c>
      <c r="N97">
        <f>IFERROR(INDEX(Diccionario!$N:$N,MATCH(F97,Diccionario!$C:$C,0)),"")</f>
        <v/>
      </c>
    </row>
    <row r="98" ht="14.25" customHeight="1" s="52">
      <c r="A98" t="inlineStr">
        <is>
          <t>2026-01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ebitda</t>
        </is>
      </c>
      <c r="I98" t="n">
        <v>207987000</v>
      </c>
      <c r="J98" t="inlineStr">
        <is>
          <t>COP</t>
        </is>
      </c>
      <c r="L98">
        <f>IFERROR(INDEX(Diccionario!$B:$B,MATCH(F98,Diccionario!$C:$C,0)),"")</f>
        <v/>
      </c>
      <c r="M98">
        <f>IFERROR(INDEX(Diccionario!$H:$H,MATCH(F98,Diccionario!$C:$C,0)),"")</f>
        <v/>
      </c>
      <c r="N98">
        <f>IFERROR(INDEX(Diccionario!$N:$N,MATCH(F98,Diccionario!$C:$C,0)),"")</f>
        <v/>
      </c>
    </row>
    <row r="99" ht="14.25" customHeight="1" s="52">
      <c r="A99" t="inlineStr">
        <is>
          <t>2026-02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ebitda</t>
        </is>
      </c>
      <c r="I99" t="n">
        <v>191717000</v>
      </c>
      <c r="J99" t="inlineStr">
        <is>
          <t>COP</t>
        </is>
      </c>
      <c r="L99">
        <f>IFERROR(INDEX(Diccionario!$B:$B,MATCH(F99,Diccionario!$C:$C,0)),"")</f>
        <v/>
      </c>
      <c r="M99">
        <f>IFERROR(INDEX(Diccionario!$H:$H,MATCH(F99,Diccionario!$C:$C,0)),"")</f>
        <v/>
      </c>
      <c r="N99">
        <f>IFERROR(INDEX(Diccionario!$N:$N,MATCH(F99,Diccionario!$C:$C,0)),"")</f>
        <v/>
      </c>
    </row>
    <row r="100" ht="14.25" customHeight="1" s="52">
      <c r="A100" t="inlineStr">
        <is>
          <t>2026-03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ebitda</t>
        </is>
      </c>
      <c r="I100" t="n">
        <v>201750000</v>
      </c>
      <c r="J100" t="inlineStr">
        <is>
          <t>COP</t>
        </is>
      </c>
      <c r="L100">
        <f>IFERROR(INDEX(Diccionario!$B:$B,MATCH(F100,Diccionario!$C:$C,0)),"")</f>
        <v/>
      </c>
      <c r="M100">
        <f>IFERROR(INDEX(Diccionario!$H:$H,MATCH(F100,Diccionario!$C:$C,0)),"")</f>
        <v/>
      </c>
      <c r="N100">
        <f>IFERROR(INDEX(Diccionario!$N:$N,MATCH(F100,Diccionario!$C:$C,0)),"")</f>
        <v/>
      </c>
    </row>
    <row r="101" ht="14.25" customHeight="1" s="52">
      <c r="A101" t="inlineStr">
        <is>
          <t>2026-04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ebitda</t>
        </is>
      </c>
      <c r="I101" t="n">
        <v>202016000</v>
      </c>
      <c r="J101" t="inlineStr">
        <is>
          <t>COP</t>
        </is>
      </c>
      <c r="L101">
        <f>IFERROR(INDEX(Diccionario!$B:$B,MATCH(F101,Diccionario!$C:$C,0)),"")</f>
        <v/>
      </c>
      <c r="M101">
        <f>IFERROR(INDEX(Diccionario!$H:$H,MATCH(F101,Diccionario!$C:$C,0)),"")</f>
        <v/>
      </c>
      <c r="N101">
        <f>IFERROR(INDEX(Diccionario!$N:$N,MATCH(F101,Diccionario!$C:$C,0)),"")</f>
        <v/>
      </c>
    </row>
    <row r="102" ht="14.25" customHeight="1" s="52">
      <c r="A102" t="inlineStr">
        <is>
          <t>2026-05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177548000</v>
      </c>
      <c r="J102" t="inlineStr">
        <is>
          <t>COP</t>
        </is>
      </c>
      <c r="L102">
        <f>IFERROR(INDEX(Diccionario!$B:$B,MATCH(F102,Diccionario!$C:$C,0)),"")</f>
        <v/>
      </c>
      <c r="M102">
        <f>IFERROR(INDEX(Diccionario!$H:$H,MATCH(F102,Diccionario!$C:$C,0)),"")</f>
        <v/>
      </c>
      <c r="N102">
        <f>IFERROR(INDEX(Diccionario!$N:$N,MATCH(F102,Diccionario!$C:$C,0)),"")</f>
        <v/>
      </c>
    </row>
    <row r="103" ht="14.25" customHeight="1" s="52">
      <c r="A103" t="inlineStr">
        <is>
          <t>2026-05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arr</t>
        </is>
      </c>
      <c r="I103" t="n">
        <v>3706946282</v>
      </c>
      <c r="J103" t="inlineStr">
        <is>
          <t>COP</t>
        </is>
      </c>
      <c r="K103" t="inlineStr">
        <is>
          <t>'Ventas Totales (ARR)' reportado por contabilidad</t>
        </is>
      </c>
      <c r="L103">
        <f>IFERROR(INDEX(Diccionario!$B:$B,MATCH(F103,Diccionario!$C:$C,0)),"")</f>
        <v/>
      </c>
      <c r="M103">
        <f>IFERROR(INDEX(Diccionario!$H:$H,MATCH(F103,Diccionario!$C:$C,0)),"")</f>
        <v/>
      </c>
      <c r="N103">
        <f>IFERROR(INDEX(Diccionario!$N:$N,MATCH(F103,Diccionario!$C:$C,0)),"")</f>
        <v/>
      </c>
    </row>
    <row r="104" ht="14.25" customHeight="1" s="52">
      <c r="A104" t="inlineStr">
        <is>
          <t>2026-05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cartera_total</t>
        </is>
      </c>
      <c r="I104" t="n">
        <v>1681540719.43</v>
      </c>
      <c r="J104" t="inlineStr">
        <is>
          <t>COP</t>
        </is>
      </c>
      <c r="L104">
        <f>IFERROR(INDEX(Diccionario!$B:$B,MATCH(F104,Diccionario!$C:$C,0)),"")</f>
        <v/>
      </c>
      <c r="M104">
        <f>IFERROR(INDEX(Diccionario!$H:$H,MATCH(F104,Diccionario!$C:$C,0)),"")</f>
        <v/>
      </c>
      <c r="N104">
        <f>IFERROR(INDEX(Diccionario!$N:$N,MATCH(F104,Diccionario!$C:$C,0)),"")</f>
        <v/>
      </c>
    </row>
    <row r="105" ht="14.25" customHeight="1" s="52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cartera_vencida</t>
        </is>
      </c>
      <c r="I105" t="n">
        <v>583774629.8</v>
      </c>
      <c r="J105" t="inlineStr">
        <is>
          <t>COP</t>
        </is>
      </c>
      <c r="L105">
        <f>IFERROR(INDEX(Diccionario!$B:$B,MATCH(F105,Diccionario!$C:$C,0)),"")</f>
        <v/>
      </c>
      <c r="M105">
        <f>IFERROR(INDEX(Diccionario!$H:$H,MATCH(F105,Diccionario!$C:$C,0)),"")</f>
        <v/>
      </c>
      <c r="N105">
        <f>IFERROR(INDEX(Diccionario!$N:$N,MATCH(F105,Diccionario!$C:$C,0)),"")</f>
        <v/>
      </c>
    </row>
    <row r="106" ht="14.25" customHeight="1" s="52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cartera_sana</t>
        </is>
      </c>
      <c r="I106" t="n">
        <v>1097766089.63</v>
      </c>
      <c r="J106" t="inlineStr">
        <is>
          <t>COP</t>
        </is>
      </c>
      <c r="L106">
        <f>IFERROR(INDEX(Diccionario!$B:$B,MATCH(F106,Diccionario!$C:$C,0)),"")</f>
        <v/>
      </c>
      <c r="M106">
        <f>IFERROR(INDEX(Diccionario!$H:$H,MATCH(F106,Diccionario!$C:$C,0)),"")</f>
        <v/>
      </c>
      <c r="N106">
        <f>IFERROR(INDEX(Diccionario!$N:$N,MATCH(F106,Diccionario!$C:$C,0)),"")</f>
        <v/>
      </c>
    </row>
    <row r="107" ht="14.25" customHeight="1" s="52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cartera_cobro_legal</t>
        </is>
      </c>
      <c r="I107" t="n">
        <v>9726509</v>
      </c>
      <c r="J107" t="inlineStr">
        <is>
          <t>COP</t>
        </is>
      </c>
      <c r="L107">
        <f>IFERROR(INDEX(Diccionario!$B:$B,MATCH(F107,Diccionario!$C:$C,0)),"")</f>
        <v/>
      </c>
      <c r="M107">
        <f>IFERROR(INDEX(Diccionario!$H:$H,MATCH(F107,Diccionario!$C:$C,0)),"")</f>
        <v/>
      </c>
      <c r="N107">
        <f>IFERROR(INDEX(Diccionario!$N:$N,MATCH(F107,Diccionario!$C:$C,0)),"")</f>
        <v/>
      </c>
    </row>
    <row r="108" ht="14.25" customHeight="1" s="52">
      <c r="A108" t="inlineStr">
        <is>
          <t>2026-05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dso</t>
        </is>
      </c>
      <c r="I108" t="n">
        <v>71</v>
      </c>
      <c r="J108" t="inlineStr">
        <is>
          <t>Días</t>
        </is>
      </c>
      <c r="K108" t="inlineStr">
        <is>
          <t>Meta &lt;45</t>
        </is>
      </c>
      <c r="L108">
        <f>IFERROR(INDEX(Diccionario!$B:$B,MATCH(F108,Diccionario!$C:$C,0)),"")</f>
        <v/>
      </c>
      <c r="M108">
        <f>IFERROR(INDEX(Diccionario!$H:$H,MATCH(F108,Diccionario!$C:$C,0)),"")</f>
        <v/>
      </c>
      <c r="N108">
        <f>IFERROR(INDEX(Diccionario!$N:$N,MATCH(F108,Diccionario!$C:$C,0)),"")</f>
        <v/>
      </c>
    </row>
    <row r="109" ht="14.25" customHeight="1" s="52">
      <c r="A109" t="inlineStr">
        <is>
          <t>2026-05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indice_morosidad</t>
        </is>
      </c>
      <c r="I109" t="n">
        <v>10.5</v>
      </c>
      <c r="J109" t="inlineStr">
        <is>
          <t>%</t>
        </is>
      </c>
      <c r="K109" t="inlineStr">
        <is>
          <t>Meta &lt;5%</t>
        </is>
      </c>
      <c r="L109">
        <f>IFERROR(INDEX(Diccionario!$B:$B,MATCH(F109,Diccionario!$C:$C,0)),"")</f>
        <v/>
      </c>
      <c r="M109">
        <f>IFERROR(INDEX(Diccionario!$H:$H,MATCH(F109,Diccionario!$C:$C,0)),"")</f>
        <v/>
      </c>
      <c r="N109">
        <f>IFERROR(INDEX(Diccionario!$N:$N,MATCH(F109,Diccionario!$C:$C,0)),"")</f>
        <v/>
      </c>
    </row>
    <row r="110" ht="14.25" customHeight="1" s="52">
      <c r="A110" t="inlineStr">
        <is>
          <t>2026-05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cartera_mayor_60_pct</t>
        </is>
      </c>
      <c r="I110" t="n">
        <v>37.9</v>
      </c>
      <c r="J110" t="inlineStr">
        <is>
          <t>%</t>
        </is>
      </c>
      <c r="K110" t="inlineStr">
        <is>
          <t>Meta &lt;5%</t>
        </is>
      </c>
      <c r="L110">
        <f>IFERROR(INDEX(Diccionario!$B:$B,MATCH(F110,Diccionario!$C:$C,0)),"")</f>
        <v/>
      </c>
      <c r="M110">
        <f>IFERROR(INDEX(Diccionario!$H:$H,MATCH(F110,Diccionario!$C:$C,0)),"")</f>
        <v/>
      </c>
      <c r="N110">
        <f>IFERROR(INDEX(Diccionario!$N:$N,MATCH(F110,Diccionario!$C:$C,0)),"")</f>
        <v/>
      </c>
    </row>
    <row r="111" ht="14.25" customHeight="1" s="52">
      <c r="A111" t="inlineStr">
        <is>
          <t>2026-05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cartera_arr_pct</t>
        </is>
      </c>
      <c r="I111" t="n">
        <v>45.36</v>
      </c>
      <c r="J111" t="inlineStr">
        <is>
          <t>%</t>
        </is>
      </c>
      <c r="K111" t="inlineStr">
        <is>
          <t>Meta &lt;12%</t>
        </is>
      </c>
      <c r="L111">
        <f>IFERROR(INDEX(Diccionario!$B:$B,MATCH(F111,Diccionario!$C:$C,0)),"")</f>
        <v/>
      </c>
      <c r="M111">
        <f>IFERROR(INDEX(Diccionario!$H:$H,MATCH(F111,Diccionario!$C:$C,0)),"")</f>
        <v/>
      </c>
      <c r="N111">
        <f>IFERROR(INDEX(Diccionario!$N:$N,MATCH(F111,Diccionario!$C:$C,0)),"")</f>
        <v/>
      </c>
    </row>
    <row r="112" ht="14.25" customHeight="1" s="5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concentracion_cartera</t>
        </is>
      </c>
      <c r="I112" t="n">
        <v>17.1</v>
      </c>
      <c r="J112" t="inlineStr">
        <is>
          <t>%</t>
        </is>
      </c>
      <c r="K112" t="inlineStr">
        <is>
          <t>Meta &lt;15%</t>
        </is>
      </c>
      <c r="L112">
        <f>IFERROR(INDEX(Diccionario!$B:$B,MATCH(F112,Diccionario!$C:$C,0)),"")</f>
        <v/>
      </c>
      <c r="M112">
        <f>IFERROR(INDEX(Diccionario!$H:$H,MATCH(F112,Diccionario!$C:$C,0)),"")</f>
        <v/>
      </c>
      <c r="N112">
        <f>IFERROR(INDEX(Diccionario!$N:$N,MATCH(F112,Diccionario!$C:$C,0)),"")</f>
        <v/>
      </c>
    </row>
    <row r="113" ht="14.25" customHeight="1" s="52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write_off_ratio</t>
        </is>
      </c>
      <c r="I113" t="n">
        <v>0.58</v>
      </c>
      <c r="J113" t="inlineStr">
        <is>
          <t>%</t>
        </is>
      </c>
      <c r="K113" t="inlineStr">
        <is>
          <t>Meta &lt;1%</t>
        </is>
      </c>
      <c r="L113">
        <f>IFERROR(INDEX(Diccionario!$B:$B,MATCH(F113,Diccionario!$C:$C,0)),"")</f>
        <v/>
      </c>
      <c r="M113">
        <f>IFERROR(INDEX(Diccionario!$H:$H,MATCH(F113,Diccionario!$C:$C,0)),"")</f>
        <v/>
      </c>
      <c r="N113">
        <f>IFERROR(INDEX(Diccionario!$N:$N,MATCH(F113,Diccionario!$C:$C,0)),"")</f>
        <v/>
      </c>
    </row>
    <row r="114" ht="14.25" customHeight="1" s="52">
      <c r="A114" t="inlineStr">
        <is>
          <t>2024-01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Financieros</t>
        </is>
      </c>
      <c r="I114" t="n">
        <v>3000000</v>
      </c>
      <c r="J114" t="inlineStr">
        <is>
          <t>COP</t>
        </is>
      </c>
      <c r="L114">
        <f>IFERROR(INDEX(Diccionario!$B:$B,MATCH(F114,Diccionario!$C:$C,0)),"")</f>
        <v/>
      </c>
      <c r="M114">
        <f>IFERROR(INDEX(Diccionario!$H:$H,MATCH(F114,Diccionario!$C:$C,0)),"")</f>
        <v/>
      </c>
      <c r="N114">
        <f>IFERROR(INDEX(Diccionario!$N:$N,MATCH(F114,Diccionario!$C:$C,0)),"")</f>
        <v/>
      </c>
    </row>
    <row r="115" ht="14.25" customHeight="1" s="52">
      <c r="A115" t="inlineStr">
        <is>
          <t>2024-01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TI</t>
        </is>
      </c>
      <c r="I115" t="n">
        <v>175000000</v>
      </c>
      <c r="J115" t="inlineStr">
        <is>
          <t>COP</t>
        </is>
      </c>
      <c r="L115">
        <f>IFERROR(INDEX(Diccionario!$B:$B,MATCH(F115,Diccionario!$C:$C,0)),"")</f>
        <v/>
      </c>
      <c r="M115">
        <f>IFERROR(INDEX(Diccionario!$H:$H,MATCH(F115,Diccionario!$C:$C,0)),"")</f>
        <v/>
      </c>
      <c r="N115">
        <f>IFERROR(INDEX(Diccionario!$N:$N,MATCH(F115,Diccionario!$C:$C,0)),"")</f>
        <v/>
      </c>
    </row>
    <row r="116" ht="14.25" customHeight="1" s="52">
      <c r="A116" t="inlineStr">
        <is>
          <t>2024-01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Proveedores</t>
        </is>
      </c>
      <c r="I116" t="n">
        <v>133000000</v>
      </c>
      <c r="J116" t="inlineStr">
        <is>
          <t>COP</t>
        </is>
      </c>
      <c r="L116">
        <f>IFERROR(INDEX(Diccionario!$B:$B,MATCH(F116,Diccionario!$C:$C,0)),"")</f>
        <v/>
      </c>
      <c r="M116">
        <f>IFERROR(INDEX(Diccionario!$H:$H,MATCH(F116,Diccionario!$C:$C,0)),"")</f>
        <v/>
      </c>
      <c r="N116">
        <f>IFERROR(INDEX(Diccionario!$N:$N,MATCH(F116,Diccionario!$C:$C,0)),"")</f>
        <v/>
      </c>
    </row>
    <row r="117" ht="14.25" customHeight="1" s="52">
      <c r="A117" t="inlineStr">
        <is>
          <t>2024-01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Comercial</t>
        </is>
      </c>
      <c r="I117" t="n">
        <v>125000000</v>
      </c>
      <c r="J117" t="inlineStr">
        <is>
          <t>COP</t>
        </is>
      </c>
      <c r="L117">
        <f>IFERROR(INDEX(Diccionario!$B:$B,MATCH(F117,Diccionario!$C:$C,0)),"")</f>
        <v/>
      </c>
      <c r="M117">
        <f>IFERROR(INDEX(Diccionario!$H:$H,MATCH(F117,Diccionario!$C:$C,0)),"")</f>
        <v/>
      </c>
      <c r="N117">
        <f>IFERROR(INDEX(Diccionario!$N:$N,MATCH(F117,Diccionario!$C:$C,0)),"")</f>
        <v/>
      </c>
    </row>
    <row r="118" ht="14.25" customHeight="1" s="52">
      <c r="A118" t="inlineStr">
        <is>
          <t>2024-01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Administración</t>
        </is>
      </c>
      <c r="I118" t="n">
        <v>109000000</v>
      </c>
      <c r="J118" t="inlineStr">
        <is>
          <t>COP</t>
        </is>
      </c>
      <c r="L118">
        <f>IFERROR(INDEX(Diccionario!$B:$B,MATCH(F118,Diccionario!$C:$C,0)),"")</f>
        <v/>
      </c>
      <c r="M118">
        <f>IFERROR(INDEX(Diccionario!$H:$H,MATCH(F118,Diccionario!$C:$C,0)),"")</f>
        <v/>
      </c>
      <c r="N118">
        <f>IFERROR(INDEX(Diccionario!$N:$N,MATCH(F118,Diccionario!$C:$C,0)),"")</f>
        <v/>
      </c>
    </row>
    <row r="119" ht="14.25" customHeight="1" s="52">
      <c r="A119" t="inlineStr">
        <is>
          <t>2024-02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Financieros</t>
        </is>
      </c>
      <c r="I119" t="n">
        <v>3000000</v>
      </c>
      <c r="J119" t="inlineStr">
        <is>
          <t>COP</t>
        </is>
      </c>
      <c r="L119">
        <f>IFERROR(INDEX(Diccionario!$B:$B,MATCH(F119,Diccionario!$C:$C,0)),"")</f>
        <v/>
      </c>
      <c r="M119">
        <f>IFERROR(INDEX(Diccionario!$H:$H,MATCH(F119,Diccionario!$C:$C,0)),"")</f>
        <v/>
      </c>
      <c r="N119">
        <f>IFERROR(INDEX(Diccionario!$N:$N,MATCH(F119,Diccionario!$C:$C,0)),"")</f>
        <v/>
      </c>
    </row>
    <row r="120" ht="14.25" customHeight="1" s="52">
      <c r="A120" t="inlineStr">
        <is>
          <t>2024-02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TI</t>
        </is>
      </c>
      <c r="I120" t="n">
        <v>161000000</v>
      </c>
      <c r="J120" t="inlineStr">
        <is>
          <t>COP</t>
        </is>
      </c>
      <c r="L120">
        <f>IFERROR(INDEX(Diccionario!$B:$B,MATCH(F120,Diccionario!$C:$C,0)),"")</f>
        <v/>
      </c>
      <c r="M120">
        <f>IFERROR(INDEX(Diccionario!$H:$H,MATCH(F120,Diccionario!$C:$C,0)),"")</f>
        <v/>
      </c>
      <c r="N120">
        <f>IFERROR(INDEX(Diccionario!$N:$N,MATCH(F120,Diccionario!$C:$C,0)),"")</f>
        <v/>
      </c>
    </row>
    <row r="121" ht="14.25" customHeight="1" s="52">
      <c r="A121" t="inlineStr">
        <is>
          <t>2024-02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Proveedores</t>
        </is>
      </c>
      <c r="I121" t="n">
        <v>115000000</v>
      </c>
      <c r="J121" t="inlineStr">
        <is>
          <t>COP</t>
        </is>
      </c>
      <c r="L121">
        <f>IFERROR(INDEX(Diccionario!$B:$B,MATCH(F121,Diccionario!$C:$C,0)),"")</f>
        <v/>
      </c>
      <c r="M121">
        <f>IFERROR(INDEX(Diccionario!$H:$H,MATCH(F121,Diccionario!$C:$C,0)),"")</f>
        <v/>
      </c>
      <c r="N121">
        <f>IFERROR(INDEX(Diccionario!$N:$N,MATCH(F121,Diccionario!$C:$C,0)),"")</f>
        <v/>
      </c>
    </row>
    <row r="122" ht="14.25" customHeight="1" s="52">
      <c r="A122" t="inlineStr">
        <is>
          <t>2024-02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Comercial</t>
        </is>
      </c>
      <c r="I122" t="n">
        <v>112000000</v>
      </c>
      <c r="J122" t="inlineStr">
        <is>
          <t>COP</t>
        </is>
      </c>
      <c r="L122">
        <f>IFERROR(INDEX(Diccionario!$B:$B,MATCH(F122,Diccionario!$C:$C,0)),"")</f>
        <v/>
      </c>
      <c r="M122">
        <f>IFERROR(INDEX(Diccionario!$H:$H,MATCH(F122,Diccionario!$C:$C,0)),"")</f>
        <v/>
      </c>
      <c r="N122">
        <f>IFERROR(INDEX(Diccionario!$N:$N,MATCH(F122,Diccionario!$C:$C,0)),"")</f>
        <v/>
      </c>
    </row>
    <row r="123" ht="14.25" customHeight="1" s="52">
      <c r="A123" t="inlineStr">
        <is>
          <t>2024-02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Administración</t>
        </is>
      </c>
      <c r="I123" t="n">
        <v>124000000</v>
      </c>
      <c r="J123" t="inlineStr">
        <is>
          <t>COP</t>
        </is>
      </c>
      <c r="L123">
        <f>IFERROR(INDEX(Diccionario!$B:$B,MATCH(F123,Diccionario!$C:$C,0)),"")</f>
        <v/>
      </c>
      <c r="M123">
        <f>IFERROR(INDEX(Diccionario!$H:$H,MATCH(F123,Diccionario!$C:$C,0)),"")</f>
        <v/>
      </c>
      <c r="N123">
        <f>IFERROR(INDEX(Diccionario!$N:$N,MATCH(F123,Diccionario!$C:$C,0)),"")</f>
        <v/>
      </c>
    </row>
    <row r="124" ht="14.25" customHeight="1" s="52">
      <c r="A124" t="inlineStr">
        <is>
          <t>2024-03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Financieros</t>
        </is>
      </c>
      <c r="I124" t="n">
        <v>3000000</v>
      </c>
      <c r="J124" t="inlineStr">
        <is>
          <t>COP</t>
        </is>
      </c>
      <c r="L124">
        <f>IFERROR(INDEX(Diccionario!$B:$B,MATCH(F124,Diccionario!$C:$C,0)),"")</f>
        <v/>
      </c>
      <c r="M124">
        <f>IFERROR(INDEX(Diccionario!$H:$H,MATCH(F124,Diccionario!$C:$C,0)),"")</f>
        <v/>
      </c>
      <c r="N124">
        <f>IFERROR(INDEX(Diccionario!$N:$N,MATCH(F124,Diccionario!$C:$C,0)),"")</f>
        <v/>
      </c>
    </row>
    <row r="125" ht="14.25" customHeight="1" s="52">
      <c r="A125" t="inlineStr">
        <is>
          <t>2024-03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TI</t>
        </is>
      </c>
      <c r="I125" t="n">
        <v>175000000</v>
      </c>
      <c r="J125" t="inlineStr">
        <is>
          <t>COP</t>
        </is>
      </c>
      <c r="L125">
        <f>IFERROR(INDEX(Diccionario!$B:$B,MATCH(F125,Diccionario!$C:$C,0)),"")</f>
        <v/>
      </c>
      <c r="M125">
        <f>IFERROR(INDEX(Diccionario!$H:$H,MATCH(F125,Diccionario!$C:$C,0)),"")</f>
        <v/>
      </c>
      <c r="N125">
        <f>IFERROR(INDEX(Diccionario!$N:$N,MATCH(F125,Diccionario!$C:$C,0)),"")</f>
        <v/>
      </c>
    </row>
    <row r="126" ht="14.25" customHeight="1" s="52">
      <c r="A126" t="inlineStr">
        <is>
          <t>2024-03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Proveedores</t>
        </is>
      </c>
      <c r="I126" t="n">
        <v>130000000</v>
      </c>
      <c r="J126" t="inlineStr">
        <is>
          <t>COP</t>
        </is>
      </c>
      <c r="L126">
        <f>IFERROR(INDEX(Diccionario!$B:$B,MATCH(F126,Diccionario!$C:$C,0)),"")</f>
        <v/>
      </c>
      <c r="M126">
        <f>IFERROR(INDEX(Diccionario!$H:$H,MATCH(F126,Diccionario!$C:$C,0)),"")</f>
        <v/>
      </c>
      <c r="N126">
        <f>IFERROR(INDEX(Diccionario!$N:$N,MATCH(F126,Diccionario!$C:$C,0)),"")</f>
        <v/>
      </c>
    </row>
    <row r="127" ht="14.25" customHeight="1" s="52">
      <c r="A127" t="inlineStr">
        <is>
          <t>2024-03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Comercial</t>
        </is>
      </c>
      <c r="I127" t="n">
        <v>132000000</v>
      </c>
      <c r="J127" t="inlineStr">
        <is>
          <t>COP</t>
        </is>
      </c>
      <c r="L127">
        <f>IFERROR(INDEX(Diccionario!$B:$B,MATCH(F127,Diccionario!$C:$C,0)),"")</f>
        <v/>
      </c>
      <c r="M127">
        <f>IFERROR(INDEX(Diccionario!$H:$H,MATCH(F127,Diccionario!$C:$C,0)),"")</f>
        <v/>
      </c>
      <c r="N127">
        <f>IFERROR(INDEX(Diccionario!$N:$N,MATCH(F127,Diccionario!$C:$C,0)),"")</f>
        <v/>
      </c>
    </row>
    <row r="128" ht="14.25" customHeight="1" s="52">
      <c r="A128" t="inlineStr">
        <is>
          <t>2024-03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Administración</t>
        </is>
      </c>
      <c r="I128" t="n">
        <v>125000000</v>
      </c>
      <c r="J128" t="inlineStr">
        <is>
          <t>COP</t>
        </is>
      </c>
      <c r="L128">
        <f>IFERROR(INDEX(Diccionario!$B:$B,MATCH(F128,Diccionario!$C:$C,0)),"")</f>
        <v/>
      </c>
      <c r="M128">
        <f>IFERROR(INDEX(Diccionario!$H:$H,MATCH(F128,Diccionario!$C:$C,0)),"")</f>
        <v/>
      </c>
      <c r="N128">
        <f>IFERROR(INDEX(Diccionario!$N:$N,MATCH(F128,Diccionario!$C:$C,0)),"")</f>
        <v/>
      </c>
    </row>
    <row r="129" ht="14.25" customHeight="1" s="52">
      <c r="A129" t="inlineStr">
        <is>
          <t>2024-04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Financieros</t>
        </is>
      </c>
      <c r="I129" t="n">
        <v>6000000</v>
      </c>
      <c r="J129" t="inlineStr">
        <is>
          <t>COP</t>
        </is>
      </c>
      <c r="L129">
        <f>IFERROR(INDEX(Diccionario!$B:$B,MATCH(F129,Diccionario!$C:$C,0)),"")</f>
        <v/>
      </c>
      <c r="M129">
        <f>IFERROR(INDEX(Diccionario!$H:$H,MATCH(F129,Diccionario!$C:$C,0)),"")</f>
        <v/>
      </c>
      <c r="N129">
        <f>IFERROR(INDEX(Diccionario!$N:$N,MATCH(F129,Diccionario!$C:$C,0)),"")</f>
        <v/>
      </c>
    </row>
    <row r="130" ht="14.25" customHeight="1" s="52">
      <c r="A130" t="inlineStr">
        <is>
          <t>2024-04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TI</t>
        </is>
      </c>
      <c r="I130" t="n">
        <v>195000000</v>
      </c>
      <c r="J130" t="inlineStr">
        <is>
          <t>COP</t>
        </is>
      </c>
      <c r="L130">
        <f>IFERROR(INDEX(Diccionario!$B:$B,MATCH(F130,Diccionario!$C:$C,0)),"")</f>
        <v/>
      </c>
      <c r="M130">
        <f>IFERROR(INDEX(Diccionario!$H:$H,MATCH(F130,Diccionario!$C:$C,0)),"")</f>
        <v/>
      </c>
      <c r="N130">
        <f>IFERROR(INDEX(Diccionario!$N:$N,MATCH(F130,Diccionario!$C:$C,0)),"")</f>
        <v/>
      </c>
    </row>
    <row r="131" ht="14.25" customHeight="1" s="52">
      <c r="A131" t="inlineStr">
        <is>
          <t>2024-04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Proveedores</t>
        </is>
      </c>
      <c r="I131" t="n">
        <v>130000000</v>
      </c>
      <c r="J131" t="inlineStr">
        <is>
          <t>COP</t>
        </is>
      </c>
      <c r="L131">
        <f>IFERROR(INDEX(Diccionario!$B:$B,MATCH(F131,Diccionario!$C:$C,0)),"")</f>
        <v/>
      </c>
      <c r="M131">
        <f>IFERROR(INDEX(Diccionario!$H:$H,MATCH(F131,Diccionario!$C:$C,0)),"")</f>
        <v/>
      </c>
      <c r="N131">
        <f>IFERROR(INDEX(Diccionario!$N:$N,MATCH(F131,Diccionario!$C:$C,0)),"")</f>
        <v/>
      </c>
    </row>
    <row r="132" ht="14.25" customHeight="1" s="52">
      <c r="A132" t="inlineStr">
        <is>
          <t>2024-04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Comercial</t>
        </is>
      </c>
      <c r="I132" t="n">
        <v>147000000</v>
      </c>
      <c r="J132" t="inlineStr">
        <is>
          <t>COP</t>
        </is>
      </c>
      <c r="L132">
        <f>IFERROR(INDEX(Diccionario!$B:$B,MATCH(F132,Diccionario!$C:$C,0)),"")</f>
        <v/>
      </c>
      <c r="M132">
        <f>IFERROR(INDEX(Diccionario!$H:$H,MATCH(F132,Diccionario!$C:$C,0)),"")</f>
        <v/>
      </c>
      <c r="N132">
        <f>IFERROR(INDEX(Diccionario!$N:$N,MATCH(F132,Diccionario!$C:$C,0)),"")</f>
        <v/>
      </c>
    </row>
    <row r="133" ht="14.25" customHeight="1" s="52">
      <c r="A133" t="inlineStr">
        <is>
          <t>2024-04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Administración</t>
        </is>
      </c>
      <c r="I133" t="n">
        <v>94000000</v>
      </c>
      <c r="J133" t="inlineStr">
        <is>
          <t>COP</t>
        </is>
      </c>
      <c r="L133">
        <f>IFERROR(INDEX(Diccionario!$B:$B,MATCH(F133,Diccionario!$C:$C,0)),"")</f>
        <v/>
      </c>
      <c r="M133">
        <f>IFERROR(INDEX(Diccionario!$H:$H,MATCH(F133,Diccionario!$C:$C,0)),"")</f>
        <v/>
      </c>
      <c r="N133">
        <f>IFERROR(INDEX(Diccionario!$N:$N,MATCH(F133,Diccionario!$C:$C,0)),"")</f>
        <v/>
      </c>
    </row>
    <row r="134" ht="14.25" customHeight="1" s="52">
      <c r="A134" t="inlineStr">
        <is>
          <t>2024-06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Financieros</t>
        </is>
      </c>
      <c r="I134" t="n">
        <v>10000000</v>
      </c>
      <c r="J134" t="inlineStr">
        <is>
          <t>COP</t>
        </is>
      </c>
      <c r="L134">
        <f>IFERROR(INDEX(Diccionario!$B:$B,MATCH(F134,Diccionario!$C:$C,0)),"")</f>
        <v/>
      </c>
      <c r="M134">
        <f>IFERROR(INDEX(Diccionario!$H:$H,MATCH(F134,Diccionario!$C:$C,0)),"")</f>
        <v/>
      </c>
      <c r="N134">
        <f>IFERROR(INDEX(Diccionario!$N:$N,MATCH(F134,Diccionario!$C:$C,0)),"")</f>
        <v/>
      </c>
    </row>
    <row r="135" ht="14.25" customHeight="1" s="52">
      <c r="A135" t="inlineStr">
        <is>
          <t>2024-06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TI</t>
        </is>
      </c>
      <c r="I135" t="n">
        <v>177000000</v>
      </c>
      <c r="J135" t="inlineStr">
        <is>
          <t>COP</t>
        </is>
      </c>
      <c r="L135">
        <f>IFERROR(INDEX(Diccionario!$B:$B,MATCH(F135,Diccionario!$C:$C,0)),"")</f>
        <v/>
      </c>
      <c r="M135">
        <f>IFERROR(INDEX(Diccionario!$H:$H,MATCH(F135,Diccionario!$C:$C,0)),"")</f>
        <v/>
      </c>
      <c r="N135">
        <f>IFERROR(INDEX(Diccionario!$N:$N,MATCH(F135,Diccionario!$C:$C,0)),"")</f>
        <v/>
      </c>
    </row>
    <row r="136" ht="14.25" customHeight="1" s="52">
      <c r="A136" t="inlineStr">
        <is>
          <t>2024-06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Proveedores</t>
        </is>
      </c>
      <c r="I136" t="n">
        <v>167000000</v>
      </c>
      <c r="J136" t="inlineStr">
        <is>
          <t>COP</t>
        </is>
      </c>
      <c r="L136">
        <f>IFERROR(INDEX(Diccionario!$B:$B,MATCH(F136,Diccionario!$C:$C,0)),"")</f>
        <v/>
      </c>
      <c r="M136">
        <f>IFERROR(INDEX(Diccionario!$H:$H,MATCH(F136,Diccionario!$C:$C,0)),"")</f>
        <v/>
      </c>
      <c r="N136">
        <f>IFERROR(INDEX(Diccionario!$N:$N,MATCH(F136,Diccionario!$C:$C,0)),"")</f>
        <v/>
      </c>
    </row>
    <row r="137" ht="14.25" customHeight="1" s="52">
      <c r="A137" t="inlineStr">
        <is>
          <t>2024-06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Comercial</t>
        </is>
      </c>
      <c r="I137" t="n">
        <v>157000000</v>
      </c>
      <c r="J137" t="inlineStr">
        <is>
          <t>COP</t>
        </is>
      </c>
      <c r="L137">
        <f>IFERROR(INDEX(Diccionario!$B:$B,MATCH(F137,Diccionario!$C:$C,0)),"")</f>
        <v/>
      </c>
      <c r="M137">
        <f>IFERROR(INDEX(Diccionario!$H:$H,MATCH(F137,Diccionario!$C:$C,0)),"")</f>
        <v/>
      </c>
      <c r="N137">
        <f>IFERROR(INDEX(Diccionario!$N:$N,MATCH(F137,Diccionario!$C:$C,0)),"")</f>
        <v/>
      </c>
    </row>
    <row r="138" ht="14.25" customHeight="1" s="52">
      <c r="A138" t="inlineStr">
        <is>
          <t>2024-06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Administración</t>
        </is>
      </c>
      <c r="I138" t="n">
        <v>99000000</v>
      </c>
      <c r="J138" t="inlineStr">
        <is>
          <t>COP</t>
        </is>
      </c>
      <c r="L138">
        <f>IFERROR(INDEX(Diccionario!$B:$B,MATCH(F138,Diccionario!$C:$C,0)),"")</f>
        <v/>
      </c>
      <c r="M138">
        <f>IFERROR(INDEX(Diccionario!$H:$H,MATCH(F138,Diccionario!$C:$C,0)),"")</f>
        <v/>
      </c>
      <c r="N138">
        <f>IFERROR(INDEX(Diccionario!$N:$N,MATCH(F138,Diccionario!$C:$C,0)),"")</f>
        <v/>
      </c>
    </row>
    <row r="139" ht="14.25" customHeight="1" s="52">
      <c r="A139" t="inlineStr">
        <is>
          <t>2024-07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Financieros</t>
        </is>
      </c>
      <c r="I139" t="n">
        <v>4000000</v>
      </c>
      <c r="J139" t="inlineStr">
        <is>
          <t>COP</t>
        </is>
      </c>
      <c r="L139">
        <f>IFERROR(INDEX(Diccionario!$B:$B,MATCH(F139,Diccionario!$C:$C,0)),"")</f>
        <v/>
      </c>
      <c r="M139">
        <f>IFERROR(INDEX(Diccionario!$H:$H,MATCH(F139,Diccionario!$C:$C,0)),"")</f>
        <v/>
      </c>
      <c r="N139">
        <f>IFERROR(INDEX(Diccionario!$N:$N,MATCH(F139,Diccionario!$C:$C,0)),"")</f>
        <v/>
      </c>
    </row>
    <row r="140" ht="14.25" customHeight="1" s="52">
      <c r="A140" t="inlineStr">
        <is>
          <t>2024-07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TI</t>
        </is>
      </c>
      <c r="I140" t="n">
        <v>199000000</v>
      </c>
      <c r="J140" t="inlineStr">
        <is>
          <t>COP</t>
        </is>
      </c>
      <c r="L140">
        <f>IFERROR(INDEX(Diccionario!$B:$B,MATCH(F140,Diccionario!$C:$C,0)),"")</f>
        <v/>
      </c>
      <c r="M140">
        <f>IFERROR(INDEX(Diccionario!$H:$H,MATCH(F140,Diccionario!$C:$C,0)),"")</f>
        <v/>
      </c>
      <c r="N140">
        <f>IFERROR(INDEX(Diccionario!$N:$N,MATCH(F140,Diccionario!$C:$C,0)),"")</f>
        <v/>
      </c>
    </row>
    <row r="141" ht="14.25" customHeight="1" s="52">
      <c r="A141" t="inlineStr">
        <is>
          <t>2024-07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Proveedores</t>
        </is>
      </c>
      <c r="I141" t="n">
        <v>84000000</v>
      </c>
      <c r="J141" t="inlineStr">
        <is>
          <t>COP</t>
        </is>
      </c>
      <c r="L141">
        <f>IFERROR(INDEX(Diccionario!$B:$B,MATCH(F141,Diccionario!$C:$C,0)),"")</f>
        <v/>
      </c>
      <c r="M141">
        <f>IFERROR(INDEX(Diccionario!$H:$H,MATCH(F141,Diccionario!$C:$C,0)),"")</f>
        <v/>
      </c>
      <c r="N141">
        <f>IFERROR(INDEX(Diccionario!$N:$N,MATCH(F141,Diccionario!$C:$C,0)),"")</f>
        <v/>
      </c>
    </row>
    <row r="142" ht="14.25" customHeight="1" s="52">
      <c r="A142" t="inlineStr">
        <is>
          <t>2024-07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Comercial</t>
        </is>
      </c>
      <c r="I142" t="n">
        <v>162000000</v>
      </c>
      <c r="J142" t="inlineStr">
        <is>
          <t>COP</t>
        </is>
      </c>
      <c r="L142">
        <f>IFERROR(INDEX(Diccionario!$B:$B,MATCH(F142,Diccionario!$C:$C,0)),"")</f>
        <v/>
      </c>
      <c r="M142">
        <f>IFERROR(INDEX(Diccionario!$H:$H,MATCH(F142,Diccionario!$C:$C,0)),"")</f>
        <v/>
      </c>
      <c r="N142">
        <f>IFERROR(INDEX(Diccionario!$N:$N,MATCH(F142,Diccionario!$C:$C,0)),"")</f>
        <v/>
      </c>
    </row>
    <row r="143" ht="14.25" customHeight="1" s="52">
      <c r="A143" t="inlineStr">
        <is>
          <t>2024-07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Administración</t>
        </is>
      </c>
      <c r="I143" t="n">
        <v>107000000</v>
      </c>
      <c r="J143" t="inlineStr">
        <is>
          <t>COP</t>
        </is>
      </c>
      <c r="L143">
        <f>IFERROR(INDEX(Diccionario!$B:$B,MATCH(F143,Diccionario!$C:$C,0)),"")</f>
        <v/>
      </c>
      <c r="M143">
        <f>IFERROR(INDEX(Diccionario!$H:$H,MATCH(F143,Diccionario!$C:$C,0)),"")</f>
        <v/>
      </c>
      <c r="N143">
        <f>IFERROR(INDEX(Diccionario!$N:$N,MATCH(F143,Diccionario!$C:$C,0)),"")</f>
        <v/>
      </c>
    </row>
    <row r="144" ht="14.25" customHeight="1" s="52">
      <c r="A144" t="inlineStr">
        <is>
          <t>2024-08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Financieros</t>
        </is>
      </c>
      <c r="I144" t="n">
        <v>3000000</v>
      </c>
      <c r="J144" t="inlineStr">
        <is>
          <t>COP</t>
        </is>
      </c>
      <c r="L144">
        <f>IFERROR(INDEX(Diccionario!$B:$B,MATCH(F144,Diccionario!$C:$C,0)),"")</f>
        <v/>
      </c>
      <c r="M144">
        <f>IFERROR(INDEX(Diccionario!$H:$H,MATCH(F144,Diccionario!$C:$C,0)),"")</f>
        <v/>
      </c>
      <c r="N144">
        <f>IFERROR(INDEX(Diccionario!$N:$N,MATCH(F144,Diccionario!$C:$C,0)),"")</f>
        <v/>
      </c>
    </row>
    <row r="145" ht="14.25" customHeight="1" s="52">
      <c r="A145" t="inlineStr">
        <is>
          <t>2024-08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TI</t>
        </is>
      </c>
      <c r="I145" t="n">
        <v>205000000</v>
      </c>
      <c r="J145" t="inlineStr">
        <is>
          <t>COP</t>
        </is>
      </c>
      <c r="L145">
        <f>IFERROR(INDEX(Diccionario!$B:$B,MATCH(F145,Diccionario!$C:$C,0)),"")</f>
        <v/>
      </c>
      <c r="M145">
        <f>IFERROR(INDEX(Diccionario!$H:$H,MATCH(F145,Diccionario!$C:$C,0)),"")</f>
        <v/>
      </c>
      <c r="N145">
        <f>IFERROR(INDEX(Diccionario!$N:$N,MATCH(F145,Diccionario!$C:$C,0)),"")</f>
        <v/>
      </c>
    </row>
    <row r="146" ht="14.25" customHeight="1" s="52">
      <c r="A146" t="inlineStr">
        <is>
          <t>2024-08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Proveedores</t>
        </is>
      </c>
      <c r="I146" t="n">
        <v>176000000</v>
      </c>
      <c r="J146" t="inlineStr">
        <is>
          <t>COP</t>
        </is>
      </c>
      <c r="L146">
        <f>IFERROR(INDEX(Diccionario!$B:$B,MATCH(F146,Diccionario!$C:$C,0)),"")</f>
        <v/>
      </c>
      <c r="M146">
        <f>IFERROR(INDEX(Diccionario!$H:$H,MATCH(F146,Diccionario!$C:$C,0)),"")</f>
        <v/>
      </c>
      <c r="N146">
        <f>IFERROR(INDEX(Diccionario!$N:$N,MATCH(F146,Diccionario!$C:$C,0)),"")</f>
        <v/>
      </c>
    </row>
    <row r="147" ht="14.25" customHeight="1" s="52">
      <c r="A147" t="inlineStr">
        <is>
          <t>2024-08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Comercial</t>
        </is>
      </c>
      <c r="I147" t="n">
        <v>121000000</v>
      </c>
      <c r="J147" t="inlineStr">
        <is>
          <t>COP</t>
        </is>
      </c>
      <c r="L147">
        <f>IFERROR(INDEX(Diccionario!$B:$B,MATCH(F147,Diccionario!$C:$C,0)),"")</f>
        <v/>
      </c>
      <c r="M147">
        <f>IFERROR(INDEX(Diccionario!$H:$H,MATCH(F147,Diccionario!$C:$C,0)),"")</f>
        <v/>
      </c>
      <c r="N147">
        <f>IFERROR(INDEX(Diccionario!$N:$N,MATCH(F147,Diccionario!$C:$C,0)),"")</f>
        <v/>
      </c>
    </row>
    <row r="148" ht="14.25" customHeight="1" s="52">
      <c r="A148" t="inlineStr">
        <is>
          <t>2024-08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Administración</t>
        </is>
      </c>
      <c r="I148" t="n">
        <v>133000000</v>
      </c>
      <c r="J148" t="inlineStr">
        <is>
          <t>COP</t>
        </is>
      </c>
      <c r="L148">
        <f>IFERROR(INDEX(Diccionario!$B:$B,MATCH(F148,Diccionario!$C:$C,0)),"")</f>
        <v/>
      </c>
      <c r="M148">
        <f>IFERROR(INDEX(Diccionario!$H:$H,MATCH(F148,Diccionario!$C:$C,0)),"")</f>
        <v/>
      </c>
      <c r="N148">
        <f>IFERROR(INDEX(Diccionario!$N:$N,MATCH(F148,Diccionario!$C:$C,0)),"")</f>
        <v/>
      </c>
    </row>
    <row r="149" ht="14.25" customHeight="1" s="52">
      <c r="A149" t="inlineStr">
        <is>
          <t>2024-09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Financieros</t>
        </is>
      </c>
      <c r="I149" t="n">
        <v>4000000</v>
      </c>
      <c r="J149" t="inlineStr">
        <is>
          <t>COP</t>
        </is>
      </c>
      <c r="L149">
        <f>IFERROR(INDEX(Diccionario!$B:$B,MATCH(F149,Diccionario!$C:$C,0)),"")</f>
        <v/>
      </c>
      <c r="M149">
        <f>IFERROR(INDEX(Diccionario!$H:$H,MATCH(F149,Diccionario!$C:$C,0)),"")</f>
        <v/>
      </c>
      <c r="N149">
        <f>IFERROR(INDEX(Diccionario!$N:$N,MATCH(F149,Diccionario!$C:$C,0)),"")</f>
        <v/>
      </c>
    </row>
    <row r="150" ht="14.25" customHeight="1" s="52">
      <c r="A150" t="inlineStr">
        <is>
          <t>2024-09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TI</t>
        </is>
      </c>
      <c r="I150" t="n">
        <v>184000000</v>
      </c>
      <c r="J150" t="inlineStr">
        <is>
          <t>COP</t>
        </is>
      </c>
      <c r="L150">
        <f>IFERROR(INDEX(Diccionario!$B:$B,MATCH(F150,Diccionario!$C:$C,0)),"")</f>
        <v/>
      </c>
      <c r="M150">
        <f>IFERROR(INDEX(Diccionario!$H:$H,MATCH(F150,Diccionario!$C:$C,0)),"")</f>
        <v/>
      </c>
      <c r="N150">
        <f>IFERROR(INDEX(Diccionario!$N:$N,MATCH(F150,Diccionario!$C:$C,0)),"")</f>
        <v/>
      </c>
    </row>
    <row r="151" ht="14.25" customHeight="1" s="52">
      <c r="A151" t="inlineStr">
        <is>
          <t>2024-09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Proveedores</t>
        </is>
      </c>
      <c r="I151" t="n">
        <v>169000000</v>
      </c>
      <c r="J151" t="inlineStr">
        <is>
          <t>COP</t>
        </is>
      </c>
      <c r="L151">
        <f>IFERROR(INDEX(Diccionario!$B:$B,MATCH(F151,Diccionario!$C:$C,0)),"")</f>
        <v/>
      </c>
      <c r="M151">
        <f>IFERROR(INDEX(Diccionario!$H:$H,MATCH(F151,Diccionario!$C:$C,0)),"")</f>
        <v/>
      </c>
      <c r="N151">
        <f>IFERROR(INDEX(Diccionario!$N:$N,MATCH(F151,Diccionario!$C:$C,0)),"")</f>
        <v/>
      </c>
    </row>
    <row r="152" ht="14.25" customHeight="1" s="52">
      <c r="A152" t="inlineStr">
        <is>
          <t>2024-09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Comercial</t>
        </is>
      </c>
      <c r="I152" t="n">
        <v>169000000</v>
      </c>
      <c r="J152" t="inlineStr">
        <is>
          <t>COP</t>
        </is>
      </c>
      <c r="L152">
        <f>IFERROR(INDEX(Diccionario!$B:$B,MATCH(F152,Diccionario!$C:$C,0)),"")</f>
        <v/>
      </c>
      <c r="M152">
        <f>IFERROR(INDEX(Diccionario!$H:$H,MATCH(F152,Diccionario!$C:$C,0)),"")</f>
        <v/>
      </c>
      <c r="N152">
        <f>IFERROR(INDEX(Diccionario!$N:$N,MATCH(F152,Diccionario!$C:$C,0)),"")</f>
        <v/>
      </c>
    </row>
    <row r="153" ht="14.25" customHeight="1" s="52">
      <c r="A153" t="inlineStr">
        <is>
          <t>2024-09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Administración</t>
        </is>
      </c>
      <c r="I153" t="n">
        <v>152000000</v>
      </c>
      <c r="J153" t="inlineStr">
        <is>
          <t>COP</t>
        </is>
      </c>
      <c r="L153">
        <f>IFERROR(INDEX(Diccionario!$B:$B,MATCH(F153,Diccionario!$C:$C,0)),"")</f>
        <v/>
      </c>
      <c r="M153">
        <f>IFERROR(INDEX(Diccionario!$H:$H,MATCH(F153,Diccionario!$C:$C,0)),"")</f>
        <v/>
      </c>
      <c r="N153">
        <f>IFERROR(INDEX(Diccionario!$N:$N,MATCH(F153,Diccionario!$C:$C,0)),"")</f>
        <v/>
      </c>
    </row>
    <row r="154" ht="14.25" customHeight="1" s="52">
      <c r="A154" t="inlineStr">
        <is>
          <t>2024-10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Financieros</t>
        </is>
      </c>
      <c r="I154" t="n">
        <v>5000000</v>
      </c>
      <c r="J154" t="inlineStr">
        <is>
          <t>COP</t>
        </is>
      </c>
      <c r="L154">
        <f>IFERROR(INDEX(Diccionario!$B:$B,MATCH(F154,Diccionario!$C:$C,0)),"")</f>
        <v/>
      </c>
      <c r="M154">
        <f>IFERROR(INDEX(Diccionario!$H:$H,MATCH(F154,Diccionario!$C:$C,0)),"")</f>
        <v/>
      </c>
      <c r="N154">
        <f>IFERROR(INDEX(Diccionario!$N:$N,MATCH(F154,Diccionario!$C:$C,0)),"")</f>
        <v/>
      </c>
    </row>
    <row r="155" ht="14.25" customHeight="1" s="52">
      <c r="A155" t="inlineStr">
        <is>
          <t>2024-10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TI</t>
        </is>
      </c>
      <c r="I155" t="n">
        <v>195000000</v>
      </c>
      <c r="J155" t="inlineStr">
        <is>
          <t>COP</t>
        </is>
      </c>
      <c r="L155">
        <f>IFERROR(INDEX(Diccionario!$B:$B,MATCH(F155,Diccionario!$C:$C,0)),"")</f>
        <v/>
      </c>
      <c r="M155">
        <f>IFERROR(INDEX(Diccionario!$H:$H,MATCH(F155,Diccionario!$C:$C,0)),"")</f>
        <v/>
      </c>
      <c r="N155">
        <f>IFERROR(INDEX(Diccionario!$N:$N,MATCH(F155,Diccionario!$C:$C,0)),"")</f>
        <v/>
      </c>
    </row>
    <row r="156" ht="14.25" customHeight="1" s="52">
      <c r="A156" t="inlineStr">
        <is>
          <t>2024-10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Proveedores</t>
        </is>
      </c>
      <c r="I156" t="n">
        <v>205000000</v>
      </c>
      <c r="J156" t="inlineStr">
        <is>
          <t>COP</t>
        </is>
      </c>
      <c r="L156">
        <f>IFERROR(INDEX(Diccionario!$B:$B,MATCH(F156,Diccionario!$C:$C,0)),"")</f>
        <v/>
      </c>
      <c r="M156">
        <f>IFERROR(INDEX(Diccionario!$H:$H,MATCH(F156,Diccionario!$C:$C,0)),"")</f>
        <v/>
      </c>
      <c r="N156">
        <f>IFERROR(INDEX(Diccionario!$N:$N,MATCH(F156,Diccionario!$C:$C,0)),"")</f>
        <v/>
      </c>
    </row>
    <row r="157" ht="14.25" customHeight="1" s="52">
      <c r="A157" t="inlineStr">
        <is>
          <t>2024-10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Comercial</t>
        </is>
      </c>
      <c r="I157" t="n">
        <v>176000000</v>
      </c>
      <c r="J157" t="inlineStr">
        <is>
          <t>COP</t>
        </is>
      </c>
      <c r="L157">
        <f>IFERROR(INDEX(Diccionario!$B:$B,MATCH(F157,Diccionario!$C:$C,0)),"")</f>
        <v/>
      </c>
      <c r="M157">
        <f>IFERROR(INDEX(Diccionario!$H:$H,MATCH(F157,Diccionario!$C:$C,0)),"")</f>
        <v/>
      </c>
      <c r="N157">
        <f>IFERROR(INDEX(Diccionario!$N:$N,MATCH(F157,Diccionario!$C:$C,0)),"")</f>
        <v/>
      </c>
    </row>
    <row r="158" ht="14.25" customHeight="1" s="52">
      <c r="A158" t="inlineStr">
        <is>
          <t>2024-10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Administración</t>
        </is>
      </c>
      <c r="I158" t="n">
        <v>134000000</v>
      </c>
      <c r="J158" t="inlineStr">
        <is>
          <t>COP</t>
        </is>
      </c>
      <c r="L158">
        <f>IFERROR(INDEX(Diccionario!$B:$B,MATCH(F158,Diccionario!$C:$C,0)),"")</f>
        <v/>
      </c>
      <c r="M158">
        <f>IFERROR(INDEX(Diccionario!$H:$H,MATCH(F158,Diccionario!$C:$C,0)),"")</f>
        <v/>
      </c>
      <c r="N158">
        <f>IFERROR(INDEX(Diccionario!$N:$N,MATCH(F158,Diccionario!$C:$C,0)),"")</f>
        <v/>
      </c>
    </row>
    <row r="159" ht="14.25" customHeight="1" s="52">
      <c r="A159" t="inlineStr">
        <is>
          <t>2024-11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Financieros</t>
        </is>
      </c>
      <c r="I159" t="n">
        <v>5000000</v>
      </c>
      <c r="J159" t="inlineStr">
        <is>
          <t>COP</t>
        </is>
      </c>
      <c r="L159">
        <f>IFERROR(INDEX(Diccionario!$B:$B,MATCH(F159,Diccionario!$C:$C,0)),"")</f>
        <v/>
      </c>
      <c r="M159">
        <f>IFERROR(INDEX(Diccionario!$H:$H,MATCH(F159,Diccionario!$C:$C,0)),"")</f>
        <v/>
      </c>
      <c r="N159">
        <f>IFERROR(INDEX(Diccionario!$N:$N,MATCH(F159,Diccionario!$C:$C,0)),"")</f>
        <v/>
      </c>
    </row>
    <row r="160" ht="14.25" customHeight="1" s="52">
      <c r="A160" t="inlineStr">
        <is>
          <t>2024-11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TI</t>
        </is>
      </c>
      <c r="I160" t="n">
        <v>230000000</v>
      </c>
      <c r="J160" t="inlineStr">
        <is>
          <t>COP</t>
        </is>
      </c>
      <c r="L160">
        <f>IFERROR(INDEX(Diccionario!$B:$B,MATCH(F160,Diccionario!$C:$C,0)),"")</f>
        <v/>
      </c>
      <c r="M160">
        <f>IFERROR(INDEX(Diccionario!$H:$H,MATCH(F160,Diccionario!$C:$C,0)),"")</f>
        <v/>
      </c>
      <c r="N160">
        <f>IFERROR(INDEX(Diccionario!$N:$N,MATCH(F160,Diccionario!$C:$C,0)),"")</f>
        <v/>
      </c>
    </row>
    <row r="161" ht="14.25" customHeight="1" s="52">
      <c r="A161" t="inlineStr">
        <is>
          <t>2024-11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Proveedores</t>
        </is>
      </c>
      <c r="I161" t="n">
        <v>178000000</v>
      </c>
      <c r="J161" t="inlineStr">
        <is>
          <t>COP</t>
        </is>
      </c>
      <c r="L161">
        <f>IFERROR(INDEX(Diccionario!$B:$B,MATCH(F161,Diccionario!$C:$C,0)),"")</f>
        <v/>
      </c>
      <c r="M161">
        <f>IFERROR(INDEX(Diccionario!$H:$H,MATCH(F161,Diccionario!$C:$C,0)),"")</f>
        <v/>
      </c>
      <c r="N161">
        <f>IFERROR(INDEX(Diccionario!$N:$N,MATCH(F161,Diccionario!$C:$C,0)),"")</f>
        <v/>
      </c>
    </row>
    <row r="162" ht="14.25" customHeight="1" s="52">
      <c r="A162" t="inlineStr">
        <is>
          <t>2024-11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Comercial</t>
        </is>
      </c>
      <c r="I162" t="n">
        <v>169000000</v>
      </c>
      <c r="J162" t="inlineStr">
        <is>
          <t>COP</t>
        </is>
      </c>
      <c r="L162">
        <f>IFERROR(INDEX(Diccionario!$B:$B,MATCH(F162,Diccionario!$C:$C,0)),"")</f>
        <v/>
      </c>
      <c r="M162">
        <f>IFERROR(INDEX(Diccionario!$H:$H,MATCH(F162,Diccionario!$C:$C,0)),"")</f>
        <v/>
      </c>
      <c r="N162">
        <f>IFERROR(INDEX(Diccionario!$N:$N,MATCH(F162,Diccionario!$C:$C,0)),"")</f>
        <v/>
      </c>
    </row>
    <row r="163" ht="14.25" customHeight="1" s="52">
      <c r="A163" t="inlineStr">
        <is>
          <t>2024-11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Administración</t>
        </is>
      </c>
      <c r="I163" t="n">
        <v>158000000</v>
      </c>
      <c r="J163" t="inlineStr">
        <is>
          <t>COP</t>
        </is>
      </c>
      <c r="L163">
        <f>IFERROR(INDEX(Diccionario!$B:$B,MATCH(F163,Diccionario!$C:$C,0)),"")</f>
        <v/>
      </c>
      <c r="M163">
        <f>IFERROR(INDEX(Diccionario!$H:$H,MATCH(F163,Diccionario!$C:$C,0)),"")</f>
        <v/>
      </c>
      <c r="N163">
        <f>IFERROR(INDEX(Diccionario!$N:$N,MATCH(F163,Diccionario!$C:$C,0)),"")</f>
        <v/>
      </c>
    </row>
    <row r="164" ht="14.25" customHeight="1" s="52">
      <c r="A164" t="inlineStr">
        <is>
          <t>2024-12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Financieros</t>
        </is>
      </c>
      <c r="I164" t="n">
        <v>6500000</v>
      </c>
      <c r="J164" t="inlineStr">
        <is>
          <t>COP</t>
        </is>
      </c>
      <c r="L164">
        <f>IFERROR(INDEX(Diccionario!$B:$B,MATCH(F164,Diccionario!$C:$C,0)),"")</f>
        <v/>
      </c>
      <c r="M164">
        <f>IFERROR(INDEX(Diccionario!$H:$H,MATCH(F164,Diccionario!$C:$C,0)),"")</f>
        <v/>
      </c>
      <c r="N164">
        <f>IFERROR(INDEX(Diccionario!$N:$N,MATCH(F164,Diccionario!$C:$C,0)),"")</f>
        <v/>
      </c>
    </row>
    <row r="165" ht="14.25" customHeight="1" s="52">
      <c r="A165" t="inlineStr">
        <is>
          <t>2024-12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TI</t>
        </is>
      </c>
      <c r="I165" t="n">
        <v>216000000</v>
      </c>
      <c r="J165" t="inlineStr">
        <is>
          <t>COP</t>
        </is>
      </c>
      <c r="L165">
        <f>IFERROR(INDEX(Diccionario!$B:$B,MATCH(F165,Diccionario!$C:$C,0)),"")</f>
        <v/>
      </c>
      <c r="M165">
        <f>IFERROR(INDEX(Diccionario!$H:$H,MATCH(F165,Diccionario!$C:$C,0)),"")</f>
        <v/>
      </c>
      <c r="N165">
        <f>IFERROR(INDEX(Diccionario!$N:$N,MATCH(F165,Diccionario!$C:$C,0)),"")</f>
        <v/>
      </c>
    </row>
    <row r="166" ht="14.25" customHeight="1" s="52">
      <c r="A166" t="inlineStr">
        <is>
          <t>2024-12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Proveedores</t>
        </is>
      </c>
      <c r="I166" t="n">
        <v>182000000</v>
      </c>
      <c r="J166" t="inlineStr">
        <is>
          <t>COP</t>
        </is>
      </c>
      <c r="L166">
        <f>IFERROR(INDEX(Diccionario!$B:$B,MATCH(F166,Diccionario!$C:$C,0)),"")</f>
        <v/>
      </c>
      <c r="M166">
        <f>IFERROR(INDEX(Diccionario!$H:$H,MATCH(F166,Diccionario!$C:$C,0)),"")</f>
        <v/>
      </c>
      <c r="N166">
        <f>IFERROR(INDEX(Diccionario!$N:$N,MATCH(F166,Diccionario!$C:$C,0)),"")</f>
        <v/>
      </c>
    </row>
    <row r="167" ht="14.25" customHeight="1" s="52">
      <c r="A167" t="inlineStr">
        <is>
          <t>2024-12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Comercial</t>
        </is>
      </c>
      <c r="I167" t="n">
        <v>175000000</v>
      </c>
      <c r="J167" t="inlineStr">
        <is>
          <t>COP</t>
        </is>
      </c>
      <c r="L167">
        <f>IFERROR(INDEX(Diccionario!$B:$B,MATCH(F167,Diccionario!$C:$C,0)),"")</f>
        <v/>
      </c>
      <c r="M167">
        <f>IFERROR(INDEX(Diccionario!$H:$H,MATCH(F167,Diccionario!$C:$C,0)),"")</f>
        <v/>
      </c>
      <c r="N167">
        <f>IFERROR(INDEX(Diccionario!$N:$N,MATCH(F167,Diccionario!$C:$C,0)),"")</f>
        <v/>
      </c>
    </row>
    <row r="168" ht="14.25" customHeight="1" s="52">
      <c r="A168" t="inlineStr">
        <is>
          <t>2024-12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Administración</t>
        </is>
      </c>
      <c r="I168" t="n">
        <v>231000000</v>
      </c>
      <c r="J168" t="inlineStr">
        <is>
          <t>COP</t>
        </is>
      </c>
      <c r="L168">
        <f>IFERROR(INDEX(Diccionario!$B:$B,MATCH(F168,Diccionario!$C:$C,0)),"")</f>
        <v/>
      </c>
      <c r="M168">
        <f>IFERROR(INDEX(Diccionario!$H:$H,MATCH(F168,Diccionario!$C:$C,0)),"")</f>
        <v/>
      </c>
      <c r="N168">
        <f>IFERROR(INDEX(Diccionario!$N:$N,MATCH(F168,Diccionario!$C:$C,0)),"")</f>
        <v/>
      </c>
    </row>
    <row r="169" ht="14.25" customHeight="1" s="52">
      <c r="A169" t="inlineStr">
        <is>
          <t>2025-01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4700000</v>
      </c>
      <c r="J169" t="inlineStr">
        <is>
          <t>COP</t>
        </is>
      </c>
      <c r="L169">
        <f>IFERROR(INDEX(Diccionario!$B:$B,MATCH(F169,Diccionario!$C:$C,0)),"")</f>
        <v/>
      </c>
      <c r="M169">
        <f>IFERROR(INDEX(Diccionario!$H:$H,MATCH(F169,Diccionario!$C:$C,0)),"")</f>
        <v/>
      </c>
      <c r="N169">
        <f>IFERROR(INDEX(Diccionario!$N:$N,MATCH(F169,Diccionario!$C:$C,0)),"")</f>
        <v/>
      </c>
    </row>
    <row r="170" ht="14.25" customHeight="1" s="52">
      <c r="A170" t="inlineStr">
        <is>
          <t>2025-01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TI</t>
        </is>
      </c>
      <c r="I170" t="n">
        <v>238000000</v>
      </c>
      <c r="J170" t="inlineStr">
        <is>
          <t>COP</t>
        </is>
      </c>
      <c r="L170">
        <f>IFERROR(INDEX(Diccionario!$B:$B,MATCH(F170,Diccionario!$C:$C,0)),"")</f>
        <v/>
      </c>
      <c r="M170">
        <f>IFERROR(INDEX(Diccionario!$H:$H,MATCH(F170,Diccionario!$C:$C,0)),"")</f>
        <v/>
      </c>
      <c r="N170">
        <f>IFERROR(INDEX(Diccionario!$N:$N,MATCH(F170,Diccionario!$C:$C,0)),"")</f>
        <v/>
      </c>
    </row>
    <row r="171" ht="14.25" customHeight="1" s="52">
      <c r="A171" t="inlineStr">
        <is>
          <t>2025-01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Proveedores</t>
        </is>
      </c>
      <c r="I171" t="n">
        <v>130000000</v>
      </c>
      <c r="J171" t="inlineStr">
        <is>
          <t>COP</t>
        </is>
      </c>
      <c r="L171">
        <f>IFERROR(INDEX(Diccionario!$B:$B,MATCH(F171,Diccionario!$C:$C,0)),"")</f>
        <v/>
      </c>
      <c r="M171">
        <f>IFERROR(INDEX(Diccionario!$H:$H,MATCH(F171,Diccionario!$C:$C,0)),"")</f>
        <v/>
      </c>
      <c r="N171">
        <f>IFERROR(INDEX(Diccionario!$N:$N,MATCH(F171,Diccionario!$C:$C,0)),"")</f>
        <v/>
      </c>
    </row>
    <row r="172" ht="14.25" customHeight="1" s="52">
      <c r="A172" t="inlineStr">
        <is>
          <t>2025-01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Comercial</t>
        </is>
      </c>
      <c r="I172" t="n">
        <v>163000000</v>
      </c>
      <c r="J172" t="inlineStr">
        <is>
          <t>COP</t>
        </is>
      </c>
      <c r="L172">
        <f>IFERROR(INDEX(Diccionario!$B:$B,MATCH(F172,Diccionario!$C:$C,0)),"")</f>
        <v/>
      </c>
      <c r="M172">
        <f>IFERROR(INDEX(Diccionario!$H:$H,MATCH(F172,Diccionario!$C:$C,0)),"")</f>
        <v/>
      </c>
      <c r="N172">
        <f>IFERROR(INDEX(Diccionario!$N:$N,MATCH(F172,Diccionario!$C:$C,0)),"")</f>
        <v/>
      </c>
    </row>
    <row r="173" ht="14.25" customHeight="1" s="52">
      <c r="A173" t="inlineStr">
        <is>
          <t>2025-01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Administración</t>
        </is>
      </c>
      <c r="I173" t="n">
        <v>158000000</v>
      </c>
      <c r="J173" t="inlineStr">
        <is>
          <t>COP</t>
        </is>
      </c>
      <c r="L173">
        <f>IFERROR(INDEX(Diccionario!$B:$B,MATCH(F173,Diccionario!$C:$C,0)),"")</f>
        <v/>
      </c>
      <c r="M173">
        <f>IFERROR(INDEX(Diccionario!$H:$H,MATCH(F173,Diccionario!$C:$C,0)),"")</f>
        <v/>
      </c>
      <c r="N173">
        <f>IFERROR(INDEX(Diccionario!$N:$N,MATCH(F173,Diccionario!$C:$C,0)),"")</f>
        <v/>
      </c>
    </row>
    <row r="174" ht="14.25" customHeight="1" s="52">
      <c r="A174" t="inlineStr">
        <is>
          <t>2025-02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Financieros</t>
        </is>
      </c>
      <c r="I174" t="n">
        <v>3800000</v>
      </c>
      <c r="J174" t="inlineStr">
        <is>
          <t>COP</t>
        </is>
      </c>
      <c r="L174">
        <f>IFERROR(INDEX(Diccionario!$B:$B,MATCH(F174,Diccionario!$C:$C,0)),"")</f>
        <v/>
      </c>
      <c r="M174">
        <f>IFERROR(INDEX(Diccionario!$H:$H,MATCH(F174,Diccionario!$C:$C,0)),"")</f>
        <v/>
      </c>
      <c r="N174">
        <f>IFERROR(INDEX(Diccionario!$N:$N,MATCH(F174,Diccionario!$C:$C,0)),"")</f>
        <v/>
      </c>
    </row>
    <row r="175" ht="14.25" customHeight="1" s="52">
      <c r="A175" t="inlineStr">
        <is>
          <t>2025-02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TI</t>
        </is>
      </c>
      <c r="I175" t="n">
        <v>263000000</v>
      </c>
      <c r="J175" t="inlineStr">
        <is>
          <t>COP</t>
        </is>
      </c>
      <c r="L175">
        <f>IFERROR(INDEX(Diccionario!$B:$B,MATCH(F175,Diccionario!$C:$C,0)),"")</f>
        <v/>
      </c>
      <c r="M175">
        <f>IFERROR(INDEX(Diccionario!$H:$H,MATCH(F175,Diccionario!$C:$C,0)),"")</f>
        <v/>
      </c>
      <c r="N175">
        <f>IFERROR(INDEX(Diccionario!$N:$N,MATCH(F175,Diccionario!$C:$C,0)),"")</f>
        <v/>
      </c>
    </row>
    <row r="176" ht="14.25" customHeight="1" s="52">
      <c r="A176" t="inlineStr">
        <is>
          <t>2025-02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Proveedores</t>
        </is>
      </c>
      <c r="I176" t="n">
        <v>47000000</v>
      </c>
      <c r="J176" t="inlineStr">
        <is>
          <t>COP</t>
        </is>
      </c>
      <c r="L176">
        <f>IFERROR(INDEX(Diccionario!$B:$B,MATCH(F176,Diccionario!$C:$C,0)),"")</f>
        <v/>
      </c>
      <c r="M176">
        <f>IFERROR(INDEX(Diccionario!$H:$H,MATCH(F176,Diccionario!$C:$C,0)),"")</f>
        <v/>
      </c>
      <c r="N176">
        <f>IFERROR(INDEX(Diccionario!$N:$N,MATCH(F176,Diccionario!$C:$C,0)),"")</f>
        <v/>
      </c>
    </row>
    <row r="177" ht="14.25" customHeight="1" s="52">
      <c r="A177" t="inlineStr">
        <is>
          <t>2025-02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Comercial</t>
        </is>
      </c>
      <c r="I177" t="n">
        <v>233000000</v>
      </c>
      <c r="J177" t="inlineStr">
        <is>
          <t>COP</t>
        </is>
      </c>
      <c r="L177">
        <f>IFERROR(INDEX(Diccionario!$B:$B,MATCH(F177,Diccionario!$C:$C,0)),"")</f>
        <v/>
      </c>
      <c r="M177">
        <f>IFERROR(INDEX(Diccionario!$H:$H,MATCH(F177,Diccionario!$C:$C,0)),"")</f>
        <v/>
      </c>
      <c r="N177">
        <f>IFERROR(INDEX(Diccionario!$N:$N,MATCH(F177,Diccionario!$C:$C,0)),"")</f>
        <v/>
      </c>
    </row>
    <row r="178" ht="14.25" customHeight="1" s="52">
      <c r="A178" t="inlineStr">
        <is>
          <t>2025-02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Administración</t>
        </is>
      </c>
      <c r="I178" t="n">
        <v>140000000</v>
      </c>
      <c r="J178" t="inlineStr">
        <is>
          <t>COP</t>
        </is>
      </c>
      <c r="L178">
        <f>IFERROR(INDEX(Diccionario!$B:$B,MATCH(F178,Diccionario!$C:$C,0)),"")</f>
        <v/>
      </c>
      <c r="M178">
        <f>IFERROR(INDEX(Diccionario!$H:$H,MATCH(F178,Diccionario!$C:$C,0)),"")</f>
        <v/>
      </c>
      <c r="N178">
        <f>IFERROR(INDEX(Diccionario!$N:$N,MATCH(F178,Diccionario!$C:$C,0)),"")</f>
        <v/>
      </c>
    </row>
    <row r="179" ht="14.25" customHeight="1" s="52">
      <c r="A179" t="inlineStr">
        <is>
          <t>2025-03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Financieros</t>
        </is>
      </c>
      <c r="I179" t="n">
        <v>4700000</v>
      </c>
      <c r="J179" t="inlineStr">
        <is>
          <t>COP</t>
        </is>
      </c>
      <c r="L179">
        <f>IFERROR(INDEX(Diccionario!$B:$B,MATCH(F179,Diccionario!$C:$C,0)),"")</f>
        <v/>
      </c>
      <c r="M179">
        <f>IFERROR(INDEX(Diccionario!$H:$H,MATCH(F179,Diccionario!$C:$C,0)),"")</f>
        <v/>
      </c>
      <c r="N179">
        <f>IFERROR(INDEX(Diccionario!$N:$N,MATCH(F179,Diccionario!$C:$C,0)),"")</f>
        <v/>
      </c>
    </row>
    <row r="180" ht="14.25" customHeight="1" s="52">
      <c r="A180" t="inlineStr">
        <is>
          <t>2025-03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TI</t>
        </is>
      </c>
      <c r="I180" t="n">
        <v>231000000</v>
      </c>
      <c r="J180" t="inlineStr">
        <is>
          <t>COP</t>
        </is>
      </c>
      <c r="L180">
        <f>IFERROR(INDEX(Diccionario!$B:$B,MATCH(F180,Diccionario!$C:$C,0)),"")</f>
        <v/>
      </c>
      <c r="M180">
        <f>IFERROR(INDEX(Diccionario!$H:$H,MATCH(F180,Diccionario!$C:$C,0)),"")</f>
        <v/>
      </c>
      <c r="N180">
        <f>IFERROR(INDEX(Diccionario!$N:$N,MATCH(F180,Diccionario!$C:$C,0)),"")</f>
        <v/>
      </c>
    </row>
    <row r="181" ht="14.25" customHeight="1" s="52">
      <c r="A181" t="inlineStr">
        <is>
          <t>2025-03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Proveedores</t>
        </is>
      </c>
      <c r="I181" t="n">
        <v>208000000</v>
      </c>
      <c r="J181" t="inlineStr">
        <is>
          <t>COP</t>
        </is>
      </c>
      <c r="L181">
        <f>IFERROR(INDEX(Diccionario!$B:$B,MATCH(F181,Diccionario!$C:$C,0)),"")</f>
        <v/>
      </c>
      <c r="M181">
        <f>IFERROR(INDEX(Diccionario!$H:$H,MATCH(F181,Diccionario!$C:$C,0)),"")</f>
        <v/>
      </c>
      <c r="N181">
        <f>IFERROR(INDEX(Diccionario!$N:$N,MATCH(F181,Diccionario!$C:$C,0)),"")</f>
        <v/>
      </c>
    </row>
    <row r="182" ht="14.25" customHeight="1" s="52">
      <c r="A182" t="inlineStr">
        <is>
          <t>2025-03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Comercial</t>
        </is>
      </c>
      <c r="I182" t="n">
        <v>227600000</v>
      </c>
      <c r="J182" t="inlineStr">
        <is>
          <t>COP</t>
        </is>
      </c>
      <c r="L182">
        <f>IFERROR(INDEX(Diccionario!$B:$B,MATCH(F182,Diccionario!$C:$C,0)),"")</f>
        <v/>
      </c>
      <c r="M182">
        <f>IFERROR(INDEX(Diccionario!$H:$H,MATCH(F182,Diccionario!$C:$C,0)),"")</f>
        <v/>
      </c>
      <c r="N182">
        <f>IFERROR(INDEX(Diccionario!$N:$N,MATCH(F182,Diccionario!$C:$C,0)),"")</f>
        <v/>
      </c>
    </row>
    <row r="183" ht="14.25" customHeight="1" s="52">
      <c r="A183" t="inlineStr">
        <is>
          <t>2025-03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Administración</t>
        </is>
      </c>
      <c r="I183" t="n">
        <v>141000000</v>
      </c>
      <c r="J183" t="inlineStr">
        <is>
          <t>COP</t>
        </is>
      </c>
      <c r="L183">
        <f>IFERROR(INDEX(Diccionario!$B:$B,MATCH(F183,Diccionario!$C:$C,0)),"")</f>
        <v/>
      </c>
      <c r="M183">
        <f>IFERROR(INDEX(Diccionario!$H:$H,MATCH(F183,Diccionario!$C:$C,0)),"")</f>
        <v/>
      </c>
      <c r="N183">
        <f>IFERROR(INDEX(Diccionario!$N:$N,MATCH(F183,Diccionario!$C:$C,0)),"")</f>
        <v/>
      </c>
    </row>
    <row r="184" ht="14.25" customHeight="1" s="52">
      <c r="A184" t="inlineStr">
        <is>
          <t>2025-04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Financieros</t>
        </is>
      </c>
      <c r="I184" t="n">
        <v>5000000</v>
      </c>
      <c r="J184" t="inlineStr">
        <is>
          <t>COP</t>
        </is>
      </c>
      <c r="L184">
        <f>IFERROR(INDEX(Diccionario!$B:$B,MATCH(F184,Diccionario!$C:$C,0)),"")</f>
        <v/>
      </c>
      <c r="M184">
        <f>IFERROR(INDEX(Diccionario!$H:$H,MATCH(F184,Diccionario!$C:$C,0)),"")</f>
        <v/>
      </c>
      <c r="N184">
        <f>IFERROR(INDEX(Diccionario!$N:$N,MATCH(F184,Diccionario!$C:$C,0)),"")</f>
        <v/>
      </c>
    </row>
    <row r="185" ht="14.25" customHeight="1" s="52">
      <c r="A185" t="inlineStr">
        <is>
          <t>2025-04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TI</t>
        </is>
      </c>
      <c r="I185" t="n">
        <v>253000000</v>
      </c>
      <c r="J185" t="inlineStr">
        <is>
          <t>COP</t>
        </is>
      </c>
      <c r="L185">
        <f>IFERROR(INDEX(Diccionario!$B:$B,MATCH(F185,Diccionario!$C:$C,0)),"")</f>
        <v/>
      </c>
      <c r="M185">
        <f>IFERROR(INDEX(Diccionario!$H:$H,MATCH(F185,Diccionario!$C:$C,0)),"")</f>
        <v/>
      </c>
      <c r="N185">
        <f>IFERROR(INDEX(Diccionario!$N:$N,MATCH(F185,Diccionario!$C:$C,0)),"")</f>
        <v/>
      </c>
    </row>
    <row r="186" ht="14.25" customHeight="1" s="52">
      <c r="A186" t="inlineStr">
        <is>
          <t>2025-04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Proveedores</t>
        </is>
      </c>
      <c r="I186" t="n">
        <v>156000000</v>
      </c>
      <c r="J186" t="inlineStr">
        <is>
          <t>COP</t>
        </is>
      </c>
      <c r="L186">
        <f>IFERROR(INDEX(Diccionario!$B:$B,MATCH(F186,Diccionario!$C:$C,0)),"")</f>
        <v/>
      </c>
      <c r="M186">
        <f>IFERROR(INDEX(Diccionario!$H:$H,MATCH(F186,Diccionario!$C:$C,0)),"")</f>
        <v/>
      </c>
      <c r="N186">
        <f>IFERROR(INDEX(Diccionario!$N:$N,MATCH(F186,Diccionario!$C:$C,0)),"")</f>
        <v/>
      </c>
    </row>
    <row r="187" ht="14.25" customHeight="1" s="52">
      <c r="A187" t="inlineStr">
        <is>
          <t>2025-04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Comercial</t>
        </is>
      </c>
      <c r="I187" t="n">
        <v>222000000</v>
      </c>
      <c r="J187" t="inlineStr">
        <is>
          <t>COP</t>
        </is>
      </c>
      <c r="L187">
        <f>IFERROR(INDEX(Diccionario!$B:$B,MATCH(F187,Diccionario!$C:$C,0)),"")</f>
        <v/>
      </c>
      <c r="M187">
        <f>IFERROR(INDEX(Diccionario!$H:$H,MATCH(F187,Diccionario!$C:$C,0)),"")</f>
        <v/>
      </c>
      <c r="N187">
        <f>IFERROR(INDEX(Diccionario!$N:$N,MATCH(F187,Diccionario!$C:$C,0)),"")</f>
        <v/>
      </c>
    </row>
    <row r="188" ht="14.25" customHeight="1" s="52">
      <c r="A188" t="inlineStr">
        <is>
          <t>2025-04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Administración</t>
        </is>
      </c>
      <c r="I188" t="n">
        <v>118000000</v>
      </c>
      <c r="J188" t="inlineStr">
        <is>
          <t>COP</t>
        </is>
      </c>
      <c r="L188">
        <f>IFERROR(INDEX(Diccionario!$B:$B,MATCH(F188,Diccionario!$C:$C,0)),"")</f>
        <v/>
      </c>
      <c r="M188">
        <f>IFERROR(INDEX(Diccionario!$H:$H,MATCH(F188,Diccionario!$C:$C,0)),"")</f>
        <v/>
      </c>
      <c r="N188">
        <f>IFERROR(INDEX(Diccionario!$N:$N,MATCH(F188,Diccionario!$C:$C,0)),"")</f>
        <v/>
      </c>
    </row>
    <row r="189" ht="14.25" customHeight="1" s="52">
      <c r="A189" t="inlineStr">
        <is>
          <t>2025-05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Financieros</t>
        </is>
      </c>
      <c r="I189" t="n">
        <v>200000</v>
      </c>
      <c r="J189" t="inlineStr">
        <is>
          <t>COP</t>
        </is>
      </c>
      <c r="L189">
        <f>IFERROR(INDEX(Diccionario!$B:$B,MATCH(F189,Diccionario!$C:$C,0)),"")</f>
        <v/>
      </c>
      <c r="M189">
        <f>IFERROR(INDEX(Diccionario!$H:$H,MATCH(F189,Diccionario!$C:$C,0)),"")</f>
        <v/>
      </c>
      <c r="N189">
        <f>IFERROR(INDEX(Diccionario!$N:$N,MATCH(F189,Diccionario!$C:$C,0)),"")</f>
        <v/>
      </c>
    </row>
    <row r="190" ht="14.25" customHeight="1" s="52">
      <c r="A190" t="inlineStr">
        <is>
          <t>2025-05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TI</t>
        </is>
      </c>
      <c r="I190" t="n">
        <v>255000000</v>
      </c>
      <c r="J190" t="inlineStr">
        <is>
          <t>COP</t>
        </is>
      </c>
      <c r="L190">
        <f>IFERROR(INDEX(Diccionario!$B:$B,MATCH(F190,Diccionario!$C:$C,0)),"")</f>
        <v/>
      </c>
      <c r="M190">
        <f>IFERROR(INDEX(Diccionario!$H:$H,MATCH(F190,Diccionario!$C:$C,0)),"")</f>
        <v/>
      </c>
      <c r="N190">
        <f>IFERROR(INDEX(Diccionario!$N:$N,MATCH(F190,Diccionario!$C:$C,0)),"")</f>
        <v/>
      </c>
    </row>
    <row r="191" ht="14.25" customHeight="1" s="52">
      <c r="A191" t="inlineStr">
        <is>
          <t>2025-05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Proveedores</t>
        </is>
      </c>
      <c r="I191" t="n">
        <v>157000000</v>
      </c>
      <c r="J191" t="inlineStr">
        <is>
          <t>COP</t>
        </is>
      </c>
      <c r="L191">
        <f>IFERROR(INDEX(Diccionario!$B:$B,MATCH(F191,Diccionario!$C:$C,0)),"")</f>
        <v/>
      </c>
      <c r="M191">
        <f>IFERROR(INDEX(Diccionario!$H:$H,MATCH(F191,Diccionario!$C:$C,0)),"")</f>
        <v/>
      </c>
      <c r="N191">
        <f>IFERROR(INDEX(Diccionario!$N:$N,MATCH(F191,Diccionario!$C:$C,0)),"")</f>
        <v/>
      </c>
    </row>
    <row r="192" ht="14.25" customHeight="1" s="52">
      <c r="A192" t="inlineStr">
        <is>
          <t>2025-05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Comercial</t>
        </is>
      </c>
      <c r="I192" t="n">
        <v>194000000</v>
      </c>
      <c r="J192" t="inlineStr">
        <is>
          <t>COP</t>
        </is>
      </c>
      <c r="L192">
        <f>IFERROR(INDEX(Diccionario!$B:$B,MATCH(F192,Diccionario!$C:$C,0)),"")</f>
        <v/>
      </c>
      <c r="M192">
        <f>IFERROR(INDEX(Diccionario!$H:$H,MATCH(F192,Diccionario!$C:$C,0)),"")</f>
        <v/>
      </c>
      <c r="N192">
        <f>IFERROR(INDEX(Diccionario!$N:$N,MATCH(F192,Diccionario!$C:$C,0)),"")</f>
        <v/>
      </c>
    </row>
    <row r="193" ht="14.25" customHeight="1" s="52">
      <c r="A193" t="inlineStr">
        <is>
          <t>2025-05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Administración</t>
        </is>
      </c>
      <c r="I193" t="n">
        <v>121900000</v>
      </c>
      <c r="J193" t="inlineStr">
        <is>
          <t>COP</t>
        </is>
      </c>
      <c r="L193">
        <f>IFERROR(INDEX(Diccionario!$B:$B,MATCH(F193,Diccionario!$C:$C,0)),"")</f>
        <v/>
      </c>
      <c r="M193">
        <f>IFERROR(INDEX(Diccionario!$H:$H,MATCH(F193,Diccionario!$C:$C,0)),"")</f>
        <v/>
      </c>
      <c r="N193">
        <f>IFERROR(INDEX(Diccionario!$N:$N,MATCH(F193,Diccionario!$C:$C,0)),"")</f>
        <v/>
      </c>
    </row>
    <row r="194" ht="14.25" customHeight="1" s="52">
      <c r="A194" t="inlineStr">
        <is>
          <t>2025-06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Financieros</t>
        </is>
      </c>
      <c r="I194" t="n">
        <v>600000</v>
      </c>
      <c r="J194" t="inlineStr">
        <is>
          <t>COP</t>
        </is>
      </c>
      <c r="L194">
        <f>IFERROR(INDEX(Diccionario!$B:$B,MATCH(F194,Diccionario!$C:$C,0)),"")</f>
        <v/>
      </c>
      <c r="M194">
        <f>IFERROR(INDEX(Diccionario!$H:$H,MATCH(F194,Diccionario!$C:$C,0)),"")</f>
        <v/>
      </c>
      <c r="N194">
        <f>IFERROR(INDEX(Diccionario!$N:$N,MATCH(F194,Diccionario!$C:$C,0)),"")</f>
        <v/>
      </c>
    </row>
    <row r="195" ht="14.25" customHeight="1" s="52">
      <c r="A195" t="inlineStr">
        <is>
          <t>2025-06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TI</t>
        </is>
      </c>
      <c r="I195" t="n">
        <v>260000000</v>
      </c>
      <c r="J195" t="inlineStr">
        <is>
          <t>COP</t>
        </is>
      </c>
      <c r="L195">
        <f>IFERROR(INDEX(Diccionario!$B:$B,MATCH(F195,Diccionario!$C:$C,0)),"")</f>
        <v/>
      </c>
      <c r="M195">
        <f>IFERROR(INDEX(Diccionario!$H:$H,MATCH(F195,Diccionario!$C:$C,0)),"")</f>
        <v/>
      </c>
      <c r="N195">
        <f>IFERROR(INDEX(Diccionario!$N:$N,MATCH(F195,Diccionario!$C:$C,0)),"")</f>
        <v/>
      </c>
    </row>
    <row r="196" ht="14.25" customHeight="1" s="52">
      <c r="A196" t="inlineStr">
        <is>
          <t>2025-06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Proveedores</t>
        </is>
      </c>
      <c r="I196" t="n">
        <v>119000000</v>
      </c>
      <c r="J196" t="inlineStr">
        <is>
          <t>COP</t>
        </is>
      </c>
      <c r="L196">
        <f>IFERROR(INDEX(Diccionario!$B:$B,MATCH(F196,Diccionario!$C:$C,0)),"")</f>
        <v/>
      </c>
      <c r="M196">
        <f>IFERROR(INDEX(Diccionario!$H:$H,MATCH(F196,Diccionario!$C:$C,0)),"")</f>
        <v/>
      </c>
      <c r="N196">
        <f>IFERROR(INDEX(Diccionario!$N:$N,MATCH(F196,Diccionario!$C:$C,0)),"")</f>
        <v/>
      </c>
    </row>
    <row r="197" ht="14.25" customHeight="1" s="52">
      <c r="A197" t="inlineStr">
        <is>
          <t>2025-06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Comercial</t>
        </is>
      </c>
      <c r="I197" t="n">
        <v>226000000</v>
      </c>
      <c r="J197" t="inlineStr">
        <is>
          <t>COP</t>
        </is>
      </c>
      <c r="L197">
        <f>IFERROR(INDEX(Diccionario!$B:$B,MATCH(F197,Diccionario!$C:$C,0)),"")</f>
        <v/>
      </c>
      <c r="M197">
        <f>IFERROR(INDEX(Diccionario!$H:$H,MATCH(F197,Diccionario!$C:$C,0)),"")</f>
        <v/>
      </c>
      <c r="N197">
        <f>IFERROR(INDEX(Diccionario!$N:$N,MATCH(F197,Diccionario!$C:$C,0)),"")</f>
        <v/>
      </c>
    </row>
    <row r="198" ht="14.25" customHeight="1" s="52">
      <c r="A198" t="inlineStr">
        <is>
          <t>2025-06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105000000</v>
      </c>
      <c r="J198" t="inlineStr">
        <is>
          <t>COP</t>
        </is>
      </c>
      <c r="L198">
        <f>IFERROR(INDEX(Diccionario!$B:$B,MATCH(F198,Diccionario!$C:$C,0)),"")</f>
        <v/>
      </c>
      <c r="M198">
        <f>IFERROR(INDEX(Diccionario!$H:$H,MATCH(F198,Diccionario!$C:$C,0)),"")</f>
        <v/>
      </c>
      <c r="N198">
        <f>IFERROR(INDEX(Diccionario!$N:$N,MATCH(F198,Diccionario!$C:$C,0)),"")</f>
        <v/>
      </c>
    </row>
    <row r="199" ht="14.25" customHeight="1" s="52">
      <c r="A199" t="inlineStr">
        <is>
          <t>2025-07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Financieros</t>
        </is>
      </c>
      <c r="I199" t="n">
        <v>1800000</v>
      </c>
      <c r="J199" t="inlineStr">
        <is>
          <t>COP</t>
        </is>
      </c>
      <c r="L199">
        <f>IFERROR(INDEX(Diccionario!$B:$B,MATCH(F199,Diccionario!$C:$C,0)),"")</f>
        <v/>
      </c>
      <c r="M199">
        <f>IFERROR(INDEX(Diccionario!$H:$H,MATCH(F199,Diccionario!$C:$C,0)),"")</f>
        <v/>
      </c>
      <c r="N199">
        <f>IFERROR(INDEX(Diccionario!$N:$N,MATCH(F199,Diccionario!$C:$C,0)),"")</f>
        <v/>
      </c>
    </row>
    <row r="200" ht="14.25" customHeight="1" s="52">
      <c r="A200" t="inlineStr">
        <is>
          <t>2025-07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TI</t>
        </is>
      </c>
      <c r="I200" t="n">
        <v>230000000</v>
      </c>
      <c r="J200" t="inlineStr">
        <is>
          <t>COP</t>
        </is>
      </c>
      <c r="L200">
        <f>IFERROR(INDEX(Diccionario!$B:$B,MATCH(F200,Diccionario!$C:$C,0)),"")</f>
        <v/>
      </c>
      <c r="M200">
        <f>IFERROR(INDEX(Diccionario!$H:$H,MATCH(F200,Diccionario!$C:$C,0)),"")</f>
        <v/>
      </c>
      <c r="N200">
        <f>IFERROR(INDEX(Diccionario!$N:$N,MATCH(F200,Diccionario!$C:$C,0)),"")</f>
        <v/>
      </c>
    </row>
    <row r="201" ht="14.25" customHeight="1" s="52">
      <c r="A201" t="inlineStr">
        <is>
          <t>2025-07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302000000</v>
      </c>
      <c r="J201" t="inlineStr">
        <is>
          <t>COP</t>
        </is>
      </c>
      <c r="L201">
        <f>IFERROR(INDEX(Diccionario!$B:$B,MATCH(F201,Diccionario!$C:$C,0)),"")</f>
        <v/>
      </c>
      <c r="M201">
        <f>IFERROR(INDEX(Diccionario!$H:$H,MATCH(F201,Diccionario!$C:$C,0)),"")</f>
        <v/>
      </c>
      <c r="N201">
        <f>IFERROR(INDEX(Diccionario!$N:$N,MATCH(F201,Diccionario!$C:$C,0)),"")</f>
        <v/>
      </c>
    </row>
    <row r="202" ht="14.25" customHeight="1" s="52">
      <c r="A202" t="inlineStr">
        <is>
          <t>2025-07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Comercial</t>
        </is>
      </c>
      <c r="I202" t="n">
        <v>227000000</v>
      </c>
      <c r="J202" t="inlineStr">
        <is>
          <t>COP</t>
        </is>
      </c>
      <c r="L202">
        <f>IFERROR(INDEX(Diccionario!$B:$B,MATCH(F202,Diccionario!$C:$C,0)),"")</f>
        <v/>
      </c>
      <c r="M202">
        <f>IFERROR(INDEX(Diccionario!$H:$H,MATCH(F202,Diccionario!$C:$C,0)),"")</f>
        <v/>
      </c>
      <c r="N202">
        <f>IFERROR(INDEX(Diccionario!$N:$N,MATCH(F202,Diccionario!$C:$C,0)),"")</f>
        <v/>
      </c>
    </row>
    <row r="203" ht="14.25" customHeight="1" s="52">
      <c r="A203" t="inlineStr">
        <is>
          <t>2025-07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Administración</t>
        </is>
      </c>
      <c r="I203" t="n">
        <v>122700000</v>
      </c>
      <c r="J203" t="inlineStr">
        <is>
          <t>COP</t>
        </is>
      </c>
      <c r="L203">
        <f>IFERROR(INDEX(Diccionario!$B:$B,MATCH(F203,Diccionario!$C:$C,0)),"")</f>
        <v/>
      </c>
      <c r="M203">
        <f>IFERROR(INDEX(Diccionario!$H:$H,MATCH(F203,Diccionario!$C:$C,0)),"")</f>
        <v/>
      </c>
      <c r="N203">
        <f>IFERROR(INDEX(Diccionario!$N:$N,MATCH(F203,Diccionario!$C:$C,0)),"")</f>
        <v/>
      </c>
    </row>
    <row r="204" ht="14.25" customHeight="1" s="52">
      <c r="A204" t="inlineStr">
        <is>
          <t>2025-08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Financieros</t>
        </is>
      </c>
      <c r="I204" t="n">
        <v>1400000</v>
      </c>
      <c r="J204" t="inlineStr">
        <is>
          <t>COP</t>
        </is>
      </c>
      <c r="L204">
        <f>IFERROR(INDEX(Diccionario!$B:$B,MATCH(F204,Diccionario!$C:$C,0)),"")</f>
        <v/>
      </c>
      <c r="M204">
        <f>IFERROR(INDEX(Diccionario!$H:$H,MATCH(F204,Diccionario!$C:$C,0)),"")</f>
        <v/>
      </c>
      <c r="N204">
        <f>IFERROR(INDEX(Diccionario!$N:$N,MATCH(F204,Diccionario!$C:$C,0)),"")</f>
        <v/>
      </c>
    </row>
    <row r="205" ht="14.25" customHeight="1" s="52">
      <c r="A205" t="inlineStr">
        <is>
          <t>2025-08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TI</t>
        </is>
      </c>
      <c r="I205" t="n">
        <v>332000000</v>
      </c>
      <c r="J205" t="inlineStr">
        <is>
          <t>COP</t>
        </is>
      </c>
      <c r="L205">
        <f>IFERROR(INDEX(Diccionario!$B:$B,MATCH(F205,Diccionario!$C:$C,0)),"")</f>
        <v/>
      </c>
      <c r="M205">
        <f>IFERROR(INDEX(Diccionario!$H:$H,MATCH(F205,Diccionario!$C:$C,0)),"")</f>
        <v/>
      </c>
      <c r="N205">
        <f>IFERROR(INDEX(Diccionario!$N:$N,MATCH(F205,Diccionario!$C:$C,0)),"")</f>
        <v/>
      </c>
    </row>
    <row r="206" ht="14.25" customHeight="1" s="52">
      <c r="A206" t="inlineStr">
        <is>
          <t>2025-08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Proveedores</t>
        </is>
      </c>
      <c r="I206" t="n">
        <v>102000000</v>
      </c>
      <c r="J206" t="inlineStr">
        <is>
          <t>COP</t>
        </is>
      </c>
      <c r="L206">
        <f>IFERROR(INDEX(Diccionario!$B:$B,MATCH(F206,Diccionario!$C:$C,0)),"")</f>
        <v/>
      </c>
      <c r="M206">
        <f>IFERROR(INDEX(Diccionario!$H:$H,MATCH(F206,Diccionario!$C:$C,0)),"")</f>
        <v/>
      </c>
      <c r="N206">
        <f>IFERROR(INDEX(Diccionario!$N:$N,MATCH(F206,Diccionario!$C:$C,0)),"")</f>
        <v/>
      </c>
    </row>
    <row r="207" ht="14.25" customHeight="1" s="52">
      <c r="A207" t="inlineStr">
        <is>
          <t>2025-08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Comercial</t>
        </is>
      </c>
      <c r="I207" t="n">
        <v>169000000</v>
      </c>
      <c r="J207" t="inlineStr">
        <is>
          <t>COP</t>
        </is>
      </c>
      <c r="L207">
        <f>IFERROR(INDEX(Diccionario!$B:$B,MATCH(F207,Diccionario!$C:$C,0)),"")</f>
        <v/>
      </c>
      <c r="M207">
        <f>IFERROR(INDEX(Diccionario!$H:$H,MATCH(F207,Diccionario!$C:$C,0)),"")</f>
        <v/>
      </c>
      <c r="N207">
        <f>IFERROR(INDEX(Diccionario!$N:$N,MATCH(F207,Diccionario!$C:$C,0)),"")</f>
        <v/>
      </c>
    </row>
    <row r="208" ht="14.25" customHeight="1" s="52">
      <c r="A208" t="inlineStr">
        <is>
          <t>2025-08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Administración</t>
        </is>
      </c>
      <c r="I208" t="n">
        <v>121000000</v>
      </c>
      <c r="J208" t="inlineStr">
        <is>
          <t>COP</t>
        </is>
      </c>
      <c r="L208">
        <f>IFERROR(INDEX(Diccionario!$B:$B,MATCH(F208,Diccionario!$C:$C,0)),"")</f>
        <v/>
      </c>
      <c r="M208">
        <f>IFERROR(INDEX(Diccionario!$H:$H,MATCH(F208,Diccionario!$C:$C,0)),"")</f>
        <v/>
      </c>
      <c r="N208">
        <f>IFERROR(INDEX(Diccionario!$N:$N,MATCH(F208,Diccionario!$C:$C,0)),"")</f>
        <v/>
      </c>
    </row>
    <row r="209" ht="14.25" customHeight="1" s="52">
      <c r="A209" t="inlineStr">
        <is>
          <t>2025-09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Financieros</t>
        </is>
      </c>
      <c r="I209" t="n">
        <v>10600000</v>
      </c>
      <c r="J209" t="inlineStr">
        <is>
          <t>COP</t>
        </is>
      </c>
      <c r="L209">
        <f>IFERROR(INDEX(Diccionario!$B:$B,MATCH(F209,Diccionario!$C:$C,0)),"")</f>
        <v/>
      </c>
      <c r="M209">
        <f>IFERROR(INDEX(Diccionario!$H:$H,MATCH(F209,Diccionario!$C:$C,0)),"")</f>
        <v/>
      </c>
      <c r="N209">
        <f>IFERROR(INDEX(Diccionario!$N:$N,MATCH(F209,Diccionario!$C:$C,0)),"")</f>
        <v/>
      </c>
    </row>
    <row r="210" ht="14.25" customHeight="1" s="52">
      <c r="A210" t="inlineStr">
        <is>
          <t>2025-09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TI</t>
        </is>
      </c>
      <c r="I210" t="n">
        <v>269000000</v>
      </c>
      <c r="J210" t="inlineStr">
        <is>
          <t>COP</t>
        </is>
      </c>
      <c r="L210">
        <f>IFERROR(INDEX(Diccionario!$B:$B,MATCH(F210,Diccionario!$C:$C,0)),"")</f>
        <v/>
      </c>
      <c r="M210">
        <f>IFERROR(INDEX(Diccionario!$H:$H,MATCH(F210,Diccionario!$C:$C,0)),"")</f>
        <v/>
      </c>
      <c r="N210">
        <f>IFERROR(INDEX(Diccionario!$N:$N,MATCH(F210,Diccionario!$C:$C,0)),"")</f>
        <v/>
      </c>
    </row>
    <row r="211" ht="14.25" customHeight="1" s="52">
      <c r="A211" t="inlineStr">
        <is>
          <t>2025-09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Proveedores</t>
        </is>
      </c>
      <c r="I211" t="n">
        <v>101000000</v>
      </c>
      <c r="J211" t="inlineStr">
        <is>
          <t>COP</t>
        </is>
      </c>
      <c r="L211">
        <f>IFERROR(INDEX(Diccionario!$B:$B,MATCH(F211,Diccionario!$C:$C,0)),"")</f>
        <v/>
      </c>
      <c r="M211">
        <f>IFERROR(INDEX(Diccionario!$H:$H,MATCH(F211,Diccionario!$C:$C,0)),"")</f>
        <v/>
      </c>
      <c r="N211">
        <f>IFERROR(INDEX(Diccionario!$N:$N,MATCH(F211,Diccionario!$C:$C,0)),"")</f>
        <v/>
      </c>
    </row>
    <row r="212" ht="14.25" customHeight="1" s="52">
      <c r="A212" t="inlineStr">
        <is>
          <t>2025-09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Comercial</t>
        </is>
      </c>
      <c r="I212" t="n">
        <v>184000000</v>
      </c>
      <c r="J212" t="inlineStr">
        <is>
          <t>COP</t>
        </is>
      </c>
      <c r="L212">
        <f>IFERROR(INDEX(Diccionario!$B:$B,MATCH(F212,Diccionario!$C:$C,0)),"")</f>
        <v/>
      </c>
      <c r="M212">
        <f>IFERROR(INDEX(Diccionario!$H:$H,MATCH(F212,Diccionario!$C:$C,0)),"")</f>
        <v/>
      </c>
      <c r="N212">
        <f>IFERROR(INDEX(Diccionario!$N:$N,MATCH(F212,Diccionario!$C:$C,0)),"")</f>
        <v/>
      </c>
    </row>
    <row r="213" ht="14.25" customHeight="1" s="52">
      <c r="A213" t="inlineStr">
        <is>
          <t>2025-09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Administración</t>
        </is>
      </c>
      <c r="I213" t="n">
        <v>138000000</v>
      </c>
      <c r="J213" t="inlineStr">
        <is>
          <t>COP</t>
        </is>
      </c>
      <c r="L213">
        <f>IFERROR(INDEX(Diccionario!$B:$B,MATCH(F213,Diccionario!$C:$C,0)),"")</f>
        <v/>
      </c>
      <c r="M213">
        <f>IFERROR(INDEX(Diccionario!$H:$H,MATCH(F213,Diccionario!$C:$C,0)),"")</f>
        <v/>
      </c>
      <c r="N213">
        <f>IFERROR(INDEX(Diccionario!$N:$N,MATCH(F213,Diccionario!$C:$C,0)),"")</f>
        <v/>
      </c>
    </row>
    <row r="214" ht="14.25" customHeight="1" s="52">
      <c r="A214" t="inlineStr">
        <is>
          <t>2025-10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Financieros</t>
        </is>
      </c>
      <c r="I214" t="n">
        <v>10300000</v>
      </c>
      <c r="J214" t="inlineStr">
        <is>
          <t>COP</t>
        </is>
      </c>
      <c r="L214">
        <f>IFERROR(INDEX(Diccionario!$B:$B,MATCH(F214,Diccionario!$C:$C,0)),"")</f>
        <v/>
      </c>
      <c r="M214">
        <f>IFERROR(INDEX(Diccionario!$H:$H,MATCH(F214,Diccionario!$C:$C,0)),"")</f>
        <v/>
      </c>
      <c r="N214">
        <f>IFERROR(INDEX(Diccionario!$N:$N,MATCH(F214,Diccionario!$C:$C,0)),"")</f>
        <v/>
      </c>
    </row>
    <row r="215" ht="14.25" customHeight="1" s="52">
      <c r="A215" t="inlineStr">
        <is>
          <t>2025-10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TI</t>
        </is>
      </c>
      <c r="I215" t="n">
        <v>301900000</v>
      </c>
      <c r="J215" t="inlineStr">
        <is>
          <t>COP</t>
        </is>
      </c>
      <c r="L215">
        <f>IFERROR(INDEX(Diccionario!$B:$B,MATCH(F215,Diccionario!$C:$C,0)),"")</f>
        <v/>
      </c>
      <c r="M215">
        <f>IFERROR(INDEX(Diccionario!$H:$H,MATCH(F215,Diccionario!$C:$C,0)),"")</f>
        <v/>
      </c>
      <c r="N215">
        <f>IFERROR(INDEX(Diccionario!$N:$N,MATCH(F215,Diccionario!$C:$C,0)),"")</f>
        <v/>
      </c>
    </row>
    <row r="216" ht="14.25" customHeight="1" s="52">
      <c r="A216" t="inlineStr">
        <is>
          <t>2025-10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Proveedores</t>
        </is>
      </c>
      <c r="I216" t="n">
        <v>173000000</v>
      </c>
      <c r="J216" t="inlineStr">
        <is>
          <t>COP</t>
        </is>
      </c>
      <c r="L216">
        <f>IFERROR(INDEX(Diccionario!$B:$B,MATCH(F216,Diccionario!$C:$C,0)),"")</f>
        <v/>
      </c>
      <c r="M216">
        <f>IFERROR(INDEX(Diccionario!$H:$H,MATCH(F216,Diccionario!$C:$C,0)),"")</f>
        <v/>
      </c>
      <c r="N216">
        <f>IFERROR(INDEX(Diccionario!$N:$N,MATCH(F216,Diccionario!$C:$C,0)),"")</f>
        <v/>
      </c>
    </row>
    <row r="217" ht="14.25" customHeight="1" s="52">
      <c r="A217" t="inlineStr">
        <is>
          <t>2025-10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Comercial</t>
        </is>
      </c>
      <c r="I217" t="n">
        <v>165000000</v>
      </c>
      <c r="J217" t="inlineStr">
        <is>
          <t>COP</t>
        </is>
      </c>
      <c r="L217">
        <f>IFERROR(INDEX(Diccionario!$B:$B,MATCH(F217,Diccionario!$C:$C,0)),"")</f>
        <v/>
      </c>
      <c r="M217">
        <f>IFERROR(INDEX(Diccionario!$H:$H,MATCH(F217,Diccionario!$C:$C,0)),"")</f>
        <v/>
      </c>
      <c r="N217">
        <f>IFERROR(INDEX(Diccionario!$N:$N,MATCH(F217,Diccionario!$C:$C,0)),"")</f>
        <v/>
      </c>
    </row>
    <row r="218" ht="14.25" customHeight="1" s="52">
      <c r="A218" t="inlineStr">
        <is>
          <t>2025-10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Administración</t>
        </is>
      </c>
      <c r="I218" t="n">
        <v>127900000</v>
      </c>
      <c r="J218" t="inlineStr">
        <is>
          <t>COP</t>
        </is>
      </c>
      <c r="L218">
        <f>IFERROR(INDEX(Diccionario!$B:$B,MATCH(F218,Diccionario!$C:$C,0)),"")</f>
        <v/>
      </c>
      <c r="M218">
        <f>IFERROR(INDEX(Diccionario!$H:$H,MATCH(F218,Diccionario!$C:$C,0)),"")</f>
        <v/>
      </c>
      <c r="N218">
        <f>IFERROR(INDEX(Diccionario!$N:$N,MATCH(F218,Diccionario!$C:$C,0)),"")</f>
        <v/>
      </c>
    </row>
    <row r="219" ht="14.25" customHeight="1" s="52">
      <c r="A219" t="inlineStr">
        <is>
          <t>2025-11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Financieros</t>
        </is>
      </c>
      <c r="I219" t="n">
        <v>8200000</v>
      </c>
      <c r="J219" t="inlineStr">
        <is>
          <t>COP</t>
        </is>
      </c>
      <c r="L219">
        <f>IFERROR(INDEX(Diccionario!$B:$B,MATCH(F219,Diccionario!$C:$C,0)),"")</f>
        <v/>
      </c>
      <c r="M219">
        <f>IFERROR(INDEX(Diccionario!$H:$H,MATCH(F219,Diccionario!$C:$C,0)),"")</f>
        <v/>
      </c>
      <c r="N219">
        <f>IFERROR(INDEX(Diccionario!$N:$N,MATCH(F219,Diccionario!$C:$C,0)),"")</f>
        <v/>
      </c>
    </row>
    <row r="220" ht="14.25" customHeight="1" s="52">
      <c r="A220" t="inlineStr">
        <is>
          <t>2025-11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TI</t>
        </is>
      </c>
      <c r="I220" t="n">
        <v>261900000</v>
      </c>
      <c r="J220" t="inlineStr">
        <is>
          <t>COP</t>
        </is>
      </c>
      <c r="L220">
        <f>IFERROR(INDEX(Diccionario!$B:$B,MATCH(F220,Diccionario!$C:$C,0)),"")</f>
        <v/>
      </c>
      <c r="M220">
        <f>IFERROR(INDEX(Diccionario!$H:$H,MATCH(F220,Diccionario!$C:$C,0)),"")</f>
        <v/>
      </c>
      <c r="N220">
        <f>IFERROR(INDEX(Diccionario!$N:$N,MATCH(F220,Diccionario!$C:$C,0)),"")</f>
        <v/>
      </c>
    </row>
    <row r="221" ht="14.25" customHeight="1" s="52">
      <c r="A221" t="inlineStr">
        <is>
          <t>2025-11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Proveedores</t>
        </is>
      </c>
      <c r="I221" t="n">
        <v>277900000</v>
      </c>
      <c r="J221" t="inlineStr">
        <is>
          <t>COP</t>
        </is>
      </c>
      <c r="L221">
        <f>IFERROR(INDEX(Diccionario!$B:$B,MATCH(F221,Diccionario!$C:$C,0)),"")</f>
        <v/>
      </c>
      <c r="M221">
        <f>IFERROR(INDEX(Diccionario!$H:$H,MATCH(F221,Diccionario!$C:$C,0)),"")</f>
        <v/>
      </c>
      <c r="N221">
        <f>IFERROR(INDEX(Diccionario!$N:$N,MATCH(F221,Diccionario!$C:$C,0)),"")</f>
        <v/>
      </c>
    </row>
    <row r="222" ht="14.25" customHeight="1" s="52">
      <c r="A222" t="inlineStr">
        <is>
          <t>2025-11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Comercial</t>
        </is>
      </c>
      <c r="I222" t="n">
        <v>171300000</v>
      </c>
      <c r="J222" t="inlineStr">
        <is>
          <t>COP</t>
        </is>
      </c>
      <c r="L222">
        <f>IFERROR(INDEX(Diccionario!$B:$B,MATCH(F222,Diccionario!$C:$C,0)),"")</f>
        <v/>
      </c>
      <c r="M222">
        <f>IFERROR(INDEX(Diccionario!$H:$H,MATCH(F222,Diccionario!$C:$C,0)),"")</f>
        <v/>
      </c>
      <c r="N222">
        <f>IFERROR(INDEX(Diccionario!$N:$N,MATCH(F222,Diccionario!$C:$C,0)),"")</f>
        <v/>
      </c>
    </row>
    <row r="223" ht="14.25" customHeight="1" s="52">
      <c r="A223" t="inlineStr">
        <is>
          <t>2025-11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Administración</t>
        </is>
      </c>
      <c r="I223" t="n">
        <v>151500000</v>
      </c>
      <c r="J223" t="inlineStr">
        <is>
          <t>COP</t>
        </is>
      </c>
      <c r="L223">
        <f>IFERROR(INDEX(Diccionario!$B:$B,MATCH(F223,Diccionario!$C:$C,0)),"")</f>
        <v/>
      </c>
      <c r="M223">
        <f>IFERROR(INDEX(Diccionario!$H:$H,MATCH(F223,Diccionario!$C:$C,0)),"")</f>
        <v/>
      </c>
      <c r="N223">
        <f>IFERROR(INDEX(Diccionario!$N:$N,MATCH(F223,Diccionario!$C:$C,0)),"")</f>
        <v/>
      </c>
    </row>
    <row r="224" ht="14.25" customHeight="1" s="52">
      <c r="A224" t="inlineStr">
        <is>
          <t>2025-12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Financieros</t>
        </is>
      </c>
      <c r="I224" t="n">
        <v>13100000</v>
      </c>
      <c r="J224" t="inlineStr">
        <is>
          <t>COP</t>
        </is>
      </c>
      <c r="L224">
        <f>IFERROR(INDEX(Diccionario!$B:$B,MATCH(F224,Diccionario!$C:$C,0)),"")</f>
        <v/>
      </c>
      <c r="M224">
        <f>IFERROR(INDEX(Diccionario!$H:$H,MATCH(F224,Diccionario!$C:$C,0)),"")</f>
        <v/>
      </c>
      <c r="N224">
        <f>IFERROR(INDEX(Diccionario!$N:$N,MATCH(F224,Diccionario!$C:$C,0)),"")</f>
        <v/>
      </c>
    </row>
    <row r="225" ht="14.25" customHeight="1" s="52">
      <c r="A225" t="inlineStr">
        <is>
          <t>2025-12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TI</t>
        </is>
      </c>
      <c r="I225" t="n">
        <v>272200000</v>
      </c>
      <c r="J225" t="inlineStr">
        <is>
          <t>COP</t>
        </is>
      </c>
      <c r="L225">
        <f>IFERROR(INDEX(Diccionario!$B:$B,MATCH(F225,Diccionario!$C:$C,0)),"")</f>
        <v/>
      </c>
      <c r="M225">
        <f>IFERROR(INDEX(Diccionario!$H:$H,MATCH(F225,Diccionario!$C:$C,0)),"")</f>
        <v/>
      </c>
      <c r="N225">
        <f>IFERROR(INDEX(Diccionario!$N:$N,MATCH(F225,Diccionario!$C:$C,0)),"")</f>
        <v/>
      </c>
    </row>
    <row r="226" ht="14.25" customHeight="1" s="52">
      <c r="A226" t="inlineStr">
        <is>
          <t>2025-12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Proveedores</t>
        </is>
      </c>
      <c r="I226" t="n">
        <v>154700000</v>
      </c>
      <c r="J226" t="inlineStr">
        <is>
          <t>COP</t>
        </is>
      </c>
      <c r="L226">
        <f>IFERROR(INDEX(Diccionario!$B:$B,MATCH(F226,Diccionario!$C:$C,0)),"")</f>
        <v/>
      </c>
      <c r="M226">
        <f>IFERROR(INDEX(Diccionario!$H:$H,MATCH(F226,Diccionario!$C:$C,0)),"")</f>
        <v/>
      </c>
      <c r="N226">
        <f>IFERROR(INDEX(Diccionario!$N:$N,MATCH(F226,Diccionario!$C:$C,0)),"")</f>
        <v/>
      </c>
    </row>
    <row r="227" ht="14.25" customHeight="1" s="52">
      <c r="A227" t="inlineStr">
        <is>
          <t>2025-12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Comercial</t>
        </is>
      </c>
      <c r="I227" t="n">
        <v>194800000</v>
      </c>
      <c r="J227" t="inlineStr">
        <is>
          <t>COP</t>
        </is>
      </c>
      <c r="L227">
        <f>IFERROR(INDEX(Diccionario!$B:$B,MATCH(F227,Diccionario!$C:$C,0)),"")</f>
        <v/>
      </c>
      <c r="M227">
        <f>IFERROR(INDEX(Diccionario!$H:$H,MATCH(F227,Diccionario!$C:$C,0)),"")</f>
        <v/>
      </c>
      <c r="N227">
        <f>IFERROR(INDEX(Diccionario!$N:$N,MATCH(F227,Diccionario!$C:$C,0)),"")</f>
        <v/>
      </c>
    </row>
    <row r="228" ht="14.25" customHeight="1" s="52">
      <c r="A228" t="inlineStr">
        <is>
          <t>2025-12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Administración</t>
        </is>
      </c>
      <c r="I228" t="n">
        <v>83100000</v>
      </c>
      <c r="J228" t="inlineStr">
        <is>
          <t>COP</t>
        </is>
      </c>
      <c r="L228">
        <f>IFERROR(INDEX(Diccionario!$B:$B,MATCH(F228,Diccionario!$C:$C,0)),"")</f>
        <v/>
      </c>
      <c r="M228">
        <f>IFERROR(INDEX(Diccionario!$H:$H,MATCH(F228,Diccionario!$C:$C,0)),"")</f>
        <v/>
      </c>
      <c r="N228">
        <f>IFERROR(INDEX(Diccionario!$N:$N,MATCH(F228,Diccionario!$C:$C,0)),"")</f>
        <v/>
      </c>
    </row>
    <row r="229" ht="14.25" customHeight="1" s="52">
      <c r="A229" t="inlineStr">
        <is>
          <t>2026-01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Financieros</t>
        </is>
      </c>
      <c r="I229" t="n">
        <v>7000000</v>
      </c>
      <c r="J229" t="inlineStr">
        <is>
          <t>COP</t>
        </is>
      </c>
      <c r="L229">
        <f>IFERROR(INDEX(Diccionario!$B:$B,MATCH(F229,Diccionario!$C:$C,0)),"")</f>
        <v/>
      </c>
      <c r="M229">
        <f>IFERROR(INDEX(Diccionario!$H:$H,MATCH(F229,Diccionario!$C:$C,0)),"")</f>
        <v/>
      </c>
      <c r="N229">
        <f>IFERROR(INDEX(Diccionario!$N:$N,MATCH(F229,Diccionario!$C:$C,0)),"")</f>
        <v/>
      </c>
    </row>
    <row r="230" ht="14.25" customHeight="1" s="52">
      <c r="A230" t="inlineStr">
        <is>
          <t>2026-01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TI</t>
        </is>
      </c>
      <c r="I230" t="n">
        <v>244900000</v>
      </c>
      <c r="J230" t="inlineStr">
        <is>
          <t>COP</t>
        </is>
      </c>
      <c r="L230">
        <f>IFERROR(INDEX(Diccionario!$B:$B,MATCH(F230,Diccionario!$C:$C,0)),"")</f>
        <v/>
      </c>
      <c r="M230">
        <f>IFERROR(INDEX(Diccionario!$H:$H,MATCH(F230,Diccionario!$C:$C,0)),"")</f>
        <v/>
      </c>
      <c r="N230">
        <f>IFERROR(INDEX(Diccionario!$N:$N,MATCH(F230,Diccionario!$C:$C,0)),"")</f>
        <v/>
      </c>
    </row>
    <row r="231" ht="14.25" customHeight="1" s="52">
      <c r="A231" t="inlineStr">
        <is>
          <t>2026-01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Proveedores</t>
        </is>
      </c>
      <c r="I231" t="n">
        <v>66900000</v>
      </c>
      <c r="J231" t="inlineStr">
        <is>
          <t>COP</t>
        </is>
      </c>
      <c r="L231">
        <f>IFERROR(INDEX(Diccionario!$B:$B,MATCH(F231,Diccionario!$C:$C,0)),"")</f>
        <v/>
      </c>
      <c r="M231">
        <f>IFERROR(INDEX(Diccionario!$H:$H,MATCH(F231,Diccionario!$C:$C,0)),"")</f>
        <v/>
      </c>
      <c r="N231">
        <f>IFERROR(INDEX(Diccionario!$N:$N,MATCH(F231,Diccionario!$C:$C,0)),"")</f>
        <v/>
      </c>
    </row>
    <row r="232" ht="14.25" customHeight="1" s="52">
      <c r="A232" t="inlineStr">
        <is>
          <t>2026-01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Comercial</t>
        </is>
      </c>
      <c r="I232" t="n">
        <v>131600000</v>
      </c>
      <c r="J232" t="inlineStr">
        <is>
          <t>COP</t>
        </is>
      </c>
      <c r="L232">
        <f>IFERROR(INDEX(Diccionario!$B:$B,MATCH(F232,Diccionario!$C:$C,0)),"")</f>
        <v/>
      </c>
      <c r="M232">
        <f>IFERROR(INDEX(Diccionario!$H:$H,MATCH(F232,Diccionario!$C:$C,0)),"")</f>
        <v/>
      </c>
      <c r="N232">
        <f>IFERROR(INDEX(Diccionario!$N:$N,MATCH(F232,Diccionario!$C:$C,0)),"")</f>
        <v/>
      </c>
    </row>
    <row r="233" ht="14.25" customHeight="1" s="52">
      <c r="A233" t="inlineStr">
        <is>
          <t>2026-01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Administración</t>
        </is>
      </c>
      <c r="I233" t="n">
        <v>98700000</v>
      </c>
      <c r="J233" t="inlineStr">
        <is>
          <t>COP</t>
        </is>
      </c>
      <c r="L233">
        <f>IFERROR(INDEX(Diccionario!$B:$B,MATCH(F233,Diccionario!$C:$C,0)),"")</f>
        <v/>
      </c>
      <c r="M233">
        <f>IFERROR(INDEX(Diccionario!$H:$H,MATCH(F233,Diccionario!$C:$C,0)),"")</f>
        <v/>
      </c>
      <c r="N233">
        <f>IFERROR(INDEX(Diccionario!$N:$N,MATCH(F233,Diccionario!$C:$C,0)),"")</f>
        <v/>
      </c>
    </row>
    <row r="234" ht="14.25" customHeight="1" s="52">
      <c r="A234" t="inlineStr">
        <is>
          <t>2026-02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Financieros</t>
        </is>
      </c>
      <c r="I234" t="n">
        <v>5500000</v>
      </c>
      <c r="J234" t="inlineStr">
        <is>
          <t>COP</t>
        </is>
      </c>
      <c r="L234">
        <f>IFERROR(INDEX(Diccionario!$B:$B,MATCH(F234,Diccionario!$C:$C,0)),"")</f>
        <v/>
      </c>
      <c r="M234">
        <f>IFERROR(INDEX(Diccionario!$H:$H,MATCH(F234,Diccionario!$C:$C,0)),"")</f>
        <v/>
      </c>
      <c r="N234">
        <f>IFERROR(INDEX(Diccionario!$N:$N,MATCH(F234,Diccionario!$C:$C,0)),"")</f>
        <v/>
      </c>
    </row>
    <row r="235" ht="14.25" customHeight="1" s="52">
      <c r="A235" t="inlineStr">
        <is>
          <t>2026-02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TI</t>
        </is>
      </c>
      <c r="I235" t="n">
        <v>241100000</v>
      </c>
      <c r="J235" t="inlineStr">
        <is>
          <t>COP</t>
        </is>
      </c>
      <c r="L235">
        <f>IFERROR(INDEX(Diccionario!$B:$B,MATCH(F235,Diccionario!$C:$C,0)),"")</f>
        <v/>
      </c>
      <c r="M235">
        <f>IFERROR(INDEX(Diccionario!$H:$H,MATCH(F235,Diccionario!$C:$C,0)),"")</f>
        <v/>
      </c>
      <c r="N235">
        <f>IFERROR(INDEX(Diccionario!$N:$N,MATCH(F235,Diccionario!$C:$C,0)),"")</f>
        <v/>
      </c>
    </row>
    <row r="236" ht="14.25" customHeight="1" s="52">
      <c r="A236" t="inlineStr">
        <is>
          <t>2026-02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Proveedores</t>
        </is>
      </c>
      <c r="I236" t="n">
        <v>177700000</v>
      </c>
      <c r="J236" t="inlineStr">
        <is>
          <t>COP</t>
        </is>
      </c>
      <c r="L236">
        <f>IFERROR(INDEX(Diccionario!$B:$B,MATCH(F236,Diccionario!$C:$C,0)),"")</f>
        <v/>
      </c>
      <c r="M236">
        <f>IFERROR(INDEX(Diccionario!$H:$H,MATCH(F236,Diccionario!$C:$C,0)),"")</f>
        <v/>
      </c>
      <c r="N236">
        <f>IFERROR(INDEX(Diccionario!$N:$N,MATCH(F236,Diccionario!$C:$C,0)),"")</f>
        <v/>
      </c>
    </row>
    <row r="237" ht="14.25" customHeight="1" s="52">
      <c r="A237" t="inlineStr">
        <is>
          <t>2026-02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Comercial</t>
        </is>
      </c>
      <c r="I237" t="n">
        <v>159500000</v>
      </c>
      <c r="J237" t="inlineStr">
        <is>
          <t>COP</t>
        </is>
      </c>
      <c r="L237">
        <f>IFERROR(INDEX(Diccionario!$B:$B,MATCH(F237,Diccionario!$C:$C,0)),"")</f>
        <v/>
      </c>
      <c r="M237">
        <f>IFERROR(INDEX(Diccionario!$H:$H,MATCH(F237,Diccionario!$C:$C,0)),"")</f>
        <v/>
      </c>
      <c r="N237">
        <f>IFERROR(INDEX(Diccionario!$N:$N,MATCH(F237,Diccionario!$C:$C,0)),"")</f>
        <v/>
      </c>
    </row>
    <row r="238" ht="14.25" customHeight="1" s="52">
      <c r="A238" t="inlineStr">
        <is>
          <t>2026-02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Administración</t>
        </is>
      </c>
      <c r="I238" t="n">
        <v>105600000</v>
      </c>
      <c r="J238" t="inlineStr">
        <is>
          <t>COP</t>
        </is>
      </c>
      <c r="L238">
        <f>IFERROR(INDEX(Diccionario!$B:$B,MATCH(F238,Diccionario!$C:$C,0)),"")</f>
        <v/>
      </c>
      <c r="M238">
        <f>IFERROR(INDEX(Diccionario!$H:$H,MATCH(F238,Diccionario!$C:$C,0)),"")</f>
        <v/>
      </c>
      <c r="N238">
        <f>IFERROR(INDEX(Diccionario!$N:$N,MATCH(F238,Diccionario!$C:$C,0)),"")</f>
        <v/>
      </c>
    </row>
    <row r="239" ht="14.25" customHeight="1" s="52">
      <c r="A239" t="inlineStr">
        <is>
          <t>2026-03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Financieros</t>
        </is>
      </c>
      <c r="I239" t="n">
        <v>5400000</v>
      </c>
      <c r="J239" t="inlineStr">
        <is>
          <t>COP</t>
        </is>
      </c>
      <c r="L239">
        <f>IFERROR(INDEX(Diccionario!$B:$B,MATCH(F239,Diccionario!$C:$C,0)),"")</f>
        <v/>
      </c>
      <c r="M239">
        <f>IFERROR(INDEX(Diccionario!$H:$H,MATCH(F239,Diccionario!$C:$C,0)),"")</f>
        <v/>
      </c>
      <c r="N239">
        <f>IFERROR(INDEX(Diccionario!$N:$N,MATCH(F239,Diccionario!$C:$C,0)),"")</f>
        <v/>
      </c>
    </row>
    <row r="240" ht="14.25" customHeight="1" s="52">
      <c r="A240" t="inlineStr">
        <is>
          <t>2026-03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TI</t>
        </is>
      </c>
      <c r="I240" t="n">
        <v>248000000</v>
      </c>
      <c r="J240" t="inlineStr">
        <is>
          <t>COP</t>
        </is>
      </c>
      <c r="L240">
        <f>IFERROR(INDEX(Diccionario!$B:$B,MATCH(F240,Diccionario!$C:$C,0)),"")</f>
        <v/>
      </c>
      <c r="M240">
        <f>IFERROR(INDEX(Diccionario!$H:$H,MATCH(F240,Diccionario!$C:$C,0)),"")</f>
        <v/>
      </c>
      <c r="N240">
        <f>IFERROR(INDEX(Diccionario!$N:$N,MATCH(F240,Diccionario!$C:$C,0)),"")</f>
        <v/>
      </c>
    </row>
    <row r="241" ht="14.25" customHeight="1" s="52">
      <c r="A241" t="inlineStr">
        <is>
          <t>2026-03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Proveedores</t>
        </is>
      </c>
      <c r="I241" t="n">
        <v>274600000</v>
      </c>
      <c r="J241" t="inlineStr">
        <is>
          <t>COP</t>
        </is>
      </c>
      <c r="L241">
        <f>IFERROR(INDEX(Diccionario!$B:$B,MATCH(F241,Diccionario!$C:$C,0)),"")</f>
        <v/>
      </c>
      <c r="M241">
        <f>IFERROR(INDEX(Diccionario!$H:$H,MATCH(F241,Diccionario!$C:$C,0)),"")</f>
        <v/>
      </c>
      <c r="N241">
        <f>IFERROR(INDEX(Diccionario!$N:$N,MATCH(F241,Diccionario!$C:$C,0)),"")</f>
        <v/>
      </c>
    </row>
    <row r="242" ht="14.25" customHeight="1" s="52">
      <c r="A242" t="inlineStr">
        <is>
          <t>2026-03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gasto_area</t>
        </is>
      </c>
      <c r="H242" t="inlineStr">
        <is>
          <t>Comercial</t>
        </is>
      </c>
      <c r="I242" t="n">
        <v>144000000</v>
      </c>
      <c r="J242" t="inlineStr">
        <is>
          <t>COP</t>
        </is>
      </c>
      <c r="L242">
        <f>IFERROR(INDEX(Diccionario!$B:$B,MATCH(F242,Diccionario!$C:$C,0)),"")</f>
        <v/>
      </c>
      <c r="M242">
        <f>IFERROR(INDEX(Diccionario!$H:$H,MATCH(F242,Diccionario!$C:$C,0)),"")</f>
        <v/>
      </c>
      <c r="N242">
        <f>IFERROR(INDEX(Diccionario!$N:$N,MATCH(F242,Diccionario!$C:$C,0)),"")</f>
        <v/>
      </c>
    </row>
    <row r="243" ht="14.25" customHeight="1" s="52">
      <c r="A243" t="inlineStr">
        <is>
          <t>2026-03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gasto_area</t>
        </is>
      </c>
      <c r="H243" t="inlineStr">
        <is>
          <t>Administración</t>
        </is>
      </c>
      <c r="I243" t="n">
        <v>134400000</v>
      </c>
      <c r="J243" t="inlineStr">
        <is>
          <t>COP</t>
        </is>
      </c>
      <c r="L243">
        <f>IFERROR(INDEX(Diccionario!$B:$B,MATCH(F243,Diccionario!$C:$C,0)),"")</f>
        <v/>
      </c>
      <c r="M243">
        <f>IFERROR(INDEX(Diccionario!$H:$H,MATCH(F243,Diccionario!$C:$C,0)),"")</f>
        <v/>
      </c>
      <c r="N243">
        <f>IFERROR(INDEX(Diccionario!$N:$N,MATCH(F243,Diccionario!$C:$C,0)),"")</f>
        <v/>
      </c>
    </row>
    <row r="244" ht="14.25" customHeight="1" s="52">
      <c r="A244" t="inlineStr">
        <is>
          <t>2026-04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gasto_area</t>
        </is>
      </c>
      <c r="H244" t="inlineStr">
        <is>
          <t>Financieros</t>
        </is>
      </c>
      <c r="I244" t="n">
        <v>5000000</v>
      </c>
      <c r="J244" t="inlineStr">
        <is>
          <t>COP</t>
        </is>
      </c>
      <c r="L244">
        <f>IFERROR(INDEX(Diccionario!$B:$B,MATCH(F244,Diccionario!$C:$C,0)),"")</f>
        <v/>
      </c>
      <c r="M244">
        <f>IFERROR(INDEX(Diccionario!$H:$H,MATCH(F244,Diccionario!$C:$C,0)),"")</f>
        <v/>
      </c>
      <c r="N244">
        <f>IFERROR(INDEX(Diccionario!$N:$N,MATCH(F244,Diccionario!$C:$C,0)),"")</f>
        <v/>
      </c>
    </row>
    <row r="245" ht="14.25" customHeight="1" s="52">
      <c r="A245" t="inlineStr">
        <is>
          <t>2026-04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gasto_area</t>
        </is>
      </c>
      <c r="H245" t="inlineStr">
        <is>
          <t>TI</t>
        </is>
      </c>
      <c r="I245" t="n">
        <v>311400000</v>
      </c>
      <c r="J245" t="inlineStr">
        <is>
          <t>COP</t>
        </is>
      </c>
      <c r="L245">
        <f>IFERROR(INDEX(Diccionario!$B:$B,MATCH(F245,Diccionario!$C:$C,0)),"")</f>
        <v/>
      </c>
      <c r="M245">
        <f>IFERROR(INDEX(Diccionario!$H:$H,MATCH(F245,Diccionario!$C:$C,0)),"")</f>
        <v/>
      </c>
      <c r="N245">
        <f>IFERROR(INDEX(Diccionario!$N:$N,MATCH(F245,Diccionario!$C:$C,0)),"")</f>
        <v/>
      </c>
    </row>
    <row r="246" ht="14.25" customHeight="1" s="52">
      <c r="A246" t="inlineStr">
        <is>
          <t>2026-04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gasto_area</t>
        </is>
      </c>
      <c r="H246" t="inlineStr">
        <is>
          <t>Proveedores</t>
        </is>
      </c>
      <c r="I246" t="n">
        <v>194000000</v>
      </c>
      <c r="J246" t="inlineStr">
        <is>
          <t>COP</t>
        </is>
      </c>
      <c r="L246">
        <f>IFERROR(INDEX(Diccionario!$B:$B,MATCH(F246,Diccionario!$C:$C,0)),"")</f>
        <v/>
      </c>
      <c r="M246">
        <f>IFERROR(INDEX(Diccionario!$H:$H,MATCH(F246,Diccionario!$C:$C,0)),"")</f>
        <v/>
      </c>
      <c r="N246">
        <f>IFERROR(INDEX(Diccionario!$N:$N,MATCH(F246,Diccionario!$C:$C,0)),"")</f>
        <v/>
      </c>
    </row>
    <row r="247" ht="14.25" customHeight="1" s="52">
      <c r="A247" t="inlineStr">
        <is>
          <t>2026-04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gasto_area</t>
        </is>
      </c>
      <c r="H247" t="inlineStr">
        <is>
          <t>Comercial</t>
        </is>
      </c>
      <c r="I247" t="n">
        <v>130200000</v>
      </c>
      <c r="J247" t="inlineStr">
        <is>
          <t>COP</t>
        </is>
      </c>
      <c r="L247">
        <f>IFERROR(INDEX(Diccionario!$B:$B,MATCH(F247,Diccionario!$C:$C,0)),"")</f>
        <v/>
      </c>
      <c r="M247">
        <f>IFERROR(INDEX(Diccionario!$H:$H,MATCH(F247,Diccionario!$C:$C,0)),"")</f>
        <v/>
      </c>
      <c r="N247">
        <f>IFERROR(INDEX(Diccionario!$N:$N,MATCH(F247,Diccionario!$C:$C,0)),"")</f>
        <v/>
      </c>
    </row>
    <row r="248" ht="14.25" customHeight="1" s="52">
      <c r="A248" t="inlineStr">
        <is>
          <t>2026-04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gasto_area</t>
        </is>
      </c>
      <c r="H248" t="inlineStr">
        <is>
          <t>Administración</t>
        </is>
      </c>
      <c r="I248" t="n">
        <v>114200000</v>
      </c>
      <c r="J248" t="inlineStr">
        <is>
          <t>COP</t>
        </is>
      </c>
      <c r="L248">
        <f>IFERROR(INDEX(Diccionario!$B:$B,MATCH(F248,Diccionario!$C:$C,0)),"")</f>
        <v/>
      </c>
      <c r="M248">
        <f>IFERROR(INDEX(Diccionario!$H:$H,MATCH(F248,Diccionario!$C:$C,0)),"")</f>
        <v/>
      </c>
      <c r="N248">
        <f>IFERROR(INDEX(Diccionario!$N:$N,MATCH(F248,Diccionario!$C:$C,0)),"")</f>
        <v/>
      </c>
    </row>
    <row r="249" ht="14.25" customHeight="1" s="52">
      <c r="A249" t="inlineStr">
        <is>
          <t>2026-05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gasto_area</t>
        </is>
      </c>
      <c r="H249" t="inlineStr">
        <is>
          <t>Financieros</t>
        </is>
      </c>
      <c r="I249" t="n">
        <v>6000000</v>
      </c>
      <c r="J249" t="inlineStr">
        <is>
          <t>COP</t>
        </is>
      </c>
      <c r="L249">
        <f>IFERROR(INDEX(Diccionario!$B:$B,MATCH(F249,Diccionario!$C:$C,0)),"")</f>
        <v/>
      </c>
      <c r="M249">
        <f>IFERROR(INDEX(Diccionario!$H:$H,MATCH(F249,Diccionario!$C:$C,0)),"")</f>
        <v/>
      </c>
      <c r="N249">
        <f>IFERROR(INDEX(Diccionario!$N:$N,MATCH(F249,Diccionario!$C:$C,0)),"")</f>
        <v/>
      </c>
    </row>
    <row r="250" ht="14.25" customHeight="1" s="52">
      <c r="A250" t="inlineStr">
        <is>
          <t>2026-05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gasto_area</t>
        </is>
      </c>
      <c r="H250" t="inlineStr">
        <is>
          <t>TI</t>
        </is>
      </c>
      <c r="I250" t="n">
        <v>289900000</v>
      </c>
      <c r="J250" t="inlineStr">
        <is>
          <t>COP</t>
        </is>
      </c>
      <c r="L250">
        <f>IFERROR(INDEX(Diccionario!$B:$B,MATCH(F250,Diccionario!$C:$C,0)),"")</f>
        <v/>
      </c>
      <c r="M250">
        <f>IFERROR(INDEX(Diccionario!$H:$H,MATCH(F250,Diccionario!$C:$C,0)),"")</f>
        <v/>
      </c>
      <c r="N250">
        <f>IFERROR(INDEX(Diccionario!$N:$N,MATCH(F250,Diccionario!$C:$C,0)),"")</f>
        <v/>
      </c>
    </row>
    <row r="251" ht="14.25" customHeight="1" s="52">
      <c r="A251" t="inlineStr">
        <is>
          <t>2026-05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gasto_area</t>
        </is>
      </c>
      <c r="H251" t="inlineStr">
        <is>
          <t>Proveedores</t>
        </is>
      </c>
      <c r="I251" t="n">
        <v>186500000</v>
      </c>
      <c r="J251" t="inlineStr">
        <is>
          <t>COP</t>
        </is>
      </c>
      <c r="L251">
        <f>IFERROR(INDEX(Diccionario!$B:$B,MATCH(F251,Diccionario!$C:$C,0)),"")</f>
        <v/>
      </c>
      <c r="M251">
        <f>IFERROR(INDEX(Diccionario!$H:$H,MATCH(F251,Diccionario!$C:$C,0)),"")</f>
        <v/>
      </c>
      <c r="N251">
        <f>IFERROR(INDEX(Diccionario!$N:$N,MATCH(F251,Diccionario!$C:$C,0)),"")</f>
        <v/>
      </c>
    </row>
    <row r="252" ht="14.25" customHeight="1" s="52">
      <c r="A252" t="inlineStr">
        <is>
          <t>2026-05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gasto_area</t>
        </is>
      </c>
      <c r="H252" t="inlineStr">
        <is>
          <t>Comercial</t>
        </is>
      </c>
      <c r="I252" t="n">
        <v>120200000</v>
      </c>
      <c r="J252" t="inlineStr">
        <is>
          <t>COP</t>
        </is>
      </c>
      <c r="L252">
        <f>IFERROR(INDEX(Diccionario!$B:$B,MATCH(F252,Diccionario!$C:$C,0)),"")</f>
        <v/>
      </c>
      <c r="M252">
        <f>IFERROR(INDEX(Diccionario!$H:$H,MATCH(F252,Diccionario!$C:$C,0)),"")</f>
        <v/>
      </c>
      <c r="N252">
        <f>IFERROR(INDEX(Diccionario!$N:$N,MATCH(F252,Diccionario!$C:$C,0)),"")</f>
        <v/>
      </c>
    </row>
    <row r="253" ht="14.25" customHeight="1" s="52">
      <c r="A253" t="inlineStr">
        <is>
          <t>2026-05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gasto_area</t>
        </is>
      </c>
      <c r="H253" t="inlineStr">
        <is>
          <t>Administración</t>
        </is>
      </c>
      <c r="I253" t="n">
        <v>116800000</v>
      </c>
      <c r="J253" t="inlineStr">
        <is>
          <t>COP</t>
        </is>
      </c>
      <c r="L253">
        <f>IFERROR(INDEX(Diccionario!$B:$B,MATCH(F253,Diccionario!$C:$C,0)),"")</f>
        <v/>
      </c>
      <c r="M253">
        <f>IFERROR(INDEX(Diccionario!$H:$H,MATCH(F253,Diccionario!$C:$C,0)),"")</f>
        <v/>
      </c>
      <c r="N253">
        <f>IFERROR(INDEX(Diccionario!$N:$N,MATCH(F253,Diccionario!$C:$C,0)),"")</f>
        <v/>
      </c>
    </row>
    <row r="254" ht="14.25" customHeight="1" s="52">
      <c r="A254" t="inlineStr">
        <is>
          <t>2024-01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Personal</t>
        </is>
      </c>
      <c r="I254" t="n">
        <v>43000000</v>
      </c>
      <c r="J254" t="inlineStr">
        <is>
          <t>COP</t>
        </is>
      </c>
      <c r="L254">
        <f>IFERROR(INDEX(Diccionario!$B:$B,MATCH(F254,Diccionario!$C:$C,0)),"")</f>
        <v/>
      </c>
      <c r="M254">
        <f>IFERROR(INDEX(Diccionario!$H:$H,MATCH(F254,Diccionario!$C:$C,0)),"")</f>
        <v/>
      </c>
      <c r="N254">
        <f>IFERROR(INDEX(Diccionario!$N:$N,MATCH(F254,Diccionario!$C:$C,0)),"")</f>
        <v/>
      </c>
    </row>
    <row r="255" ht="14.25" customHeight="1" s="52">
      <c r="A255" t="inlineStr">
        <is>
          <t>2024-01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14000000</v>
      </c>
      <c r="J255" t="inlineStr">
        <is>
          <t>COP</t>
        </is>
      </c>
      <c r="L255">
        <f>IFERROR(INDEX(Diccionario!$B:$B,MATCH(F255,Diccionario!$C:$C,0)),"")</f>
        <v/>
      </c>
      <c r="M255">
        <f>IFERROR(INDEX(Diccionario!$H:$H,MATCH(F255,Diccionario!$C:$C,0)),"")</f>
        <v/>
      </c>
      <c r="N255">
        <f>IFERROR(INDEX(Diccionario!$N:$N,MATCH(F255,Diccionario!$C:$C,0)),"")</f>
        <v/>
      </c>
    </row>
    <row r="256" ht="14.25" customHeight="1" s="52">
      <c r="A256" t="inlineStr">
        <is>
          <t>2024-01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Arrendamiento</t>
        </is>
      </c>
      <c r="I256" t="n">
        <v>22000000</v>
      </c>
      <c r="J256" t="inlineStr">
        <is>
          <t>COP</t>
        </is>
      </c>
      <c r="L256">
        <f>IFERROR(INDEX(Diccionario!$B:$B,MATCH(F256,Diccionario!$C:$C,0)),"")</f>
        <v/>
      </c>
      <c r="M256">
        <f>IFERROR(INDEX(Diccionario!$H:$H,MATCH(F256,Diccionario!$C:$C,0)),"")</f>
        <v/>
      </c>
      <c r="N256">
        <f>IFERROR(INDEX(Diccionario!$N:$N,MATCH(F256,Diccionario!$C:$C,0)),"")</f>
        <v/>
      </c>
    </row>
    <row r="257" ht="14.25" customHeight="1" s="52">
      <c r="A257" t="inlineStr">
        <is>
          <t>2024-01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>
        <f>IFERROR(INDEX(Diccionario!$B:$B,MATCH(F257,Diccionario!$C:$C,0)),"")</f>
        <v/>
      </c>
      <c r="M257">
        <f>IFERROR(INDEX(Diccionario!$H:$H,MATCH(F257,Diccionario!$C:$C,0)),"")</f>
        <v/>
      </c>
      <c r="N257">
        <f>IFERROR(INDEX(Diccionario!$N:$N,MATCH(F257,Diccionario!$C:$C,0)),"")</f>
        <v/>
      </c>
    </row>
    <row r="258" ht="14.25" customHeight="1" s="52">
      <c r="A258" t="inlineStr">
        <is>
          <t>2024-01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6000000</v>
      </c>
      <c r="J258" t="inlineStr">
        <is>
          <t>COP</t>
        </is>
      </c>
      <c r="L258">
        <f>IFERROR(INDEX(Diccionario!$B:$B,MATCH(F258,Diccionario!$C:$C,0)),"")</f>
        <v/>
      </c>
      <c r="M258">
        <f>IFERROR(INDEX(Diccionario!$H:$H,MATCH(F258,Diccionario!$C:$C,0)),"")</f>
        <v/>
      </c>
      <c r="N258">
        <f>IFERROR(INDEX(Diccionario!$N:$N,MATCH(F258,Diccionario!$C:$C,0)),"")</f>
        <v/>
      </c>
    </row>
    <row r="259" ht="14.25" customHeight="1" s="52">
      <c r="A259" t="inlineStr">
        <is>
          <t>2024-01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20000000</v>
      </c>
      <c r="J259" t="inlineStr">
        <is>
          <t>COP</t>
        </is>
      </c>
      <c r="L259">
        <f>IFERROR(INDEX(Diccionario!$B:$B,MATCH(F259,Diccionario!$C:$C,0)),"")</f>
        <v/>
      </c>
      <c r="M259">
        <f>IFERROR(INDEX(Diccionario!$H:$H,MATCH(F259,Diccionario!$C:$C,0)),"")</f>
        <v/>
      </c>
      <c r="N259">
        <f>IFERROR(INDEX(Diccionario!$N:$N,MATCH(F259,Diccionario!$C:$C,0)),"")</f>
        <v/>
      </c>
    </row>
    <row r="260" ht="14.25" customHeight="1" s="52">
      <c r="A260" t="inlineStr">
        <is>
          <t>2024-01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Diversos</t>
        </is>
      </c>
      <c r="I260" t="n">
        <v>3000000</v>
      </c>
      <c r="J260" t="inlineStr">
        <is>
          <t>COP</t>
        </is>
      </c>
      <c r="L260">
        <f>IFERROR(INDEX(Diccionario!$B:$B,MATCH(F260,Diccionario!$C:$C,0)),"")</f>
        <v/>
      </c>
      <c r="M260">
        <f>IFERROR(INDEX(Diccionario!$H:$H,MATCH(F260,Diccionario!$C:$C,0)),"")</f>
        <v/>
      </c>
      <c r="N260">
        <f>IFERROR(INDEX(Diccionario!$N:$N,MATCH(F260,Diccionario!$C:$C,0)),"")</f>
        <v/>
      </c>
    </row>
    <row r="261" ht="14.25" customHeight="1" s="52">
      <c r="A261" t="inlineStr">
        <is>
          <t>2024-02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Personal</t>
        </is>
      </c>
      <c r="I261" t="n">
        <v>44000000</v>
      </c>
      <c r="J261" t="inlineStr">
        <is>
          <t>COP</t>
        </is>
      </c>
      <c r="L261">
        <f>IFERROR(INDEX(Diccionario!$B:$B,MATCH(F261,Diccionario!$C:$C,0)),"")</f>
        <v/>
      </c>
      <c r="M261">
        <f>IFERROR(INDEX(Diccionario!$H:$H,MATCH(F261,Diccionario!$C:$C,0)),"")</f>
        <v/>
      </c>
      <c r="N261">
        <f>IFERROR(INDEX(Diccionario!$N:$N,MATCH(F261,Diccionario!$C:$C,0)),"")</f>
        <v/>
      </c>
    </row>
    <row r="262" ht="14.25" customHeight="1" s="52">
      <c r="A262" t="inlineStr">
        <is>
          <t>2024-02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Honorarios</t>
        </is>
      </c>
      <c r="I262" t="n">
        <v>16000000</v>
      </c>
      <c r="J262" t="inlineStr">
        <is>
          <t>COP</t>
        </is>
      </c>
      <c r="L262">
        <f>IFERROR(INDEX(Diccionario!$B:$B,MATCH(F262,Diccionario!$C:$C,0)),"")</f>
        <v/>
      </c>
      <c r="M262">
        <f>IFERROR(INDEX(Diccionario!$H:$H,MATCH(F262,Diccionario!$C:$C,0)),"")</f>
        <v/>
      </c>
      <c r="N262">
        <f>IFERROR(INDEX(Diccionario!$N:$N,MATCH(F262,Diccionario!$C:$C,0)),"")</f>
        <v/>
      </c>
    </row>
    <row r="263" ht="14.25" customHeight="1" s="52">
      <c r="A263" t="inlineStr">
        <is>
          <t>2024-02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Arrendamiento</t>
        </is>
      </c>
      <c r="I263" t="n">
        <v>22000000</v>
      </c>
      <c r="J263" t="inlineStr">
        <is>
          <t>COP</t>
        </is>
      </c>
      <c r="L263">
        <f>IFERROR(INDEX(Diccionario!$B:$B,MATCH(F263,Diccionario!$C:$C,0)),"")</f>
        <v/>
      </c>
      <c r="M263">
        <f>IFERROR(INDEX(Diccionario!$H:$H,MATCH(F263,Diccionario!$C:$C,0)),"")</f>
        <v/>
      </c>
      <c r="N263">
        <f>IFERROR(INDEX(Diccionario!$N:$N,MATCH(F263,Diccionario!$C:$C,0)),"")</f>
        <v/>
      </c>
    </row>
    <row r="264" ht="14.25" customHeight="1" s="52">
      <c r="A264" t="inlineStr">
        <is>
          <t>2024-02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Seguros</t>
        </is>
      </c>
      <c r="I264" t="n">
        <v>2000000</v>
      </c>
      <c r="J264" t="inlineStr">
        <is>
          <t>COP</t>
        </is>
      </c>
      <c r="L264">
        <f>IFERROR(INDEX(Diccionario!$B:$B,MATCH(F264,Diccionario!$C:$C,0)),"")</f>
        <v/>
      </c>
      <c r="M264">
        <f>IFERROR(INDEX(Diccionario!$H:$H,MATCH(F264,Diccionario!$C:$C,0)),"")</f>
        <v/>
      </c>
      <c r="N264">
        <f>IFERROR(INDEX(Diccionario!$N:$N,MATCH(F264,Diccionario!$C:$C,0)),"")</f>
        <v/>
      </c>
    </row>
    <row r="265" ht="14.25" customHeight="1" s="52">
      <c r="A265" t="inlineStr">
        <is>
          <t>2024-02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Servicios</t>
        </is>
      </c>
      <c r="I265" t="n">
        <v>6000000</v>
      </c>
      <c r="J265" t="inlineStr">
        <is>
          <t>COP</t>
        </is>
      </c>
      <c r="L265">
        <f>IFERROR(INDEX(Diccionario!$B:$B,MATCH(F265,Diccionario!$C:$C,0)),"")</f>
        <v/>
      </c>
      <c r="M265">
        <f>IFERROR(INDEX(Diccionario!$H:$H,MATCH(F265,Diccionario!$C:$C,0)),"")</f>
        <v/>
      </c>
      <c r="N265">
        <f>IFERROR(INDEX(Diccionario!$N:$N,MATCH(F265,Diccionario!$C:$C,0)),"")</f>
        <v/>
      </c>
    </row>
    <row r="266" ht="14.25" customHeight="1" s="52">
      <c r="A266" t="inlineStr">
        <is>
          <t>2024-02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Viajes</t>
        </is>
      </c>
      <c r="I266" t="n">
        <v>24000000</v>
      </c>
      <c r="J266" t="inlineStr">
        <is>
          <t>COP</t>
        </is>
      </c>
      <c r="L266">
        <f>IFERROR(INDEX(Diccionario!$B:$B,MATCH(F266,Diccionario!$C:$C,0)),"")</f>
        <v/>
      </c>
      <c r="M266">
        <f>IFERROR(INDEX(Diccionario!$H:$H,MATCH(F266,Diccionario!$C:$C,0)),"")</f>
        <v/>
      </c>
      <c r="N266">
        <f>IFERROR(INDEX(Diccionario!$N:$N,MATCH(F266,Diccionario!$C:$C,0)),"")</f>
        <v/>
      </c>
    </row>
    <row r="267" ht="14.25" customHeight="1" s="52">
      <c r="A267" t="inlineStr">
        <is>
          <t>2024-02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Diversos</t>
        </is>
      </c>
      <c r="I267" t="n">
        <v>2000000</v>
      </c>
      <c r="J267" t="inlineStr">
        <is>
          <t>COP</t>
        </is>
      </c>
      <c r="L267">
        <f>IFERROR(INDEX(Diccionario!$B:$B,MATCH(F267,Diccionario!$C:$C,0)),"")</f>
        <v/>
      </c>
      <c r="M267">
        <f>IFERROR(INDEX(Diccionario!$H:$H,MATCH(F267,Diccionario!$C:$C,0)),"")</f>
        <v/>
      </c>
      <c r="N267">
        <f>IFERROR(INDEX(Diccionario!$N:$N,MATCH(F267,Diccionario!$C:$C,0)),"")</f>
        <v/>
      </c>
    </row>
    <row r="268" ht="14.25" customHeight="1" s="52">
      <c r="A268" t="inlineStr">
        <is>
          <t>2024-03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Personal</t>
        </is>
      </c>
      <c r="I268" t="n">
        <v>69000000</v>
      </c>
      <c r="J268" t="inlineStr">
        <is>
          <t>COP</t>
        </is>
      </c>
      <c r="L268">
        <f>IFERROR(INDEX(Diccionario!$B:$B,MATCH(F268,Diccionario!$C:$C,0)),"")</f>
        <v/>
      </c>
      <c r="M268">
        <f>IFERROR(INDEX(Diccionario!$H:$H,MATCH(F268,Diccionario!$C:$C,0)),"")</f>
        <v/>
      </c>
      <c r="N268">
        <f>IFERROR(INDEX(Diccionario!$N:$N,MATCH(F268,Diccionario!$C:$C,0)),"")</f>
        <v/>
      </c>
    </row>
    <row r="269" ht="14.25" customHeight="1" s="52">
      <c r="A269" t="inlineStr">
        <is>
          <t>2024-03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Honorarios</t>
        </is>
      </c>
      <c r="I269" t="n">
        <v>18000000</v>
      </c>
      <c r="J269" t="inlineStr">
        <is>
          <t>COP</t>
        </is>
      </c>
      <c r="L269">
        <f>IFERROR(INDEX(Diccionario!$B:$B,MATCH(F269,Diccionario!$C:$C,0)),"")</f>
        <v/>
      </c>
      <c r="M269">
        <f>IFERROR(INDEX(Diccionario!$H:$H,MATCH(F269,Diccionario!$C:$C,0)),"")</f>
        <v/>
      </c>
      <c r="N269">
        <f>IFERROR(INDEX(Diccionario!$N:$N,MATCH(F269,Diccionario!$C:$C,0)),"")</f>
        <v/>
      </c>
    </row>
    <row r="270" ht="14.25" customHeight="1" s="52">
      <c r="A270" t="inlineStr">
        <is>
          <t>2024-03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Arrendamiento</t>
        </is>
      </c>
      <c r="I270" t="n">
        <v>19000000</v>
      </c>
      <c r="J270" t="inlineStr">
        <is>
          <t>COP</t>
        </is>
      </c>
      <c r="L270">
        <f>IFERROR(INDEX(Diccionario!$B:$B,MATCH(F270,Diccionario!$C:$C,0)),"")</f>
        <v/>
      </c>
      <c r="M270">
        <f>IFERROR(INDEX(Diccionario!$H:$H,MATCH(F270,Diccionario!$C:$C,0)),"")</f>
        <v/>
      </c>
      <c r="N270">
        <f>IFERROR(INDEX(Diccionario!$N:$N,MATCH(F270,Diccionario!$C:$C,0)),"")</f>
        <v/>
      </c>
    </row>
    <row r="271" ht="14.25" customHeight="1" s="52">
      <c r="A271" t="inlineStr">
        <is>
          <t>2024-03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Seguros</t>
        </is>
      </c>
      <c r="I271" t="n">
        <v>2000000</v>
      </c>
      <c r="J271" t="inlineStr">
        <is>
          <t>COP</t>
        </is>
      </c>
      <c r="L271">
        <f>IFERROR(INDEX(Diccionario!$B:$B,MATCH(F271,Diccionario!$C:$C,0)),"")</f>
        <v/>
      </c>
      <c r="M271">
        <f>IFERROR(INDEX(Diccionario!$H:$H,MATCH(F271,Diccionario!$C:$C,0)),"")</f>
        <v/>
      </c>
      <c r="N271">
        <f>IFERROR(INDEX(Diccionario!$N:$N,MATCH(F271,Diccionario!$C:$C,0)),"")</f>
        <v/>
      </c>
    </row>
    <row r="272" ht="14.25" customHeight="1" s="52">
      <c r="A272" t="inlineStr">
        <is>
          <t>2024-03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Servicios</t>
        </is>
      </c>
      <c r="I272" t="n">
        <v>1000000</v>
      </c>
      <c r="J272" t="inlineStr">
        <is>
          <t>COP</t>
        </is>
      </c>
      <c r="L272">
        <f>IFERROR(INDEX(Diccionario!$B:$B,MATCH(F272,Diccionario!$C:$C,0)),"")</f>
        <v/>
      </c>
      <c r="M272">
        <f>IFERROR(INDEX(Diccionario!$H:$H,MATCH(F272,Diccionario!$C:$C,0)),"")</f>
        <v/>
      </c>
      <c r="N272">
        <f>IFERROR(INDEX(Diccionario!$N:$N,MATCH(F272,Diccionario!$C:$C,0)),"")</f>
        <v/>
      </c>
    </row>
    <row r="273" ht="14.25" customHeight="1" s="52">
      <c r="A273" t="inlineStr">
        <is>
          <t>2024-03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Viajes</t>
        </is>
      </c>
      <c r="I273" t="n">
        <v>7000000</v>
      </c>
      <c r="J273" t="inlineStr">
        <is>
          <t>COP</t>
        </is>
      </c>
      <c r="L273">
        <f>IFERROR(INDEX(Diccionario!$B:$B,MATCH(F273,Diccionario!$C:$C,0)),"")</f>
        <v/>
      </c>
      <c r="M273">
        <f>IFERROR(INDEX(Diccionario!$H:$H,MATCH(F273,Diccionario!$C:$C,0)),"")</f>
        <v/>
      </c>
      <c r="N273">
        <f>IFERROR(INDEX(Diccionario!$N:$N,MATCH(F273,Diccionario!$C:$C,0)),"")</f>
        <v/>
      </c>
    </row>
    <row r="274" ht="14.25" customHeight="1" s="52">
      <c r="A274" t="inlineStr">
        <is>
          <t>2024-03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Diversos</t>
        </is>
      </c>
      <c r="I274" t="n">
        <v>6000000</v>
      </c>
      <c r="J274" t="inlineStr">
        <is>
          <t>COP</t>
        </is>
      </c>
      <c r="L274">
        <f>IFERROR(INDEX(Diccionario!$B:$B,MATCH(F274,Diccionario!$C:$C,0)),"")</f>
        <v/>
      </c>
      <c r="M274">
        <f>IFERROR(INDEX(Diccionario!$H:$H,MATCH(F274,Diccionario!$C:$C,0)),"")</f>
        <v/>
      </c>
      <c r="N274">
        <f>IFERROR(INDEX(Diccionario!$N:$N,MATCH(F274,Diccionario!$C:$C,0)),"")</f>
        <v/>
      </c>
    </row>
    <row r="275" ht="14.25" customHeight="1" s="52">
      <c r="A275" t="inlineStr">
        <is>
          <t>2024-04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Personal</t>
        </is>
      </c>
      <c r="I275" t="n">
        <v>48000000</v>
      </c>
      <c r="J275" t="inlineStr">
        <is>
          <t>COP</t>
        </is>
      </c>
      <c r="L275">
        <f>IFERROR(INDEX(Diccionario!$B:$B,MATCH(F275,Diccionario!$C:$C,0)),"")</f>
        <v/>
      </c>
      <c r="M275">
        <f>IFERROR(INDEX(Diccionario!$H:$H,MATCH(F275,Diccionario!$C:$C,0)),"")</f>
        <v/>
      </c>
      <c r="N275">
        <f>IFERROR(INDEX(Diccionario!$N:$N,MATCH(F275,Diccionario!$C:$C,0)),"")</f>
        <v/>
      </c>
    </row>
    <row r="276" ht="14.25" customHeight="1" s="52">
      <c r="A276" t="inlineStr">
        <is>
          <t>2024-04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Honorarios</t>
        </is>
      </c>
      <c r="I276" t="n">
        <v>6000000</v>
      </c>
      <c r="J276" t="inlineStr">
        <is>
          <t>COP</t>
        </is>
      </c>
      <c r="L276">
        <f>IFERROR(INDEX(Diccionario!$B:$B,MATCH(F276,Diccionario!$C:$C,0)),"")</f>
        <v/>
      </c>
      <c r="M276">
        <f>IFERROR(INDEX(Diccionario!$H:$H,MATCH(F276,Diccionario!$C:$C,0)),"")</f>
        <v/>
      </c>
      <c r="N276">
        <f>IFERROR(INDEX(Diccionario!$N:$N,MATCH(F276,Diccionario!$C:$C,0)),"")</f>
        <v/>
      </c>
    </row>
    <row r="277" ht="14.25" customHeight="1" s="52">
      <c r="A277" t="inlineStr">
        <is>
          <t>2024-04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Arrendamiento</t>
        </is>
      </c>
      <c r="I277" t="n">
        <v>22000000</v>
      </c>
      <c r="J277" t="inlineStr">
        <is>
          <t>COP</t>
        </is>
      </c>
      <c r="L277">
        <f>IFERROR(INDEX(Diccionario!$B:$B,MATCH(F277,Diccionario!$C:$C,0)),"")</f>
        <v/>
      </c>
      <c r="M277">
        <f>IFERROR(INDEX(Diccionario!$H:$H,MATCH(F277,Diccionario!$C:$C,0)),"")</f>
        <v/>
      </c>
      <c r="N277">
        <f>IFERROR(INDEX(Diccionario!$N:$N,MATCH(F277,Diccionario!$C:$C,0)),"")</f>
        <v/>
      </c>
    </row>
    <row r="278" ht="14.25" customHeight="1" s="52">
      <c r="A278" t="inlineStr">
        <is>
          <t>2024-04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Seguros</t>
        </is>
      </c>
      <c r="I278" t="n">
        <v>5000000</v>
      </c>
      <c r="J278" t="inlineStr">
        <is>
          <t>COP</t>
        </is>
      </c>
      <c r="L278">
        <f>IFERROR(INDEX(Diccionario!$B:$B,MATCH(F278,Diccionario!$C:$C,0)),"")</f>
        <v/>
      </c>
      <c r="M278">
        <f>IFERROR(INDEX(Diccionario!$H:$H,MATCH(F278,Diccionario!$C:$C,0)),"")</f>
        <v/>
      </c>
      <c r="N278">
        <f>IFERROR(INDEX(Diccionario!$N:$N,MATCH(F278,Diccionario!$C:$C,0)),"")</f>
        <v/>
      </c>
    </row>
    <row r="279" ht="14.25" customHeight="1" s="52">
      <c r="A279" t="inlineStr">
        <is>
          <t>2024-04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Servicios</t>
        </is>
      </c>
      <c r="I279" t="n">
        <v>7000000</v>
      </c>
      <c r="J279" t="inlineStr">
        <is>
          <t>COP</t>
        </is>
      </c>
      <c r="L279">
        <f>IFERROR(INDEX(Diccionario!$B:$B,MATCH(F279,Diccionario!$C:$C,0)),"")</f>
        <v/>
      </c>
      <c r="M279">
        <f>IFERROR(INDEX(Diccionario!$H:$H,MATCH(F279,Diccionario!$C:$C,0)),"")</f>
        <v/>
      </c>
      <c r="N279">
        <f>IFERROR(INDEX(Diccionario!$N:$N,MATCH(F279,Diccionario!$C:$C,0)),"")</f>
        <v/>
      </c>
    </row>
    <row r="280" ht="14.25" customHeight="1" s="52">
      <c r="A280" t="inlineStr">
        <is>
          <t>2024-04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Viajes</t>
        </is>
      </c>
      <c r="I280" t="n">
        <v>4000000</v>
      </c>
      <c r="J280" t="inlineStr">
        <is>
          <t>COP</t>
        </is>
      </c>
      <c r="L280">
        <f>IFERROR(INDEX(Diccionario!$B:$B,MATCH(F280,Diccionario!$C:$C,0)),"")</f>
        <v/>
      </c>
      <c r="M280">
        <f>IFERROR(INDEX(Diccionario!$H:$H,MATCH(F280,Diccionario!$C:$C,0)),"")</f>
        <v/>
      </c>
      <c r="N280">
        <f>IFERROR(INDEX(Diccionario!$N:$N,MATCH(F280,Diccionario!$C:$C,0)),"")</f>
        <v/>
      </c>
    </row>
    <row r="281" ht="14.25" customHeight="1" s="52">
      <c r="A281" t="inlineStr">
        <is>
          <t>2024-04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Diversos</t>
        </is>
      </c>
      <c r="I281" t="n">
        <v>2000000</v>
      </c>
      <c r="J281" t="inlineStr">
        <is>
          <t>COP</t>
        </is>
      </c>
      <c r="L281">
        <f>IFERROR(INDEX(Diccionario!$B:$B,MATCH(F281,Diccionario!$C:$C,0)),"")</f>
        <v/>
      </c>
      <c r="M281">
        <f>IFERROR(INDEX(Diccionario!$H:$H,MATCH(F281,Diccionario!$C:$C,0)),"")</f>
        <v/>
      </c>
      <c r="N281">
        <f>IFERROR(INDEX(Diccionario!$N:$N,MATCH(F281,Diccionario!$C:$C,0)),"")</f>
        <v/>
      </c>
    </row>
    <row r="282" ht="14.25" customHeight="1" s="52">
      <c r="A282" t="inlineStr">
        <is>
          <t>2024-05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Personal</t>
        </is>
      </c>
      <c r="I282" t="n">
        <v>46000000</v>
      </c>
      <c r="J282" t="inlineStr">
        <is>
          <t>COP</t>
        </is>
      </c>
      <c r="L282">
        <f>IFERROR(INDEX(Diccionario!$B:$B,MATCH(F282,Diccionario!$C:$C,0)),"")</f>
        <v/>
      </c>
      <c r="M282">
        <f>IFERROR(INDEX(Diccionario!$H:$H,MATCH(F282,Diccionario!$C:$C,0)),"")</f>
        <v/>
      </c>
      <c r="N282">
        <f>IFERROR(INDEX(Diccionario!$N:$N,MATCH(F282,Diccionario!$C:$C,0)),"")</f>
        <v/>
      </c>
    </row>
    <row r="283" ht="14.25" customHeight="1" s="52">
      <c r="A283" t="inlineStr">
        <is>
          <t>2024-05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Honorarios</t>
        </is>
      </c>
      <c r="I283" t="n">
        <v>13000000</v>
      </c>
      <c r="J283" t="inlineStr">
        <is>
          <t>COP</t>
        </is>
      </c>
      <c r="L283">
        <f>IFERROR(INDEX(Diccionario!$B:$B,MATCH(F283,Diccionario!$C:$C,0)),"")</f>
        <v/>
      </c>
      <c r="M283">
        <f>IFERROR(INDEX(Diccionario!$H:$H,MATCH(F283,Diccionario!$C:$C,0)),"")</f>
        <v/>
      </c>
      <c r="N283">
        <f>IFERROR(INDEX(Diccionario!$N:$N,MATCH(F283,Diccionario!$C:$C,0)),"")</f>
        <v/>
      </c>
    </row>
    <row r="284" ht="14.25" customHeight="1" s="52">
      <c r="A284" t="inlineStr">
        <is>
          <t>2024-05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23000000</v>
      </c>
      <c r="J284" t="inlineStr">
        <is>
          <t>COP</t>
        </is>
      </c>
      <c r="L284">
        <f>IFERROR(INDEX(Diccionario!$B:$B,MATCH(F284,Diccionario!$C:$C,0)),"")</f>
        <v/>
      </c>
      <c r="M284">
        <f>IFERROR(INDEX(Diccionario!$H:$H,MATCH(F284,Diccionario!$C:$C,0)),"")</f>
        <v/>
      </c>
      <c r="N284">
        <f>IFERROR(INDEX(Diccionario!$N:$N,MATCH(F284,Diccionario!$C:$C,0)),"")</f>
        <v/>
      </c>
    </row>
    <row r="285" ht="14.25" customHeight="1" s="52">
      <c r="A285" t="inlineStr">
        <is>
          <t>2024-05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Seguros</t>
        </is>
      </c>
      <c r="I285" t="n">
        <v>4000000</v>
      </c>
      <c r="J285" t="inlineStr">
        <is>
          <t>COP</t>
        </is>
      </c>
      <c r="L285">
        <f>IFERROR(INDEX(Diccionario!$B:$B,MATCH(F285,Diccionario!$C:$C,0)),"")</f>
        <v/>
      </c>
      <c r="M285">
        <f>IFERROR(INDEX(Diccionario!$H:$H,MATCH(F285,Diccionario!$C:$C,0)),"")</f>
        <v/>
      </c>
      <c r="N285">
        <f>IFERROR(INDEX(Diccionario!$N:$N,MATCH(F285,Diccionario!$C:$C,0)),"")</f>
        <v/>
      </c>
    </row>
    <row r="286" ht="14.25" customHeight="1" s="52">
      <c r="A286" t="inlineStr">
        <is>
          <t>2024-05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Servicios</t>
        </is>
      </c>
      <c r="I286" t="n">
        <v>7000000</v>
      </c>
      <c r="J286" t="inlineStr">
        <is>
          <t>COP</t>
        </is>
      </c>
      <c r="L286">
        <f>IFERROR(INDEX(Diccionario!$B:$B,MATCH(F286,Diccionario!$C:$C,0)),"")</f>
        <v/>
      </c>
      <c r="M286">
        <f>IFERROR(INDEX(Diccionario!$H:$H,MATCH(F286,Diccionario!$C:$C,0)),"")</f>
        <v/>
      </c>
      <c r="N286">
        <f>IFERROR(INDEX(Diccionario!$N:$N,MATCH(F286,Diccionario!$C:$C,0)),"")</f>
        <v/>
      </c>
    </row>
    <row r="287" ht="14.25" customHeight="1" s="52">
      <c r="A287" t="inlineStr">
        <is>
          <t>2024-05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Viajes</t>
        </is>
      </c>
      <c r="I287" t="n">
        <v>2000000</v>
      </c>
      <c r="J287" t="inlineStr">
        <is>
          <t>COP</t>
        </is>
      </c>
      <c r="L287">
        <f>IFERROR(INDEX(Diccionario!$B:$B,MATCH(F287,Diccionario!$C:$C,0)),"")</f>
        <v/>
      </c>
      <c r="M287">
        <f>IFERROR(INDEX(Diccionario!$H:$H,MATCH(F287,Diccionario!$C:$C,0)),"")</f>
        <v/>
      </c>
      <c r="N287">
        <f>IFERROR(INDEX(Diccionario!$N:$N,MATCH(F287,Diccionario!$C:$C,0)),"")</f>
        <v/>
      </c>
    </row>
    <row r="288" ht="14.25" customHeight="1" s="52">
      <c r="A288" t="inlineStr">
        <is>
          <t>2024-05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Diversos</t>
        </is>
      </c>
      <c r="I288" t="n">
        <v>1000000</v>
      </c>
      <c r="J288" t="inlineStr">
        <is>
          <t>COP</t>
        </is>
      </c>
      <c r="L288">
        <f>IFERROR(INDEX(Diccionario!$B:$B,MATCH(F288,Diccionario!$C:$C,0)),"")</f>
        <v/>
      </c>
      <c r="M288">
        <f>IFERROR(INDEX(Diccionario!$H:$H,MATCH(F288,Diccionario!$C:$C,0)),"")</f>
        <v/>
      </c>
      <c r="N288">
        <f>IFERROR(INDEX(Diccionario!$N:$N,MATCH(F288,Diccionario!$C:$C,0)),"")</f>
        <v/>
      </c>
    </row>
    <row r="289" ht="14.25" customHeight="1" s="52">
      <c r="A289" t="inlineStr">
        <is>
          <t>2024-06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Personal</t>
        </is>
      </c>
      <c r="I289" t="n">
        <v>44000000</v>
      </c>
      <c r="J289" t="inlineStr">
        <is>
          <t>COP</t>
        </is>
      </c>
      <c r="L289">
        <f>IFERROR(INDEX(Diccionario!$B:$B,MATCH(F289,Diccionario!$C:$C,0)),"")</f>
        <v/>
      </c>
      <c r="M289">
        <f>IFERROR(INDEX(Diccionario!$H:$H,MATCH(F289,Diccionario!$C:$C,0)),"")</f>
        <v/>
      </c>
      <c r="N289">
        <f>IFERROR(INDEX(Diccionario!$N:$N,MATCH(F289,Diccionario!$C:$C,0)),"")</f>
        <v/>
      </c>
    </row>
    <row r="290" ht="14.25" customHeight="1" s="52">
      <c r="A290" t="inlineStr">
        <is>
          <t>2024-06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Honorarios</t>
        </is>
      </c>
      <c r="I290" t="n">
        <v>8000000</v>
      </c>
      <c r="J290" t="inlineStr">
        <is>
          <t>COP</t>
        </is>
      </c>
      <c r="L290">
        <f>IFERROR(INDEX(Diccionario!$B:$B,MATCH(F290,Diccionario!$C:$C,0)),"")</f>
        <v/>
      </c>
      <c r="M290">
        <f>IFERROR(INDEX(Diccionario!$H:$H,MATCH(F290,Diccionario!$C:$C,0)),"")</f>
        <v/>
      </c>
      <c r="N290">
        <f>IFERROR(INDEX(Diccionario!$N:$N,MATCH(F290,Diccionario!$C:$C,0)),"")</f>
        <v/>
      </c>
    </row>
    <row r="291" ht="14.25" customHeight="1" s="52">
      <c r="A291" t="inlineStr">
        <is>
          <t>2024-06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Arrendamiento</t>
        </is>
      </c>
      <c r="I291" t="n">
        <v>23000000</v>
      </c>
      <c r="J291" t="inlineStr">
        <is>
          <t>COP</t>
        </is>
      </c>
      <c r="L291">
        <f>IFERROR(INDEX(Diccionario!$B:$B,MATCH(F291,Diccionario!$C:$C,0)),"")</f>
        <v/>
      </c>
      <c r="M291">
        <f>IFERROR(INDEX(Diccionario!$H:$H,MATCH(F291,Diccionario!$C:$C,0)),"")</f>
        <v/>
      </c>
      <c r="N291">
        <f>IFERROR(INDEX(Diccionario!$N:$N,MATCH(F291,Diccionario!$C:$C,0)),"")</f>
        <v/>
      </c>
    </row>
    <row r="292" ht="14.25" customHeight="1" s="52">
      <c r="A292" t="inlineStr">
        <is>
          <t>2024-06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Seguros</t>
        </is>
      </c>
      <c r="I292" t="n">
        <v>4000000</v>
      </c>
      <c r="J292" t="inlineStr">
        <is>
          <t>COP</t>
        </is>
      </c>
      <c r="L292">
        <f>IFERROR(INDEX(Diccionario!$B:$B,MATCH(F292,Diccionario!$C:$C,0)),"")</f>
        <v/>
      </c>
      <c r="M292">
        <f>IFERROR(INDEX(Diccionario!$H:$H,MATCH(F292,Diccionario!$C:$C,0)),"")</f>
        <v/>
      </c>
      <c r="N292">
        <f>IFERROR(INDEX(Diccionario!$N:$N,MATCH(F292,Diccionario!$C:$C,0)),"")</f>
        <v/>
      </c>
    </row>
    <row r="293" ht="14.25" customHeight="1" s="52">
      <c r="A293" t="inlineStr">
        <is>
          <t>2024-06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Servicios</t>
        </is>
      </c>
      <c r="I293" t="n">
        <v>5000000</v>
      </c>
      <c r="J293" t="inlineStr">
        <is>
          <t>COP</t>
        </is>
      </c>
      <c r="L293">
        <f>IFERROR(INDEX(Diccionario!$B:$B,MATCH(F293,Diccionario!$C:$C,0)),"")</f>
        <v/>
      </c>
      <c r="M293">
        <f>IFERROR(INDEX(Diccionario!$H:$H,MATCH(F293,Diccionario!$C:$C,0)),"")</f>
        <v/>
      </c>
      <c r="N293">
        <f>IFERROR(INDEX(Diccionario!$N:$N,MATCH(F293,Diccionario!$C:$C,0)),"")</f>
        <v/>
      </c>
    </row>
    <row r="294" ht="14.25" customHeight="1" s="52">
      <c r="A294" t="inlineStr">
        <is>
          <t>2024-06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Viajes</t>
        </is>
      </c>
      <c r="I294" t="n">
        <v>8000000</v>
      </c>
      <c r="J294" t="inlineStr">
        <is>
          <t>COP</t>
        </is>
      </c>
      <c r="L294">
        <f>IFERROR(INDEX(Diccionario!$B:$B,MATCH(F294,Diccionario!$C:$C,0)),"")</f>
        <v/>
      </c>
      <c r="M294">
        <f>IFERROR(INDEX(Diccionario!$H:$H,MATCH(F294,Diccionario!$C:$C,0)),"")</f>
        <v/>
      </c>
      <c r="N294">
        <f>IFERROR(INDEX(Diccionario!$N:$N,MATCH(F294,Diccionario!$C:$C,0)),"")</f>
        <v/>
      </c>
    </row>
    <row r="295" ht="14.25" customHeight="1" s="52">
      <c r="A295" t="inlineStr">
        <is>
          <t>2024-06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Diversos</t>
        </is>
      </c>
      <c r="I295" t="n">
        <v>4000000</v>
      </c>
      <c r="J295" t="inlineStr">
        <is>
          <t>COP</t>
        </is>
      </c>
      <c r="L295">
        <f>IFERROR(INDEX(Diccionario!$B:$B,MATCH(F295,Diccionario!$C:$C,0)),"")</f>
        <v/>
      </c>
      <c r="M295">
        <f>IFERROR(INDEX(Diccionario!$H:$H,MATCH(F295,Diccionario!$C:$C,0)),"")</f>
        <v/>
      </c>
      <c r="N295">
        <f>IFERROR(INDEX(Diccionario!$N:$N,MATCH(F295,Diccionario!$C:$C,0)),"")</f>
        <v/>
      </c>
    </row>
    <row r="296" ht="14.25" customHeight="1" s="52">
      <c r="A296" t="inlineStr">
        <is>
          <t>2024-07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Personal</t>
        </is>
      </c>
      <c r="I296" t="n">
        <v>50000000</v>
      </c>
      <c r="J296" t="inlineStr">
        <is>
          <t>COP</t>
        </is>
      </c>
      <c r="L296">
        <f>IFERROR(INDEX(Diccionario!$B:$B,MATCH(F296,Diccionario!$C:$C,0)),"")</f>
        <v/>
      </c>
      <c r="M296">
        <f>IFERROR(INDEX(Diccionario!$H:$H,MATCH(F296,Diccionario!$C:$C,0)),"")</f>
        <v/>
      </c>
      <c r="N296">
        <f>IFERROR(INDEX(Diccionario!$N:$N,MATCH(F296,Diccionario!$C:$C,0)),"")</f>
        <v/>
      </c>
    </row>
    <row r="297" ht="14.25" customHeight="1" s="52">
      <c r="A297" t="inlineStr">
        <is>
          <t>2024-07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Honorarios</t>
        </is>
      </c>
      <c r="I297" t="n">
        <v>7000000</v>
      </c>
      <c r="J297" t="inlineStr">
        <is>
          <t>COP</t>
        </is>
      </c>
      <c r="L297">
        <f>IFERROR(INDEX(Diccionario!$B:$B,MATCH(F297,Diccionario!$C:$C,0)),"")</f>
        <v/>
      </c>
      <c r="M297">
        <f>IFERROR(INDEX(Diccionario!$H:$H,MATCH(F297,Diccionario!$C:$C,0)),"")</f>
        <v/>
      </c>
      <c r="N297">
        <f>IFERROR(INDEX(Diccionario!$N:$N,MATCH(F297,Diccionario!$C:$C,0)),"")</f>
        <v/>
      </c>
    </row>
    <row r="298" ht="14.25" customHeight="1" s="52">
      <c r="A298" t="inlineStr">
        <is>
          <t>2024-07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Arrendamiento</t>
        </is>
      </c>
      <c r="I298" t="n">
        <v>23000000</v>
      </c>
      <c r="J298" t="inlineStr">
        <is>
          <t>COP</t>
        </is>
      </c>
      <c r="L298">
        <f>IFERROR(INDEX(Diccionario!$B:$B,MATCH(F298,Diccionario!$C:$C,0)),"")</f>
        <v/>
      </c>
      <c r="M298">
        <f>IFERROR(INDEX(Diccionario!$H:$H,MATCH(F298,Diccionario!$C:$C,0)),"")</f>
        <v/>
      </c>
      <c r="N298">
        <f>IFERROR(INDEX(Diccionario!$N:$N,MATCH(F298,Diccionario!$C:$C,0)),"")</f>
        <v/>
      </c>
    </row>
    <row r="299" ht="14.25" customHeight="1" s="52">
      <c r="A299" t="inlineStr">
        <is>
          <t>2024-07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Seguros</t>
        </is>
      </c>
      <c r="I299" t="n">
        <v>4000000</v>
      </c>
      <c r="J299" t="inlineStr">
        <is>
          <t>COP</t>
        </is>
      </c>
      <c r="L299">
        <f>IFERROR(INDEX(Diccionario!$B:$B,MATCH(F299,Diccionario!$C:$C,0)),"")</f>
        <v/>
      </c>
      <c r="M299">
        <f>IFERROR(INDEX(Diccionario!$H:$H,MATCH(F299,Diccionario!$C:$C,0)),"")</f>
        <v/>
      </c>
      <c r="N299">
        <f>IFERROR(INDEX(Diccionario!$N:$N,MATCH(F299,Diccionario!$C:$C,0)),"")</f>
        <v/>
      </c>
    </row>
    <row r="300" ht="14.25" customHeight="1" s="52">
      <c r="A300" t="inlineStr">
        <is>
          <t>2024-07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Servicios</t>
        </is>
      </c>
      <c r="I300" t="n">
        <v>6000000</v>
      </c>
      <c r="J300" t="inlineStr">
        <is>
          <t>COP</t>
        </is>
      </c>
      <c r="L300">
        <f>IFERROR(INDEX(Diccionario!$B:$B,MATCH(F300,Diccionario!$C:$C,0)),"")</f>
        <v/>
      </c>
      <c r="M300">
        <f>IFERROR(INDEX(Diccionario!$H:$H,MATCH(F300,Diccionario!$C:$C,0)),"")</f>
        <v/>
      </c>
      <c r="N300">
        <f>IFERROR(INDEX(Diccionario!$N:$N,MATCH(F300,Diccionario!$C:$C,0)),"")</f>
        <v/>
      </c>
    </row>
    <row r="301" ht="14.25" customHeight="1" s="52">
      <c r="A301" t="inlineStr">
        <is>
          <t>2024-07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Viajes</t>
        </is>
      </c>
      <c r="I301" t="n">
        <v>17000000</v>
      </c>
      <c r="J301" t="inlineStr">
        <is>
          <t>COP</t>
        </is>
      </c>
      <c r="L301">
        <f>IFERROR(INDEX(Diccionario!$B:$B,MATCH(F301,Diccionario!$C:$C,0)),"")</f>
        <v/>
      </c>
      <c r="M301">
        <f>IFERROR(INDEX(Diccionario!$H:$H,MATCH(F301,Diccionario!$C:$C,0)),"")</f>
        <v/>
      </c>
      <c r="N301">
        <f>IFERROR(INDEX(Diccionario!$N:$N,MATCH(F301,Diccionario!$C:$C,0)),"")</f>
        <v/>
      </c>
    </row>
    <row r="302" ht="14.25" customHeight="1" s="52">
      <c r="A302" t="inlineStr">
        <is>
          <t>2024-07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Diversos</t>
        </is>
      </c>
      <c r="I302" t="n">
        <v>1000000</v>
      </c>
      <c r="J302" t="inlineStr">
        <is>
          <t>COP</t>
        </is>
      </c>
      <c r="L302">
        <f>IFERROR(INDEX(Diccionario!$B:$B,MATCH(F302,Diccionario!$C:$C,0)),"")</f>
        <v/>
      </c>
      <c r="M302">
        <f>IFERROR(INDEX(Diccionario!$H:$H,MATCH(F302,Diccionario!$C:$C,0)),"")</f>
        <v/>
      </c>
      <c r="N302">
        <f>IFERROR(INDEX(Diccionario!$N:$N,MATCH(F302,Diccionario!$C:$C,0)),"")</f>
        <v/>
      </c>
    </row>
    <row r="303" ht="14.25" customHeight="1" s="52">
      <c r="A303" t="inlineStr">
        <is>
          <t>2024-08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Personal</t>
        </is>
      </c>
      <c r="I303" t="n">
        <v>52000000</v>
      </c>
      <c r="J303" t="inlineStr">
        <is>
          <t>COP</t>
        </is>
      </c>
      <c r="L303">
        <f>IFERROR(INDEX(Diccionario!$B:$B,MATCH(F303,Diccionario!$C:$C,0)),"")</f>
        <v/>
      </c>
      <c r="M303">
        <f>IFERROR(INDEX(Diccionario!$H:$H,MATCH(F303,Diccionario!$C:$C,0)),"")</f>
        <v/>
      </c>
      <c r="N303">
        <f>IFERROR(INDEX(Diccionario!$N:$N,MATCH(F303,Diccionario!$C:$C,0)),"")</f>
        <v/>
      </c>
    </row>
    <row r="304" ht="14.25" customHeight="1" s="52">
      <c r="A304" t="inlineStr">
        <is>
          <t>2024-08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Honorarios</t>
        </is>
      </c>
      <c r="I304" t="n">
        <v>33000000</v>
      </c>
      <c r="J304" t="inlineStr">
        <is>
          <t>COP</t>
        </is>
      </c>
      <c r="L304">
        <f>IFERROR(INDEX(Diccionario!$B:$B,MATCH(F304,Diccionario!$C:$C,0)),"")</f>
        <v/>
      </c>
      <c r="M304">
        <f>IFERROR(INDEX(Diccionario!$H:$H,MATCH(F304,Diccionario!$C:$C,0)),"")</f>
        <v/>
      </c>
      <c r="N304">
        <f>IFERROR(INDEX(Diccionario!$N:$N,MATCH(F304,Diccionario!$C:$C,0)),"")</f>
        <v/>
      </c>
    </row>
    <row r="305" ht="14.25" customHeight="1" s="52">
      <c r="A305" t="inlineStr">
        <is>
          <t>2024-08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Arrendamiento</t>
        </is>
      </c>
      <c r="I305" t="n">
        <v>23000000</v>
      </c>
      <c r="J305" t="inlineStr">
        <is>
          <t>COP</t>
        </is>
      </c>
      <c r="L305">
        <f>IFERROR(INDEX(Diccionario!$B:$B,MATCH(F305,Diccionario!$C:$C,0)),"")</f>
        <v/>
      </c>
      <c r="M305">
        <f>IFERROR(INDEX(Diccionario!$H:$H,MATCH(F305,Diccionario!$C:$C,0)),"")</f>
        <v/>
      </c>
      <c r="N305">
        <f>IFERROR(INDEX(Diccionario!$N:$N,MATCH(F305,Diccionario!$C:$C,0)),"")</f>
        <v/>
      </c>
    </row>
    <row r="306" ht="14.25" customHeight="1" s="52">
      <c r="A306" t="inlineStr">
        <is>
          <t>2024-08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Seguros</t>
        </is>
      </c>
      <c r="I306" t="n">
        <v>4000000</v>
      </c>
      <c r="J306" t="inlineStr">
        <is>
          <t>COP</t>
        </is>
      </c>
      <c r="L306">
        <f>IFERROR(INDEX(Diccionario!$B:$B,MATCH(F306,Diccionario!$C:$C,0)),"")</f>
        <v/>
      </c>
      <c r="M306">
        <f>IFERROR(INDEX(Diccionario!$H:$H,MATCH(F306,Diccionario!$C:$C,0)),"")</f>
        <v/>
      </c>
      <c r="N306">
        <f>IFERROR(INDEX(Diccionario!$N:$N,MATCH(F306,Diccionario!$C:$C,0)),"")</f>
        <v/>
      </c>
    </row>
    <row r="307" ht="14.25" customHeight="1" s="52">
      <c r="A307" t="inlineStr">
        <is>
          <t>2024-08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Servicios</t>
        </is>
      </c>
      <c r="I307" t="n">
        <v>6000000</v>
      </c>
      <c r="J307" t="inlineStr">
        <is>
          <t>COP</t>
        </is>
      </c>
      <c r="L307">
        <f>IFERROR(INDEX(Diccionario!$B:$B,MATCH(F307,Diccionario!$C:$C,0)),"")</f>
        <v/>
      </c>
      <c r="M307">
        <f>IFERROR(INDEX(Diccionario!$H:$H,MATCH(F307,Diccionario!$C:$C,0)),"")</f>
        <v/>
      </c>
      <c r="N307">
        <f>IFERROR(INDEX(Diccionario!$N:$N,MATCH(F307,Diccionario!$C:$C,0)),"")</f>
        <v/>
      </c>
    </row>
    <row r="308" ht="14.25" customHeight="1" s="52">
      <c r="A308" t="inlineStr">
        <is>
          <t>2024-08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Viajes</t>
        </is>
      </c>
      <c r="I308" t="n">
        <v>10000000</v>
      </c>
      <c r="J308" t="inlineStr">
        <is>
          <t>COP</t>
        </is>
      </c>
      <c r="L308">
        <f>IFERROR(INDEX(Diccionario!$B:$B,MATCH(F308,Diccionario!$C:$C,0)),"")</f>
        <v/>
      </c>
      <c r="M308">
        <f>IFERROR(INDEX(Diccionario!$H:$H,MATCH(F308,Diccionario!$C:$C,0)),"")</f>
        <v/>
      </c>
      <c r="N308">
        <f>IFERROR(INDEX(Diccionario!$N:$N,MATCH(F308,Diccionario!$C:$C,0)),"")</f>
        <v/>
      </c>
    </row>
    <row r="309" ht="14.25" customHeight="1" s="52">
      <c r="A309" t="inlineStr">
        <is>
          <t>2024-08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Diversos</t>
        </is>
      </c>
      <c r="I309" t="n">
        <v>1000000</v>
      </c>
      <c r="J309" t="inlineStr">
        <is>
          <t>COP</t>
        </is>
      </c>
      <c r="L309">
        <f>IFERROR(INDEX(Diccionario!$B:$B,MATCH(F309,Diccionario!$C:$C,0)),"")</f>
        <v/>
      </c>
      <c r="M309">
        <f>IFERROR(INDEX(Diccionario!$H:$H,MATCH(F309,Diccionario!$C:$C,0)),"")</f>
        <v/>
      </c>
      <c r="N309">
        <f>IFERROR(INDEX(Diccionario!$N:$N,MATCH(F309,Diccionario!$C:$C,0)),"")</f>
        <v/>
      </c>
    </row>
    <row r="310" ht="14.25" customHeight="1" s="52">
      <c r="A310" t="inlineStr">
        <is>
          <t>2024-09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Personal</t>
        </is>
      </c>
      <c r="I310" t="n">
        <v>58000000</v>
      </c>
      <c r="J310" t="inlineStr">
        <is>
          <t>COP</t>
        </is>
      </c>
      <c r="L310">
        <f>IFERROR(INDEX(Diccionario!$B:$B,MATCH(F310,Diccionario!$C:$C,0)),"")</f>
        <v/>
      </c>
      <c r="M310">
        <f>IFERROR(INDEX(Diccionario!$H:$H,MATCH(F310,Diccionario!$C:$C,0)),"")</f>
        <v/>
      </c>
      <c r="N310">
        <f>IFERROR(INDEX(Diccionario!$N:$N,MATCH(F310,Diccionario!$C:$C,0)),"")</f>
        <v/>
      </c>
    </row>
    <row r="311" ht="14.25" customHeight="1" s="52">
      <c r="A311" t="inlineStr">
        <is>
          <t>2024-09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Honorarios</t>
        </is>
      </c>
      <c r="I311" t="n">
        <v>9000000</v>
      </c>
      <c r="J311" t="inlineStr">
        <is>
          <t>COP</t>
        </is>
      </c>
      <c r="L311">
        <f>IFERROR(INDEX(Diccionario!$B:$B,MATCH(F311,Diccionario!$C:$C,0)),"")</f>
        <v/>
      </c>
      <c r="M311">
        <f>IFERROR(INDEX(Diccionario!$H:$H,MATCH(F311,Diccionario!$C:$C,0)),"")</f>
        <v/>
      </c>
      <c r="N311">
        <f>IFERROR(INDEX(Diccionario!$N:$N,MATCH(F311,Diccionario!$C:$C,0)),"")</f>
        <v/>
      </c>
    </row>
    <row r="312" ht="14.25" customHeight="1" s="52">
      <c r="A312" t="inlineStr">
        <is>
          <t>2024-09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Arrendamiento</t>
        </is>
      </c>
      <c r="I312" t="n">
        <v>25000000</v>
      </c>
      <c r="J312" t="inlineStr">
        <is>
          <t>COP</t>
        </is>
      </c>
      <c r="L312">
        <f>IFERROR(INDEX(Diccionario!$B:$B,MATCH(F312,Diccionario!$C:$C,0)),"")</f>
        <v/>
      </c>
      <c r="M312">
        <f>IFERROR(INDEX(Diccionario!$H:$H,MATCH(F312,Diccionario!$C:$C,0)),"")</f>
        <v/>
      </c>
      <c r="N312">
        <f>IFERROR(INDEX(Diccionario!$N:$N,MATCH(F312,Diccionario!$C:$C,0)),"")</f>
        <v/>
      </c>
    </row>
    <row r="313" ht="14.25" customHeight="1" s="52">
      <c r="A313" t="inlineStr">
        <is>
          <t>2024-09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Seguros</t>
        </is>
      </c>
      <c r="I313" t="n">
        <v>3000000</v>
      </c>
      <c r="J313" t="inlineStr">
        <is>
          <t>COP</t>
        </is>
      </c>
      <c r="L313">
        <f>IFERROR(INDEX(Diccionario!$B:$B,MATCH(F313,Diccionario!$C:$C,0)),"")</f>
        <v/>
      </c>
      <c r="M313">
        <f>IFERROR(INDEX(Diccionario!$H:$H,MATCH(F313,Diccionario!$C:$C,0)),"")</f>
        <v/>
      </c>
      <c r="N313">
        <f>IFERROR(INDEX(Diccionario!$N:$N,MATCH(F313,Diccionario!$C:$C,0)),"")</f>
        <v/>
      </c>
    </row>
    <row r="314" ht="14.25" customHeight="1" s="52">
      <c r="A314" t="inlineStr">
        <is>
          <t>2024-09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Servicios</t>
        </is>
      </c>
      <c r="I314" t="n">
        <v>4000000</v>
      </c>
      <c r="J314" t="inlineStr">
        <is>
          <t>COP</t>
        </is>
      </c>
      <c r="L314">
        <f>IFERROR(INDEX(Diccionario!$B:$B,MATCH(F314,Diccionario!$C:$C,0)),"")</f>
        <v/>
      </c>
      <c r="M314">
        <f>IFERROR(INDEX(Diccionario!$H:$H,MATCH(F314,Diccionario!$C:$C,0)),"")</f>
        <v/>
      </c>
      <c r="N314">
        <f>IFERROR(INDEX(Diccionario!$N:$N,MATCH(F314,Diccionario!$C:$C,0)),"")</f>
        <v/>
      </c>
    </row>
    <row r="315" ht="14.25" customHeight="1" s="52">
      <c r="A315" t="inlineStr">
        <is>
          <t>2024-09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Viajes</t>
        </is>
      </c>
      <c r="I315" t="n">
        <v>5000000</v>
      </c>
      <c r="J315" t="inlineStr">
        <is>
          <t>COP</t>
        </is>
      </c>
      <c r="L315">
        <f>IFERROR(INDEX(Diccionario!$B:$B,MATCH(F315,Diccionario!$C:$C,0)),"")</f>
        <v/>
      </c>
      <c r="M315">
        <f>IFERROR(INDEX(Diccionario!$H:$H,MATCH(F315,Diccionario!$C:$C,0)),"")</f>
        <v/>
      </c>
      <c r="N315">
        <f>IFERROR(INDEX(Diccionario!$N:$N,MATCH(F315,Diccionario!$C:$C,0)),"")</f>
        <v/>
      </c>
    </row>
    <row r="316" ht="14.25" customHeight="1" s="52">
      <c r="A316" t="inlineStr">
        <is>
          <t>2024-09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Diversos</t>
        </is>
      </c>
      <c r="I316" t="n">
        <v>0</v>
      </c>
      <c r="J316" t="inlineStr">
        <is>
          <t>COP</t>
        </is>
      </c>
      <c r="L316">
        <f>IFERROR(INDEX(Diccionario!$B:$B,MATCH(F316,Diccionario!$C:$C,0)),"")</f>
        <v/>
      </c>
      <c r="M316">
        <f>IFERROR(INDEX(Diccionario!$H:$H,MATCH(F316,Diccionario!$C:$C,0)),"")</f>
        <v/>
      </c>
      <c r="N316">
        <f>IFERROR(INDEX(Diccionario!$N:$N,MATCH(F316,Diccionario!$C:$C,0)),"")</f>
        <v/>
      </c>
    </row>
    <row r="317" ht="14.25" customHeight="1" s="52">
      <c r="A317" t="inlineStr">
        <is>
          <t>2024-10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Personal</t>
        </is>
      </c>
      <c r="I317" t="n">
        <v>64000000</v>
      </c>
      <c r="J317" t="inlineStr">
        <is>
          <t>COP</t>
        </is>
      </c>
      <c r="L317">
        <f>IFERROR(INDEX(Diccionario!$B:$B,MATCH(F317,Diccionario!$C:$C,0)),"")</f>
        <v/>
      </c>
      <c r="M317">
        <f>IFERROR(INDEX(Diccionario!$H:$H,MATCH(F317,Diccionario!$C:$C,0)),"")</f>
        <v/>
      </c>
      <c r="N317">
        <f>IFERROR(INDEX(Diccionario!$N:$N,MATCH(F317,Diccionario!$C:$C,0)),"")</f>
        <v/>
      </c>
    </row>
    <row r="318" ht="14.25" customHeight="1" s="52">
      <c r="A318" t="inlineStr">
        <is>
          <t>2024-10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Honorarios</t>
        </is>
      </c>
      <c r="I318" t="n">
        <v>16000000</v>
      </c>
      <c r="J318" t="inlineStr">
        <is>
          <t>COP</t>
        </is>
      </c>
      <c r="L318">
        <f>IFERROR(INDEX(Diccionario!$B:$B,MATCH(F318,Diccionario!$C:$C,0)),"")</f>
        <v/>
      </c>
      <c r="M318">
        <f>IFERROR(INDEX(Diccionario!$H:$H,MATCH(F318,Diccionario!$C:$C,0)),"")</f>
        <v/>
      </c>
      <c r="N318">
        <f>IFERROR(INDEX(Diccionario!$N:$N,MATCH(F318,Diccionario!$C:$C,0)),"")</f>
        <v/>
      </c>
    </row>
    <row r="319" ht="14.25" customHeight="1" s="52">
      <c r="A319" t="inlineStr">
        <is>
          <t>2024-10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Arrendamiento</t>
        </is>
      </c>
      <c r="I319" t="n">
        <v>25000000</v>
      </c>
      <c r="J319" t="inlineStr">
        <is>
          <t>COP</t>
        </is>
      </c>
      <c r="L319">
        <f>IFERROR(INDEX(Diccionario!$B:$B,MATCH(F319,Diccionario!$C:$C,0)),"")</f>
        <v/>
      </c>
      <c r="M319">
        <f>IFERROR(INDEX(Diccionario!$H:$H,MATCH(F319,Diccionario!$C:$C,0)),"")</f>
        <v/>
      </c>
      <c r="N319">
        <f>IFERROR(INDEX(Diccionario!$N:$N,MATCH(F319,Diccionario!$C:$C,0)),"")</f>
        <v/>
      </c>
    </row>
    <row r="320" ht="14.25" customHeight="1" s="52">
      <c r="A320" t="inlineStr">
        <is>
          <t>2024-10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Seguros</t>
        </is>
      </c>
      <c r="I320" t="n">
        <v>2000000</v>
      </c>
      <c r="J320" t="inlineStr">
        <is>
          <t>COP</t>
        </is>
      </c>
      <c r="L320">
        <f>IFERROR(INDEX(Diccionario!$B:$B,MATCH(F320,Diccionario!$C:$C,0)),"")</f>
        <v/>
      </c>
      <c r="M320">
        <f>IFERROR(INDEX(Diccionario!$H:$H,MATCH(F320,Diccionario!$C:$C,0)),"")</f>
        <v/>
      </c>
      <c r="N320">
        <f>IFERROR(INDEX(Diccionario!$N:$N,MATCH(F320,Diccionario!$C:$C,0)),"")</f>
        <v/>
      </c>
    </row>
    <row r="321" ht="14.25" customHeight="1" s="52">
      <c r="A321" t="inlineStr">
        <is>
          <t>2024-10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Servicios</t>
        </is>
      </c>
      <c r="I321" t="n">
        <v>6000000</v>
      </c>
      <c r="J321" t="inlineStr">
        <is>
          <t>COP</t>
        </is>
      </c>
      <c r="L321">
        <f>IFERROR(INDEX(Diccionario!$B:$B,MATCH(F321,Diccionario!$C:$C,0)),"")</f>
        <v/>
      </c>
      <c r="M321">
        <f>IFERROR(INDEX(Diccionario!$H:$H,MATCH(F321,Diccionario!$C:$C,0)),"")</f>
        <v/>
      </c>
      <c r="N321">
        <f>IFERROR(INDEX(Diccionario!$N:$N,MATCH(F321,Diccionario!$C:$C,0)),"")</f>
        <v/>
      </c>
    </row>
    <row r="322" ht="14.25" customHeight="1" s="52">
      <c r="A322" t="inlineStr">
        <is>
          <t>2024-10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Viajes</t>
        </is>
      </c>
      <c r="I322" t="n">
        <v>15000000</v>
      </c>
      <c r="J322" t="inlineStr">
        <is>
          <t>COP</t>
        </is>
      </c>
      <c r="L322">
        <f>IFERROR(INDEX(Diccionario!$B:$B,MATCH(F322,Diccionario!$C:$C,0)),"")</f>
        <v/>
      </c>
      <c r="M322">
        <f>IFERROR(INDEX(Diccionario!$H:$H,MATCH(F322,Diccionario!$C:$C,0)),"")</f>
        <v/>
      </c>
      <c r="N322">
        <f>IFERROR(INDEX(Diccionario!$N:$N,MATCH(F322,Diccionario!$C:$C,0)),"")</f>
        <v/>
      </c>
    </row>
    <row r="323" ht="14.25" customHeight="1" s="52">
      <c r="A323" t="inlineStr">
        <is>
          <t>2024-10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Diversos</t>
        </is>
      </c>
      <c r="I323" t="n">
        <v>1000000</v>
      </c>
      <c r="J323" t="inlineStr">
        <is>
          <t>COP</t>
        </is>
      </c>
      <c r="L323">
        <f>IFERROR(INDEX(Diccionario!$B:$B,MATCH(F323,Diccionario!$C:$C,0)),"")</f>
        <v/>
      </c>
      <c r="M323">
        <f>IFERROR(INDEX(Diccionario!$H:$H,MATCH(F323,Diccionario!$C:$C,0)),"")</f>
        <v/>
      </c>
      <c r="N323">
        <f>IFERROR(INDEX(Diccionario!$N:$N,MATCH(F323,Diccionario!$C:$C,0)),"")</f>
        <v/>
      </c>
    </row>
    <row r="324" ht="14.25" customHeight="1" s="52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Personal</t>
        </is>
      </c>
      <c r="I324" t="n">
        <v>73000000</v>
      </c>
      <c r="J324" t="inlineStr">
        <is>
          <t>COP</t>
        </is>
      </c>
      <c r="L324">
        <f>IFERROR(INDEX(Diccionario!$B:$B,MATCH(F324,Diccionario!$C:$C,0)),"")</f>
        <v/>
      </c>
      <c r="M324">
        <f>IFERROR(INDEX(Diccionario!$H:$H,MATCH(F324,Diccionario!$C:$C,0)),"")</f>
        <v/>
      </c>
      <c r="N324">
        <f>IFERROR(INDEX(Diccionario!$N:$N,MATCH(F324,Diccionario!$C:$C,0)),"")</f>
        <v/>
      </c>
    </row>
    <row r="325" ht="14.25" customHeight="1" s="52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Honorarios</t>
        </is>
      </c>
      <c r="I325" t="n">
        <v>8000000</v>
      </c>
      <c r="J325" t="inlineStr">
        <is>
          <t>COP</t>
        </is>
      </c>
      <c r="L325">
        <f>IFERROR(INDEX(Diccionario!$B:$B,MATCH(F325,Diccionario!$C:$C,0)),"")</f>
        <v/>
      </c>
      <c r="M325">
        <f>IFERROR(INDEX(Diccionario!$H:$H,MATCH(F325,Diccionario!$C:$C,0)),"")</f>
        <v/>
      </c>
      <c r="N325">
        <f>IFERROR(INDEX(Diccionario!$N:$N,MATCH(F325,Diccionario!$C:$C,0)),"")</f>
        <v/>
      </c>
    </row>
    <row r="326" ht="14.25" customHeight="1" s="52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Arrendamiento</t>
        </is>
      </c>
      <c r="I326" t="n">
        <v>25000000</v>
      </c>
      <c r="J326" t="inlineStr">
        <is>
          <t>COP</t>
        </is>
      </c>
      <c r="L326">
        <f>IFERROR(INDEX(Diccionario!$B:$B,MATCH(F326,Diccionario!$C:$C,0)),"")</f>
        <v/>
      </c>
      <c r="M326">
        <f>IFERROR(INDEX(Diccionario!$H:$H,MATCH(F326,Diccionario!$C:$C,0)),"")</f>
        <v/>
      </c>
      <c r="N326">
        <f>IFERROR(INDEX(Diccionario!$N:$N,MATCH(F326,Diccionario!$C:$C,0)),"")</f>
        <v/>
      </c>
    </row>
    <row r="327" ht="14.25" customHeight="1" s="52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Seguros</t>
        </is>
      </c>
      <c r="I327" t="n">
        <v>4000000</v>
      </c>
      <c r="J327" t="inlineStr">
        <is>
          <t>COP</t>
        </is>
      </c>
      <c r="L327">
        <f>IFERROR(INDEX(Diccionario!$B:$B,MATCH(F327,Diccionario!$C:$C,0)),"")</f>
        <v/>
      </c>
      <c r="M327">
        <f>IFERROR(INDEX(Diccionario!$H:$H,MATCH(F327,Diccionario!$C:$C,0)),"")</f>
        <v/>
      </c>
      <c r="N327">
        <f>IFERROR(INDEX(Diccionario!$N:$N,MATCH(F327,Diccionario!$C:$C,0)),"")</f>
        <v/>
      </c>
    </row>
    <row r="328" ht="14.25" customHeight="1" s="52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Servicios</t>
        </is>
      </c>
      <c r="I328" t="n">
        <v>6000000</v>
      </c>
      <c r="J328" t="inlineStr">
        <is>
          <t>COP</t>
        </is>
      </c>
      <c r="L328">
        <f>IFERROR(INDEX(Diccionario!$B:$B,MATCH(F328,Diccionario!$C:$C,0)),"")</f>
        <v/>
      </c>
      <c r="M328">
        <f>IFERROR(INDEX(Diccionario!$H:$H,MATCH(F328,Diccionario!$C:$C,0)),"")</f>
        <v/>
      </c>
      <c r="N328">
        <f>IFERROR(INDEX(Diccionario!$N:$N,MATCH(F328,Diccionario!$C:$C,0)),"")</f>
        <v/>
      </c>
    </row>
    <row r="329" ht="14.25" customHeight="1" s="52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Viajes</t>
        </is>
      </c>
      <c r="I329" t="n">
        <v>28000000</v>
      </c>
      <c r="J329" t="inlineStr">
        <is>
          <t>COP</t>
        </is>
      </c>
      <c r="L329">
        <f>IFERROR(INDEX(Diccionario!$B:$B,MATCH(F329,Diccionario!$C:$C,0)),"")</f>
        <v/>
      </c>
      <c r="M329">
        <f>IFERROR(INDEX(Diccionario!$H:$H,MATCH(F329,Diccionario!$C:$C,0)),"")</f>
        <v/>
      </c>
      <c r="N329">
        <f>IFERROR(INDEX(Diccionario!$N:$N,MATCH(F329,Diccionario!$C:$C,0)),"")</f>
        <v/>
      </c>
    </row>
    <row r="330" ht="14.25" customHeight="1" s="52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Diversos</t>
        </is>
      </c>
      <c r="I330" t="n">
        <v>0</v>
      </c>
      <c r="J330" t="inlineStr">
        <is>
          <t>COP</t>
        </is>
      </c>
      <c r="L330">
        <f>IFERROR(INDEX(Diccionario!$B:$B,MATCH(F330,Diccionario!$C:$C,0)),"")</f>
        <v/>
      </c>
      <c r="M330">
        <f>IFERROR(INDEX(Diccionario!$H:$H,MATCH(F330,Diccionario!$C:$C,0)),"")</f>
        <v/>
      </c>
      <c r="N330">
        <f>IFERROR(INDEX(Diccionario!$N:$N,MATCH(F330,Diccionario!$C:$C,0)),"")</f>
        <v/>
      </c>
    </row>
    <row r="331" ht="14.25" customHeight="1" s="52">
      <c r="A331" t="inlineStr">
        <is>
          <t>2024-12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Personal</t>
        </is>
      </c>
      <c r="I331" t="n">
        <v>60600000</v>
      </c>
      <c r="J331" t="inlineStr">
        <is>
          <t>COP</t>
        </is>
      </c>
      <c r="L331">
        <f>IFERROR(INDEX(Diccionario!$B:$B,MATCH(F331,Diccionario!$C:$C,0)),"")</f>
        <v/>
      </c>
      <c r="M331">
        <f>IFERROR(INDEX(Diccionario!$H:$H,MATCH(F331,Diccionario!$C:$C,0)),"")</f>
        <v/>
      </c>
      <c r="N331">
        <f>IFERROR(INDEX(Diccionario!$N:$N,MATCH(F331,Diccionario!$C:$C,0)),"")</f>
        <v/>
      </c>
    </row>
    <row r="332" ht="14.25" customHeight="1" s="52">
      <c r="A332" t="inlineStr">
        <is>
          <t>2024-12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Honorarios</t>
        </is>
      </c>
      <c r="I332" t="n">
        <v>103400000</v>
      </c>
      <c r="J332" t="inlineStr">
        <is>
          <t>COP</t>
        </is>
      </c>
      <c r="L332">
        <f>IFERROR(INDEX(Diccionario!$B:$B,MATCH(F332,Diccionario!$C:$C,0)),"")</f>
        <v/>
      </c>
      <c r="M332">
        <f>IFERROR(INDEX(Diccionario!$H:$H,MATCH(F332,Diccionario!$C:$C,0)),"")</f>
        <v/>
      </c>
      <c r="N332">
        <f>IFERROR(INDEX(Diccionario!$N:$N,MATCH(F332,Diccionario!$C:$C,0)),"")</f>
        <v/>
      </c>
    </row>
    <row r="333" ht="14.25" customHeight="1" s="52">
      <c r="A333" t="inlineStr">
        <is>
          <t>2024-12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Arrendamiento</t>
        </is>
      </c>
      <c r="I333" t="n">
        <v>26300000</v>
      </c>
      <c r="J333" t="inlineStr">
        <is>
          <t>COP</t>
        </is>
      </c>
      <c r="L333">
        <f>IFERROR(INDEX(Diccionario!$B:$B,MATCH(F333,Diccionario!$C:$C,0)),"")</f>
        <v/>
      </c>
      <c r="M333">
        <f>IFERROR(INDEX(Diccionario!$H:$H,MATCH(F333,Diccionario!$C:$C,0)),"")</f>
        <v/>
      </c>
      <c r="N333">
        <f>IFERROR(INDEX(Diccionario!$N:$N,MATCH(F333,Diccionario!$C:$C,0)),"")</f>
        <v/>
      </c>
    </row>
    <row r="334" ht="14.25" customHeight="1" s="52">
      <c r="A334" t="inlineStr">
        <is>
          <t>2024-12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Seguros</t>
        </is>
      </c>
      <c r="I334" t="n">
        <v>9400000</v>
      </c>
      <c r="J334" t="inlineStr">
        <is>
          <t>COP</t>
        </is>
      </c>
      <c r="L334">
        <f>IFERROR(INDEX(Diccionario!$B:$B,MATCH(F334,Diccionario!$C:$C,0)),"")</f>
        <v/>
      </c>
      <c r="M334">
        <f>IFERROR(INDEX(Diccionario!$H:$H,MATCH(F334,Diccionario!$C:$C,0)),"")</f>
        <v/>
      </c>
      <c r="N334">
        <f>IFERROR(INDEX(Diccionario!$N:$N,MATCH(F334,Diccionario!$C:$C,0)),"")</f>
        <v/>
      </c>
    </row>
    <row r="335" ht="14.25" customHeight="1" s="52">
      <c r="A335" t="inlineStr">
        <is>
          <t>2024-12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Servicios</t>
        </is>
      </c>
      <c r="I335" t="n">
        <v>15000000</v>
      </c>
      <c r="J335" t="inlineStr">
        <is>
          <t>COP</t>
        </is>
      </c>
      <c r="L335">
        <f>IFERROR(INDEX(Diccionario!$B:$B,MATCH(F335,Diccionario!$C:$C,0)),"")</f>
        <v/>
      </c>
      <c r="M335">
        <f>IFERROR(INDEX(Diccionario!$H:$H,MATCH(F335,Diccionario!$C:$C,0)),"")</f>
        <v/>
      </c>
      <c r="N335">
        <f>IFERROR(INDEX(Diccionario!$N:$N,MATCH(F335,Diccionario!$C:$C,0)),"")</f>
        <v/>
      </c>
    </row>
    <row r="336" ht="14.25" customHeight="1" s="52">
      <c r="A336" t="inlineStr">
        <is>
          <t>2024-12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Viajes</t>
        </is>
      </c>
      <c r="I336" t="n">
        <v>8000000</v>
      </c>
      <c r="J336" t="inlineStr">
        <is>
          <t>COP</t>
        </is>
      </c>
      <c r="L336">
        <f>IFERROR(INDEX(Diccionario!$B:$B,MATCH(F336,Diccionario!$C:$C,0)),"")</f>
        <v/>
      </c>
      <c r="M336">
        <f>IFERROR(INDEX(Diccionario!$H:$H,MATCH(F336,Diccionario!$C:$C,0)),"")</f>
        <v/>
      </c>
      <c r="N336">
        <f>IFERROR(INDEX(Diccionario!$N:$N,MATCH(F336,Diccionario!$C:$C,0)),"")</f>
        <v/>
      </c>
    </row>
    <row r="337" ht="14.25" customHeight="1" s="52">
      <c r="A337" t="inlineStr">
        <is>
          <t>2024-12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Diversos</t>
        </is>
      </c>
      <c r="I337" t="n">
        <v>6000000</v>
      </c>
      <c r="J337" t="inlineStr">
        <is>
          <t>COP</t>
        </is>
      </c>
      <c r="L337">
        <f>IFERROR(INDEX(Diccionario!$B:$B,MATCH(F337,Diccionario!$C:$C,0)),"")</f>
        <v/>
      </c>
      <c r="M337">
        <f>IFERROR(INDEX(Diccionario!$H:$H,MATCH(F337,Diccionario!$C:$C,0)),"")</f>
        <v/>
      </c>
      <c r="N337">
        <f>IFERROR(INDEX(Diccionario!$N:$N,MATCH(F337,Diccionario!$C:$C,0)),"")</f>
        <v/>
      </c>
    </row>
    <row r="338" ht="14.25" customHeight="1" s="52">
      <c r="A338" t="inlineStr">
        <is>
          <t>2025-01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Personal</t>
        </is>
      </c>
      <c r="I338" t="n">
        <v>60300000</v>
      </c>
      <c r="J338" t="inlineStr">
        <is>
          <t>COP</t>
        </is>
      </c>
      <c r="L338">
        <f>IFERROR(INDEX(Diccionario!$B:$B,MATCH(F338,Diccionario!$C:$C,0)),"")</f>
        <v/>
      </c>
      <c r="M338">
        <f>IFERROR(INDEX(Diccionario!$H:$H,MATCH(F338,Diccionario!$C:$C,0)),"")</f>
        <v/>
      </c>
      <c r="N338">
        <f>IFERROR(INDEX(Diccionario!$N:$N,MATCH(F338,Diccionario!$C:$C,0)),"")</f>
        <v/>
      </c>
    </row>
    <row r="339" ht="14.25" customHeight="1" s="52">
      <c r="A339" t="inlineStr">
        <is>
          <t>2025-01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Honorarios</t>
        </is>
      </c>
      <c r="I339" t="n">
        <v>37400000</v>
      </c>
      <c r="J339" t="inlineStr">
        <is>
          <t>COP</t>
        </is>
      </c>
      <c r="L339">
        <f>IFERROR(INDEX(Diccionario!$B:$B,MATCH(F339,Diccionario!$C:$C,0)),"")</f>
        <v/>
      </c>
      <c r="M339">
        <f>IFERROR(INDEX(Diccionario!$H:$H,MATCH(F339,Diccionario!$C:$C,0)),"")</f>
        <v/>
      </c>
      <c r="N339">
        <f>IFERROR(INDEX(Diccionario!$N:$N,MATCH(F339,Diccionario!$C:$C,0)),"")</f>
        <v/>
      </c>
    </row>
    <row r="340" ht="14.25" customHeight="1" s="52">
      <c r="A340" t="inlineStr">
        <is>
          <t>2025-01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Arrendamiento</t>
        </is>
      </c>
      <c r="I340" t="n">
        <v>7900000</v>
      </c>
      <c r="J340" t="inlineStr">
        <is>
          <t>COP</t>
        </is>
      </c>
      <c r="L340">
        <f>IFERROR(INDEX(Diccionario!$B:$B,MATCH(F340,Diccionario!$C:$C,0)),"")</f>
        <v/>
      </c>
      <c r="M340">
        <f>IFERROR(INDEX(Diccionario!$H:$H,MATCH(F340,Diccionario!$C:$C,0)),"")</f>
        <v/>
      </c>
      <c r="N340">
        <f>IFERROR(INDEX(Diccionario!$N:$N,MATCH(F340,Diccionario!$C:$C,0)),"")</f>
        <v/>
      </c>
    </row>
    <row r="341" ht="14.25" customHeight="1" s="52">
      <c r="A341" t="inlineStr">
        <is>
          <t>2025-01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Seguros</t>
        </is>
      </c>
      <c r="I341" t="n">
        <v>4200000</v>
      </c>
      <c r="J341" t="inlineStr">
        <is>
          <t>COP</t>
        </is>
      </c>
      <c r="L341">
        <f>IFERROR(INDEX(Diccionario!$B:$B,MATCH(F341,Diccionario!$C:$C,0)),"")</f>
        <v/>
      </c>
      <c r="M341">
        <f>IFERROR(INDEX(Diccionario!$H:$H,MATCH(F341,Diccionario!$C:$C,0)),"")</f>
        <v/>
      </c>
      <c r="N341">
        <f>IFERROR(INDEX(Diccionario!$N:$N,MATCH(F341,Diccionario!$C:$C,0)),"")</f>
        <v/>
      </c>
    </row>
    <row r="342" ht="14.25" customHeight="1" s="52">
      <c r="A342" t="inlineStr">
        <is>
          <t>2025-01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Servicios</t>
        </is>
      </c>
      <c r="I342" t="n">
        <v>20000000</v>
      </c>
      <c r="J342" t="inlineStr">
        <is>
          <t>COP</t>
        </is>
      </c>
      <c r="L342">
        <f>IFERROR(INDEX(Diccionario!$B:$B,MATCH(F342,Diccionario!$C:$C,0)),"")</f>
        <v/>
      </c>
      <c r="M342">
        <f>IFERROR(INDEX(Diccionario!$H:$H,MATCH(F342,Diccionario!$C:$C,0)),"")</f>
        <v/>
      </c>
      <c r="N342">
        <f>IFERROR(INDEX(Diccionario!$N:$N,MATCH(F342,Diccionario!$C:$C,0)),"")</f>
        <v/>
      </c>
    </row>
    <row r="343" ht="14.25" customHeight="1" s="52">
      <c r="A343" t="inlineStr">
        <is>
          <t>2025-01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Viajes</t>
        </is>
      </c>
      <c r="I343" t="n">
        <v>28000000</v>
      </c>
      <c r="J343" t="inlineStr">
        <is>
          <t>COP</t>
        </is>
      </c>
      <c r="L343">
        <f>IFERROR(INDEX(Diccionario!$B:$B,MATCH(F343,Diccionario!$C:$C,0)),"")</f>
        <v/>
      </c>
      <c r="M343">
        <f>IFERROR(INDEX(Diccionario!$H:$H,MATCH(F343,Diccionario!$C:$C,0)),"")</f>
        <v/>
      </c>
      <c r="N343">
        <f>IFERROR(INDEX(Diccionario!$N:$N,MATCH(F343,Diccionario!$C:$C,0)),"")</f>
        <v/>
      </c>
    </row>
    <row r="344" ht="14.25" customHeight="1" s="52">
      <c r="A344" t="inlineStr">
        <is>
          <t>2025-01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Diversos</t>
        </is>
      </c>
      <c r="I344" t="n">
        <v>500000</v>
      </c>
      <c r="J344" t="inlineStr">
        <is>
          <t>COP</t>
        </is>
      </c>
      <c r="L344">
        <f>IFERROR(INDEX(Diccionario!$B:$B,MATCH(F344,Diccionario!$C:$C,0)),"")</f>
        <v/>
      </c>
      <c r="M344">
        <f>IFERROR(INDEX(Diccionario!$H:$H,MATCH(F344,Diccionario!$C:$C,0)),"")</f>
        <v/>
      </c>
      <c r="N344">
        <f>IFERROR(INDEX(Diccionario!$N:$N,MATCH(F344,Diccionario!$C:$C,0)),"")</f>
        <v/>
      </c>
    </row>
    <row r="345" ht="14.25" customHeight="1" s="52">
      <c r="A345" t="inlineStr">
        <is>
          <t>2025-02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Personal</t>
        </is>
      </c>
      <c r="I345" t="n">
        <v>81000000</v>
      </c>
      <c r="J345" t="inlineStr">
        <is>
          <t>COP</t>
        </is>
      </c>
      <c r="L345">
        <f>IFERROR(INDEX(Diccionario!$B:$B,MATCH(F345,Diccionario!$C:$C,0)),"")</f>
        <v/>
      </c>
      <c r="M345">
        <f>IFERROR(INDEX(Diccionario!$H:$H,MATCH(F345,Diccionario!$C:$C,0)),"")</f>
        <v/>
      </c>
      <c r="N345">
        <f>IFERROR(INDEX(Diccionario!$N:$N,MATCH(F345,Diccionario!$C:$C,0)),"")</f>
        <v/>
      </c>
    </row>
    <row r="346" ht="14.25" customHeight="1" s="52">
      <c r="A346" t="inlineStr">
        <is>
          <t>2025-02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Honorarios</t>
        </is>
      </c>
      <c r="I346" t="n">
        <v>4200000</v>
      </c>
      <c r="J346" t="inlineStr">
        <is>
          <t>COP</t>
        </is>
      </c>
      <c r="L346">
        <f>IFERROR(INDEX(Diccionario!$B:$B,MATCH(F346,Diccionario!$C:$C,0)),"")</f>
        <v/>
      </c>
      <c r="M346">
        <f>IFERROR(INDEX(Diccionario!$H:$H,MATCH(F346,Diccionario!$C:$C,0)),"")</f>
        <v/>
      </c>
      <c r="N346">
        <f>IFERROR(INDEX(Diccionario!$N:$N,MATCH(F346,Diccionario!$C:$C,0)),"")</f>
        <v/>
      </c>
    </row>
    <row r="347" ht="14.25" customHeight="1" s="52">
      <c r="A347" t="inlineStr">
        <is>
          <t>2025-02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Arrendamiento</t>
        </is>
      </c>
      <c r="I347" t="n">
        <v>9100000</v>
      </c>
      <c r="J347" t="inlineStr">
        <is>
          <t>COP</t>
        </is>
      </c>
      <c r="L347">
        <f>IFERROR(INDEX(Diccionario!$B:$B,MATCH(F347,Diccionario!$C:$C,0)),"")</f>
        <v/>
      </c>
      <c r="M347">
        <f>IFERROR(INDEX(Diccionario!$H:$H,MATCH(F347,Diccionario!$C:$C,0)),"")</f>
        <v/>
      </c>
      <c r="N347">
        <f>IFERROR(INDEX(Diccionario!$N:$N,MATCH(F347,Diccionario!$C:$C,0)),"")</f>
        <v/>
      </c>
    </row>
    <row r="348" ht="14.25" customHeight="1" s="52">
      <c r="A348" t="inlineStr">
        <is>
          <t>2025-02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Seguros</t>
        </is>
      </c>
      <c r="I348" t="n">
        <v>3600000</v>
      </c>
      <c r="J348" t="inlineStr">
        <is>
          <t>COP</t>
        </is>
      </c>
      <c r="L348">
        <f>IFERROR(INDEX(Diccionario!$B:$B,MATCH(F348,Diccionario!$C:$C,0)),"")</f>
        <v/>
      </c>
      <c r="M348">
        <f>IFERROR(INDEX(Diccionario!$H:$H,MATCH(F348,Diccionario!$C:$C,0)),"")</f>
        <v/>
      </c>
      <c r="N348">
        <f>IFERROR(INDEX(Diccionario!$N:$N,MATCH(F348,Diccionario!$C:$C,0)),"")</f>
        <v/>
      </c>
    </row>
    <row r="349" ht="14.25" customHeight="1" s="52">
      <c r="A349" t="inlineStr">
        <is>
          <t>2025-02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Servicios</t>
        </is>
      </c>
      <c r="I349" t="n">
        <v>11700000</v>
      </c>
      <c r="J349" t="inlineStr">
        <is>
          <t>COP</t>
        </is>
      </c>
      <c r="L349">
        <f>IFERROR(INDEX(Diccionario!$B:$B,MATCH(F349,Diccionario!$C:$C,0)),"")</f>
        <v/>
      </c>
      <c r="M349">
        <f>IFERROR(INDEX(Diccionario!$H:$H,MATCH(F349,Diccionario!$C:$C,0)),"")</f>
        <v/>
      </c>
      <c r="N349">
        <f>IFERROR(INDEX(Diccionario!$N:$N,MATCH(F349,Diccionario!$C:$C,0)),"")</f>
        <v/>
      </c>
    </row>
    <row r="350" ht="14.25" customHeight="1" s="52">
      <c r="A350" t="inlineStr">
        <is>
          <t>2025-02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Viajes</t>
        </is>
      </c>
      <c r="I350" t="n">
        <v>30000000</v>
      </c>
      <c r="J350" t="inlineStr">
        <is>
          <t>COP</t>
        </is>
      </c>
      <c r="L350">
        <f>IFERROR(INDEX(Diccionario!$B:$B,MATCH(F350,Diccionario!$C:$C,0)),"")</f>
        <v/>
      </c>
      <c r="M350">
        <f>IFERROR(INDEX(Diccionario!$H:$H,MATCH(F350,Diccionario!$C:$C,0)),"")</f>
        <v/>
      </c>
      <c r="N350">
        <f>IFERROR(INDEX(Diccionario!$N:$N,MATCH(F350,Diccionario!$C:$C,0)),"")</f>
        <v/>
      </c>
    </row>
    <row r="351" ht="14.25" customHeight="1" s="52">
      <c r="A351" t="inlineStr">
        <is>
          <t>2025-03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Personal</t>
        </is>
      </c>
      <c r="I351" t="n">
        <v>58800000</v>
      </c>
      <c r="J351" t="inlineStr">
        <is>
          <t>COP</t>
        </is>
      </c>
      <c r="L351">
        <f>IFERROR(INDEX(Diccionario!$B:$B,MATCH(F351,Diccionario!$C:$C,0)),"")</f>
        <v/>
      </c>
      <c r="M351">
        <f>IFERROR(INDEX(Diccionario!$H:$H,MATCH(F351,Diccionario!$C:$C,0)),"")</f>
        <v/>
      </c>
      <c r="N351">
        <f>IFERROR(INDEX(Diccionario!$N:$N,MATCH(F351,Diccionario!$C:$C,0)),"")</f>
        <v/>
      </c>
    </row>
    <row r="352" ht="14.25" customHeight="1" s="52">
      <c r="A352" t="inlineStr">
        <is>
          <t>2025-03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Honorarios</t>
        </is>
      </c>
      <c r="I352" t="n">
        <v>9800000</v>
      </c>
      <c r="J352" t="inlineStr">
        <is>
          <t>COP</t>
        </is>
      </c>
      <c r="L352">
        <f>IFERROR(INDEX(Diccionario!$B:$B,MATCH(F352,Diccionario!$C:$C,0)),"")</f>
        <v/>
      </c>
      <c r="M352">
        <f>IFERROR(INDEX(Diccionario!$H:$H,MATCH(F352,Diccionario!$C:$C,0)),"")</f>
        <v/>
      </c>
      <c r="N352">
        <f>IFERROR(INDEX(Diccionario!$N:$N,MATCH(F352,Diccionario!$C:$C,0)),"")</f>
        <v/>
      </c>
    </row>
    <row r="353" ht="14.25" customHeight="1" s="52">
      <c r="A353" t="inlineStr">
        <is>
          <t>2025-03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Arrendamiento</t>
        </is>
      </c>
      <c r="I353" t="n">
        <v>7900000</v>
      </c>
      <c r="J353" t="inlineStr">
        <is>
          <t>COP</t>
        </is>
      </c>
      <c r="L353">
        <f>IFERROR(INDEX(Diccionario!$B:$B,MATCH(F353,Diccionario!$C:$C,0)),"")</f>
        <v/>
      </c>
      <c r="M353">
        <f>IFERROR(INDEX(Diccionario!$H:$H,MATCH(F353,Diccionario!$C:$C,0)),"")</f>
        <v/>
      </c>
      <c r="N353">
        <f>IFERROR(INDEX(Diccionario!$N:$N,MATCH(F353,Diccionario!$C:$C,0)),"")</f>
        <v/>
      </c>
    </row>
    <row r="354" ht="14.25" customHeight="1" s="52">
      <c r="A354" t="inlineStr">
        <is>
          <t>2025-03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Seguros</t>
        </is>
      </c>
      <c r="I354" t="n">
        <v>2900000</v>
      </c>
      <c r="J354" t="inlineStr">
        <is>
          <t>COP</t>
        </is>
      </c>
      <c r="L354">
        <f>IFERROR(INDEX(Diccionario!$B:$B,MATCH(F354,Diccionario!$C:$C,0)),"")</f>
        <v/>
      </c>
      <c r="M354">
        <f>IFERROR(INDEX(Diccionario!$H:$H,MATCH(F354,Diccionario!$C:$C,0)),"")</f>
        <v/>
      </c>
      <c r="N354">
        <f>IFERROR(INDEX(Diccionario!$N:$N,MATCH(F354,Diccionario!$C:$C,0)),"")</f>
        <v/>
      </c>
    </row>
    <row r="355" ht="14.25" customHeight="1" s="52">
      <c r="A355" t="inlineStr">
        <is>
          <t>2025-03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Servicios</t>
        </is>
      </c>
      <c r="I355" t="n">
        <v>20700000</v>
      </c>
      <c r="J355" t="inlineStr">
        <is>
          <t>COP</t>
        </is>
      </c>
      <c r="L355">
        <f>IFERROR(INDEX(Diccionario!$B:$B,MATCH(F355,Diccionario!$C:$C,0)),"")</f>
        <v/>
      </c>
      <c r="M355">
        <f>IFERROR(INDEX(Diccionario!$H:$H,MATCH(F355,Diccionario!$C:$C,0)),"")</f>
        <v/>
      </c>
      <c r="N355">
        <f>IFERROR(INDEX(Diccionario!$N:$N,MATCH(F355,Diccionario!$C:$C,0)),"")</f>
        <v/>
      </c>
    </row>
    <row r="356" ht="14.25" customHeight="1" s="52">
      <c r="A356" t="inlineStr">
        <is>
          <t>2025-03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Viajes</t>
        </is>
      </c>
      <c r="I356" t="n">
        <v>33500000</v>
      </c>
      <c r="J356" t="inlineStr">
        <is>
          <t>COP</t>
        </is>
      </c>
      <c r="L356">
        <f>IFERROR(INDEX(Diccionario!$B:$B,MATCH(F356,Diccionario!$C:$C,0)),"")</f>
        <v/>
      </c>
      <c r="M356">
        <f>IFERROR(INDEX(Diccionario!$H:$H,MATCH(F356,Diccionario!$C:$C,0)),"")</f>
        <v/>
      </c>
      <c r="N356">
        <f>IFERROR(INDEX(Diccionario!$N:$N,MATCH(F356,Diccionario!$C:$C,0)),"")</f>
        <v/>
      </c>
    </row>
    <row r="357" ht="14.25" customHeight="1" s="52">
      <c r="A357" t="inlineStr">
        <is>
          <t>2025-03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Diversos</t>
        </is>
      </c>
      <c r="I357" t="n">
        <v>7100000</v>
      </c>
      <c r="J357" t="inlineStr">
        <is>
          <t>COP</t>
        </is>
      </c>
      <c r="L357">
        <f>IFERROR(INDEX(Diccionario!$B:$B,MATCH(F357,Diccionario!$C:$C,0)),"")</f>
        <v/>
      </c>
      <c r="M357">
        <f>IFERROR(INDEX(Diccionario!$H:$H,MATCH(F357,Diccionario!$C:$C,0)),"")</f>
        <v/>
      </c>
      <c r="N357">
        <f>IFERROR(INDEX(Diccionario!$N:$N,MATCH(F357,Diccionario!$C:$C,0)),"")</f>
        <v/>
      </c>
    </row>
    <row r="358" ht="14.25" customHeight="1" s="52">
      <c r="A358" t="inlineStr">
        <is>
          <t>2025-04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Personal</t>
        </is>
      </c>
      <c r="I358" t="n">
        <v>58800000</v>
      </c>
      <c r="J358" t="inlineStr">
        <is>
          <t>COP</t>
        </is>
      </c>
      <c r="L358">
        <f>IFERROR(INDEX(Diccionario!$B:$B,MATCH(F358,Diccionario!$C:$C,0)),"")</f>
        <v/>
      </c>
      <c r="M358">
        <f>IFERROR(INDEX(Diccionario!$H:$H,MATCH(F358,Diccionario!$C:$C,0)),"")</f>
        <v/>
      </c>
      <c r="N358">
        <f>IFERROR(INDEX(Diccionario!$N:$N,MATCH(F358,Diccionario!$C:$C,0)),"")</f>
        <v/>
      </c>
    </row>
    <row r="359" ht="14.25" customHeight="1" s="52">
      <c r="A359" t="inlineStr">
        <is>
          <t>2025-04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Honorarios</t>
        </is>
      </c>
      <c r="I359" t="n">
        <v>6150000</v>
      </c>
      <c r="J359" t="inlineStr">
        <is>
          <t>COP</t>
        </is>
      </c>
      <c r="L359">
        <f>IFERROR(INDEX(Diccionario!$B:$B,MATCH(F359,Diccionario!$C:$C,0)),"")</f>
        <v/>
      </c>
      <c r="M359">
        <f>IFERROR(INDEX(Diccionario!$H:$H,MATCH(F359,Diccionario!$C:$C,0)),"")</f>
        <v/>
      </c>
      <c r="N359">
        <f>IFERROR(INDEX(Diccionario!$N:$N,MATCH(F359,Diccionario!$C:$C,0)),"")</f>
        <v/>
      </c>
    </row>
    <row r="360" ht="14.25" customHeight="1" s="52">
      <c r="A360" t="inlineStr">
        <is>
          <t>2025-04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Arrendamiento</t>
        </is>
      </c>
      <c r="I360" t="n">
        <v>9100000</v>
      </c>
      <c r="J360" t="inlineStr">
        <is>
          <t>COP</t>
        </is>
      </c>
      <c r="L360">
        <f>IFERROR(INDEX(Diccionario!$B:$B,MATCH(F360,Diccionario!$C:$C,0)),"")</f>
        <v/>
      </c>
      <c r="M360">
        <f>IFERROR(INDEX(Diccionario!$H:$H,MATCH(F360,Diccionario!$C:$C,0)),"")</f>
        <v/>
      </c>
      <c r="N360">
        <f>IFERROR(INDEX(Diccionario!$N:$N,MATCH(F360,Diccionario!$C:$C,0)),"")</f>
        <v/>
      </c>
    </row>
    <row r="361" ht="14.25" customHeight="1" s="52">
      <c r="A361" t="inlineStr">
        <is>
          <t>2025-04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Seguros</t>
        </is>
      </c>
      <c r="I361" t="n">
        <v>3400000</v>
      </c>
      <c r="J361" t="inlineStr">
        <is>
          <t>COP</t>
        </is>
      </c>
      <c r="L361">
        <f>IFERROR(INDEX(Diccionario!$B:$B,MATCH(F361,Diccionario!$C:$C,0)),"")</f>
        <v/>
      </c>
      <c r="M361">
        <f>IFERROR(INDEX(Diccionario!$H:$H,MATCH(F361,Diccionario!$C:$C,0)),"")</f>
        <v/>
      </c>
      <c r="N361">
        <f>IFERROR(INDEX(Diccionario!$N:$N,MATCH(F361,Diccionario!$C:$C,0)),"")</f>
        <v/>
      </c>
    </row>
    <row r="362" ht="14.25" customHeight="1" s="52">
      <c r="A362" t="inlineStr">
        <is>
          <t>2025-04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Servicios</t>
        </is>
      </c>
      <c r="I362" t="n">
        <v>6400000</v>
      </c>
      <c r="J362" t="inlineStr">
        <is>
          <t>COP</t>
        </is>
      </c>
      <c r="L362">
        <f>IFERROR(INDEX(Diccionario!$B:$B,MATCH(F362,Diccionario!$C:$C,0)),"")</f>
        <v/>
      </c>
      <c r="M362">
        <f>IFERROR(INDEX(Diccionario!$H:$H,MATCH(F362,Diccionario!$C:$C,0)),"")</f>
        <v/>
      </c>
      <c r="N362">
        <f>IFERROR(INDEX(Diccionario!$N:$N,MATCH(F362,Diccionario!$C:$C,0)),"")</f>
        <v/>
      </c>
    </row>
    <row r="363" ht="14.25" customHeight="1" s="52">
      <c r="A363" t="inlineStr">
        <is>
          <t>2025-04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Viajes</t>
        </is>
      </c>
      <c r="I363" t="n">
        <v>31100000</v>
      </c>
      <c r="J363" t="inlineStr">
        <is>
          <t>COP</t>
        </is>
      </c>
      <c r="L363">
        <f>IFERROR(INDEX(Diccionario!$B:$B,MATCH(F363,Diccionario!$C:$C,0)),"")</f>
        <v/>
      </c>
      <c r="M363">
        <f>IFERROR(INDEX(Diccionario!$H:$H,MATCH(F363,Diccionario!$C:$C,0)),"")</f>
        <v/>
      </c>
      <c r="N363">
        <f>IFERROR(INDEX(Diccionario!$N:$N,MATCH(F363,Diccionario!$C:$C,0)),"")</f>
        <v/>
      </c>
    </row>
    <row r="364" ht="14.25" customHeight="1" s="52">
      <c r="A364" t="inlineStr">
        <is>
          <t>2025-04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Diversos</t>
        </is>
      </c>
      <c r="I364" t="n">
        <v>2850000</v>
      </c>
      <c r="J364" t="inlineStr">
        <is>
          <t>COP</t>
        </is>
      </c>
      <c r="L364">
        <f>IFERROR(INDEX(Diccionario!$B:$B,MATCH(F364,Diccionario!$C:$C,0)),"")</f>
        <v/>
      </c>
      <c r="M364">
        <f>IFERROR(INDEX(Diccionario!$H:$H,MATCH(F364,Diccionario!$C:$C,0)),"")</f>
        <v/>
      </c>
      <c r="N364">
        <f>IFERROR(INDEX(Diccionario!$N:$N,MATCH(F364,Diccionario!$C:$C,0)),"")</f>
        <v/>
      </c>
    </row>
    <row r="365" ht="14.25" customHeight="1" s="52">
      <c r="A365" t="inlineStr">
        <is>
          <t>2025-05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Personal</t>
        </is>
      </c>
      <c r="I365" t="n">
        <v>60500000</v>
      </c>
      <c r="J365" t="inlineStr">
        <is>
          <t>COP</t>
        </is>
      </c>
      <c r="L365">
        <f>IFERROR(INDEX(Diccionario!$B:$B,MATCH(F365,Diccionario!$C:$C,0)),"")</f>
        <v/>
      </c>
      <c r="M365">
        <f>IFERROR(INDEX(Diccionario!$H:$H,MATCH(F365,Diccionario!$C:$C,0)),"")</f>
        <v/>
      </c>
      <c r="N365">
        <f>IFERROR(INDEX(Diccionario!$N:$N,MATCH(F365,Diccionario!$C:$C,0)),"")</f>
        <v/>
      </c>
    </row>
    <row r="366" ht="14.25" customHeight="1" s="52">
      <c r="A366" t="inlineStr">
        <is>
          <t>2025-05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Honorarios</t>
        </is>
      </c>
      <c r="I366" t="n">
        <v>16000000</v>
      </c>
      <c r="J366" t="inlineStr">
        <is>
          <t>COP</t>
        </is>
      </c>
      <c r="L366">
        <f>IFERROR(INDEX(Diccionario!$B:$B,MATCH(F366,Diccionario!$C:$C,0)),"")</f>
        <v/>
      </c>
      <c r="M366">
        <f>IFERROR(INDEX(Diccionario!$H:$H,MATCH(F366,Diccionario!$C:$C,0)),"")</f>
        <v/>
      </c>
      <c r="N366">
        <f>IFERROR(INDEX(Diccionario!$N:$N,MATCH(F366,Diccionario!$C:$C,0)),"")</f>
        <v/>
      </c>
    </row>
    <row r="367" ht="14.25" customHeight="1" s="52">
      <c r="A367" t="inlineStr">
        <is>
          <t>2025-05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Arrendamiento</t>
        </is>
      </c>
      <c r="I367" t="n">
        <v>17400000</v>
      </c>
      <c r="J367" t="inlineStr">
        <is>
          <t>COP</t>
        </is>
      </c>
      <c r="L367">
        <f>IFERROR(INDEX(Diccionario!$B:$B,MATCH(F367,Diccionario!$C:$C,0)),"")</f>
        <v/>
      </c>
      <c r="M367">
        <f>IFERROR(INDEX(Diccionario!$H:$H,MATCH(F367,Diccionario!$C:$C,0)),"")</f>
        <v/>
      </c>
      <c r="N367">
        <f>IFERROR(INDEX(Diccionario!$N:$N,MATCH(F367,Diccionario!$C:$C,0)),"")</f>
        <v/>
      </c>
    </row>
    <row r="368" ht="14.25" customHeight="1" s="52">
      <c r="A368" t="inlineStr">
        <is>
          <t>2025-05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Seguros</t>
        </is>
      </c>
      <c r="I368" t="n">
        <v>3400000</v>
      </c>
      <c r="J368" t="inlineStr">
        <is>
          <t>COP</t>
        </is>
      </c>
      <c r="L368">
        <f>IFERROR(INDEX(Diccionario!$B:$B,MATCH(F368,Diccionario!$C:$C,0)),"")</f>
        <v/>
      </c>
      <c r="M368">
        <f>IFERROR(INDEX(Diccionario!$H:$H,MATCH(F368,Diccionario!$C:$C,0)),"")</f>
        <v/>
      </c>
      <c r="N368">
        <f>IFERROR(INDEX(Diccionario!$N:$N,MATCH(F368,Diccionario!$C:$C,0)),"")</f>
        <v/>
      </c>
    </row>
    <row r="369" ht="14.25" customHeight="1" s="52">
      <c r="A369" t="inlineStr">
        <is>
          <t>2025-05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Servicios</t>
        </is>
      </c>
      <c r="I369" t="n">
        <v>2100000</v>
      </c>
      <c r="J369" t="inlineStr">
        <is>
          <t>COP</t>
        </is>
      </c>
      <c r="L369">
        <f>IFERROR(INDEX(Diccionario!$B:$B,MATCH(F369,Diccionario!$C:$C,0)),"")</f>
        <v/>
      </c>
      <c r="M369">
        <f>IFERROR(INDEX(Diccionario!$H:$H,MATCH(F369,Diccionario!$C:$C,0)),"")</f>
        <v/>
      </c>
      <c r="N369">
        <f>IFERROR(INDEX(Diccionario!$N:$N,MATCH(F369,Diccionario!$C:$C,0)),"")</f>
        <v/>
      </c>
    </row>
    <row r="370" ht="14.25" customHeight="1" s="52">
      <c r="A370" t="inlineStr">
        <is>
          <t>2025-05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Viajes</t>
        </is>
      </c>
      <c r="I370" t="n">
        <v>20300000</v>
      </c>
      <c r="J370" t="inlineStr">
        <is>
          <t>COP</t>
        </is>
      </c>
      <c r="L370">
        <f>IFERROR(INDEX(Diccionario!$B:$B,MATCH(F370,Diccionario!$C:$C,0)),"")</f>
        <v/>
      </c>
      <c r="M370">
        <f>IFERROR(INDEX(Diccionario!$H:$H,MATCH(F370,Diccionario!$C:$C,0)),"")</f>
        <v/>
      </c>
      <c r="N370">
        <f>IFERROR(INDEX(Diccionario!$N:$N,MATCH(F370,Diccionario!$C:$C,0)),"")</f>
        <v/>
      </c>
    </row>
    <row r="371" ht="14.25" customHeight="1" s="52">
      <c r="A371" t="inlineStr">
        <is>
          <t>2025-05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Diversos</t>
        </is>
      </c>
      <c r="I371" t="n">
        <v>1700000</v>
      </c>
      <c r="J371" t="inlineStr">
        <is>
          <t>COP</t>
        </is>
      </c>
      <c r="L371">
        <f>IFERROR(INDEX(Diccionario!$B:$B,MATCH(F371,Diccionario!$C:$C,0)),"")</f>
        <v/>
      </c>
      <c r="M371">
        <f>IFERROR(INDEX(Diccionario!$H:$H,MATCH(F371,Diccionario!$C:$C,0)),"")</f>
        <v/>
      </c>
      <c r="N371">
        <f>IFERROR(INDEX(Diccionario!$N:$N,MATCH(F371,Diccionario!$C:$C,0)),"")</f>
        <v/>
      </c>
    </row>
    <row r="372" ht="14.25" customHeight="1" s="52">
      <c r="A372" t="inlineStr">
        <is>
          <t>2025-06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Personal</t>
        </is>
      </c>
      <c r="I372" t="n">
        <v>60000000</v>
      </c>
      <c r="J372" t="inlineStr">
        <is>
          <t>COP</t>
        </is>
      </c>
      <c r="L372">
        <f>IFERROR(INDEX(Diccionario!$B:$B,MATCH(F372,Diccionario!$C:$C,0)),"")</f>
        <v/>
      </c>
      <c r="M372">
        <f>IFERROR(INDEX(Diccionario!$H:$H,MATCH(F372,Diccionario!$C:$C,0)),"")</f>
        <v/>
      </c>
      <c r="N372">
        <f>IFERROR(INDEX(Diccionario!$N:$N,MATCH(F372,Diccionario!$C:$C,0)),"")</f>
        <v/>
      </c>
    </row>
    <row r="373" ht="14.25" customHeight="1" s="52">
      <c r="A373" t="inlineStr">
        <is>
          <t>2025-06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Honorarios</t>
        </is>
      </c>
      <c r="I373" t="n">
        <v>9900000</v>
      </c>
      <c r="J373" t="inlineStr">
        <is>
          <t>COP</t>
        </is>
      </c>
      <c r="L373">
        <f>IFERROR(INDEX(Diccionario!$B:$B,MATCH(F373,Diccionario!$C:$C,0)),"")</f>
        <v/>
      </c>
      <c r="M373">
        <f>IFERROR(INDEX(Diccionario!$H:$H,MATCH(F373,Diccionario!$C:$C,0)),"")</f>
        <v/>
      </c>
      <c r="N373">
        <f>IFERROR(INDEX(Diccionario!$N:$N,MATCH(F373,Diccionario!$C:$C,0)),"")</f>
        <v/>
      </c>
    </row>
    <row r="374" ht="14.25" customHeight="1" s="52">
      <c r="A374" t="inlineStr">
        <is>
          <t>2025-06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1300000</v>
      </c>
      <c r="J374" t="inlineStr">
        <is>
          <t>COP</t>
        </is>
      </c>
      <c r="L374">
        <f>IFERROR(INDEX(Diccionario!$B:$B,MATCH(F374,Diccionario!$C:$C,0)),"")</f>
        <v/>
      </c>
      <c r="M374">
        <f>IFERROR(INDEX(Diccionario!$H:$H,MATCH(F374,Diccionario!$C:$C,0)),"")</f>
        <v/>
      </c>
      <c r="N374">
        <f>IFERROR(INDEX(Diccionario!$N:$N,MATCH(F374,Diccionario!$C:$C,0)),"")</f>
        <v/>
      </c>
    </row>
    <row r="375" ht="14.25" customHeight="1" s="52">
      <c r="A375" t="inlineStr">
        <is>
          <t>2025-06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Seguros</t>
        </is>
      </c>
      <c r="I375" t="n">
        <v>4200000</v>
      </c>
      <c r="J375" t="inlineStr">
        <is>
          <t>COP</t>
        </is>
      </c>
      <c r="L375">
        <f>IFERROR(INDEX(Diccionario!$B:$B,MATCH(F375,Diccionario!$C:$C,0)),"")</f>
        <v/>
      </c>
      <c r="M375">
        <f>IFERROR(INDEX(Diccionario!$H:$H,MATCH(F375,Diccionario!$C:$C,0)),"")</f>
        <v/>
      </c>
      <c r="N375">
        <f>IFERROR(INDEX(Diccionario!$N:$N,MATCH(F375,Diccionario!$C:$C,0)),"")</f>
        <v/>
      </c>
    </row>
    <row r="376" ht="14.25" customHeight="1" s="52">
      <c r="A376" t="inlineStr">
        <is>
          <t>2025-06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Servicios</t>
        </is>
      </c>
      <c r="I376" t="n">
        <v>17800000</v>
      </c>
      <c r="J376" t="inlineStr">
        <is>
          <t>COP</t>
        </is>
      </c>
      <c r="L376">
        <f>IFERROR(INDEX(Diccionario!$B:$B,MATCH(F376,Diccionario!$C:$C,0)),"")</f>
        <v/>
      </c>
      <c r="M376">
        <f>IFERROR(INDEX(Diccionario!$H:$H,MATCH(F376,Diccionario!$C:$C,0)),"")</f>
        <v/>
      </c>
      <c r="N376">
        <f>IFERROR(INDEX(Diccionario!$N:$N,MATCH(F376,Diccionario!$C:$C,0)),"")</f>
        <v/>
      </c>
    </row>
    <row r="377" ht="14.25" customHeight="1" s="52">
      <c r="A377" t="inlineStr">
        <is>
          <t>2025-06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Viajes</t>
        </is>
      </c>
      <c r="I377" t="n">
        <v>1100000</v>
      </c>
      <c r="J377" t="inlineStr">
        <is>
          <t>COP</t>
        </is>
      </c>
      <c r="L377">
        <f>IFERROR(INDEX(Diccionario!$B:$B,MATCH(F377,Diccionario!$C:$C,0)),"")</f>
        <v/>
      </c>
      <c r="M377">
        <f>IFERROR(INDEX(Diccionario!$H:$H,MATCH(F377,Diccionario!$C:$C,0)),"")</f>
        <v/>
      </c>
      <c r="N377">
        <f>IFERROR(INDEX(Diccionario!$N:$N,MATCH(F377,Diccionario!$C:$C,0)),"")</f>
        <v/>
      </c>
    </row>
    <row r="378" ht="14.25" customHeight="1" s="52">
      <c r="A378" t="inlineStr">
        <is>
          <t>2025-06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Diversos</t>
        </is>
      </c>
      <c r="I378" t="n">
        <v>2440000</v>
      </c>
      <c r="J378" t="inlineStr">
        <is>
          <t>COP</t>
        </is>
      </c>
      <c r="L378">
        <f>IFERROR(INDEX(Diccionario!$B:$B,MATCH(F378,Diccionario!$C:$C,0)),"")</f>
        <v/>
      </c>
      <c r="M378">
        <f>IFERROR(INDEX(Diccionario!$H:$H,MATCH(F378,Diccionario!$C:$C,0)),"")</f>
        <v/>
      </c>
      <c r="N378">
        <f>IFERROR(INDEX(Diccionario!$N:$N,MATCH(F378,Diccionario!$C:$C,0)),"")</f>
        <v/>
      </c>
    </row>
    <row r="379" ht="14.25" customHeight="1" s="52">
      <c r="A379" t="inlineStr">
        <is>
          <t>2025-07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Personal</t>
        </is>
      </c>
      <c r="I379" t="n">
        <v>60600000</v>
      </c>
      <c r="J379" t="inlineStr">
        <is>
          <t>COP</t>
        </is>
      </c>
      <c r="L379">
        <f>IFERROR(INDEX(Diccionario!$B:$B,MATCH(F379,Diccionario!$C:$C,0)),"")</f>
        <v/>
      </c>
      <c r="M379">
        <f>IFERROR(INDEX(Diccionario!$H:$H,MATCH(F379,Diccionario!$C:$C,0)),"")</f>
        <v/>
      </c>
      <c r="N379">
        <f>IFERROR(INDEX(Diccionario!$N:$N,MATCH(F379,Diccionario!$C:$C,0)),"")</f>
        <v/>
      </c>
    </row>
    <row r="380" ht="14.25" customHeight="1" s="52">
      <c r="A380" t="inlineStr">
        <is>
          <t>2025-07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Honorarios</t>
        </is>
      </c>
      <c r="I380" t="n">
        <v>16000000</v>
      </c>
      <c r="J380" t="inlineStr">
        <is>
          <t>COP</t>
        </is>
      </c>
      <c r="L380">
        <f>IFERROR(INDEX(Diccionario!$B:$B,MATCH(F380,Diccionario!$C:$C,0)),"")</f>
        <v/>
      </c>
      <c r="M380">
        <f>IFERROR(INDEX(Diccionario!$H:$H,MATCH(F380,Diccionario!$C:$C,0)),"")</f>
        <v/>
      </c>
      <c r="N380">
        <f>IFERROR(INDEX(Diccionario!$N:$N,MATCH(F380,Diccionario!$C:$C,0)),"")</f>
        <v/>
      </c>
    </row>
    <row r="381" ht="14.25" customHeight="1" s="52">
      <c r="A381" t="inlineStr">
        <is>
          <t>2025-07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Arrendamiento</t>
        </is>
      </c>
      <c r="I381" t="n">
        <v>16300000</v>
      </c>
      <c r="J381" t="inlineStr">
        <is>
          <t>COP</t>
        </is>
      </c>
      <c r="L381">
        <f>IFERROR(INDEX(Diccionario!$B:$B,MATCH(F381,Diccionario!$C:$C,0)),"")</f>
        <v/>
      </c>
      <c r="M381">
        <f>IFERROR(INDEX(Diccionario!$H:$H,MATCH(F381,Diccionario!$C:$C,0)),"")</f>
        <v/>
      </c>
      <c r="N381">
        <f>IFERROR(INDEX(Diccionario!$N:$N,MATCH(F381,Diccionario!$C:$C,0)),"")</f>
        <v/>
      </c>
    </row>
    <row r="382" ht="14.25" customHeight="1" s="52">
      <c r="A382" t="inlineStr">
        <is>
          <t>2025-07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Seguros</t>
        </is>
      </c>
      <c r="I382" t="n">
        <v>3400000</v>
      </c>
      <c r="J382" t="inlineStr">
        <is>
          <t>COP</t>
        </is>
      </c>
      <c r="L382">
        <f>IFERROR(INDEX(Diccionario!$B:$B,MATCH(F382,Diccionario!$C:$C,0)),"")</f>
        <v/>
      </c>
      <c r="M382">
        <f>IFERROR(INDEX(Diccionario!$H:$H,MATCH(F382,Diccionario!$C:$C,0)),"")</f>
        <v/>
      </c>
      <c r="N382">
        <f>IFERROR(INDEX(Diccionario!$N:$N,MATCH(F382,Diccionario!$C:$C,0)),"")</f>
        <v/>
      </c>
    </row>
    <row r="383" ht="14.25" customHeight="1" s="52">
      <c r="A383" t="inlineStr">
        <is>
          <t>2025-07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Servicios</t>
        </is>
      </c>
      <c r="I383" t="n">
        <v>9800000</v>
      </c>
      <c r="J383" t="inlineStr">
        <is>
          <t>COP</t>
        </is>
      </c>
      <c r="L383">
        <f>IFERROR(INDEX(Diccionario!$B:$B,MATCH(F383,Diccionario!$C:$C,0)),"")</f>
        <v/>
      </c>
      <c r="M383">
        <f>IFERROR(INDEX(Diccionario!$H:$H,MATCH(F383,Diccionario!$C:$C,0)),"")</f>
        <v/>
      </c>
      <c r="N383">
        <f>IFERROR(INDEX(Diccionario!$N:$N,MATCH(F383,Diccionario!$C:$C,0)),"")</f>
        <v/>
      </c>
    </row>
    <row r="384" ht="14.25" customHeight="1" s="52">
      <c r="A384" t="inlineStr">
        <is>
          <t>2025-07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Viajes</t>
        </is>
      </c>
      <c r="I384" t="n">
        <v>3100000</v>
      </c>
      <c r="J384" t="inlineStr">
        <is>
          <t>COP</t>
        </is>
      </c>
      <c r="L384">
        <f>IFERROR(INDEX(Diccionario!$B:$B,MATCH(F384,Diccionario!$C:$C,0)),"")</f>
        <v/>
      </c>
      <c r="M384">
        <f>IFERROR(INDEX(Diccionario!$H:$H,MATCH(F384,Diccionario!$C:$C,0)),"")</f>
        <v/>
      </c>
      <c r="N384">
        <f>IFERROR(INDEX(Diccionario!$N:$N,MATCH(F384,Diccionario!$C:$C,0)),"")</f>
        <v/>
      </c>
    </row>
    <row r="385" ht="14.25" customHeight="1" s="52">
      <c r="A385" t="inlineStr">
        <is>
          <t>2025-07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Diversos</t>
        </is>
      </c>
      <c r="I385" t="n">
        <v>8900000</v>
      </c>
      <c r="J385" t="inlineStr">
        <is>
          <t>COP</t>
        </is>
      </c>
      <c r="L385">
        <f>IFERROR(INDEX(Diccionario!$B:$B,MATCH(F385,Diccionario!$C:$C,0)),"")</f>
        <v/>
      </c>
      <c r="M385">
        <f>IFERROR(INDEX(Diccionario!$H:$H,MATCH(F385,Diccionario!$C:$C,0)),"")</f>
        <v/>
      </c>
      <c r="N385">
        <f>IFERROR(INDEX(Diccionario!$N:$N,MATCH(F385,Diccionario!$C:$C,0)),"")</f>
        <v/>
      </c>
    </row>
    <row r="386" ht="14.25" customHeight="1" s="52">
      <c r="A386" t="inlineStr">
        <is>
          <t>2025-08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Personal</t>
        </is>
      </c>
      <c r="I386" t="n">
        <v>62400000</v>
      </c>
      <c r="J386" t="inlineStr">
        <is>
          <t>COP</t>
        </is>
      </c>
      <c r="L386">
        <f>IFERROR(INDEX(Diccionario!$B:$B,MATCH(F386,Diccionario!$C:$C,0)),"")</f>
        <v/>
      </c>
      <c r="M386">
        <f>IFERROR(INDEX(Diccionario!$H:$H,MATCH(F386,Diccionario!$C:$C,0)),"")</f>
        <v/>
      </c>
      <c r="N386">
        <f>IFERROR(INDEX(Diccionario!$N:$N,MATCH(F386,Diccionario!$C:$C,0)),"")</f>
        <v/>
      </c>
    </row>
    <row r="387" ht="14.25" customHeight="1" s="52">
      <c r="A387" t="inlineStr">
        <is>
          <t>2025-08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Honorarios</t>
        </is>
      </c>
      <c r="I387" t="n">
        <v>6100000</v>
      </c>
      <c r="J387" t="inlineStr">
        <is>
          <t>COP</t>
        </is>
      </c>
      <c r="L387">
        <f>IFERROR(INDEX(Diccionario!$B:$B,MATCH(F387,Diccionario!$C:$C,0)),"")</f>
        <v/>
      </c>
      <c r="M387">
        <f>IFERROR(INDEX(Diccionario!$H:$H,MATCH(F387,Diccionario!$C:$C,0)),"")</f>
        <v/>
      </c>
      <c r="N387">
        <f>IFERROR(INDEX(Diccionario!$N:$N,MATCH(F387,Diccionario!$C:$C,0)),"")</f>
        <v/>
      </c>
    </row>
    <row r="388" ht="14.25" customHeight="1" s="52">
      <c r="A388" t="inlineStr">
        <is>
          <t>2025-08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Arrendamiento</t>
        </is>
      </c>
      <c r="I388" t="n">
        <v>16100000</v>
      </c>
      <c r="J388" t="inlineStr">
        <is>
          <t>COP</t>
        </is>
      </c>
      <c r="L388">
        <f>IFERROR(INDEX(Diccionario!$B:$B,MATCH(F388,Diccionario!$C:$C,0)),"")</f>
        <v/>
      </c>
      <c r="M388">
        <f>IFERROR(INDEX(Diccionario!$H:$H,MATCH(F388,Diccionario!$C:$C,0)),"")</f>
        <v/>
      </c>
      <c r="N388">
        <f>IFERROR(INDEX(Diccionario!$N:$N,MATCH(F388,Diccionario!$C:$C,0)),"")</f>
        <v/>
      </c>
    </row>
    <row r="389" ht="14.25" customHeight="1" s="52">
      <c r="A389" t="inlineStr">
        <is>
          <t>2025-08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Seguros</t>
        </is>
      </c>
      <c r="I389" t="n">
        <v>1800000</v>
      </c>
      <c r="J389" t="inlineStr">
        <is>
          <t>COP</t>
        </is>
      </c>
      <c r="L389">
        <f>IFERROR(INDEX(Diccionario!$B:$B,MATCH(F389,Diccionario!$C:$C,0)),"")</f>
        <v/>
      </c>
      <c r="M389">
        <f>IFERROR(INDEX(Diccionario!$H:$H,MATCH(F389,Diccionario!$C:$C,0)),"")</f>
        <v/>
      </c>
      <c r="N389">
        <f>IFERROR(INDEX(Diccionario!$N:$N,MATCH(F389,Diccionario!$C:$C,0)),"")</f>
        <v/>
      </c>
    </row>
    <row r="390" ht="14.25" customHeight="1" s="52">
      <c r="A390" t="inlineStr">
        <is>
          <t>2025-08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Servicios</t>
        </is>
      </c>
      <c r="I390" t="n">
        <v>3000000</v>
      </c>
      <c r="J390" t="inlineStr">
        <is>
          <t>COP</t>
        </is>
      </c>
      <c r="L390">
        <f>IFERROR(INDEX(Diccionario!$B:$B,MATCH(F390,Diccionario!$C:$C,0)),"")</f>
        <v/>
      </c>
      <c r="M390">
        <f>IFERROR(INDEX(Diccionario!$H:$H,MATCH(F390,Diccionario!$C:$C,0)),"")</f>
        <v/>
      </c>
      <c r="N390">
        <f>IFERROR(INDEX(Diccionario!$N:$N,MATCH(F390,Diccionario!$C:$C,0)),"")</f>
        <v/>
      </c>
    </row>
    <row r="391" ht="14.25" customHeight="1" s="52">
      <c r="A391" t="inlineStr">
        <is>
          <t>2025-08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Viajes</t>
        </is>
      </c>
      <c r="I391" t="n">
        <v>4300000</v>
      </c>
      <c r="J391" t="inlineStr">
        <is>
          <t>COP</t>
        </is>
      </c>
      <c r="L391">
        <f>IFERROR(INDEX(Diccionario!$B:$B,MATCH(F391,Diccionario!$C:$C,0)),"")</f>
        <v/>
      </c>
      <c r="M391">
        <f>IFERROR(INDEX(Diccionario!$H:$H,MATCH(F391,Diccionario!$C:$C,0)),"")</f>
        <v/>
      </c>
      <c r="N391">
        <f>IFERROR(INDEX(Diccionario!$N:$N,MATCH(F391,Diccionario!$C:$C,0)),"")</f>
        <v/>
      </c>
    </row>
    <row r="392" ht="14.25" customHeight="1" s="52">
      <c r="A392" t="inlineStr">
        <is>
          <t>2025-08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Diversos</t>
        </is>
      </c>
      <c r="I392" t="n">
        <v>27200000</v>
      </c>
      <c r="J392" t="inlineStr">
        <is>
          <t>COP</t>
        </is>
      </c>
      <c r="L392">
        <f>IFERROR(INDEX(Diccionario!$B:$B,MATCH(F392,Diccionario!$C:$C,0)),"")</f>
        <v/>
      </c>
      <c r="M392">
        <f>IFERROR(INDEX(Diccionario!$H:$H,MATCH(F392,Diccionario!$C:$C,0)),"")</f>
        <v/>
      </c>
      <c r="N392">
        <f>IFERROR(INDEX(Diccionario!$N:$N,MATCH(F392,Diccionario!$C:$C,0)),"")</f>
        <v/>
      </c>
    </row>
    <row r="393" ht="14.25" customHeight="1" s="52">
      <c r="A393" t="inlineStr">
        <is>
          <t>2025-09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Personal</t>
        </is>
      </c>
      <c r="I393" t="n">
        <v>66300000</v>
      </c>
      <c r="J393" t="inlineStr">
        <is>
          <t>COP</t>
        </is>
      </c>
      <c r="L393">
        <f>IFERROR(INDEX(Diccionario!$B:$B,MATCH(F393,Diccionario!$C:$C,0)),"")</f>
        <v/>
      </c>
      <c r="M393">
        <f>IFERROR(INDEX(Diccionario!$H:$H,MATCH(F393,Diccionario!$C:$C,0)),"")</f>
        <v/>
      </c>
      <c r="N393">
        <f>IFERROR(INDEX(Diccionario!$N:$N,MATCH(F393,Diccionario!$C:$C,0)),"")</f>
        <v/>
      </c>
    </row>
    <row r="394" ht="14.25" customHeight="1" s="52">
      <c r="A394" t="inlineStr">
        <is>
          <t>2025-09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Honorarios</t>
        </is>
      </c>
      <c r="I394" t="n">
        <v>20100000</v>
      </c>
      <c r="J394" t="inlineStr">
        <is>
          <t>COP</t>
        </is>
      </c>
      <c r="L394">
        <f>IFERROR(INDEX(Diccionario!$B:$B,MATCH(F394,Diccionario!$C:$C,0)),"")</f>
        <v/>
      </c>
      <c r="M394">
        <f>IFERROR(INDEX(Diccionario!$H:$H,MATCH(F394,Diccionario!$C:$C,0)),"")</f>
        <v/>
      </c>
      <c r="N394">
        <f>IFERROR(INDEX(Diccionario!$N:$N,MATCH(F394,Diccionario!$C:$C,0)),"")</f>
        <v/>
      </c>
    </row>
    <row r="395" ht="14.25" customHeight="1" s="52">
      <c r="A395" t="inlineStr">
        <is>
          <t>2025-09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Arrendamiento</t>
        </is>
      </c>
      <c r="I395" t="n">
        <v>12700000</v>
      </c>
      <c r="J395" t="inlineStr">
        <is>
          <t>COP</t>
        </is>
      </c>
      <c r="L395">
        <f>IFERROR(INDEX(Diccionario!$B:$B,MATCH(F395,Diccionario!$C:$C,0)),"")</f>
        <v/>
      </c>
      <c r="M395">
        <f>IFERROR(INDEX(Diccionario!$H:$H,MATCH(F395,Diccionario!$C:$C,0)),"")</f>
        <v/>
      </c>
      <c r="N395">
        <f>IFERROR(INDEX(Diccionario!$N:$N,MATCH(F395,Diccionario!$C:$C,0)),"")</f>
        <v/>
      </c>
    </row>
    <row r="396" ht="14.25" customHeight="1" s="52">
      <c r="A396" t="inlineStr">
        <is>
          <t>2025-09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Seguros</t>
        </is>
      </c>
      <c r="I396" t="n">
        <v>5800000</v>
      </c>
      <c r="J396" t="inlineStr">
        <is>
          <t>COP</t>
        </is>
      </c>
      <c r="L396">
        <f>IFERROR(INDEX(Diccionario!$B:$B,MATCH(F396,Diccionario!$C:$C,0)),"")</f>
        <v/>
      </c>
      <c r="M396">
        <f>IFERROR(INDEX(Diccionario!$H:$H,MATCH(F396,Diccionario!$C:$C,0)),"")</f>
        <v/>
      </c>
      <c r="N396">
        <f>IFERROR(INDEX(Diccionario!$N:$N,MATCH(F396,Diccionario!$C:$C,0)),"")</f>
        <v/>
      </c>
    </row>
    <row r="397" ht="14.25" customHeight="1" s="52">
      <c r="A397" t="inlineStr">
        <is>
          <t>2025-09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Servicios</t>
        </is>
      </c>
      <c r="I397" t="n">
        <v>6500000</v>
      </c>
      <c r="J397" t="inlineStr">
        <is>
          <t>COP</t>
        </is>
      </c>
      <c r="L397">
        <f>IFERROR(INDEX(Diccionario!$B:$B,MATCH(F397,Diccionario!$C:$C,0)),"")</f>
        <v/>
      </c>
      <c r="M397">
        <f>IFERROR(INDEX(Diccionario!$H:$H,MATCH(F397,Diccionario!$C:$C,0)),"")</f>
        <v/>
      </c>
      <c r="N397">
        <f>IFERROR(INDEX(Diccionario!$N:$N,MATCH(F397,Diccionario!$C:$C,0)),"")</f>
        <v/>
      </c>
    </row>
    <row r="398" ht="14.25" customHeight="1" s="52">
      <c r="A398" t="inlineStr">
        <is>
          <t>2025-09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Viajes</t>
        </is>
      </c>
      <c r="I398" t="n">
        <v>15100000</v>
      </c>
      <c r="J398" t="inlineStr">
        <is>
          <t>COP</t>
        </is>
      </c>
      <c r="L398">
        <f>IFERROR(INDEX(Diccionario!$B:$B,MATCH(F398,Diccionario!$C:$C,0)),"")</f>
        <v/>
      </c>
      <c r="M398">
        <f>IFERROR(INDEX(Diccionario!$H:$H,MATCH(F398,Diccionario!$C:$C,0)),"")</f>
        <v/>
      </c>
      <c r="N398">
        <f>IFERROR(INDEX(Diccionario!$N:$N,MATCH(F398,Diccionario!$C:$C,0)),"")</f>
        <v/>
      </c>
    </row>
    <row r="399" ht="14.25" customHeight="1" s="52">
      <c r="A399" t="inlineStr">
        <is>
          <t>2025-09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Diversos</t>
        </is>
      </c>
      <c r="I399" t="n">
        <v>8000000</v>
      </c>
      <c r="J399" t="inlineStr">
        <is>
          <t>COP</t>
        </is>
      </c>
      <c r="L399">
        <f>IFERROR(INDEX(Diccionario!$B:$B,MATCH(F399,Diccionario!$C:$C,0)),"")</f>
        <v/>
      </c>
      <c r="M399">
        <f>IFERROR(INDEX(Diccionario!$H:$H,MATCH(F399,Diccionario!$C:$C,0)),"")</f>
        <v/>
      </c>
      <c r="N399">
        <f>IFERROR(INDEX(Diccionario!$N:$N,MATCH(F399,Diccionario!$C:$C,0)),"")</f>
        <v/>
      </c>
    </row>
    <row r="400" ht="14.25" customHeight="1" s="52">
      <c r="A400" t="inlineStr">
        <is>
          <t>2025-10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Personal</t>
        </is>
      </c>
      <c r="I400" t="n">
        <v>59600000</v>
      </c>
      <c r="J400" t="inlineStr">
        <is>
          <t>COP</t>
        </is>
      </c>
      <c r="L400">
        <f>IFERROR(INDEX(Diccionario!$B:$B,MATCH(F400,Diccionario!$C:$C,0)),"")</f>
        <v/>
      </c>
      <c r="M400">
        <f>IFERROR(INDEX(Diccionario!$H:$H,MATCH(F400,Diccionario!$C:$C,0)),"")</f>
        <v/>
      </c>
      <c r="N400">
        <f>IFERROR(INDEX(Diccionario!$N:$N,MATCH(F400,Diccionario!$C:$C,0)),"")</f>
        <v/>
      </c>
    </row>
    <row r="401" ht="14.25" customHeight="1" s="52">
      <c r="A401" t="inlineStr">
        <is>
          <t>2025-10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Honorarios</t>
        </is>
      </c>
      <c r="I401" t="n">
        <v>9700000</v>
      </c>
      <c r="J401" t="inlineStr">
        <is>
          <t>COP</t>
        </is>
      </c>
      <c r="L401">
        <f>IFERROR(INDEX(Diccionario!$B:$B,MATCH(F401,Diccionario!$C:$C,0)),"")</f>
        <v/>
      </c>
      <c r="M401">
        <f>IFERROR(INDEX(Diccionario!$H:$H,MATCH(F401,Diccionario!$C:$C,0)),"")</f>
        <v/>
      </c>
      <c r="N401">
        <f>IFERROR(INDEX(Diccionario!$N:$N,MATCH(F401,Diccionario!$C:$C,0)),"")</f>
        <v/>
      </c>
    </row>
    <row r="402" ht="14.25" customHeight="1" s="52">
      <c r="A402" t="inlineStr">
        <is>
          <t>2025-10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Arrendamiento</t>
        </is>
      </c>
      <c r="I402" t="n">
        <v>4600000</v>
      </c>
      <c r="J402" t="inlineStr">
        <is>
          <t>COP</t>
        </is>
      </c>
      <c r="L402">
        <f>IFERROR(INDEX(Diccionario!$B:$B,MATCH(F402,Diccionario!$C:$C,0)),"")</f>
        <v/>
      </c>
      <c r="M402">
        <f>IFERROR(INDEX(Diccionario!$H:$H,MATCH(F402,Diccionario!$C:$C,0)),"")</f>
        <v/>
      </c>
      <c r="N402">
        <f>IFERROR(INDEX(Diccionario!$N:$N,MATCH(F402,Diccionario!$C:$C,0)),"")</f>
        <v/>
      </c>
    </row>
    <row r="403" ht="14.25" customHeight="1" s="52">
      <c r="A403" t="inlineStr">
        <is>
          <t>2025-10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Seguros</t>
        </is>
      </c>
      <c r="I403" t="n">
        <v>2800000</v>
      </c>
      <c r="J403" t="inlineStr">
        <is>
          <t>COP</t>
        </is>
      </c>
      <c r="L403">
        <f>IFERROR(INDEX(Diccionario!$B:$B,MATCH(F403,Diccionario!$C:$C,0)),"")</f>
        <v/>
      </c>
      <c r="M403">
        <f>IFERROR(INDEX(Diccionario!$H:$H,MATCH(F403,Diccionario!$C:$C,0)),"")</f>
        <v/>
      </c>
      <c r="N403">
        <f>IFERROR(INDEX(Diccionario!$N:$N,MATCH(F403,Diccionario!$C:$C,0)),"")</f>
        <v/>
      </c>
    </row>
    <row r="404" ht="14.25" customHeight="1" s="52">
      <c r="A404" t="inlineStr">
        <is>
          <t>2025-10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Servicios</t>
        </is>
      </c>
      <c r="I404" t="n">
        <v>7600000</v>
      </c>
      <c r="J404" t="inlineStr">
        <is>
          <t>COP</t>
        </is>
      </c>
      <c r="L404">
        <f>IFERROR(INDEX(Diccionario!$B:$B,MATCH(F404,Diccionario!$C:$C,0)),"")</f>
        <v/>
      </c>
      <c r="M404">
        <f>IFERROR(INDEX(Diccionario!$H:$H,MATCH(F404,Diccionario!$C:$C,0)),"")</f>
        <v/>
      </c>
      <c r="N404">
        <f>IFERROR(INDEX(Diccionario!$N:$N,MATCH(F404,Diccionario!$C:$C,0)),"")</f>
        <v/>
      </c>
    </row>
    <row r="405" ht="14.25" customHeight="1" s="52">
      <c r="A405" t="inlineStr">
        <is>
          <t>2025-10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Viajes</t>
        </is>
      </c>
      <c r="I405" t="n">
        <v>11500000</v>
      </c>
      <c r="J405" t="inlineStr">
        <is>
          <t>COP</t>
        </is>
      </c>
      <c r="L405">
        <f>IFERROR(INDEX(Diccionario!$B:$B,MATCH(F405,Diccionario!$C:$C,0)),"")</f>
        <v/>
      </c>
      <c r="M405">
        <f>IFERROR(INDEX(Diccionario!$H:$H,MATCH(F405,Diccionario!$C:$C,0)),"")</f>
        <v/>
      </c>
      <c r="N405">
        <f>IFERROR(INDEX(Diccionario!$N:$N,MATCH(F405,Diccionario!$C:$C,0)),"")</f>
        <v/>
      </c>
    </row>
    <row r="406" ht="14.25" customHeight="1" s="52">
      <c r="A406" t="inlineStr">
        <is>
          <t>2025-10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Diversos</t>
        </is>
      </c>
      <c r="I406" t="n">
        <v>33100000</v>
      </c>
      <c r="J406" t="inlineStr">
        <is>
          <t>COP</t>
        </is>
      </c>
      <c r="L406">
        <f>IFERROR(INDEX(Diccionario!$B:$B,MATCH(F406,Diccionario!$C:$C,0)),"")</f>
        <v/>
      </c>
      <c r="M406">
        <f>IFERROR(INDEX(Diccionario!$H:$H,MATCH(F406,Diccionario!$C:$C,0)),"")</f>
        <v/>
      </c>
      <c r="N406">
        <f>IFERROR(INDEX(Diccionario!$N:$N,MATCH(F406,Diccionario!$C:$C,0)),"")</f>
        <v/>
      </c>
    </row>
    <row r="407" ht="14.25" customHeight="1" s="52">
      <c r="A407" t="inlineStr">
        <is>
          <t>2025-11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Personal</t>
        </is>
      </c>
      <c r="I407" t="n">
        <v>55000000</v>
      </c>
      <c r="J407" t="inlineStr">
        <is>
          <t>COP</t>
        </is>
      </c>
      <c r="L407">
        <f>IFERROR(INDEX(Diccionario!$B:$B,MATCH(F407,Diccionario!$C:$C,0)),"")</f>
        <v/>
      </c>
      <c r="M407">
        <f>IFERROR(INDEX(Diccionario!$H:$H,MATCH(F407,Diccionario!$C:$C,0)),"")</f>
        <v/>
      </c>
      <c r="N407">
        <f>IFERROR(INDEX(Diccionario!$N:$N,MATCH(F407,Diccionario!$C:$C,0)),"")</f>
        <v/>
      </c>
    </row>
    <row r="408" ht="14.25" customHeight="1" s="52">
      <c r="A408" t="inlineStr">
        <is>
          <t>2025-11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Honorarios</t>
        </is>
      </c>
      <c r="I408" t="n">
        <v>2500000</v>
      </c>
      <c r="J408" t="inlineStr">
        <is>
          <t>COP</t>
        </is>
      </c>
      <c r="L408">
        <f>IFERROR(INDEX(Diccionario!$B:$B,MATCH(F408,Diccionario!$C:$C,0)),"")</f>
        <v/>
      </c>
      <c r="M408">
        <f>IFERROR(INDEX(Diccionario!$H:$H,MATCH(F408,Diccionario!$C:$C,0)),"")</f>
        <v/>
      </c>
      <c r="N408">
        <f>IFERROR(INDEX(Diccionario!$N:$N,MATCH(F408,Diccionario!$C:$C,0)),"")</f>
        <v/>
      </c>
    </row>
    <row r="409" ht="14.25" customHeight="1" s="52">
      <c r="A409" t="inlineStr">
        <is>
          <t>2025-11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Arrendamiento</t>
        </is>
      </c>
      <c r="I409" t="n">
        <v>12700000</v>
      </c>
      <c r="J409" t="inlineStr">
        <is>
          <t>COP</t>
        </is>
      </c>
      <c r="L409">
        <f>IFERROR(INDEX(Diccionario!$B:$B,MATCH(F409,Diccionario!$C:$C,0)),"")</f>
        <v/>
      </c>
      <c r="M409">
        <f>IFERROR(INDEX(Diccionario!$H:$H,MATCH(F409,Diccionario!$C:$C,0)),"")</f>
        <v/>
      </c>
      <c r="N409">
        <f>IFERROR(INDEX(Diccionario!$N:$N,MATCH(F409,Diccionario!$C:$C,0)),"")</f>
        <v/>
      </c>
    </row>
    <row r="410" ht="14.25" customHeight="1" s="52">
      <c r="A410" t="inlineStr">
        <is>
          <t>2025-11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Seguros</t>
        </is>
      </c>
      <c r="I410" t="n">
        <v>1500000</v>
      </c>
      <c r="J410" t="inlineStr">
        <is>
          <t>COP</t>
        </is>
      </c>
      <c r="L410">
        <f>IFERROR(INDEX(Diccionario!$B:$B,MATCH(F410,Diccionario!$C:$C,0)),"")</f>
        <v/>
      </c>
      <c r="M410">
        <f>IFERROR(INDEX(Diccionario!$H:$H,MATCH(F410,Diccionario!$C:$C,0)),"")</f>
        <v/>
      </c>
      <c r="N410">
        <f>IFERROR(INDEX(Diccionario!$N:$N,MATCH(F410,Diccionario!$C:$C,0)),"")</f>
        <v/>
      </c>
    </row>
    <row r="411" ht="14.25" customHeight="1" s="52">
      <c r="A411" t="inlineStr">
        <is>
          <t>2025-11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Servicios</t>
        </is>
      </c>
      <c r="I411" t="n">
        <v>4100000</v>
      </c>
      <c r="J411" t="inlineStr">
        <is>
          <t>COP</t>
        </is>
      </c>
      <c r="L411">
        <f>IFERROR(INDEX(Diccionario!$B:$B,MATCH(F411,Diccionario!$C:$C,0)),"")</f>
        <v/>
      </c>
      <c r="M411">
        <f>IFERROR(INDEX(Diccionario!$H:$H,MATCH(F411,Diccionario!$C:$C,0)),"")</f>
        <v/>
      </c>
      <c r="N411">
        <f>IFERROR(INDEX(Diccionario!$N:$N,MATCH(F411,Diccionario!$C:$C,0)),"")</f>
        <v/>
      </c>
    </row>
    <row r="412" ht="14.25" customHeight="1" s="52">
      <c r="A412" t="inlineStr">
        <is>
          <t>2025-11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Viajes</t>
        </is>
      </c>
      <c r="I412" t="n">
        <v>16600000</v>
      </c>
      <c r="J412" t="inlineStr">
        <is>
          <t>COP</t>
        </is>
      </c>
      <c r="L412">
        <f>IFERROR(INDEX(Diccionario!$B:$B,MATCH(F412,Diccionario!$C:$C,0)),"")</f>
        <v/>
      </c>
      <c r="M412">
        <f>IFERROR(INDEX(Diccionario!$H:$H,MATCH(F412,Diccionario!$C:$C,0)),"")</f>
        <v/>
      </c>
      <c r="N412">
        <f>IFERROR(INDEX(Diccionario!$N:$N,MATCH(F412,Diccionario!$C:$C,0)),"")</f>
        <v/>
      </c>
    </row>
    <row r="413" ht="14.25" customHeight="1" s="52">
      <c r="A413" t="inlineStr">
        <is>
          <t>2025-11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Diversos</t>
        </is>
      </c>
      <c r="I413" t="n">
        <v>53200000</v>
      </c>
      <c r="J413" t="inlineStr">
        <is>
          <t>COP</t>
        </is>
      </c>
      <c r="L413">
        <f>IFERROR(INDEX(Diccionario!$B:$B,MATCH(F413,Diccionario!$C:$C,0)),"")</f>
        <v/>
      </c>
      <c r="M413">
        <f>IFERROR(INDEX(Diccionario!$H:$H,MATCH(F413,Diccionario!$C:$C,0)),"")</f>
        <v/>
      </c>
      <c r="N413">
        <f>IFERROR(INDEX(Diccionario!$N:$N,MATCH(F413,Diccionario!$C:$C,0)),"")</f>
        <v/>
      </c>
    </row>
    <row r="414" ht="14.25" customHeight="1" s="52">
      <c r="A414" t="inlineStr">
        <is>
          <t>2025-12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Personal</t>
        </is>
      </c>
      <c r="I414" t="n">
        <v>40100000</v>
      </c>
      <c r="J414" t="inlineStr">
        <is>
          <t>COP</t>
        </is>
      </c>
      <c r="L414">
        <f>IFERROR(INDEX(Diccionario!$B:$B,MATCH(F414,Diccionario!$C:$C,0)),"")</f>
        <v/>
      </c>
      <c r="M414">
        <f>IFERROR(INDEX(Diccionario!$H:$H,MATCH(F414,Diccionario!$C:$C,0)),"")</f>
        <v/>
      </c>
      <c r="N414">
        <f>IFERROR(INDEX(Diccionario!$N:$N,MATCH(F414,Diccionario!$C:$C,0)),"")</f>
        <v/>
      </c>
    </row>
    <row r="415" ht="14.25" customHeight="1" s="52">
      <c r="A415" t="inlineStr">
        <is>
          <t>2025-12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Honorarios</t>
        </is>
      </c>
      <c r="I415" t="n">
        <v>9200000</v>
      </c>
      <c r="J415" t="inlineStr">
        <is>
          <t>COP</t>
        </is>
      </c>
      <c r="L415">
        <f>IFERROR(INDEX(Diccionario!$B:$B,MATCH(F415,Diccionario!$C:$C,0)),"")</f>
        <v/>
      </c>
      <c r="M415">
        <f>IFERROR(INDEX(Diccionario!$H:$H,MATCH(F415,Diccionario!$C:$C,0)),"")</f>
        <v/>
      </c>
      <c r="N415">
        <f>IFERROR(INDEX(Diccionario!$N:$N,MATCH(F415,Diccionario!$C:$C,0)),"")</f>
        <v/>
      </c>
    </row>
    <row r="416" ht="14.25" customHeight="1" s="52">
      <c r="A416" t="inlineStr">
        <is>
          <t>2025-12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Arrendamiento</t>
        </is>
      </c>
      <c r="I416" t="n">
        <v>12400000</v>
      </c>
      <c r="J416" t="inlineStr">
        <is>
          <t>COP</t>
        </is>
      </c>
      <c r="L416">
        <f>IFERROR(INDEX(Diccionario!$B:$B,MATCH(F416,Diccionario!$C:$C,0)),"")</f>
        <v/>
      </c>
      <c r="M416">
        <f>IFERROR(INDEX(Diccionario!$H:$H,MATCH(F416,Diccionario!$C:$C,0)),"")</f>
        <v/>
      </c>
      <c r="N416">
        <f>IFERROR(INDEX(Diccionario!$N:$N,MATCH(F416,Diccionario!$C:$C,0)),"")</f>
        <v/>
      </c>
    </row>
    <row r="417" ht="14.25" customHeight="1" s="52">
      <c r="A417" t="inlineStr">
        <is>
          <t>2025-12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Seguros</t>
        </is>
      </c>
      <c r="I417" t="n">
        <v>3000000</v>
      </c>
      <c r="J417" t="inlineStr">
        <is>
          <t>COP</t>
        </is>
      </c>
      <c r="L417">
        <f>IFERROR(INDEX(Diccionario!$B:$B,MATCH(F417,Diccionario!$C:$C,0)),"")</f>
        <v/>
      </c>
      <c r="M417">
        <f>IFERROR(INDEX(Diccionario!$H:$H,MATCH(F417,Diccionario!$C:$C,0)),"")</f>
        <v/>
      </c>
      <c r="N417">
        <f>IFERROR(INDEX(Diccionario!$N:$N,MATCH(F417,Diccionario!$C:$C,0)),"")</f>
        <v/>
      </c>
    </row>
    <row r="418" ht="14.25" customHeight="1" s="52">
      <c r="A418" t="inlineStr">
        <is>
          <t>2025-12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Servicios</t>
        </is>
      </c>
      <c r="I418" t="n">
        <v>5700000</v>
      </c>
      <c r="J418" t="inlineStr">
        <is>
          <t>COP</t>
        </is>
      </c>
      <c r="L418">
        <f>IFERROR(INDEX(Diccionario!$B:$B,MATCH(F418,Diccionario!$C:$C,0)),"")</f>
        <v/>
      </c>
      <c r="M418">
        <f>IFERROR(INDEX(Diccionario!$H:$H,MATCH(F418,Diccionario!$C:$C,0)),"")</f>
        <v/>
      </c>
      <c r="N418">
        <f>IFERROR(INDEX(Diccionario!$N:$N,MATCH(F418,Diccionario!$C:$C,0)),"")</f>
        <v/>
      </c>
    </row>
    <row r="419" ht="14.25" customHeight="1" s="52">
      <c r="A419" t="inlineStr">
        <is>
          <t>2025-12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Viajes</t>
        </is>
      </c>
      <c r="I419" t="n">
        <v>2900000</v>
      </c>
      <c r="J419" t="inlineStr">
        <is>
          <t>COP</t>
        </is>
      </c>
      <c r="L419">
        <f>IFERROR(INDEX(Diccionario!$B:$B,MATCH(F419,Diccionario!$C:$C,0)),"")</f>
        <v/>
      </c>
      <c r="M419">
        <f>IFERROR(INDEX(Diccionario!$H:$H,MATCH(F419,Diccionario!$C:$C,0)),"")</f>
        <v/>
      </c>
      <c r="N419">
        <f>IFERROR(INDEX(Diccionario!$N:$N,MATCH(F419,Diccionario!$C:$C,0)),"")</f>
        <v/>
      </c>
    </row>
    <row r="420" ht="14.25" customHeight="1" s="52">
      <c r="A420" t="inlineStr">
        <is>
          <t>2025-12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Diversos</t>
        </is>
      </c>
      <c r="I420" t="n">
        <v>9400000</v>
      </c>
      <c r="J420" t="inlineStr">
        <is>
          <t>COP</t>
        </is>
      </c>
      <c r="L420">
        <f>IFERROR(INDEX(Diccionario!$B:$B,MATCH(F420,Diccionario!$C:$C,0)),"")</f>
        <v/>
      </c>
      <c r="M420">
        <f>IFERROR(INDEX(Diccionario!$H:$H,MATCH(F420,Diccionario!$C:$C,0)),"")</f>
        <v/>
      </c>
      <c r="N420">
        <f>IFERROR(INDEX(Diccionario!$N:$N,MATCH(F420,Diccionario!$C:$C,0)),"")</f>
        <v/>
      </c>
    </row>
    <row r="421" ht="14.25" customHeight="1" s="52">
      <c r="A421" t="inlineStr">
        <is>
          <t>2026-01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Personal</t>
        </is>
      </c>
      <c r="I421" t="n">
        <v>58300000</v>
      </c>
      <c r="J421" t="inlineStr">
        <is>
          <t>COP</t>
        </is>
      </c>
      <c r="L421">
        <f>IFERROR(INDEX(Diccionario!$B:$B,MATCH(F421,Diccionario!$C:$C,0)),"")</f>
        <v/>
      </c>
      <c r="M421">
        <f>IFERROR(INDEX(Diccionario!$H:$H,MATCH(F421,Diccionario!$C:$C,0)),"")</f>
        <v/>
      </c>
      <c r="N421">
        <f>IFERROR(INDEX(Diccionario!$N:$N,MATCH(F421,Diccionario!$C:$C,0)),"")</f>
        <v/>
      </c>
    </row>
    <row r="422" ht="14.25" customHeight="1" s="52">
      <c r="A422" t="inlineStr">
        <is>
          <t>2026-01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Honorarios</t>
        </is>
      </c>
      <c r="I422" t="n">
        <v>6900000</v>
      </c>
      <c r="J422" t="inlineStr">
        <is>
          <t>COP</t>
        </is>
      </c>
      <c r="L422">
        <f>IFERROR(INDEX(Diccionario!$B:$B,MATCH(F422,Diccionario!$C:$C,0)),"")</f>
        <v/>
      </c>
      <c r="M422">
        <f>IFERROR(INDEX(Diccionario!$H:$H,MATCH(F422,Diccionario!$C:$C,0)),"")</f>
        <v/>
      </c>
      <c r="N422">
        <f>IFERROR(INDEX(Diccionario!$N:$N,MATCH(F422,Diccionario!$C:$C,0)),"")</f>
        <v/>
      </c>
    </row>
    <row r="423" ht="14.25" customHeight="1" s="52">
      <c r="A423" t="inlineStr">
        <is>
          <t>2026-01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Arrendamiento</t>
        </is>
      </c>
      <c r="I423" t="n">
        <v>12200000</v>
      </c>
      <c r="J423" t="inlineStr">
        <is>
          <t>COP</t>
        </is>
      </c>
      <c r="L423">
        <f>IFERROR(INDEX(Diccionario!$B:$B,MATCH(F423,Diccionario!$C:$C,0)),"")</f>
        <v/>
      </c>
      <c r="M423">
        <f>IFERROR(INDEX(Diccionario!$H:$H,MATCH(F423,Diccionario!$C:$C,0)),"")</f>
        <v/>
      </c>
      <c r="N423">
        <f>IFERROR(INDEX(Diccionario!$N:$N,MATCH(F423,Diccionario!$C:$C,0)),"")</f>
        <v/>
      </c>
    </row>
    <row r="424" ht="14.25" customHeight="1" s="52">
      <c r="A424" t="inlineStr">
        <is>
          <t>2026-01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Seguros</t>
        </is>
      </c>
      <c r="I424" t="n">
        <v>3500000</v>
      </c>
      <c r="J424" t="inlineStr">
        <is>
          <t>COP</t>
        </is>
      </c>
      <c r="L424">
        <f>IFERROR(INDEX(Diccionario!$B:$B,MATCH(F424,Diccionario!$C:$C,0)),"")</f>
        <v/>
      </c>
      <c r="M424">
        <f>IFERROR(INDEX(Diccionario!$H:$H,MATCH(F424,Diccionario!$C:$C,0)),"")</f>
        <v/>
      </c>
      <c r="N424">
        <f>IFERROR(INDEX(Diccionario!$N:$N,MATCH(F424,Diccionario!$C:$C,0)),"")</f>
        <v/>
      </c>
    </row>
    <row r="425" ht="14.25" customHeight="1" s="52">
      <c r="A425" t="inlineStr">
        <is>
          <t>2026-01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Servicios</t>
        </is>
      </c>
      <c r="I425" t="n">
        <v>6600000</v>
      </c>
      <c r="J425" t="inlineStr">
        <is>
          <t>COP</t>
        </is>
      </c>
      <c r="L425">
        <f>IFERROR(INDEX(Diccionario!$B:$B,MATCH(F425,Diccionario!$C:$C,0)),"")</f>
        <v/>
      </c>
      <c r="M425">
        <f>IFERROR(INDEX(Diccionario!$H:$H,MATCH(F425,Diccionario!$C:$C,0)),"")</f>
        <v/>
      </c>
      <c r="N425">
        <f>IFERROR(INDEX(Diccionario!$N:$N,MATCH(F425,Diccionario!$C:$C,0)),"")</f>
        <v/>
      </c>
    </row>
    <row r="426" ht="14.25" customHeight="1" s="52">
      <c r="A426" t="inlineStr">
        <is>
          <t>2026-01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Viajes</t>
        </is>
      </c>
      <c r="I426" t="n">
        <v>4200000</v>
      </c>
      <c r="J426" t="inlineStr">
        <is>
          <t>COP</t>
        </is>
      </c>
      <c r="L426">
        <f>IFERROR(INDEX(Diccionario!$B:$B,MATCH(F426,Diccionario!$C:$C,0)),"")</f>
        <v/>
      </c>
      <c r="M426">
        <f>IFERROR(INDEX(Diccionario!$H:$H,MATCH(F426,Diccionario!$C:$C,0)),"")</f>
        <v/>
      </c>
      <c r="N426">
        <f>IFERROR(INDEX(Diccionario!$N:$N,MATCH(F426,Diccionario!$C:$C,0)),"")</f>
        <v/>
      </c>
    </row>
    <row r="427" ht="14.25" customHeight="1" s="52">
      <c r="A427" t="inlineStr">
        <is>
          <t>2026-01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Diversos</t>
        </is>
      </c>
      <c r="I427" t="n">
        <v>6800000</v>
      </c>
      <c r="J427" t="inlineStr">
        <is>
          <t>COP</t>
        </is>
      </c>
      <c r="L427">
        <f>IFERROR(INDEX(Diccionario!$B:$B,MATCH(F427,Diccionario!$C:$C,0)),"")</f>
        <v/>
      </c>
      <c r="M427">
        <f>IFERROR(INDEX(Diccionario!$H:$H,MATCH(F427,Diccionario!$C:$C,0)),"")</f>
        <v/>
      </c>
      <c r="N427">
        <f>IFERROR(INDEX(Diccionario!$N:$N,MATCH(F427,Diccionario!$C:$C,0)),"")</f>
        <v/>
      </c>
    </row>
    <row r="428" ht="14.25" customHeight="1" s="52">
      <c r="A428" t="inlineStr">
        <is>
          <t>2026-02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Personal</t>
        </is>
      </c>
      <c r="I428" t="n">
        <v>62800000</v>
      </c>
      <c r="J428" t="inlineStr">
        <is>
          <t>COP</t>
        </is>
      </c>
      <c r="L428">
        <f>IFERROR(INDEX(Diccionario!$B:$B,MATCH(F428,Diccionario!$C:$C,0)),"")</f>
        <v/>
      </c>
      <c r="M428">
        <f>IFERROR(INDEX(Diccionario!$H:$H,MATCH(F428,Diccionario!$C:$C,0)),"")</f>
        <v/>
      </c>
      <c r="N428">
        <f>IFERROR(INDEX(Diccionario!$N:$N,MATCH(F428,Diccionario!$C:$C,0)),"")</f>
        <v/>
      </c>
    </row>
    <row r="429" ht="14.25" customHeight="1" s="52">
      <c r="A429" t="inlineStr">
        <is>
          <t>2026-02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Honorarios</t>
        </is>
      </c>
      <c r="I429" t="n">
        <v>10500000</v>
      </c>
      <c r="J429" t="inlineStr">
        <is>
          <t>COP</t>
        </is>
      </c>
      <c r="L429">
        <f>IFERROR(INDEX(Diccionario!$B:$B,MATCH(F429,Diccionario!$C:$C,0)),"")</f>
        <v/>
      </c>
      <c r="M429">
        <f>IFERROR(INDEX(Diccionario!$H:$H,MATCH(F429,Diccionario!$C:$C,0)),"")</f>
        <v/>
      </c>
      <c r="N429">
        <f>IFERROR(INDEX(Diccionario!$N:$N,MATCH(F429,Diccionario!$C:$C,0)),"")</f>
        <v/>
      </c>
    </row>
    <row r="430" ht="14.25" customHeight="1" s="52">
      <c r="A430" t="inlineStr">
        <is>
          <t>2026-02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Arrendamiento</t>
        </is>
      </c>
      <c r="I430" t="n">
        <v>12000000</v>
      </c>
      <c r="J430" t="inlineStr">
        <is>
          <t>COP</t>
        </is>
      </c>
      <c r="L430">
        <f>IFERROR(INDEX(Diccionario!$B:$B,MATCH(F430,Diccionario!$C:$C,0)),"")</f>
        <v/>
      </c>
      <c r="M430">
        <f>IFERROR(INDEX(Diccionario!$H:$H,MATCH(F430,Diccionario!$C:$C,0)),"")</f>
        <v/>
      </c>
      <c r="N430">
        <f>IFERROR(INDEX(Diccionario!$N:$N,MATCH(F430,Diccionario!$C:$C,0)),"")</f>
        <v/>
      </c>
    </row>
    <row r="431" ht="14.25" customHeight="1" s="52">
      <c r="A431" t="inlineStr">
        <is>
          <t>2026-02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Seguros</t>
        </is>
      </c>
      <c r="I431" t="n">
        <v>3600000</v>
      </c>
      <c r="J431" t="inlineStr">
        <is>
          <t>COP</t>
        </is>
      </c>
      <c r="L431">
        <f>IFERROR(INDEX(Diccionario!$B:$B,MATCH(F431,Diccionario!$C:$C,0)),"")</f>
        <v/>
      </c>
      <c r="M431">
        <f>IFERROR(INDEX(Diccionario!$H:$H,MATCH(F431,Diccionario!$C:$C,0)),"")</f>
        <v/>
      </c>
      <c r="N431">
        <f>IFERROR(INDEX(Diccionario!$N:$N,MATCH(F431,Diccionario!$C:$C,0)),"")</f>
        <v/>
      </c>
    </row>
    <row r="432" ht="14.25" customHeight="1" s="52">
      <c r="A432" t="inlineStr">
        <is>
          <t>2026-02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Servicios</t>
        </is>
      </c>
      <c r="I432" t="n">
        <v>3300000</v>
      </c>
      <c r="J432" t="inlineStr">
        <is>
          <t>COP</t>
        </is>
      </c>
      <c r="L432">
        <f>IFERROR(INDEX(Diccionario!$B:$B,MATCH(F432,Diccionario!$C:$C,0)),"")</f>
        <v/>
      </c>
      <c r="M432">
        <f>IFERROR(INDEX(Diccionario!$H:$H,MATCH(F432,Diccionario!$C:$C,0)),"")</f>
        <v/>
      </c>
      <c r="N432">
        <f>IFERROR(INDEX(Diccionario!$N:$N,MATCH(F432,Diccionario!$C:$C,0)),"")</f>
        <v/>
      </c>
    </row>
    <row r="433" ht="14.25" customHeight="1" s="52">
      <c r="A433" t="inlineStr">
        <is>
          <t>2026-02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Viajes</t>
        </is>
      </c>
      <c r="I433" t="n">
        <v>3600000</v>
      </c>
      <c r="J433" t="inlineStr">
        <is>
          <t>COP</t>
        </is>
      </c>
      <c r="L433">
        <f>IFERROR(INDEX(Diccionario!$B:$B,MATCH(F433,Diccionario!$C:$C,0)),"")</f>
        <v/>
      </c>
      <c r="M433">
        <f>IFERROR(INDEX(Diccionario!$H:$H,MATCH(F433,Diccionario!$C:$C,0)),"")</f>
        <v/>
      </c>
      <c r="N433">
        <f>IFERROR(INDEX(Diccionario!$N:$N,MATCH(F433,Diccionario!$C:$C,0)),"")</f>
        <v/>
      </c>
    </row>
    <row r="434" ht="14.25" customHeight="1" s="52">
      <c r="A434" t="inlineStr">
        <is>
          <t>2026-02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Diversos</t>
        </is>
      </c>
      <c r="I434" t="n">
        <v>5900000</v>
      </c>
      <c r="J434" t="inlineStr">
        <is>
          <t>COP</t>
        </is>
      </c>
      <c r="L434">
        <f>IFERROR(INDEX(Diccionario!$B:$B,MATCH(F434,Diccionario!$C:$C,0)),"")</f>
        <v/>
      </c>
      <c r="M434">
        <f>IFERROR(INDEX(Diccionario!$H:$H,MATCH(F434,Diccionario!$C:$C,0)),"")</f>
        <v/>
      </c>
      <c r="N434">
        <f>IFERROR(INDEX(Diccionario!$N:$N,MATCH(F434,Diccionario!$C:$C,0)),"")</f>
        <v/>
      </c>
    </row>
    <row r="435" ht="14.25" customHeight="1" s="52">
      <c r="A435" t="inlineStr">
        <is>
          <t>2026-03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Personal</t>
        </is>
      </c>
      <c r="I435" t="n">
        <v>68200000</v>
      </c>
      <c r="J435" t="inlineStr">
        <is>
          <t>COP</t>
        </is>
      </c>
      <c r="L435">
        <f>IFERROR(INDEX(Diccionario!$B:$B,MATCH(F435,Diccionario!$C:$C,0)),"")</f>
        <v/>
      </c>
      <c r="M435">
        <f>IFERROR(INDEX(Diccionario!$H:$H,MATCH(F435,Diccionario!$C:$C,0)),"")</f>
        <v/>
      </c>
      <c r="N435">
        <f>IFERROR(INDEX(Diccionario!$N:$N,MATCH(F435,Diccionario!$C:$C,0)),"")</f>
        <v/>
      </c>
    </row>
    <row r="436" ht="14.25" customHeight="1" s="52">
      <c r="A436" t="inlineStr">
        <is>
          <t>2026-03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29900000</v>
      </c>
      <c r="J436" t="inlineStr">
        <is>
          <t>COP</t>
        </is>
      </c>
      <c r="L436">
        <f>IFERROR(INDEX(Diccionario!$B:$B,MATCH(F436,Diccionario!$C:$C,0)),"")</f>
        <v/>
      </c>
      <c r="M436">
        <f>IFERROR(INDEX(Diccionario!$H:$H,MATCH(F436,Diccionario!$C:$C,0)),"")</f>
        <v/>
      </c>
      <c r="N436">
        <f>IFERROR(INDEX(Diccionario!$N:$N,MATCH(F436,Diccionario!$C:$C,0)),"")</f>
        <v/>
      </c>
    </row>
    <row r="437" ht="14.25" customHeight="1" s="52">
      <c r="A437" t="inlineStr">
        <is>
          <t>2026-03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Arrendamiento</t>
        </is>
      </c>
      <c r="I437" t="n">
        <v>10700000</v>
      </c>
      <c r="J437" t="inlineStr">
        <is>
          <t>COP</t>
        </is>
      </c>
      <c r="L437">
        <f>IFERROR(INDEX(Diccionario!$B:$B,MATCH(F437,Diccionario!$C:$C,0)),"")</f>
        <v/>
      </c>
      <c r="M437">
        <f>IFERROR(INDEX(Diccionario!$H:$H,MATCH(F437,Diccionario!$C:$C,0)),"")</f>
        <v/>
      </c>
      <c r="N437">
        <f>IFERROR(INDEX(Diccionario!$N:$N,MATCH(F437,Diccionario!$C:$C,0)),"")</f>
        <v/>
      </c>
    </row>
    <row r="438" ht="14.25" customHeight="1" s="52">
      <c r="A438" t="inlineStr">
        <is>
          <t>2026-03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1700000</v>
      </c>
      <c r="J438" t="inlineStr">
        <is>
          <t>COP</t>
        </is>
      </c>
      <c r="L438">
        <f>IFERROR(INDEX(Diccionario!$B:$B,MATCH(F438,Diccionario!$C:$C,0)),"")</f>
        <v/>
      </c>
      <c r="M438">
        <f>IFERROR(INDEX(Diccionario!$H:$H,MATCH(F438,Diccionario!$C:$C,0)),"")</f>
        <v/>
      </c>
      <c r="N438">
        <f>IFERROR(INDEX(Diccionario!$N:$N,MATCH(F438,Diccionario!$C:$C,0)),"")</f>
        <v/>
      </c>
    </row>
    <row r="439" ht="14.25" customHeight="1" s="52">
      <c r="A439" t="inlineStr">
        <is>
          <t>2026-03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4400000</v>
      </c>
      <c r="J439" t="inlineStr">
        <is>
          <t>COP</t>
        </is>
      </c>
      <c r="L439">
        <f>IFERROR(INDEX(Diccionario!$B:$B,MATCH(F439,Diccionario!$C:$C,0)),"")</f>
        <v/>
      </c>
      <c r="M439">
        <f>IFERROR(INDEX(Diccionario!$H:$H,MATCH(F439,Diccionario!$C:$C,0)),"")</f>
        <v/>
      </c>
      <c r="N439">
        <f>IFERROR(INDEX(Diccionario!$N:$N,MATCH(F439,Diccionario!$C:$C,0)),"")</f>
        <v/>
      </c>
    </row>
    <row r="440" ht="14.25" customHeight="1" s="52">
      <c r="A440" t="inlineStr">
        <is>
          <t>2026-03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5100000</v>
      </c>
      <c r="J440" t="inlineStr">
        <is>
          <t>COP</t>
        </is>
      </c>
      <c r="L440">
        <f>IFERROR(INDEX(Diccionario!$B:$B,MATCH(F440,Diccionario!$C:$C,0)),"")</f>
        <v/>
      </c>
      <c r="M440">
        <f>IFERROR(INDEX(Diccionario!$H:$H,MATCH(F440,Diccionario!$C:$C,0)),"")</f>
        <v/>
      </c>
      <c r="N440">
        <f>IFERROR(INDEX(Diccionario!$N:$N,MATCH(F440,Diccionario!$C:$C,0)),"")</f>
        <v/>
      </c>
    </row>
    <row r="441" ht="14.25" customHeight="1" s="52">
      <c r="A441" t="inlineStr">
        <is>
          <t>2026-03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Diversos</t>
        </is>
      </c>
      <c r="I441" t="n">
        <v>14100000</v>
      </c>
      <c r="J441" t="inlineStr">
        <is>
          <t>COP</t>
        </is>
      </c>
      <c r="L441">
        <f>IFERROR(INDEX(Diccionario!$B:$B,MATCH(F441,Diccionario!$C:$C,0)),"")</f>
        <v/>
      </c>
      <c r="M441">
        <f>IFERROR(INDEX(Diccionario!$H:$H,MATCH(F441,Diccionario!$C:$C,0)),"")</f>
        <v/>
      </c>
      <c r="N441">
        <f>IFERROR(INDEX(Diccionario!$N:$N,MATCH(F441,Diccionario!$C:$C,0)),"")</f>
        <v/>
      </c>
    </row>
    <row r="442" ht="14.25" customHeight="1" s="52">
      <c r="A442" t="inlineStr">
        <is>
          <t>2026-04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Personal</t>
        </is>
      </c>
      <c r="I442" t="n">
        <v>57500000</v>
      </c>
      <c r="J442" t="inlineStr">
        <is>
          <t>COP</t>
        </is>
      </c>
      <c r="L442">
        <f>IFERROR(INDEX(Diccionario!$B:$B,MATCH(F442,Diccionario!$C:$C,0)),"")</f>
        <v/>
      </c>
      <c r="M442">
        <f>IFERROR(INDEX(Diccionario!$H:$H,MATCH(F442,Diccionario!$C:$C,0)),"")</f>
        <v/>
      </c>
      <c r="N442">
        <f>IFERROR(INDEX(Diccionario!$N:$N,MATCH(F442,Diccionario!$C:$C,0)),"")</f>
        <v/>
      </c>
    </row>
    <row r="443" ht="14.25" customHeight="1" s="52">
      <c r="A443" t="inlineStr">
        <is>
          <t>2026-04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Honorarios</t>
        </is>
      </c>
      <c r="I443" t="n">
        <v>19800000</v>
      </c>
      <c r="J443" t="inlineStr">
        <is>
          <t>COP</t>
        </is>
      </c>
      <c r="L443">
        <f>IFERROR(INDEX(Diccionario!$B:$B,MATCH(F443,Diccionario!$C:$C,0)),"")</f>
        <v/>
      </c>
      <c r="M443">
        <f>IFERROR(INDEX(Diccionario!$H:$H,MATCH(F443,Diccionario!$C:$C,0)),"")</f>
        <v/>
      </c>
      <c r="N443">
        <f>IFERROR(INDEX(Diccionario!$N:$N,MATCH(F443,Diccionario!$C:$C,0)),"")</f>
        <v/>
      </c>
    </row>
    <row r="444" ht="14.25" customHeight="1" s="52">
      <c r="A444" t="inlineStr">
        <is>
          <t>2026-04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gasto_admin</t>
        </is>
      </c>
      <c r="H444" t="inlineStr">
        <is>
          <t>Arrendamiento</t>
        </is>
      </c>
      <c r="I444" t="n">
        <v>10500000</v>
      </c>
      <c r="J444" t="inlineStr">
        <is>
          <t>COP</t>
        </is>
      </c>
      <c r="L444">
        <f>IFERROR(INDEX(Diccionario!$B:$B,MATCH(F444,Diccionario!$C:$C,0)),"")</f>
        <v/>
      </c>
      <c r="M444">
        <f>IFERROR(INDEX(Diccionario!$H:$H,MATCH(F444,Diccionario!$C:$C,0)),"")</f>
        <v/>
      </c>
      <c r="N444">
        <f>IFERROR(INDEX(Diccionario!$N:$N,MATCH(F444,Diccionario!$C:$C,0)),"")</f>
        <v/>
      </c>
    </row>
    <row r="445" ht="14.25" customHeight="1" s="52">
      <c r="A445" t="inlineStr">
        <is>
          <t>2026-04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gasto_admin</t>
        </is>
      </c>
      <c r="H445" t="inlineStr">
        <is>
          <t>Seguros</t>
        </is>
      </c>
      <c r="I445" t="n">
        <v>900000</v>
      </c>
      <c r="J445" t="inlineStr">
        <is>
          <t>COP</t>
        </is>
      </c>
      <c r="L445">
        <f>IFERROR(INDEX(Diccionario!$B:$B,MATCH(F445,Diccionario!$C:$C,0)),"")</f>
        <v/>
      </c>
      <c r="M445">
        <f>IFERROR(INDEX(Diccionario!$H:$H,MATCH(F445,Diccionario!$C:$C,0)),"")</f>
        <v/>
      </c>
      <c r="N445">
        <f>IFERROR(INDEX(Diccionario!$N:$N,MATCH(F445,Diccionario!$C:$C,0)),"")</f>
        <v/>
      </c>
    </row>
    <row r="446" ht="14.25" customHeight="1" s="52">
      <c r="A446" t="inlineStr">
        <is>
          <t>2026-04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gasto_admin</t>
        </is>
      </c>
      <c r="H446" t="inlineStr">
        <is>
          <t>Servicios</t>
        </is>
      </c>
      <c r="I446" t="n">
        <v>3600000</v>
      </c>
      <c r="J446" t="inlineStr">
        <is>
          <t>COP</t>
        </is>
      </c>
      <c r="L446">
        <f>IFERROR(INDEX(Diccionario!$B:$B,MATCH(F446,Diccionario!$C:$C,0)),"")</f>
        <v/>
      </c>
      <c r="M446">
        <f>IFERROR(INDEX(Diccionario!$H:$H,MATCH(F446,Diccionario!$C:$C,0)),"")</f>
        <v/>
      </c>
      <c r="N446">
        <f>IFERROR(INDEX(Diccionario!$N:$N,MATCH(F446,Diccionario!$C:$C,0)),"")</f>
        <v/>
      </c>
    </row>
    <row r="447" ht="14.25" customHeight="1" s="52">
      <c r="A447" t="inlineStr">
        <is>
          <t>2026-04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gasto_admin</t>
        </is>
      </c>
      <c r="H447" t="inlineStr">
        <is>
          <t>Viajes</t>
        </is>
      </c>
      <c r="I447" t="n">
        <v>0</v>
      </c>
      <c r="J447" t="inlineStr">
        <is>
          <t>COP</t>
        </is>
      </c>
      <c r="L447">
        <f>IFERROR(INDEX(Diccionario!$B:$B,MATCH(F447,Diccionario!$C:$C,0)),"")</f>
        <v/>
      </c>
      <c r="M447">
        <f>IFERROR(INDEX(Diccionario!$H:$H,MATCH(F447,Diccionario!$C:$C,0)),"")</f>
        <v/>
      </c>
      <c r="N447">
        <f>IFERROR(INDEX(Diccionario!$N:$N,MATCH(F447,Diccionario!$C:$C,0)),"")</f>
        <v/>
      </c>
    </row>
    <row r="448" ht="14.25" customHeight="1" s="52">
      <c r="A448" t="inlineStr">
        <is>
          <t>2026-04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gasto_admin</t>
        </is>
      </c>
      <c r="H448" t="inlineStr">
        <is>
          <t>Diversos</t>
        </is>
      </c>
      <c r="I448" t="n">
        <v>21600000</v>
      </c>
      <c r="J448" t="inlineStr">
        <is>
          <t>COP</t>
        </is>
      </c>
      <c r="L448">
        <f>IFERROR(INDEX(Diccionario!$B:$B,MATCH(F448,Diccionario!$C:$C,0)),"")</f>
        <v/>
      </c>
      <c r="M448">
        <f>IFERROR(INDEX(Diccionario!$H:$H,MATCH(F448,Diccionario!$C:$C,0)),"")</f>
        <v/>
      </c>
      <c r="N448">
        <f>IFERROR(INDEX(Diccionario!$N:$N,MATCH(F448,Diccionario!$C:$C,0)),"")</f>
        <v/>
      </c>
    </row>
    <row r="449" ht="14.25" customHeight="1" s="52">
      <c r="A449" t="inlineStr">
        <is>
          <t>2026-05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gasto_admin</t>
        </is>
      </c>
      <c r="H449" t="inlineStr">
        <is>
          <t>Personal</t>
        </is>
      </c>
      <c r="I449" t="n">
        <v>62300000</v>
      </c>
      <c r="J449" t="inlineStr">
        <is>
          <t>COP</t>
        </is>
      </c>
      <c r="L449">
        <f>IFERROR(INDEX(Diccionario!$B:$B,MATCH(F449,Diccionario!$C:$C,0)),"")</f>
        <v/>
      </c>
      <c r="M449">
        <f>IFERROR(INDEX(Diccionario!$H:$H,MATCH(F449,Diccionario!$C:$C,0)),"")</f>
        <v/>
      </c>
      <c r="N449">
        <f>IFERROR(INDEX(Diccionario!$N:$N,MATCH(F449,Diccionario!$C:$C,0)),"")</f>
        <v/>
      </c>
    </row>
    <row r="450" ht="14.25" customHeight="1" s="52">
      <c r="A450" t="inlineStr">
        <is>
          <t>2026-05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gasto_admin</t>
        </is>
      </c>
      <c r="H450" t="inlineStr">
        <is>
          <t>Honorarios</t>
        </is>
      </c>
      <c r="I450" t="n">
        <v>17100000</v>
      </c>
      <c r="J450" t="inlineStr">
        <is>
          <t>COP</t>
        </is>
      </c>
      <c r="L450">
        <f>IFERROR(INDEX(Diccionario!$B:$B,MATCH(F450,Diccionario!$C:$C,0)),"")</f>
        <v/>
      </c>
      <c r="M450">
        <f>IFERROR(INDEX(Diccionario!$H:$H,MATCH(F450,Diccionario!$C:$C,0)),"")</f>
        <v/>
      </c>
      <c r="N450">
        <f>IFERROR(INDEX(Diccionario!$N:$N,MATCH(F450,Diccionario!$C:$C,0)),"")</f>
        <v/>
      </c>
    </row>
    <row r="451" ht="14.25" customHeight="1" s="52">
      <c r="A451" t="inlineStr">
        <is>
          <t>2026-05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gasto_admin</t>
        </is>
      </c>
      <c r="H451" t="inlineStr">
        <is>
          <t>Arrendamiento</t>
        </is>
      </c>
      <c r="I451" t="n">
        <v>10100000</v>
      </c>
      <c r="J451" t="inlineStr">
        <is>
          <t>COP</t>
        </is>
      </c>
      <c r="L451">
        <f>IFERROR(INDEX(Diccionario!$B:$B,MATCH(F451,Diccionario!$C:$C,0)),"")</f>
        <v/>
      </c>
      <c r="M451">
        <f>IFERROR(INDEX(Diccionario!$H:$H,MATCH(F451,Diccionario!$C:$C,0)),"")</f>
        <v/>
      </c>
      <c r="N451">
        <f>IFERROR(INDEX(Diccionario!$N:$N,MATCH(F451,Diccionario!$C:$C,0)),"")</f>
        <v/>
      </c>
    </row>
    <row r="452" ht="14.25" customHeight="1" s="52">
      <c r="A452" t="inlineStr">
        <is>
          <t>2026-05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gasto_admin</t>
        </is>
      </c>
      <c r="H452" t="inlineStr">
        <is>
          <t>Seguros</t>
        </is>
      </c>
      <c r="I452" t="n">
        <v>900000</v>
      </c>
      <c r="J452" t="inlineStr">
        <is>
          <t>COP</t>
        </is>
      </c>
      <c r="L452">
        <f>IFERROR(INDEX(Diccionario!$B:$B,MATCH(F452,Diccionario!$C:$C,0)),"")</f>
        <v/>
      </c>
      <c r="M452">
        <f>IFERROR(INDEX(Diccionario!$H:$H,MATCH(F452,Diccionario!$C:$C,0)),"")</f>
        <v/>
      </c>
      <c r="N452">
        <f>IFERROR(INDEX(Diccionario!$N:$N,MATCH(F452,Diccionario!$C:$C,0)),"")</f>
        <v/>
      </c>
    </row>
    <row r="453" ht="14.25" customHeight="1" s="52">
      <c r="A453" t="inlineStr">
        <is>
          <t>2026-05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gasto_admin</t>
        </is>
      </c>
      <c r="H453" t="inlineStr">
        <is>
          <t>Servicios</t>
        </is>
      </c>
      <c r="I453" t="n">
        <v>6600000</v>
      </c>
      <c r="J453" t="inlineStr">
        <is>
          <t>COP</t>
        </is>
      </c>
      <c r="L453">
        <f>IFERROR(INDEX(Diccionario!$B:$B,MATCH(F453,Diccionario!$C:$C,0)),"")</f>
        <v/>
      </c>
      <c r="M453">
        <f>IFERROR(INDEX(Diccionario!$H:$H,MATCH(F453,Diccionario!$C:$C,0)),"")</f>
        <v/>
      </c>
      <c r="N453">
        <f>IFERROR(INDEX(Diccionario!$N:$N,MATCH(F453,Diccionario!$C:$C,0)),"")</f>
        <v/>
      </c>
    </row>
    <row r="454" ht="14.25" customHeight="1" s="52">
      <c r="A454" t="inlineStr">
        <is>
          <t>2026-05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gasto_admin</t>
        </is>
      </c>
      <c r="H454" t="inlineStr">
        <is>
          <t>Viajes</t>
        </is>
      </c>
      <c r="I454" t="n">
        <v>5200000</v>
      </c>
      <c r="J454" t="inlineStr">
        <is>
          <t>COP</t>
        </is>
      </c>
      <c r="L454">
        <f>IFERROR(INDEX(Diccionario!$B:$B,MATCH(F454,Diccionario!$C:$C,0)),"")</f>
        <v/>
      </c>
      <c r="M454">
        <f>IFERROR(INDEX(Diccionario!$H:$H,MATCH(F454,Diccionario!$C:$C,0)),"")</f>
        <v/>
      </c>
      <c r="N454">
        <f>IFERROR(INDEX(Diccionario!$N:$N,MATCH(F454,Diccionario!$C:$C,0)),"")</f>
        <v/>
      </c>
    </row>
    <row r="455" ht="14.25" customHeight="1" s="52">
      <c r="A455" t="inlineStr">
        <is>
          <t>2026-05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gasto_admin</t>
        </is>
      </c>
      <c r="H455" t="inlineStr">
        <is>
          <t>Diversos</t>
        </is>
      </c>
      <c r="I455" t="n">
        <v>14100000</v>
      </c>
      <c r="J455" t="inlineStr">
        <is>
          <t>COP</t>
        </is>
      </c>
      <c r="L455">
        <f>IFERROR(INDEX(Diccionario!$B:$B,MATCH(F455,Diccionario!$C:$C,0)),"")</f>
        <v/>
      </c>
      <c r="M455">
        <f>IFERROR(INDEX(Diccionario!$H:$H,MATCH(F455,Diccionario!$C:$C,0)),"")</f>
        <v/>
      </c>
      <c r="N455">
        <f>IFERROR(INDEX(Diccionario!$N:$N,MATCH(F455,Diccionario!$C:$C,0)),"")</f>
        <v/>
      </c>
    </row>
    <row r="456" ht="14.25" customHeight="1" s="52">
      <c r="A456" t="inlineStr">
        <is>
          <t>2024-01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Infobip</t>
        </is>
      </c>
      <c r="I456" t="n">
        <v>85000000</v>
      </c>
      <c r="J456" t="inlineStr">
        <is>
          <t>COP</t>
        </is>
      </c>
      <c r="L456">
        <f>IFERROR(INDEX(Diccionario!$B:$B,MATCH(F456,Diccionario!$C:$C,0)),"")</f>
        <v/>
      </c>
      <c r="M456">
        <f>IFERROR(INDEX(Diccionario!$H:$H,MATCH(F456,Diccionario!$C:$C,0)),"")</f>
        <v/>
      </c>
      <c r="N456">
        <f>IFERROR(INDEX(Diccionario!$N:$N,MATCH(F456,Diccionario!$C:$C,0)),"")</f>
        <v/>
      </c>
    </row>
    <row r="457" ht="14.25" customHeight="1" s="52">
      <c r="A457" t="inlineStr">
        <is>
          <t>2024-01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IVA</t>
        </is>
      </c>
      <c r="I457" t="n">
        <v>0</v>
      </c>
      <c r="J457" t="inlineStr">
        <is>
          <t>COP</t>
        </is>
      </c>
      <c r="L457">
        <f>IFERROR(INDEX(Diccionario!$B:$B,MATCH(F457,Diccionario!$C:$C,0)),"")</f>
        <v/>
      </c>
      <c r="M457">
        <f>IFERROR(INDEX(Diccionario!$H:$H,MATCH(F457,Diccionario!$C:$C,0)),"")</f>
        <v/>
      </c>
      <c r="N457">
        <f>IFERROR(INDEX(Diccionario!$N:$N,MATCH(F457,Diccionario!$C:$C,0)),"")</f>
        <v/>
      </c>
    </row>
    <row r="458" ht="14.25" customHeight="1" s="52">
      <c r="A458" t="inlineStr">
        <is>
          <t>2024-01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AWS</t>
        </is>
      </c>
      <c r="I458" t="n">
        <v>25000000</v>
      </c>
      <c r="J458" t="inlineStr">
        <is>
          <t>COP</t>
        </is>
      </c>
      <c r="L458">
        <f>IFERROR(INDEX(Diccionario!$B:$B,MATCH(F458,Diccionario!$C:$C,0)),"")</f>
        <v/>
      </c>
      <c r="M458">
        <f>IFERROR(INDEX(Diccionario!$H:$H,MATCH(F458,Diccionario!$C:$C,0)),"")</f>
        <v/>
      </c>
      <c r="N458">
        <f>IFERROR(INDEX(Diccionario!$N:$N,MATCH(F458,Diccionario!$C:$C,0)),"")</f>
        <v/>
      </c>
    </row>
    <row r="459" ht="14.25" customHeight="1" s="52">
      <c r="A459" t="inlineStr">
        <is>
          <t>2024-01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B2Chat</t>
        </is>
      </c>
      <c r="I459" t="n">
        <v>1000000</v>
      </c>
      <c r="J459" t="inlineStr">
        <is>
          <t>COP</t>
        </is>
      </c>
      <c r="L459">
        <f>IFERROR(INDEX(Diccionario!$B:$B,MATCH(F459,Diccionario!$C:$C,0)),"")</f>
        <v/>
      </c>
      <c r="M459">
        <f>IFERROR(INDEX(Diccionario!$H:$H,MATCH(F459,Diccionario!$C:$C,0)),"")</f>
        <v/>
      </c>
      <c r="N459">
        <f>IFERROR(INDEX(Diccionario!$N:$N,MATCH(F459,Diccionario!$C:$C,0)),"")</f>
        <v/>
      </c>
    </row>
    <row r="460" ht="14.25" customHeight="1" s="52">
      <c r="A460" t="inlineStr">
        <is>
          <t>2024-01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Otros</t>
        </is>
      </c>
      <c r="I460" t="n">
        <v>22000000</v>
      </c>
      <c r="J460" t="inlineStr">
        <is>
          <t>COP</t>
        </is>
      </c>
      <c r="L460">
        <f>IFERROR(INDEX(Diccionario!$B:$B,MATCH(F460,Diccionario!$C:$C,0)),"")</f>
        <v/>
      </c>
      <c r="M460">
        <f>IFERROR(INDEX(Diccionario!$H:$H,MATCH(F460,Diccionario!$C:$C,0)),"")</f>
        <v/>
      </c>
      <c r="N460">
        <f>IFERROR(INDEX(Diccionario!$N:$N,MATCH(F460,Diccionario!$C:$C,0)),"")</f>
        <v/>
      </c>
    </row>
    <row r="461" ht="14.25" customHeight="1" s="52">
      <c r="A461" t="inlineStr">
        <is>
          <t>2024-02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Infobip</t>
        </is>
      </c>
      <c r="I461" t="n">
        <v>92000000</v>
      </c>
      <c r="J461" t="inlineStr">
        <is>
          <t>COP</t>
        </is>
      </c>
      <c r="L461">
        <f>IFERROR(INDEX(Diccionario!$B:$B,MATCH(F461,Diccionario!$C:$C,0)),"")</f>
        <v/>
      </c>
      <c r="M461">
        <f>IFERROR(INDEX(Diccionario!$H:$H,MATCH(F461,Diccionario!$C:$C,0)),"")</f>
        <v/>
      </c>
      <c r="N461">
        <f>IFERROR(INDEX(Diccionario!$N:$N,MATCH(F461,Diccionario!$C:$C,0)),"")</f>
        <v/>
      </c>
    </row>
    <row r="462" ht="14.25" customHeight="1" s="52">
      <c r="A462" t="inlineStr">
        <is>
          <t>2024-02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>
        <f>IFERROR(INDEX(Diccionario!$B:$B,MATCH(F462,Diccionario!$C:$C,0)),"")</f>
        <v/>
      </c>
      <c r="M462">
        <f>IFERROR(INDEX(Diccionario!$H:$H,MATCH(F462,Diccionario!$C:$C,0)),"")</f>
        <v/>
      </c>
      <c r="N462">
        <f>IFERROR(INDEX(Diccionario!$N:$N,MATCH(F462,Diccionario!$C:$C,0)),"")</f>
        <v/>
      </c>
    </row>
    <row r="463" ht="14.25" customHeight="1" s="52">
      <c r="A463" t="inlineStr">
        <is>
          <t>2024-02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AWS</t>
        </is>
      </c>
      <c r="I463" t="n">
        <v>17000000</v>
      </c>
      <c r="J463" t="inlineStr">
        <is>
          <t>COP</t>
        </is>
      </c>
      <c r="L463">
        <f>IFERROR(INDEX(Diccionario!$B:$B,MATCH(F463,Diccionario!$C:$C,0)),"")</f>
        <v/>
      </c>
      <c r="M463">
        <f>IFERROR(INDEX(Diccionario!$H:$H,MATCH(F463,Diccionario!$C:$C,0)),"")</f>
        <v/>
      </c>
      <c r="N463">
        <f>IFERROR(INDEX(Diccionario!$N:$N,MATCH(F463,Diccionario!$C:$C,0)),"")</f>
        <v/>
      </c>
    </row>
    <row r="464" ht="14.25" customHeight="1" s="52">
      <c r="A464" t="inlineStr">
        <is>
          <t>2024-02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B2Chat</t>
        </is>
      </c>
      <c r="I464" t="n">
        <v>1000000</v>
      </c>
      <c r="J464" t="inlineStr">
        <is>
          <t>COP</t>
        </is>
      </c>
      <c r="L464">
        <f>IFERROR(INDEX(Diccionario!$B:$B,MATCH(F464,Diccionario!$C:$C,0)),"")</f>
        <v/>
      </c>
      <c r="M464">
        <f>IFERROR(INDEX(Diccionario!$H:$H,MATCH(F464,Diccionario!$C:$C,0)),"")</f>
        <v/>
      </c>
      <c r="N464">
        <f>IFERROR(INDEX(Diccionario!$N:$N,MATCH(F464,Diccionario!$C:$C,0)),"")</f>
        <v/>
      </c>
    </row>
    <row r="465" ht="14.25" customHeight="1" s="52">
      <c r="A465" t="inlineStr">
        <is>
          <t>2024-02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Otros</t>
        </is>
      </c>
      <c r="I465" t="n">
        <v>5000000</v>
      </c>
      <c r="J465" t="inlineStr">
        <is>
          <t>COP</t>
        </is>
      </c>
      <c r="L465">
        <f>IFERROR(INDEX(Diccionario!$B:$B,MATCH(F465,Diccionario!$C:$C,0)),"")</f>
        <v/>
      </c>
      <c r="M465">
        <f>IFERROR(INDEX(Diccionario!$H:$H,MATCH(F465,Diccionario!$C:$C,0)),"")</f>
        <v/>
      </c>
      <c r="N465">
        <f>IFERROR(INDEX(Diccionario!$N:$N,MATCH(F465,Diccionario!$C:$C,0)),"")</f>
        <v/>
      </c>
    </row>
    <row r="466" ht="14.25" customHeight="1" s="52">
      <c r="A466" t="inlineStr">
        <is>
          <t>2024-03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Infobip</t>
        </is>
      </c>
      <c r="I466" t="n">
        <v>110000000</v>
      </c>
      <c r="J466" t="inlineStr">
        <is>
          <t>COP</t>
        </is>
      </c>
      <c r="L466">
        <f>IFERROR(INDEX(Diccionario!$B:$B,MATCH(F466,Diccionario!$C:$C,0)),"")</f>
        <v/>
      </c>
      <c r="M466">
        <f>IFERROR(INDEX(Diccionario!$H:$H,MATCH(F466,Diccionario!$C:$C,0)),"")</f>
        <v/>
      </c>
      <c r="N466">
        <f>IFERROR(INDEX(Diccionario!$N:$N,MATCH(F466,Diccionario!$C:$C,0)),"")</f>
        <v/>
      </c>
    </row>
    <row r="467" ht="14.25" customHeight="1" s="52">
      <c r="A467" t="inlineStr">
        <is>
          <t>2024-03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IVA</t>
        </is>
      </c>
      <c r="I467" t="n">
        <v>0</v>
      </c>
      <c r="J467" t="inlineStr">
        <is>
          <t>COP</t>
        </is>
      </c>
      <c r="L467">
        <f>IFERROR(INDEX(Diccionario!$B:$B,MATCH(F467,Diccionario!$C:$C,0)),"")</f>
        <v/>
      </c>
      <c r="M467">
        <f>IFERROR(INDEX(Diccionario!$H:$H,MATCH(F467,Diccionario!$C:$C,0)),"")</f>
        <v/>
      </c>
      <c r="N467">
        <f>IFERROR(INDEX(Diccionario!$N:$N,MATCH(F467,Diccionario!$C:$C,0)),"")</f>
        <v/>
      </c>
    </row>
    <row r="468" ht="14.25" customHeight="1" s="52">
      <c r="A468" t="inlineStr">
        <is>
          <t>2024-03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AWS</t>
        </is>
      </c>
      <c r="I468" t="n">
        <v>21000000</v>
      </c>
      <c r="J468" t="inlineStr">
        <is>
          <t>COP</t>
        </is>
      </c>
      <c r="L468">
        <f>IFERROR(INDEX(Diccionario!$B:$B,MATCH(F468,Diccionario!$C:$C,0)),"")</f>
        <v/>
      </c>
      <c r="M468">
        <f>IFERROR(INDEX(Diccionario!$H:$H,MATCH(F468,Diccionario!$C:$C,0)),"")</f>
        <v/>
      </c>
      <c r="N468">
        <f>IFERROR(INDEX(Diccionario!$N:$N,MATCH(F468,Diccionario!$C:$C,0)),"")</f>
        <v/>
      </c>
    </row>
    <row r="469" ht="14.25" customHeight="1" s="52">
      <c r="A469" t="inlineStr">
        <is>
          <t>2024-03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B2Chat</t>
        </is>
      </c>
      <c r="I469" t="n">
        <v>3000000</v>
      </c>
      <c r="J469" t="inlineStr">
        <is>
          <t>COP</t>
        </is>
      </c>
      <c r="L469">
        <f>IFERROR(INDEX(Diccionario!$B:$B,MATCH(F469,Diccionario!$C:$C,0)),"")</f>
        <v/>
      </c>
      <c r="M469">
        <f>IFERROR(INDEX(Diccionario!$H:$H,MATCH(F469,Diccionario!$C:$C,0)),"")</f>
        <v/>
      </c>
      <c r="N469">
        <f>IFERROR(INDEX(Diccionario!$N:$N,MATCH(F469,Diccionario!$C:$C,0)),"")</f>
        <v/>
      </c>
    </row>
    <row r="470" ht="14.25" customHeight="1" s="52">
      <c r="A470" t="inlineStr">
        <is>
          <t>2024-03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Otros</t>
        </is>
      </c>
      <c r="I470" t="n">
        <v>5000000</v>
      </c>
      <c r="J470" t="inlineStr">
        <is>
          <t>COP</t>
        </is>
      </c>
      <c r="L470">
        <f>IFERROR(INDEX(Diccionario!$B:$B,MATCH(F470,Diccionario!$C:$C,0)),"")</f>
        <v/>
      </c>
      <c r="M470">
        <f>IFERROR(INDEX(Diccionario!$H:$H,MATCH(F470,Diccionario!$C:$C,0)),"")</f>
        <v/>
      </c>
      <c r="N470">
        <f>IFERROR(INDEX(Diccionario!$N:$N,MATCH(F470,Diccionario!$C:$C,0)),"")</f>
        <v/>
      </c>
    </row>
    <row r="471" ht="14.25" customHeight="1" s="52">
      <c r="A471" t="inlineStr">
        <is>
          <t>2024-04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Infobip</t>
        </is>
      </c>
      <c r="I471" t="n">
        <v>107000000</v>
      </c>
      <c r="J471" t="inlineStr">
        <is>
          <t>COP</t>
        </is>
      </c>
      <c r="L471">
        <f>IFERROR(INDEX(Diccionario!$B:$B,MATCH(F471,Diccionario!$C:$C,0)),"")</f>
        <v/>
      </c>
      <c r="M471">
        <f>IFERROR(INDEX(Diccionario!$H:$H,MATCH(F471,Diccionario!$C:$C,0)),"")</f>
        <v/>
      </c>
      <c r="N471">
        <f>IFERROR(INDEX(Diccionario!$N:$N,MATCH(F471,Diccionario!$C:$C,0)),"")</f>
        <v/>
      </c>
    </row>
    <row r="472" ht="14.25" customHeight="1" s="52">
      <c r="A472" t="inlineStr">
        <is>
          <t>2024-04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IVA</t>
        </is>
      </c>
      <c r="I472" t="n">
        <v>0</v>
      </c>
      <c r="J472" t="inlineStr">
        <is>
          <t>COP</t>
        </is>
      </c>
      <c r="L472">
        <f>IFERROR(INDEX(Diccionario!$B:$B,MATCH(F472,Diccionario!$C:$C,0)),"")</f>
        <v/>
      </c>
      <c r="M472">
        <f>IFERROR(INDEX(Diccionario!$H:$H,MATCH(F472,Diccionario!$C:$C,0)),"")</f>
        <v/>
      </c>
      <c r="N472">
        <f>IFERROR(INDEX(Diccionario!$N:$N,MATCH(F472,Diccionario!$C:$C,0)),"")</f>
        <v/>
      </c>
    </row>
    <row r="473" ht="14.25" customHeight="1" s="52">
      <c r="A473" t="inlineStr">
        <is>
          <t>2024-04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AWS</t>
        </is>
      </c>
      <c r="I473" t="n">
        <v>18000000</v>
      </c>
      <c r="J473" t="inlineStr">
        <is>
          <t>COP</t>
        </is>
      </c>
      <c r="L473">
        <f>IFERROR(INDEX(Diccionario!$B:$B,MATCH(F473,Diccionario!$C:$C,0)),"")</f>
        <v/>
      </c>
      <c r="M473">
        <f>IFERROR(INDEX(Diccionario!$H:$H,MATCH(F473,Diccionario!$C:$C,0)),"")</f>
        <v/>
      </c>
      <c r="N473">
        <f>IFERROR(INDEX(Diccionario!$N:$N,MATCH(F473,Diccionario!$C:$C,0)),"")</f>
        <v/>
      </c>
    </row>
    <row r="474" ht="14.25" customHeight="1" s="52">
      <c r="A474" t="inlineStr">
        <is>
          <t>2024-04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B2Chat</t>
        </is>
      </c>
      <c r="I474" t="n">
        <v>2000000</v>
      </c>
      <c r="J474" t="inlineStr">
        <is>
          <t>COP</t>
        </is>
      </c>
      <c r="L474">
        <f>IFERROR(INDEX(Diccionario!$B:$B,MATCH(F474,Diccionario!$C:$C,0)),"")</f>
        <v/>
      </c>
      <c r="M474">
        <f>IFERROR(INDEX(Diccionario!$H:$H,MATCH(F474,Diccionario!$C:$C,0)),"")</f>
        <v/>
      </c>
      <c r="N474">
        <f>IFERROR(INDEX(Diccionario!$N:$N,MATCH(F474,Diccionario!$C:$C,0)),"")</f>
        <v/>
      </c>
    </row>
    <row r="475" ht="14.25" customHeight="1" s="52">
      <c r="A475" t="inlineStr">
        <is>
          <t>2024-04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Otros</t>
        </is>
      </c>
      <c r="I475" t="n">
        <v>4000000</v>
      </c>
      <c r="J475" t="inlineStr">
        <is>
          <t>COP</t>
        </is>
      </c>
      <c r="L475">
        <f>IFERROR(INDEX(Diccionario!$B:$B,MATCH(F475,Diccionario!$C:$C,0)),"")</f>
        <v/>
      </c>
      <c r="M475">
        <f>IFERROR(INDEX(Diccionario!$H:$H,MATCH(F475,Diccionario!$C:$C,0)),"")</f>
        <v/>
      </c>
      <c r="N475">
        <f>IFERROR(INDEX(Diccionario!$N:$N,MATCH(F475,Diccionario!$C:$C,0)),"")</f>
        <v/>
      </c>
    </row>
    <row r="476" ht="14.25" customHeight="1" s="52">
      <c r="A476" t="inlineStr">
        <is>
          <t>2024-05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Infobip</t>
        </is>
      </c>
      <c r="I476" t="n">
        <v>123000000</v>
      </c>
      <c r="J476" t="inlineStr">
        <is>
          <t>COP</t>
        </is>
      </c>
      <c r="L476">
        <f>IFERROR(INDEX(Diccionario!$B:$B,MATCH(F476,Diccionario!$C:$C,0)),"")</f>
        <v/>
      </c>
      <c r="M476">
        <f>IFERROR(INDEX(Diccionario!$H:$H,MATCH(F476,Diccionario!$C:$C,0)),"")</f>
        <v/>
      </c>
      <c r="N476">
        <f>IFERROR(INDEX(Diccionario!$N:$N,MATCH(F476,Diccionario!$C:$C,0)),"")</f>
        <v/>
      </c>
    </row>
    <row r="477" ht="14.25" customHeight="1" s="52">
      <c r="A477" t="inlineStr">
        <is>
          <t>2024-05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IVA</t>
        </is>
      </c>
      <c r="I477" t="n">
        <v>0</v>
      </c>
      <c r="J477" t="inlineStr">
        <is>
          <t>COP</t>
        </is>
      </c>
      <c r="L477">
        <f>IFERROR(INDEX(Diccionario!$B:$B,MATCH(F477,Diccionario!$C:$C,0)),"")</f>
        <v/>
      </c>
      <c r="M477">
        <f>IFERROR(INDEX(Diccionario!$H:$H,MATCH(F477,Diccionario!$C:$C,0)),"")</f>
        <v/>
      </c>
      <c r="N477">
        <f>IFERROR(INDEX(Diccionario!$N:$N,MATCH(F477,Diccionario!$C:$C,0)),"")</f>
        <v/>
      </c>
    </row>
    <row r="478" ht="14.25" customHeight="1" s="52">
      <c r="A478" t="inlineStr">
        <is>
          <t>2024-05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AWS</t>
        </is>
      </c>
      <c r="I478" t="n">
        <v>23000000</v>
      </c>
      <c r="J478" t="inlineStr">
        <is>
          <t>COP</t>
        </is>
      </c>
      <c r="L478">
        <f>IFERROR(INDEX(Diccionario!$B:$B,MATCH(F478,Diccionario!$C:$C,0)),"")</f>
        <v/>
      </c>
      <c r="M478">
        <f>IFERROR(INDEX(Diccionario!$H:$H,MATCH(F478,Diccionario!$C:$C,0)),"")</f>
        <v/>
      </c>
      <c r="N478">
        <f>IFERROR(INDEX(Diccionario!$N:$N,MATCH(F478,Diccionario!$C:$C,0)),"")</f>
        <v/>
      </c>
    </row>
    <row r="479" ht="14.25" customHeight="1" s="52">
      <c r="A479" t="inlineStr">
        <is>
          <t>2024-05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B2Chat</t>
        </is>
      </c>
      <c r="I479" t="n">
        <v>3000000</v>
      </c>
      <c r="J479" t="inlineStr">
        <is>
          <t>COP</t>
        </is>
      </c>
      <c r="L479">
        <f>IFERROR(INDEX(Diccionario!$B:$B,MATCH(F479,Diccionario!$C:$C,0)),"")</f>
        <v/>
      </c>
      <c r="M479">
        <f>IFERROR(INDEX(Diccionario!$H:$H,MATCH(F479,Diccionario!$C:$C,0)),"")</f>
        <v/>
      </c>
      <c r="N479">
        <f>IFERROR(INDEX(Diccionario!$N:$N,MATCH(F479,Diccionario!$C:$C,0)),"")</f>
        <v/>
      </c>
    </row>
    <row r="480" ht="14.25" customHeight="1" s="52">
      <c r="A480" t="inlineStr">
        <is>
          <t>2024-05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Otros</t>
        </is>
      </c>
      <c r="I480" t="n">
        <v>3000000</v>
      </c>
      <c r="J480" t="inlineStr">
        <is>
          <t>COP</t>
        </is>
      </c>
      <c r="L480">
        <f>IFERROR(INDEX(Diccionario!$B:$B,MATCH(F480,Diccionario!$C:$C,0)),"")</f>
        <v/>
      </c>
      <c r="M480">
        <f>IFERROR(INDEX(Diccionario!$H:$H,MATCH(F480,Diccionario!$C:$C,0)),"")</f>
        <v/>
      </c>
      <c r="N480">
        <f>IFERROR(INDEX(Diccionario!$N:$N,MATCH(F480,Diccionario!$C:$C,0)),"")</f>
        <v/>
      </c>
    </row>
    <row r="481" ht="14.25" customHeight="1" s="52">
      <c r="A481" t="inlineStr">
        <is>
          <t>2024-06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Infobip</t>
        </is>
      </c>
      <c r="I481" t="n">
        <v>143000000</v>
      </c>
      <c r="J481" t="inlineStr">
        <is>
          <t>COP</t>
        </is>
      </c>
      <c r="L481">
        <f>IFERROR(INDEX(Diccionario!$B:$B,MATCH(F481,Diccionario!$C:$C,0)),"")</f>
        <v/>
      </c>
      <c r="M481">
        <f>IFERROR(INDEX(Diccionario!$H:$H,MATCH(F481,Diccionario!$C:$C,0)),"")</f>
        <v/>
      </c>
      <c r="N481">
        <f>IFERROR(INDEX(Diccionario!$N:$N,MATCH(F481,Diccionario!$C:$C,0)),"")</f>
        <v/>
      </c>
    </row>
    <row r="482" ht="14.25" customHeight="1" s="52">
      <c r="A482" t="inlineStr">
        <is>
          <t>2024-06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IVA</t>
        </is>
      </c>
      <c r="I482" t="n">
        <v>0</v>
      </c>
      <c r="J482" t="inlineStr">
        <is>
          <t>COP</t>
        </is>
      </c>
      <c r="L482">
        <f>IFERROR(INDEX(Diccionario!$B:$B,MATCH(F482,Diccionario!$C:$C,0)),"")</f>
        <v/>
      </c>
      <c r="M482">
        <f>IFERROR(INDEX(Diccionario!$H:$H,MATCH(F482,Diccionario!$C:$C,0)),"")</f>
        <v/>
      </c>
      <c r="N482">
        <f>IFERROR(INDEX(Diccionario!$N:$N,MATCH(F482,Diccionario!$C:$C,0)),"")</f>
        <v/>
      </c>
    </row>
    <row r="483" ht="14.25" customHeight="1" s="52">
      <c r="A483" t="inlineStr">
        <is>
          <t>2024-06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AWS</t>
        </is>
      </c>
      <c r="I483" t="n">
        <v>17000000</v>
      </c>
      <c r="J483" t="inlineStr">
        <is>
          <t>COP</t>
        </is>
      </c>
      <c r="L483">
        <f>IFERROR(INDEX(Diccionario!$B:$B,MATCH(F483,Diccionario!$C:$C,0)),"")</f>
        <v/>
      </c>
      <c r="M483">
        <f>IFERROR(INDEX(Diccionario!$H:$H,MATCH(F483,Diccionario!$C:$C,0)),"")</f>
        <v/>
      </c>
      <c r="N483">
        <f>IFERROR(INDEX(Diccionario!$N:$N,MATCH(F483,Diccionario!$C:$C,0)),"")</f>
        <v/>
      </c>
    </row>
    <row r="484" ht="14.25" customHeight="1" s="52">
      <c r="A484" t="inlineStr">
        <is>
          <t>2024-06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B2Chat</t>
        </is>
      </c>
      <c r="I484" t="n">
        <v>4000000</v>
      </c>
      <c r="J484" t="inlineStr">
        <is>
          <t>COP</t>
        </is>
      </c>
      <c r="L484">
        <f>IFERROR(INDEX(Diccionario!$B:$B,MATCH(F484,Diccionario!$C:$C,0)),"")</f>
        <v/>
      </c>
      <c r="M484">
        <f>IFERROR(INDEX(Diccionario!$H:$H,MATCH(F484,Diccionario!$C:$C,0)),"")</f>
        <v/>
      </c>
      <c r="N484">
        <f>IFERROR(INDEX(Diccionario!$N:$N,MATCH(F484,Diccionario!$C:$C,0)),"")</f>
        <v/>
      </c>
    </row>
    <row r="485" ht="14.25" customHeight="1" s="52">
      <c r="A485" t="inlineStr">
        <is>
          <t>2024-06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Otros</t>
        </is>
      </c>
      <c r="I485" t="n">
        <v>3000000</v>
      </c>
      <c r="J485" t="inlineStr">
        <is>
          <t>COP</t>
        </is>
      </c>
      <c r="L485">
        <f>IFERROR(INDEX(Diccionario!$B:$B,MATCH(F485,Diccionario!$C:$C,0)),"")</f>
        <v/>
      </c>
      <c r="M485">
        <f>IFERROR(INDEX(Diccionario!$H:$H,MATCH(F485,Diccionario!$C:$C,0)),"")</f>
        <v/>
      </c>
      <c r="N485">
        <f>IFERROR(INDEX(Diccionario!$N:$N,MATCH(F485,Diccionario!$C:$C,0)),"")</f>
        <v/>
      </c>
    </row>
    <row r="486" ht="14.25" customHeight="1" s="52">
      <c r="A486" t="inlineStr">
        <is>
          <t>2024-07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Infobip</t>
        </is>
      </c>
      <c r="I486" t="n">
        <v>55000000</v>
      </c>
      <c r="J486" t="inlineStr">
        <is>
          <t>COP</t>
        </is>
      </c>
      <c r="L486">
        <f>IFERROR(INDEX(Diccionario!$B:$B,MATCH(F486,Diccionario!$C:$C,0)),"")</f>
        <v/>
      </c>
      <c r="M486">
        <f>IFERROR(INDEX(Diccionario!$H:$H,MATCH(F486,Diccionario!$C:$C,0)),"")</f>
        <v/>
      </c>
      <c r="N486">
        <f>IFERROR(INDEX(Diccionario!$N:$N,MATCH(F486,Diccionario!$C:$C,0)),"")</f>
        <v/>
      </c>
    </row>
    <row r="487" ht="14.25" customHeight="1" s="52">
      <c r="A487" t="inlineStr">
        <is>
          <t>2024-07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IVA</t>
        </is>
      </c>
      <c r="I487" t="n">
        <v>1000000</v>
      </c>
      <c r="J487" t="inlineStr">
        <is>
          <t>COP</t>
        </is>
      </c>
      <c r="L487">
        <f>IFERROR(INDEX(Diccionario!$B:$B,MATCH(F487,Diccionario!$C:$C,0)),"")</f>
        <v/>
      </c>
      <c r="M487">
        <f>IFERROR(INDEX(Diccionario!$H:$H,MATCH(F487,Diccionario!$C:$C,0)),"")</f>
        <v/>
      </c>
      <c r="N487">
        <f>IFERROR(INDEX(Diccionario!$N:$N,MATCH(F487,Diccionario!$C:$C,0)),"")</f>
        <v/>
      </c>
    </row>
    <row r="488" ht="14.25" customHeight="1" s="52">
      <c r="A488" t="inlineStr">
        <is>
          <t>2024-07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AWS</t>
        </is>
      </c>
      <c r="I488" t="n">
        <v>18000000</v>
      </c>
      <c r="J488" t="inlineStr">
        <is>
          <t>COP</t>
        </is>
      </c>
      <c r="L488">
        <f>IFERROR(INDEX(Diccionario!$B:$B,MATCH(F488,Diccionario!$C:$C,0)),"")</f>
        <v/>
      </c>
      <c r="M488">
        <f>IFERROR(INDEX(Diccionario!$H:$H,MATCH(F488,Diccionario!$C:$C,0)),"")</f>
        <v/>
      </c>
      <c r="N488">
        <f>IFERROR(INDEX(Diccionario!$N:$N,MATCH(F488,Diccionario!$C:$C,0)),"")</f>
        <v/>
      </c>
    </row>
    <row r="489" ht="14.25" customHeight="1" s="52">
      <c r="A489" t="inlineStr">
        <is>
          <t>2024-07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B2Chat</t>
        </is>
      </c>
      <c r="I489" t="n">
        <v>5000000</v>
      </c>
      <c r="J489" t="inlineStr">
        <is>
          <t>COP</t>
        </is>
      </c>
      <c r="L489">
        <f>IFERROR(INDEX(Diccionario!$B:$B,MATCH(F489,Diccionario!$C:$C,0)),"")</f>
        <v/>
      </c>
      <c r="M489">
        <f>IFERROR(INDEX(Diccionario!$H:$H,MATCH(F489,Diccionario!$C:$C,0)),"")</f>
        <v/>
      </c>
      <c r="N489">
        <f>IFERROR(INDEX(Diccionario!$N:$N,MATCH(F489,Diccionario!$C:$C,0)),"")</f>
        <v/>
      </c>
    </row>
    <row r="490" ht="14.25" customHeight="1" s="52">
      <c r="A490" t="inlineStr">
        <is>
          <t>2024-07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Otros</t>
        </is>
      </c>
      <c r="I490" t="n">
        <v>5000000</v>
      </c>
      <c r="J490" t="inlineStr">
        <is>
          <t>COP</t>
        </is>
      </c>
      <c r="L490">
        <f>IFERROR(INDEX(Diccionario!$B:$B,MATCH(F490,Diccionario!$C:$C,0)),"")</f>
        <v/>
      </c>
      <c r="M490">
        <f>IFERROR(INDEX(Diccionario!$H:$H,MATCH(F490,Diccionario!$C:$C,0)),"")</f>
        <v/>
      </c>
      <c r="N490">
        <f>IFERROR(INDEX(Diccionario!$N:$N,MATCH(F490,Diccionario!$C:$C,0)),"")</f>
        <v/>
      </c>
    </row>
    <row r="491" ht="14.25" customHeight="1" s="52">
      <c r="A491" t="inlineStr">
        <is>
          <t>2024-08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Infobip</t>
        </is>
      </c>
      <c r="I491" t="n">
        <v>119000000</v>
      </c>
      <c r="J491" t="inlineStr">
        <is>
          <t>COP</t>
        </is>
      </c>
      <c r="L491">
        <f>IFERROR(INDEX(Diccionario!$B:$B,MATCH(F491,Diccionario!$C:$C,0)),"")</f>
        <v/>
      </c>
      <c r="M491">
        <f>IFERROR(INDEX(Diccionario!$H:$H,MATCH(F491,Diccionario!$C:$C,0)),"")</f>
        <v/>
      </c>
      <c r="N491">
        <f>IFERROR(INDEX(Diccionario!$N:$N,MATCH(F491,Diccionario!$C:$C,0)),"")</f>
        <v/>
      </c>
    </row>
    <row r="492" ht="14.25" customHeight="1" s="52">
      <c r="A492" t="inlineStr">
        <is>
          <t>2024-08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IVA</t>
        </is>
      </c>
      <c r="I492" t="n">
        <v>23000000</v>
      </c>
      <c r="J492" t="inlineStr">
        <is>
          <t>COP</t>
        </is>
      </c>
      <c r="L492">
        <f>IFERROR(INDEX(Diccionario!$B:$B,MATCH(F492,Diccionario!$C:$C,0)),"")</f>
        <v/>
      </c>
      <c r="M492">
        <f>IFERROR(INDEX(Diccionario!$H:$H,MATCH(F492,Diccionario!$C:$C,0)),"")</f>
        <v/>
      </c>
      <c r="N492">
        <f>IFERROR(INDEX(Diccionario!$N:$N,MATCH(F492,Diccionario!$C:$C,0)),"")</f>
        <v/>
      </c>
    </row>
    <row r="493" ht="14.25" customHeight="1" s="52">
      <c r="A493" t="inlineStr">
        <is>
          <t>2024-08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AWS</t>
        </is>
      </c>
      <c r="I493" t="n">
        <v>24000000</v>
      </c>
      <c r="J493" t="inlineStr">
        <is>
          <t>COP</t>
        </is>
      </c>
      <c r="L493">
        <f>IFERROR(INDEX(Diccionario!$B:$B,MATCH(F493,Diccionario!$C:$C,0)),"")</f>
        <v/>
      </c>
      <c r="M493">
        <f>IFERROR(INDEX(Diccionario!$H:$H,MATCH(F493,Diccionario!$C:$C,0)),"")</f>
        <v/>
      </c>
      <c r="N493">
        <f>IFERROR(INDEX(Diccionario!$N:$N,MATCH(F493,Diccionario!$C:$C,0)),"")</f>
        <v/>
      </c>
    </row>
    <row r="494" ht="14.25" customHeight="1" s="52">
      <c r="A494" t="inlineStr">
        <is>
          <t>2024-08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B2Chat</t>
        </is>
      </c>
      <c r="I494" t="n">
        <v>6000000</v>
      </c>
      <c r="J494" t="inlineStr">
        <is>
          <t>COP</t>
        </is>
      </c>
      <c r="L494">
        <f>IFERROR(INDEX(Diccionario!$B:$B,MATCH(F494,Diccionario!$C:$C,0)),"")</f>
        <v/>
      </c>
      <c r="M494">
        <f>IFERROR(INDEX(Diccionario!$H:$H,MATCH(F494,Diccionario!$C:$C,0)),"")</f>
        <v/>
      </c>
      <c r="N494">
        <f>IFERROR(INDEX(Diccionario!$N:$N,MATCH(F494,Diccionario!$C:$C,0)),"")</f>
        <v/>
      </c>
    </row>
    <row r="495" ht="14.25" customHeight="1" s="52">
      <c r="A495" t="inlineStr">
        <is>
          <t>2024-08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Otros</t>
        </is>
      </c>
      <c r="I495" t="n">
        <v>4000000</v>
      </c>
      <c r="J495" t="inlineStr">
        <is>
          <t>COP</t>
        </is>
      </c>
      <c r="L495">
        <f>IFERROR(INDEX(Diccionario!$B:$B,MATCH(F495,Diccionario!$C:$C,0)),"")</f>
        <v/>
      </c>
      <c r="M495">
        <f>IFERROR(INDEX(Diccionario!$H:$H,MATCH(F495,Diccionario!$C:$C,0)),"")</f>
        <v/>
      </c>
      <c r="N495">
        <f>IFERROR(INDEX(Diccionario!$N:$N,MATCH(F495,Diccionario!$C:$C,0)),"")</f>
        <v/>
      </c>
    </row>
    <row r="496" ht="14.25" customHeight="1" s="52">
      <c r="A496" t="inlineStr">
        <is>
          <t>2024-09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Infobip</t>
        </is>
      </c>
      <c r="I496" t="n">
        <v>112000000</v>
      </c>
      <c r="J496" t="inlineStr">
        <is>
          <t>COP</t>
        </is>
      </c>
      <c r="L496">
        <f>IFERROR(INDEX(Diccionario!$B:$B,MATCH(F496,Diccionario!$C:$C,0)),"")</f>
        <v/>
      </c>
      <c r="M496">
        <f>IFERROR(INDEX(Diccionario!$H:$H,MATCH(F496,Diccionario!$C:$C,0)),"")</f>
        <v/>
      </c>
      <c r="N496">
        <f>IFERROR(INDEX(Diccionario!$N:$N,MATCH(F496,Diccionario!$C:$C,0)),"")</f>
        <v/>
      </c>
    </row>
    <row r="497" ht="14.25" customHeight="1" s="52">
      <c r="A497" t="inlineStr">
        <is>
          <t>2024-09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21000000</v>
      </c>
      <c r="J497" t="inlineStr">
        <is>
          <t>COP</t>
        </is>
      </c>
      <c r="L497">
        <f>IFERROR(INDEX(Diccionario!$B:$B,MATCH(F497,Diccionario!$C:$C,0)),"")</f>
        <v/>
      </c>
      <c r="M497">
        <f>IFERROR(INDEX(Diccionario!$H:$H,MATCH(F497,Diccionario!$C:$C,0)),"")</f>
        <v/>
      </c>
      <c r="N497">
        <f>IFERROR(INDEX(Diccionario!$N:$N,MATCH(F497,Diccionario!$C:$C,0)),"")</f>
        <v/>
      </c>
    </row>
    <row r="498" ht="14.25" customHeight="1" s="52">
      <c r="A498" t="inlineStr">
        <is>
          <t>2024-09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AWS</t>
        </is>
      </c>
      <c r="I498" t="n">
        <v>33000000</v>
      </c>
      <c r="J498" t="inlineStr">
        <is>
          <t>COP</t>
        </is>
      </c>
      <c r="L498">
        <f>IFERROR(INDEX(Diccionario!$B:$B,MATCH(F498,Diccionario!$C:$C,0)),"")</f>
        <v/>
      </c>
      <c r="M498">
        <f>IFERROR(INDEX(Diccionario!$H:$H,MATCH(F498,Diccionario!$C:$C,0)),"")</f>
        <v/>
      </c>
      <c r="N498">
        <f>IFERROR(INDEX(Diccionario!$N:$N,MATCH(F498,Diccionario!$C:$C,0)),"")</f>
        <v/>
      </c>
    </row>
    <row r="499" ht="14.25" customHeight="1" s="52">
      <c r="A499" t="inlineStr">
        <is>
          <t>2024-09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B2Chat</t>
        </is>
      </c>
      <c r="I499" t="n">
        <v>0</v>
      </c>
      <c r="J499" t="inlineStr">
        <is>
          <t>COP</t>
        </is>
      </c>
      <c r="L499">
        <f>IFERROR(INDEX(Diccionario!$B:$B,MATCH(F499,Diccionario!$C:$C,0)),"")</f>
        <v/>
      </c>
      <c r="M499">
        <f>IFERROR(INDEX(Diccionario!$H:$H,MATCH(F499,Diccionario!$C:$C,0)),"")</f>
        <v/>
      </c>
      <c r="N499">
        <f>IFERROR(INDEX(Diccionario!$N:$N,MATCH(F499,Diccionario!$C:$C,0)),"")</f>
        <v/>
      </c>
    </row>
    <row r="500" ht="14.25" customHeight="1" s="52">
      <c r="A500" t="inlineStr">
        <is>
          <t>2024-09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Otros</t>
        </is>
      </c>
      <c r="I500" t="n">
        <v>3000000</v>
      </c>
      <c r="J500" t="inlineStr">
        <is>
          <t>COP</t>
        </is>
      </c>
      <c r="L500">
        <f>IFERROR(INDEX(Diccionario!$B:$B,MATCH(F500,Diccionario!$C:$C,0)),"")</f>
        <v/>
      </c>
      <c r="M500">
        <f>IFERROR(INDEX(Diccionario!$H:$H,MATCH(F500,Diccionario!$C:$C,0)),"")</f>
        <v/>
      </c>
      <c r="N500">
        <f>IFERROR(INDEX(Diccionario!$N:$N,MATCH(F500,Diccionario!$C:$C,0)),"")</f>
        <v/>
      </c>
    </row>
    <row r="501" ht="14.25" customHeight="1" s="52">
      <c r="A501" t="inlineStr">
        <is>
          <t>2024-10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Infobip</t>
        </is>
      </c>
      <c r="I501" t="n">
        <v>140000000</v>
      </c>
      <c r="J501" t="inlineStr">
        <is>
          <t>COP</t>
        </is>
      </c>
      <c r="L501">
        <f>IFERROR(INDEX(Diccionario!$B:$B,MATCH(F501,Diccionario!$C:$C,0)),"")</f>
        <v/>
      </c>
      <c r="M501">
        <f>IFERROR(INDEX(Diccionario!$H:$H,MATCH(F501,Diccionario!$C:$C,0)),"")</f>
        <v/>
      </c>
      <c r="N501">
        <f>IFERROR(INDEX(Diccionario!$N:$N,MATCH(F501,Diccionario!$C:$C,0)),"")</f>
        <v/>
      </c>
    </row>
    <row r="502" ht="14.25" customHeight="1" s="52">
      <c r="A502" t="inlineStr">
        <is>
          <t>2024-10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IVA</t>
        </is>
      </c>
      <c r="I502" t="n">
        <v>27000000</v>
      </c>
      <c r="J502" t="inlineStr">
        <is>
          <t>COP</t>
        </is>
      </c>
      <c r="L502">
        <f>IFERROR(INDEX(Diccionario!$B:$B,MATCH(F502,Diccionario!$C:$C,0)),"")</f>
        <v/>
      </c>
      <c r="M502">
        <f>IFERROR(INDEX(Diccionario!$H:$H,MATCH(F502,Diccionario!$C:$C,0)),"")</f>
        <v/>
      </c>
      <c r="N502">
        <f>IFERROR(INDEX(Diccionario!$N:$N,MATCH(F502,Diccionario!$C:$C,0)),"")</f>
        <v/>
      </c>
    </row>
    <row r="503" ht="14.25" customHeight="1" s="52">
      <c r="A503" t="inlineStr">
        <is>
          <t>2024-10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AWS</t>
        </is>
      </c>
      <c r="I503" t="n">
        <v>27000000</v>
      </c>
      <c r="J503" t="inlineStr">
        <is>
          <t>COP</t>
        </is>
      </c>
      <c r="L503">
        <f>IFERROR(INDEX(Diccionario!$B:$B,MATCH(F503,Diccionario!$C:$C,0)),"")</f>
        <v/>
      </c>
      <c r="M503">
        <f>IFERROR(INDEX(Diccionario!$H:$H,MATCH(F503,Diccionario!$C:$C,0)),"")</f>
        <v/>
      </c>
      <c r="N503">
        <f>IFERROR(INDEX(Diccionario!$N:$N,MATCH(F503,Diccionario!$C:$C,0)),"")</f>
        <v/>
      </c>
    </row>
    <row r="504" ht="14.25" customHeight="1" s="52">
      <c r="A504" t="inlineStr">
        <is>
          <t>2024-10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B2Chat</t>
        </is>
      </c>
      <c r="I504" t="n">
        <v>6000000</v>
      </c>
      <c r="J504" t="inlineStr">
        <is>
          <t>COP</t>
        </is>
      </c>
      <c r="L504">
        <f>IFERROR(INDEX(Diccionario!$B:$B,MATCH(F504,Diccionario!$C:$C,0)),"")</f>
        <v/>
      </c>
      <c r="M504">
        <f>IFERROR(INDEX(Diccionario!$H:$H,MATCH(F504,Diccionario!$C:$C,0)),"")</f>
        <v/>
      </c>
      <c r="N504">
        <f>IFERROR(INDEX(Diccionario!$N:$N,MATCH(F504,Diccionario!$C:$C,0)),"")</f>
        <v/>
      </c>
    </row>
    <row r="505" ht="14.25" customHeight="1" s="52">
      <c r="A505" t="inlineStr">
        <is>
          <t>2024-10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Otros</t>
        </is>
      </c>
      <c r="I505" t="n">
        <v>6000000</v>
      </c>
      <c r="J505" t="inlineStr">
        <is>
          <t>COP</t>
        </is>
      </c>
      <c r="L505">
        <f>IFERROR(INDEX(Diccionario!$B:$B,MATCH(F505,Diccionario!$C:$C,0)),"")</f>
        <v/>
      </c>
      <c r="M505">
        <f>IFERROR(INDEX(Diccionario!$H:$H,MATCH(F505,Diccionario!$C:$C,0)),"")</f>
        <v/>
      </c>
      <c r="N505">
        <f>IFERROR(INDEX(Diccionario!$N:$N,MATCH(F505,Diccionario!$C:$C,0)),"")</f>
        <v/>
      </c>
    </row>
    <row r="506" ht="14.25" customHeight="1" s="52">
      <c r="A506" t="inlineStr">
        <is>
          <t>2024-11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Infobip</t>
        </is>
      </c>
      <c r="I506" t="n">
        <v>131000000</v>
      </c>
      <c r="J506" t="inlineStr">
        <is>
          <t>COP</t>
        </is>
      </c>
      <c r="L506">
        <f>IFERROR(INDEX(Diccionario!$B:$B,MATCH(F506,Diccionario!$C:$C,0)),"")</f>
        <v/>
      </c>
      <c r="M506">
        <f>IFERROR(INDEX(Diccionario!$H:$H,MATCH(F506,Diccionario!$C:$C,0)),"")</f>
        <v/>
      </c>
      <c r="N506">
        <f>IFERROR(INDEX(Diccionario!$N:$N,MATCH(F506,Diccionario!$C:$C,0)),"")</f>
        <v/>
      </c>
    </row>
    <row r="507" ht="14.25" customHeight="1" s="52">
      <c r="A507" t="inlineStr">
        <is>
          <t>2024-11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IVA</t>
        </is>
      </c>
      <c r="I507" t="n">
        <v>25000000</v>
      </c>
      <c r="J507" t="inlineStr">
        <is>
          <t>COP</t>
        </is>
      </c>
      <c r="L507">
        <f>IFERROR(INDEX(Diccionario!$B:$B,MATCH(F507,Diccionario!$C:$C,0)),"")</f>
        <v/>
      </c>
      <c r="M507">
        <f>IFERROR(INDEX(Diccionario!$H:$H,MATCH(F507,Diccionario!$C:$C,0)),"")</f>
        <v/>
      </c>
      <c r="N507">
        <f>IFERROR(INDEX(Diccionario!$N:$N,MATCH(F507,Diccionario!$C:$C,0)),"")</f>
        <v/>
      </c>
    </row>
    <row r="508" ht="14.25" customHeight="1" s="52">
      <c r="A508" t="inlineStr">
        <is>
          <t>2024-11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AWS</t>
        </is>
      </c>
      <c r="I508" t="n">
        <v>10000000</v>
      </c>
      <c r="J508" t="inlineStr">
        <is>
          <t>COP</t>
        </is>
      </c>
      <c r="L508">
        <f>IFERROR(INDEX(Diccionario!$B:$B,MATCH(F508,Diccionario!$C:$C,0)),"")</f>
        <v/>
      </c>
      <c r="M508">
        <f>IFERROR(INDEX(Diccionario!$H:$H,MATCH(F508,Diccionario!$C:$C,0)),"")</f>
        <v/>
      </c>
      <c r="N508">
        <f>IFERROR(INDEX(Diccionario!$N:$N,MATCH(F508,Diccionario!$C:$C,0)),"")</f>
        <v/>
      </c>
    </row>
    <row r="509" ht="14.25" customHeight="1" s="52">
      <c r="A509" t="inlineStr">
        <is>
          <t>2024-11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B2Chat</t>
        </is>
      </c>
      <c r="I509" t="n">
        <v>7000000</v>
      </c>
      <c r="J509" t="inlineStr">
        <is>
          <t>COP</t>
        </is>
      </c>
      <c r="L509">
        <f>IFERROR(INDEX(Diccionario!$B:$B,MATCH(F509,Diccionario!$C:$C,0)),"")</f>
        <v/>
      </c>
      <c r="M509">
        <f>IFERROR(INDEX(Diccionario!$H:$H,MATCH(F509,Diccionario!$C:$C,0)),"")</f>
        <v/>
      </c>
      <c r="N509">
        <f>IFERROR(INDEX(Diccionario!$N:$N,MATCH(F509,Diccionario!$C:$C,0)),"")</f>
        <v/>
      </c>
    </row>
    <row r="510" ht="14.25" customHeight="1" s="52">
      <c r="A510" t="inlineStr">
        <is>
          <t>2024-11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Otros</t>
        </is>
      </c>
      <c r="I510" t="n">
        <v>5000000</v>
      </c>
      <c r="J510" t="inlineStr">
        <is>
          <t>COP</t>
        </is>
      </c>
      <c r="L510">
        <f>IFERROR(INDEX(Diccionario!$B:$B,MATCH(F510,Diccionario!$C:$C,0)),"")</f>
        <v/>
      </c>
      <c r="M510">
        <f>IFERROR(INDEX(Diccionario!$H:$H,MATCH(F510,Diccionario!$C:$C,0)),"")</f>
        <v/>
      </c>
      <c r="N510">
        <f>IFERROR(INDEX(Diccionario!$N:$N,MATCH(F510,Diccionario!$C:$C,0)),"")</f>
        <v/>
      </c>
    </row>
    <row r="511" ht="14.25" customHeight="1" s="52">
      <c r="A511" t="inlineStr">
        <is>
          <t>2024-12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Infobip</t>
        </is>
      </c>
      <c r="I511" t="n">
        <v>123000000</v>
      </c>
      <c r="J511" t="inlineStr">
        <is>
          <t>COP</t>
        </is>
      </c>
      <c r="L511">
        <f>IFERROR(INDEX(Diccionario!$B:$B,MATCH(F511,Diccionario!$C:$C,0)),"")</f>
        <v/>
      </c>
      <c r="M511">
        <f>IFERROR(INDEX(Diccionario!$H:$H,MATCH(F511,Diccionario!$C:$C,0)),"")</f>
        <v/>
      </c>
      <c r="N511">
        <f>IFERROR(INDEX(Diccionario!$N:$N,MATCH(F511,Diccionario!$C:$C,0)),"")</f>
        <v/>
      </c>
    </row>
    <row r="512" ht="14.25" customHeight="1" s="52">
      <c r="A512" t="inlineStr">
        <is>
          <t>2024-12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IVA</t>
        </is>
      </c>
      <c r="I512" t="n">
        <v>13500000</v>
      </c>
      <c r="J512" t="inlineStr">
        <is>
          <t>COP</t>
        </is>
      </c>
      <c r="L512">
        <f>IFERROR(INDEX(Diccionario!$B:$B,MATCH(F512,Diccionario!$C:$C,0)),"")</f>
        <v/>
      </c>
      <c r="M512">
        <f>IFERROR(INDEX(Diccionario!$H:$H,MATCH(F512,Diccionario!$C:$C,0)),"")</f>
        <v/>
      </c>
      <c r="N512">
        <f>IFERROR(INDEX(Diccionario!$N:$N,MATCH(F512,Diccionario!$C:$C,0)),"")</f>
        <v/>
      </c>
    </row>
    <row r="513" ht="14.25" customHeight="1" s="52">
      <c r="A513" t="inlineStr">
        <is>
          <t>2024-12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AWS</t>
        </is>
      </c>
      <c r="I513" t="n">
        <v>26800000</v>
      </c>
      <c r="J513" t="inlineStr">
        <is>
          <t>COP</t>
        </is>
      </c>
      <c r="L513">
        <f>IFERROR(INDEX(Diccionario!$B:$B,MATCH(F513,Diccionario!$C:$C,0)),"")</f>
        <v/>
      </c>
      <c r="M513">
        <f>IFERROR(INDEX(Diccionario!$H:$H,MATCH(F513,Diccionario!$C:$C,0)),"")</f>
        <v/>
      </c>
      <c r="N513">
        <f>IFERROR(INDEX(Diccionario!$N:$N,MATCH(F513,Diccionario!$C:$C,0)),"")</f>
        <v/>
      </c>
    </row>
    <row r="514" ht="14.25" customHeight="1" s="52">
      <c r="A514" t="inlineStr">
        <is>
          <t>2024-12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B2Chat</t>
        </is>
      </c>
      <c r="I514" t="n">
        <v>8000000</v>
      </c>
      <c r="J514" t="inlineStr">
        <is>
          <t>COP</t>
        </is>
      </c>
      <c r="L514">
        <f>IFERROR(INDEX(Diccionario!$B:$B,MATCH(F514,Diccionario!$C:$C,0)),"")</f>
        <v/>
      </c>
      <c r="M514">
        <f>IFERROR(INDEX(Diccionario!$H:$H,MATCH(F514,Diccionario!$C:$C,0)),"")</f>
        <v/>
      </c>
      <c r="N514">
        <f>IFERROR(INDEX(Diccionario!$N:$N,MATCH(F514,Diccionario!$C:$C,0)),"")</f>
        <v/>
      </c>
    </row>
    <row r="515" ht="14.25" customHeight="1" s="52">
      <c r="A515" t="inlineStr">
        <is>
          <t>2024-12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Otros</t>
        </is>
      </c>
      <c r="I515" t="n">
        <v>10000000</v>
      </c>
      <c r="J515" t="inlineStr">
        <is>
          <t>COP</t>
        </is>
      </c>
      <c r="L515">
        <f>IFERROR(INDEX(Diccionario!$B:$B,MATCH(F515,Diccionario!$C:$C,0)),"")</f>
        <v/>
      </c>
      <c r="M515">
        <f>IFERROR(INDEX(Diccionario!$H:$H,MATCH(F515,Diccionario!$C:$C,0)),"")</f>
        <v/>
      </c>
      <c r="N515">
        <f>IFERROR(INDEX(Diccionario!$N:$N,MATCH(F515,Diccionario!$C:$C,0)),"")</f>
        <v/>
      </c>
    </row>
    <row r="516" ht="14.25" customHeight="1" s="52">
      <c r="A516" t="inlineStr">
        <is>
          <t>2025-02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Infobip</t>
        </is>
      </c>
      <c r="I516" t="n">
        <v>0</v>
      </c>
      <c r="J516" t="inlineStr">
        <is>
          <t>COP</t>
        </is>
      </c>
      <c r="L516">
        <f>IFERROR(INDEX(Diccionario!$B:$B,MATCH(F516,Diccionario!$C:$C,0)),"")</f>
        <v/>
      </c>
      <c r="M516">
        <f>IFERROR(INDEX(Diccionario!$H:$H,MATCH(F516,Diccionario!$C:$C,0)),"")</f>
        <v/>
      </c>
      <c r="N516">
        <f>IFERROR(INDEX(Diccionario!$N:$N,MATCH(F516,Diccionario!$C:$C,0)),"")</f>
        <v/>
      </c>
    </row>
    <row r="517" ht="14.25" customHeight="1" s="52">
      <c r="A517" t="inlineStr">
        <is>
          <t>2025-02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IVA</t>
        </is>
      </c>
      <c r="I517" t="n">
        <v>0</v>
      </c>
      <c r="J517" t="inlineStr">
        <is>
          <t>COP</t>
        </is>
      </c>
      <c r="L517">
        <f>IFERROR(INDEX(Diccionario!$B:$B,MATCH(F517,Diccionario!$C:$C,0)),"")</f>
        <v/>
      </c>
      <c r="M517">
        <f>IFERROR(INDEX(Diccionario!$H:$H,MATCH(F517,Diccionario!$C:$C,0)),"")</f>
        <v/>
      </c>
      <c r="N517">
        <f>IFERROR(INDEX(Diccionario!$N:$N,MATCH(F517,Diccionario!$C:$C,0)),"")</f>
        <v/>
      </c>
    </row>
    <row r="518" ht="14.25" customHeight="1" s="52">
      <c r="A518" t="inlineStr">
        <is>
          <t>2025-02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AWS</t>
        </is>
      </c>
      <c r="I518" t="n">
        <v>31100000</v>
      </c>
      <c r="J518" t="inlineStr">
        <is>
          <t>COP</t>
        </is>
      </c>
      <c r="L518">
        <f>IFERROR(INDEX(Diccionario!$B:$B,MATCH(F518,Diccionario!$C:$C,0)),"")</f>
        <v/>
      </c>
      <c r="M518">
        <f>IFERROR(INDEX(Diccionario!$H:$H,MATCH(F518,Diccionario!$C:$C,0)),"")</f>
        <v/>
      </c>
      <c r="N518">
        <f>IFERROR(INDEX(Diccionario!$N:$N,MATCH(F518,Diccionario!$C:$C,0)),"")</f>
        <v/>
      </c>
    </row>
    <row r="519" ht="14.25" customHeight="1" s="52">
      <c r="A519" t="inlineStr">
        <is>
          <t>2025-02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B2Chat</t>
        </is>
      </c>
      <c r="I519" t="n">
        <v>10100000</v>
      </c>
      <c r="J519" t="inlineStr">
        <is>
          <t>COP</t>
        </is>
      </c>
      <c r="L519">
        <f>IFERROR(INDEX(Diccionario!$B:$B,MATCH(F519,Diccionario!$C:$C,0)),"")</f>
        <v/>
      </c>
      <c r="M519">
        <f>IFERROR(INDEX(Diccionario!$H:$H,MATCH(F519,Diccionario!$C:$C,0)),"")</f>
        <v/>
      </c>
      <c r="N519">
        <f>IFERROR(INDEX(Diccionario!$N:$N,MATCH(F519,Diccionario!$C:$C,0)),"")</f>
        <v/>
      </c>
    </row>
    <row r="520" ht="14.25" customHeight="1" s="52">
      <c r="A520" t="inlineStr">
        <is>
          <t>2025-02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Otros</t>
        </is>
      </c>
      <c r="I520" t="n">
        <v>5100000</v>
      </c>
      <c r="J520" t="inlineStr">
        <is>
          <t>COP</t>
        </is>
      </c>
      <c r="L520">
        <f>IFERROR(INDEX(Diccionario!$B:$B,MATCH(F520,Diccionario!$C:$C,0)),"")</f>
        <v/>
      </c>
      <c r="M520">
        <f>IFERROR(INDEX(Diccionario!$H:$H,MATCH(F520,Diccionario!$C:$C,0)),"")</f>
        <v/>
      </c>
      <c r="N520">
        <f>IFERROR(INDEX(Diccionario!$N:$N,MATCH(F520,Diccionario!$C:$C,0)),"")</f>
        <v/>
      </c>
    </row>
    <row r="521" ht="14.25" customHeight="1" s="52">
      <c r="A521" t="inlineStr">
        <is>
          <t>2025-03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Infobip</t>
        </is>
      </c>
      <c r="I521" t="n">
        <v>167000000</v>
      </c>
      <c r="J521" t="inlineStr">
        <is>
          <t>COP</t>
        </is>
      </c>
      <c r="L521">
        <f>IFERROR(INDEX(Diccionario!$B:$B,MATCH(F521,Diccionario!$C:$C,0)),"")</f>
        <v/>
      </c>
      <c r="M521">
        <f>IFERROR(INDEX(Diccionario!$H:$H,MATCH(F521,Diccionario!$C:$C,0)),"")</f>
        <v/>
      </c>
      <c r="N521">
        <f>IFERROR(INDEX(Diccionario!$N:$N,MATCH(F521,Diccionario!$C:$C,0)),"")</f>
        <v/>
      </c>
    </row>
    <row r="522" ht="14.25" customHeight="1" s="52">
      <c r="A522" t="inlineStr">
        <is>
          <t>2025-03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IVA</t>
        </is>
      </c>
      <c r="I522" t="n">
        <v>91000</v>
      </c>
      <c r="J522" t="inlineStr">
        <is>
          <t>COP</t>
        </is>
      </c>
      <c r="L522">
        <f>IFERROR(INDEX(Diccionario!$B:$B,MATCH(F522,Diccionario!$C:$C,0)),"")</f>
        <v/>
      </c>
      <c r="M522">
        <f>IFERROR(INDEX(Diccionario!$H:$H,MATCH(F522,Diccionario!$C:$C,0)),"")</f>
        <v/>
      </c>
      <c r="N522">
        <f>IFERROR(INDEX(Diccionario!$N:$N,MATCH(F522,Diccionario!$C:$C,0)),"")</f>
        <v/>
      </c>
    </row>
    <row r="523" ht="14.25" customHeight="1" s="52">
      <c r="A523" t="inlineStr">
        <is>
          <t>2025-03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AWS</t>
        </is>
      </c>
      <c r="I523" t="n">
        <v>24600000</v>
      </c>
      <c r="J523" t="inlineStr">
        <is>
          <t>COP</t>
        </is>
      </c>
      <c r="L523">
        <f>IFERROR(INDEX(Diccionario!$B:$B,MATCH(F523,Diccionario!$C:$C,0)),"")</f>
        <v/>
      </c>
      <c r="M523">
        <f>IFERROR(INDEX(Diccionario!$H:$H,MATCH(F523,Diccionario!$C:$C,0)),"")</f>
        <v/>
      </c>
      <c r="N523">
        <f>IFERROR(INDEX(Diccionario!$N:$N,MATCH(F523,Diccionario!$C:$C,0)),"")</f>
        <v/>
      </c>
    </row>
    <row r="524" ht="14.25" customHeight="1" s="52">
      <c r="A524" t="inlineStr">
        <is>
          <t>2025-03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B2Chat</t>
        </is>
      </c>
      <c r="I524" t="n">
        <v>10300000</v>
      </c>
      <c r="J524" t="inlineStr">
        <is>
          <t>COP</t>
        </is>
      </c>
      <c r="L524">
        <f>IFERROR(INDEX(Diccionario!$B:$B,MATCH(F524,Diccionario!$C:$C,0)),"")</f>
        <v/>
      </c>
      <c r="M524">
        <f>IFERROR(INDEX(Diccionario!$H:$H,MATCH(F524,Diccionario!$C:$C,0)),"")</f>
        <v/>
      </c>
      <c r="N524">
        <f>IFERROR(INDEX(Diccionario!$N:$N,MATCH(F524,Diccionario!$C:$C,0)),"")</f>
        <v/>
      </c>
    </row>
    <row r="525" ht="14.25" customHeight="1" s="52">
      <c r="A525" t="inlineStr">
        <is>
          <t>2025-03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Otros</t>
        </is>
      </c>
      <c r="I525" t="n">
        <v>6009000</v>
      </c>
      <c r="J525" t="inlineStr">
        <is>
          <t>COP</t>
        </is>
      </c>
      <c r="L525">
        <f>IFERROR(INDEX(Diccionario!$B:$B,MATCH(F525,Diccionario!$C:$C,0)),"")</f>
        <v/>
      </c>
      <c r="M525">
        <f>IFERROR(INDEX(Diccionario!$H:$H,MATCH(F525,Diccionario!$C:$C,0)),"")</f>
        <v/>
      </c>
      <c r="N525">
        <f>IFERROR(INDEX(Diccionario!$N:$N,MATCH(F525,Diccionario!$C:$C,0)),"")</f>
        <v/>
      </c>
    </row>
    <row r="526" ht="14.25" customHeight="1" s="52">
      <c r="A526" t="inlineStr">
        <is>
          <t>2025-04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Infobip</t>
        </is>
      </c>
      <c r="I526" t="n">
        <v>88200000</v>
      </c>
      <c r="J526" t="inlineStr">
        <is>
          <t>COP</t>
        </is>
      </c>
      <c r="L526">
        <f>IFERROR(INDEX(Diccionario!$B:$B,MATCH(F526,Diccionario!$C:$C,0)),"")</f>
        <v/>
      </c>
      <c r="M526">
        <f>IFERROR(INDEX(Diccionario!$H:$H,MATCH(F526,Diccionario!$C:$C,0)),"")</f>
        <v/>
      </c>
      <c r="N526">
        <f>IFERROR(INDEX(Diccionario!$N:$N,MATCH(F526,Diccionario!$C:$C,0)),"")</f>
        <v/>
      </c>
    </row>
    <row r="527" ht="14.25" customHeight="1" s="52">
      <c r="A527" t="inlineStr">
        <is>
          <t>2025-04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IVA</t>
        </is>
      </c>
      <c r="I527" t="n">
        <v>0</v>
      </c>
      <c r="J527" t="inlineStr">
        <is>
          <t>COP</t>
        </is>
      </c>
      <c r="L527">
        <f>IFERROR(INDEX(Diccionario!$B:$B,MATCH(F527,Diccionario!$C:$C,0)),"")</f>
        <v/>
      </c>
      <c r="M527">
        <f>IFERROR(INDEX(Diccionario!$H:$H,MATCH(F527,Diccionario!$C:$C,0)),"")</f>
        <v/>
      </c>
      <c r="N527">
        <f>IFERROR(INDEX(Diccionario!$N:$N,MATCH(F527,Diccionario!$C:$C,0)),"")</f>
        <v/>
      </c>
    </row>
    <row r="528" ht="14.25" customHeight="1" s="52">
      <c r="A528" t="inlineStr">
        <is>
          <t>2025-04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AWS</t>
        </is>
      </c>
      <c r="I528" t="n">
        <v>46900000</v>
      </c>
      <c r="J528" t="inlineStr">
        <is>
          <t>COP</t>
        </is>
      </c>
      <c r="L528">
        <f>IFERROR(INDEX(Diccionario!$B:$B,MATCH(F528,Diccionario!$C:$C,0)),"")</f>
        <v/>
      </c>
      <c r="M528">
        <f>IFERROR(INDEX(Diccionario!$H:$H,MATCH(F528,Diccionario!$C:$C,0)),"")</f>
        <v/>
      </c>
      <c r="N528">
        <f>IFERROR(INDEX(Diccionario!$N:$N,MATCH(F528,Diccionario!$C:$C,0)),"")</f>
        <v/>
      </c>
    </row>
    <row r="529" ht="14.25" customHeight="1" s="52">
      <c r="A529" t="inlineStr">
        <is>
          <t>2025-04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B2Chat</t>
        </is>
      </c>
      <c r="I529" t="n">
        <v>14100000</v>
      </c>
      <c r="J529" t="inlineStr">
        <is>
          <t>COP</t>
        </is>
      </c>
      <c r="L529">
        <f>IFERROR(INDEX(Diccionario!$B:$B,MATCH(F529,Diccionario!$C:$C,0)),"")</f>
        <v/>
      </c>
      <c r="M529">
        <f>IFERROR(INDEX(Diccionario!$H:$H,MATCH(F529,Diccionario!$C:$C,0)),"")</f>
        <v/>
      </c>
      <c r="N529">
        <f>IFERROR(INDEX(Diccionario!$N:$N,MATCH(F529,Diccionario!$C:$C,0)),"")</f>
        <v/>
      </c>
    </row>
    <row r="530" ht="14.25" customHeight="1" s="52">
      <c r="A530" t="inlineStr">
        <is>
          <t>2025-04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Otros</t>
        </is>
      </c>
      <c r="I530" t="n">
        <v>6700000</v>
      </c>
      <c r="J530" t="inlineStr">
        <is>
          <t>COP</t>
        </is>
      </c>
      <c r="L530">
        <f>IFERROR(INDEX(Diccionario!$B:$B,MATCH(F530,Diccionario!$C:$C,0)),"")</f>
        <v/>
      </c>
      <c r="M530">
        <f>IFERROR(INDEX(Diccionario!$H:$H,MATCH(F530,Diccionario!$C:$C,0)),"")</f>
        <v/>
      </c>
      <c r="N530">
        <f>IFERROR(INDEX(Diccionario!$N:$N,MATCH(F530,Diccionario!$C:$C,0)),"")</f>
        <v/>
      </c>
    </row>
    <row r="531" ht="14.25" customHeight="1" s="52">
      <c r="A531" t="inlineStr">
        <is>
          <t>2025-05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Infobip</t>
        </is>
      </c>
      <c r="I531" t="n">
        <v>83500000</v>
      </c>
      <c r="J531" t="inlineStr">
        <is>
          <t>COP</t>
        </is>
      </c>
      <c r="L531">
        <f>IFERROR(INDEX(Diccionario!$B:$B,MATCH(F531,Diccionario!$C:$C,0)),"")</f>
        <v/>
      </c>
      <c r="M531">
        <f>IFERROR(INDEX(Diccionario!$H:$H,MATCH(F531,Diccionario!$C:$C,0)),"")</f>
        <v/>
      </c>
      <c r="N531">
        <f>IFERROR(INDEX(Diccionario!$N:$N,MATCH(F531,Diccionario!$C:$C,0)),"")</f>
        <v/>
      </c>
    </row>
    <row r="532" ht="14.25" customHeight="1" s="52">
      <c r="A532" t="inlineStr">
        <is>
          <t>2025-05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IVA</t>
        </is>
      </c>
      <c r="I532" t="n">
        <v>0</v>
      </c>
      <c r="J532" t="inlineStr">
        <is>
          <t>COP</t>
        </is>
      </c>
      <c r="L532">
        <f>IFERROR(INDEX(Diccionario!$B:$B,MATCH(F532,Diccionario!$C:$C,0)),"")</f>
        <v/>
      </c>
      <c r="M532">
        <f>IFERROR(INDEX(Diccionario!$H:$H,MATCH(F532,Diccionario!$C:$C,0)),"")</f>
        <v/>
      </c>
      <c r="N532">
        <f>IFERROR(INDEX(Diccionario!$N:$N,MATCH(F532,Diccionario!$C:$C,0)),"")</f>
        <v/>
      </c>
    </row>
    <row r="533" ht="14.25" customHeight="1" s="52">
      <c r="A533" t="inlineStr">
        <is>
          <t>2025-05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AWS</t>
        </is>
      </c>
      <c r="I533" t="n">
        <v>40400000</v>
      </c>
      <c r="J533" t="inlineStr">
        <is>
          <t>COP</t>
        </is>
      </c>
      <c r="L533">
        <f>IFERROR(INDEX(Diccionario!$B:$B,MATCH(F533,Diccionario!$C:$C,0)),"")</f>
        <v/>
      </c>
      <c r="M533">
        <f>IFERROR(INDEX(Diccionario!$H:$H,MATCH(F533,Diccionario!$C:$C,0)),"")</f>
        <v/>
      </c>
      <c r="N533">
        <f>IFERROR(INDEX(Diccionario!$N:$N,MATCH(F533,Diccionario!$C:$C,0)),"")</f>
        <v/>
      </c>
    </row>
    <row r="534" ht="14.25" customHeight="1" s="52">
      <c r="A534" t="inlineStr">
        <is>
          <t>2025-05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B2Chat</t>
        </is>
      </c>
      <c r="I534" t="n">
        <v>15700000</v>
      </c>
      <c r="J534" t="inlineStr">
        <is>
          <t>COP</t>
        </is>
      </c>
      <c r="L534">
        <f>IFERROR(INDEX(Diccionario!$B:$B,MATCH(F534,Diccionario!$C:$C,0)),"")</f>
        <v/>
      </c>
      <c r="M534">
        <f>IFERROR(INDEX(Diccionario!$H:$H,MATCH(F534,Diccionario!$C:$C,0)),"")</f>
        <v/>
      </c>
      <c r="N534">
        <f>IFERROR(INDEX(Diccionario!$N:$N,MATCH(F534,Diccionario!$C:$C,0)),"")</f>
        <v/>
      </c>
    </row>
    <row r="535" ht="14.25" customHeight="1" s="52">
      <c r="A535" t="inlineStr">
        <is>
          <t>2025-05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Otros</t>
        </is>
      </c>
      <c r="I535" t="n">
        <v>17400000</v>
      </c>
      <c r="J535" t="inlineStr">
        <is>
          <t>COP</t>
        </is>
      </c>
      <c r="L535">
        <f>IFERROR(INDEX(Diccionario!$B:$B,MATCH(F535,Diccionario!$C:$C,0)),"")</f>
        <v/>
      </c>
      <c r="M535">
        <f>IFERROR(INDEX(Diccionario!$H:$H,MATCH(F535,Diccionario!$C:$C,0)),"")</f>
        <v/>
      </c>
      <c r="N535">
        <f>IFERROR(INDEX(Diccionario!$N:$N,MATCH(F535,Diccionario!$C:$C,0)),"")</f>
        <v/>
      </c>
    </row>
    <row r="536" ht="14.25" customHeight="1" s="52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Infobip</t>
        </is>
      </c>
      <c r="I536" t="n">
        <v>50900000</v>
      </c>
      <c r="J536" t="inlineStr">
        <is>
          <t>COP</t>
        </is>
      </c>
      <c r="L536">
        <f>IFERROR(INDEX(Diccionario!$B:$B,MATCH(F536,Diccionario!$C:$C,0)),"")</f>
        <v/>
      </c>
      <c r="M536">
        <f>IFERROR(INDEX(Diccionario!$H:$H,MATCH(F536,Diccionario!$C:$C,0)),"")</f>
        <v/>
      </c>
      <c r="N536">
        <f>IFERROR(INDEX(Diccionario!$N:$N,MATCH(F536,Diccionario!$C:$C,0)),"")</f>
        <v/>
      </c>
    </row>
    <row r="537" ht="14.25" customHeight="1" s="52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IVA</t>
        </is>
      </c>
      <c r="I537" t="n">
        <v>0</v>
      </c>
      <c r="J537" t="inlineStr">
        <is>
          <t>COP</t>
        </is>
      </c>
      <c r="L537">
        <f>IFERROR(INDEX(Diccionario!$B:$B,MATCH(F537,Diccionario!$C:$C,0)),"")</f>
        <v/>
      </c>
      <c r="M537">
        <f>IFERROR(INDEX(Diccionario!$H:$H,MATCH(F537,Diccionario!$C:$C,0)),"")</f>
        <v/>
      </c>
      <c r="N537">
        <f>IFERROR(INDEX(Diccionario!$N:$N,MATCH(F537,Diccionario!$C:$C,0)),"")</f>
        <v/>
      </c>
    </row>
    <row r="538" ht="14.25" customHeight="1" s="52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AWS</t>
        </is>
      </c>
      <c r="I538" t="n">
        <v>30200000</v>
      </c>
      <c r="J538" t="inlineStr">
        <is>
          <t>COP</t>
        </is>
      </c>
      <c r="L538">
        <f>IFERROR(INDEX(Diccionario!$B:$B,MATCH(F538,Diccionario!$C:$C,0)),"")</f>
        <v/>
      </c>
      <c r="M538">
        <f>IFERROR(INDEX(Diccionario!$H:$H,MATCH(F538,Diccionario!$C:$C,0)),"")</f>
        <v/>
      </c>
      <c r="N538">
        <f>IFERROR(INDEX(Diccionario!$N:$N,MATCH(F538,Diccionario!$C:$C,0)),"")</f>
        <v/>
      </c>
    </row>
    <row r="539" ht="14.25" customHeight="1" s="52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B2Chat</t>
        </is>
      </c>
      <c r="I539" t="n">
        <v>15680000</v>
      </c>
      <c r="J539" t="inlineStr">
        <is>
          <t>COP</t>
        </is>
      </c>
      <c r="L539">
        <f>IFERROR(INDEX(Diccionario!$B:$B,MATCH(F539,Diccionario!$C:$C,0)),"")</f>
        <v/>
      </c>
      <c r="M539">
        <f>IFERROR(INDEX(Diccionario!$H:$H,MATCH(F539,Diccionario!$C:$C,0)),"")</f>
        <v/>
      </c>
      <c r="N539">
        <f>IFERROR(INDEX(Diccionario!$N:$N,MATCH(F539,Diccionario!$C:$C,0)),"")</f>
        <v/>
      </c>
    </row>
    <row r="540" ht="14.25" customHeight="1" s="52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Otros</t>
        </is>
      </c>
      <c r="I540" t="n">
        <v>22400000</v>
      </c>
      <c r="J540" t="inlineStr">
        <is>
          <t>COP</t>
        </is>
      </c>
      <c r="L540">
        <f>IFERROR(INDEX(Diccionario!$B:$B,MATCH(F540,Diccionario!$C:$C,0)),"")</f>
        <v/>
      </c>
      <c r="M540">
        <f>IFERROR(INDEX(Diccionario!$H:$H,MATCH(F540,Diccionario!$C:$C,0)),"")</f>
        <v/>
      </c>
      <c r="N540">
        <f>IFERROR(INDEX(Diccionario!$N:$N,MATCH(F540,Diccionario!$C:$C,0)),"")</f>
        <v/>
      </c>
    </row>
    <row r="541" ht="14.25" customHeight="1" s="52">
      <c r="A541" t="inlineStr">
        <is>
          <t>2025-07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Infobip</t>
        </is>
      </c>
      <c r="I541" t="n">
        <v>213300000</v>
      </c>
      <c r="J541" t="inlineStr">
        <is>
          <t>COP</t>
        </is>
      </c>
      <c r="L541">
        <f>IFERROR(INDEX(Diccionario!$B:$B,MATCH(F541,Diccionario!$C:$C,0)),"")</f>
        <v/>
      </c>
      <c r="M541">
        <f>IFERROR(INDEX(Diccionario!$H:$H,MATCH(F541,Diccionario!$C:$C,0)),"")</f>
        <v/>
      </c>
      <c r="N541">
        <f>IFERROR(INDEX(Diccionario!$N:$N,MATCH(F541,Diccionario!$C:$C,0)),"")</f>
        <v/>
      </c>
    </row>
    <row r="542" ht="14.25" customHeight="1" s="52">
      <c r="A542" t="inlineStr">
        <is>
          <t>2025-07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IVA</t>
        </is>
      </c>
      <c r="I542" t="n">
        <v>0</v>
      </c>
      <c r="J542" t="inlineStr">
        <is>
          <t>COP</t>
        </is>
      </c>
      <c r="L542">
        <f>IFERROR(INDEX(Diccionario!$B:$B,MATCH(F542,Diccionario!$C:$C,0)),"")</f>
        <v/>
      </c>
      <c r="M542">
        <f>IFERROR(INDEX(Diccionario!$H:$H,MATCH(F542,Diccionario!$C:$C,0)),"")</f>
        <v/>
      </c>
      <c r="N542">
        <f>IFERROR(INDEX(Diccionario!$N:$N,MATCH(F542,Diccionario!$C:$C,0)),"")</f>
        <v/>
      </c>
    </row>
    <row r="543" ht="14.25" customHeight="1" s="52">
      <c r="A543" t="inlineStr">
        <is>
          <t>2025-07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AWS</t>
        </is>
      </c>
      <c r="I543" t="n">
        <v>62400000</v>
      </c>
      <c r="J543" t="inlineStr">
        <is>
          <t>COP</t>
        </is>
      </c>
      <c r="L543">
        <f>IFERROR(INDEX(Diccionario!$B:$B,MATCH(F543,Diccionario!$C:$C,0)),"")</f>
        <v/>
      </c>
      <c r="M543">
        <f>IFERROR(INDEX(Diccionario!$H:$H,MATCH(F543,Diccionario!$C:$C,0)),"")</f>
        <v/>
      </c>
      <c r="N543">
        <f>IFERROR(INDEX(Diccionario!$N:$N,MATCH(F543,Diccionario!$C:$C,0)),"")</f>
        <v/>
      </c>
    </row>
    <row r="544" ht="14.25" customHeight="1" s="52">
      <c r="A544" t="inlineStr">
        <is>
          <t>2025-07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B2Chat</t>
        </is>
      </c>
      <c r="I544" t="n">
        <v>16600000</v>
      </c>
      <c r="J544" t="inlineStr">
        <is>
          <t>COP</t>
        </is>
      </c>
      <c r="L544">
        <f>IFERROR(INDEX(Diccionario!$B:$B,MATCH(F544,Diccionario!$C:$C,0)),"")</f>
        <v/>
      </c>
      <c r="M544">
        <f>IFERROR(INDEX(Diccionario!$H:$H,MATCH(F544,Diccionario!$C:$C,0)),"")</f>
        <v/>
      </c>
      <c r="N544">
        <f>IFERROR(INDEX(Diccionario!$N:$N,MATCH(F544,Diccionario!$C:$C,0)),"")</f>
        <v/>
      </c>
    </row>
    <row r="545" ht="14.25" customHeight="1" s="52">
      <c r="A545" t="inlineStr">
        <is>
          <t>2025-07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Otros</t>
        </is>
      </c>
      <c r="I545" t="n">
        <v>9900000</v>
      </c>
      <c r="J545" t="inlineStr">
        <is>
          <t>COP</t>
        </is>
      </c>
      <c r="L545">
        <f>IFERROR(INDEX(Diccionario!$B:$B,MATCH(F545,Diccionario!$C:$C,0)),"")</f>
        <v/>
      </c>
      <c r="M545">
        <f>IFERROR(INDEX(Diccionario!$H:$H,MATCH(F545,Diccionario!$C:$C,0)),"")</f>
        <v/>
      </c>
      <c r="N545">
        <f>IFERROR(INDEX(Diccionario!$N:$N,MATCH(F545,Diccionario!$C:$C,0)),"")</f>
        <v/>
      </c>
    </row>
    <row r="546" ht="14.25" customHeight="1" s="52">
      <c r="A546" t="inlineStr">
        <is>
          <t>2025-08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Infobip</t>
        </is>
      </c>
      <c r="I546" t="n">
        <v>0</v>
      </c>
      <c r="J546" t="inlineStr">
        <is>
          <t>COP</t>
        </is>
      </c>
      <c r="L546">
        <f>IFERROR(INDEX(Diccionario!$B:$B,MATCH(F546,Diccionario!$C:$C,0)),"")</f>
        <v/>
      </c>
      <c r="M546">
        <f>IFERROR(INDEX(Diccionario!$H:$H,MATCH(F546,Diccionario!$C:$C,0)),"")</f>
        <v/>
      </c>
      <c r="N546">
        <f>IFERROR(INDEX(Diccionario!$N:$N,MATCH(F546,Diccionario!$C:$C,0)),"")</f>
        <v/>
      </c>
    </row>
    <row r="547" ht="14.25" customHeight="1" s="52">
      <c r="A547" t="inlineStr">
        <is>
          <t>2025-08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IVA</t>
        </is>
      </c>
      <c r="I547" t="n">
        <v>0</v>
      </c>
      <c r="J547" t="inlineStr">
        <is>
          <t>COP</t>
        </is>
      </c>
      <c r="L547">
        <f>IFERROR(INDEX(Diccionario!$B:$B,MATCH(F547,Diccionario!$C:$C,0)),"")</f>
        <v/>
      </c>
      <c r="M547">
        <f>IFERROR(INDEX(Diccionario!$H:$H,MATCH(F547,Diccionario!$C:$C,0)),"")</f>
        <v/>
      </c>
      <c r="N547">
        <f>IFERROR(INDEX(Diccionario!$N:$N,MATCH(F547,Diccionario!$C:$C,0)),"")</f>
        <v/>
      </c>
    </row>
    <row r="548" ht="14.25" customHeight="1" s="52">
      <c r="A548" t="inlineStr">
        <is>
          <t>2025-08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AWS</t>
        </is>
      </c>
      <c r="I548" t="n">
        <v>30100000</v>
      </c>
      <c r="J548" t="inlineStr">
        <is>
          <t>COP</t>
        </is>
      </c>
      <c r="L548">
        <f>IFERROR(INDEX(Diccionario!$B:$B,MATCH(F548,Diccionario!$C:$C,0)),"")</f>
        <v/>
      </c>
      <c r="M548">
        <f>IFERROR(INDEX(Diccionario!$H:$H,MATCH(F548,Diccionario!$C:$C,0)),"")</f>
        <v/>
      </c>
      <c r="N548">
        <f>IFERROR(INDEX(Diccionario!$N:$N,MATCH(F548,Diccionario!$C:$C,0)),"")</f>
        <v/>
      </c>
    </row>
    <row r="549" ht="14.25" customHeight="1" s="52">
      <c r="A549" t="inlineStr">
        <is>
          <t>2025-08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B2Chat</t>
        </is>
      </c>
      <c r="I549" t="n">
        <v>12070000</v>
      </c>
      <c r="J549" t="inlineStr">
        <is>
          <t>COP</t>
        </is>
      </c>
      <c r="L549">
        <f>IFERROR(INDEX(Diccionario!$B:$B,MATCH(F549,Diccionario!$C:$C,0)),"")</f>
        <v/>
      </c>
      <c r="M549">
        <f>IFERROR(INDEX(Diccionario!$H:$H,MATCH(F549,Diccionario!$C:$C,0)),"")</f>
        <v/>
      </c>
      <c r="N549">
        <f>IFERROR(INDEX(Diccionario!$N:$N,MATCH(F549,Diccionario!$C:$C,0)),"")</f>
        <v/>
      </c>
    </row>
    <row r="550" ht="14.25" customHeight="1" s="52">
      <c r="A550" t="inlineStr">
        <is>
          <t>2025-08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Otros</t>
        </is>
      </c>
      <c r="I550" t="n">
        <v>7900000</v>
      </c>
      <c r="J550" t="inlineStr">
        <is>
          <t>COP</t>
        </is>
      </c>
      <c r="L550">
        <f>IFERROR(INDEX(Diccionario!$B:$B,MATCH(F550,Diccionario!$C:$C,0)),"")</f>
        <v/>
      </c>
      <c r="M550">
        <f>IFERROR(INDEX(Diccionario!$H:$H,MATCH(F550,Diccionario!$C:$C,0)),"")</f>
        <v/>
      </c>
      <c r="N550">
        <f>IFERROR(INDEX(Diccionario!$N:$N,MATCH(F550,Diccionario!$C:$C,0)),"")</f>
        <v/>
      </c>
    </row>
    <row r="551" ht="14.25" customHeight="1" s="52">
      <c r="A551" t="inlineStr">
        <is>
          <t>2025-09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Infobip</t>
        </is>
      </c>
      <c r="I551" t="n">
        <v>0</v>
      </c>
      <c r="J551" t="inlineStr">
        <is>
          <t>COP</t>
        </is>
      </c>
      <c r="L551">
        <f>IFERROR(INDEX(Diccionario!$B:$B,MATCH(F551,Diccionario!$C:$C,0)),"")</f>
        <v/>
      </c>
      <c r="M551">
        <f>IFERROR(INDEX(Diccionario!$H:$H,MATCH(F551,Diccionario!$C:$C,0)),"")</f>
        <v/>
      </c>
      <c r="N551">
        <f>IFERROR(INDEX(Diccionario!$N:$N,MATCH(F551,Diccionario!$C:$C,0)),"")</f>
        <v/>
      </c>
    </row>
    <row r="552" ht="14.25" customHeight="1" s="52">
      <c r="A552" t="inlineStr">
        <is>
          <t>2025-09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IVA</t>
        </is>
      </c>
      <c r="I552" t="n">
        <v>0</v>
      </c>
      <c r="J552" t="inlineStr">
        <is>
          <t>COP</t>
        </is>
      </c>
      <c r="L552">
        <f>IFERROR(INDEX(Diccionario!$B:$B,MATCH(F552,Diccionario!$C:$C,0)),"")</f>
        <v/>
      </c>
      <c r="M552">
        <f>IFERROR(INDEX(Diccionario!$H:$H,MATCH(F552,Diccionario!$C:$C,0)),"")</f>
        <v/>
      </c>
      <c r="N552">
        <f>IFERROR(INDEX(Diccionario!$N:$N,MATCH(F552,Diccionario!$C:$C,0)),"")</f>
        <v/>
      </c>
    </row>
    <row r="553" ht="14.25" customHeight="1" s="52">
      <c r="A553" t="inlineStr">
        <is>
          <t>2025-09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AWS</t>
        </is>
      </c>
      <c r="I553" t="n">
        <v>75800000</v>
      </c>
      <c r="J553" t="inlineStr">
        <is>
          <t>COP</t>
        </is>
      </c>
      <c r="L553">
        <f>IFERROR(INDEX(Diccionario!$B:$B,MATCH(F553,Diccionario!$C:$C,0)),"")</f>
        <v/>
      </c>
      <c r="M553">
        <f>IFERROR(INDEX(Diccionario!$H:$H,MATCH(F553,Diccionario!$C:$C,0)),"")</f>
        <v/>
      </c>
      <c r="N553">
        <f>IFERROR(INDEX(Diccionario!$N:$N,MATCH(F553,Diccionario!$C:$C,0)),"")</f>
        <v/>
      </c>
    </row>
    <row r="554" ht="14.25" customHeight="1" s="52">
      <c r="A554" t="inlineStr">
        <is>
          <t>2025-09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B2Chat</t>
        </is>
      </c>
      <c r="I554" t="n">
        <v>10800000</v>
      </c>
      <c r="J554" t="inlineStr">
        <is>
          <t>COP</t>
        </is>
      </c>
      <c r="L554">
        <f>IFERROR(INDEX(Diccionario!$B:$B,MATCH(F554,Diccionario!$C:$C,0)),"")</f>
        <v/>
      </c>
      <c r="M554">
        <f>IFERROR(INDEX(Diccionario!$H:$H,MATCH(F554,Diccionario!$C:$C,0)),"")</f>
        <v/>
      </c>
      <c r="N554">
        <f>IFERROR(INDEX(Diccionario!$N:$N,MATCH(F554,Diccionario!$C:$C,0)),"")</f>
        <v/>
      </c>
    </row>
    <row r="555" ht="14.25" customHeight="1" s="52">
      <c r="A555" t="inlineStr">
        <is>
          <t>2025-09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Otros</t>
        </is>
      </c>
      <c r="I555" t="n">
        <v>14600000</v>
      </c>
      <c r="J555" t="inlineStr">
        <is>
          <t>COP</t>
        </is>
      </c>
      <c r="L555">
        <f>IFERROR(INDEX(Diccionario!$B:$B,MATCH(F555,Diccionario!$C:$C,0)),"")</f>
        <v/>
      </c>
      <c r="M555">
        <f>IFERROR(INDEX(Diccionario!$H:$H,MATCH(F555,Diccionario!$C:$C,0)),"")</f>
        <v/>
      </c>
      <c r="N555">
        <f>IFERROR(INDEX(Diccionario!$N:$N,MATCH(F555,Diccionario!$C:$C,0)),"")</f>
        <v/>
      </c>
    </row>
    <row r="556" ht="14.25" customHeight="1" s="52">
      <c r="A556" t="inlineStr">
        <is>
          <t>2025-10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Infobip</t>
        </is>
      </c>
      <c r="I556" t="n">
        <v>104500000</v>
      </c>
      <c r="J556" t="inlineStr">
        <is>
          <t>COP</t>
        </is>
      </c>
      <c r="L556">
        <f>IFERROR(INDEX(Diccionario!$B:$B,MATCH(F556,Diccionario!$C:$C,0)),"")</f>
        <v/>
      </c>
      <c r="M556">
        <f>IFERROR(INDEX(Diccionario!$H:$H,MATCH(F556,Diccionario!$C:$C,0)),"")</f>
        <v/>
      </c>
      <c r="N556">
        <f>IFERROR(INDEX(Diccionario!$N:$N,MATCH(F556,Diccionario!$C:$C,0)),"")</f>
        <v/>
      </c>
    </row>
    <row r="557" ht="14.25" customHeight="1" s="52">
      <c r="A557" t="inlineStr">
        <is>
          <t>2025-10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IVA</t>
        </is>
      </c>
      <c r="I557" t="n">
        <v>0</v>
      </c>
      <c r="J557" t="inlineStr">
        <is>
          <t>COP</t>
        </is>
      </c>
      <c r="L557">
        <f>IFERROR(INDEX(Diccionario!$B:$B,MATCH(F557,Diccionario!$C:$C,0)),"")</f>
        <v/>
      </c>
      <c r="M557">
        <f>IFERROR(INDEX(Diccionario!$H:$H,MATCH(F557,Diccionario!$C:$C,0)),"")</f>
        <v/>
      </c>
      <c r="N557">
        <f>IFERROR(INDEX(Diccionario!$N:$N,MATCH(F557,Diccionario!$C:$C,0)),"")</f>
        <v/>
      </c>
    </row>
    <row r="558" ht="14.25" customHeight="1" s="52">
      <c r="A558" t="inlineStr">
        <is>
          <t>2025-10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AWS</t>
        </is>
      </c>
      <c r="I558" t="n">
        <v>30000000</v>
      </c>
      <c r="J558" t="inlineStr">
        <is>
          <t>COP</t>
        </is>
      </c>
      <c r="L558">
        <f>IFERROR(INDEX(Diccionario!$B:$B,MATCH(F558,Diccionario!$C:$C,0)),"")</f>
        <v/>
      </c>
      <c r="M558">
        <f>IFERROR(INDEX(Diccionario!$H:$H,MATCH(F558,Diccionario!$C:$C,0)),"")</f>
        <v/>
      </c>
      <c r="N558">
        <f>IFERROR(INDEX(Diccionario!$N:$N,MATCH(F558,Diccionario!$C:$C,0)),"")</f>
        <v/>
      </c>
    </row>
    <row r="559" ht="14.25" customHeight="1" s="52">
      <c r="A559" t="inlineStr">
        <is>
          <t>2025-10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B2Chat</t>
        </is>
      </c>
      <c r="I559" t="n">
        <v>14200000</v>
      </c>
      <c r="J559" t="inlineStr">
        <is>
          <t>COP</t>
        </is>
      </c>
      <c r="L559">
        <f>IFERROR(INDEX(Diccionario!$B:$B,MATCH(F559,Diccionario!$C:$C,0)),"")</f>
        <v/>
      </c>
      <c r="M559">
        <f>IFERROR(INDEX(Diccionario!$H:$H,MATCH(F559,Diccionario!$C:$C,0)),"")</f>
        <v/>
      </c>
      <c r="N559">
        <f>IFERROR(INDEX(Diccionario!$N:$N,MATCH(F559,Diccionario!$C:$C,0)),"")</f>
        <v/>
      </c>
    </row>
    <row r="560" ht="14.25" customHeight="1" s="52">
      <c r="A560" t="inlineStr">
        <is>
          <t>2025-10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Otros</t>
        </is>
      </c>
      <c r="I560" t="n">
        <v>24300000</v>
      </c>
      <c r="J560" t="inlineStr">
        <is>
          <t>COP</t>
        </is>
      </c>
      <c r="L560">
        <f>IFERROR(INDEX(Diccionario!$B:$B,MATCH(F560,Diccionario!$C:$C,0)),"")</f>
        <v/>
      </c>
      <c r="M560">
        <f>IFERROR(INDEX(Diccionario!$H:$H,MATCH(F560,Diccionario!$C:$C,0)),"")</f>
        <v/>
      </c>
      <c r="N560">
        <f>IFERROR(INDEX(Diccionario!$N:$N,MATCH(F560,Diccionario!$C:$C,0)),"")</f>
        <v/>
      </c>
    </row>
    <row r="561" ht="14.25" customHeight="1" s="52">
      <c r="A561" t="inlineStr">
        <is>
          <t>2025-11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Infobip</t>
        </is>
      </c>
      <c r="I561" t="n">
        <v>230500000</v>
      </c>
      <c r="J561" t="inlineStr">
        <is>
          <t>COP</t>
        </is>
      </c>
      <c r="L561">
        <f>IFERROR(INDEX(Diccionario!$B:$B,MATCH(F561,Diccionario!$C:$C,0)),"")</f>
        <v/>
      </c>
      <c r="M561">
        <f>IFERROR(INDEX(Diccionario!$H:$H,MATCH(F561,Diccionario!$C:$C,0)),"")</f>
        <v/>
      </c>
      <c r="N561">
        <f>IFERROR(INDEX(Diccionario!$N:$N,MATCH(F561,Diccionario!$C:$C,0)),"")</f>
        <v/>
      </c>
    </row>
    <row r="562" ht="14.25" customHeight="1" s="52">
      <c r="A562" t="inlineStr">
        <is>
          <t>2025-11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IVA</t>
        </is>
      </c>
      <c r="I562" t="n">
        <v>0</v>
      </c>
      <c r="J562" t="inlineStr">
        <is>
          <t>COP</t>
        </is>
      </c>
      <c r="L562">
        <f>IFERROR(INDEX(Diccionario!$B:$B,MATCH(F562,Diccionario!$C:$C,0)),"")</f>
        <v/>
      </c>
      <c r="M562">
        <f>IFERROR(INDEX(Diccionario!$H:$H,MATCH(F562,Diccionario!$C:$C,0)),"")</f>
        <v/>
      </c>
      <c r="N562">
        <f>IFERROR(INDEX(Diccionario!$N:$N,MATCH(F562,Diccionario!$C:$C,0)),"")</f>
        <v/>
      </c>
    </row>
    <row r="563" ht="14.25" customHeight="1" s="52">
      <c r="A563" t="inlineStr">
        <is>
          <t>2025-11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AWS</t>
        </is>
      </c>
      <c r="I563" t="n">
        <v>12900000</v>
      </c>
      <c r="J563" t="inlineStr">
        <is>
          <t>COP</t>
        </is>
      </c>
      <c r="L563">
        <f>IFERROR(INDEX(Diccionario!$B:$B,MATCH(F563,Diccionario!$C:$C,0)),"")</f>
        <v/>
      </c>
      <c r="M563">
        <f>IFERROR(INDEX(Diccionario!$H:$H,MATCH(F563,Diccionario!$C:$C,0)),"")</f>
        <v/>
      </c>
      <c r="N563">
        <f>IFERROR(INDEX(Diccionario!$N:$N,MATCH(F563,Diccionario!$C:$C,0)),"")</f>
        <v/>
      </c>
    </row>
    <row r="564" ht="14.25" customHeight="1" s="52">
      <c r="A564" t="inlineStr">
        <is>
          <t>2025-11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B2Chat</t>
        </is>
      </c>
      <c r="I564" t="n">
        <v>15000000</v>
      </c>
      <c r="J564" t="inlineStr">
        <is>
          <t>COP</t>
        </is>
      </c>
      <c r="L564">
        <f>IFERROR(INDEX(Diccionario!$B:$B,MATCH(F564,Diccionario!$C:$C,0)),"")</f>
        <v/>
      </c>
      <c r="M564">
        <f>IFERROR(INDEX(Diccionario!$H:$H,MATCH(F564,Diccionario!$C:$C,0)),"")</f>
        <v/>
      </c>
      <c r="N564">
        <f>IFERROR(INDEX(Diccionario!$N:$N,MATCH(F564,Diccionario!$C:$C,0)),"")</f>
        <v/>
      </c>
    </row>
    <row r="565" ht="14.25" customHeight="1" s="52">
      <c r="A565" t="inlineStr">
        <is>
          <t>2025-11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Otros</t>
        </is>
      </c>
      <c r="I565" t="n">
        <v>19400000</v>
      </c>
      <c r="J565" t="inlineStr">
        <is>
          <t>COP</t>
        </is>
      </c>
      <c r="L565">
        <f>IFERROR(INDEX(Diccionario!$B:$B,MATCH(F565,Diccionario!$C:$C,0)),"")</f>
        <v/>
      </c>
      <c r="M565">
        <f>IFERROR(INDEX(Diccionario!$H:$H,MATCH(F565,Diccionario!$C:$C,0)),"")</f>
        <v/>
      </c>
      <c r="N565">
        <f>IFERROR(INDEX(Diccionario!$N:$N,MATCH(F565,Diccionario!$C:$C,0)),"")</f>
        <v/>
      </c>
    </row>
    <row r="566" ht="14.25" customHeight="1" s="52">
      <c r="A566" t="inlineStr">
        <is>
          <t>2025-12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Infobip</t>
        </is>
      </c>
      <c r="I566" t="n">
        <v>107300000</v>
      </c>
      <c r="J566" t="inlineStr">
        <is>
          <t>COP</t>
        </is>
      </c>
      <c r="L566">
        <f>IFERROR(INDEX(Diccionario!$B:$B,MATCH(F566,Diccionario!$C:$C,0)),"")</f>
        <v/>
      </c>
      <c r="M566">
        <f>IFERROR(INDEX(Diccionario!$H:$H,MATCH(F566,Diccionario!$C:$C,0)),"")</f>
        <v/>
      </c>
      <c r="N566">
        <f>IFERROR(INDEX(Diccionario!$N:$N,MATCH(F566,Diccionario!$C:$C,0)),"")</f>
        <v/>
      </c>
    </row>
    <row r="567" ht="14.25" customHeight="1" s="52">
      <c r="A567" t="inlineStr">
        <is>
          <t>2025-12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IVA</t>
        </is>
      </c>
      <c r="I567" t="n">
        <v>0</v>
      </c>
      <c r="J567" t="inlineStr">
        <is>
          <t>COP</t>
        </is>
      </c>
      <c r="L567">
        <f>IFERROR(INDEX(Diccionario!$B:$B,MATCH(F567,Diccionario!$C:$C,0)),"")</f>
        <v/>
      </c>
      <c r="M567">
        <f>IFERROR(INDEX(Diccionario!$H:$H,MATCH(F567,Diccionario!$C:$C,0)),"")</f>
        <v/>
      </c>
      <c r="N567">
        <f>IFERROR(INDEX(Diccionario!$N:$N,MATCH(F567,Diccionario!$C:$C,0)),"")</f>
        <v/>
      </c>
    </row>
    <row r="568" ht="14.25" customHeight="1" s="52">
      <c r="A568" t="inlineStr">
        <is>
          <t>2025-12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AWS</t>
        </is>
      </c>
      <c r="I568" t="n">
        <v>25100000</v>
      </c>
      <c r="J568" t="inlineStr">
        <is>
          <t>COP</t>
        </is>
      </c>
      <c r="L568">
        <f>IFERROR(INDEX(Diccionario!$B:$B,MATCH(F568,Diccionario!$C:$C,0)),"")</f>
        <v/>
      </c>
      <c r="M568">
        <f>IFERROR(INDEX(Diccionario!$H:$H,MATCH(F568,Diccionario!$C:$C,0)),"")</f>
        <v/>
      </c>
      <c r="N568">
        <f>IFERROR(INDEX(Diccionario!$N:$N,MATCH(F568,Diccionario!$C:$C,0)),"")</f>
        <v/>
      </c>
    </row>
    <row r="569" ht="14.25" customHeight="1" s="52">
      <c r="A569" t="inlineStr">
        <is>
          <t>2025-12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B2Chat</t>
        </is>
      </c>
      <c r="I569" t="n">
        <v>16100000</v>
      </c>
      <c r="J569" t="inlineStr">
        <is>
          <t>COP</t>
        </is>
      </c>
      <c r="L569">
        <f>IFERROR(INDEX(Diccionario!$B:$B,MATCH(F569,Diccionario!$C:$C,0)),"")</f>
        <v/>
      </c>
      <c r="M569">
        <f>IFERROR(INDEX(Diccionario!$H:$H,MATCH(F569,Diccionario!$C:$C,0)),"")</f>
        <v/>
      </c>
      <c r="N569">
        <f>IFERROR(INDEX(Diccionario!$N:$N,MATCH(F569,Diccionario!$C:$C,0)),"")</f>
        <v/>
      </c>
    </row>
    <row r="570" ht="14.25" customHeight="1" s="52">
      <c r="A570" t="inlineStr">
        <is>
          <t>2025-12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Otros</t>
        </is>
      </c>
      <c r="I570" t="n">
        <v>9300000</v>
      </c>
      <c r="J570" t="inlineStr">
        <is>
          <t>COP</t>
        </is>
      </c>
      <c r="L570">
        <f>IFERROR(INDEX(Diccionario!$B:$B,MATCH(F570,Diccionario!$C:$C,0)),"")</f>
        <v/>
      </c>
      <c r="M570">
        <f>IFERROR(INDEX(Diccionario!$H:$H,MATCH(F570,Diccionario!$C:$C,0)),"")</f>
        <v/>
      </c>
      <c r="N570">
        <f>IFERROR(INDEX(Diccionario!$N:$N,MATCH(F570,Diccionario!$C:$C,0)),"")</f>
        <v/>
      </c>
    </row>
    <row r="571" ht="14.25" customHeight="1" s="52">
      <c r="A571" t="inlineStr">
        <is>
          <t>2026-01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Infobip</t>
        </is>
      </c>
      <c r="I571" t="n">
        <v>0</v>
      </c>
      <c r="J571" t="inlineStr">
        <is>
          <t>COP</t>
        </is>
      </c>
      <c r="L571">
        <f>IFERROR(INDEX(Diccionario!$B:$B,MATCH(F571,Diccionario!$C:$C,0)),"")</f>
        <v/>
      </c>
      <c r="M571">
        <f>IFERROR(INDEX(Diccionario!$H:$H,MATCH(F571,Diccionario!$C:$C,0)),"")</f>
        <v/>
      </c>
      <c r="N571">
        <f>IFERROR(INDEX(Diccionario!$N:$N,MATCH(F571,Diccionario!$C:$C,0)),"")</f>
        <v/>
      </c>
    </row>
    <row r="572" ht="14.25" customHeight="1" s="52">
      <c r="A572" t="inlineStr">
        <is>
          <t>2026-01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IVA</t>
        </is>
      </c>
      <c r="I572" t="n">
        <v>0</v>
      </c>
      <c r="J572" t="inlineStr">
        <is>
          <t>COP</t>
        </is>
      </c>
      <c r="L572">
        <f>IFERROR(INDEX(Diccionario!$B:$B,MATCH(F572,Diccionario!$C:$C,0)),"")</f>
        <v/>
      </c>
      <c r="M572">
        <f>IFERROR(INDEX(Diccionario!$H:$H,MATCH(F572,Diccionario!$C:$C,0)),"")</f>
        <v/>
      </c>
      <c r="N572">
        <f>IFERROR(INDEX(Diccionario!$N:$N,MATCH(F572,Diccionario!$C:$C,0)),"")</f>
        <v/>
      </c>
    </row>
    <row r="573" ht="14.25" customHeight="1" s="52">
      <c r="A573" t="inlineStr">
        <is>
          <t>2026-01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33600000</v>
      </c>
      <c r="J573" t="inlineStr">
        <is>
          <t>COP</t>
        </is>
      </c>
      <c r="L573">
        <f>IFERROR(INDEX(Diccionario!$B:$B,MATCH(F573,Diccionario!$C:$C,0)),"")</f>
        <v/>
      </c>
      <c r="M573">
        <f>IFERROR(INDEX(Diccionario!$H:$H,MATCH(F573,Diccionario!$C:$C,0)),"")</f>
        <v/>
      </c>
      <c r="N573">
        <f>IFERROR(INDEX(Diccionario!$N:$N,MATCH(F573,Diccionario!$C:$C,0)),"")</f>
        <v/>
      </c>
    </row>
    <row r="574" ht="14.25" customHeight="1" s="52">
      <c r="A574" t="inlineStr">
        <is>
          <t>2026-01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17900000</v>
      </c>
      <c r="J574" t="inlineStr">
        <is>
          <t>COP</t>
        </is>
      </c>
      <c r="L574">
        <f>IFERROR(INDEX(Diccionario!$B:$B,MATCH(F574,Diccionario!$C:$C,0)),"")</f>
        <v/>
      </c>
      <c r="M574">
        <f>IFERROR(INDEX(Diccionario!$H:$H,MATCH(F574,Diccionario!$C:$C,0)),"")</f>
        <v/>
      </c>
      <c r="N574">
        <f>IFERROR(INDEX(Diccionario!$N:$N,MATCH(F574,Diccionario!$C:$C,0)),"")</f>
        <v/>
      </c>
    </row>
    <row r="575" ht="14.25" customHeight="1" s="52">
      <c r="A575" t="inlineStr">
        <is>
          <t>2026-01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Otros</t>
        </is>
      </c>
      <c r="I575" t="n">
        <v>15300000</v>
      </c>
      <c r="J575" t="inlineStr">
        <is>
          <t>COP</t>
        </is>
      </c>
      <c r="L575">
        <f>IFERROR(INDEX(Diccionario!$B:$B,MATCH(F575,Diccionario!$C:$C,0)),"")</f>
        <v/>
      </c>
      <c r="M575">
        <f>IFERROR(INDEX(Diccionario!$H:$H,MATCH(F575,Diccionario!$C:$C,0)),"")</f>
        <v/>
      </c>
      <c r="N575">
        <f>IFERROR(INDEX(Diccionario!$N:$N,MATCH(F575,Diccionario!$C:$C,0)),"")</f>
        <v/>
      </c>
    </row>
    <row r="576" ht="14.25" customHeight="1" s="52">
      <c r="A576" t="inlineStr">
        <is>
          <t>2026-02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106900000</v>
      </c>
      <c r="J576" t="inlineStr">
        <is>
          <t>COP</t>
        </is>
      </c>
      <c r="L576">
        <f>IFERROR(INDEX(Diccionario!$B:$B,MATCH(F576,Diccionario!$C:$C,0)),"")</f>
        <v/>
      </c>
      <c r="M576">
        <f>IFERROR(INDEX(Diccionario!$H:$H,MATCH(F576,Diccionario!$C:$C,0)),"")</f>
        <v/>
      </c>
      <c r="N576">
        <f>IFERROR(INDEX(Diccionario!$N:$N,MATCH(F576,Diccionario!$C:$C,0)),"")</f>
        <v/>
      </c>
    </row>
    <row r="577" ht="14.25" customHeight="1" s="52">
      <c r="A577" t="inlineStr">
        <is>
          <t>2026-02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IVA</t>
        </is>
      </c>
      <c r="I577" t="n">
        <v>0</v>
      </c>
      <c r="J577" t="inlineStr">
        <is>
          <t>COP</t>
        </is>
      </c>
      <c r="L577">
        <f>IFERROR(INDEX(Diccionario!$B:$B,MATCH(F577,Diccionario!$C:$C,0)),"")</f>
        <v/>
      </c>
      <c r="M577">
        <f>IFERROR(INDEX(Diccionario!$H:$H,MATCH(F577,Diccionario!$C:$C,0)),"")</f>
        <v/>
      </c>
      <c r="N577">
        <f>IFERROR(INDEX(Diccionario!$N:$N,MATCH(F577,Diccionario!$C:$C,0)),"")</f>
        <v/>
      </c>
    </row>
    <row r="578" ht="14.25" customHeight="1" s="52">
      <c r="A578" t="inlineStr">
        <is>
          <t>2026-02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AWS</t>
        </is>
      </c>
      <c r="I578" t="n">
        <v>25600000</v>
      </c>
      <c r="J578" t="inlineStr">
        <is>
          <t>COP</t>
        </is>
      </c>
      <c r="L578">
        <f>IFERROR(INDEX(Diccionario!$B:$B,MATCH(F578,Diccionario!$C:$C,0)),"")</f>
        <v/>
      </c>
      <c r="M578">
        <f>IFERROR(INDEX(Diccionario!$H:$H,MATCH(F578,Diccionario!$C:$C,0)),"")</f>
        <v/>
      </c>
      <c r="N578">
        <f>IFERROR(INDEX(Diccionario!$N:$N,MATCH(F578,Diccionario!$C:$C,0)),"")</f>
        <v/>
      </c>
    </row>
    <row r="579" ht="14.25" customHeight="1" s="52">
      <c r="A579" t="inlineStr">
        <is>
          <t>2026-02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B2Chat</t>
        </is>
      </c>
      <c r="I579" t="n">
        <v>19100000</v>
      </c>
      <c r="J579" t="inlineStr">
        <is>
          <t>COP</t>
        </is>
      </c>
      <c r="L579">
        <f>IFERROR(INDEX(Diccionario!$B:$B,MATCH(F579,Diccionario!$C:$C,0)),"")</f>
        <v/>
      </c>
      <c r="M579">
        <f>IFERROR(INDEX(Diccionario!$H:$H,MATCH(F579,Diccionario!$C:$C,0)),"")</f>
        <v/>
      </c>
      <c r="N579">
        <f>IFERROR(INDEX(Diccionario!$N:$N,MATCH(F579,Diccionario!$C:$C,0)),"")</f>
        <v/>
      </c>
    </row>
    <row r="580" ht="14.25" customHeight="1" s="52">
      <c r="A580" t="inlineStr">
        <is>
          <t>2026-02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Otros</t>
        </is>
      </c>
      <c r="I580" t="n">
        <v>25900000</v>
      </c>
      <c r="J580" t="inlineStr">
        <is>
          <t>COP</t>
        </is>
      </c>
      <c r="L580">
        <f>IFERROR(INDEX(Diccionario!$B:$B,MATCH(F580,Diccionario!$C:$C,0)),"")</f>
        <v/>
      </c>
      <c r="M580">
        <f>IFERROR(INDEX(Diccionario!$H:$H,MATCH(F580,Diccionario!$C:$C,0)),"")</f>
        <v/>
      </c>
      <c r="N580">
        <f>IFERROR(INDEX(Diccionario!$N:$N,MATCH(F580,Diccionario!$C:$C,0)),"")</f>
        <v/>
      </c>
    </row>
    <row r="581" ht="14.25" customHeight="1" s="52">
      <c r="A581" t="inlineStr">
        <is>
          <t>2026-03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Infobip</t>
        </is>
      </c>
      <c r="I581" t="n">
        <v>219900000</v>
      </c>
      <c r="J581" t="inlineStr">
        <is>
          <t>COP</t>
        </is>
      </c>
      <c r="L581">
        <f>IFERROR(INDEX(Diccionario!$B:$B,MATCH(F581,Diccionario!$C:$C,0)),"")</f>
        <v/>
      </c>
      <c r="M581">
        <f>IFERROR(INDEX(Diccionario!$H:$H,MATCH(F581,Diccionario!$C:$C,0)),"")</f>
        <v/>
      </c>
      <c r="N581">
        <f>IFERROR(INDEX(Diccionario!$N:$N,MATCH(F581,Diccionario!$C:$C,0)),"")</f>
        <v/>
      </c>
    </row>
    <row r="582" ht="14.25" customHeight="1" s="52">
      <c r="A582" t="inlineStr">
        <is>
          <t>2026-03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IVA</t>
        </is>
      </c>
      <c r="I582" t="n">
        <v>0</v>
      </c>
      <c r="J582" t="inlineStr">
        <is>
          <t>COP</t>
        </is>
      </c>
      <c r="L582">
        <f>IFERROR(INDEX(Diccionario!$B:$B,MATCH(F582,Diccionario!$C:$C,0)),"")</f>
        <v/>
      </c>
      <c r="M582">
        <f>IFERROR(INDEX(Diccionario!$H:$H,MATCH(F582,Diccionario!$C:$C,0)),"")</f>
        <v/>
      </c>
      <c r="N582">
        <f>IFERROR(INDEX(Diccionario!$N:$N,MATCH(F582,Diccionario!$C:$C,0)),"")</f>
        <v/>
      </c>
    </row>
    <row r="583" ht="14.25" customHeight="1" s="52">
      <c r="A583" t="inlineStr">
        <is>
          <t>2026-03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AWS</t>
        </is>
      </c>
      <c r="I583" t="n">
        <v>27400000</v>
      </c>
      <c r="J583" t="inlineStr">
        <is>
          <t>COP</t>
        </is>
      </c>
      <c r="L583">
        <f>IFERROR(INDEX(Diccionario!$B:$B,MATCH(F583,Diccionario!$C:$C,0)),"")</f>
        <v/>
      </c>
      <c r="M583">
        <f>IFERROR(INDEX(Diccionario!$H:$H,MATCH(F583,Diccionario!$C:$C,0)),"")</f>
        <v/>
      </c>
      <c r="N583">
        <f>IFERROR(INDEX(Diccionario!$N:$N,MATCH(F583,Diccionario!$C:$C,0)),"")</f>
        <v/>
      </c>
    </row>
    <row r="584" ht="14.25" customHeight="1" s="52">
      <c r="A584" t="inlineStr">
        <is>
          <t>2026-03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costo_proveedor</t>
        </is>
      </c>
      <c r="H584" t="inlineStr">
        <is>
          <t>B2Chat</t>
        </is>
      </c>
      <c r="I584" t="n">
        <v>21100000</v>
      </c>
      <c r="J584" t="inlineStr">
        <is>
          <t>COP</t>
        </is>
      </c>
      <c r="L584">
        <f>IFERROR(INDEX(Diccionario!$B:$B,MATCH(F584,Diccionario!$C:$C,0)),"")</f>
        <v/>
      </c>
      <c r="M584">
        <f>IFERROR(INDEX(Diccionario!$H:$H,MATCH(F584,Diccionario!$C:$C,0)),"")</f>
        <v/>
      </c>
      <c r="N584">
        <f>IFERROR(INDEX(Diccionario!$N:$N,MATCH(F584,Diccionario!$C:$C,0)),"")</f>
        <v/>
      </c>
    </row>
    <row r="585" ht="14.25" customHeight="1" s="52">
      <c r="A585" t="inlineStr">
        <is>
          <t>2026-03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costo_proveedor</t>
        </is>
      </c>
      <c r="H585" t="inlineStr">
        <is>
          <t>Otros</t>
        </is>
      </c>
      <c r="I585" t="n">
        <v>6000000</v>
      </c>
      <c r="J585" t="inlineStr">
        <is>
          <t>COP</t>
        </is>
      </c>
      <c r="L585">
        <f>IFERROR(INDEX(Diccionario!$B:$B,MATCH(F585,Diccionario!$C:$C,0)),"")</f>
        <v/>
      </c>
      <c r="M585">
        <f>IFERROR(INDEX(Diccionario!$H:$H,MATCH(F585,Diccionario!$C:$C,0)),"")</f>
        <v/>
      </c>
      <c r="N585">
        <f>IFERROR(INDEX(Diccionario!$N:$N,MATCH(F585,Diccionario!$C:$C,0)),"")</f>
        <v/>
      </c>
    </row>
    <row r="586" ht="14.25" customHeight="1" s="52">
      <c r="A586" t="inlineStr">
        <is>
          <t>2026-04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costo_proveedor</t>
        </is>
      </c>
      <c r="H586" t="inlineStr">
        <is>
          <t>Infobip</t>
        </is>
      </c>
      <c r="I586" t="n">
        <v>111800000</v>
      </c>
      <c r="J586" t="inlineStr">
        <is>
          <t>COP</t>
        </is>
      </c>
      <c r="L586">
        <f>IFERROR(INDEX(Diccionario!$B:$B,MATCH(F586,Diccionario!$C:$C,0)),"")</f>
        <v/>
      </c>
      <c r="M586">
        <f>IFERROR(INDEX(Diccionario!$H:$H,MATCH(F586,Diccionario!$C:$C,0)),"")</f>
        <v/>
      </c>
      <c r="N586">
        <f>IFERROR(INDEX(Diccionario!$N:$N,MATCH(F586,Diccionario!$C:$C,0)),"")</f>
        <v/>
      </c>
    </row>
    <row r="587" ht="14.25" customHeight="1" s="52">
      <c r="A587" t="inlineStr">
        <is>
          <t>2026-04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costo_proveedor</t>
        </is>
      </c>
      <c r="H587" t="inlineStr">
        <is>
          <t>IVA</t>
        </is>
      </c>
      <c r="I587" t="n">
        <v>0</v>
      </c>
      <c r="J587" t="inlineStr">
        <is>
          <t>COP</t>
        </is>
      </c>
      <c r="L587">
        <f>IFERROR(INDEX(Diccionario!$B:$B,MATCH(F587,Diccionario!$C:$C,0)),"")</f>
        <v/>
      </c>
      <c r="M587">
        <f>IFERROR(INDEX(Diccionario!$H:$H,MATCH(F587,Diccionario!$C:$C,0)),"")</f>
        <v/>
      </c>
      <c r="N587">
        <f>IFERROR(INDEX(Diccionario!$N:$N,MATCH(F587,Diccionario!$C:$C,0)),"")</f>
        <v/>
      </c>
    </row>
    <row r="588" ht="14.25" customHeight="1" s="52">
      <c r="A588" t="inlineStr">
        <is>
          <t>2026-04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costo_proveedor</t>
        </is>
      </c>
      <c r="H588" t="inlineStr">
        <is>
          <t>AWS</t>
        </is>
      </c>
      <c r="I588" t="n">
        <v>32100000</v>
      </c>
      <c r="J588" t="inlineStr">
        <is>
          <t>COP</t>
        </is>
      </c>
      <c r="L588">
        <f>IFERROR(INDEX(Diccionario!$B:$B,MATCH(F588,Diccionario!$C:$C,0)),"")</f>
        <v/>
      </c>
      <c r="M588">
        <f>IFERROR(INDEX(Diccionario!$H:$H,MATCH(F588,Diccionario!$C:$C,0)),"")</f>
        <v/>
      </c>
      <c r="N588">
        <f>IFERROR(INDEX(Diccionario!$N:$N,MATCH(F588,Diccionario!$C:$C,0)),"")</f>
        <v/>
      </c>
    </row>
    <row r="589" ht="14.25" customHeight="1" s="52">
      <c r="A589" t="inlineStr">
        <is>
          <t>2026-04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costo_proveedor</t>
        </is>
      </c>
      <c r="H589" t="inlineStr">
        <is>
          <t>B2Chat</t>
        </is>
      </c>
      <c r="I589" t="n">
        <v>21000000</v>
      </c>
      <c r="J589" t="inlineStr">
        <is>
          <t>COP</t>
        </is>
      </c>
      <c r="L589">
        <f>IFERROR(INDEX(Diccionario!$B:$B,MATCH(F589,Diccionario!$C:$C,0)),"")</f>
        <v/>
      </c>
      <c r="M589">
        <f>IFERROR(INDEX(Diccionario!$H:$H,MATCH(F589,Diccionario!$C:$C,0)),"")</f>
        <v/>
      </c>
      <c r="N589">
        <f>IFERROR(INDEX(Diccionario!$N:$N,MATCH(F589,Diccionario!$C:$C,0)),"")</f>
        <v/>
      </c>
    </row>
    <row r="590" ht="14.25" customHeight="1" s="52">
      <c r="A590" t="inlineStr">
        <is>
          <t>2026-04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costo_proveedor</t>
        </is>
      </c>
      <c r="H590" t="inlineStr">
        <is>
          <t>Otros</t>
        </is>
      </c>
      <c r="I590" t="n">
        <v>29000000</v>
      </c>
      <c r="J590" t="inlineStr">
        <is>
          <t>COP</t>
        </is>
      </c>
      <c r="L590">
        <f>IFERROR(INDEX(Diccionario!$B:$B,MATCH(F590,Diccionario!$C:$C,0)),"")</f>
        <v/>
      </c>
      <c r="M590">
        <f>IFERROR(INDEX(Diccionario!$H:$H,MATCH(F590,Diccionario!$C:$C,0)),"")</f>
        <v/>
      </c>
      <c r="N590">
        <f>IFERROR(INDEX(Diccionario!$N:$N,MATCH(F590,Diccionario!$C:$C,0)),"")</f>
        <v/>
      </c>
    </row>
    <row r="591" ht="14.25" customHeight="1" s="52">
      <c r="A591" t="inlineStr">
        <is>
          <t>2026-05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costo_proveedor</t>
        </is>
      </c>
      <c r="H591" t="inlineStr">
        <is>
          <t>Infobip</t>
        </is>
      </c>
      <c r="I591" t="n">
        <v>112300000</v>
      </c>
      <c r="J591" t="inlineStr">
        <is>
          <t>COP</t>
        </is>
      </c>
      <c r="L591">
        <f>IFERROR(INDEX(Diccionario!$B:$B,MATCH(F591,Diccionario!$C:$C,0)),"")</f>
        <v/>
      </c>
      <c r="M591">
        <f>IFERROR(INDEX(Diccionario!$H:$H,MATCH(F591,Diccionario!$C:$C,0)),"")</f>
        <v/>
      </c>
      <c r="N591">
        <f>IFERROR(INDEX(Diccionario!$N:$N,MATCH(F591,Diccionario!$C:$C,0)),"")</f>
        <v/>
      </c>
    </row>
    <row r="592" ht="14.25" customHeight="1" s="52">
      <c r="A592" t="inlineStr">
        <is>
          <t>2026-05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costo_proveedor</t>
        </is>
      </c>
      <c r="H592" t="inlineStr">
        <is>
          <t>IVA</t>
        </is>
      </c>
      <c r="I592" t="n">
        <v>0</v>
      </c>
      <c r="J592" t="inlineStr">
        <is>
          <t>COP</t>
        </is>
      </c>
      <c r="L592">
        <f>IFERROR(INDEX(Diccionario!$B:$B,MATCH(F592,Diccionario!$C:$C,0)),"")</f>
        <v/>
      </c>
      <c r="M592">
        <f>IFERROR(INDEX(Diccionario!$H:$H,MATCH(F592,Diccionario!$C:$C,0)),"")</f>
        <v/>
      </c>
      <c r="N592">
        <f>IFERROR(INDEX(Diccionario!$N:$N,MATCH(F592,Diccionario!$C:$C,0)),"")</f>
        <v/>
      </c>
    </row>
    <row r="593" ht="14.25" customHeight="1" s="52">
      <c r="A593" t="inlineStr">
        <is>
          <t>2026-05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costo_proveedor</t>
        </is>
      </c>
      <c r="H593" t="inlineStr">
        <is>
          <t>AWS</t>
        </is>
      </c>
      <c r="I593" t="n">
        <v>34300000</v>
      </c>
      <c r="J593" t="inlineStr">
        <is>
          <t>COP</t>
        </is>
      </c>
      <c r="L593">
        <f>IFERROR(INDEX(Diccionario!$B:$B,MATCH(F593,Diccionario!$C:$C,0)),"")</f>
        <v/>
      </c>
      <c r="M593">
        <f>IFERROR(INDEX(Diccionario!$H:$H,MATCH(F593,Diccionario!$C:$C,0)),"")</f>
        <v/>
      </c>
      <c r="N593">
        <f>IFERROR(INDEX(Diccionario!$N:$N,MATCH(F593,Diccionario!$C:$C,0)),"")</f>
        <v/>
      </c>
    </row>
    <row r="594" ht="14.25" customHeight="1" s="52">
      <c r="A594" t="inlineStr">
        <is>
          <t>2026-05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costo_proveedor</t>
        </is>
      </c>
      <c r="H594" t="inlineStr">
        <is>
          <t>B2Chat</t>
        </is>
      </c>
      <c r="I594" t="n">
        <v>21500000</v>
      </c>
      <c r="J594" t="inlineStr">
        <is>
          <t>COP</t>
        </is>
      </c>
      <c r="L594">
        <f>IFERROR(INDEX(Diccionario!$B:$B,MATCH(F594,Diccionario!$C:$C,0)),"")</f>
        <v/>
      </c>
      <c r="M594">
        <f>IFERROR(INDEX(Diccionario!$H:$H,MATCH(F594,Diccionario!$C:$C,0)),"")</f>
        <v/>
      </c>
      <c r="N594">
        <f>IFERROR(INDEX(Diccionario!$N:$N,MATCH(F594,Diccionario!$C:$C,0)),"")</f>
        <v/>
      </c>
    </row>
    <row r="595" ht="14.25" customHeight="1" s="52">
      <c r="A595" t="inlineStr">
        <is>
          <t>2026-05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costo_proveedor</t>
        </is>
      </c>
      <c r="H595" t="inlineStr">
        <is>
          <t>Otros</t>
        </is>
      </c>
      <c r="I595" t="n">
        <v>18300000</v>
      </c>
      <c r="J595" t="inlineStr">
        <is>
          <t>COP</t>
        </is>
      </c>
      <c r="L595">
        <f>IFERROR(INDEX(Diccionario!$B:$B,MATCH(F595,Diccionario!$C:$C,0)),"")</f>
        <v/>
      </c>
      <c r="M595">
        <f>IFERROR(INDEX(Diccionario!$H:$H,MATCH(F595,Diccionario!$C:$C,0)),"")</f>
        <v/>
      </c>
      <c r="N595">
        <f>IFERROR(INDEX(Diccionario!$N:$N,MATCH(F595,Diccionario!$C:$C,0)),"")</f>
        <v/>
      </c>
    </row>
    <row r="596" ht="14.25" customHeight="1" s="52">
      <c r="A596" t="inlineStr">
        <is>
          <t>2024-01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44000000</v>
      </c>
      <c r="J596" t="inlineStr">
        <is>
          <t>COP</t>
        </is>
      </c>
      <c r="L596">
        <f>IFERROR(INDEX(Diccionario!$B:$B,MATCH(F596,Diccionario!$C:$C,0)),"")</f>
        <v/>
      </c>
      <c r="M596">
        <f>IFERROR(INDEX(Diccionario!$H:$H,MATCH(F596,Diccionario!$C:$C,0)),"")</f>
        <v/>
      </c>
      <c r="N596">
        <f>IFERROR(INDEX(Diccionario!$N:$N,MATCH(F596,Diccionario!$C:$C,0)),"")</f>
        <v/>
      </c>
    </row>
    <row r="597" ht="14.25" customHeight="1" s="52">
      <c r="A597" t="inlineStr">
        <is>
          <t>2024-01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7000000</v>
      </c>
      <c r="J597" t="inlineStr">
        <is>
          <t>COP</t>
        </is>
      </c>
      <c r="L597">
        <f>IFERROR(INDEX(Diccionario!$B:$B,MATCH(F597,Diccionario!$C:$C,0)),"")</f>
        <v/>
      </c>
      <c r="M597">
        <f>IFERROR(INDEX(Diccionario!$H:$H,MATCH(F597,Diccionario!$C:$C,0)),"")</f>
        <v/>
      </c>
      <c r="N597">
        <f>IFERROR(INDEX(Diccionario!$N:$N,MATCH(F597,Diccionario!$C:$C,0)),"")</f>
        <v/>
      </c>
    </row>
    <row r="598" ht="14.25" customHeight="1" s="52">
      <c r="A598" t="inlineStr">
        <is>
          <t>2024-01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5000000</v>
      </c>
      <c r="J598" t="inlineStr">
        <is>
          <t>COP</t>
        </is>
      </c>
      <c r="L598">
        <f>IFERROR(INDEX(Diccionario!$B:$B,MATCH(F598,Diccionario!$C:$C,0)),"")</f>
        <v/>
      </c>
      <c r="M598">
        <f>IFERROR(INDEX(Diccionario!$H:$H,MATCH(F598,Diccionario!$C:$C,0)),"")</f>
        <v/>
      </c>
      <c r="N598">
        <f>IFERROR(INDEX(Diccionario!$N:$N,MATCH(F598,Diccionario!$C:$C,0)),"")</f>
        <v/>
      </c>
    </row>
    <row r="599" ht="14.25" customHeight="1" s="52">
      <c r="A599" t="inlineStr">
        <is>
          <t>2024-02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45000000</v>
      </c>
      <c r="J599" t="inlineStr">
        <is>
          <t>COP</t>
        </is>
      </c>
      <c r="L599">
        <f>IFERROR(INDEX(Diccionario!$B:$B,MATCH(F599,Diccionario!$C:$C,0)),"")</f>
        <v/>
      </c>
      <c r="M599">
        <f>IFERROR(INDEX(Diccionario!$H:$H,MATCH(F599,Diccionario!$C:$C,0)),"")</f>
        <v/>
      </c>
      <c r="N599">
        <f>IFERROR(INDEX(Diccionario!$N:$N,MATCH(F599,Diccionario!$C:$C,0)),"")</f>
        <v/>
      </c>
    </row>
    <row r="600" ht="14.25" customHeight="1" s="52">
      <c r="A600" t="inlineStr">
        <is>
          <t>2024-02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0</v>
      </c>
      <c r="J600" t="inlineStr">
        <is>
          <t>COP</t>
        </is>
      </c>
      <c r="L600">
        <f>IFERROR(INDEX(Diccionario!$B:$B,MATCH(F600,Diccionario!$C:$C,0)),"")</f>
        <v/>
      </c>
      <c r="M600">
        <f>IFERROR(INDEX(Diccionario!$H:$H,MATCH(F600,Diccionario!$C:$C,0)),"")</f>
        <v/>
      </c>
      <c r="N600">
        <f>IFERROR(INDEX(Diccionario!$N:$N,MATCH(F600,Diccionario!$C:$C,0)),"")</f>
        <v/>
      </c>
    </row>
    <row r="601" ht="14.25" customHeight="1" s="52">
      <c r="A601" t="inlineStr">
        <is>
          <t>2024-02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6000000</v>
      </c>
      <c r="J601" t="inlineStr">
        <is>
          <t>COP</t>
        </is>
      </c>
      <c r="L601">
        <f>IFERROR(INDEX(Diccionario!$B:$B,MATCH(F601,Diccionario!$C:$C,0)),"")</f>
        <v/>
      </c>
      <c r="M601">
        <f>IFERROR(INDEX(Diccionario!$H:$H,MATCH(F601,Diccionario!$C:$C,0)),"")</f>
        <v/>
      </c>
      <c r="N601">
        <f>IFERROR(INDEX(Diccionario!$N:$N,MATCH(F601,Diccionario!$C:$C,0)),"")</f>
        <v/>
      </c>
    </row>
    <row r="602" ht="14.25" customHeight="1" s="52">
      <c r="A602" t="inlineStr">
        <is>
          <t>2024-03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54000000</v>
      </c>
      <c r="J602" t="inlineStr">
        <is>
          <t>COP</t>
        </is>
      </c>
      <c r="L602">
        <f>IFERROR(INDEX(Diccionario!$B:$B,MATCH(F602,Diccionario!$C:$C,0)),"")</f>
        <v/>
      </c>
      <c r="M602">
        <f>IFERROR(INDEX(Diccionario!$H:$H,MATCH(F602,Diccionario!$C:$C,0)),"")</f>
        <v/>
      </c>
      <c r="N602">
        <f>IFERROR(INDEX(Diccionario!$N:$N,MATCH(F602,Diccionario!$C:$C,0)),"")</f>
        <v/>
      </c>
    </row>
    <row r="603" ht="14.25" customHeight="1" s="52">
      <c r="A603" t="inlineStr">
        <is>
          <t>2024-03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IFERROR(INDEX(Diccionario!$B:$B,MATCH(F603,Diccionario!$C:$C,0)),"")</f>
        <v/>
      </c>
      <c r="M603">
        <f>IFERROR(INDEX(Diccionario!$H:$H,MATCH(F603,Diccionario!$C:$C,0)),"")</f>
        <v/>
      </c>
      <c r="N603">
        <f>IFERROR(INDEX(Diccionario!$N:$N,MATCH(F603,Diccionario!$C:$C,0)),"")</f>
        <v/>
      </c>
    </row>
    <row r="604" ht="14.25" customHeight="1" s="52">
      <c r="A604" t="inlineStr">
        <is>
          <t>2024-03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4000000</v>
      </c>
      <c r="J604" t="inlineStr">
        <is>
          <t>COP</t>
        </is>
      </c>
      <c r="L604">
        <f>IFERROR(INDEX(Diccionario!$B:$B,MATCH(F604,Diccionario!$C:$C,0)),"")</f>
        <v/>
      </c>
      <c r="M604">
        <f>IFERROR(INDEX(Diccionario!$H:$H,MATCH(F604,Diccionario!$C:$C,0)),"")</f>
        <v/>
      </c>
      <c r="N604">
        <f>IFERROR(INDEX(Diccionario!$N:$N,MATCH(F604,Diccionario!$C:$C,0)),"")</f>
        <v/>
      </c>
    </row>
    <row r="605" ht="14.25" customHeight="1" s="52">
      <c r="A605" t="inlineStr">
        <is>
          <t>2024-04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46000000</v>
      </c>
      <c r="J605" t="inlineStr">
        <is>
          <t>COP</t>
        </is>
      </c>
      <c r="L605">
        <f>IFERROR(INDEX(Diccionario!$B:$B,MATCH(F605,Diccionario!$C:$C,0)),"")</f>
        <v/>
      </c>
      <c r="M605">
        <f>IFERROR(INDEX(Diccionario!$H:$H,MATCH(F605,Diccionario!$C:$C,0)),"")</f>
        <v/>
      </c>
      <c r="N605">
        <f>IFERROR(INDEX(Diccionario!$N:$N,MATCH(F605,Diccionario!$C:$C,0)),"")</f>
        <v/>
      </c>
    </row>
    <row r="606" ht="14.25" customHeight="1" s="52">
      <c r="A606" t="inlineStr">
        <is>
          <t>2024-04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IFERROR(INDEX(Diccionario!$B:$B,MATCH(F606,Diccionario!$C:$C,0)),"")</f>
        <v/>
      </c>
      <c r="M606">
        <f>IFERROR(INDEX(Diccionario!$H:$H,MATCH(F606,Diccionario!$C:$C,0)),"")</f>
        <v/>
      </c>
      <c r="N606">
        <f>IFERROR(INDEX(Diccionario!$N:$N,MATCH(F606,Diccionario!$C:$C,0)),"")</f>
        <v/>
      </c>
    </row>
    <row r="607" ht="14.25" customHeight="1" s="52">
      <c r="A607" t="inlineStr">
        <is>
          <t>2024-04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3000000</v>
      </c>
      <c r="J607" t="inlineStr">
        <is>
          <t>COP</t>
        </is>
      </c>
      <c r="L607">
        <f>IFERROR(INDEX(Diccionario!$B:$B,MATCH(F607,Diccionario!$C:$C,0)),"")</f>
        <v/>
      </c>
      <c r="M607">
        <f>IFERROR(INDEX(Diccionario!$H:$H,MATCH(F607,Diccionario!$C:$C,0)),"")</f>
        <v/>
      </c>
      <c r="N607">
        <f>IFERROR(INDEX(Diccionario!$N:$N,MATCH(F607,Diccionario!$C:$C,0)),"")</f>
        <v/>
      </c>
    </row>
    <row r="608" ht="14.25" customHeight="1" s="52">
      <c r="A608" t="inlineStr">
        <is>
          <t>2024-05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47000000</v>
      </c>
      <c r="J608" t="inlineStr">
        <is>
          <t>COP</t>
        </is>
      </c>
      <c r="L608">
        <f>IFERROR(INDEX(Diccionario!$B:$B,MATCH(F608,Diccionario!$C:$C,0)),"")</f>
        <v/>
      </c>
      <c r="M608">
        <f>IFERROR(INDEX(Diccionario!$H:$H,MATCH(F608,Diccionario!$C:$C,0)),"")</f>
        <v/>
      </c>
      <c r="N608">
        <f>IFERROR(INDEX(Diccionario!$N:$N,MATCH(F608,Diccionario!$C:$C,0)),"")</f>
        <v/>
      </c>
    </row>
    <row r="609" ht="14.25" customHeight="1" s="52">
      <c r="A609" t="inlineStr">
        <is>
          <t>2024-05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1000000</v>
      </c>
      <c r="J609" t="inlineStr">
        <is>
          <t>COP</t>
        </is>
      </c>
      <c r="L609">
        <f>IFERROR(INDEX(Diccionario!$B:$B,MATCH(F609,Diccionario!$C:$C,0)),"")</f>
        <v/>
      </c>
      <c r="M609">
        <f>IFERROR(INDEX(Diccionario!$H:$H,MATCH(F609,Diccionario!$C:$C,0)),"")</f>
        <v/>
      </c>
      <c r="N609">
        <f>IFERROR(INDEX(Diccionario!$N:$N,MATCH(F609,Diccionario!$C:$C,0)),"")</f>
        <v/>
      </c>
    </row>
    <row r="610" ht="14.25" customHeight="1" s="52">
      <c r="A610" t="inlineStr">
        <is>
          <t>2024-05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7000000</v>
      </c>
      <c r="J610" t="inlineStr">
        <is>
          <t>COP</t>
        </is>
      </c>
      <c r="L610">
        <f>IFERROR(INDEX(Diccionario!$B:$B,MATCH(F610,Diccionario!$C:$C,0)),"")</f>
        <v/>
      </c>
      <c r="M610">
        <f>IFERROR(INDEX(Diccionario!$H:$H,MATCH(F610,Diccionario!$C:$C,0)),"")</f>
        <v/>
      </c>
      <c r="N610">
        <f>IFERROR(INDEX(Diccionario!$N:$N,MATCH(F610,Diccionario!$C:$C,0)),"")</f>
        <v/>
      </c>
    </row>
    <row r="611" ht="14.25" customHeight="1" s="52">
      <c r="A611" t="inlineStr">
        <is>
          <t>2024-06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47000000</v>
      </c>
      <c r="J611" t="inlineStr">
        <is>
          <t>COP</t>
        </is>
      </c>
      <c r="L611">
        <f>IFERROR(INDEX(Diccionario!$B:$B,MATCH(F611,Diccionario!$C:$C,0)),"")</f>
        <v/>
      </c>
      <c r="M611">
        <f>IFERROR(INDEX(Diccionario!$H:$H,MATCH(F611,Diccionario!$C:$C,0)),"")</f>
        <v/>
      </c>
      <c r="N611">
        <f>IFERROR(INDEX(Diccionario!$N:$N,MATCH(F611,Diccionario!$C:$C,0)),"")</f>
        <v/>
      </c>
    </row>
    <row r="612" ht="14.25" customHeight="1" s="52">
      <c r="A612" t="inlineStr">
        <is>
          <t>2024-06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1000000</v>
      </c>
      <c r="J612" t="inlineStr">
        <is>
          <t>COP</t>
        </is>
      </c>
      <c r="L612">
        <f>IFERROR(INDEX(Diccionario!$B:$B,MATCH(F612,Diccionario!$C:$C,0)),"")</f>
        <v/>
      </c>
      <c r="M612">
        <f>IFERROR(INDEX(Diccionario!$H:$H,MATCH(F612,Diccionario!$C:$C,0)),"")</f>
        <v/>
      </c>
      <c r="N612">
        <f>IFERROR(INDEX(Diccionario!$N:$N,MATCH(F612,Diccionario!$C:$C,0)),"")</f>
        <v/>
      </c>
    </row>
    <row r="613" ht="14.25" customHeight="1" s="52">
      <c r="A613" t="inlineStr">
        <is>
          <t>2024-06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5000000</v>
      </c>
      <c r="J613" t="inlineStr">
        <is>
          <t>COP</t>
        </is>
      </c>
      <c r="L613">
        <f>IFERROR(INDEX(Diccionario!$B:$B,MATCH(F613,Diccionario!$C:$C,0)),"")</f>
        <v/>
      </c>
      <c r="M613">
        <f>IFERROR(INDEX(Diccionario!$H:$H,MATCH(F613,Diccionario!$C:$C,0)),"")</f>
        <v/>
      </c>
      <c r="N613">
        <f>IFERROR(INDEX(Diccionario!$N:$N,MATCH(F613,Diccionario!$C:$C,0)),"")</f>
        <v/>
      </c>
    </row>
    <row r="614" ht="14.25" customHeight="1" s="52">
      <c r="A614" t="inlineStr">
        <is>
          <t>2024-07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61000000</v>
      </c>
      <c r="J614" t="inlineStr">
        <is>
          <t>COP</t>
        </is>
      </c>
      <c r="L614">
        <f>IFERROR(INDEX(Diccionario!$B:$B,MATCH(F614,Diccionario!$C:$C,0)),"")</f>
        <v/>
      </c>
      <c r="M614">
        <f>IFERROR(INDEX(Diccionario!$H:$H,MATCH(F614,Diccionario!$C:$C,0)),"")</f>
        <v/>
      </c>
      <c r="N614">
        <f>IFERROR(INDEX(Diccionario!$N:$N,MATCH(F614,Diccionario!$C:$C,0)),"")</f>
        <v/>
      </c>
    </row>
    <row r="615" ht="14.25" customHeight="1" s="52">
      <c r="A615" t="inlineStr">
        <is>
          <t>2024-07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1000000</v>
      </c>
      <c r="J615" t="inlineStr">
        <is>
          <t>COP</t>
        </is>
      </c>
      <c r="L615">
        <f>IFERROR(INDEX(Diccionario!$B:$B,MATCH(F615,Diccionario!$C:$C,0)),"")</f>
        <v/>
      </c>
      <c r="M615">
        <f>IFERROR(INDEX(Diccionario!$H:$H,MATCH(F615,Diccionario!$C:$C,0)),"")</f>
        <v/>
      </c>
      <c r="N615">
        <f>IFERROR(INDEX(Diccionario!$N:$N,MATCH(F615,Diccionario!$C:$C,0)),"")</f>
        <v/>
      </c>
    </row>
    <row r="616" ht="14.25" customHeight="1" s="52">
      <c r="A616" t="inlineStr">
        <is>
          <t>2024-07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5000000</v>
      </c>
      <c r="J616" t="inlineStr">
        <is>
          <t>COP</t>
        </is>
      </c>
      <c r="L616">
        <f>IFERROR(INDEX(Diccionario!$B:$B,MATCH(F616,Diccionario!$C:$C,0)),"")</f>
        <v/>
      </c>
      <c r="M616">
        <f>IFERROR(INDEX(Diccionario!$H:$H,MATCH(F616,Diccionario!$C:$C,0)),"")</f>
        <v/>
      </c>
      <c r="N616">
        <f>IFERROR(INDEX(Diccionario!$N:$N,MATCH(F616,Diccionario!$C:$C,0)),"")</f>
        <v/>
      </c>
    </row>
    <row r="617" ht="14.25" customHeight="1" s="52">
      <c r="A617" t="inlineStr">
        <is>
          <t>2024-08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Personal</t>
        </is>
      </c>
      <c r="I617" t="n">
        <v>57000000</v>
      </c>
      <c r="J617" t="inlineStr">
        <is>
          <t>COP</t>
        </is>
      </c>
      <c r="L617">
        <f>IFERROR(INDEX(Diccionario!$B:$B,MATCH(F617,Diccionario!$C:$C,0)),"")</f>
        <v/>
      </c>
      <c r="M617">
        <f>IFERROR(INDEX(Diccionario!$H:$H,MATCH(F617,Diccionario!$C:$C,0)),"")</f>
        <v/>
      </c>
      <c r="N617">
        <f>IFERROR(INDEX(Diccionario!$N:$N,MATCH(F617,Diccionario!$C:$C,0)),"")</f>
        <v/>
      </c>
    </row>
    <row r="618" ht="14.25" customHeight="1" s="52">
      <c r="A618" t="inlineStr">
        <is>
          <t>2024-08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Honorario</t>
        </is>
      </c>
      <c r="I618" t="n">
        <v>1000000</v>
      </c>
      <c r="J618" t="inlineStr">
        <is>
          <t>COP</t>
        </is>
      </c>
      <c r="L618">
        <f>IFERROR(INDEX(Diccionario!$B:$B,MATCH(F618,Diccionario!$C:$C,0)),"")</f>
        <v/>
      </c>
      <c r="M618">
        <f>IFERROR(INDEX(Diccionario!$H:$H,MATCH(F618,Diccionario!$C:$C,0)),"")</f>
        <v/>
      </c>
      <c r="N618">
        <f>IFERROR(INDEX(Diccionario!$N:$N,MATCH(F618,Diccionario!$C:$C,0)),"")</f>
        <v/>
      </c>
    </row>
    <row r="619" ht="14.25" customHeight="1" s="52">
      <c r="A619" t="inlineStr">
        <is>
          <t>2024-08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Servicios</t>
        </is>
      </c>
      <c r="I619" t="n">
        <v>5000000</v>
      </c>
      <c r="J619" t="inlineStr">
        <is>
          <t>COP</t>
        </is>
      </c>
      <c r="L619">
        <f>IFERROR(INDEX(Diccionario!$B:$B,MATCH(F619,Diccionario!$C:$C,0)),"")</f>
        <v/>
      </c>
      <c r="M619">
        <f>IFERROR(INDEX(Diccionario!$H:$H,MATCH(F619,Diccionario!$C:$C,0)),"")</f>
        <v/>
      </c>
      <c r="N619">
        <f>IFERROR(INDEX(Diccionario!$N:$N,MATCH(F619,Diccionario!$C:$C,0)),"")</f>
        <v/>
      </c>
    </row>
    <row r="620" ht="14.25" customHeight="1" s="52">
      <c r="A620" t="inlineStr">
        <is>
          <t>2024-09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Personal</t>
        </is>
      </c>
      <c r="I620" t="n">
        <v>62000000</v>
      </c>
      <c r="J620" t="inlineStr">
        <is>
          <t>COP</t>
        </is>
      </c>
      <c r="L620">
        <f>IFERROR(INDEX(Diccionario!$B:$B,MATCH(F620,Diccionario!$C:$C,0)),"")</f>
        <v/>
      </c>
      <c r="M620">
        <f>IFERROR(INDEX(Diccionario!$H:$H,MATCH(F620,Diccionario!$C:$C,0)),"")</f>
        <v/>
      </c>
      <c r="N620">
        <f>IFERROR(INDEX(Diccionario!$N:$N,MATCH(F620,Diccionario!$C:$C,0)),"")</f>
        <v/>
      </c>
    </row>
    <row r="621" ht="14.25" customHeight="1" s="52">
      <c r="A621" t="inlineStr">
        <is>
          <t>2024-09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Honorario</t>
        </is>
      </c>
      <c r="I621" t="n">
        <v>3000000</v>
      </c>
      <c r="J621" t="inlineStr">
        <is>
          <t>COP</t>
        </is>
      </c>
      <c r="L621">
        <f>IFERROR(INDEX(Diccionario!$B:$B,MATCH(F621,Diccionario!$C:$C,0)),"")</f>
        <v/>
      </c>
      <c r="M621">
        <f>IFERROR(INDEX(Diccionario!$H:$H,MATCH(F621,Diccionario!$C:$C,0)),"")</f>
        <v/>
      </c>
      <c r="N621">
        <f>IFERROR(INDEX(Diccionario!$N:$N,MATCH(F621,Diccionario!$C:$C,0)),"")</f>
        <v/>
      </c>
    </row>
    <row r="622" ht="14.25" customHeight="1" s="52">
      <c r="A622" t="inlineStr">
        <is>
          <t>2024-09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Servicios</t>
        </is>
      </c>
      <c r="I622" t="n">
        <v>1000000</v>
      </c>
      <c r="J622" t="inlineStr">
        <is>
          <t>COP</t>
        </is>
      </c>
      <c r="L622">
        <f>IFERROR(INDEX(Diccionario!$B:$B,MATCH(F622,Diccionario!$C:$C,0)),"")</f>
        <v/>
      </c>
      <c r="M622">
        <f>IFERROR(INDEX(Diccionario!$H:$H,MATCH(F622,Diccionario!$C:$C,0)),"")</f>
        <v/>
      </c>
      <c r="N622">
        <f>IFERROR(INDEX(Diccionario!$N:$N,MATCH(F622,Diccionario!$C:$C,0)),"")</f>
        <v/>
      </c>
    </row>
    <row r="623" ht="14.25" customHeight="1" s="52">
      <c r="A623" t="inlineStr">
        <is>
          <t>2024-10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62000000</v>
      </c>
      <c r="J623" t="inlineStr">
        <is>
          <t>COP</t>
        </is>
      </c>
      <c r="L623">
        <f>IFERROR(INDEX(Diccionario!$B:$B,MATCH(F623,Diccionario!$C:$C,0)),"")</f>
        <v/>
      </c>
      <c r="M623">
        <f>IFERROR(INDEX(Diccionario!$H:$H,MATCH(F623,Diccionario!$C:$C,0)),"")</f>
        <v/>
      </c>
      <c r="N623">
        <f>IFERROR(INDEX(Diccionario!$N:$N,MATCH(F623,Diccionario!$C:$C,0)),"")</f>
        <v/>
      </c>
    </row>
    <row r="624" ht="14.25" customHeight="1" s="52">
      <c r="A624" t="inlineStr">
        <is>
          <t>2024-10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Honorario</t>
        </is>
      </c>
      <c r="I624" t="n">
        <v>5000000</v>
      </c>
      <c r="J624" t="inlineStr">
        <is>
          <t>COP</t>
        </is>
      </c>
      <c r="L624">
        <f>IFERROR(INDEX(Diccionario!$B:$B,MATCH(F624,Diccionario!$C:$C,0)),"")</f>
        <v/>
      </c>
      <c r="M624">
        <f>IFERROR(INDEX(Diccionario!$H:$H,MATCH(F624,Diccionario!$C:$C,0)),"")</f>
        <v/>
      </c>
      <c r="N624">
        <f>IFERROR(INDEX(Diccionario!$N:$N,MATCH(F624,Diccionario!$C:$C,0)),"")</f>
        <v/>
      </c>
    </row>
    <row r="625" ht="14.25" customHeight="1" s="52">
      <c r="A625" t="inlineStr">
        <is>
          <t>2024-10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Servicios</t>
        </is>
      </c>
      <c r="I625" t="n">
        <v>6000000</v>
      </c>
      <c r="J625" t="inlineStr">
        <is>
          <t>COP</t>
        </is>
      </c>
      <c r="L625">
        <f>IFERROR(INDEX(Diccionario!$B:$B,MATCH(F625,Diccionario!$C:$C,0)),"")</f>
        <v/>
      </c>
      <c r="M625">
        <f>IFERROR(INDEX(Diccionario!$H:$H,MATCH(F625,Diccionario!$C:$C,0)),"")</f>
        <v/>
      </c>
      <c r="N625">
        <f>IFERROR(INDEX(Diccionario!$N:$N,MATCH(F625,Diccionario!$C:$C,0)),"")</f>
        <v/>
      </c>
    </row>
    <row r="626" ht="14.25" customHeight="1" s="52">
      <c r="A626" t="inlineStr">
        <is>
          <t>2024-11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66000000</v>
      </c>
      <c r="J626" t="inlineStr">
        <is>
          <t>COP</t>
        </is>
      </c>
      <c r="L626">
        <f>IFERROR(INDEX(Diccionario!$B:$B,MATCH(F626,Diccionario!$C:$C,0)),"")</f>
        <v/>
      </c>
      <c r="M626">
        <f>IFERROR(INDEX(Diccionario!$H:$H,MATCH(F626,Diccionario!$C:$C,0)),"")</f>
        <v/>
      </c>
      <c r="N626">
        <f>IFERROR(INDEX(Diccionario!$N:$N,MATCH(F626,Diccionario!$C:$C,0)),"")</f>
        <v/>
      </c>
    </row>
    <row r="627" ht="14.25" customHeight="1" s="52">
      <c r="A627" t="inlineStr">
        <is>
          <t>2024-11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7000000</v>
      </c>
      <c r="J627" t="inlineStr">
        <is>
          <t>COP</t>
        </is>
      </c>
      <c r="L627">
        <f>IFERROR(INDEX(Diccionario!$B:$B,MATCH(F627,Diccionario!$C:$C,0)),"")</f>
        <v/>
      </c>
      <c r="M627">
        <f>IFERROR(INDEX(Diccionario!$H:$H,MATCH(F627,Diccionario!$C:$C,0)),"")</f>
        <v/>
      </c>
      <c r="N627">
        <f>IFERROR(INDEX(Diccionario!$N:$N,MATCH(F627,Diccionario!$C:$C,0)),"")</f>
        <v/>
      </c>
    </row>
    <row r="628" ht="14.25" customHeight="1" s="52">
      <c r="A628" t="inlineStr">
        <is>
          <t>2024-11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6000000</v>
      </c>
      <c r="J628" t="inlineStr">
        <is>
          <t>COP</t>
        </is>
      </c>
      <c r="L628">
        <f>IFERROR(INDEX(Diccionario!$B:$B,MATCH(F628,Diccionario!$C:$C,0)),"")</f>
        <v/>
      </c>
      <c r="M628">
        <f>IFERROR(INDEX(Diccionario!$H:$H,MATCH(F628,Diccionario!$C:$C,0)),"")</f>
        <v/>
      </c>
      <c r="N628">
        <f>IFERROR(INDEX(Diccionario!$N:$N,MATCH(F628,Diccionario!$C:$C,0)),"")</f>
        <v/>
      </c>
    </row>
    <row r="629" ht="14.25" customHeight="1" s="52">
      <c r="A629" t="inlineStr">
        <is>
          <t>2024-11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Mantenimientos</t>
        </is>
      </c>
      <c r="I629" t="n">
        <v>2000000</v>
      </c>
      <c r="J629" t="inlineStr">
        <is>
          <t>COP</t>
        </is>
      </c>
      <c r="L629">
        <f>IFERROR(INDEX(Diccionario!$B:$B,MATCH(F629,Diccionario!$C:$C,0)),"")</f>
        <v/>
      </c>
      <c r="M629">
        <f>IFERROR(INDEX(Diccionario!$H:$H,MATCH(F629,Diccionario!$C:$C,0)),"")</f>
        <v/>
      </c>
      <c r="N629">
        <f>IFERROR(INDEX(Diccionario!$N:$N,MATCH(F629,Diccionario!$C:$C,0)),"")</f>
        <v/>
      </c>
    </row>
    <row r="630" ht="14.25" customHeight="1" s="52">
      <c r="A630" t="inlineStr">
        <is>
          <t>2024-11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Viajes</t>
        </is>
      </c>
      <c r="I630" t="n">
        <v>11000000</v>
      </c>
      <c r="J630" t="inlineStr">
        <is>
          <t>COP</t>
        </is>
      </c>
      <c r="L630">
        <f>IFERROR(INDEX(Diccionario!$B:$B,MATCH(F630,Diccionario!$C:$C,0)),"")</f>
        <v/>
      </c>
      <c r="M630">
        <f>IFERROR(INDEX(Diccionario!$H:$H,MATCH(F630,Diccionario!$C:$C,0)),"")</f>
        <v/>
      </c>
      <c r="N630">
        <f>IFERROR(INDEX(Diccionario!$N:$N,MATCH(F630,Diccionario!$C:$C,0)),"")</f>
        <v/>
      </c>
    </row>
    <row r="631" ht="14.25" customHeight="1" s="52">
      <c r="A631" t="inlineStr">
        <is>
          <t>2024-12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Personal</t>
        </is>
      </c>
      <c r="I631" t="n">
        <v>66400000</v>
      </c>
      <c r="J631" t="inlineStr">
        <is>
          <t>COP</t>
        </is>
      </c>
      <c r="L631">
        <f>IFERROR(INDEX(Diccionario!$B:$B,MATCH(F631,Diccionario!$C:$C,0)),"")</f>
        <v/>
      </c>
      <c r="M631">
        <f>IFERROR(INDEX(Diccionario!$H:$H,MATCH(F631,Diccionario!$C:$C,0)),"")</f>
        <v/>
      </c>
      <c r="N631">
        <f>IFERROR(INDEX(Diccionario!$N:$N,MATCH(F631,Diccionario!$C:$C,0)),"")</f>
        <v/>
      </c>
    </row>
    <row r="632" ht="14.25" customHeight="1" s="52">
      <c r="A632" t="inlineStr">
        <is>
          <t>2024-12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Honorario</t>
        </is>
      </c>
      <c r="I632" t="n">
        <v>3200000</v>
      </c>
      <c r="J632" t="inlineStr">
        <is>
          <t>COP</t>
        </is>
      </c>
      <c r="L632">
        <f>IFERROR(INDEX(Diccionario!$B:$B,MATCH(F632,Diccionario!$C:$C,0)),"")</f>
        <v/>
      </c>
      <c r="M632">
        <f>IFERROR(INDEX(Diccionario!$H:$H,MATCH(F632,Diccionario!$C:$C,0)),"")</f>
        <v/>
      </c>
      <c r="N632">
        <f>IFERROR(INDEX(Diccionario!$N:$N,MATCH(F632,Diccionario!$C:$C,0)),"")</f>
        <v/>
      </c>
    </row>
    <row r="633" ht="14.25" customHeight="1" s="52">
      <c r="A633" t="inlineStr">
        <is>
          <t>2024-12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Servicios</t>
        </is>
      </c>
      <c r="I633" t="n">
        <v>33000000</v>
      </c>
      <c r="J633" t="inlineStr">
        <is>
          <t>COP</t>
        </is>
      </c>
      <c r="L633">
        <f>IFERROR(INDEX(Diccionario!$B:$B,MATCH(F633,Diccionario!$C:$C,0)),"")</f>
        <v/>
      </c>
      <c r="M633">
        <f>IFERROR(INDEX(Diccionario!$H:$H,MATCH(F633,Diccionario!$C:$C,0)),"")</f>
        <v/>
      </c>
      <c r="N633">
        <f>IFERROR(INDEX(Diccionario!$N:$N,MATCH(F633,Diccionario!$C:$C,0)),"")</f>
        <v/>
      </c>
    </row>
    <row r="634" ht="14.25" customHeight="1" s="52">
      <c r="A634" t="inlineStr">
        <is>
          <t>2024-12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5600000</v>
      </c>
      <c r="J634" t="inlineStr">
        <is>
          <t>COP</t>
        </is>
      </c>
      <c r="L634">
        <f>IFERROR(INDEX(Diccionario!$B:$B,MATCH(F634,Diccionario!$C:$C,0)),"")</f>
        <v/>
      </c>
      <c r="M634">
        <f>IFERROR(INDEX(Diccionario!$H:$H,MATCH(F634,Diccionario!$C:$C,0)),"")</f>
        <v/>
      </c>
      <c r="N634">
        <f>IFERROR(INDEX(Diccionario!$N:$N,MATCH(F634,Diccionario!$C:$C,0)),"")</f>
        <v/>
      </c>
    </row>
    <row r="635" ht="14.25" customHeight="1" s="52">
      <c r="A635" t="inlineStr">
        <is>
          <t>2025-01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87200000</v>
      </c>
      <c r="J635" t="inlineStr">
        <is>
          <t>COP</t>
        </is>
      </c>
      <c r="L635">
        <f>IFERROR(INDEX(Diccionario!$B:$B,MATCH(F635,Diccionario!$C:$C,0)),"")</f>
        <v/>
      </c>
      <c r="M635">
        <f>IFERROR(INDEX(Diccionario!$H:$H,MATCH(F635,Diccionario!$C:$C,0)),"")</f>
        <v/>
      </c>
      <c r="N635">
        <f>IFERROR(INDEX(Diccionario!$N:$N,MATCH(F635,Diccionario!$C:$C,0)),"")</f>
        <v/>
      </c>
    </row>
    <row r="636" ht="14.25" customHeight="1" s="52">
      <c r="A636" t="inlineStr">
        <is>
          <t>2025-01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Servicios</t>
        </is>
      </c>
      <c r="I636" t="n">
        <v>4700000</v>
      </c>
      <c r="J636" t="inlineStr">
        <is>
          <t>COP</t>
        </is>
      </c>
      <c r="L636">
        <f>IFERROR(INDEX(Diccionario!$B:$B,MATCH(F636,Diccionario!$C:$C,0)),"")</f>
        <v/>
      </c>
      <c r="M636">
        <f>IFERROR(INDEX(Diccionario!$H:$H,MATCH(F636,Diccionario!$C:$C,0)),"")</f>
        <v/>
      </c>
      <c r="N636">
        <f>IFERROR(INDEX(Diccionario!$N:$N,MATCH(F636,Diccionario!$C:$C,0)),"")</f>
        <v/>
      </c>
    </row>
    <row r="637" ht="14.25" customHeight="1" s="52">
      <c r="A637" t="inlineStr">
        <is>
          <t>2025-01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Viajes</t>
        </is>
      </c>
      <c r="I637" t="n">
        <v>18500000</v>
      </c>
      <c r="J637" t="inlineStr">
        <is>
          <t>COP</t>
        </is>
      </c>
      <c r="L637">
        <f>IFERROR(INDEX(Diccionario!$B:$B,MATCH(F637,Diccionario!$C:$C,0)),"")</f>
        <v/>
      </c>
      <c r="M637">
        <f>IFERROR(INDEX(Diccionario!$H:$H,MATCH(F637,Diccionario!$C:$C,0)),"")</f>
        <v/>
      </c>
      <c r="N637">
        <f>IFERROR(INDEX(Diccionario!$N:$N,MATCH(F637,Diccionario!$C:$C,0)),"")</f>
        <v/>
      </c>
    </row>
    <row r="638" ht="14.25" customHeight="1" s="52">
      <c r="A638" t="inlineStr">
        <is>
          <t>2025-02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Personal</t>
        </is>
      </c>
      <c r="I638" t="n">
        <v>100000000</v>
      </c>
      <c r="J638" t="inlineStr">
        <is>
          <t>COP</t>
        </is>
      </c>
      <c r="L638">
        <f>IFERROR(INDEX(Diccionario!$B:$B,MATCH(F638,Diccionario!$C:$C,0)),"")</f>
        <v/>
      </c>
      <c r="M638">
        <f>IFERROR(INDEX(Diccionario!$H:$H,MATCH(F638,Diccionario!$C:$C,0)),"")</f>
        <v/>
      </c>
      <c r="N638">
        <f>IFERROR(INDEX(Diccionario!$N:$N,MATCH(F638,Diccionario!$C:$C,0)),"")</f>
        <v/>
      </c>
    </row>
    <row r="639" ht="14.25" customHeight="1" s="52">
      <c r="A639" t="inlineStr">
        <is>
          <t>2025-02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Honorario</t>
        </is>
      </c>
      <c r="I639" t="n">
        <v>8000000</v>
      </c>
      <c r="J639" t="inlineStr">
        <is>
          <t>COP</t>
        </is>
      </c>
      <c r="L639">
        <f>IFERROR(INDEX(Diccionario!$B:$B,MATCH(F639,Diccionario!$C:$C,0)),"")</f>
        <v/>
      </c>
      <c r="M639">
        <f>IFERROR(INDEX(Diccionario!$H:$H,MATCH(F639,Diccionario!$C:$C,0)),"")</f>
        <v/>
      </c>
      <c r="N639">
        <f>IFERROR(INDEX(Diccionario!$N:$N,MATCH(F639,Diccionario!$C:$C,0)),"")</f>
        <v/>
      </c>
    </row>
    <row r="640" ht="14.25" customHeight="1" s="52">
      <c r="A640" t="inlineStr">
        <is>
          <t>2025-02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Servicios</t>
        </is>
      </c>
      <c r="I640" t="n">
        <v>5300000</v>
      </c>
      <c r="J640" t="inlineStr">
        <is>
          <t>COP</t>
        </is>
      </c>
      <c r="L640">
        <f>IFERROR(INDEX(Diccionario!$B:$B,MATCH(F640,Diccionario!$C:$C,0)),"")</f>
        <v/>
      </c>
      <c r="M640">
        <f>IFERROR(INDEX(Diccionario!$H:$H,MATCH(F640,Diccionario!$C:$C,0)),"")</f>
        <v/>
      </c>
      <c r="N640">
        <f>IFERROR(INDEX(Diccionario!$N:$N,MATCH(F640,Diccionario!$C:$C,0)),"")</f>
        <v/>
      </c>
    </row>
    <row r="641" ht="14.25" customHeight="1" s="52">
      <c r="A641" t="inlineStr">
        <is>
          <t>2025-02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Viajes</t>
        </is>
      </c>
      <c r="I641" t="n">
        <v>5800000</v>
      </c>
      <c r="J641" t="inlineStr">
        <is>
          <t>COP</t>
        </is>
      </c>
      <c r="L641">
        <f>IFERROR(INDEX(Diccionario!$B:$B,MATCH(F641,Diccionario!$C:$C,0)),"")</f>
        <v/>
      </c>
      <c r="M641">
        <f>IFERROR(INDEX(Diccionario!$H:$H,MATCH(F641,Diccionario!$C:$C,0)),"")</f>
        <v/>
      </c>
      <c r="N641">
        <f>IFERROR(INDEX(Diccionario!$N:$N,MATCH(F641,Diccionario!$C:$C,0)),"")</f>
        <v/>
      </c>
    </row>
    <row r="642" ht="14.25" customHeight="1" s="52">
      <c r="A642" t="inlineStr">
        <is>
          <t>2025-03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Personal</t>
        </is>
      </c>
      <c r="I642" t="n">
        <v>73500000</v>
      </c>
      <c r="J642" t="inlineStr">
        <is>
          <t>COP</t>
        </is>
      </c>
      <c r="L642">
        <f>IFERROR(INDEX(Diccionario!$B:$B,MATCH(F642,Diccionario!$C:$C,0)),"")</f>
        <v/>
      </c>
      <c r="M642">
        <f>IFERROR(INDEX(Diccionario!$H:$H,MATCH(F642,Diccionario!$C:$C,0)),"")</f>
        <v/>
      </c>
      <c r="N642">
        <f>IFERROR(INDEX(Diccionario!$N:$N,MATCH(F642,Diccionario!$C:$C,0)),"")</f>
        <v/>
      </c>
    </row>
    <row r="643" ht="14.25" customHeight="1" s="52">
      <c r="A643" t="inlineStr">
        <is>
          <t>2025-03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Honorario</t>
        </is>
      </c>
      <c r="I643" t="n">
        <v>300000</v>
      </c>
      <c r="J643" t="inlineStr">
        <is>
          <t>COP</t>
        </is>
      </c>
      <c r="L643">
        <f>IFERROR(INDEX(Diccionario!$B:$B,MATCH(F643,Diccionario!$C:$C,0)),"")</f>
        <v/>
      </c>
      <c r="M643">
        <f>IFERROR(INDEX(Diccionario!$H:$H,MATCH(F643,Diccionario!$C:$C,0)),"")</f>
        <v/>
      </c>
      <c r="N643">
        <f>IFERROR(INDEX(Diccionario!$N:$N,MATCH(F643,Diccionario!$C:$C,0)),"")</f>
        <v/>
      </c>
    </row>
    <row r="644" ht="14.25" customHeight="1" s="52">
      <c r="A644" t="inlineStr">
        <is>
          <t>2025-03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Servicios</t>
        </is>
      </c>
      <c r="I644" t="n">
        <v>19000000</v>
      </c>
      <c r="J644" t="inlineStr">
        <is>
          <t>COP</t>
        </is>
      </c>
      <c r="L644">
        <f>IFERROR(INDEX(Diccionario!$B:$B,MATCH(F644,Diccionario!$C:$C,0)),"")</f>
        <v/>
      </c>
      <c r="M644">
        <f>IFERROR(INDEX(Diccionario!$H:$H,MATCH(F644,Diccionario!$C:$C,0)),"")</f>
        <v/>
      </c>
      <c r="N644">
        <f>IFERROR(INDEX(Diccionario!$N:$N,MATCH(F644,Diccionario!$C:$C,0)),"")</f>
        <v/>
      </c>
    </row>
    <row r="645" ht="14.25" customHeight="1" s="52">
      <c r="A645" t="inlineStr">
        <is>
          <t>2025-03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0</v>
      </c>
      <c r="J645" t="inlineStr">
        <is>
          <t>COP</t>
        </is>
      </c>
      <c r="L645">
        <f>IFERROR(INDEX(Diccionario!$B:$B,MATCH(F645,Diccionario!$C:$C,0)),"")</f>
        <v/>
      </c>
      <c r="M645">
        <f>IFERROR(INDEX(Diccionario!$H:$H,MATCH(F645,Diccionario!$C:$C,0)),"")</f>
        <v/>
      </c>
      <c r="N645">
        <f>IFERROR(INDEX(Diccionario!$N:$N,MATCH(F645,Diccionario!$C:$C,0)),"")</f>
        <v/>
      </c>
    </row>
    <row r="646" ht="14.25" customHeight="1" s="52">
      <c r="A646" t="inlineStr">
        <is>
          <t>2025-03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Viajes</t>
        </is>
      </c>
      <c r="I646" t="n">
        <v>13800000</v>
      </c>
      <c r="J646" t="inlineStr">
        <is>
          <t>COP</t>
        </is>
      </c>
      <c r="L646">
        <f>IFERROR(INDEX(Diccionario!$B:$B,MATCH(F646,Diccionario!$C:$C,0)),"")</f>
        <v/>
      </c>
      <c r="M646">
        <f>IFERROR(INDEX(Diccionario!$H:$H,MATCH(F646,Diccionario!$C:$C,0)),"")</f>
        <v/>
      </c>
      <c r="N646">
        <f>IFERROR(INDEX(Diccionario!$N:$N,MATCH(F646,Diccionario!$C:$C,0)),"")</f>
        <v/>
      </c>
    </row>
    <row r="647" ht="14.25" customHeight="1" s="52">
      <c r="A647" t="inlineStr">
        <is>
          <t>2025-04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Personal</t>
        </is>
      </c>
      <c r="I647" t="n">
        <v>82000000</v>
      </c>
      <c r="J647" t="inlineStr">
        <is>
          <t>COP</t>
        </is>
      </c>
      <c r="L647">
        <f>IFERROR(INDEX(Diccionario!$B:$B,MATCH(F647,Diccionario!$C:$C,0)),"")</f>
        <v/>
      </c>
      <c r="M647">
        <f>IFERROR(INDEX(Diccionario!$H:$H,MATCH(F647,Diccionario!$C:$C,0)),"")</f>
        <v/>
      </c>
      <c r="N647">
        <f>IFERROR(INDEX(Diccionario!$N:$N,MATCH(F647,Diccionario!$C:$C,0)),"")</f>
        <v/>
      </c>
    </row>
    <row r="648" ht="14.25" customHeight="1" s="52">
      <c r="A648" t="inlineStr">
        <is>
          <t>2025-04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Honorario</t>
        </is>
      </c>
      <c r="I648" t="n">
        <v>11700000</v>
      </c>
      <c r="J648" t="inlineStr">
        <is>
          <t>COP</t>
        </is>
      </c>
      <c r="L648">
        <f>IFERROR(INDEX(Diccionario!$B:$B,MATCH(F648,Diccionario!$C:$C,0)),"")</f>
        <v/>
      </c>
      <c r="M648">
        <f>IFERROR(INDEX(Diccionario!$H:$H,MATCH(F648,Diccionario!$C:$C,0)),"")</f>
        <v/>
      </c>
      <c r="N648">
        <f>IFERROR(INDEX(Diccionario!$N:$N,MATCH(F648,Diccionario!$C:$C,0)),"")</f>
        <v/>
      </c>
    </row>
    <row r="649" ht="14.25" customHeight="1" s="52">
      <c r="A649" t="inlineStr">
        <is>
          <t>2025-04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Servicios</t>
        </is>
      </c>
      <c r="I649" t="n">
        <v>15400000</v>
      </c>
      <c r="J649" t="inlineStr">
        <is>
          <t>COP</t>
        </is>
      </c>
      <c r="L649">
        <f>IFERROR(INDEX(Diccionario!$B:$B,MATCH(F649,Diccionario!$C:$C,0)),"")</f>
        <v/>
      </c>
      <c r="M649">
        <f>IFERROR(INDEX(Diccionario!$H:$H,MATCH(F649,Diccionario!$C:$C,0)),"")</f>
        <v/>
      </c>
      <c r="N649">
        <f>IFERROR(INDEX(Diccionario!$N:$N,MATCH(F649,Diccionario!$C:$C,0)),"")</f>
        <v/>
      </c>
    </row>
    <row r="650" ht="14.25" customHeight="1" s="52">
      <c r="A650" t="inlineStr">
        <is>
          <t>2025-04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Viajes</t>
        </is>
      </c>
      <c r="I650" t="n">
        <v>4200000</v>
      </c>
      <c r="J650" t="inlineStr">
        <is>
          <t>COP</t>
        </is>
      </c>
      <c r="L650">
        <f>IFERROR(INDEX(Diccionario!$B:$B,MATCH(F650,Diccionario!$C:$C,0)),"")</f>
        <v/>
      </c>
      <c r="M650">
        <f>IFERROR(INDEX(Diccionario!$H:$H,MATCH(F650,Diccionario!$C:$C,0)),"")</f>
        <v/>
      </c>
      <c r="N650">
        <f>IFERROR(INDEX(Diccionario!$N:$N,MATCH(F650,Diccionario!$C:$C,0)),"")</f>
        <v/>
      </c>
    </row>
    <row r="651" ht="14.25" customHeight="1" s="52">
      <c r="A651" t="inlineStr">
        <is>
          <t>2025-05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Personal</t>
        </is>
      </c>
      <c r="I651" t="n">
        <v>89700000</v>
      </c>
      <c r="J651" t="inlineStr">
        <is>
          <t>COP</t>
        </is>
      </c>
      <c r="L651">
        <f>IFERROR(INDEX(Diccionario!$B:$B,MATCH(F651,Diccionario!$C:$C,0)),"")</f>
        <v/>
      </c>
      <c r="M651">
        <f>IFERROR(INDEX(Diccionario!$H:$H,MATCH(F651,Diccionario!$C:$C,0)),"")</f>
        <v/>
      </c>
      <c r="N651">
        <f>IFERROR(INDEX(Diccionario!$N:$N,MATCH(F651,Diccionario!$C:$C,0)),"")</f>
        <v/>
      </c>
    </row>
    <row r="652" ht="14.25" customHeight="1" s="52">
      <c r="A652" t="inlineStr">
        <is>
          <t>2025-05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Honorario</t>
        </is>
      </c>
      <c r="I652" t="n">
        <v>2600000</v>
      </c>
      <c r="J652" t="inlineStr">
        <is>
          <t>COP</t>
        </is>
      </c>
      <c r="L652">
        <f>IFERROR(INDEX(Diccionario!$B:$B,MATCH(F652,Diccionario!$C:$C,0)),"")</f>
        <v/>
      </c>
      <c r="M652">
        <f>IFERROR(INDEX(Diccionario!$H:$H,MATCH(F652,Diccionario!$C:$C,0)),"")</f>
        <v/>
      </c>
      <c r="N652">
        <f>IFERROR(INDEX(Diccionario!$N:$N,MATCH(F652,Diccionario!$C:$C,0)),"")</f>
        <v/>
      </c>
    </row>
    <row r="653" ht="14.25" customHeight="1" s="52">
      <c r="A653" t="inlineStr">
        <is>
          <t>2025-05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Servicios</t>
        </is>
      </c>
      <c r="I653" t="n">
        <v>18400000</v>
      </c>
      <c r="J653" t="inlineStr">
        <is>
          <t>COP</t>
        </is>
      </c>
      <c r="L653">
        <f>IFERROR(INDEX(Diccionario!$B:$B,MATCH(F653,Diccionario!$C:$C,0)),"")</f>
        <v/>
      </c>
      <c r="M653">
        <f>IFERROR(INDEX(Diccionario!$H:$H,MATCH(F653,Diccionario!$C:$C,0)),"")</f>
        <v/>
      </c>
      <c r="N653">
        <f>IFERROR(INDEX(Diccionario!$N:$N,MATCH(F653,Diccionario!$C:$C,0)),"")</f>
        <v/>
      </c>
    </row>
    <row r="654" ht="14.25" customHeight="1" s="52">
      <c r="A654" t="inlineStr">
        <is>
          <t>2025-05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Mantenimientos</t>
        </is>
      </c>
      <c r="I654" t="n">
        <v>2000000</v>
      </c>
      <c r="J654" t="inlineStr">
        <is>
          <t>COP</t>
        </is>
      </c>
      <c r="L654">
        <f>IFERROR(INDEX(Diccionario!$B:$B,MATCH(F654,Diccionario!$C:$C,0)),"")</f>
        <v/>
      </c>
      <c r="M654">
        <f>IFERROR(INDEX(Diccionario!$H:$H,MATCH(F654,Diccionario!$C:$C,0)),"")</f>
        <v/>
      </c>
      <c r="N654">
        <f>IFERROR(INDEX(Diccionario!$N:$N,MATCH(F654,Diccionario!$C:$C,0)),"")</f>
        <v/>
      </c>
    </row>
    <row r="655" ht="14.25" customHeight="1" s="52">
      <c r="A655" t="inlineStr">
        <is>
          <t>2025-05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Viajes</t>
        </is>
      </c>
      <c r="I655" t="n">
        <v>2800000</v>
      </c>
      <c r="J655" t="inlineStr">
        <is>
          <t>COP</t>
        </is>
      </c>
      <c r="L655">
        <f>IFERROR(INDEX(Diccionario!$B:$B,MATCH(F655,Diccionario!$C:$C,0)),"")</f>
        <v/>
      </c>
      <c r="M655">
        <f>IFERROR(INDEX(Diccionario!$H:$H,MATCH(F655,Diccionario!$C:$C,0)),"")</f>
        <v/>
      </c>
      <c r="N655">
        <f>IFERROR(INDEX(Diccionario!$N:$N,MATCH(F655,Diccionario!$C:$C,0)),"")</f>
        <v/>
      </c>
    </row>
    <row r="656" ht="14.25" customHeight="1" s="52">
      <c r="A656" t="inlineStr">
        <is>
          <t>2025-06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Personal</t>
        </is>
      </c>
      <c r="I656" t="n">
        <v>89000000</v>
      </c>
      <c r="J656" t="inlineStr">
        <is>
          <t>COP</t>
        </is>
      </c>
      <c r="L656">
        <f>IFERROR(INDEX(Diccionario!$B:$B,MATCH(F656,Diccionario!$C:$C,0)),"")</f>
        <v/>
      </c>
      <c r="M656">
        <f>IFERROR(INDEX(Diccionario!$H:$H,MATCH(F656,Diccionario!$C:$C,0)),"")</f>
        <v/>
      </c>
      <c r="N656">
        <f>IFERROR(INDEX(Diccionario!$N:$N,MATCH(F656,Diccionario!$C:$C,0)),"")</f>
        <v/>
      </c>
    </row>
    <row r="657" ht="14.25" customHeight="1" s="52">
      <c r="A657" t="inlineStr">
        <is>
          <t>2025-06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Honorario</t>
        </is>
      </c>
      <c r="I657" t="n">
        <v>2500000</v>
      </c>
      <c r="J657" t="inlineStr">
        <is>
          <t>COP</t>
        </is>
      </c>
      <c r="L657">
        <f>IFERROR(INDEX(Diccionario!$B:$B,MATCH(F657,Diccionario!$C:$C,0)),"")</f>
        <v/>
      </c>
      <c r="M657">
        <f>IFERROR(INDEX(Diccionario!$H:$H,MATCH(F657,Diccionario!$C:$C,0)),"")</f>
        <v/>
      </c>
      <c r="N657">
        <f>IFERROR(INDEX(Diccionario!$N:$N,MATCH(F657,Diccionario!$C:$C,0)),"")</f>
        <v/>
      </c>
    </row>
    <row r="658" ht="14.25" customHeight="1" s="52">
      <c r="A658" t="inlineStr">
        <is>
          <t>2025-06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Servicios</t>
        </is>
      </c>
      <c r="I658" t="n">
        <v>34500000</v>
      </c>
      <c r="J658" t="inlineStr">
        <is>
          <t>COP</t>
        </is>
      </c>
      <c r="L658">
        <f>IFERROR(INDEX(Diccionario!$B:$B,MATCH(F658,Diccionario!$C:$C,0)),"")</f>
        <v/>
      </c>
      <c r="M658">
        <f>IFERROR(INDEX(Diccionario!$H:$H,MATCH(F658,Diccionario!$C:$C,0)),"")</f>
        <v/>
      </c>
      <c r="N658">
        <f>IFERROR(INDEX(Diccionario!$N:$N,MATCH(F658,Diccionario!$C:$C,0)),"")</f>
        <v/>
      </c>
    </row>
    <row r="659" ht="14.25" customHeight="1" s="52">
      <c r="A659" t="inlineStr">
        <is>
          <t>2025-06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Mantenimientos</t>
        </is>
      </c>
      <c r="I659" t="n">
        <v>400000</v>
      </c>
      <c r="J659" t="inlineStr">
        <is>
          <t>COP</t>
        </is>
      </c>
      <c r="L659">
        <f>IFERROR(INDEX(Diccionario!$B:$B,MATCH(F659,Diccionario!$C:$C,0)),"")</f>
        <v/>
      </c>
      <c r="M659">
        <f>IFERROR(INDEX(Diccionario!$H:$H,MATCH(F659,Diccionario!$C:$C,0)),"")</f>
        <v/>
      </c>
      <c r="N659">
        <f>IFERROR(INDEX(Diccionario!$N:$N,MATCH(F659,Diccionario!$C:$C,0)),"")</f>
        <v/>
      </c>
    </row>
    <row r="660" ht="14.25" customHeight="1" s="52">
      <c r="A660" t="inlineStr">
        <is>
          <t>2025-06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Viajes</t>
        </is>
      </c>
      <c r="I660" t="n">
        <v>3630000</v>
      </c>
      <c r="J660" t="inlineStr">
        <is>
          <t>COP</t>
        </is>
      </c>
      <c r="L660">
        <f>IFERROR(INDEX(Diccionario!$B:$B,MATCH(F660,Diccionario!$C:$C,0)),"")</f>
        <v/>
      </c>
      <c r="M660">
        <f>IFERROR(INDEX(Diccionario!$H:$H,MATCH(F660,Diccionario!$C:$C,0)),"")</f>
        <v/>
      </c>
      <c r="N660">
        <f>IFERROR(INDEX(Diccionario!$N:$N,MATCH(F660,Diccionario!$C:$C,0)),"")</f>
        <v/>
      </c>
    </row>
    <row r="661" ht="14.25" customHeight="1" s="52">
      <c r="A661" t="inlineStr">
        <is>
          <t>2025-07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Personal</t>
        </is>
      </c>
      <c r="I661" t="n">
        <v>75200000</v>
      </c>
      <c r="J661" t="inlineStr">
        <is>
          <t>COP</t>
        </is>
      </c>
      <c r="L661">
        <f>IFERROR(INDEX(Diccionario!$B:$B,MATCH(F661,Diccionario!$C:$C,0)),"")</f>
        <v/>
      </c>
      <c r="M661">
        <f>IFERROR(INDEX(Diccionario!$H:$H,MATCH(F661,Diccionario!$C:$C,0)),"")</f>
        <v/>
      </c>
      <c r="N661">
        <f>IFERROR(INDEX(Diccionario!$N:$N,MATCH(F661,Diccionario!$C:$C,0)),"")</f>
        <v/>
      </c>
    </row>
    <row r="662" ht="14.25" customHeight="1" s="52">
      <c r="A662" t="inlineStr">
        <is>
          <t>2025-07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Honorario</t>
        </is>
      </c>
      <c r="I662" t="n">
        <v>500000</v>
      </c>
      <c r="J662" t="inlineStr">
        <is>
          <t>COP</t>
        </is>
      </c>
      <c r="L662">
        <f>IFERROR(INDEX(Diccionario!$B:$B,MATCH(F662,Diccionario!$C:$C,0)),"")</f>
        <v/>
      </c>
      <c r="M662">
        <f>IFERROR(INDEX(Diccionario!$H:$H,MATCH(F662,Diccionario!$C:$C,0)),"")</f>
        <v/>
      </c>
      <c r="N662">
        <f>IFERROR(INDEX(Diccionario!$N:$N,MATCH(F662,Diccionario!$C:$C,0)),"")</f>
        <v/>
      </c>
    </row>
    <row r="663" ht="14.25" customHeight="1" s="52">
      <c r="A663" t="inlineStr">
        <is>
          <t>2025-07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Servicios</t>
        </is>
      </c>
      <c r="I663" t="n">
        <v>17800000</v>
      </c>
      <c r="J663" t="inlineStr">
        <is>
          <t>COP</t>
        </is>
      </c>
      <c r="L663">
        <f>IFERROR(INDEX(Diccionario!$B:$B,MATCH(F663,Diccionario!$C:$C,0)),"")</f>
        <v/>
      </c>
      <c r="M663">
        <f>IFERROR(INDEX(Diccionario!$H:$H,MATCH(F663,Diccionario!$C:$C,0)),"")</f>
        <v/>
      </c>
      <c r="N663">
        <f>IFERROR(INDEX(Diccionario!$N:$N,MATCH(F663,Diccionario!$C:$C,0)),"")</f>
        <v/>
      </c>
    </row>
    <row r="664" ht="14.25" customHeight="1" s="52">
      <c r="A664" t="inlineStr">
        <is>
          <t>2025-07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Mantenimientos</t>
        </is>
      </c>
      <c r="I664" t="n">
        <v>0</v>
      </c>
      <c r="J664" t="inlineStr">
        <is>
          <t>COP</t>
        </is>
      </c>
      <c r="L664">
        <f>IFERROR(INDEX(Diccionario!$B:$B,MATCH(F664,Diccionario!$C:$C,0)),"")</f>
        <v/>
      </c>
      <c r="M664">
        <f>IFERROR(INDEX(Diccionario!$H:$H,MATCH(F664,Diccionario!$C:$C,0)),"")</f>
        <v/>
      </c>
      <c r="N664">
        <f>IFERROR(INDEX(Diccionario!$N:$N,MATCH(F664,Diccionario!$C:$C,0)),"")</f>
        <v/>
      </c>
    </row>
    <row r="665" ht="14.25" customHeight="1" s="52">
      <c r="A665" t="inlineStr">
        <is>
          <t>2025-07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Viajes</t>
        </is>
      </c>
      <c r="I665" t="n">
        <v>12400000</v>
      </c>
      <c r="J665" t="inlineStr">
        <is>
          <t>COP</t>
        </is>
      </c>
      <c r="L665">
        <f>IFERROR(INDEX(Diccionario!$B:$B,MATCH(F665,Diccionario!$C:$C,0)),"")</f>
        <v/>
      </c>
      <c r="M665">
        <f>IFERROR(INDEX(Diccionario!$H:$H,MATCH(F665,Diccionario!$C:$C,0)),"")</f>
        <v/>
      </c>
      <c r="N665">
        <f>IFERROR(INDEX(Diccionario!$N:$N,MATCH(F665,Diccionario!$C:$C,0)),"")</f>
        <v/>
      </c>
    </row>
    <row r="666" ht="14.25" customHeight="1" s="52">
      <c r="A666" t="inlineStr">
        <is>
          <t>2025-08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Personal</t>
        </is>
      </c>
      <c r="I666" t="n">
        <v>74000000</v>
      </c>
      <c r="J666" t="inlineStr">
        <is>
          <t>COP</t>
        </is>
      </c>
      <c r="L666">
        <f>IFERROR(INDEX(Diccionario!$B:$B,MATCH(F666,Diccionario!$C:$C,0)),"")</f>
        <v/>
      </c>
      <c r="M666">
        <f>IFERROR(INDEX(Diccionario!$H:$H,MATCH(F666,Diccionario!$C:$C,0)),"")</f>
        <v/>
      </c>
      <c r="N666">
        <f>IFERROR(INDEX(Diccionario!$N:$N,MATCH(F666,Diccionario!$C:$C,0)),"")</f>
        <v/>
      </c>
    </row>
    <row r="667" ht="14.25" customHeight="1" s="52">
      <c r="A667" t="inlineStr">
        <is>
          <t>2025-08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Honorario</t>
        </is>
      </c>
      <c r="I667" t="n">
        <v>0</v>
      </c>
      <c r="J667" t="inlineStr">
        <is>
          <t>COP</t>
        </is>
      </c>
      <c r="L667">
        <f>IFERROR(INDEX(Diccionario!$B:$B,MATCH(F667,Diccionario!$C:$C,0)),"")</f>
        <v/>
      </c>
      <c r="M667">
        <f>IFERROR(INDEX(Diccionario!$H:$H,MATCH(F667,Diccionario!$C:$C,0)),"")</f>
        <v/>
      </c>
      <c r="N667">
        <f>IFERROR(INDEX(Diccionario!$N:$N,MATCH(F667,Diccionario!$C:$C,0)),"")</f>
        <v/>
      </c>
    </row>
    <row r="668" ht="14.25" customHeight="1" s="52">
      <c r="A668" t="inlineStr">
        <is>
          <t>2025-08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Servicios</t>
        </is>
      </c>
      <c r="I668" t="n">
        <v>9000000</v>
      </c>
      <c r="J668" t="inlineStr">
        <is>
          <t>COP</t>
        </is>
      </c>
      <c r="L668">
        <f>IFERROR(INDEX(Diccionario!$B:$B,MATCH(F668,Diccionario!$C:$C,0)),"")</f>
        <v/>
      </c>
      <c r="M668">
        <f>IFERROR(INDEX(Diccionario!$H:$H,MATCH(F668,Diccionario!$C:$C,0)),"")</f>
        <v/>
      </c>
      <c r="N668">
        <f>IFERROR(INDEX(Diccionario!$N:$N,MATCH(F668,Diccionario!$C:$C,0)),"")</f>
        <v/>
      </c>
    </row>
    <row r="669" ht="14.25" customHeight="1" s="52">
      <c r="A669" t="inlineStr">
        <is>
          <t>2025-08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Mantenimientos</t>
        </is>
      </c>
      <c r="I669" t="n">
        <v>0</v>
      </c>
      <c r="J669" t="inlineStr">
        <is>
          <t>COP</t>
        </is>
      </c>
      <c r="L669">
        <f>IFERROR(INDEX(Diccionario!$B:$B,MATCH(F669,Diccionario!$C:$C,0)),"")</f>
        <v/>
      </c>
      <c r="M669">
        <f>IFERROR(INDEX(Diccionario!$H:$H,MATCH(F669,Diccionario!$C:$C,0)),"")</f>
        <v/>
      </c>
      <c r="N669">
        <f>IFERROR(INDEX(Diccionario!$N:$N,MATCH(F669,Diccionario!$C:$C,0)),"")</f>
        <v/>
      </c>
    </row>
    <row r="670" ht="14.25" customHeight="1" s="52">
      <c r="A670" t="inlineStr">
        <is>
          <t>2025-08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Viajes</t>
        </is>
      </c>
      <c r="I670" t="n">
        <v>16400000</v>
      </c>
      <c r="J670" t="inlineStr">
        <is>
          <t>COP</t>
        </is>
      </c>
      <c r="L670">
        <f>IFERROR(INDEX(Diccionario!$B:$B,MATCH(F670,Diccionario!$C:$C,0)),"")</f>
        <v/>
      </c>
      <c r="M670">
        <f>IFERROR(INDEX(Diccionario!$H:$H,MATCH(F670,Diccionario!$C:$C,0)),"")</f>
        <v/>
      </c>
      <c r="N670">
        <f>IFERROR(INDEX(Diccionario!$N:$N,MATCH(F670,Diccionario!$C:$C,0)),"")</f>
        <v/>
      </c>
    </row>
    <row r="671" ht="14.25" customHeight="1" s="52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Personal</t>
        </is>
      </c>
      <c r="I671" t="n">
        <v>62500000</v>
      </c>
      <c r="J671" t="inlineStr">
        <is>
          <t>COP</t>
        </is>
      </c>
      <c r="L671">
        <f>IFERROR(INDEX(Diccionario!$B:$B,MATCH(F671,Diccionario!$C:$C,0)),"")</f>
        <v/>
      </c>
      <c r="M671">
        <f>IFERROR(INDEX(Diccionario!$H:$H,MATCH(F671,Diccionario!$C:$C,0)),"")</f>
        <v/>
      </c>
      <c r="N671">
        <f>IFERROR(INDEX(Diccionario!$N:$N,MATCH(F671,Diccionario!$C:$C,0)),"")</f>
        <v/>
      </c>
    </row>
    <row r="672" ht="14.25" customHeight="1" s="5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Honorario</t>
        </is>
      </c>
      <c r="I672" t="n">
        <v>4000000</v>
      </c>
      <c r="J672" t="inlineStr">
        <is>
          <t>COP</t>
        </is>
      </c>
      <c r="L672">
        <f>IFERROR(INDEX(Diccionario!$B:$B,MATCH(F672,Diccionario!$C:$C,0)),"")</f>
        <v/>
      </c>
      <c r="M672">
        <f>IFERROR(INDEX(Diccionario!$H:$H,MATCH(F672,Diccionario!$C:$C,0)),"")</f>
        <v/>
      </c>
      <c r="N672">
        <f>IFERROR(INDEX(Diccionario!$N:$N,MATCH(F672,Diccionario!$C:$C,0)),"")</f>
        <v/>
      </c>
    </row>
    <row r="673" ht="14.25" customHeight="1" s="52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Servicios</t>
        </is>
      </c>
      <c r="I673" t="n">
        <v>9800000</v>
      </c>
      <c r="J673" t="inlineStr">
        <is>
          <t>COP</t>
        </is>
      </c>
      <c r="L673">
        <f>IFERROR(INDEX(Diccionario!$B:$B,MATCH(F673,Diccionario!$C:$C,0)),"")</f>
        <v/>
      </c>
      <c r="M673">
        <f>IFERROR(INDEX(Diccionario!$H:$H,MATCH(F673,Diccionario!$C:$C,0)),"")</f>
        <v/>
      </c>
      <c r="N673">
        <f>IFERROR(INDEX(Diccionario!$N:$N,MATCH(F673,Diccionario!$C:$C,0)),"")</f>
        <v/>
      </c>
    </row>
    <row r="674" ht="14.25" customHeight="1" s="52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Mantenimientos</t>
        </is>
      </c>
      <c r="I674" t="n">
        <v>500000</v>
      </c>
      <c r="J674" t="inlineStr">
        <is>
          <t>COP</t>
        </is>
      </c>
      <c r="L674">
        <f>IFERROR(INDEX(Diccionario!$B:$B,MATCH(F674,Diccionario!$C:$C,0)),"")</f>
        <v/>
      </c>
      <c r="M674">
        <f>IFERROR(INDEX(Diccionario!$H:$H,MATCH(F674,Diccionario!$C:$C,0)),"")</f>
        <v/>
      </c>
      <c r="N674">
        <f>IFERROR(INDEX(Diccionario!$N:$N,MATCH(F674,Diccionario!$C:$C,0)),"")</f>
        <v/>
      </c>
    </row>
    <row r="675" ht="14.25" customHeight="1" s="52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Viajes</t>
        </is>
      </c>
      <c r="I675" t="n">
        <v>8600000</v>
      </c>
      <c r="J675" t="inlineStr">
        <is>
          <t>COP</t>
        </is>
      </c>
      <c r="L675">
        <f>IFERROR(INDEX(Diccionario!$B:$B,MATCH(F675,Diccionario!$C:$C,0)),"")</f>
        <v/>
      </c>
      <c r="M675">
        <f>IFERROR(INDEX(Diccionario!$H:$H,MATCH(F675,Diccionario!$C:$C,0)),"")</f>
        <v/>
      </c>
      <c r="N675">
        <f>IFERROR(INDEX(Diccionario!$N:$N,MATCH(F675,Diccionario!$C:$C,0)),"")</f>
        <v/>
      </c>
    </row>
    <row r="676" ht="14.25" customHeight="1" s="52">
      <c r="A676" t="inlineStr">
        <is>
          <t>2025-10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Personal</t>
        </is>
      </c>
      <c r="I676" t="n">
        <v>62900000</v>
      </c>
      <c r="J676" t="inlineStr">
        <is>
          <t>COP</t>
        </is>
      </c>
      <c r="L676">
        <f>IFERROR(INDEX(Diccionario!$B:$B,MATCH(F676,Diccionario!$C:$C,0)),"")</f>
        <v/>
      </c>
      <c r="M676">
        <f>IFERROR(INDEX(Diccionario!$H:$H,MATCH(F676,Diccionario!$C:$C,0)),"")</f>
        <v/>
      </c>
      <c r="N676">
        <f>IFERROR(INDEX(Diccionario!$N:$N,MATCH(F676,Diccionario!$C:$C,0)),"")</f>
        <v/>
      </c>
    </row>
    <row r="677" ht="14.25" customHeight="1" s="52">
      <c r="A677" t="inlineStr">
        <is>
          <t>2025-10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Honorario</t>
        </is>
      </c>
      <c r="I677" t="n">
        <v>1900000</v>
      </c>
      <c r="J677" t="inlineStr">
        <is>
          <t>COP</t>
        </is>
      </c>
      <c r="L677">
        <f>IFERROR(INDEX(Diccionario!$B:$B,MATCH(F677,Diccionario!$C:$C,0)),"")</f>
        <v/>
      </c>
      <c r="M677">
        <f>IFERROR(INDEX(Diccionario!$H:$H,MATCH(F677,Diccionario!$C:$C,0)),"")</f>
        <v/>
      </c>
      <c r="N677">
        <f>IFERROR(INDEX(Diccionario!$N:$N,MATCH(F677,Diccionario!$C:$C,0)),"")</f>
        <v/>
      </c>
    </row>
    <row r="678" ht="14.25" customHeight="1" s="52">
      <c r="A678" t="inlineStr">
        <is>
          <t>2025-10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Servicios</t>
        </is>
      </c>
      <c r="I678" t="n">
        <v>22600000</v>
      </c>
      <c r="J678" t="inlineStr">
        <is>
          <t>COP</t>
        </is>
      </c>
      <c r="L678">
        <f>IFERROR(INDEX(Diccionario!$B:$B,MATCH(F678,Diccionario!$C:$C,0)),"")</f>
        <v/>
      </c>
      <c r="M678">
        <f>IFERROR(INDEX(Diccionario!$H:$H,MATCH(F678,Diccionario!$C:$C,0)),"")</f>
        <v/>
      </c>
      <c r="N678">
        <f>IFERROR(INDEX(Diccionario!$N:$N,MATCH(F678,Diccionario!$C:$C,0)),"")</f>
        <v/>
      </c>
    </row>
    <row r="679" ht="14.25" customHeight="1" s="52">
      <c r="A679" t="inlineStr">
        <is>
          <t>2025-10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Mantenimientos</t>
        </is>
      </c>
      <c r="I679" t="n">
        <v>0</v>
      </c>
      <c r="J679" t="inlineStr">
        <is>
          <t>COP</t>
        </is>
      </c>
      <c r="L679">
        <f>IFERROR(INDEX(Diccionario!$B:$B,MATCH(F679,Diccionario!$C:$C,0)),"")</f>
        <v/>
      </c>
      <c r="M679">
        <f>IFERROR(INDEX(Diccionario!$H:$H,MATCH(F679,Diccionario!$C:$C,0)),"")</f>
        <v/>
      </c>
      <c r="N679">
        <f>IFERROR(INDEX(Diccionario!$N:$N,MATCH(F679,Diccionario!$C:$C,0)),"")</f>
        <v/>
      </c>
    </row>
    <row r="680" ht="14.25" customHeight="1" s="52">
      <c r="A680" t="inlineStr">
        <is>
          <t>2025-10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Viajes</t>
        </is>
      </c>
      <c r="I680" t="n">
        <v>21400000</v>
      </c>
      <c r="J680" t="inlineStr">
        <is>
          <t>COP</t>
        </is>
      </c>
      <c r="L680">
        <f>IFERROR(INDEX(Diccionario!$B:$B,MATCH(F680,Diccionario!$C:$C,0)),"")</f>
        <v/>
      </c>
      <c r="M680">
        <f>IFERROR(INDEX(Diccionario!$H:$H,MATCH(F680,Diccionario!$C:$C,0)),"")</f>
        <v/>
      </c>
      <c r="N680">
        <f>IFERROR(INDEX(Diccionario!$N:$N,MATCH(F680,Diccionario!$C:$C,0)),"")</f>
        <v/>
      </c>
    </row>
    <row r="681" ht="14.25" customHeight="1" s="52">
      <c r="A681" t="inlineStr">
        <is>
          <t>2025-11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Personal</t>
        </is>
      </c>
      <c r="I681" t="n">
        <v>59500000</v>
      </c>
      <c r="J681" t="inlineStr">
        <is>
          <t>COP</t>
        </is>
      </c>
      <c r="L681">
        <f>IFERROR(INDEX(Diccionario!$B:$B,MATCH(F681,Diccionario!$C:$C,0)),"")</f>
        <v/>
      </c>
      <c r="M681">
        <f>IFERROR(INDEX(Diccionario!$H:$H,MATCH(F681,Diccionario!$C:$C,0)),"")</f>
        <v/>
      </c>
      <c r="N681">
        <f>IFERROR(INDEX(Diccionario!$N:$N,MATCH(F681,Diccionario!$C:$C,0)),"")</f>
        <v/>
      </c>
    </row>
    <row r="682" ht="14.25" customHeight="1" s="52">
      <c r="A682" t="inlineStr">
        <is>
          <t>2025-11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Honorario</t>
        </is>
      </c>
      <c r="I682" t="n">
        <v>0</v>
      </c>
      <c r="J682" t="inlineStr">
        <is>
          <t>COP</t>
        </is>
      </c>
      <c r="L682">
        <f>IFERROR(INDEX(Diccionario!$B:$B,MATCH(F682,Diccionario!$C:$C,0)),"")</f>
        <v/>
      </c>
      <c r="M682">
        <f>IFERROR(INDEX(Diccionario!$H:$H,MATCH(F682,Diccionario!$C:$C,0)),"")</f>
        <v/>
      </c>
      <c r="N682">
        <f>IFERROR(INDEX(Diccionario!$N:$N,MATCH(F682,Diccionario!$C:$C,0)),"")</f>
        <v/>
      </c>
    </row>
    <row r="683" ht="14.25" customHeight="1" s="52">
      <c r="A683" t="inlineStr">
        <is>
          <t>2025-11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Servicios</t>
        </is>
      </c>
      <c r="I683" t="n">
        <v>9900000</v>
      </c>
      <c r="J683" t="inlineStr">
        <is>
          <t>COP</t>
        </is>
      </c>
      <c r="L683">
        <f>IFERROR(INDEX(Diccionario!$B:$B,MATCH(F683,Diccionario!$C:$C,0)),"")</f>
        <v/>
      </c>
      <c r="M683">
        <f>IFERROR(INDEX(Diccionario!$H:$H,MATCH(F683,Diccionario!$C:$C,0)),"")</f>
        <v/>
      </c>
      <c r="N683">
        <f>IFERROR(INDEX(Diccionario!$N:$N,MATCH(F683,Diccionario!$C:$C,0)),"")</f>
        <v/>
      </c>
    </row>
    <row r="684" ht="14.25" customHeight="1" s="52">
      <c r="A684" t="inlineStr">
        <is>
          <t>2025-11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>
        <f>IFERROR(INDEX(Diccionario!$B:$B,MATCH(F684,Diccionario!$C:$C,0)),"")</f>
        <v/>
      </c>
      <c r="M684">
        <f>IFERROR(INDEX(Diccionario!$H:$H,MATCH(F684,Diccionario!$C:$C,0)),"")</f>
        <v/>
      </c>
      <c r="N684">
        <f>IFERROR(INDEX(Diccionario!$N:$N,MATCH(F684,Diccionario!$C:$C,0)),"")</f>
        <v/>
      </c>
    </row>
    <row r="685" ht="14.25" customHeight="1" s="52">
      <c r="A685" t="inlineStr">
        <is>
          <t>2025-11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Viajes</t>
        </is>
      </c>
      <c r="I685" t="n">
        <v>2300000</v>
      </c>
      <c r="J685" t="inlineStr">
        <is>
          <t>COP</t>
        </is>
      </c>
      <c r="L685">
        <f>IFERROR(INDEX(Diccionario!$B:$B,MATCH(F685,Diccionario!$C:$C,0)),"")</f>
        <v/>
      </c>
      <c r="M685">
        <f>IFERROR(INDEX(Diccionario!$H:$H,MATCH(F685,Diccionario!$C:$C,0)),"")</f>
        <v/>
      </c>
      <c r="N685">
        <f>IFERROR(INDEX(Diccionario!$N:$N,MATCH(F685,Diccionario!$C:$C,0)),"")</f>
        <v/>
      </c>
    </row>
    <row r="686" ht="14.25" customHeight="1" s="52">
      <c r="A686" t="inlineStr">
        <is>
          <t>2025-12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Personal</t>
        </is>
      </c>
      <c r="I686" t="n">
        <v>60800000</v>
      </c>
      <c r="J686" t="inlineStr">
        <is>
          <t>COP</t>
        </is>
      </c>
      <c r="L686">
        <f>IFERROR(INDEX(Diccionario!$B:$B,MATCH(F686,Diccionario!$C:$C,0)),"")</f>
        <v/>
      </c>
      <c r="M686">
        <f>IFERROR(INDEX(Diccionario!$H:$H,MATCH(F686,Diccionario!$C:$C,0)),"")</f>
        <v/>
      </c>
      <c r="N686">
        <f>IFERROR(INDEX(Diccionario!$N:$N,MATCH(F686,Diccionario!$C:$C,0)),"")</f>
        <v/>
      </c>
    </row>
    <row r="687" ht="14.25" customHeight="1" s="52">
      <c r="A687" t="inlineStr">
        <is>
          <t>2025-12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Honorario</t>
        </is>
      </c>
      <c r="I687" t="n">
        <v>4300000</v>
      </c>
      <c r="J687" t="inlineStr">
        <is>
          <t>COP</t>
        </is>
      </c>
      <c r="L687">
        <f>IFERROR(INDEX(Diccionario!$B:$B,MATCH(F687,Diccionario!$C:$C,0)),"")</f>
        <v/>
      </c>
      <c r="M687">
        <f>IFERROR(INDEX(Diccionario!$H:$H,MATCH(F687,Diccionario!$C:$C,0)),"")</f>
        <v/>
      </c>
      <c r="N687">
        <f>IFERROR(INDEX(Diccionario!$N:$N,MATCH(F687,Diccionario!$C:$C,0)),"")</f>
        <v/>
      </c>
    </row>
    <row r="688" ht="14.25" customHeight="1" s="52">
      <c r="A688" t="inlineStr">
        <is>
          <t>2025-12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Servicios</t>
        </is>
      </c>
      <c r="I688" t="n">
        <v>21900000</v>
      </c>
      <c r="J688" t="inlineStr">
        <is>
          <t>COP</t>
        </is>
      </c>
      <c r="L688">
        <f>IFERROR(INDEX(Diccionario!$B:$B,MATCH(F688,Diccionario!$C:$C,0)),"")</f>
        <v/>
      </c>
      <c r="M688">
        <f>IFERROR(INDEX(Diccionario!$H:$H,MATCH(F688,Diccionario!$C:$C,0)),"")</f>
        <v/>
      </c>
      <c r="N688">
        <f>IFERROR(INDEX(Diccionario!$N:$N,MATCH(F688,Diccionario!$C:$C,0)),"")</f>
        <v/>
      </c>
    </row>
    <row r="689" ht="14.25" customHeight="1" s="52">
      <c r="A689" t="inlineStr">
        <is>
          <t>2025-12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Mantenimientos</t>
        </is>
      </c>
      <c r="I689" t="n">
        <v>0</v>
      </c>
      <c r="J689" t="inlineStr">
        <is>
          <t>COP</t>
        </is>
      </c>
      <c r="L689">
        <f>IFERROR(INDEX(Diccionario!$B:$B,MATCH(F689,Diccionario!$C:$C,0)),"")</f>
        <v/>
      </c>
      <c r="M689">
        <f>IFERROR(INDEX(Diccionario!$H:$H,MATCH(F689,Diccionario!$C:$C,0)),"")</f>
        <v/>
      </c>
      <c r="N689">
        <f>IFERROR(INDEX(Diccionario!$N:$N,MATCH(F689,Diccionario!$C:$C,0)),"")</f>
        <v/>
      </c>
    </row>
    <row r="690" ht="14.25" customHeight="1" s="52">
      <c r="A690" t="inlineStr">
        <is>
          <t>2025-12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Viajes</t>
        </is>
      </c>
      <c r="I690" t="n">
        <v>2300000</v>
      </c>
      <c r="J690" t="inlineStr">
        <is>
          <t>COP</t>
        </is>
      </c>
      <c r="L690">
        <f>IFERROR(INDEX(Diccionario!$B:$B,MATCH(F690,Diccionario!$C:$C,0)),"")</f>
        <v/>
      </c>
      <c r="M690">
        <f>IFERROR(INDEX(Diccionario!$H:$H,MATCH(F690,Diccionario!$C:$C,0)),"")</f>
        <v/>
      </c>
      <c r="N690">
        <f>IFERROR(INDEX(Diccionario!$N:$N,MATCH(F690,Diccionario!$C:$C,0)),"")</f>
        <v/>
      </c>
    </row>
    <row r="691" ht="14.25" customHeight="1" s="52">
      <c r="A691" t="inlineStr">
        <is>
          <t>2026-01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Personal</t>
        </is>
      </c>
      <c r="I691" t="n">
        <v>55300000</v>
      </c>
      <c r="J691" t="inlineStr">
        <is>
          <t>COP</t>
        </is>
      </c>
      <c r="L691">
        <f>IFERROR(INDEX(Diccionario!$B:$B,MATCH(F691,Diccionario!$C:$C,0)),"")</f>
        <v/>
      </c>
      <c r="M691">
        <f>IFERROR(INDEX(Diccionario!$H:$H,MATCH(F691,Diccionario!$C:$C,0)),"")</f>
        <v/>
      </c>
      <c r="N691">
        <f>IFERROR(INDEX(Diccionario!$N:$N,MATCH(F691,Diccionario!$C:$C,0)),"")</f>
        <v/>
      </c>
    </row>
    <row r="692" ht="14.25" customHeight="1" s="52">
      <c r="A692" t="inlineStr">
        <is>
          <t>2026-01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Honorario</t>
        </is>
      </c>
      <c r="I692" t="n">
        <v>0</v>
      </c>
      <c r="J692" t="inlineStr">
        <is>
          <t>COP</t>
        </is>
      </c>
      <c r="L692">
        <f>IFERROR(INDEX(Diccionario!$B:$B,MATCH(F692,Diccionario!$C:$C,0)),"")</f>
        <v/>
      </c>
      <c r="M692">
        <f>IFERROR(INDEX(Diccionario!$H:$H,MATCH(F692,Diccionario!$C:$C,0)),"")</f>
        <v/>
      </c>
      <c r="N692">
        <f>IFERROR(INDEX(Diccionario!$N:$N,MATCH(F692,Diccionario!$C:$C,0)),"")</f>
        <v/>
      </c>
    </row>
    <row r="693" ht="14.25" customHeight="1" s="52">
      <c r="A693" t="inlineStr">
        <is>
          <t>2026-01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Servicios</t>
        </is>
      </c>
      <c r="I693" t="n">
        <v>17400000</v>
      </c>
      <c r="J693" t="inlineStr">
        <is>
          <t>COP</t>
        </is>
      </c>
      <c r="L693">
        <f>IFERROR(INDEX(Diccionario!$B:$B,MATCH(F693,Diccionario!$C:$C,0)),"")</f>
        <v/>
      </c>
      <c r="M693">
        <f>IFERROR(INDEX(Diccionario!$H:$H,MATCH(F693,Diccionario!$C:$C,0)),"")</f>
        <v/>
      </c>
      <c r="N693">
        <f>IFERROR(INDEX(Diccionario!$N:$N,MATCH(F693,Diccionario!$C:$C,0)),"")</f>
        <v/>
      </c>
    </row>
    <row r="694" ht="14.25" customHeight="1" s="52">
      <c r="A694" t="inlineStr">
        <is>
          <t>2026-01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Mantenimientos</t>
        </is>
      </c>
      <c r="I694" t="n">
        <v>354000</v>
      </c>
      <c r="J694" t="inlineStr">
        <is>
          <t>COP</t>
        </is>
      </c>
      <c r="L694">
        <f>IFERROR(INDEX(Diccionario!$B:$B,MATCH(F694,Diccionario!$C:$C,0)),"")</f>
        <v/>
      </c>
      <c r="M694">
        <f>IFERROR(INDEX(Diccionario!$H:$H,MATCH(F694,Diccionario!$C:$C,0)),"")</f>
        <v/>
      </c>
      <c r="N694">
        <f>IFERROR(INDEX(Diccionario!$N:$N,MATCH(F694,Diccionario!$C:$C,0)),"")</f>
        <v/>
      </c>
    </row>
    <row r="695" ht="14.25" customHeight="1" s="52">
      <c r="A695" t="inlineStr">
        <is>
          <t>2026-01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Viajes</t>
        </is>
      </c>
      <c r="I695" t="n">
        <v>307000</v>
      </c>
      <c r="J695" t="inlineStr">
        <is>
          <t>COP</t>
        </is>
      </c>
      <c r="L695">
        <f>IFERROR(INDEX(Diccionario!$B:$B,MATCH(F695,Diccionario!$C:$C,0)),"")</f>
        <v/>
      </c>
      <c r="M695">
        <f>IFERROR(INDEX(Diccionario!$H:$H,MATCH(F695,Diccionario!$C:$C,0)),"")</f>
        <v/>
      </c>
      <c r="N695">
        <f>IFERROR(INDEX(Diccionario!$N:$N,MATCH(F695,Diccionario!$C:$C,0)),"")</f>
        <v/>
      </c>
    </row>
    <row r="696" ht="14.25" customHeight="1" s="52">
      <c r="A696" t="inlineStr">
        <is>
          <t>2026-02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Personal</t>
        </is>
      </c>
      <c r="I696" t="n">
        <v>54800000</v>
      </c>
      <c r="J696" t="inlineStr">
        <is>
          <t>COP</t>
        </is>
      </c>
      <c r="L696">
        <f>IFERROR(INDEX(Diccionario!$B:$B,MATCH(F696,Diccionario!$C:$C,0)),"")</f>
        <v/>
      </c>
      <c r="M696">
        <f>IFERROR(INDEX(Diccionario!$H:$H,MATCH(F696,Diccionario!$C:$C,0)),"")</f>
        <v/>
      </c>
      <c r="N696">
        <f>IFERROR(INDEX(Diccionario!$N:$N,MATCH(F696,Diccionario!$C:$C,0)),"")</f>
        <v/>
      </c>
    </row>
    <row r="697" ht="14.25" customHeight="1" s="52">
      <c r="A697" t="inlineStr">
        <is>
          <t>2026-02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Honorario</t>
        </is>
      </c>
      <c r="I697" t="n">
        <v>0</v>
      </c>
      <c r="J697" t="inlineStr">
        <is>
          <t>COP</t>
        </is>
      </c>
      <c r="L697">
        <f>IFERROR(INDEX(Diccionario!$B:$B,MATCH(F697,Diccionario!$C:$C,0)),"")</f>
        <v/>
      </c>
      <c r="M697">
        <f>IFERROR(INDEX(Diccionario!$H:$H,MATCH(F697,Diccionario!$C:$C,0)),"")</f>
        <v/>
      </c>
      <c r="N697">
        <f>IFERROR(INDEX(Diccionario!$N:$N,MATCH(F697,Diccionario!$C:$C,0)),"")</f>
        <v/>
      </c>
    </row>
    <row r="698" ht="14.25" customHeight="1" s="52">
      <c r="A698" t="inlineStr">
        <is>
          <t>2026-02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Servicios</t>
        </is>
      </c>
      <c r="I698" t="n">
        <v>12400000</v>
      </c>
      <c r="J698" t="inlineStr">
        <is>
          <t>COP</t>
        </is>
      </c>
      <c r="L698">
        <f>IFERROR(INDEX(Diccionario!$B:$B,MATCH(F698,Diccionario!$C:$C,0)),"")</f>
        <v/>
      </c>
      <c r="M698">
        <f>IFERROR(INDEX(Diccionario!$H:$H,MATCH(F698,Diccionario!$C:$C,0)),"")</f>
        <v/>
      </c>
      <c r="N698">
        <f>IFERROR(INDEX(Diccionario!$N:$N,MATCH(F698,Diccionario!$C:$C,0)),"")</f>
        <v/>
      </c>
    </row>
    <row r="699" ht="14.25" customHeight="1" s="52">
      <c r="A699" t="inlineStr">
        <is>
          <t>2026-02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Mantenimientos</t>
        </is>
      </c>
      <c r="I699" t="n">
        <v>400000</v>
      </c>
      <c r="J699" t="inlineStr">
        <is>
          <t>COP</t>
        </is>
      </c>
      <c r="L699">
        <f>IFERROR(INDEX(Diccionario!$B:$B,MATCH(F699,Diccionario!$C:$C,0)),"")</f>
        <v/>
      </c>
      <c r="M699">
        <f>IFERROR(INDEX(Diccionario!$H:$H,MATCH(F699,Diccionario!$C:$C,0)),"")</f>
        <v/>
      </c>
      <c r="N699">
        <f>IFERROR(INDEX(Diccionario!$N:$N,MATCH(F699,Diccionario!$C:$C,0)),"")</f>
        <v/>
      </c>
    </row>
    <row r="700" ht="14.25" customHeight="1" s="52">
      <c r="A700" t="inlineStr">
        <is>
          <t>2026-02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Viajes</t>
        </is>
      </c>
      <c r="I700" t="n">
        <v>7600000</v>
      </c>
      <c r="J700" t="inlineStr">
        <is>
          <t>COP</t>
        </is>
      </c>
      <c r="L700">
        <f>IFERROR(INDEX(Diccionario!$B:$B,MATCH(F700,Diccionario!$C:$C,0)),"")</f>
        <v/>
      </c>
      <c r="M700">
        <f>IFERROR(INDEX(Diccionario!$H:$H,MATCH(F700,Diccionario!$C:$C,0)),"")</f>
        <v/>
      </c>
      <c r="N700">
        <f>IFERROR(INDEX(Diccionario!$N:$N,MATCH(F700,Diccionario!$C:$C,0)),"")</f>
        <v/>
      </c>
    </row>
    <row r="701" ht="14.25" customHeight="1" s="52">
      <c r="A701" t="inlineStr">
        <is>
          <t>2026-03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Personal</t>
        </is>
      </c>
      <c r="I701" t="n">
        <v>56300000</v>
      </c>
      <c r="J701" t="inlineStr">
        <is>
          <t>COP</t>
        </is>
      </c>
      <c r="L701">
        <f>IFERROR(INDEX(Diccionario!$B:$B,MATCH(F701,Diccionario!$C:$C,0)),"")</f>
        <v/>
      </c>
      <c r="M701">
        <f>IFERROR(INDEX(Diccionario!$H:$H,MATCH(F701,Diccionario!$C:$C,0)),"")</f>
        <v/>
      </c>
      <c r="N701">
        <f>IFERROR(INDEX(Diccionario!$N:$N,MATCH(F701,Diccionario!$C:$C,0)),"")</f>
        <v/>
      </c>
    </row>
    <row r="702" ht="14.25" customHeight="1" s="52">
      <c r="A702" t="inlineStr">
        <is>
          <t>2026-03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Honorario</t>
        </is>
      </c>
      <c r="I702" t="n">
        <v>0</v>
      </c>
      <c r="J702" t="inlineStr">
        <is>
          <t>COP</t>
        </is>
      </c>
      <c r="L702">
        <f>IFERROR(INDEX(Diccionario!$B:$B,MATCH(F702,Diccionario!$C:$C,0)),"")</f>
        <v/>
      </c>
      <c r="M702">
        <f>IFERROR(INDEX(Diccionario!$H:$H,MATCH(F702,Diccionario!$C:$C,0)),"")</f>
        <v/>
      </c>
      <c r="N702">
        <f>IFERROR(INDEX(Diccionario!$N:$N,MATCH(F702,Diccionario!$C:$C,0)),"")</f>
        <v/>
      </c>
    </row>
    <row r="703" ht="14.25" customHeight="1" s="52">
      <c r="A703" t="inlineStr">
        <is>
          <t>2026-03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Servicios</t>
        </is>
      </c>
      <c r="I703" t="n">
        <v>11300000</v>
      </c>
      <c r="J703" t="inlineStr">
        <is>
          <t>COP</t>
        </is>
      </c>
      <c r="L703">
        <f>IFERROR(INDEX(Diccionario!$B:$B,MATCH(F703,Diccionario!$C:$C,0)),"")</f>
        <v/>
      </c>
      <c r="M703">
        <f>IFERROR(INDEX(Diccionario!$H:$H,MATCH(F703,Diccionario!$C:$C,0)),"")</f>
        <v/>
      </c>
      <c r="N703">
        <f>IFERROR(INDEX(Diccionario!$N:$N,MATCH(F703,Diccionario!$C:$C,0)),"")</f>
        <v/>
      </c>
    </row>
    <row r="704" ht="14.25" customHeight="1" s="52">
      <c r="A704" t="inlineStr">
        <is>
          <t>2026-03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costo_operacion</t>
        </is>
      </c>
      <c r="H704" t="inlineStr">
        <is>
          <t>Mantenimientos</t>
        </is>
      </c>
      <c r="I704" t="n">
        <v>516000</v>
      </c>
      <c r="J704" t="inlineStr">
        <is>
          <t>COP</t>
        </is>
      </c>
      <c r="L704">
        <f>IFERROR(INDEX(Diccionario!$B:$B,MATCH(F704,Diccionario!$C:$C,0)),"")</f>
        <v/>
      </c>
      <c r="M704">
        <f>IFERROR(INDEX(Diccionario!$H:$H,MATCH(F704,Diccionario!$C:$C,0)),"")</f>
        <v/>
      </c>
      <c r="N704">
        <f>IFERROR(INDEX(Diccionario!$N:$N,MATCH(F704,Diccionario!$C:$C,0)),"")</f>
        <v/>
      </c>
    </row>
    <row r="705" ht="14.25" customHeight="1" s="52">
      <c r="A705" t="inlineStr">
        <is>
          <t>2026-03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costo_operacion</t>
        </is>
      </c>
      <c r="H705" t="inlineStr">
        <is>
          <t>Viajes</t>
        </is>
      </c>
      <c r="I705" t="n">
        <v>8100000</v>
      </c>
      <c r="J705" t="inlineStr">
        <is>
          <t>COP</t>
        </is>
      </c>
      <c r="L705">
        <f>IFERROR(INDEX(Diccionario!$B:$B,MATCH(F705,Diccionario!$C:$C,0)),"")</f>
        <v/>
      </c>
      <c r="M705">
        <f>IFERROR(INDEX(Diccionario!$H:$H,MATCH(F705,Diccionario!$C:$C,0)),"")</f>
        <v/>
      </c>
      <c r="N705">
        <f>IFERROR(INDEX(Diccionario!$N:$N,MATCH(F705,Diccionario!$C:$C,0)),"")</f>
        <v/>
      </c>
    </row>
    <row r="706" ht="14.25" customHeight="1" s="52">
      <c r="A706" t="inlineStr">
        <is>
          <t>2026-04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costo_operacion</t>
        </is>
      </c>
      <c r="H706" t="inlineStr">
        <is>
          <t>Personal</t>
        </is>
      </c>
      <c r="I706" t="n">
        <v>86400000</v>
      </c>
      <c r="J706" t="inlineStr">
        <is>
          <t>COP</t>
        </is>
      </c>
      <c r="L706">
        <f>IFERROR(INDEX(Diccionario!$B:$B,MATCH(F706,Diccionario!$C:$C,0)),"")</f>
        <v/>
      </c>
      <c r="M706">
        <f>IFERROR(INDEX(Diccionario!$H:$H,MATCH(F706,Diccionario!$C:$C,0)),"")</f>
        <v/>
      </c>
      <c r="N706">
        <f>IFERROR(INDEX(Diccionario!$N:$N,MATCH(F706,Diccionario!$C:$C,0)),"")</f>
        <v/>
      </c>
    </row>
    <row r="707" ht="14.25" customHeight="1" s="52">
      <c r="A707" t="inlineStr">
        <is>
          <t>2026-04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costo_operacion</t>
        </is>
      </c>
      <c r="H707" t="inlineStr">
        <is>
          <t>Honorario</t>
        </is>
      </c>
      <c r="I707" t="n">
        <v>0</v>
      </c>
      <c r="J707" t="inlineStr">
        <is>
          <t>COP</t>
        </is>
      </c>
      <c r="L707">
        <f>IFERROR(INDEX(Diccionario!$B:$B,MATCH(F707,Diccionario!$C:$C,0)),"")</f>
        <v/>
      </c>
      <c r="M707">
        <f>IFERROR(INDEX(Diccionario!$H:$H,MATCH(F707,Diccionario!$C:$C,0)),"")</f>
        <v/>
      </c>
      <c r="N707">
        <f>IFERROR(INDEX(Diccionario!$N:$N,MATCH(F707,Diccionario!$C:$C,0)),"")</f>
        <v/>
      </c>
    </row>
    <row r="708" ht="14.25" customHeight="1" s="52">
      <c r="A708" t="inlineStr">
        <is>
          <t>2026-04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costo_operacion</t>
        </is>
      </c>
      <c r="H708" t="inlineStr">
        <is>
          <t>Servicios</t>
        </is>
      </c>
      <c r="I708" t="n">
        <v>14800000</v>
      </c>
      <c r="J708" t="inlineStr">
        <is>
          <t>COP</t>
        </is>
      </c>
      <c r="L708">
        <f>IFERROR(INDEX(Diccionario!$B:$B,MATCH(F708,Diccionario!$C:$C,0)),"")</f>
        <v/>
      </c>
      <c r="M708">
        <f>IFERROR(INDEX(Diccionario!$H:$H,MATCH(F708,Diccionario!$C:$C,0)),"")</f>
        <v/>
      </c>
      <c r="N708">
        <f>IFERROR(INDEX(Diccionario!$N:$N,MATCH(F708,Diccionario!$C:$C,0)),"")</f>
        <v/>
      </c>
    </row>
    <row r="709" ht="14.25" customHeight="1" s="52">
      <c r="A709" t="inlineStr">
        <is>
          <t>2026-04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costo_operacion</t>
        </is>
      </c>
      <c r="H709" t="inlineStr">
        <is>
          <t>Mantenimientos</t>
        </is>
      </c>
      <c r="I709" t="n">
        <v>900000</v>
      </c>
      <c r="J709" t="inlineStr">
        <is>
          <t>COP</t>
        </is>
      </c>
      <c r="L709">
        <f>IFERROR(INDEX(Diccionario!$B:$B,MATCH(F709,Diccionario!$C:$C,0)),"")</f>
        <v/>
      </c>
      <c r="M709">
        <f>IFERROR(INDEX(Diccionario!$H:$H,MATCH(F709,Diccionario!$C:$C,0)),"")</f>
        <v/>
      </c>
      <c r="N709">
        <f>IFERROR(INDEX(Diccionario!$N:$N,MATCH(F709,Diccionario!$C:$C,0)),"")</f>
        <v/>
      </c>
    </row>
    <row r="710" ht="14.25" customHeight="1" s="52">
      <c r="A710" t="inlineStr">
        <is>
          <t>2026-04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costo_operacion</t>
        </is>
      </c>
      <c r="H710" t="inlineStr">
        <is>
          <t>Viajes</t>
        </is>
      </c>
      <c r="I710" t="n">
        <v>21800000</v>
      </c>
      <c r="J710" t="inlineStr">
        <is>
          <t>COP</t>
        </is>
      </c>
      <c r="L710">
        <f>IFERROR(INDEX(Diccionario!$B:$B,MATCH(F710,Diccionario!$C:$C,0)),"")</f>
        <v/>
      </c>
      <c r="M710">
        <f>IFERROR(INDEX(Diccionario!$H:$H,MATCH(F710,Diccionario!$C:$C,0)),"")</f>
        <v/>
      </c>
      <c r="N710">
        <f>IFERROR(INDEX(Diccionario!$N:$N,MATCH(F710,Diccionario!$C:$C,0)),"")</f>
        <v/>
      </c>
    </row>
    <row r="711" ht="14.25" customHeight="1" s="52">
      <c r="A711" t="inlineStr">
        <is>
          <t>2026-05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costo_operacion</t>
        </is>
      </c>
      <c r="H711" t="inlineStr">
        <is>
          <t>Personal</t>
        </is>
      </c>
      <c r="I711" t="n">
        <v>92900000</v>
      </c>
      <c r="J711" t="inlineStr">
        <is>
          <t>COP</t>
        </is>
      </c>
      <c r="L711">
        <f>IFERROR(INDEX(Diccionario!$B:$B,MATCH(F711,Diccionario!$C:$C,0)),"")</f>
        <v/>
      </c>
      <c r="M711">
        <f>IFERROR(INDEX(Diccionario!$H:$H,MATCH(F711,Diccionario!$C:$C,0)),"")</f>
        <v/>
      </c>
      <c r="N711">
        <f>IFERROR(INDEX(Diccionario!$N:$N,MATCH(F711,Diccionario!$C:$C,0)),"")</f>
        <v/>
      </c>
    </row>
    <row r="712" ht="14.25" customHeight="1" s="52">
      <c r="A712" t="inlineStr">
        <is>
          <t>2026-05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costo_operacion</t>
        </is>
      </c>
      <c r="H712" t="inlineStr">
        <is>
          <t>Honorario</t>
        </is>
      </c>
      <c r="I712" t="n">
        <v>0</v>
      </c>
      <c r="J712" t="inlineStr">
        <is>
          <t>COP</t>
        </is>
      </c>
      <c r="L712">
        <f>IFERROR(INDEX(Diccionario!$B:$B,MATCH(F712,Diccionario!$C:$C,0)),"")</f>
        <v/>
      </c>
      <c r="M712">
        <f>IFERROR(INDEX(Diccionario!$H:$H,MATCH(F712,Diccionario!$C:$C,0)),"")</f>
        <v/>
      </c>
      <c r="N712">
        <f>IFERROR(INDEX(Diccionario!$N:$N,MATCH(F712,Diccionario!$C:$C,0)),"")</f>
        <v/>
      </c>
    </row>
    <row r="713" ht="14.25" customHeight="1" s="52">
      <c r="A713" t="inlineStr">
        <is>
          <t>2026-05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costo_operacion</t>
        </is>
      </c>
      <c r="H713" t="inlineStr">
        <is>
          <t>Servicios</t>
        </is>
      </c>
      <c r="I713" t="n">
        <v>11200000</v>
      </c>
      <c r="J713" t="inlineStr">
        <is>
          <t>COP</t>
        </is>
      </c>
      <c r="L713">
        <f>IFERROR(INDEX(Diccionario!$B:$B,MATCH(F713,Diccionario!$C:$C,0)),"")</f>
        <v/>
      </c>
      <c r="M713">
        <f>IFERROR(INDEX(Diccionario!$H:$H,MATCH(F713,Diccionario!$C:$C,0)),"")</f>
        <v/>
      </c>
      <c r="N713">
        <f>IFERROR(INDEX(Diccionario!$N:$N,MATCH(F713,Diccionario!$C:$C,0)),"")</f>
        <v/>
      </c>
    </row>
    <row r="714" ht="14.25" customHeight="1" s="52">
      <c r="A714" t="inlineStr">
        <is>
          <t>2026-05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costo_operacion</t>
        </is>
      </c>
      <c r="H714" t="inlineStr">
        <is>
          <t>Mantenimientos</t>
        </is>
      </c>
      <c r="I714" t="n">
        <v>0</v>
      </c>
      <c r="J714" t="inlineStr">
        <is>
          <t>COP</t>
        </is>
      </c>
      <c r="L714">
        <f>IFERROR(INDEX(Diccionario!$B:$B,MATCH(F714,Diccionario!$C:$C,0)),"")</f>
        <v/>
      </c>
      <c r="M714">
        <f>IFERROR(INDEX(Diccionario!$H:$H,MATCH(F714,Diccionario!$C:$C,0)),"")</f>
        <v/>
      </c>
      <c r="N714">
        <f>IFERROR(INDEX(Diccionario!$N:$N,MATCH(F714,Diccionario!$C:$C,0)),"")</f>
        <v/>
      </c>
    </row>
    <row r="715" ht="14.25" customHeight="1" s="52">
      <c r="A715" t="inlineStr">
        <is>
          <t>2026-05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costo_operacion</t>
        </is>
      </c>
      <c r="H715" t="inlineStr">
        <is>
          <t>Viajes</t>
        </is>
      </c>
      <c r="I715" t="n">
        <v>16300000</v>
      </c>
      <c r="J715" t="inlineStr">
        <is>
          <t>COP</t>
        </is>
      </c>
      <c r="L715">
        <f>IFERROR(INDEX(Diccionario!$B:$B,MATCH(F715,Diccionario!$C:$C,0)),"")</f>
        <v/>
      </c>
      <c r="M715">
        <f>IFERROR(INDEX(Diccionario!$H:$H,MATCH(F715,Diccionario!$C:$C,0)),"")</f>
        <v/>
      </c>
      <c r="N715">
        <f>IFERROR(INDEX(Diccionario!$N:$N,MATCH(F715,Diccionario!$C:$C,0)),"")</f>
        <v/>
      </c>
    </row>
    <row r="716" ht="14.25" customHeight="1" s="52">
      <c r="A716" t="inlineStr">
        <is>
          <t>2024-01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102000000</v>
      </c>
      <c r="J716" t="inlineStr">
        <is>
          <t>COP</t>
        </is>
      </c>
      <c r="L716">
        <f>IFERROR(INDEX(Diccionario!$B:$B,MATCH(F716,Diccionario!$C:$C,0)),"")</f>
        <v/>
      </c>
      <c r="M716">
        <f>IFERROR(INDEX(Diccionario!$H:$H,MATCH(F716,Diccionario!$C:$C,0)),"")</f>
        <v/>
      </c>
      <c r="N716">
        <f>IFERROR(INDEX(Diccionario!$N:$N,MATCH(F716,Diccionario!$C:$C,0)),"")</f>
        <v/>
      </c>
    </row>
    <row r="717" ht="14.25" customHeight="1" s="52">
      <c r="A717" t="inlineStr">
        <is>
          <t>2024-01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6000000</v>
      </c>
      <c r="J717" t="inlineStr">
        <is>
          <t>COP</t>
        </is>
      </c>
      <c r="L717">
        <f>IFERROR(INDEX(Diccionario!$B:$B,MATCH(F717,Diccionario!$C:$C,0)),"")</f>
        <v/>
      </c>
      <c r="M717">
        <f>IFERROR(INDEX(Diccionario!$H:$H,MATCH(F717,Diccionario!$C:$C,0)),"")</f>
        <v/>
      </c>
      <c r="N717">
        <f>IFERROR(INDEX(Diccionario!$N:$N,MATCH(F717,Diccionario!$C:$C,0)),"")</f>
        <v/>
      </c>
    </row>
    <row r="718" ht="14.25" customHeight="1" s="52">
      <c r="A718" t="inlineStr">
        <is>
          <t>2024-01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9000000</v>
      </c>
      <c r="J718" t="inlineStr">
        <is>
          <t>COP</t>
        </is>
      </c>
      <c r="L718">
        <f>IFERROR(INDEX(Diccionario!$B:$B,MATCH(F718,Diccionario!$C:$C,0)),"")</f>
        <v/>
      </c>
      <c r="M718">
        <f>IFERROR(INDEX(Diccionario!$H:$H,MATCH(F718,Diccionario!$C:$C,0)),"")</f>
        <v/>
      </c>
      <c r="N718">
        <f>IFERROR(INDEX(Diccionario!$N:$N,MATCH(F718,Diccionario!$C:$C,0)),"")</f>
        <v/>
      </c>
    </row>
    <row r="719" ht="14.25" customHeight="1" s="52">
      <c r="A719" t="inlineStr">
        <is>
          <t>2024-01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IFERROR(INDEX(Diccionario!$B:$B,MATCH(F719,Diccionario!$C:$C,0)),"")</f>
        <v/>
      </c>
      <c r="M719">
        <f>IFERROR(INDEX(Diccionario!$H:$H,MATCH(F719,Diccionario!$C:$C,0)),"")</f>
        <v/>
      </c>
      <c r="N719">
        <f>IFERROR(INDEX(Diccionario!$N:$N,MATCH(F719,Diccionario!$C:$C,0)),"")</f>
        <v/>
      </c>
    </row>
    <row r="720" ht="14.25" customHeight="1" s="52">
      <c r="A720" t="inlineStr">
        <is>
          <t>2024-02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99000000</v>
      </c>
      <c r="J720" t="inlineStr">
        <is>
          <t>COP</t>
        </is>
      </c>
      <c r="L720">
        <f>IFERROR(INDEX(Diccionario!$B:$B,MATCH(F720,Diccionario!$C:$C,0)),"")</f>
        <v/>
      </c>
      <c r="M720">
        <f>IFERROR(INDEX(Diccionario!$H:$H,MATCH(F720,Diccionario!$C:$C,0)),"")</f>
        <v/>
      </c>
      <c r="N720">
        <f>IFERROR(INDEX(Diccionario!$N:$N,MATCH(F720,Diccionario!$C:$C,0)),"")</f>
        <v/>
      </c>
    </row>
    <row r="721" ht="14.25" customHeight="1" s="52">
      <c r="A721" t="inlineStr">
        <is>
          <t>2024-02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6000000</v>
      </c>
      <c r="J721" t="inlineStr">
        <is>
          <t>COP</t>
        </is>
      </c>
      <c r="L721">
        <f>IFERROR(INDEX(Diccionario!$B:$B,MATCH(F721,Diccionario!$C:$C,0)),"")</f>
        <v/>
      </c>
      <c r="M721">
        <f>IFERROR(INDEX(Diccionario!$H:$H,MATCH(F721,Diccionario!$C:$C,0)),"")</f>
        <v/>
      </c>
      <c r="N721">
        <f>IFERROR(INDEX(Diccionario!$N:$N,MATCH(F721,Diccionario!$C:$C,0)),"")</f>
        <v/>
      </c>
    </row>
    <row r="722" ht="14.25" customHeight="1" s="52">
      <c r="A722" t="inlineStr">
        <is>
          <t>2024-02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2000000</v>
      </c>
      <c r="J722" t="inlineStr">
        <is>
          <t>COP</t>
        </is>
      </c>
      <c r="L722">
        <f>IFERROR(INDEX(Diccionario!$B:$B,MATCH(F722,Diccionario!$C:$C,0)),"")</f>
        <v/>
      </c>
      <c r="M722">
        <f>IFERROR(INDEX(Diccionario!$H:$H,MATCH(F722,Diccionario!$C:$C,0)),"")</f>
        <v/>
      </c>
      <c r="N722">
        <f>IFERROR(INDEX(Diccionario!$N:$N,MATCH(F722,Diccionario!$C:$C,0)),"")</f>
        <v/>
      </c>
    </row>
    <row r="723" ht="14.25" customHeight="1" s="52">
      <c r="A723" t="inlineStr">
        <is>
          <t>2024-02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IFERROR(INDEX(Diccionario!$B:$B,MATCH(F723,Diccionario!$C:$C,0)),"")</f>
        <v/>
      </c>
      <c r="M723">
        <f>IFERROR(INDEX(Diccionario!$H:$H,MATCH(F723,Diccionario!$C:$C,0)),"")</f>
        <v/>
      </c>
      <c r="N723">
        <f>IFERROR(INDEX(Diccionario!$N:$N,MATCH(F723,Diccionario!$C:$C,0)),"")</f>
        <v/>
      </c>
    </row>
    <row r="724" ht="14.25" customHeight="1" s="52">
      <c r="A724" t="inlineStr">
        <is>
          <t>2024-03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103000000</v>
      </c>
      <c r="J724" t="inlineStr">
        <is>
          <t>COP</t>
        </is>
      </c>
      <c r="L724">
        <f>IFERROR(INDEX(Diccionario!$B:$B,MATCH(F724,Diccionario!$C:$C,0)),"")</f>
        <v/>
      </c>
      <c r="M724">
        <f>IFERROR(INDEX(Diccionario!$H:$H,MATCH(F724,Diccionario!$C:$C,0)),"")</f>
        <v/>
      </c>
      <c r="N724">
        <f>IFERROR(INDEX(Diccionario!$N:$N,MATCH(F724,Diccionario!$C:$C,0)),"")</f>
        <v/>
      </c>
    </row>
    <row r="725" ht="14.25" customHeight="1" s="52">
      <c r="A725" t="inlineStr">
        <is>
          <t>2024-03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12000000</v>
      </c>
      <c r="J725" t="inlineStr">
        <is>
          <t>COP</t>
        </is>
      </c>
      <c r="L725">
        <f>IFERROR(INDEX(Diccionario!$B:$B,MATCH(F725,Diccionario!$C:$C,0)),"")</f>
        <v/>
      </c>
      <c r="M725">
        <f>IFERROR(INDEX(Diccionario!$H:$H,MATCH(F725,Diccionario!$C:$C,0)),"")</f>
        <v/>
      </c>
      <c r="N725">
        <f>IFERROR(INDEX(Diccionario!$N:$N,MATCH(F725,Diccionario!$C:$C,0)),"")</f>
        <v/>
      </c>
    </row>
    <row r="726" ht="14.25" customHeight="1" s="52">
      <c r="A726" t="inlineStr">
        <is>
          <t>2024-03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0</v>
      </c>
      <c r="J726" t="inlineStr">
        <is>
          <t>COP</t>
        </is>
      </c>
      <c r="L726">
        <f>IFERROR(INDEX(Diccionario!$B:$B,MATCH(F726,Diccionario!$C:$C,0)),"")</f>
        <v/>
      </c>
      <c r="M726">
        <f>IFERROR(INDEX(Diccionario!$H:$H,MATCH(F726,Diccionario!$C:$C,0)),"")</f>
        <v/>
      </c>
      <c r="N726">
        <f>IFERROR(INDEX(Diccionario!$N:$N,MATCH(F726,Diccionario!$C:$C,0)),"")</f>
        <v/>
      </c>
    </row>
    <row r="727" ht="14.25" customHeight="1" s="52">
      <c r="A727" t="inlineStr">
        <is>
          <t>2024-03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IFERROR(INDEX(Diccionario!$B:$B,MATCH(F727,Diccionario!$C:$C,0)),"")</f>
        <v/>
      </c>
      <c r="M727">
        <f>IFERROR(INDEX(Diccionario!$H:$H,MATCH(F727,Diccionario!$C:$C,0)),"")</f>
        <v/>
      </c>
      <c r="N727">
        <f>IFERROR(INDEX(Diccionario!$N:$N,MATCH(F727,Diccionario!$C:$C,0)),"")</f>
        <v/>
      </c>
    </row>
    <row r="728" ht="14.25" customHeight="1" s="52">
      <c r="A728" t="inlineStr">
        <is>
          <t>2024-04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108000000</v>
      </c>
      <c r="J728" t="inlineStr">
        <is>
          <t>COP</t>
        </is>
      </c>
      <c r="L728">
        <f>IFERROR(INDEX(Diccionario!$B:$B,MATCH(F728,Diccionario!$C:$C,0)),"")</f>
        <v/>
      </c>
      <c r="M728">
        <f>IFERROR(INDEX(Diccionario!$H:$H,MATCH(F728,Diccionario!$C:$C,0)),"")</f>
        <v/>
      </c>
      <c r="N728">
        <f>IFERROR(INDEX(Diccionario!$N:$N,MATCH(F728,Diccionario!$C:$C,0)),"")</f>
        <v/>
      </c>
    </row>
    <row r="729" ht="14.25" customHeight="1" s="52">
      <c r="A729" t="inlineStr">
        <is>
          <t>2024-04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10000000</v>
      </c>
      <c r="J729" t="inlineStr">
        <is>
          <t>COP</t>
        </is>
      </c>
      <c r="L729">
        <f>IFERROR(INDEX(Diccionario!$B:$B,MATCH(F729,Diccionario!$C:$C,0)),"")</f>
        <v/>
      </c>
      <c r="M729">
        <f>IFERROR(INDEX(Diccionario!$H:$H,MATCH(F729,Diccionario!$C:$C,0)),"")</f>
        <v/>
      </c>
      <c r="N729">
        <f>IFERROR(INDEX(Diccionario!$N:$N,MATCH(F729,Diccionario!$C:$C,0)),"")</f>
        <v/>
      </c>
    </row>
    <row r="730" ht="14.25" customHeight="1" s="52">
      <c r="A730" t="inlineStr">
        <is>
          <t>2024-04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15000000</v>
      </c>
      <c r="J730" t="inlineStr">
        <is>
          <t>COP</t>
        </is>
      </c>
      <c r="L730">
        <f>IFERROR(INDEX(Diccionario!$B:$B,MATCH(F730,Diccionario!$C:$C,0)),"")</f>
        <v/>
      </c>
      <c r="M730">
        <f>IFERROR(INDEX(Diccionario!$H:$H,MATCH(F730,Diccionario!$C:$C,0)),"")</f>
        <v/>
      </c>
      <c r="N730">
        <f>IFERROR(INDEX(Diccionario!$N:$N,MATCH(F730,Diccionario!$C:$C,0)),"")</f>
        <v/>
      </c>
    </row>
    <row r="731" ht="14.25" customHeight="1" s="52">
      <c r="A731" t="inlineStr">
        <is>
          <t>2024-04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IFERROR(INDEX(Diccionario!$B:$B,MATCH(F731,Diccionario!$C:$C,0)),"")</f>
        <v/>
      </c>
      <c r="M731">
        <f>IFERROR(INDEX(Diccionario!$H:$H,MATCH(F731,Diccionario!$C:$C,0)),"")</f>
        <v/>
      </c>
      <c r="N731">
        <f>IFERROR(INDEX(Diccionario!$N:$N,MATCH(F731,Diccionario!$C:$C,0)),"")</f>
        <v/>
      </c>
    </row>
    <row r="732" ht="14.25" customHeight="1" s="52">
      <c r="A732" t="inlineStr">
        <is>
          <t>2024-05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115000000</v>
      </c>
      <c r="J732" t="inlineStr">
        <is>
          <t>COP</t>
        </is>
      </c>
      <c r="L732">
        <f>IFERROR(INDEX(Diccionario!$B:$B,MATCH(F732,Diccionario!$C:$C,0)),"")</f>
        <v/>
      </c>
      <c r="M732">
        <f>IFERROR(INDEX(Diccionario!$H:$H,MATCH(F732,Diccionario!$C:$C,0)),"")</f>
        <v/>
      </c>
      <c r="N732">
        <f>IFERROR(INDEX(Diccionario!$N:$N,MATCH(F732,Diccionario!$C:$C,0)),"")</f>
        <v/>
      </c>
    </row>
    <row r="733" ht="14.25" customHeight="1" s="52">
      <c r="A733" t="inlineStr">
        <is>
          <t>2024-05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IFERROR(INDEX(Diccionario!$B:$B,MATCH(F733,Diccionario!$C:$C,0)),"")</f>
        <v/>
      </c>
      <c r="M733">
        <f>IFERROR(INDEX(Diccionario!$H:$H,MATCH(F733,Diccionario!$C:$C,0)),"")</f>
        <v/>
      </c>
      <c r="N733">
        <f>IFERROR(INDEX(Diccionario!$N:$N,MATCH(F733,Diccionario!$C:$C,0)),"")</f>
        <v/>
      </c>
    </row>
    <row r="734" ht="14.25" customHeight="1" s="52">
      <c r="A734" t="inlineStr">
        <is>
          <t>2024-05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IFERROR(INDEX(Diccionario!$B:$B,MATCH(F734,Diccionario!$C:$C,0)),"")</f>
        <v/>
      </c>
      <c r="M734">
        <f>IFERROR(INDEX(Diccionario!$H:$H,MATCH(F734,Diccionario!$C:$C,0)),"")</f>
        <v/>
      </c>
      <c r="N734">
        <f>IFERROR(INDEX(Diccionario!$N:$N,MATCH(F734,Diccionario!$C:$C,0)),"")</f>
        <v/>
      </c>
    </row>
    <row r="735" ht="14.25" customHeight="1" s="52">
      <c r="A735" t="inlineStr">
        <is>
          <t>2024-05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0</v>
      </c>
      <c r="J735" t="inlineStr">
        <is>
          <t>COP</t>
        </is>
      </c>
      <c r="L735">
        <f>IFERROR(INDEX(Diccionario!$B:$B,MATCH(F735,Diccionario!$C:$C,0)),"")</f>
        <v/>
      </c>
      <c r="M735">
        <f>IFERROR(INDEX(Diccionario!$H:$H,MATCH(F735,Diccionario!$C:$C,0)),"")</f>
        <v/>
      </c>
      <c r="N735">
        <f>IFERROR(INDEX(Diccionario!$N:$N,MATCH(F735,Diccionario!$C:$C,0)),"")</f>
        <v/>
      </c>
    </row>
    <row r="736" ht="14.25" customHeight="1" s="52">
      <c r="A736" t="inlineStr">
        <is>
          <t>2024-06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113000000</v>
      </c>
      <c r="J736" t="inlineStr">
        <is>
          <t>COP</t>
        </is>
      </c>
      <c r="L736">
        <f>IFERROR(INDEX(Diccionario!$B:$B,MATCH(F736,Diccionario!$C:$C,0)),"")</f>
        <v/>
      </c>
      <c r="M736">
        <f>IFERROR(INDEX(Diccionario!$H:$H,MATCH(F736,Diccionario!$C:$C,0)),"")</f>
        <v/>
      </c>
      <c r="N736">
        <f>IFERROR(INDEX(Diccionario!$N:$N,MATCH(F736,Diccionario!$C:$C,0)),"")</f>
        <v/>
      </c>
    </row>
    <row r="737" ht="14.25" customHeight="1" s="52">
      <c r="A737" t="inlineStr">
        <is>
          <t>2024-06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4000000</v>
      </c>
      <c r="J737" t="inlineStr">
        <is>
          <t>COP</t>
        </is>
      </c>
      <c r="L737">
        <f>IFERROR(INDEX(Diccionario!$B:$B,MATCH(F737,Diccionario!$C:$C,0)),"")</f>
        <v/>
      </c>
      <c r="M737">
        <f>IFERROR(INDEX(Diccionario!$H:$H,MATCH(F737,Diccionario!$C:$C,0)),"")</f>
        <v/>
      </c>
      <c r="N737">
        <f>IFERROR(INDEX(Diccionario!$N:$N,MATCH(F737,Diccionario!$C:$C,0)),"")</f>
        <v/>
      </c>
    </row>
    <row r="738" ht="14.25" customHeight="1" s="52">
      <c r="A738" t="inlineStr">
        <is>
          <t>2024-06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3000000</v>
      </c>
      <c r="J738" t="inlineStr">
        <is>
          <t>COP</t>
        </is>
      </c>
      <c r="L738">
        <f>IFERROR(INDEX(Diccionario!$B:$B,MATCH(F738,Diccionario!$C:$C,0)),"")</f>
        <v/>
      </c>
      <c r="M738">
        <f>IFERROR(INDEX(Diccionario!$H:$H,MATCH(F738,Diccionario!$C:$C,0)),"")</f>
        <v/>
      </c>
      <c r="N738">
        <f>IFERROR(INDEX(Diccionario!$N:$N,MATCH(F738,Diccionario!$C:$C,0)),"")</f>
        <v/>
      </c>
    </row>
    <row r="739" ht="14.25" customHeight="1" s="52">
      <c r="A739" t="inlineStr">
        <is>
          <t>2024-06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IFERROR(INDEX(Diccionario!$B:$B,MATCH(F739,Diccionario!$C:$C,0)),"")</f>
        <v/>
      </c>
      <c r="M739">
        <f>IFERROR(INDEX(Diccionario!$H:$H,MATCH(F739,Diccionario!$C:$C,0)),"")</f>
        <v/>
      </c>
      <c r="N739">
        <f>IFERROR(INDEX(Diccionario!$N:$N,MATCH(F739,Diccionario!$C:$C,0)),"")</f>
        <v/>
      </c>
    </row>
    <row r="740" ht="14.25" customHeight="1" s="52">
      <c r="A740" t="inlineStr">
        <is>
          <t>2024-07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104000000</v>
      </c>
      <c r="J740" t="inlineStr">
        <is>
          <t>COP</t>
        </is>
      </c>
      <c r="L740">
        <f>IFERROR(INDEX(Diccionario!$B:$B,MATCH(F740,Diccionario!$C:$C,0)),"")</f>
        <v/>
      </c>
      <c r="M740">
        <f>IFERROR(INDEX(Diccionario!$H:$H,MATCH(F740,Diccionario!$C:$C,0)),"")</f>
        <v/>
      </c>
      <c r="N740">
        <f>IFERROR(INDEX(Diccionario!$N:$N,MATCH(F740,Diccionario!$C:$C,0)),"")</f>
        <v/>
      </c>
    </row>
    <row r="741" ht="14.25" customHeight="1" s="52">
      <c r="A741" t="inlineStr">
        <is>
          <t>2024-07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IFERROR(INDEX(Diccionario!$B:$B,MATCH(F741,Diccionario!$C:$C,0)),"")</f>
        <v/>
      </c>
      <c r="M741">
        <f>IFERROR(INDEX(Diccionario!$H:$H,MATCH(F741,Diccionario!$C:$C,0)),"")</f>
        <v/>
      </c>
      <c r="N741">
        <f>IFERROR(INDEX(Diccionario!$N:$N,MATCH(F741,Diccionario!$C:$C,0)),"")</f>
        <v/>
      </c>
    </row>
    <row r="742" ht="14.25" customHeight="1" s="52">
      <c r="A742" t="inlineStr">
        <is>
          <t>2024-07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16000000</v>
      </c>
      <c r="J742" t="inlineStr">
        <is>
          <t>COP</t>
        </is>
      </c>
      <c r="L742">
        <f>IFERROR(INDEX(Diccionario!$B:$B,MATCH(F742,Diccionario!$C:$C,0)),"")</f>
        <v/>
      </c>
      <c r="M742">
        <f>IFERROR(INDEX(Diccionario!$H:$H,MATCH(F742,Diccionario!$C:$C,0)),"")</f>
        <v/>
      </c>
      <c r="N742">
        <f>IFERROR(INDEX(Diccionario!$N:$N,MATCH(F742,Diccionario!$C:$C,0)),"")</f>
        <v/>
      </c>
    </row>
    <row r="743" ht="14.25" customHeight="1" s="52">
      <c r="A743" t="inlineStr">
        <is>
          <t>2024-07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1000000</v>
      </c>
      <c r="J743" t="inlineStr">
        <is>
          <t>COP</t>
        </is>
      </c>
      <c r="L743">
        <f>IFERROR(INDEX(Diccionario!$B:$B,MATCH(F743,Diccionario!$C:$C,0)),"")</f>
        <v/>
      </c>
      <c r="M743">
        <f>IFERROR(INDEX(Diccionario!$H:$H,MATCH(F743,Diccionario!$C:$C,0)),"")</f>
        <v/>
      </c>
      <c r="N743">
        <f>IFERROR(INDEX(Diccionario!$N:$N,MATCH(F743,Diccionario!$C:$C,0)),"")</f>
        <v/>
      </c>
    </row>
    <row r="744" ht="14.25" customHeight="1" s="52">
      <c r="A744" t="inlineStr">
        <is>
          <t>2024-08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110000000</v>
      </c>
      <c r="J744" t="inlineStr">
        <is>
          <t>COP</t>
        </is>
      </c>
      <c r="L744">
        <f>IFERROR(INDEX(Diccionario!$B:$B,MATCH(F744,Diccionario!$C:$C,0)),"")</f>
        <v/>
      </c>
      <c r="M744">
        <f>IFERROR(INDEX(Diccionario!$H:$H,MATCH(F744,Diccionario!$C:$C,0)),"")</f>
        <v/>
      </c>
      <c r="N744">
        <f>IFERROR(INDEX(Diccionario!$N:$N,MATCH(F744,Diccionario!$C:$C,0)),"")</f>
        <v/>
      </c>
    </row>
    <row r="745" ht="14.25" customHeight="1" s="52">
      <c r="A745" t="inlineStr">
        <is>
          <t>2024-08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12000000</v>
      </c>
      <c r="J745" t="inlineStr">
        <is>
          <t>COP</t>
        </is>
      </c>
      <c r="L745">
        <f>IFERROR(INDEX(Diccionario!$B:$B,MATCH(F745,Diccionario!$C:$C,0)),"")</f>
        <v/>
      </c>
      <c r="M745">
        <f>IFERROR(INDEX(Diccionario!$H:$H,MATCH(F745,Diccionario!$C:$C,0)),"")</f>
        <v/>
      </c>
      <c r="N745">
        <f>IFERROR(INDEX(Diccionario!$N:$N,MATCH(F745,Diccionario!$C:$C,0)),"")</f>
        <v/>
      </c>
    </row>
    <row r="746" ht="14.25" customHeight="1" s="52">
      <c r="A746" t="inlineStr">
        <is>
          <t>2024-08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6000000</v>
      </c>
      <c r="J746" t="inlineStr">
        <is>
          <t>COP</t>
        </is>
      </c>
      <c r="L746">
        <f>IFERROR(INDEX(Diccionario!$B:$B,MATCH(F746,Diccionario!$C:$C,0)),"")</f>
        <v/>
      </c>
      <c r="M746">
        <f>IFERROR(INDEX(Diccionario!$H:$H,MATCH(F746,Diccionario!$C:$C,0)),"")</f>
        <v/>
      </c>
      <c r="N746">
        <f>IFERROR(INDEX(Diccionario!$N:$N,MATCH(F746,Diccionario!$C:$C,0)),"")</f>
        <v/>
      </c>
    </row>
    <row r="747" ht="14.25" customHeight="1" s="52">
      <c r="A747" t="inlineStr">
        <is>
          <t>2024-08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2000000</v>
      </c>
      <c r="J747" t="inlineStr">
        <is>
          <t>COP</t>
        </is>
      </c>
      <c r="L747">
        <f>IFERROR(INDEX(Diccionario!$B:$B,MATCH(F747,Diccionario!$C:$C,0)),"")</f>
        <v/>
      </c>
      <c r="M747">
        <f>IFERROR(INDEX(Diccionario!$H:$H,MATCH(F747,Diccionario!$C:$C,0)),"")</f>
        <v/>
      </c>
      <c r="N747">
        <f>IFERROR(INDEX(Diccionario!$N:$N,MATCH(F747,Diccionario!$C:$C,0)),"")</f>
        <v/>
      </c>
    </row>
    <row r="748" ht="14.25" customHeight="1" s="52">
      <c r="A748" t="inlineStr">
        <is>
          <t>2024-09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91000000</v>
      </c>
      <c r="J748" t="inlineStr">
        <is>
          <t>COP</t>
        </is>
      </c>
      <c r="L748">
        <f>IFERROR(INDEX(Diccionario!$B:$B,MATCH(F748,Diccionario!$C:$C,0)),"")</f>
        <v/>
      </c>
      <c r="M748">
        <f>IFERROR(INDEX(Diccionario!$H:$H,MATCH(F748,Diccionario!$C:$C,0)),"")</f>
        <v/>
      </c>
      <c r="N748">
        <f>IFERROR(INDEX(Diccionario!$N:$N,MATCH(F748,Diccionario!$C:$C,0)),"")</f>
        <v/>
      </c>
    </row>
    <row r="749" ht="14.25" customHeight="1" s="52">
      <c r="A749" t="inlineStr">
        <is>
          <t>2024-09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11000000</v>
      </c>
      <c r="J749" t="inlineStr">
        <is>
          <t>COP</t>
        </is>
      </c>
      <c r="L749">
        <f>IFERROR(INDEX(Diccionario!$B:$B,MATCH(F749,Diccionario!$C:$C,0)),"")</f>
        <v/>
      </c>
      <c r="M749">
        <f>IFERROR(INDEX(Diccionario!$H:$H,MATCH(F749,Diccionario!$C:$C,0)),"")</f>
        <v/>
      </c>
      <c r="N749">
        <f>IFERROR(INDEX(Diccionario!$N:$N,MATCH(F749,Diccionario!$C:$C,0)),"")</f>
        <v/>
      </c>
    </row>
    <row r="750" ht="14.25" customHeight="1" s="52">
      <c r="A750" t="inlineStr">
        <is>
          <t>2024-09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55000000</v>
      </c>
      <c r="J750" t="inlineStr">
        <is>
          <t>COP</t>
        </is>
      </c>
      <c r="L750">
        <f>IFERROR(INDEX(Diccionario!$B:$B,MATCH(F750,Diccionario!$C:$C,0)),"")</f>
        <v/>
      </c>
      <c r="M750">
        <f>IFERROR(INDEX(Diccionario!$H:$H,MATCH(F750,Diccionario!$C:$C,0)),"")</f>
        <v/>
      </c>
      <c r="N750">
        <f>IFERROR(INDEX(Diccionario!$N:$N,MATCH(F750,Diccionario!$C:$C,0)),"")</f>
        <v/>
      </c>
    </row>
    <row r="751" ht="14.25" customHeight="1" s="52">
      <c r="A751" t="inlineStr">
        <is>
          <t>2024-09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0</v>
      </c>
      <c r="J751" t="inlineStr">
        <is>
          <t>COP</t>
        </is>
      </c>
      <c r="L751">
        <f>IFERROR(INDEX(Diccionario!$B:$B,MATCH(F751,Diccionario!$C:$C,0)),"")</f>
        <v/>
      </c>
      <c r="M751">
        <f>IFERROR(INDEX(Diccionario!$H:$H,MATCH(F751,Diccionario!$C:$C,0)),"")</f>
        <v/>
      </c>
      <c r="N751">
        <f>IFERROR(INDEX(Diccionario!$N:$N,MATCH(F751,Diccionario!$C:$C,0)),"")</f>
        <v/>
      </c>
    </row>
    <row r="752" ht="14.25" customHeight="1" s="52">
      <c r="A752" t="inlineStr">
        <is>
          <t>2024-10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95000000</v>
      </c>
      <c r="J752" t="inlineStr">
        <is>
          <t>COP</t>
        </is>
      </c>
      <c r="L752">
        <f>IFERROR(INDEX(Diccionario!$B:$B,MATCH(F752,Diccionario!$C:$C,0)),"")</f>
        <v/>
      </c>
      <c r="M752">
        <f>IFERROR(INDEX(Diccionario!$H:$H,MATCH(F752,Diccionario!$C:$C,0)),"")</f>
        <v/>
      </c>
      <c r="N752">
        <f>IFERROR(INDEX(Diccionario!$N:$N,MATCH(F752,Diccionario!$C:$C,0)),"")</f>
        <v/>
      </c>
    </row>
    <row r="753" ht="14.25" customHeight="1" s="52">
      <c r="A753" t="inlineStr">
        <is>
          <t>2024-10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8000000</v>
      </c>
      <c r="J753" t="inlineStr">
        <is>
          <t>COP</t>
        </is>
      </c>
      <c r="L753">
        <f>IFERROR(INDEX(Diccionario!$B:$B,MATCH(F753,Diccionario!$C:$C,0)),"")</f>
        <v/>
      </c>
      <c r="M753">
        <f>IFERROR(INDEX(Diccionario!$H:$H,MATCH(F753,Diccionario!$C:$C,0)),"")</f>
        <v/>
      </c>
      <c r="N753">
        <f>IFERROR(INDEX(Diccionario!$N:$N,MATCH(F753,Diccionario!$C:$C,0)),"")</f>
        <v/>
      </c>
    </row>
    <row r="754" ht="14.25" customHeight="1" s="52">
      <c r="A754" t="inlineStr">
        <is>
          <t>2024-10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7000000</v>
      </c>
      <c r="J754" t="inlineStr">
        <is>
          <t>COP</t>
        </is>
      </c>
      <c r="L754">
        <f>IFERROR(INDEX(Diccionario!$B:$B,MATCH(F754,Diccionario!$C:$C,0)),"")</f>
        <v/>
      </c>
      <c r="M754">
        <f>IFERROR(INDEX(Diccionario!$H:$H,MATCH(F754,Diccionario!$C:$C,0)),"")</f>
        <v/>
      </c>
      <c r="N754">
        <f>IFERROR(INDEX(Diccionario!$N:$N,MATCH(F754,Diccionario!$C:$C,0)),"")</f>
        <v/>
      </c>
    </row>
    <row r="755" ht="14.25" customHeight="1" s="52">
      <c r="A755" t="inlineStr">
        <is>
          <t>2024-10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6000000</v>
      </c>
      <c r="J755" t="inlineStr">
        <is>
          <t>COP</t>
        </is>
      </c>
      <c r="L755">
        <f>IFERROR(INDEX(Diccionario!$B:$B,MATCH(F755,Diccionario!$C:$C,0)),"")</f>
        <v/>
      </c>
      <c r="M755">
        <f>IFERROR(INDEX(Diccionario!$H:$H,MATCH(F755,Diccionario!$C:$C,0)),"")</f>
        <v/>
      </c>
      <c r="N755">
        <f>IFERROR(INDEX(Diccionario!$N:$N,MATCH(F755,Diccionario!$C:$C,0)),"")</f>
        <v/>
      </c>
    </row>
    <row r="756" ht="14.25" customHeight="1" s="52">
      <c r="A756" t="inlineStr">
        <is>
          <t>2024-11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95000000</v>
      </c>
      <c r="J756" t="inlineStr">
        <is>
          <t>COP</t>
        </is>
      </c>
      <c r="L756">
        <f>IFERROR(INDEX(Diccionario!$B:$B,MATCH(F756,Diccionario!$C:$C,0)),"")</f>
        <v/>
      </c>
      <c r="M756">
        <f>IFERROR(INDEX(Diccionario!$H:$H,MATCH(F756,Diccionario!$C:$C,0)),"")</f>
        <v/>
      </c>
      <c r="N756">
        <f>IFERROR(INDEX(Diccionario!$N:$N,MATCH(F756,Diccionario!$C:$C,0)),"")</f>
        <v/>
      </c>
    </row>
    <row r="757" ht="14.25" customHeight="1" s="52">
      <c r="A757" t="inlineStr">
        <is>
          <t>2024-11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8000000</v>
      </c>
      <c r="J757" t="inlineStr">
        <is>
          <t>COP</t>
        </is>
      </c>
      <c r="L757">
        <f>IFERROR(INDEX(Diccionario!$B:$B,MATCH(F757,Diccionario!$C:$C,0)),"")</f>
        <v/>
      </c>
      <c r="M757">
        <f>IFERROR(INDEX(Diccionario!$H:$H,MATCH(F757,Diccionario!$C:$C,0)),"")</f>
        <v/>
      </c>
      <c r="N757">
        <f>IFERROR(INDEX(Diccionario!$N:$N,MATCH(F757,Diccionario!$C:$C,0)),"")</f>
        <v/>
      </c>
    </row>
    <row r="758" ht="14.25" customHeight="1" s="52">
      <c r="A758" t="inlineStr">
        <is>
          <t>2024-11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30000000</v>
      </c>
      <c r="J758" t="inlineStr">
        <is>
          <t>COP</t>
        </is>
      </c>
      <c r="L758">
        <f>IFERROR(INDEX(Diccionario!$B:$B,MATCH(F758,Diccionario!$C:$C,0)),"")</f>
        <v/>
      </c>
      <c r="M758">
        <f>IFERROR(INDEX(Diccionario!$H:$H,MATCH(F758,Diccionario!$C:$C,0)),"")</f>
        <v/>
      </c>
      <c r="N758">
        <f>IFERROR(INDEX(Diccionario!$N:$N,MATCH(F758,Diccionario!$C:$C,0)),"")</f>
        <v/>
      </c>
    </row>
    <row r="759" ht="14.25" customHeight="1" s="52">
      <c r="A759" t="inlineStr">
        <is>
          <t>2024-11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3000000</v>
      </c>
      <c r="J759" t="inlineStr">
        <is>
          <t>COP</t>
        </is>
      </c>
      <c r="L759">
        <f>IFERROR(INDEX(Diccionario!$B:$B,MATCH(F759,Diccionario!$C:$C,0)),"")</f>
        <v/>
      </c>
      <c r="M759">
        <f>IFERROR(INDEX(Diccionario!$H:$H,MATCH(F759,Diccionario!$C:$C,0)),"")</f>
        <v/>
      </c>
      <c r="N759">
        <f>IFERROR(INDEX(Diccionario!$N:$N,MATCH(F759,Diccionario!$C:$C,0)),"")</f>
        <v/>
      </c>
    </row>
    <row r="760" ht="14.25" customHeight="1" s="52">
      <c r="A760" t="inlineStr">
        <is>
          <t>2024-12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100800000</v>
      </c>
      <c r="J760" t="inlineStr">
        <is>
          <t>COP</t>
        </is>
      </c>
      <c r="L760">
        <f>IFERROR(INDEX(Diccionario!$B:$B,MATCH(F760,Diccionario!$C:$C,0)),"")</f>
        <v/>
      </c>
      <c r="M760">
        <f>IFERROR(INDEX(Diccionario!$H:$H,MATCH(F760,Diccionario!$C:$C,0)),"")</f>
        <v/>
      </c>
      <c r="N760">
        <f>IFERROR(INDEX(Diccionario!$N:$N,MATCH(F760,Diccionario!$C:$C,0)),"")</f>
        <v/>
      </c>
    </row>
    <row r="761" ht="14.25" customHeight="1" s="52">
      <c r="A761" t="inlineStr">
        <is>
          <t>2024-12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3300000</v>
      </c>
      <c r="J761" t="inlineStr">
        <is>
          <t>COP</t>
        </is>
      </c>
      <c r="L761">
        <f>IFERROR(INDEX(Diccionario!$B:$B,MATCH(F761,Diccionario!$C:$C,0)),"")</f>
        <v/>
      </c>
      <c r="M761">
        <f>IFERROR(INDEX(Diccionario!$H:$H,MATCH(F761,Diccionario!$C:$C,0)),"")</f>
        <v/>
      </c>
      <c r="N761">
        <f>IFERROR(INDEX(Diccionario!$N:$N,MATCH(F761,Diccionario!$C:$C,0)),"")</f>
        <v/>
      </c>
    </row>
    <row r="762" ht="14.25" customHeight="1" s="52">
      <c r="A762" t="inlineStr">
        <is>
          <t>2024-12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2600000</v>
      </c>
      <c r="J762" t="inlineStr">
        <is>
          <t>COP</t>
        </is>
      </c>
      <c r="L762">
        <f>IFERROR(INDEX(Diccionario!$B:$B,MATCH(F762,Diccionario!$C:$C,0)),"")</f>
        <v/>
      </c>
      <c r="M762">
        <f>IFERROR(INDEX(Diccionario!$H:$H,MATCH(F762,Diccionario!$C:$C,0)),"")</f>
        <v/>
      </c>
      <c r="N762">
        <f>IFERROR(INDEX(Diccionario!$N:$N,MATCH(F762,Diccionario!$C:$C,0)),"")</f>
        <v/>
      </c>
    </row>
    <row r="763" ht="14.25" customHeight="1" s="52">
      <c r="A763" t="inlineStr">
        <is>
          <t>2024-12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3000000</v>
      </c>
      <c r="J763" t="inlineStr">
        <is>
          <t>COP</t>
        </is>
      </c>
      <c r="L763">
        <f>IFERROR(INDEX(Diccionario!$B:$B,MATCH(F763,Diccionario!$C:$C,0)),"")</f>
        <v/>
      </c>
      <c r="M763">
        <f>IFERROR(INDEX(Diccionario!$H:$H,MATCH(F763,Diccionario!$C:$C,0)),"")</f>
        <v/>
      </c>
      <c r="N763">
        <f>IFERROR(INDEX(Diccionario!$N:$N,MATCH(F763,Diccionario!$C:$C,0)),"")</f>
        <v/>
      </c>
    </row>
    <row r="764" ht="14.25" customHeight="1" s="52">
      <c r="A764" t="inlineStr">
        <is>
          <t>2025-01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120000000</v>
      </c>
      <c r="J764" t="inlineStr">
        <is>
          <t>COP</t>
        </is>
      </c>
      <c r="L764">
        <f>IFERROR(INDEX(Diccionario!$B:$B,MATCH(F764,Diccionario!$C:$C,0)),"")</f>
        <v/>
      </c>
      <c r="M764">
        <f>IFERROR(INDEX(Diccionario!$H:$H,MATCH(F764,Diccionario!$C:$C,0)),"")</f>
        <v/>
      </c>
      <c r="N764">
        <f>IFERROR(INDEX(Diccionario!$N:$N,MATCH(F764,Diccionario!$C:$C,0)),"")</f>
        <v/>
      </c>
    </row>
    <row r="765" ht="14.25" customHeight="1" s="52">
      <c r="A765" t="inlineStr">
        <is>
          <t>2025-01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3800000</v>
      </c>
      <c r="J765" t="inlineStr">
        <is>
          <t>COP</t>
        </is>
      </c>
      <c r="L765">
        <f>IFERROR(INDEX(Diccionario!$B:$B,MATCH(F765,Diccionario!$C:$C,0)),"")</f>
        <v/>
      </c>
      <c r="M765">
        <f>IFERROR(INDEX(Diccionario!$H:$H,MATCH(F765,Diccionario!$C:$C,0)),"")</f>
        <v/>
      </c>
      <c r="N765">
        <f>IFERROR(INDEX(Diccionario!$N:$N,MATCH(F765,Diccionario!$C:$C,0)),"")</f>
        <v/>
      </c>
    </row>
    <row r="766" ht="14.25" customHeight="1" s="52">
      <c r="A766" t="inlineStr">
        <is>
          <t>2025-01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IFERROR(INDEX(Diccionario!$B:$B,MATCH(F766,Diccionario!$C:$C,0)),"")</f>
        <v/>
      </c>
      <c r="M766">
        <f>IFERROR(INDEX(Diccionario!$H:$H,MATCH(F766,Diccionario!$C:$C,0)),"")</f>
        <v/>
      </c>
      <c r="N766">
        <f>IFERROR(INDEX(Diccionario!$N:$N,MATCH(F766,Diccionario!$C:$C,0)),"")</f>
        <v/>
      </c>
    </row>
    <row r="767" ht="14.25" customHeight="1" s="52">
      <c r="A767" t="inlineStr">
        <is>
          <t>2025-01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IFERROR(INDEX(Diccionario!$B:$B,MATCH(F767,Diccionario!$C:$C,0)),"")</f>
        <v/>
      </c>
      <c r="M767">
        <f>IFERROR(INDEX(Diccionario!$H:$H,MATCH(F767,Diccionario!$C:$C,0)),"")</f>
        <v/>
      </c>
      <c r="N767">
        <f>IFERROR(INDEX(Diccionario!$N:$N,MATCH(F767,Diccionario!$C:$C,0)),"")</f>
        <v/>
      </c>
    </row>
    <row r="768" ht="14.25" customHeight="1" s="52">
      <c r="A768" t="inlineStr">
        <is>
          <t>2025-03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105400000</v>
      </c>
      <c r="J768" t="inlineStr">
        <is>
          <t>COP</t>
        </is>
      </c>
      <c r="L768">
        <f>IFERROR(INDEX(Diccionario!$B:$B,MATCH(F768,Diccionario!$C:$C,0)),"")</f>
        <v/>
      </c>
      <c r="M768">
        <f>IFERROR(INDEX(Diccionario!$H:$H,MATCH(F768,Diccionario!$C:$C,0)),"")</f>
        <v/>
      </c>
      <c r="N768">
        <f>IFERROR(INDEX(Diccionario!$N:$N,MATCH(F768,Diccionario!$C:$C,0)),"")</f>
        <v/>
      </c>
    </row>
    <row r="769" ht="14.25" customHeight="1" s="52">
      <c r="A769" t="inlineStr">
        <is>
          <t>2025-03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13300000</v>
      </c>
      <c r="J769" t="inlineStr">
        <is>
          <t>COP</t>
        </is>
      </c>
      <c r="L769">
        <f>IFERROR(INDEX(Diccionario!$B:$B,MATCH(F769,Diccionario!$C:$C,0)),"")</f>
        <v/>
      </c>
      <c r="M769">
        <f>IFERROR(INDEX(Diccionario!$H:$H,MATCH(F769,Diccionario!$C:$C,0)),"")</f>
        <v/>
      </c>
      <c r="N769">
        <f>IFERROR(INDEX(Diccionario!$N:$N,MATCH(F769,Diccionario!$C:$C,0)),"")</f>
        <v/>
      </c>
    </row>
    <row r="770" ht="14.25" customHeight="1" s="52">
      <c r="A770" t="inlineStr">
        <is>
          <t>2025-03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3200000</v>
      </c>
      <c r="J770" t="inlineStr">
        <is>
          <t>COP</t>
        </is>
      </c>
      <c r="L770">
        <f>IFERROR(INDEX(Diccionario!$B:$B,MATCH(F770,Diccionario!$C:$C,0)),"")</f>
        <v/>
      </c>
      <c r="M770">
        <f>IFERROR(INDEX(Diccionario!$H:$H,MATCH(F770,Diccionario!$C:$C,0)),"")</f>
        <v/>
      </c>
      <c r="N770">
        <f>IFERROR(INDEX(Diccionario!$N:$N,MATCH(F770,Diccionario!$C:$C,0)),"")</f>
        <v/>
      </c>
    </row>
    <row r="771" ht="14.25" customHeight="1" s="52">
      <c r="A771" t="inlineStr">
        <is>
          <t>2025-03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1900000</v>
      </c>
      <c r="J771" t="inlineStr">
        <is>
          <t>COP</t>
        </is>
      </c>
      <c r="L771">
        <f>IFERROR(INDEX(Diccionario!$B:$B,MATCH(F771,Diccionario!$C:$C,0)),"")</f>
        <v/>
      </c>
      <c r="M771">
        <f>IFERROR(INDEX(Diccionario!$H:$H,MATCH(F771,Diccionario!$C:$C,0)),"")</f>
        <v/>
      </c>
      <c r="N771">
        <f>IFERROR(INDEX(Diccionario!$N:$N,MATCH(F771,Diccionario!$C:$C,0)),"")</f>
        <v/>
      </c>
    </row>
    <row r="772" ht="14.25" customHeight="1" s="52">
      <c r="A772" t="inlineStr">
        <is>
          <t>2025-04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104800000</v>
      </c>
      <c r="J772" t="inlineStr">
        <is>
          <t>COP</t>
        </is>
      </c>
      <c r="L772">
        <f>IFERROR(INDEX(Diccionario!$B:$B,MATCH(F772,Diccionario!$C:$C,0)),"")</f>
        <v/>
      </c>
      <c r="M772">
        <f>IFERROR(INDEX(Diccionario!$H:$H,MATCH(F772,Diccionario!$C:$C,0)),"")</f>
        <v/>
      </c>
      <c r="N772">
        <f>IFERROR(INDEX(Diccionario!$N:$N,MATCH(F772,Diccionario!$C:$C,0)),"")</f>
        <v/>
      </c>
    </row>
    <row r="773" ht="14.25" customHeight="1" s="52">
      <c r="A773" t="inlineStr">
        <is>
          <t>2025-04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36800000</v>
      </c>
      <c r="J773" t="inlineStr">
        <is>
          <t>COP</t>
        </is>
      </c>
      <c r="L773">
        <f>IFERROR(INDEX(Diccionario!$B:$B,MATCH(F773,Diccionario!$C:$C,0)),"")</f>
        <v/>
      </c>
      <c r="M773">
        <f>IFERROR(INDEX(Diccionario!$H:$H,MATCH(F773,Diccionario!$C:$C,0)),"")</f>
        <v/>
      </c>
      <c r="N773">
        <f>IFERROR(INDEX(Diccionario!$N:$N,MATCH(F773,Diccionario!$C:$C,0)),"")</f>
        <v/>
      </c>
    </row>
    <row r="774" ht="14.25" customHeight="1" s="52">
      <c r="A774" t="inlineStr">
        <is>
          <t>2025-04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IFERROR(INDEX(Diccionario!$B:$B,MATCH(F774,Diccionario!$C:$C,0)),"")</f>
        <v/>
      </c>
      <c r="M774">
        <f>IFERROR(INDEX(Diccionario!$H:$H,MATCH(F774,Diccionario!$C:$C,0)),"")</f>
        <v/>
      </c>
      <c r="N774">
        <f>IFERROR(INDEX(Diccionario!$N:$N,MATCH(F774,Diccionario!$C:$C,0)),"")</f>
        <v/>
      </c>
    </row>
    <row r="775" ht="14.25" customHeight="1" s="52">
      <c r="A775" t="inlineStr">
        <is>
          <t>2025-04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76000</v>
      </c>
      <c r="J775" t="inlineStr">
        <is>
          <t>COP</t>
        </is>
      </c>
      <c r="L775">
        <f>IFERROR(INDEX(Diccionario!$B:$B,MATCH(F775,Diccionario!$C:$C,0)),"")</f>
        <v/>
      </c>
      <c r="M775">
        <f>IFERROR(INDEX(Diccionario!$H:$H,MATCH(F775,Diccionario!$C:$C,0)),"")</f>
        <v/>
      </c>
      <c r="N775">
        <f>IFERROR(INDEX(Diccionario!$N:$N,MATCH(F775,Diccionario!$C:$C,0)),"")</f>
        <v/>
      </c>
    </row>
    <row r="776" ht="14.25" customHeight="1" s="52">
      <c r="A776" t="inlineStr">
        <is>
          <t>2025-05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110000000</v>
      </c>
      <c r="J776" t="inlineStr">
        <is>
          <t>COP</t>
        </is>
      </c>
      <c r="L776">
        <f>IFERROR(INDEX(Diccionario!$B:$B,MATCH(F776,Diccionario!$C:$C,0)),"")</f>
        <v/>
      </c>
      <c r="M776">
        <f>IFERROR(INDEX(Diccionario!$H:$H,MATCH(F776,Diccionario!$C:$C,0)),"")</f>
        <v/>
      </c>
      <c r="N776">
        <f>IFERROR(INDEX(Diccionario!$N:$N,MATCH(F776,Diccionario!$C:$C,0)),"")</f>
        <v/>
      </c>
    </row>
    <row r="777" ht="14.25" customHeight="1" s="52">
      <c r="A777" t="inlineStr">
        <is>
          <t>2025-05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26200000</v>
      </c>
      <c r="J777" t="inlineStr">
        <is>
          <t>COP</t>
        </is>
      </c>
      <c r="L777">
        <f>IFERROR(INDEX(Diccionario!$B:$B,MATCH(F777,Diccionario!$C:$C,0)),"")</f>
        <v/>
      </c>
      <c r="M777">
        <f>IFERROR(INDEX(Diccionario!$H:$H,MATCH(F777,Diccionario!$C:$C,0)),"")</f>
        <v/>
      </c>
      <c r="N777">
        <f>IFERROR(INDEX(Diccionario!$N:$N,MATCH(F777,Diccionario!$C:$C,0)),"")</f>
        <v/>
      </c>
    </row>
    <row r="778" ht="14.25" customHeight="1" s="52">
      <c r="A778" t="inlineStr">
        <is>
          <t>2025-05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3300000</v>
      </c>
      <c r="J778" t="inlineStr">
        <is>
          <t>COP</t>
        </is>
      </c>
      <c r="L778">
        <f>IFERROR(INDEX(Diccionario!$B:$B,MATCH(F778,Diccionario!$C:$C,0)),"")</f>
        <v/>
      </c>
      <c r="M778">
        <f>IFERROR(INDEX(Diccionario!$H:$H,MATCH(F778,Diccionario!$C:$C,0)),"")</f>
        <v/>
      </c>
      <c r="N778">
        <f>IFERROR(INDEX(Diccionario!$N:$N,MATCH(F778,Diccionario!$C:$C,0)),"")</f>
        <v/>
      </c>
    </row>
    <row r="779" ht="14.25" customHeight="1" s="52">
      <c r="A779" t="inlineStr">
        <is>
          <t>2025-05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0</v>
      </c>
      <c r="J779" t="inlineStr">
        <is>
          <t>COP</t>
        </is>
      </c>
      <c r="L779">
        <f>IFERROR(INDEX(Diccionario!$B:$B,MATCH(F779,Diccionario!$C:$C,0)),"")</f>
        <v/>
      </c>
      <c r="M779">
        <f>IFERROR(INDEX(Diccionario!$H:$H,MATCH(F779,Diccionario!$C:$C,0)),"")</f>
        <v/>
      </c>
      <c r="N779">
        <f>IFERROR(INDEX(Diccionario!$N:$N,MATCH(F779,Diccionario!$C:$C,0)),"")</f>
        <v/>
      </c>
    </row>
    <row r="780" ht="14.25" customHeight="1" s="52">
      <c r="A780" t="inlineStr">
        <is>
          <t>2025-06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116800000</v>
      </c>
      <c r="J780" t="inlineStr">
        <is>
          <t>COP</t>
        </is>
      </c>
      <c r="L780">
        <f>IFERROR(INDEX(Diccionario!$B:$B,MATCH(F780,Diccionario!$C:$C,0)),"")</f>
        <v/>
      </c>
      <c r="M780">
        <f>IFERROR(INDEX(Diccionario!$H:$H,MATCH(F780,Diccionario!$C:$C,0)),"")</f>
        <v/>
      </c>
      <c r="N780">
        <f>IFERROR(INDEX(Diccionario!$N:$N,MATCH(F780,Diccionario!$C:$C,0)),"")</f>
        <v/>
      </c>
    </row>
    <row r="781" ht="14.25" customHeight="1" s="52">
      <c r="A781" t="inlineStr">
        <is>
          <t>2025-06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6840000</v>
      </c>
      <c r="J781" t="inlineStr">
        <is>
          <t>COP</t>
        </is>
      </c>
      <c r="L781">
        <f>IFERROR(INDEX(Diccionario!$B:$B,MATCH(F781,Diccionario!$C:$C,0)),"")</f>
        <v/>
      </c>
      <c r="M781">
        <f>IFERROR(INDEX(Diccionario!$H:$H,MATCH(F781,Diccionario!$C:$C,0)),"")</f>
        <v/>
      </c>
      <c r="N781">
        <f>IFERROR(INDEX(Diccionario!$N:$N,MATCH(F781,Diccionario!$C:$C,0)),"")</f>
        <v/>
      </c>
    </row>
    <row r="782" ht="14.25" customHeight="1" s="52">
      <c r="A782" t="inlineStr">
        <is>
          <t>2025-06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4530000</v>
      </c>
      <c r="J782" t="inlineStr">
        <is>
          <t>COP</t>
        </is>
      </c>
      <c r="L782">
        <f>IFERROR(INDEX(Diccionario!$B:$B,MATCH(F782,Diccionario!$C:$C,0)),"")</f>
        <v/>
      </c>
      <c r="M782">
        <f>IFERROR(INDEX(Diccionario!$H:$H,MATCH(F782,Diccionario!$C:$C,0)),"")</f>
        <v/>
      </c>
      <c r="N782">
        <f>IFERROR(INDEX(Diccionario!$N:$N,MATCH(F782,Diccionario!$C:$C,0)),"")</f>
        <v/>
      </c>
    </row>
    <row r="783" ht="14.25" customHeight="1" s="52">
      <c r="A783" t="inlineStr">
        <is>
          <t>2025-06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1856000</v>
      </c>
      <c r="J783" t="inlineStr">
        <is>
          <t>COP</t>
        </is>
      </c>
      <c r="L783">
        <f>IFERROR(INDEX(Diccionario!$B:$B,MATCH(F783,Diccionario!$C:$C,0)),"")</f>
        <v/>
      </c>
      <c r="M783">
        <f>IFERROR(INDEX(Diccionario!$H:$H,MATCH(F783,Diccionario!$C:$C,0)),"")</f>
        <v/>
      </c>
      <c r="N783">
        <f>IFERROR(INDEX(Diccionario!$N:$N,MATCH(F783,Diccionario!$C:$C,0)),"")</f>
        <v/>
      </c>
    </row>
    <row r="784" ht="14.25" customHeight="1" s="52">
      <c r="A784" t="inlineStr">
        <is>
          <t>2025-07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118200000</v>
      </c>
      <c r="J784" t="inlineStr">
        <is>
          <t>COP</t>
        </is>
      </c>
      <c r="L784">
        <f>IFERROR(INDEX(Diccionario!$B:$B,MATCH(F784,Diccionario!$C:$C,0)),"")</f>
        <v/>
      </c>
      <c r="M784">
        <f>IFERROR(INDEX(Diccionario!$H:$H,MATCH(F784,Diccionario!$C:$C,0)),"")</f>
        <v/>
      </c>
      <c r="N784">
        <f>IFERROR(INDEX(Diccionario!$N:$N,MATCH(F784,Diccionario!$C:$C,0)),"")</f>
        <v/>
      </c>
    </row>
    <row r="785" ht="14.25" customHeight="1" s="52">
      <c r="A785" t="inlineStr">
        <is>
          <t>2025-07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12400000</v>
      </c>
      <c r="J785" t="inlineStr">
        <is>
          <t>COP</t>
        </is>
      </c>
      <c r="L785">
        <f>IFERROR(INDEX(Diccionario!$B:$B,MATCH(F785,Diccionario!$C:$C,0)),"")</f>
        <v/>
      </c>
      <c r="M785">
        <f>IFERROR(INDEX(Diccionario!$H:$H,MATCH(F785,Diccionario!$C:$C,0)),"")</f>
        <v/>
      </c>
      <c r="N785">
        <f>IFERROR(INDEX(Diccionario!$N:$N,MATCH(F785,Diccionario!$C:$C,0)),"")</f>
        <v/>
      </c>
    </row>
    <row r="786" ht="14.25" customHeight="1" s="52">
      <c r="A786" t="inlineStr">
        <is>
          <t>2025-07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3200000</v>
      </c>
      <c r="J786" t="inlineStr">
        <is>
          <t>COP</t>
        </is>
      </c>
      <c r="L786">
        <f>IFERROR(INDEX(Diccionario!$B:$B,MATCH(F786,Diccionario!$C:$C,0)),"")</f>
        <v/>
      </c>
      <c r="M786">
        <f>IFERROR(INDEX(Diccionario!$H:$H,MATCH(F786,Diccionario!$C:$C,0)),"")</f>
        <v/>
      </c>
      <c r="N786">
        <f>IFERROR(INDEX(Diccionario!$N:$N,MATCH(F786,Diccionario!$C:$C,0)),"")</f>
        <v/>
      </c>
    </row>
    <row r="787" ht="14.25" customHeight="1" s="52">
      <c r="A787" t="inlineStr">
        <is>
          <t>2025-07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500000</v>
      </c>
      <c r="J787" t="inlineStr">
        <is>
          <t>COP</t>
        </is>
      </c>
      <c r="L787">
        <f>IFERROR(INDEX(Diccionario!$B:$B,MATCH(F787,Diccionario!$C:$C,0)),"")</f>
        <v/>
      </c>
      <c r="M787">
        <f>IFERROR(INDEX(Diccionario!$H:$H,MATCH(F787,Diccionario!$C:$C,0)),"")</f>
        <v/>
      </c>
      <c r="N787">
        <f>IFERROR(INDEX(Diccionario!$N:$N,MATCH(F787,Diccionario!$C:$C,0)),"")</f>
        <v/>
      </c>
    </row>
    <row r="788" ht="14.25" customHeight="1" s="52">
      <c r="A788" t="inlineStr">
        <is>
          <t>2025-08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200000000</v>
      </c>
      <c r="J788" t="inlineStr">
        <is>
          <t>COP</t>
        </is>
      </c>
      <c r="L788">
        <f>IFERROR(INDEX(Diccionario!$B:$B,MATCH(F788,Diccionario!$C:$C,0)),"")</f>
        <v/>
      </c>
      <c r="M788">
        <f>IFERROR(INDEX(Diccionario!$H:$H,MATCH(F788,Diccionario!$C:$C,0)),"")</f>
        <v/>
      </c>
      <c r="N788">
        <f>IFERROR(INDEX(Diccionario!$N:$N,MATCH(F788,Diccionario!$C:$C,0)),"")</f>
        <v/>
      </c>
    </row>
    <row r="789" ht="14.25" customHeight="1" s="52">
      <c r="A789" t="inlineStr">
        <is>
          <t>2025-08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7600000</v>
      </c>
      <c r="J789" t="inlineStr">
        <is>
          <t>COP</t>
        </is>
      </c>
      <c r="L789">
        <f>IFERROR(INDEX(Diccionario!$B:$B,MATCH(F789,Diccionario!$C:$C,0)),"")</f>
        <v/>
      </c>
      <c r="M789">
        <f>IFERROR(INDEX(Diccionario!$H:$H,MATCH(F789,Diccionario!$C:$C,0)),"")</f>
        <v/>
      </c>
      <c r="N789">
        <f>IFERROR(INDEX(Diccionario!$N:$N,MATCH(F789,Diccionario!$C:$C,0)),"")</f>
        <v/>
      </c>
    </row>
    <row r="790" ht="14.25" customHeight="1" s="52">
      <c r="A790" t="inlineStr">
        <is>
          <t>2025-08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15200000</v>
      </c>
      <c r="J790" t="inlineStr">
        <is>
          <t>COP</t>
        </is>
      </c>
      <c r="L790">
        <f>IFERROR(INDEX(Diccionario!$B:$B,MATCH(F790,Diccionario!$C:$C,0)),"")</f>
        <v/>
      </c>
      <c r="M790">
        <f>IFERROR(INDEX(Diccionario!$H:$H,MATCH(F790,Diccionario!$C:$C,0)),"")</f>
        <v/>
      </c>
      <c r="N790">
        <f>IFERROR(INDEX(Diccionario!$N:$N,MATCH(F790,Diccionario!$C:$C,0)),"")</f>
        <v/>
      </c>
    </row>
    <row r="791" ht="14.25" customHeight="1" s="52">
      <c r="A791" t="inlineStr">
        <is>
          <t>2025-08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9000000</v>
      </c>
      <c r="J791" t="inlineStr">
        <is>
          <t>COP</t>
        </is>
      </c>
      <c r="L791">
        <f>IFERROR(INDEX(Diccionario!$B:$B,MATCH(F791,Diccionario!$C:$C,0)),"")</f>
        <v/>
      </c>
      <c r="M791">
        <f>IFERROR(INDEX(Diccionario!$H:$H,MATCH(F791,Diccionario!$C:$C,0)),"")</f>
        <v/>
      </c>
      <c r="N791">
        <f>IFERROR(INDEX(Diccionario!$N:$N,MATCH(F791,Diccionario!$C:$C,0)),"")</f>
        <v/>
      </c>
    </row>
    <row r="792" ht="14.25" customHeight="1" s="52">
      <c r="A792" t="inlineStr">
        <is>
          <t>2025-09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168100000</v>
      </c>
      <c r="J792" t="inlineStr">
        <is>
          <t>COP</t>
        </is>
      </c>
      <c r="L792">
        <f>IFERROR(INDEX(Diccionario!$B:$B,MATCH(F792,Diccionario!$C:$C,0)),"")</f>
        <v/>
      </c>
      <c r="M792">
        <f>IFERROR(INDEX(Diccionario!$H:$H,MATCH(F792,Diccionario!$C:$C,0)),"")</f>
        <v/>
      </c>
      <c r="N792">
        <f>IFERROR(INDEX(Diccionario!$N:$N,MATCH(F792,Diccionario!$C:$C,0)),"")</f>
        <v/>
      </c>
    </row>
    <row r="793" ht="14.25" customHeight="1" s="52">
      <c r="A793" t="inlineStr">
        <is>
          <t>2025-09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7300000</v>
      </c>
      <c r="J793" t="inlineStr">
        <is>
          <t>COP</t>
        </is>
      </c>
      <c r="L793">
        <f>IFERROR(INDEX(Diccionario!$B:$B,MATCH(F793,Diccionario!$C:$C,0)),"")</f>
        <v/>
      </c>
      <c r="M793">
        <f>IFERROR(INDEX(Diccionario!$H:$H,MATCH(F793,Diccionario!$C:$C,0)),"")</f>
        <v/>
      </c>
      <c r="N793">
        <f>IFERROR(INDEX(Diccionario!$N:$N,MATCH(F793,Diccionario!$C:$C,0)),"")</f>
        <v/>
      </c>
    </row>
    <row r="794" ht="14.25" customHeight="1" s="52">
      <c r="A794" t="inlineStr">
        <is>
          <t>2025-09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6400000</v>
      </c>
      <c r="J794" t="inlineStr">
        <is>
          <t>COP</t>
        </is>
      </c>
      <c r="L794">
        <f>IFERROR(INDEX(Diccionario!$B:$B,MATCH(F794,Diccionario!$C:$C,0)),"")</f>
        <v/>
      </c>
      <c r="M794">
        <f>IFERROR(INDEX(Diccionario!$H:$H,MATCH(F794,Diccionario!$C:$C,0)),"")</f>
        <v/>
      </c>
      <c r="N794">
        <f>IFERROR(INDEX(Diccionario!$N:$N,MATCH(F794,Diccionario!$C:$C,0)),"")</f>
        <v/>
      </c>
    </row>
    <row r="795" ht="14.25" customHeight="1" s="52">
      <c r="A795" t="inlineStr">
        <is>
          <t>2025-09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1700000</v>
      </c>
      <c r="J795" t="inlineStr">
        <is>
          <t>COP</t>
        </is>
      </c>
      <c r="L795">
        <f>IFERROR(INDEX(Diccionario!$B:$B,MATCH(F795,Diccionario!$C:$C,0)),"")</f>
        <v/>
      </c>
      <c r="M795">
        <f>IFERROR(INDEX(Diccionario!$H:$H,MATCH(F795,Diccionario!$C:$C,0)),"")</f>
        <v/>
      </c>
      <c r="N795">
        <f>IFERROR(INDEX(Diccionario!$N:$N,MATCH(F795,Diccionario!$C:$C,0)),"")</f>
        <v/>
      </c>
    </row>
    <row r="796" ht="14.25" customHeight="1" s="52">
      <c r="A796" t="inlineStr">
        <is>
          <t>2025-10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168200000</v>
      </c>
      <c r="J796" t="inlineStr">
        <is>
          <t>COP</t>
        </is>
      </c>
      <c r="L796">
        <f>IFERROR(INDEX(Diccionario!$B:$B,MATCH(F796,Diccionario!$C:$C,0)),"")</f>
        <v/>
      </c>
      <c r="M796">
        <f>IFERROR(INDEX(Diccionario!$H:$H,MATCH(F796,Diccionario!$C:$C,0)),"")</f>
        <v/>
      </c>
      <c r="N796">
        <f>IFERROR(INDEX(Diccionario!$N:$N,MATCH(F796,Diccionario!$C:$C,0)),"")</f>
        <v/>
      </c>
    </row>
    <row r="797" ht="14.25" customHeight="1" s="52">
      <c r="A797" t="inlineStr">
        <is>
          <t>2025-10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8600000</v>
      </c>
      <c r="J797" t="inlineStr">
        <is>
          <t>COP</t>
        </is>
      </c>
      <c r="L797">
        <f>IFERROR(INDEX(Diccionario!$B:$B,MATCH(F797,Diccionario!$C:$C,0)),"")</f>
        <v/>
      </c>
      <c r="M797">
        <f>IFERROR(INDEX(Diccionario!$H:$H,MATCH(F797,Diccionario!$C:$C,0)),"")</f>
        <v/>
      </c>
      <c r="N797">
        <f>IFERROR(INDEX(Diccionario!$N:$N,MATCH(F797,Diccionario!$C:$C,0)),"")</f>
        <v/>
      </c>
    </row>
    <row r="798" ht="14.25" customHeight="1" s="52">
      <c r="A798" t="inlineStr">
        <is>
          <t>2025-10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17600000</v>
      </c>
      <c r="J798" t="inlineStr">
        <is>
          <t>COP</t>
        </is>
      </c>
      <c r="L798">
        <f>IFERROR(INDEX(Diccionario!$B:$B,MATCH(F798,Diccionario!$C:$C,0)),"")</f>
        <v/>
      </c>
      <c r="M798">
        <f>IFERROR(INDEX(Diccionario!$H:$H,MATCH(F798,Diccionario!$C:$C,0)),"")</f>
        <v/>
      </c>
      <c r="N798">
        <f>IFERROR(INDEX(Diccionario!$N:$N,MATCH(F798,Diccionario!$C:$C,0)),"")</f>
        <v/>
      </c>
    </row>
    <row r="799" ht="14.25" customHeight="1" s="52">
      <c r="A799" t="inlineStr">
        <is>
          <t>2025-10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100000</v>
      </c>
      <c r="J799" t="inlineStr">
        <is>
          <t>COP</t>
        </is>
      </c>
      <c r="L799">
        <f>IFERROR(INDEX(Diccionario!$B:$B,MATCH(F799,Diccionario!$C:$C,0)),"")</f>
        <v/>
      </c>
      <c r="M799">
        <f>IFERROR(INDEX(Diccionario!$H:$H,MATCH(F799,Diccionario!$C:$C,0)),"")</f>
        <v/>
      </c>
      <c r="N799">
        <f>IFERROR(INDEX(Diccionario!$N:$N,MATCH(F799,Diccionario!$C:$C,0)),"")</f>
        <v/>
      </c>
    </row>
    <row r="800" ht="14.25" customHeight="1" s="52">
      <c r="A800" t="inlineStr">
        <is>
          <t>2025-11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174000000</v>
      </c>
      <c r="J800" t="inlineStr">
        <is>
          <t>COP</t>
        </is>
      </c>
      <c r="L800">
        <f>IFERROR(INDEX(Diccionario!$B:$B,MATCH(F800,Diccionario!$C:$C,0)),"")</f>
        <v/>
      </c>
      <c r="M800">
        <f>IFERROR(INDEX(Diccionario!$H:$H,MATCH(F800,Diccionario!$C:$C,0)),"")</f>
        <v/>
      </c>
      <c r="N800">
        <f>IFERROR(INDEX(Diccionario!$N:$N,MATCH(F800,Diccionario!$C:$C,0)),"")</f>
        <v/>
      </c>
    </row>
    <row r="801" ht="14.25" customHeight="1" s="52">
      <c r="A801" t="inlineStr">
        <is>
          <t>2025-11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3800000</v>
      </c>
      <c r="J801" t="inlineStr">
        <is>
          <t>COP</t>
        </is>
      </c>
      <c r="L801">
        <f>IFERROR(INDEX(Diccionario!$B:$B,MATCH(F801,Diccionario!$C:$C,0)),"")</f>
        <v/>
      </c>
      <c r="M801">
        <f>IFERROR(INDEX(Diccionario!$H:$H,MATCH(F801,Diccionario!$C:$C,0)),"")</f>
        <v/>
      </c>
      <c r="N801">
        <f>IFERROR(INDEX(Diccionario!$N:$N,MATCH(F801,Diccionario!$C:$C,0)),"")</f>
        <v/>
      </c>
    </row>
    <row r="802" ht="14.25" customHeight="1" s="52">
      <c r="A802" t="inlineStr">
        <is>
          <t>2025-11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12600000</v>
      </c>
      <c r="J802" t="inlineStr">
        <is>
          <t>COP</t>
        </is>
      </c>
      <c r="L802">
        <f>IFERROR(INDEX(Diccionario!$B:$B,MATCH(F802,Diccionario!$C:$C,0)),"")</f>
        <v/>
      </c>
      <c r="M802">
        <f>IFERROR(INDEX(Diccionario!$H:$H,MATCH(F802,Diccionario!$C:$C,0)),"")</f>
        <v/>
      </c>
      <c r="N802">
        <f>IFERROR(INDEX(Diccionario!$N:$N,MATCH(F802,Diccionario!$C:$C,0)),"")</f>
        <v/>
      </c>
    </row>
    <row r="803" ht="14.25" customHeight="1" s="52">
      <c r="A803" t="inlineStr">
        <is>
          <t>2025-11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IFERROR(INDEX(Diccionario!$B:$B,MATCH(F803,Diccionario!$C:$C,0)),"")</f>
        <v/>
      </c>
      <c r="M803">
        <f>IFERROR(INDEX(Diccionario!$H:$H,MATCH(F803,Diccionario!$C:$C,0)),"")</f>
        <v/>
      </c>
      <c r="N803">
        <f>IFERROR(INDEX(Diccionario!$N:$N,MATCH(F803,Diccionario!$C:$C,0)),"")</f>
        <v/>
      </c>
    </row>
    <row r="804" ht="14.25" customHeight="1" s="52">
      <c r="A804" t="inlineStr">
        <is>
          <t>2025-12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164000000</v>
      </c>
      <c r="J804" t="inlineStr">
        <is>
          <t>COP</t>
        </is>
      </c>
      <c r="L804">
        <f>IFERROR(INDEX(Diccionario!$B:$B,MATCH(F804,Diccionario!$C:$C,0)),"")</f>
        <v/>
      </c>
      <c r="M804">
        <f>IFERROR(INDEX(Diccionario!$H:$H,MATCH(F804,Diccionario!$C:$C,0)),"")</f>
        <v/>
      </c>
      <c r="N804">
        <f>IFERROR(INDEX(Diccionario!$N:$N,MATCH(F804,Diccionario!$C:$C,0)),"")</f>
        <v/>
      </c>
    </row>
    <row r="805" ht="14.25" customHeight="1" s="52">
      <c r="A805" t="inlineStr">
        <is>
          <t>2025-12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7200000</v>
      </c>
      <c r="J805" t="inlineStr">
        <is>
          <t>COP</t>
        </is>
      </c>
      <c r="L805">
        <f>IFERROR(INDEX(Diccionario!$B:$B,MATCH(F805,Diccionario!$C:$C,0)),"")</f>
        <v/>
      </c>
      <c r="M805">
        <f>IFERROR(INDEX(Diccionario!$H:$H,MATCH(F805,Diccionario!$C:$C,0)),"")</f>
        <v/>
      </c>
      <c r="N805">
        <f>IFERROR(INDEX(Diccionario!$N:$N,MATCH(F805,Diccionario!$C:$C,0)),"")</f>
        <v/>
      </c>
    </row>
    <row r="806" ht="14.25" customHeight="1" s="52">
      <c r="A806" t="inlineStr">
        <is>
          <t>2025-12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4300000</v>
      </c>
      <c r="J806" t="inlineStr">
        <is>
          <t>COP</t>
        </is>
      </c>
      <c r="L806">
        <f>IFERROR(INDEX(Diccionario!$B:$B,MATCH(F806,Diccionario!$C:$C,0)),"")</f>
        <v/>
      </c>
      <c r="M806">
        <f>IFERROR(INDEX(Diccionario!$H:$H,MATCH(F806,Diccionario!$C:$C,0)),"")</f>
        <v/>
      </c>
      <c r="N806">
        <f>IFERROR(INDEX(Diccionario!$N:$N,MATCH(F806,Diccionario!$C:$C,0)),"")</f>
        <v/>
      </c>
    </row>
    <row r="807" ht="14.25" customHeight="1" s="52">
      <c r="A807" t="inlineStr">
        <is>
          <t>2025-12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3100000</v>
      </c>
      <c r="J807" t="inlineStr">
        <is>
          <t>COP</t>
        </is>
      </c>
      <c r="L807">
        <f>IFERROR(INDEX(Diccionario!$B:$B,MATCH(F807,Diccionario!$C:$C,0)),"")</f>
        <v/>
      </c>
      <c r="M807">
        <f>IFERROR(INDEX(Diccionario!$H:$H,MATCH(F807,Diccionario!$C:$C,0)),"")</f>
        <v/>
      </c>
      <c r="N807">
        <f>IFERROR(INDEX(Diccionario!$N:$N,MATCH(F807,Diccionario!$C:$C,0)),"")</f>
        <v/>
      </c>
    </row>
    <row r="808" ht="14.25" customHeight="1" s="52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159700000</v>
      </c>
      <c r="J808" t="inlineStr">
        <is>
          <t>COP</t>
        </is>
      </c>
      <c r="L808">
        <f>IFERROR(INDEX(Diccionario!$B:$B,MATCH(F808,Diccionario!$C:$C,0)),"")</f>
        <v/>
      </c>
      <c r="M808">
        <f>IFERROR(INDEX(Diccionario!$H:$H,MATCH(F808,Diccionario!$C:$C,0)),"")</f>
        <v/>
      </c>
      <c r="N808">
        <f>IFERROR(INDEX(Diccionario!$N:$N,MATCH(F808,Diccionario!$C:$C,0)),"")</f>
        <v/>
      </c>
    </row>
    <row r="809" ht="14.25" customHeight="1" s="52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IFERROR(INDEX(Diccionario!$B:$B,MATCH(F809,Diccionario!$C:$C,0)),"")</f>
        <v/>
      </c>
      <c r="M809">
        <f>IFERROR(INDEX(Diccionario!$H:$H,MATCH(F809,Diccionario!$C:$C,0)),"")</f>
        <v/>
      </c>
      <c r="N809">
        <f>IFERROR(INDEX(Diccionario!$N:$N,MATCH(F809,Diccionario!$C:$C,0)),"")</f>
        <v/>
      </c>
    </row>
    <row r="810" ht="14.25" customHeight="1" s="52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3900000</v>
      </c>
      <c r="J810" t="inlineStr">
        <is>
          <t>COP</t>
        </is>
      </c>
      <c r="L810">
        <f>IFERROR(INDEX(Diccionario!$B:$B,MATCH(F810,Diccionario!$C:$C,0)),"")</f>
        <v/>
      </c>
      <c r="M810">
        <f>IFERROR(INDEX(Diccionario!$H:$H,MATCH(F810,Diccionario!$C:$C,0)),"")</f>
        <v/>
      </c>
      <c r="N810">
        <f>IFERROR(INDEX(Diccionario!$N:$N,MATCH(F810,Diccionario!$C:$C,0)),"")</f>
        <v/>
      </c>
    </row>
    <row r="811" ht="14.25" customHeight="1" s="52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923000</v>
      </c>
      <c r="J811" t="inlineStr">
        <is>
          <t>COP</t>
        </is>
      </c>
      <c r="L811">
        <f>IFERROR(INDEX(Diccionario!$B:$B,MATCH(F811,Diccionario!$C:$C,0)),"")</f>
        <v/>
      </c>
      <c r="M811">
        <f>IFERROR(INDEX(Diccionario!$H:$H,MATCH(F811,Diccionario!$C:$C,0)),"")</f>
        <v/>
      </c>
      <c r="N811">
        <f>IFERROR(INDEX(Diccionario!$N:$N,MATCH(F811,Diccionario!$C:$C,0)),"")</f>
        <v/>
      </c>
    </row>
    <row r="812" ht="14.25" customHeight="1" s="52">
      <c r="A812" t="inlineStr">
        <is>
          <t>2026-02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156090000</v>
      </c>
      <c r="J812" t="inlineStr">
        <is>
          <t>COP</t>
        </is>
      </c>
      <c r="L812">
        <f>IFERROR(INDEX(Diccionario!$B:$B,MATCH(F812,Diccionario!$C:$C,0)),"")</f>
        <v/>
      </c>
      <c r="M812">
        <f>IFERROR(INDEX(Diccionario!$H:$H,MATCH(F812,Diccionario!$C:$C,0)),"")</f>
        <v/>
      </c>
      <c r="N812">
        <f>IFERROR(INDEX(Diccionario!$N:$N,MATCH(F812,Diccionario!$C:$C,0)),"")</f>
        <v/>
      </c>
    </row>
    <row r="813" ht="14.25" customHeight="1" s="52">
      <c r="A813" t="inlineStr">
        <is>
          <t>2026-02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5800000</v>
      </c>
      <c r="J813" t="inlineStr">
        <is>
          <t>COP</t>
        </is>
      </c>
      <c r="L813">
        <f>IFERROR(INDEX(Diccionario!$B:$B,MATCH(F813,Diccionario!$C:$C,0)),"")</f>
        <v/>
      </c>
      <c r="M813">
        <f>IFERROR(INDEX(Diccionario!$H:$H,MATCH(F813,Diccionario!$C:$C,0)),"")</f>
        <v/>
      </c>
      <c r="N813">
        <f>IFERROR(INDEX(Diccionario!$N:$N,MATCH(F813,Diccionario!$C:$C,0)),"")</f>
        <v/>
      </c>
    </row>
    <row r="814" ht="14.25" customHeight="1" s="52">
      <c r="A814" t="inlineStr">
        <is>
          <t>2026-02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3600000</v>
      </c>
      <c r="J814" t="inlineStr">
        <is>
          <t>COP</t>
        </is>
      </c>
      <c r="L814">
        <f>IFERROR(INDEX(Diccionario!$B:$B,MATCH(F814,Diccionario!$C:$C,0)),"")</f>
        <v/>
      </c>
      <c r="M814">
        <f>IFERROR(INDEX(Diccionario!$H:$H,MATCH(F814,Diccionario!$C:$C,0)),"")</f>
        <v/>
      </c>
      <c r="N814">
        <f>IFERROR(INDEX(Diccionario!$N:$N,MATCH(F814,Diccionario!$C:$C,0)),"")</f>
        <v/>
      </c>
    </row>
    <row r="815" ht="14.25" customHeight="1" s="52">
      <c r="A815" t="inlineStr">
        <is>
          <t>2026-02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IFERROR(INDEX(Diccionario!$B:$B,MATCH(F815,Diccionario!$C:$C,0)),"")</f>
        <v/>
      </c>
      <c r="M815">
        <f>IFERROR(INDEX(Diccionario!$H:$H,MATCH(F815,Diccionario!$C:$C,0)),"")</f>
        <v/>
      </c>
      <c r="N815">
        <f>IFERROR(INDEX(Diccionario!$N:$N,MATCH(F815,Diccionario!$C:$C,0)),"")</f>
        <v/>
      </c>
    </row>
    <row r="816" ht="14.25" customHeight="1" s="52">
      <c r="A816" t="inlineStr">
        <is>
          <t>2026-03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gasto_desarrollo</t>
        </is>
      </c>
      <c r="H816" t="inlineStr">
        <is>
          <t>Personal</t>
        </is>
      </c>
      <c r="I816" t="n">
        <v>148500000</v>
      </c>
      <c r="J816" t="inlineStr">
        <is>
          <t>COP</t>
        </is>
      </c>
      <c r="L816">
        <f>IFERROR(INDEX(Diccionario!$B:$B,MATCH(F816,Diccionario!$C:$C,0)),"")</f>
        <v/>
      </c>
      <c r="M816">
        <f>IFERROR(INDEX(Diccionario!$H:$H,MATCH(F816,Diccionario!$C:$C,0)),"")</f>
        <v/>
      </c>
      <c r="N816">
        <f>IFERROR(INDEX(Diccionario!$N:$N,MATCH(F816,Diccionario!$C:$C,0)),"")</f>
        <v/>
      </c>
    </row>
    <row r="817" ht="14.25" customHeight="1" s="52">
      <c r="A817" t="inlineStr">
        <is>
          <t>2026-03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gasto_desarrollo</t>
        </is>
      </c>
      <c r="H817" t="inlineStr">
        <is>
          <t>Honorarios</t>
        </is>
      </c>
      <c r="I817" t="n">
        <v>7010000</v>
      </c>
      <c r="J817" t="inlineStr">
        <is>
          <t>COP</t>
        </is>
      </c>
      <c r="L817">
        <f>IFERROR(INDEX(Diccionario!$B:$B,MATCH(F817,Diccionario!$C:$C,0)),"")</f>
        <v/>
      </c>
      <c r="M817">
        <f>IFERROR(INDEX(Diccionario!$H:$H,MATCH(F817,Diccionario!$C:$C,0)),"")</f>
        <v/>
      </c>
      <c r="N817">
        <f>IFERROR(INDEX(Diccionario!$N:$N,MATCH(F817,Diccionario!$C:$C,0)),"")</f>
        <v/>
      </c>
    </row>
    <row r="818" ht="14.25" customHeight="1" s="52">
      <c r="A818" t="inlineStr">
        <is>
          <t>2026-03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gasto_desarrollo</t>
        </is>
      </c>
      <c r="H818" t="inlineStr">
        <is>
          <t>Servicios</t>
        </is>
      </c>
      <c r="I818" t="n">
        <v>24100000</v>
      </c>
      <c r="J818" t="inlineStr">
        <is>
          <t>COP</t>
        </is>
      </c>
      <c r="L818">
        <f>IFERROR(INDEX(Diccionario!$B:$B,MATCH(F818,Diccionario!$C:$C,0)),"")</f>
        <v/>
      </c>
      <c r="M818">
        <f>IFERROR(INDEX(Diccionario!$H:$H,MATCH(F818,Diccionario!$C:$C,0)),"")</f>
        <v/>
      </c>
      <c r="N818">
        <f>IFERROR(INDEX(Diccionario!$N:$N,MATCH(F818,Diccionario!$C:$C,0)),"")</f>
        <v/>
      </c>
    </row>
    <row r="819" ht="14.25" customHeight="1" s="52">
      <c r="A819" t="inlineStr">
        <is>
          <t>2026-03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gasto_desarrollo</t>
        </is>
      </c>
      <c r="H819" t="inlineStr">
        <is>
          <t>Viajes</t>
        </is>
      </c>
      <c r="I819" t="n">
        <v>0</v>
      </c>
      <c r="J819" t="inlineStr">
        <is>
          <t>COP</t>
        </is>
      </c>
      <c r="L819">
        <f>IFERROR(INDEX(Diccionario!$B:$B,MATCH(F819,Diccionario!$C:$C,0)),"")</f>
        <v/>
      </c>
      <c r="M819">
        <f>IFERROR(INDEX(Diccionario!$H:$H,MATCH(F819,Diccionario!$C:$C,0)),"")</f>
        <v/>
      </c>
      <c r="N819">
        <f>IFERROR(INDEX(Diccionario!$N:$N,MATCH(F819,Diccionario!$C:$C,0)),"")</f>
        <v/>
      </c>
    </row>
    <row r="820" ht="14.25" customHeight="1" s="52">
      <c r="A820" t="inlineStr">
        <is>
          <t>2026-04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gasto_desarrollo</t>
        </is>
      </c>
      <c r="H820" t="inlineStr">
        <is>
          <t>Personal</t>
        </is>
      </c>
      <c r="I820" t="n">
        <v>163400000</v>
      </c>
      <c r="J820" t="inlineStr">
        <is>
          <t>COP</t>
        </is>
      </c>
      <c r="L820">
        <f>IFERROR(INDEX(Diccionario!$B:$B,MATCH(F820,Diccionario!$C:$C,0)),"")</f>
        <v/>
      </c>
      <c r="M820">
        <f>IFERROR(INDEX(Diccionario!$H:$H,MATCH(F820,Diccionario!$C:$C,0)),"")</f>
        <v/>
      </c>
      <c r="N820">
        <f>IFERROR(INDEX(Diccionario!$N:$N,MATCH(F820,Diccionario!$C:$C,0)),"")</f>
        <v/>
      </c>
    </row>
    <row r="821" ht="14.25" customHeight="1" s="52">
      <c r="A821" t="inlineStr">
        <is>
          <t>2026-04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gasto_desarrollo</t>
        </is>
      </c>
      <c r="H821" t="inlineStr">
        <is>
          <t>Honorarios</t>
        </is>
      </c>
      <c r="I821" t="n">
        <v>6900000</v>
      </c>
      <c r="J821" t="inlineStr">
        <is>
          <t>COP</t>
        </is>
      </c>
      <c r="L821">
        <f>IFERROR(INDEX(Diccionario!$B:$B,MATCH(F821,Diccionario!$C:$C,0)),"")</f>
        <v/>
      </c>
      <c r="M821">
        <f>IFERROR(INDEX(Diccionario!$H:$H,MATCH(F821,Diccionario!$C:$C,0)),"")</f>
        <v/>
      </c>
      <c r="N821">
        <f>IFERROR(INDEX(Diccionario!$N:$N,MATCH(F821,Diccionario!$C:$C,0)),"")</f>
        <v/>
      </c>
    </row>
    <row r="822" ht="14.25" customHeight="1" s="52">
      <c r="A822" t="inlineStr">
        <is>
          <t>2026-04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gasto_desarrollo</t>
        </is>
      </c>
      <c r="H822" t="inlineStr">
        <is>
          <t>Servicios</t>
        </is>
      </c>
      <c r="I822" t="n">
        <v>14700000</v>
      </c>
      <c r="J822" t="inlineStr">
        <is>
          <t>COP</t>
        </is>
      </c>
      <c r="L822">
        <f>IFERROR(INDEX(Diccionario!$B:$B,MATCH(F822,Diccionario!$C:$C,0)),"")</f>
        <v/>
      </c>
      <c r="M822">
        <f>IFERROR(INDEX(Diccionario!$H:$H,MATCH(F822,Diccionario!$C:$C,0)),"")</f>
        <v/>
      </c>
      <c r="N822">
        <f>IFERROR(INDEX(Diccionario!$N:$N,MATCH(F822,Diccionario!$C:$C,0)),"")</f>
        <v/>
      </c>
    </row>
    <row r="823" ht="14.25" customHeight="1" s="52">
      <c r="A823" t="inlineStr">
        <is>
          <t>2026-04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gasto_desarrollo</t>
        </is>
      </c>
      <c r="H823" t="inlineStr">
        <is>
          <t>Viajes</t>
        </is>
      </c>
      <c r="I823" t="n">
        <v>0</v>
      </c>
      <c r="J823" t="inlineStr">
        <is>
          <t>COP</t>
        </is>
      </c>
      <c r="L823">
        <f>IFERROR(INDEX(Diccionario!$B:$B,MATCH(F823,Diccionario!$C:$C,0)),"")</f>
        <v/>
      </c>
      <c r="M823">
        <f>IFERROR(INDEX(Diccionario!$H:$H,MATCH(F823,Diccionario!$C:$C,0)),"")</f>
        <v/>
      </c>
      <c r="N823">
        <f>IFERROR(INDEX(Diccionario!$N:$N,MATCH(F823,Diccionario!$C:$C,0)),"")</f>
        <v/>
      </c>
    </row>
    <row r="824" ht="14.25" customHeight="1" s="52">
      <c r="A824" t="inlineStr">
        <is>
          <t>2026-05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gasto_desarrollo</t>
        </is>
      </c>
      <c r="H824" t="inlineStr">
        <is>
          <t>Personal</t>
        </is>
      </c>
      <c r="I824" t="n">
        <v>157900000</v>
      </c>
      <c r="J824" t="inlineStr">
        <is>
          <t>COP</t>
        </is>
      </c>
      <c r="L824">
        <f>IFERROR(INDEX(Diccionario!$B:$B,MATCH(F824,Diccionario!$C:$C,0)),"")</f>
        <v/>
      </c>
      <c r="M824">
        <f>IFERROR(INDEX(Diccionario!$H:$H,MATCH(F824,Diccionario!$C:$C,0)),"")</f>
        <v/>
      </c>
      <c r="N824">
        <f>IFERROR(INDEX(Diccionario!$N:$N,MATCH(F824,Diccionario!$C:$C,0)),"")</f>
        <v/>
      </c>
    </row>
    <row r="825" ht="14.25" customHeight="1" s="52">
      <c r="A825" t="inlineStr">
        <is>
          <t>2026-05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gasto_desarrollo</t>
        </is>
      </c>
      <c r="H825" t="inlineStr">
        <is>
          <t>Honorarios</t>
        </is>
      </c>
      <c r="I825" t="n">
        <v>7000000</v>
      </c>
      <c r="J825" t="inlineStr">
        <is>
          <t>COP</t>
        </is>
      </c>
      <c r="L825">
        <f>IFERROR(INDEX(Diccionario!$B:$B,MATCH(F825,Diccionario!$C:$C,0)),"")</f>
        <v/>
      </c>
      <c r="M825">
        <f>IFERROR(INDEX(Diccionario!$H:$H,MATCH(F825,Diccionario!$C:$C,0)),"")</f>
        <v/>
      </c>
      <c r="N825">
        <f>IFERROR(INDEX(Diccionario!$N:$N,MATCH(F825,Diccionario!$C:$C,0)),"")</f>
        <v/>
      </c>
    </row>
    <row r="826" ht="14.25" customHeight="1" s="52">
      <c r="A826" t="inlineStr">
        <is>
          <t>2026-05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gasto_desarrollo</t>
        </is>
      </c>
      <c r="H826" t="inlineStr">
        <is>
          <t>Servicios</t>
        </is>
      </c>
      <c r="I826" t="n">
        <v>3800000</v>
      </c>
      <c r="J826" t="inlineStr">
        <is>
          <t>COP</t>
        </is>
      </c>
      <c r="L826">
        <f>IFERROR(INDEX(Diccionario!$B:$B,MATCH(F826,Diccionario!$C:$C,0)),"")</f>
        <v/>
      </c>
      <c r="M826">
        <f>IFERROR(INDEX(Diccionario!$H:$H,MATCH(F826,Diccionario!$C:$C,0)),"")</f>
        <v/>
      </c>
      <c r="N826">
        <f>IFERROR(INDEX(Diccionario!$N:$N,MATCH(F826,Diccionario!$C:$C,0)),"")</f>
        <v/>
      </c>
    </row>
    <row r="827" ht="14.25" customHeight="1" s="52">
      <c r="A827" t="inlineStr">
        <is>
          <t>2026-05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Viajes</t>
        </is>
      </c>
      <c r="I827" t="n">
        <v>0</v>
      </c>
      <c r="J827" t="inlineStr">
        <is>
          <t>COP</t>
        </is>
      </c>
      <c r="L827">
        <f>IFERROR(INDEX(Diccionario!$B:$B,MATCH(F827,Diccionario!$C:$C,0)),"")</f>
        <v/>
      </c>
      <c r="M827">
        <f>IFERROR(INDEX(Diccionario!$H:$H,MATCH(F827,Diccionario!$C:$C,0)),"")</f>
        <v/>
      </c>
      <c r="N827">
        <f>IFERROR(INDEX(Diccionario!$N:$N,MATCH(F827,Diccionario!$C:$C,0)),"")</f>
        <v/>
      </c>
    </row>
    <row r="828" ht="14.25" customHeight="1" s="52">
      <c r="A828" t="inlineStr">
        <is>
          <t>2024-01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85000000</v>
      </c>
      <c r="J828" t="inlineStr">
        <is>
          <t>COP</t>
        </is>
      </c>
      <c r="L828">
        <f>IFERROR(INDEX(Diccionario!$B:$B,MATCH(F828,Diccionario!$C:$C,0)),"")</f>
        <v/>
      </c>
      <c r="M828">
        <f>IFERROR(INDEX(Diccionario!$H:$H,MATCH(F828,Diccionario!$C:$C,0)),"")</f>
        <v/>
      </c>
      <c r="N828">
        <f>IFERROR(INDEX(Diccionario!$N:$N,MATCH(F828,Diccionario!$C:$C,0)),"")</f>
        <v/>
      </c>
    </row>
    <row r="829" ht="14.25" customHeight="1" s="52">
      <c r="A829" t="inlineStr">
        <is>
          <t>2024-01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IFERROR(INDEX(Diccionario!$B:$B,MATCH(F829,Diccionario!$C:$C,0)),"")</f>
        <v/>
      </c>
      <c r="M829">
        <f>IFERROR(INDEX(Diccionario!$H:$H,MATCH(F829,Diccionario!$C:$C,0)),"")</f>
        <v/>
      </c>
      <c r="N829">
        <f>IFERROR(INDEX(Diccionario!$N:$N,MATCH(F829,Diccionario!$C:$C,0)),"")</f>
        <v/>
      </c>
    </row>
    <row r="830" ht="14.25" customHeight="1" s="52">
      <c r="A830" t="inlineStr">
        <is>
          <t>2024-01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3000000</v>
      </c>
      <c r="J830" t="inlineStr">
        <is>
          <t>COP</t>
        </is>
      </c>
      <c r="L830">
        <f>IFERROR(INDEX(Diccionario!$B:$B,MATCH(F830,Diccionario!$C:$C,0)),"")</f>
        <v/>
      </c>
      <c r="M830">
        <f>IFERROR(INDEX(Diccionario!$H:$H,MATCH(F830,Diccionario!$C:$C,0)),"")</f>
        <v/>
      </c>
      <c r="N830">
        <f>IFERROR(INDEX(Diccionario!$N:$N,MATCH(F830,Diccionario!$C:$C,0)),"")</f>
        <v/>
      </c>
    </row>
    <row r="831" ht="14.25" customHeight="1" s="52">
      <c r="A831" t="inlineStr">
        <is>
          <t>2024-01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17000000</v>
      </c>
      <c r="J831" t="inlineStr">
        <is>
          <t>COP</t>
        </is>
      </c>
      <c r="L831">
        <f>IFERROR(INDEX(Diccionario!$B:$B,MATCH(F831,Diccionario!$C:$C,0)),"")</f>
        <v/>
      </c>
      <c r="M831">
        <f>IFERROR(INDEX(Diccionario!$H:$H,MATCH(F831,Diccionario!$C:$C,0)),"")</f>
        <v/>
      </c>
      <c r="N831">
        <f>IFERROR(INDEX(Diccionario!$N:$N,MATCH(F831,Diccionario!$C:$C,0)),"")</f>
        <v/>
      </c>
    </row>
    <row r="832" ht="14.25" customHeight="1" s="52">
      <c r="A832" t="inlineStr">
        <is>
          <t>2024-01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Viajes</t>
        </is>
      </c>
      <c r="I832" t="n">
        <v>10000000</v>
      </c>
      <c r="J832" t="inlineStr">
        <is>
          <t>COP</t>
        </is>
      </c>
      <c r="L832">
        <f>IFERROR(INDEX(Diccionario!$B:$B,MATCH(F832,Diccionario!$C:$C,0)),"")</f>
        <v/>
      </c>
      <c r="M832">
        <f>IFERROR(INDEX(Diccionario!$H:$H,MATCH(F832,Diccionario!$C:$C,0)),"")</f>
        <v/>
      </c>
      <c r="N832">
        <f>IFERROR(INDEX(Diccionario!$N:$N,MATCH(F832,Diccionario!$C:$C,0)),"")</f>
        <v/>
      </c>
    </row>
    <row r="833" ht="14.25" customHeight="1" s="52">
      <c r="A833" t="inlineStr">
        <is>
          <t>2024-01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Diversos</t>
        </is>
      </c>
      <c r="I833" t="n">
        <v>6000000</v>
      </c>
      <c r="J833" t="inlineStr">
        <is>
          <t>COP</t>
        </is>
      </c>
      <c r="L833">
        <f>IFERROR(INDEX(Diccionario!$B:$B,MATCH(F833,Diccionario!$C:$C,0)),"")</f>
        <v/>
      </c>
      <c r="M833">
        <f>IFERROR(INDEX(Diccionario!$H:$H,MATCH(F833,Diccionario!$C:$C,0)),"")</f>
        <v/>
      </c>
      <c r="N833">
        <f>IFERROR(INDEX(Diccionario!$N:$N,MATCH(F833,Diccionario!$C:$C,0)),"")</f>
        <v/>
      </c>
    </row>
    <row r="834" ht="14.25" customHeight="1" s="52">
      <c r="A834" t="inlineStr">
        <is>
          <t>2024-02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Personal</t>
        </is>
      </c>
      <c r="I834" t="n">
        <v>83000000</v>
      </c>
      <c r="J834" t="inlineStr">
        <is>
          <t>COP</t>
        </is>
      </c>
      <c r="L834">
        <f>IFERROR(INDEX(Diccionario!$B:$B,MATCH(F834,Diccionario!$C:$C,0)),"")</f>
        <v/>
      </c>
      <c r="M834">
        <f>IFERROR(INDEX(Diccionario!$H:$H,MATCH(F834,Diccionario!$C:$C,0)),"")</f>
        <v/>
      </c>
      <c r="N834">
        <f>IFERROR(INDEX(Diccionario!$N:$N,MATCH(F834,Diccionario!$C:$C,0)),"")</f>
        <v/>
      </c>
    </row>
    <row r="835" ht="14.25" customHeight="1" s="52">
      <c r="A835" t="inlineStr">
        <is>
          <t>2024-02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Honorario</t>
        </is>
      </c>
      <c r="I835" t="n">
        <v>3000000</v>
      </c>
      <c r="J835" t="inlineStr">
        <is>
          <t>COP</t>
        </is>
      </c>
      <c r="L835">
        <f>IFERROR(INDEX(Diccionario!$B:$B,MATCH(F835,Diccionario!$C:$C,0)),"")</f>
        <v/>
      </c>
      <c r="M835">
        <f>IFERROR(INDEX(Diccionario!$H:$H,MATCH(F835,Diccionario!$C:$C,0)),"")</f>
        <v/>
      </c>
      <c r="N835">
        <f>IFERROR(INDEX(Diccionario!$N:$N,MATCH(F835,Diccionario!$C:$C,0)),"")</f>
        <v/>
      </c>
    </row>
    <row r="836" ht="14.25" customHeight="1" s="52">
      <c r="A836" t="inlineStr">
        <is>
          <t>2024-02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Seguros</t>
        </is>
      </c>
      <c r="I836" t="n">
        <v>2000000</v>
      </c>
      <c r="J836" t="inlineStr">
        <is>
          <t>COP</t>
        </is>
      </c>
      <c r="L836">
        <f>IFERROR(INDEX(Diccionario!$B:$B,MATCH(F836,Diccionario!$C:$C,0)),"")</f>
        <v/>
      </c>
      <c r="M836">
        <f>IFERROR(INDEX(Diccionario!$H:$H,MATCH(F836,Diccionario!$C:$C,0)),"")</f>
        <v/>
      </c>
      <c r="N836">
        <f>IFERROR(INDEX(Diccionario!$N:$N,MATCH(F836,Diccionario!$C:$C,0)),"")</f>
        <v/>
      </c>
    </row>
    <row r="837" ht="14.25" customHeight="1" s="52">
      <c r="A837" t="inlineStr">
        <is>
          <t>2024-02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Servicios</t>
        </is>
      </c>
      <c r="I837" t="n">
        <v>11000000</v>
      </c>
      <c r="J837" t="inlineStr">
        <is>
          <t>COP</t>
        </is>
      </c>
      <c r="L837">
        <f>IFERROR(INDEX(Diccionario!$B:$B,MATCH(F837,Diccionario!$C:$C,0)),"")</f>
        <v/>
      </c>
      <c r="M837">
        <f>IFERROR(INDEX(Diccionario!$H:$H,MATCH(F837,Diccionario!$C:$C,0)),"")</f>
        <v/>
      </c>
      <c r="N837">
        <f>IFERROR(INDEX(Diccionario!$N:$N,MATCH(F837,Diccionario!$C:$C,0)),"")</f>
        <v/>
      </c>
    </row>
    <row r="838" ht="14.25" customHeight="1" s="52">
      <c r="A838" t="inlineStr">
        <is>
          <t>2024-02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Viajes</t>
        </is>
      </c>
      <c r="I838" t="n">
        <v>10000000</v>
      </c>
      <c r="J838" t="inlineStr">
        <is>
          <t>COP</t>
        </is>
      </c>
      <c r="L838">
        <f>IFERROR(INDEX(Diccionario!$B:$B,MATCH(F838,Diccionario!$C:$C,0)),"")</f>
        <v/>
      </c>
      <c r="M838">
        <f>IFERROR(INDEX(Diccionario!$H:$H,MATCH(F838,Diccionario!$C:$C,0)),"")</f>
        <v/>
      </c>
      <c r="N838">
        <f>IFERROR(INDEX(Diccionario!$N:$N,MATCH(F838,Diccionario!$C:$C,0)),"")</f>
        <v/>
      </c>
    </row>
    <row r="839" ht="14.25" customHeight="1" s="52">
      <c r="A839" t="inlineStr">
        <is>
          <t>2024-02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Diversos</t>
        </is>
      </c>
      <c r="I839" t="n">
        <v>3000000</v>
      </c>
      <c r="J839" t="inlineStr">
        <is>
          <t>COP</t>
        </is>
      </c>
      <c r="L839">
        <f>IFERROR(INDEX(Diccionario!$B:$B,MATCH(F839,Diccionario!$C:$C,0)),"")</f>
        <v/>
      </c>
      <c r="M839">
        <f>IFERROR(INDEX(Diccionario!$H:$H,MATCH(F839,Diccionario!$C:$C,0)),"")</f>
        <v/>
      </c>
      <c r="N839">
        <f>IFERROR(INDEX(Diccionario!$N:$N,MATCH(F839,Diccionario!$C:$C,0)),"")</f>
        <v/>
      </c>
    </row>
    <row r="840" ht="14.25" customHeight="1" s="52">
      <c r="A840" t="inlineStr">
        <is>
          <t>2024-03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Personal</t>
        </is>
      </c>
      <c r="I840" t="n">
        <v>63000000</v>
      </c>
      <c r="J840" t="inlineStr">
        <is>
          <t>COP</t>
        </is>
      </c>
      <c r="L840">
        <f>IFERROR(INDEX(Diccionario!$B:$B,MATCH(F840,Diccionario!$C:$C,0)),"")</f>
        <v/>
      </c>
      <c r="M840">
        <f>IFERROR(INDEX(Diccionario!$H:$H,MATCH(F840,Diccionario!$C:$C,0)),"")</f>
        <v/>
      </c>
      <c r="N840">
        <f>IFERROR(INDEX(Diccionario!$N:$N,MATCH(F840,Diccionario!$C:$C,0)),"")</f>
        <v/>
      </c>
    </row>
    <row r="841" ht="14.25" customHeight="1" s="52">
      <c r="A841" t="inlineStr">
        <is>
          <t>2024-03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Honorario</t>
        </is>
      </c>
      <c r="I841" t="n">
        <v>6000000</v>
      </c>
      <c r="J841" t="inlineStr">
        <is>
          <t>COP</t>
        </is>
      </c>
      <c r="L841">
        <f>IFERROR(INDEX(Diccionario!$B:$B,MATCH(F841,Diccionario!$C:$C,0)),"")</f>
        <v/>
      </c>
      <c r="M841">
        <f>IFERROR(INDEX(Diccionario!$H:$H,MATCH(F841,Diccionario!$C:$C,0)),"")</f>
        <v/>
      </c>
      <c r="N841">
        <f>IFERROR(INDEX(Diccionario!$N:$N,MATCH(F841,Diccionario!$C:$C,0)),"")</f>
        <v/>
      </c>
    </row>
    <row r="842" ht="14.25" customHeight="1" s="52">
      <c r="A842" t="inlineStr">
        <is>
          <t>2024-03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Seguros</t>
        </is>
      </c>
      <c r="I842" t="n">
        <v>1000000</v>
      </c>
      <c r="J842" t="inlineStr">
        <is>
          <t>COP</t>
        </is>
      </c>
      <c r="L842">
        <f>IFERROR(INDEX(Diccionario!$B:$B,MATCH(F842,Diccionario!$C:$C,0)),"")</f>
        <v/>
      </c>
      <c r="M842">
        <f>IFERROR(INDEX(Diccionario!$H:$H,MATCH(F842,Diccionario!$C:$C,0)),"")</f>
        <v/>
      </c>
      <c r="N842">
        <f>IFERROR(INDEX(Diccionario!$N:$N,MATCH(F842,Diccionario!$C:$C,0)),"")</f>
        <v/>
      </c>
    </row>
    <row r="843" ht="14.25" customHeight="1" s="52">
      <c r="A843" t="inlineStr">
        <is>
          <t>2024-03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Servicios</t>
        </is>
      </c>
      <c r="I843" t="n">
        <v>46000000</v>
      </c>
      <c r="J843" t="inlineStr">
        <is>
          <t>COP</t>
        </is>
      </c>
      <c r="L843">
        <f>IFERROR(INDEX(Diccionario!$B:$B,MATCH(F843,Diccionario!$C:$C,0)),"")</f>
        <v/>
      </c>
      <c r="M843">
        <f>IFERROR(INDEX(Diccionario!$H:$H,MATCH(F843,Diccionario!$C:$C,0)),"")</f>
        <v/>
      </c>
      <c r="N843">
        <f>IFERROR(INDEX(Diccionario!$N:$N,MATCH(F843,Diccionario!$C:$C,0)),"")</f>
        <v/>
      </c>
    </row>
    <row r="844" ht="14.25" customHeight="1" s="52">
      <c r="A844" t="inlineStr">
        <is>
          <t>2024-03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2000000</v>
      </c>
      <c r="J844" t="inlineStr">
        <is>
          <t>COP</t>
        </is>
      </c>
      <c r="L844">
        <f>IFERROR(INDEX(Diccionario!$B:$B,MATCH(F844,Diccionario!$C:$C,0)),"")</f>
        <v/>
      </c>
      <c r="M844">
        <f>IFERROR(INDEX(Diccionario!$H:$H,MATCH(F844,Diccionario!$C:$C,0)),"")</f>
        <v/>
      </c>
      <c r="N844">
        <f>IFERROR(INDEX(Diccionario!$N:$N,MATCH(F844,Diccionario!$C:$C,0)),"")</f>
        <v/>
      </c>
    </row>
    <row r="845" ht="14.25" customHeight="1" s="52">
      <c r="A845" t="inlineStr">
        <is>
          <t>2024-04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93000000</v>
      </c>
      <c r="J845" t="inlineStr">
        <is>
          <t>COP</t>
        </is>
      </c>
      <c r="L845">
        <f>IFERROR(INDEX(Diccionario!$B:$B,MATCH(F845,Diccionario!$C:$C,0)),"")</f>
        <v/>
      </c>
      <c r="M845">
        <f>IFERROR(INDEX(Diccionario!$H:$H,MATCH(F845,Diccionario!$C:$C,0)),"")</f>
        <v/>
      </c>
      <c r="N845">
        <f>IFERROR(INDEX(Diccionario!$N:$N,MATCH(F845,Diccionario!$C:$C,0)),"")</f>
        <v/>
      </c>
    </row>
    <row r="846" ht="14.25" customHeight="1" s="52">
      <c r="A846" t="inlineStr">
        <is>
          <t>2024-04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12000000</v>
      </c>
      <c r="J846" t="inlineStr">
        <is>
          <t>COP</t>
        </is>
      </c>
      <c r="L846">
        <f>IFERROR(INDEX(Diccionario!$B:$B,MATCH(F846,Diccionario!$C:$C,0)),"")</f>
        <v/>
      </c>
      <c r="M846">
        <f>IFERROR(INDEX(Diccionario!$H:$H,MATCH(F846,Diccionario!$C:$C,0)),"")</f>
        <v/>
      </c>
      <c r="N846">
        <f>IFERROR(INDEX(Diccionario!$N:$N,MATCH(F846,Diccionario!$C:$C,0)),"")</f>
        <v/>
      </c>
    </row>
    <row r="847" ht="14.25" customHeight="1" s="52">
      <c r="A847" t="inlineStr">
        <is>
          <t>2024-04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0</v>
      </c>
      <c r="J847" t="inlineStr">
        <is>
          <t>COP</t>
        </is>
      </c>
      <c r="L847">
        <f>IFERROR(INDEX(Diccionario!$B:$B,MATCH(F847,Diccionario!$C:$C,0)),"")</f>
        <v/>
      </c>
      <c r="M847">
        <f>IFERROR(INDEX(Diccionario!$H:$H,MATCH(F847,Diccionario!$C:$C,0)),"")</f>
        <v/>
      </c>
      <c r="N847">
        <f>IFERROR(INDEX(Diccionario!$N:$N,MATCH(F847,Diccionario!$C:$C,0)),"")</f>
        <v/>
      </c>
    </row>
    <row r="848" ht="14.25" customHeight="1" s="52">
      <c r="A848" t="inlineStr">
        <is>
          <t>2024-04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22000000</v>
      </c>
      <c r="J848" t="inlineStr">
        <is>
          <t>COP</t>
        </is>
      </c>
      <c r="L848">
        <f>IFERROR(INDEX(Diccionario!$B:$B,MATCH(F848,Diccionario!$C:$C,0)),"")</f>
        <v/>
      </c>
      <c r="M848">
        <f>IFERROR(INDEX(Diccionario!$H:$H,MATCH(F848,Diccionario!$C:$C,0)),"")</f>
        <v/>
      </c>
      <c r="N848">
        <f>IFERROR(INDEX(Diccionario!$N:$N,MATCH(F848,Diccionario!$C:$C,0)),"")</f>
        <v/>
      </c>
    </row>
    <row r="849" ht="14.25" customHeight="1" s="52">
      <c r="A849" t="inlineStr">
        <is>
          <t>2024-04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15000000</v>
      </c>
      <c r="J849" t="inlineStr">
        <is>
          <t>COP</t>
        </is>
      </c>
      <c r="L849">
        <f>IFERROR(INDEX(Diccionario!$B:$B,MATCH(F849,Diccionario!$C:$C,0)),"")</f>
        <v/>
      </c>
      <c r="M849">
        <f>IFERROR(INDEX(Diccionario!$H:$H,MATCH(F849,Diccionario!$C:$C,0)),"")</f>
        <v/>
      </c>
      <c r="N849">
        <f>IFERROR(INDEX(Diccionario!$N:$N,MATCH(F849,Diccionario!$C:$C,0)),"")</f>
        <v/>
      </c>
    </row>
    <row r="850" ht="14.25" customHeight="1" s="52">
      <c r="A850" t="inlineStr">
        <is>
          <t>2024-04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4000000</v>
      </c>
      <c r="J850" t="inlineStr">
        <is>
          <t>COP</t>
        </is>
      </c>
      <c r="L850">
        <f>IFERROR(INDEX(Diccionario!$B:$B,MATCH(F850,Diccionario!$C:$C,0)),"")</f>
        <v/>
      </c>
      <c r="M850">
        <f>IFERROR(INDEX(Diccionario!$H:$H,MATCH(F850,Diccionario!$C:$C,0)),"")</f>
        <v/>
      </c>
      <c r="N850">
        <f>IFERROR(INDEX(Diccionario!$N:$N,MATCH(F850,Diccionario!$C:$C,0)),"")</f>
        <v/>
      </c>
    </row>
    <row r="851" ht="14.25" customHeight="1" s="52">
      <c r="A851" t="inlineStr">
        <is>
          <t>2024-05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65000000</v>
      </c>
      <c r="J851" t="inlineStr">
        <is>
          <t>COP</t>
        </is>
      </c>
      <c r="L851">
        <f>IFERROR(INDEX(Diccionario!$B:$B,MATCH(F851,Diccionario!$C:$C,0)),"")</f>
        <v/>
      </c>
      <c r="M851">
        <f>IFERROR(INDEX(Diccionario!$H:$H,MATCH(F851,Diccionario!$C:$C,0)),"")</f>
        <v/>
      </c>
      <c r="N851">
        <f>IFERROR(INDEX(Diccionario!$N:$N,MATCH(F851,Diccionario!$C:$C,0)),"")</f>
        <v/>
      </c>
    </row>
    <row r="852" ht="14.25" customHeight="1" s="52">
      <c r="A852" t="inlineStr">
        <is>
          <t>2024-05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14000000</v>
      </c>
      <c r="J852" t="inlineStr">
        <is>
          <t>COP</t>
        </is>
      </c>
      <c r="L852">
        <f>IFERROR(INDEX(Diccionario!$B:$B,MATCH(F852,Diccionario!$C:$C,0)),"")</f>
        <v/>
      </c>
      <c r="M852">
        <f>IFERROR(INDEX(Diccionario!$H:$H,MATCH(F852,Diccionario!$C:$C,0)),"")</f>
        <v/>
      </c>
      <c r="N852">
        <f>IFERROR(INDEX(Diccionario!$N:$N,MATCH(F852,Diccionario!$C:$C,0)),"")</f>
        <v/>
      </c>
    </row>
    <row r="853" ht="14.25" customHeight="1" s="52">
      <c r="A853" t="inlineStr">
        <is>
          <t>2024-05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1000000</v>
      </c>
      <c r="J853" t="inlineStr">
        <is>
          <t>COP</t>
        </is>
      </c>
      <c r="L853">
        <f>IFERROR(INDEX(Diccionario!$B:$B,MATCH(F853,Diccionario!$C:$C,0)),"")</f>
        <v/>
      </c>
      <c r="M853">
        <f>IFERROR(INDEX(Diccionario!$H:$H,MATCH(F853,Diccionario!$C:$C,0)),"")</f>
        <v/>
      </c>
      <c r="N853">
        <f>IFERROR(INDEX(Diccionario!$N:$N,MATCH(F853,Diccionario!$C:$C,0)),"")</f>
        <v/>
      </c>
    </row>
    <row r="854" ht="14.25" customHeight="1" s="52">
      <c r="A854" t="inlineStr">
        <is>
          <t>2024-05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17000000</v>
      </c>
      <c r="J854" t="inlineStr">
        <is>
          <t>COP</t>
        </is>
      </c>
      <c r="L854">
        <f>IFERROR(INDEX(Diccionario!$B:$B,MATCH(F854,Diccionario!$C:$C,0)),"")</f>
        <v/>
      </c>
      <c r="M854">
        <f>IFERROR(INDEX(Diccionario!$H:$H,MATCH(F854,Diccionario!$C:$C,0)),"")</f>
        <v/>
      </c>
      <c r="N854">
        <f>IFERROR(INDEX(Diccionario!$N:$N,MATCH(F854,Diccionario!$C:$C,0)),"")</f>
        <v/>
      </c>
    </row>
    <row r="855" ht="14.25" customHeight="1" s="52">
      <c r="A855" t="inlineStr">
        <is>
          <t>2024-05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18000000</v>
      </c>
      <c r="J855" t="inlineStr">
        <is>
          <t>COP</t>
        </is>
      </c>
      <c r="L855">
        <f>IFERROR(INDEX(Diccionario!$B:$B,MATCH(F855,Diccionario!$C:$C,0)),"")</f>
        <v/>
      </c>
      <c r="M855">
        <f>IFERROR(INDEX(Diccionario!$H:$H,MATCH(F855,Diccionario!$C:$C,0)),"")</f>
        <v/>
      </c>
      <c r="N855">
        <f>IFERROR(INDEX(Diccionario!$N:$N,MATCH(F855,Diccionario!$C:$C,0)),"")</f>
        <v/>
      </c>
    </row>
    <row r="856" ht="14.25" customHeight="1" s="52">
      <c r="A856" t="inlineStr">
        <is>
          <t>2024-05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IFERROR(INDEX(Diccionario!$B:$B,MATCH(F856,Diccionario!$C:$C,0)),"")</f>
        <v/>
      </c>
      <c r="M856">
        <f>IFERROR(INDEX(Diccionario!$H:$H,MATCH(F856,Diccionario!$C:$C,0)),"")</f>
        <v/>
      </c>
      <c r="N856">
        <f>IFERROR(INDEX(Diccionario!$N:$N,MATCH(F856,Diccionario!$C:$C,0)),"")</f>
        <v/>
      </c>
    </row>
    <row r="857" ht="14.25" customHeight="1" s="52">
      <c r="A857" t="inlineStr">
        <is>
          <t>2024-06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82000000</v>
      </c>
      <c r="J857" t="inlineStr">
        <is>
          <t>COP</t>
        </is>
      </c>
      <c r="L857">
        <f>IFERROR(INDEX(Diccionario!$B:$B,MATCH(F857,Diccionario!$C:$C,0)),"")</f>
        <v/>
      </c>
      <c r="M857">
        <f>IFERROR(INDEX(Diccionario!$H:$H,MATCH(F857,Diccionario!$C:$C,0)),"")</f>
        <v/>
      </c>
      <c r="N857">
        <f>IFERROR(INDEX(Diccionario!$N:$N,MATCH(F857,Diccionario!$C:$C,0)),"")</f>
        <v/>
      </c>
    </row>
    <row r="858" ht="14.25" customHeight="1" s="52">
      <c r="A858" t="inlineStr">
        <is>
          <t>2024-06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10000000</v>
      </c>
      <c r="J858" t="inlineStr">
        <is>
          <t>COP</t>
        </is>
      </c>
      <c r="L858">
        <f>IFERROR(INDEX(Diccionario!$B:$B,MATCH(F858,Diccionario!$C:$C,0)),"")</f>
        <v/>
      </c>
      <c r="M858">
        <f>IFERROR(INDEX(Diccionario!$H:$H,MATCH(F858,Diccionario!$C:$C,0)),"")</f>
        <v/>
      </c>
      <c r="N858">
        <f>IFERROR(INDEX(Diccionario!$N:$N,MATCH(F858,Diccionario!$C:$C,0)),"")</f>
        <v/>
      </c>
    </row>
    <row r="859" ht="14.25" customHeight="1" s="52">
      <c r="A859" t="inlineStr">
        <is>
          <t>2024-06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IFERROR(INDEX(Diccionario!$B:$B,MATCH(F859,Diccionario!$C:$C,0)),"")</f>
        <v/>
      </c>
      <c r="M859">
        <f>IFERROR(INDEX(Diccionario!$H:$H,MATCH(F859,Diccionario!$C:$C,0)),"")</f>
        <v/>
      </c>
      <c r="N859">
        <f>IFERROR(INDEX(Diccionario!$N:$N,MATCH(F859,Diccionario!$C:$C,0)),"")</f>
        <v/>
      </c>
    </row>
    <row r="860" ht="14.25" customHeight="1" s="52">
      <c r="A860" t="inlineStr">
        <is>
          <t>2024-06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45000000</v>
      </c>
      <c r="J860" t="inlineStr">
        <is>
          <t>COP</t>
        </is>
      </c>
      <c r="L860">
        <f>IFERROR(INDEX(Diccionario!$B:$B,MATCH(F860,Diccionario!$C:$C,0)),"")</f>
        <v/>
      </c>
      <c r="M860">
        <f>IFERROR(INDEX(Diccionario!$H:$H,MATCH(F860,Diccionario!$C:$C,0)),"")</f>
        <v/>
      </c>
      <c r="N860">
        <f>IFERROR(INDEX(Diccionario!$N:$N,MATCH(F860,Diccionario!$C:$C,0)),"")</f>
        <v/>
      </c>
    </row>
    <row r="861" ht="14.25" customHeight="1" s="52">
      <c r="A861" t="inlineStr">
        <is>
          <t>2024-06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12000000</v>
      </c>
      <c r="J861" t="inlineStr">
        <is>
          <t>COP</t>
        </is>
      </c>
      <c r="L861">
        <f>IFERROR(INDEX(Diccionario!$B:$B,MATCH(F861,Diccionario!$C:$C,0)),"")</f>
        <v/>
      </c>
      <c r="M861">
        <f>IFERROR(INDEX(Diccionario!$H:$H,MATCH(F861,Diccionario!$C:$C,0)),"")</f>
        <v/>
      </c>
      <c r="N861">
        <f>IFERROR(INDEX(Diccionario!$N:$N,MATCH(F861,Diccionario!$C:$C,0)),"")</f>
        <v/>
      </c>
    </row>
    <row r="862" ht="14.25" customHeight="1" s="52">
      <c r="A862" t="inlineStr">
        <is>
          <t>2024-06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6000000</v>
      </c>
      <c r="J862" t="inlineStr">
        <is>
          <t>COP</t>
        </is>
      </c>
      <c r="L862">
        <f>IFERROR(INDEX(Diccionario!$B:$B,MATCH(F862,Diccionario!$C:$C,0)),"")</f>
        <v/>
      </c>
      <c r="M862">
        <f>IFERROR(INDEX(Diccionario!$H:$H,MATCH(F862,Diccionario!$C:$C,0)),"")</f>
        <v/>
      </c>
      <c r="N862">
        <f>IFERROR(INDEX(Diccionario!$N:$N,MATCH(F862,Diccionario!$C:$C,0)),"")</f>
        <v/>
      </c>
    </row>
    <row r="863" ht="14.25" customHeight="1" s="52">
      <c r="A863" t="inlineStr">
        <is>
          <t>2024-07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93000000</v>
      </c>
      <c r="J863" t="inlineStr">
        <is>
          <t>COP</t>
        </is>
      </c>
      <c r="L863">
        <f>IFERROR(INDEX(Diccionario!$B:$B,MATCH(F863,Diccionario!$C:$C,0)),"")</f>
        <v/>
      </c>
      <c r="M863">
        <f>IFERROR(INDEX(Diccionario!$H:$H,MATCH(F863,Diccionario!$C:$C,0)),"")</f>
        <v/>
      </c>
      <c r="N863">
        <f>IFERROR(INDEX(Diccionario!$N:$N,MATCH(F863,Diccionario!$C:$C,0)),"")</f>
        <v/>
      </c>
    </row>
    <row r="864" ht="14.25" customHeight="1" s="52">
      <c r="A864" t="inlineStr">
        <is>
          <t>2024-07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7000000</v>
      </c>
      <c r="J864" t="inlineStr">
        <is>
          <t>COP</t>
        </is>
      </c>
      <c r="L864">
        <f>IFERROR(INDEX(Diccionario!$B:$B,MATCH(F864,Diccionario!$C:$C,0)),"")</f>
        <v/>
      </c>
      <c r="M864">
        <f>IFERROR(INDEX(Diccionario!$H:$H,MATCH(F864,Diccionario!$C:$C,0)),"")</f>
        <v/>
      </c>
      <c r="N864">
        <f>IFERROR(INDEX(Diccionario!$N:$N,MATCH(F864,Diccionario!$C:$C,0)),"")</f>
        <v/>
      </c>
    </row>
    <row r="865" ht="14.25" customHeight="1" s="52">
      <c r="A865" t="inlineStr">
        <is>
          <t>2024-07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0</v>
      </c>
      <c r="J865" t="inlineStr">
        <is>
          <t>COP</t>
        </is>
      </c>
      <c r="L865">
        <f>IFERROR(INDEX(Diccionario!$B:$B,MATCH(F865,Diccionario!$C:$C,0)),"")</f>
        <v/>
      </c>
      <c r="M865">
        <f>IFERROR(INDEX(Diccionario!$H:$H,MATCH(F865,Diccionario!$C:$C,0)),"")</f>
        <v/>
      </c>
      <c r="N865">
        <f>IFERROR(INDEX(Diccionario!$N:$N,MATCH(F865,Diccionario!$C:$C,0)),"")</f>
        <v/>
      </c>
    </row>
    <row r="866" ht="14.25" customHeight="1" s="52">
      <c r="A866" t="inlineStr">
        <is>
          <t>2024-07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34000000</v>
      </c>
      <c r="J866" t="inlineStr">
        <is>
          <t>COP</t>
        </is>
      </c>
      <c r="L866">
        <f>IFERROR(INDEX(Diccionario!$B:$B,MATCH(F866,Diccionario!$C:$C,0)),"")</f>
        <v/>
      </c>
      <c r="M866">
        <f>IFERROR(INDEX(Diccionario!$H:$H,MATCH(F866,Diccionario!$C:$C,0)),"")</f>
        <v/>
      </c>
      <c r="N866">
        <f>IFERROR(INDEX(Diccionario!$N:$N,MATCH(F866,Diccionario!$C:$C,0)),"")</f>
        <v/>
      </c>
    </row>
    <row r="867" ht="14.25" customHeight="1" s="52">
      <c r="A867" t="inlineStr">
        <is>
          <t>2024-07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24000000</v>
      </c>
      <c r="J867" t="inlineStr">
        <is>
          <t>COP</t>
        </is>
      </c>
      <c r="L867">
        <f>IFERROR(INDEX(Diccionario!$B:$B,MATCH(F867,Diccionario!$C:$C,0)),"")</f>
        <v/>
      </c>
      <c r="M867">
        <f>IFERROR(INDEX(Diccionario!$H:$H,MATCH(F867,Diccionario!$C:$C,0)),"")</f>
        <v/>
      </c>
      <c r="N867">
        <f>IFERROR(INDEX(Diccionario!$N:$N,MATCH(F867,Diccionario!$C:$C,0)),"")</f>
        <v/>
      </c>
    </row>
    <row r="868" ht="14.25" customHeight="1" s="52">
      <c r="A868" t="inlineStr">
        <is>
          <t>2024-07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3000000</v>
      </c>
      <c r="J868" t="inlineStr">
        <is>
          <t>COP</t>
        </is>
      </c>
      <c r="L868">
        <f>IFERROR(INDEX(Diccionario!$B:$B,MATCH(F868,Diccionario!$C:$C,0)),"")</f>
        <v/>
      </c>
      <c r="M868">
        <f>IFERROR(INDEX(Diccionario!$H:$H,MATCH(F868,Diccionario!$C:$C,0)),"")</f>
        <v/>
      </c>
      <c r="N868">
        <f>IFERROR(INDEX(Diccionario!$N:$N,MATCH(F868,Diccionario!$C:$C,0)),"")</f>
        <v/>
      </c>
    </row>
    <row r="869" ht="14.25" customHeight="1" s="52">
      <c r="A869" t="inlineStr">
        <is>
          <t>2024-08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76000000</v>
      </c>
      <c r="J869" t="inlineStr">
        <is>
          <t>COP</t>
        </is>
      </c>
      <c r="L869">
        <f>IFERROR(INDEX(Diccionario!$B:$B,MATCH(F869,Diccionario!$C:$C,0)),"")</f>
        <v/>
      </c>
      <c r="M869">
        <f>IFERROR(INDEX(Diccionario!$H:$H,MATCH(F869,Diccionario!$C:$C,0)),"")</f>
        <v/>
      </c>
      <c r="N869">
        <f>IFERROR(INDEX(Diccionario!$N:$N,MATCH(F869,Diccionario!$C:$C,0)),"")</f>
        <v/>
      </c>
    </row>
    <row r="870" ht="14.25" customHeight="1" s="52">
      <c r="A870" t="inlineStr">
        <is>
          <t>2024-08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4000000</v>
      </c>
      <c r="J870" t="inlineStr">
        <is>
          <t>COP</t>
        </is>
      </c>
      <c r="L870">
        <f>IFERROR(INDEX(Diccionario!$B:$B,MATCH(F870,Diccionario!$C:$C,0)),"")</f>
        <v/>
      </c>
      <c r="M870">
        <f>IFERROR(INDEX(Diccionario!$H:$H,MATCH(F870,Diccionario!$C:$C,0)),"")</f>
        <v/>
      </c>
      <c r="N870">
        <f>IFERROR(INDEX(Diccionario!$N:$N,MATCH(F870,Diccionario!$C:$C,0)),"")</f>
        <v/>
      </c>
    </row>
    <row r="871" ht="14.25" customHeight="1" s="52">
      <c r="A871" t="inlineStr">
        <is>
          <t>2024-08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IFERROR(INDEX(Diccionario!$B:$B,MATCH(F871,Diccionario!$C:$C,0)),"")</f>
        <v/>
      </c>
      <c r="M871">
        <f>IFERROR(INDEX(Diccionario!$H:$H,MATCH(F871,Diccionario!$C:$C,0)),"")</f>
        <v/>
      </c>
      <c r="N871">
        <f>IFERROR(INDEX(Diccionario!$N:$N,MATCH(F871,Diccionario!$C:$C,0)),"")</f>
        <v/>
      </c>
    </row>
    <row r="872" ht="14.25" customHeight="1" s="52">
      <c r="A872" t="inlineStr">
        <is>
          <t>2024-08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16000000</v>
      </c>
      <c r="J872" t="inlineStr">
        <is>
          <t>COP</t>
        </is>
      </c>
      <c r="L872">
        <f>IFERROR(INDEX(Diccionario!$B:$B,MATCH(F872,Diccionario!$C:$C,0)),"")</f>
        <v/>
      </c>
      <c r="M872">
        <f>IFERROR(INDEX(Diccionario!$H:$H,MATCH(F872,Diccionario!$C:$C,0)),"")</f>
        <v/>
      </c>
      <c r="N872">
        <f>IFERROR(INDEX(Diccionario!$N:$N,MATCH(F872,Diccionario!$C:$C,0)),"")</f>
        <v/>
      </c>
    </row>
    <row r="873" ht="14.25" customHeight="1" s="52">
      <c r="A873" t="inlineStr">
        <is>
          <t>2024-08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15000000</v>
      </c>
      <c r="J873" t="inlineStr">
        <is>
          <t>COP</t>
        </is>
      </c>
      <c r="L873">
        <f>IFERROR(INDEX(Diccionario!$B:$B,MATCH(F873,Diccionario!$C:$C,0)),"")</f>
        <v/>
      </c>
      <c r="M873">
        <f>IFERROR(INDEX(Diccionario!$H:$H,MATCH(F873,Diccionario!$C:$C,0)),"")</f>
        <v/>
      </c>
      <c r="N873">
        <f>IFERROR(INDEX(Diccionario!$N:$N,MATCH(F873,Diccionario!$C:$C,0)),"")</f>
        <v/>
      </c>
    </row>
    <row r="874" ht="14.25" customHeight="1" s="52">
      <c r="A874" t="inlineStr">
        <is>
          <t>2024-08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9000000</v>
      </c>
      <c r="J874" t="inlineStr">
        <is>
          <t>COP</t>
        </is>
      </c>
      <c r="L874">
        <f>IFERROR(INDEX(Diccionario!$B:$B,MATCH(F874,Diccionario!$C:$C,0)),"")</f>
        <v/>
      </c>
      <c r="M874">
        <f>IFERROR(INDEX(Diccionario!$H:$H,MATCH(F874,Diccionario!$C:$C,0)),"")</f>
        <v/>
      </c>
      <c r="N874">
        <f>IFERROR(INDEX(Diccionario!$N:$N,MATCH(F874,Diccionario!$C:$C,0)),"")</f>
        <v/>
      </c>
    </row>
    <row r="875" ht="14.25" customHeight="1" s="52">
      <c r="A875" t="inlineStr">
        <is>
          <t>2024-09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91000000</v>
      </c>
      <c r="J875" t="inlineStr">
        <is>
          <t>COP</t>
        </is>
      </c>
      <c r="L875">
        <f>IFERROR(INDEX(Diccionario!$B:$B,MATCH(F875,Diccionario!$C:$C,0)),"")</f>
        <v/>
      </c>
      <c r="M875">
        <f>IFERROR(INDEX(Diccionario!$H:$H,MATCH(F875,Diccionario!$C:$C,0)),"")</f>
        <v/>
      </c>
      <c r="N875">
        <f>IFERROR(INDEX(Diccionario!$N:$N,MATCH(F875,Diccionario!$C:$C,0)),"")</f>
        <v/>
      </c>
    </row>
    <row r="876" ht="14.25" customHeight="1" s="52">
      <c r="A876" t="inlineStr">
        <is>
          <t>2024-09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13000000</v>
      </c>
      <c r="J876" t="inlineStr">
        <is>
          <t>COP</t>
        </is>
      </c>
      <c r="L876">
        <f>IFERROR(INDEX(Diccionario!$B:$B,MATCH(F876,Diccionario!$C:$C,0)),"")</f>
        <v/>
      </c>
      <c r="M876">
        <f>IFERROR(INDEX(Diccionario!$H:$H,MATCH(F876,Diccionario!$C:$C,0)),"")</f>
        <v/>
      </c>
      <c r="N876">
        <f>IFERROR(INDEX(Diccionario!$N:$N,MATCH(F876,Diccionario!$C:$C,0)),"")</f>
        <v/>
      </c>
    </row>
    <row r="877" ht="14.25" customHeight="1" s="52">
      <c r="A877" t="inlineStr">
        <is>
          <t>2024-09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1000000</v>
      </c>
      <c r="J877" t="inlineStr">
        <is>
          <t>COP</t>
        </is>
      </c>
      <c r="L877">
        <f>IFERROR(INDEX(Diccionario!$B:$B,MATCH(F877,Diccionario!$C:$C,0)),"")</f>
        <v/>
      </c>
      <c r="M877">
        <f>IFERROR(INDEX(Diccionario!$H:$H,MATCH(F877,Diccionario!$C:$C,0)),"")</f>
        <v/>
      </c>
      <c r="N877">
        <f>IFERROR(INDEX(Diccionario!$N:$N,MATCH(F877,Diccionario!$C:$C,0)),"")</f>
        <v/>
      </c>
    </row>
    <row r="878" ht="14.25" customHeight="1" s="52">
      <c r="A878" t="inlineStr">
        <is>
          <t>2024-09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28000000</v>
      </c>
      <c r="J878" t="inlineStr">
        <is>
          <t>COP</t>
        </is>
      </c>
      <c r="L878">
        <f>IFERROR(INDEX(Diccionario!$B:$B,MATCH(F878,Diccionario!$C:$C,0)),"")</f>
        <v/>
      </c>
      <c r="M878">
        <f>IFERROR(INDEX(Diccionario!$H:$H,MATCH(F878,Diccionario!$C:$C,0)),"")</f>
        <v/>
      </c>
      <c r="N878">
        <f>IFERROR(INDEX(Diccionario!$N:$N,MATCH(F878,Diccionario!$C:$C,0)),"")</f>
        <v/>
      </c>
    </row>
    <row r="879" ht="14.25" customHeight="1" s="52">
      <c r="A879" t="inlineStr">
        <is>
          <t>2024-09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29000000</v>
      </c>
      <c r="J879" t="inlineStr">
        <is>
          <t>COP</t>
        </is>
      </c>
      <c r="L879">
        <f>IFERROR(INDEX(Diccionario!$B:$B,MATCH(F879,Diccionario!$C:$C,0)),"")</f>
        <v/>
      </c>
      <c r="M879">
        <f>IFERROR(INDEX(Diccionario!$H:$H,MATCH(F879,Diccionario!$C:$C,0)),"")</f>
        <v/>
      </c>
      <c r="N879">
        <f>IFERROR(INDEX(Diccionario!$N:$N,MATCH(F879,Diccionario!$C:$C,0)),"")</f>
        <v/>
      </c>
    </row>
    <row r="880" ht="14.25" customHeight="1" s="52">
      <c r="A880" t="inlineStr">
        <is>
          <t>2024-09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7000000</v>
      </c>
      <c r="J880" t="inlineStr">
        <is>
          <t>COP</t>
        </is>
      </c>
      <c r="L880">
        <f>IFERROR(INDEX(Diccionario!$B:$B,MATCH(F880,Diccionario!$C:$C,0)),"")</f>
        <v/>
      </c>
      <c r="M880">
        <f>IFERROR(INDEX(Diccionario!$H:$H,MATCH(F880,Diccionario!$C:$C,0)),"")</f>
        <v/>
      </c>
      <c r="N880">
        <f>IFERROR(INDEX(Diccionario!$N:$N,MATCH(F880,Diccionario!$C:$C,0)),"")</f>
        <v/>
      </c>
    </row>
    <row r="881" ht="14.25" customHeight="1" s="52">
      <c r="A881" t="inlineStr">
        <is>
          <t>2024-10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92000000</v>
      </c>
      <c r="J881" t="inlineStr">
        <is>
          <t>COP</t>
        </is>
      </c>
      <c r="L881">
        <f>IFERROR(INDEX(Diccionario!$B:$B,MATCH(F881,Diccionario!$C:$C,0)),"")</f>
        <v/>
      </c>
      <c r="M881">
        <f>IFERROR(INDEX(Diccionario!$H:$H,MATCH(F881,Diccionario!$C:$C,0)),"")</f>
        <v/>
      </c>
      <c r="N881">
        <f>IFERROR(INDEX(Diccionario!$N:$N,MATCH(F881,Diccionario!$C:$C,0)),"")</f>
        <v/>
      </c>
    </row>
    <row r="882" ht="14.25" customHeight="1" s="52">
      <c r="A882" t="inlineStr">
        <is>
          <t>2024-10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16000000</v>
      </c>
      <c r="J882" t="inlineStr">
        <is>
          <t>COP</t>
        </is>
      </c>
      <c r="L882">
        <f>IFERROR(INDEX(Diccionario!$B:$B,MATCH(F882,Diccionario!$C:$C,0)),"")</f>
        <v/>
      </c>
      <c r="M882">
        <f>IFERROR(INDEX(Diccionario!$H:$H,MATCH(F882,Diccionario!$C:$C,0)),"")</f>
        <v/>
      </c>
      <c r="N882">
        <f>IFERROR(INDEX(Diccionario!$N:$N,MATCH(F882,Diccionario!$C:$C,0)),"")</f>
        <v/>
      </c>
    </row>
    <row r="883" ht="14.25" customHeight="1" s="52">
      <c r="A883" t="inlineStr">
        <is>
          <t>2024-10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1000000</v>
      </c>
      <c r="J883" t="inlineStr">
        <is>
          <t>COP</t>
        </is>
      </c>
      <c r="L883">
        <f>IFERROR(INDEX(Diccionario!$B:$B,MATCH(F883,Diccionario!$C:$C,0)),"")</f>
        <v/>
      </c>
      <c r="M883">
        <f>IFERROR(INDEX(Diccionario!$H:$H,MATCH(F883,Diccionario!$C:$C,0)),"")</f>
        <v/>
      </c>
      <c r="N883">
        <f>IFERROR(INDEX(Diccionario!$N:$N,MATCH(F883,Diccionario!$C:$C,0)),"")</f>
        <v/>
      </c>
    </row>
    <row r="884" ht="14.25" customHeight="1" s="52">
      <c r="A884" t="inlineStr">
        <is>
          <t>2024-10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19000000</v>
      </c>
      <c r="J884" t="inlineStr">
        <is>
          <t>COP</t>
        </is>
      </c>
      <c r="L884">
        <f>IFERROR(INDEX(Diccionario!$B:$B,MATCH(F884,Diccionario!$C:$C,0)),"")</f>
        <v/>
      </c>
      <c r="M884">
        <f>IFERROR(INDEX(Diccionario!$H:$H,MATCH(F884,Diccionario!$C:$C,0)),"")</f>
        <v/>
      </c>
      <c r="N884">
        <f>IFERROR(INDEX(Diccionario!$N:$N,MATCH(F884,Diccionario!$C:$C,0)),"")</f>
        <v/>
      </c>
    </row>
    <row r="885" ht="14.25" customHeight="1" s="52">
      <c r="A885" t="inlineStr">
        <is>
          <t>2024-10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37000000</v>
      </c>
      <c r="J885" t="inlineStr">
        <is>
          <t>COP</t>
        </is>
      </c>
      <c r="L885">
        <f>IFERROR(INDEX(Diccionario!$B:$B,MATCH(F885,Diccionario!$C:$C,0)),"")</f>
        <v/>
      </c>
      <c r="M885">
        <f>IFERROR(INDEX(Diccionario!$H:$H,MATCH(F885,Diccionario!$C:$C,0)),"")</f>
        <v/>
      </c>
      <c r="N885">
        <f>IFERROR(INDEX(Diccionario!$N:$N,MATCH(F885,Diccionario!$C:$C,0)),"")</f>
        <v/>
      </c>
    </row>
    <row r="886" ht="14.25" customHeight="1" s="52">
      <c r="A886" t="inlineStr">
        <is>
          <t>2024-10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11000000</v>
      </c>
      <c r="J886" t="inlineStr">
        <is>
          <t>COP</t>
        </is>
      </c>
      <c r="L886">
        <f>IFERROR(INDEX(Diccionario!$B:$B,MATCH(F886,Diccionario!$C:$C,0)),"")</f>
        <v/>
      </c>
      <c r="M886">
        <f>IFERROR(INDEX(Diccionario!$H:$H,MATCH(F886,Diccionario!$C:$C,0)),"")</f>
        <v/>
      </c>
      <c r="N886">
        <f>IFERROR(INDEX(Diccionario!$N:$N,MATCH(F886,Diccionario!$C:$C,0)),"")</f>
        <v/>
      </c>
    </row>
    <row r="887" ht="14.25" customHeight="1" s="52">
      <c r="A887" t="inlineStr">
        <is>
          <t>2024-11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88300000</v>
      </c>
      <c r="J887" t="inlineStr">
        <is>
          <t>COP</t>
        </is>
      </c>
      <c r="L887">
        <f>IFERROR(INDEX(Diccionario!$B:$B,MATCH(F887,Diccionario!$C:$C,0)),"")</f>
        <v/>
      </c>
      <c r="M887">
        <f>IFERROR(INDEX(Diccionario!$H:$H,MATCH(F887,Diccionario!$C:$C,0)),"")</f>
        <v/>
      </c>
      <c r="N887">
        <f>IFERROR(INDEX(Diccionario!$N:$N,MATCH(F887,Diccionario!$C:$C,0)),"")</f>
        <v/>
      </c>
    </row>
    <row r="888" ht="14.25" customHeight="1" s="52">
      <c r="A888" t="inlineStr">
        <is>
          <t>2024-11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23000000</v>
      </c>
      <c r="J888" t="inlineStr">
        <is>
          <t>COP</t>
        </is>
      </c>
      <c r="L888">
        <f>IFERROR(INDEX(Diccionario!$B:$B,MATCH(F888,Diccionario!$C:$C,0)),"")</f>
        <v/>
      </c>
      <c r="M888">
        <f>IFERROR(INDEX(Diccionario!$H:$H,MATCH(F888,Diccionario!$C:$C,0)),"")</f>
        <v/>
      </c>
      <c r="N888">
        <f>IFERROR(INDEX(Diccionario!$N:$N,MATCH(F888,Diccionario!$C:$C,0)),"")</f>
        <v/>
      </c>
    </row>
    <row r="889" ht="14.25" customHeight="1" s="52">
      <c r="A889" t="inlineStr">
        <is>
          <t>2024-11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150000</v>
      </c>
      <c r="J889" t="inlineStr">
        <is>
          <t>COP</t>
        </is>
      </c>
      <c r="L889">
        <f>IFERROR(INDEX(Diccionario!$B:$B,MATCH(F889,Diccionario!$C:$C,0)),"")</f>
        <v/>
      </c>
      <c r="M889">
        <f>IFERROR(INDEX(Diccionario!$H:$H,MATCH(F889,Diccionario!$C:$C,0)),"")</f>
        <v/>
      </c>
      <c r="N889">
        <f>IFERROR(INDEX(Diccionario!$N:$N,MATCH(F889,Diccionario!$C:$C,0)),"")</f>
        <v/>
      </c>
    </row>
    <row r="890" ht="14.25" customHeight="1" s="52">
      <c r="A890" t="inlineStr">
        <is>
          <t>2024-11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18000000</v>
      </c>
      <c r="J890" t="inlineStr">
        <is>
          <t>COP</t>
        </is>
      </c>
      <c r="L890">
        <f>IFERROR(INDEX(Diccionario!$B:$B,MATCH(F890,Diccionario!$C:$C,0)),"")</f>
        <v/>
      </c>
      <c r="M890">
        <f>IFERROR(INDEX(Diccionario!$H:$H,MATCH(F890,Diccionario!$C:$C,0)),"")</f>
        <v/>
      </c>
      <c r="N890">
        <f>IFERROR(INDEX(Diccionario!$N:$N,MATCH(F890,Diccionario!$C:$C,0)),"")</f>
        <v/>
      </c>
    </row>
    <row r="891" ht="14.25" customHeight="1" s="52">
      <c r="A891" t="inlineStr">
        <is>
          <t>2024-11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28300000</v>
      </c>
      <c r="J891" t="inlineStr">
        <is>
          <t>COP</t>
        </is>
      </c>
      <c r="L891">
        <f>IFERROR(INDEX(Diccionario!$B:$B,MATCH(F891,Diccionario!$C:$C,0)),"")</f>
        <v/>
      </c>
      <c r="M891">
        <f>IFERROR(INDEX(Diccionario!$H:$H,MATCH(F891,Diccionario!$C:$C,0)),"")</f>
        <v/>
      </c>
      <c r="N891">
        <f>IFERROR(INDEX(Diccionario!$N:$N,MATCH(F891,Diccionario!$C:$C,0)),"")</f>
        <v/>
      </c>
    </row>
    <row r="892" ht="14.25" customHeight="1" s="52">
      <c r="A892" t="inlineStr">
        <is>
          <t>2024-11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8100000</v>
      </c>
      <c r="J892" t="inlineStr">
        <is>
          <t>COP</t>
        </is>
      </c>
      <c r="L892">
        <f>IFERROR(INDEX(Diccionario!$B:$B,MATCH(F892,Diccionario!$C:$C,0)),"")</f>
        <v/>
      </c>
      <c r="M892">
        <f>IFERROR(INDEX(Diccionario!$H:$H,MATCH(F892,Diccionario!$C:$C,0)),"")</f>
        <v/>
      </c>
      <c r="N892">
        <f>IFERROR(INDEX(Diccionario!$N:$N,MATCH(F892,Diccionario!$C:$C,0)),"")</f>
        <v/>
      </c>
    </row>
    <row r="893" ht="14.25" customHeight="1" s="52">
      <c r="A893" t="inlineStr">
        <is>
          <t>2024-12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79000000</v>
      </c>
      <c r="J893" t="inlineStr">
        <is>
          <t>COP</t>
        </is>
      </c>
      <c r="L893">
        <f>IFERROR(INDEX(Diccionario!$B:$B,MATCH(F893,Diccionario!$C:$C,0)),"")</f>
        <v/>
      </c>
      <c r="M893">
        <f>IFERROR(INDEX(Diccionario!$H:$H,MATCH(F893,Diccionario!$C:$C,0)),"")</f>
        <v/>
      </c>
      <c r="N893">
        <f>IFERROR(INDEX(Diccionario!$N:$N,MATCH(F893,Diccionario!$C:$C,0)),"")</f>
        <v/>
      </c>
    </row>
    <row r="894" ht="14.25" customHeight="1" s="52">
      <c r="A894" t="inlineStr">
        <is>
          <t>2024-12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37400000</v>
      </c>
      <c r="J894" t="inlineStr">
        <is>
          <t>COP</t>
        </is>
      </c>
      <c r="L894">
        <f>IFERROR(INDEX(Diccionario!$B:$B,MATCH(F894,Diccionario!$C:$C,0)),"")</f>
        <v/>
      </c>
      <c r="M894">
        <f>IFERROR(INDEX(Diccionario!$H:$H,MATCH(F894,Diccionario!$C:$C,0)),"")</f>
        <v/>
      </c>
      <c r="N894">
        <f>IFERROR(INDEX(Diccionario!$N:$N,MATCH(F894,Diccionario!$C:$C,0)),"")</f>
        <v/>
      </c>
    </row>
    <row r="895" ht="14.25" customHeight="1" s="52">
      <c r="A895" t="inlineStr">
        <is>
          <t>2024-12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270000</v>
      </c>
      <c r="J895" t="inlineStr">
        <is>
          <t>COP</t>
        </is>
      </c>
      <c r="L895">
        <f>IFERROR(INDEX(Diccionario!$B:$B,MATCH(F895,Diccionario!$C:$C,0)),"")</f>
        <v/>
      </c>
      <c r="M895">
        <f>IFERROR(INDEX(Diccionario!$H:$H,MATCH(F895,Diccionario!$C:$C,0)),"")</f>
        <v/>
      </c>
      <c r="N895">
        <f>IFERROR(INDEX(Diccionario!$N:$N,MATCH(F895,Diccionario!$C:$C,0)),"")</f>
        <v/>
      </c>
    </row>
    <row r="896" ht="14.25" customHeight="1" s="52">
      <c r="A896" t="inlineStr">
        <is>
          <t>2024-12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43800000</v>
      </c>
      <c r="J896" t="inlineStr">
        <is>
          <t>COP</t>
        </is>
      </c>
      <c r="L896">
        <f>IFERROR(INDEX(Diccionario!$B:$B,MATCH(F896,Diccionario!$C:$C,0)),"")</f>
        <v/>
      </c>
      <c r="M896">
        <f>IFERROR(INDEX(Diccionario!$H:$H,MATCH(F896,Diccionario!$C:$C,0)),"")</f>
        <v/>
      </c>
      <c r="N896">
        <f>IFERROR(INDEX(Diccionario!$N:$N,MATCH(F896,Diccionario!$C:$C,0)),"")</f>
        <v/>
      </c>
    </row>
    <row r="897" ht="14.25" customHeight="1" s="52">
      <c r="A897" t="inlineStr">
        <is>
          <t>2024-12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6000000</v>
      </c>
      <c r="J897" t="inlineStr">
        <is>
          <t>COP</t>
        </is>
      </c>
      <c r="L897">
        <f>IFERROR(INDEX(Diccionario!$B:$B,MATCH(F897,Diccionario!$C:$C,0)),"")</f>
        <v/>
      </c>
      <c r="M897">
        <f>IFERROR(INDEX(Diccionario!$H:$H,MATCH(F897,Diccionario!$C:$C,0)),"")</f>
        <v/>
      </c>
      <c r="N897">
        <f>IFERROR(INDEX(Diccionario!$N:$N,MATCH(F897,Diccionario!$C:$C,0)),"")</f>
        <v/>
      </c>
    </row>
    <row r="898" ht="14.25" customHeight="1" s="52">
      <c r="A898" t="inlineStr">
        <is>
          <t>2024-12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8700000</v>
      </c>
      <c r="J898" t="inlineStr">
        <is>
          <t>COP</t>
        </is>
      </c>
      <c r="L898">
        <f>IFERROR(INDEX(Diccionario!$B:$B,MATCH(F898,Diccionario!$C:$C,0)),"")</f>
        <v/>
      </c>
      <c r="M898">
        <f>IFERROR(INDEX(Diccionario!$H:$H,MATCH(F898,Diccionario!$C:$C,0)),"")</f>
        <v/>
      </c>
      <c r="N898">
        <f>IFERROR(INDEX(Diccionario!$N:$N,MATCH(F898,Diccionario!$C:$C,0)),"")</f>
        <v/>
      </c>
    </row>
    <row r="899" ht="14.25" customHeight="1" s="52">
      <c r="A899" t="inlineStr">
        <is>
          <t>2025-01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94600000</v>
      </c>
      <c r="J899" t="inlineStr">
        <is>
          <t>COP</t>
        </is>
      </c>
      <c r="L899">
        <f>IFERROR(INDEX(Diccionario!$B:$B,MATCH(F899,Diccionario!$C:$C,0)),"")</f>
        <v/>
      </c>
      <c r="M899">
        <f>IFERROR(INDEX(Diccionario!$H:$H,MATCH(F899,Diccionario!$C:$C,0)),"")</f>
        <v/>
      </c>
      <c r="N899">
        <f>IFERROR(INDEX(Diccionario!$N:$N,MATCH(F899,Diccionario!$C:$C,0)),"")</f>
        <v/>
      </c>
    </row>
    <row r="900" ht="14.25" customHeight="1" s="52">
      <c r="A900" t="inlineStr">
        <is>
          <t>2025-01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0</v>
      </c>
      <c r="J900" t="inlineStr">
        <is>
          <t>COP</t>
        </is>
      </c>
      <c r="L900">
        <f>IFERROR(INDEX(Diccionario!$B:$B,MATCH(F900,Diccionario!$C:$C,0)),"")</f>
        <v/>
      </c>
      <c r="M900">
        <f>IFERROR(INDEX(Diccionario!$H:$H,MATCH(F900,Diccionario!$C:$C,0)),"")</f>
        <v/>
      </c>
      <c r="N900">
        <f>IFERROR(INDEX(Diccionario!$N:$N,MATCH(F900,Diccionario!$C:$C,0)),"")</f>
        <v/>
      </c>
    </row>
    <row r="901" ht="14.25" customHeight="1" s="52">
      <c r="A901" t="inlineStr">
        <is>
          <t>2025-01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0</v>
      </c>
      <c r="J901" t="inlineStr">
        <is>
          <t>COP</t>
        </is>
      </c>
      <c r="L901">
        <f>IFERROR(INDEX(Diccionario!$B:$B,MATCH(F901,Diccionario!$C:$C,0)),"")</f>
        <v/>
      </c>
      <c r="M901">
        <f>IFERROR(INDEX(Diccionario!$H:$H,MATCH(F901,Diccionario!$C:$C,0)),"")</f>
        <v/>
      </c>
      <c r="N901">
        <f>IFERROR(INDEX(Diccionario!$N:$N,MATCH(F901,Diccionario!$C:$C,0)),"")</f>
        <v/>
      </c>
    </row>
    <row r="902" ht="14.25" customHeight="1" s="52">
      <c r="A902" t="inlineStr">
        <is>
          <t>2025-01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24800000</v>
      </c>
      <c r="J902" t="inlineStr">
        <is>
          <t>COP</t>
        </is>
      </c>
      <c r="L902">
        <f>IFERROR(INDEX(Diccionario!$B:$B,MATCH(F902,Diccionario!$C:$C,0)),"")</f>
        <v/>
      </c>
      <c r="M902">
        <f>IFERROR(INDEX(Diccionario!$H:$H,MATCH(F902,Diccionario!$C:$C,0)),"")</f>
        <v/>
      </c>
      <c r="N902">
        <f>IFERROR(INDEX(Diccionario!$N:$N,MATCH(F902,Diccionario!$C:$C,0)),"")</f>
        <v/>
      </c>
    </row>
    <row r="903" ht="14.25" customHeight="1" s="52">
      <c r="A903" t="inlineStr">
        <is>
          <t>2025-01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35500000</v>
      </c>
      <c r="J903" t="inlineStr">
        <is>
          <t>COP</t>
        </is>
      </c>
      <c r="L903">
        <f>IFERROR(INDEX(Diccionario!$B:$B,MATCH(F903,Diccionario!$C:$C,0)),"")</f>
        <v/>
      </c>
      <c r="M903">
        <f>IFERROR(INDEX(Diccionario!$H:$H,MATCH(F903,Diccionario!$C:$C,0)),"")</f>
        <v/>
      </c>
      <c r="N903">
        <f>IFERROR(INDEX(Diccionario!$N:$N,MATCH(F903,Diccionario!$C:$C,0)),"")</f>
        <v/>
      </c>
    </row>
    <row r="904" ht="14.25" customHeight="1" s="52">
      <c r="A904" t="inlineStr">
        <is>
          <t>2025-01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8400000</v>
      </c>
      <c r="J904" t="inlineStr">
        <is>
          <t>COP</t>
        </is>
      </c>
      <c r="L904">
        <f>IFERROR(INDEX(Diccionario!$B:$B,MATCH(F904,Diccionario!$C:$C,0)),"")</f>
        <v/>
      </c>
      <c r="M904">
        <f>IFERROR(INDEX(Diccionario!$H:$H,MATCH(F904,Diccionario!$C:$C,0)),"")</f>
        <v/>
      </c>
      <c r="N904">
        <f>IFERROR(INDEX(Diccionario!$N:$N,MATCH(F904,Diccionario!$C:$C,0)),"")</f>
        <v/>
      </c>
    </row>
    <row r="905" ht="14.25" customHeight="1" s="52">
      <c r="A905" t="inlineStr">
        <is>
          <t>2025-02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110000000</v>
      </c>
      <c r="J905" t="inlineStr">
        <is>
          <t>COP</t>
        </is>
      </c>
      <c r="L905">
        <f>IFERROR(INDEX(Diccionario!$B:$B,MATCH(F905,Diccionario!$C:$C,0)),"")</f>
        <v/>
      </c>
      <c r="M905">
        <f>IFERROR(INDEX(Diccionario!$H:$H,MATCH(F905,Diccionario!$C:$C,0)),"")</f>
        <v/>
      </c>
      <c r="N905">
        <f>IFERROR(INDEX(Diccionario!$N:$N,MATCH(F905,Diccionario!$C:$C,0)),"")</f>
        <v/>
      </c>
    </row>
    <row r="906" ht="14.25" customHeight="1" s="52">
      <c r="A906" t="inlineStr">
        <is>
          <t>2025-02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29300000</v>
      </c>
      <c r="J906" t="inlineStr">
        <is>
          <t>COP</t>
        </is>
      </c>
      <c r="L906">
        <f>IFERROR(INDEX(Diccionario!$B:$B,MATCH(F906,Diccionario!$C:$C,0)),"")</f>
        <v/>
      </c>
      <c r="M906">
        <f>IFERROR(INDEX(Diccionario!$H:$H,MATCH(F906,Diccionario!$C:$C,0)),"")</f>
        <v/>
      </c>
      <c r="N906">
        <f>IFERROR(INDEX(Diccionario!$N:$N,MATCH(F906,Diccionario!$C:$C,0)),"")</f>
        <v/>
      </c>
    </row>
    <row r="907" ht="14.25" customHeight="1" s="52">
      <c r="A907" t="inlineStr">
        <is>
          <t>2025-02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IFERROR(INDEX(Diccionario!$B:$B,MATCH(F907,Diccionario!$C:$C,0)),"")</f>
        <v/>
      </c>
      <c r="M907">
        <f>IFERROR(INDEX(Diccionario!$H:$H,MATCH(F907,Diccionario!$C:$C,0)),"")</f>
        <v/>
      </c>
      <c r="N907">
        <f>IFERROR(INDEX(Diccionario!$N:$N,MATCH(F907,Diccionario!$C:$C,0)),"")</f>
        <v/>
      </c>
    </row>
    <row r="908" ht="14.25" customHeight="1" s="52">
      <c r="A908" t="inlineStr">
        <is>
          <t>2025-02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38400000</v>
      </c>
      <c r="J908" t="inlineStr">
        <is>
          <t>COP</t>
        </is>
      </c>
      <c r="L908">
        <f>IFERROR(INDEX(Diccionario!$B:$B,MATCH(F908,Diccionario!$C:$C,0)),"")</f>
        <v/>
      </c>
      <c r="M908">
        <f>IFERROR(INDEX(Diccionario!$H:$H,MATCH(F908,Diccionario!$C:$C,0)),"")</f>
        <v/>
      </c>
      <c r="N908">
        <f>IFERROR(INDEX(Diccionario!$N:$N,MATCH(F908,Diccionario!$C:$C,0)),"")</f>
        <v/>
      </c>
    </row>
    <row r="909" ht="14.25" customHeight="1" s="52">
      <c r="A909" t="inlineStr">
        <is>
          <t>2025-02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48100000</v>
      </c>
      <c r="J909" t="inlineStr">
        <is>
          <t>COP</t>
        </is>
      </c>
      <c r="L909">
        <f>IFERROR(INDEX(Diccionario!$B:$B,MATCH(F909,Diccionario!$C:$C,0)),"")</f>
        <v/>
      </c>
      <c r="M909">
        <f>IFERROR(INDEX(Diccionario!$H:$H,MATCH(F909,Diccionario!$C:$C,0)),"")</f>
        <v/>
      </c>
      <c r="N909">
        <f>IFERROR(INDEX(Diccionario!$N:$N,MATCH(F909,Diccionario!$C:$C,0)),"")</f>
        <v/>
      </c>
    </row>
    <row r="910" ht="14.25" customHeight="1" s="52">
      <c r="A910" t="inlineStr">
        <is>
          <t>2025-02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5800000</v>
      </c>
      <c r="J910" t="inlineStr">
        <is>
          <t>COP</t>
        </is>
      </c>
      <c r="L910">
        <f>IFERROR(INDEX(Diccionario!$B:$B,MATCH(F910,Diccionario!$C:$C,0)),"")</f>
        <v/>
      </c>
      <c r="M910">
        <f>IFERROR(INDEX(Diccionario!$H:$H,MATCH(F910,Diccionario!$C:$C,0)),"")</f>
        <v/>
      </c>
      <c r="N910">
        <f>IFERROR(INDEX(Diccionario!$N:$N,MATCH(F910,Diccionario!$C:$C,0)),"")</f>
        <v/>
      </c>
    </row>
    <row r="911" ht="14.25" customHeight="1" s="52">
      <c r="A911" t="inlineStr">
        <is>
          <t>2025-03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112400000</v>
      </c>
      <c r="J911" t="inlineStr">
        <is>
          <t>COP</t>
        </is>
      </c>
      <c r="L911">
        <f>IFERROR(INDEX(Diccionario!$B:$B,MATCH(F911,Diccionario!$C:$C,0)),"")</f>
        <v/>
      </c>
      <c r="M911">
        <f>IFERROR(INDEX(Diccionario!$H:$H,MATCH(F911,Diccionario!$C:$C,0)),"")</f>
        <v/>
      </c>
      <c r="N911">
        <f>IFERROR(INDEX(Diccionario!$N:$N,MATCH(F911,Diccionario!$C:$C,0)),"")</f>
        <v/>
      </c>
    </row>
    <row r="912" ht="14.25" customHeight="1" s="52">
      <c r="A912" t="inlineStr">
        <is>
          <t>2025-03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28800000</v>
      </c>
      <c r="J912" t="inlineStr">
        <is>
          <t>COP</t>
        </is>
      </c>
      <c r="L912">
        <f>IFERROR(INDEX(Diccionario!$B:$B,MATCH(F912,Diccionario!$C:$C,0)),"")</f>
        <v/>
      </c>
      <c r="M912">
        <f>IFERROR(INDEX(Diccionario!$H:$H,MATCH(F912,Diccionario!$C:$C,0)),"")</f>
        <v/>
      </c>
      <c r="N912">
        <f>IFERROR(INDEX(Diccionario!$N:$N,MATCH(F912,Diccionario!$C:$C,0)),"")</f>
        <v/>
      </c>
    </row>
    <row r="913" ht="14.25" customHeight="1" s="52">
      <c r="A913" t="inlineStr">
        <is>
          <t>2025-03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1600000</v>
      </c>
      <c r="J913" t="inlineStr">
        <is>
          <t>COP</t>
        </is>
      </c>
      <c r="L913">
        <f>IFERROR(INDEX(Diccionario!$B:$B,MATCH(F913,Diccionario!$C:$C,0)),"")</f>
        <v/>
      </c>
      <c r="M913">
        <f>IFERROR(INDEX(Diccionario!$H:$H,MATCH(F913,Diccionario!$C:$C,0)),"")</f>
        <v/>
      </c>
      <c r="N913">
        <f>IFERROR(INDEX(Diccionario!$N:$N,MATCH(F913,Diccionario!$C:$C,0)),"")</f>
        <v/>
      </c>
    </row>
    <row r="914" ht="14.25" customHeight="1" s="52">
      <c r="A914" t="inlineStr">
        <is>
          <t>2025-03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43100000</v>
      </c>
      <c r="J914" t="inlineStr">
        <is>
          <t>COP</t>
        </is>
      </c>
      <c r="L914">
        <f>IFERROR(INDEX(Diccionario!$B:$B,MATCH(F914,Diccionario!$C:$C,0)),"")</f>
        <v/>
      </c>
      <c r="M914">
        <f>IFERROR(INDEX(Diccionario!$H:$H,MATCH(F914,Diccionario!$C:$C,0)),"")</f>
        <v/>
      </c>
      <c r="N914">
        <f>IFERROR(INDEX(Diccionario!$N:$N,MATCH(F914,Diccionario!$C:$C,0)),"")</f>
        <v/>
      </c>
    </row>
    <row r="915" ht="14.25" customHeight="1" s="52">
      <c r="A915" t="inlineStr">
        <is>
          <t>2025-03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33200000</v>
      </c>
      <c r="J915" t="inlineStr">
        <is>
          <t>COP</t>
        </is>
      </c>
      <c r="L915">
        <f>IFERROR(INDEX(Diccionario!$B:$B,MATCH(F915,Diccionario!$C:$C,0)),"")</f>
        <v/>
      </c>
      <c r="M915">
        <f>IFERROR(INDEX(Diccionario!$H:$H,MATCH(F915,Diccionario!$C:$C,0)),"")</f>
        <v/>
      </c>
      <c r="N915">
        <f>IFERROR(INDEX(Diccionario!$N:$N,MATCH(F915,Diccionario!$C:$C,0)),"")</f>
        <v/>
      </c>
    </row>
    <row r="916" ht="14.25" customHeight="1" s="52">
      <c r="A916" t="inlineStr">
        <is>
          <t>2025-03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8300000</v>
      </c>
      <c r="J916" t="inlineStr">
        <is>
          <t>COP</t>
        </is>
      </c>
      <c r="L916">
        <f>IFERROR(INDEX(Diccionario!$B:$B,MATCH(F916,Diccionario!$C:$C,0)),"")</f>
        <v/>
      </c>
      <c r="M916">
        <f>IFERROR(INDEX(Diccionario!$H:$H,MATCH(F916,Diccionario!$C:$C,0)),"")</f>
        <v/>
      </c>
      <c r="N916">
        <f>IFERROR(INDEX(Diccionario!$N:$N,MATCH(F916,Diccionario!$C:$C,0)),"")</f>
        <v/>
      </c>
    </row>
    <row r="917" ht="14.25" customHeight="1" s="52">
      <c r="A917" t="inlineStr">
        <is>
          <t>2025-04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96200000</v>
      </c>
      <c r="J917" t="inlineStr">
        <is>
          <t>COP</t>
        </is>
      </c>
      <c r="L917">
        <f>IFERROR(INDEX(Diccionario!$B:$B,MATCH(F917,Diccionario!$C:$C,0)),"")</f>
        <v/>
      </c>
      <c r="M917">
        <f>IFERROR(INDEX(Diccionario!$H:$H,MATCH(F917,Diccionario!$C:$C,0)),"")</f>
        <v/>
      </c>
      <c r="N917">
        <f>IFERROR(INDEX(Diccionario!$N:$N,MATCH(F917,Diccionario!$C:$C,0)),"")</f>
        <v/>
      </c>
    </row>
    <row r="918" ht="14.25" customHeight="1" s="52">
      <c r="A918" t="inlineStr">
        <is>
          <t>2025-04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60000000</v>
      </c>
      <c r="J918" t="inlineStr">
        <is>
          <t>COP</t>
        </is>
      </c>
      <c r="L918">
        <f>IFERROR(INDEX(Diccionario!$B:$B,MATCH(F918,Diccionario!$C:$C,0)),"")</f>
        <v/>
      </c>
      <c r="M918">
        <f>IFERROR(INDEX(Diccionario!$H:$H,MATCH(F918,Diccionario!$C:$C,0)),"")</f>
        <v/>
      </c>
      <c r="N918">
        <f>IFERROR(INDEX(Diccionario!$N:$N,MATCH(F918,Diccionario!$C:$C,0)),"")</f>
        <v/>
      </c>
    </row>
    <row r="919" ht="14.25" customHeight="1" s="52">
      <c r="A919" t="inlineStr">
        <is>
          <t>2025-04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1500000</v>
      </c>
      <c r="J919" t="inlineStr">
        <is>
          <t>COP</t>
        </is>
      </c>
      <c r="L919">
        <f>IFERROR(INDEX(Diccionario!$B:$B,MATCH(F919,Diccionario!$C:$C,0)),"")</f>
        <v/>
      </c>
      <c r="M919">
        <f>IFERROR(INDEX(Diccionario!$H:$H,MATCH(F919,Diccionario!$C:$C,0)),"")</f>
        <v/>
      </c>
      <c r="N919">
        <f>IFERROR(INDEX(Diccionario!$N:$N,MATCH(F919,Diccionario!$C:$C,0)),"")</f>
        <v/>
      </c>
    </row>
    <row r="920" ht="14.25" customHeight="1" s="52">
      <c r="A920" t="inlineStr">
        <is>
          <t>2025-04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22000000</v>
      </c>
      <c r="J920" t="inlineStr">
        <is>
          <t>COP</t>
        </is>
      </c>
      <c r="L920">
        <f>IFERROR(INDEX(Diccionario!$B:$B,MATCH(F920,Diccionario!$C:$C,0)),"")</f>
        <v/>
      </c>
      <c r="M920">
        <f>IFERROR(INDEX(Diccionario!$H:$H,MATCH(F920,Diccionario!$C:$C,0)),"")</f>
        <v/>
      </c>
      <c r="N920">
        <f>IFERROR(INDEX(Diccionario!$N:$N,MATCH(F920,Diccionario!$C:$C,0)),"")</f>
        <v/>
      </c>
    </row>
    <row r="921" ht="14.25" customHeight="1" s="52">
      <c r="A921" t="inlineStr">
        <is>
          <t>2025-04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31600000</v>
      </c>
      <c r="J921" t="inlineStr">
        <is>
          <t>COP</t>
        </is>
      </c>
      <c r="L921">
        <f>IFERROR(INDEX(Diccionario!$B:$B,MATCH(F921,Diccionario!$C:$C,0)),"")</f>
        <v/>
      </c>
      <c r="M921">
        <f>IFERROR(INDEX(Diccionario!$H:$H,MATCH(F921,Diccionario!$C:$C,0)),"")</f>
        <v/>
      </c>
      <c r="N921">
        <f>IFERROR(INDEX(Diccionario!$N:$N,MATCH(F921,Diccionario!$C:$C,0)),"")</f>
        <v/>
      </c>
    </row>
    <row r="922" ht="14.25" customHeight="1" s="52">
      <c r="A922" t="inlineStr">
        <is>
          <t>2025-04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17500000</v>
      </c>
      <c r="J922" t="inlineStr">
        <is>
          <t>COP</t>
        </is>
      </c>
      <c r="L922">
        <f>IFERROR(INDEX(Diccionario!$B:$B,MATCH(F922,Diccionario!$C:$C,0)),"")</f>
        <v/>
      </c>
      <c r="M922">
        <f>IFERROR(INDEX(Diccionario!$H:$H,MATCH(F922,Diccionario!$C:$C,0)),"")</f>
        <v/>
      </c>
      <c r="N922">
        <f>IFERROR(INDEX(Diccionario!$N:$N,MATCH(F922,Diccionario!$C:$C,0)),"")</f>
        <v/>
      </c>
    </row>
    <row r="923" ht="14.25" customHeight="1" s="52">
      <c r="A923" t="inlineStr">
        <is>
          <t>2025-05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103300000</v>
      </c>
      <c r="J923" t="inlineStr">
        <is>
          <t>COP</t>
        </is>
      </c>
      <c r="L923">
        <f>IFERROR(INDEX(Diccionario!$B:$B,MATCH(F923,Diccionario!$C:$C,0)),"")</f>
        <v/>
      </c>
      <c r="M923">
        <f>IFERROR(INDEX(Diccionario!$H:$H,MATCH(F923,Diccionario!$C:$C,0)),"")</f>
        <v/>
      </c>
      <c r="N923">
        <f>IFERROR(INDEX(Diccionario!$N:$N,MATCH(F923,Diccionario!$C:$C,0)),"")</f>
        <v/>
      </c>
    </row>
    <row r="924" ht="14.25" customHeight="1" s="52">
      <c r="A924" t="inlineStr">
        <is>
          <t>2025-05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45000000</v>
      </c>
      <c r="J924" t="inlineStr">
        <is>
          <t>COP</t>
        </is>
      </c>
      <c r="L924">
        <f>IFERROR(INDEX(Diccionario!$B:$B,MATCH(F924,Diccionario!$C:$C,0)),"")</f>
        <v/>
      </c>
      <c r="M924">
        <f>IFERROR(INDEX(Diccionario!$H:$H,MATCH(F924,Diccionario!$C:$C,0)),"")</f>
        <v/>
      </c>
      <c r="N924">
        <f>IFERROR(INDEX(Diccionario!$N:$N,MATCH(F924,Diccionario!$C:$C,0)),"")</f>
        <v/>
      </c>
    </row>
    <row r="925" ht="14.25" customHeight="1" s="52">
      <c r="A925" t="inlineStr">
        <is>
          <t>2025-05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0</v>
      </c>
      <c r="J925" t="inlineStr">
        <is>
          <t>COP</t>
        </is>
      </c>
      <c r="L925">
        <f>IFERROR(INDEX(Diccionario!$B:$B,MATCH(F925,Diccionario!$C:$C,0)),"")</f>
        <v/>
      </c>
      <c r="M925">
        <f>IFERROR(INDEX(Diccionario!$H:$H,MATCH(F925,Diccionario!$C:$C,0)),"")</f>
        <v/>
      </c>
      <c r="N925">
        <f>IFERROR(INDEX(Diccionario!$N:$N,MATCH(F925,Diccionario!$C:$C,0)),"")</f>
        <v/>
      </c>
    </row>
    <row r="926" ht="14.25" customHeight="1" s="52">
      <c r="A926" t="inlineStr">
        <is>
          <t>2025-05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9500000</v>
      </c>
      <c r="J926" t="inlineStr">
        <is>
          <t>COP</t>
        </is>
      </c>
      <c r="L926">
        <f>IFERROR(INDEX(Diccionario!$B:$B,MATCH(F926,Diccionario!$C:$C,0)),"")</f>
        <v/>
      </c>
      <c r="M926">
        <f>IFERROR(INDEX(Diccionario!$H:$H,MATCH(F926,Diccionario!$C:$C,0)),"")</f>
        <v/>
      </c>
      <c r="N926">
        <f>IFERROR(INDEX(Diccionario!$N:$N,MATCH(F926,Diccionario!$C:$C,0)),"")</f>
        <v/>
      </c>
    </row>
    <row r="927" ht="14.25" customHeight="1" s="52">
      <c r="A927" t="inlineStr">
        <is>
          <t>2025-05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25600000</v>
      </c>
      <c r="J927" t="inlineStr">
        <is>
          <t>COP</t>
        </is>
      </c>
      <c r="L927">
        <f>IFERROR(INDEX(Diccionario!$B:$B,MATCH(F927,Diccionario!$C:$C,0)),"")</f>
        <v/>
      </c>
      <c r="M927">
        <f>IFERROR(INDEX(Diccionario!$H:$H,MATCH(F927,Diccionario!$C:$C,0)),"")</f>
        <v/>
      </c>
      <c r="N927">
        <f>IFERROR(INDEX(Diccionario!$N:$N,MATCH(F927,Diccionario!$C:$C,0)),"")</f>
        <v/>
      </c>
    </row>
    <row r="928" ht="14.25" customHeight="1" s="52">
      <c r="A928" t="inlineStr">
        <is>
          <t>2025-05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9900000</v>
      </c>
      <c r="J928" t="inlineStr">
        <is>
          <t>COP</t>
        </is>
      </c>
      <c r="L928">
        <f>IFERROR(INDEX(Diccionario!$B:$B,MATCH(F928,Diccionario!$C:$C,0)),"")</f>
        <v/>
      </c>
      <c r="M928">
        <f>IFERROR(INDEX(Diccionario!$H:$H,MATCH(F928,Diccionario!$C:$C,0)),"")</f>
        <v/>
      </c>
      <c r="N928">
        <f>IFERROR(INDEX(Diccionario!$N:$N,MATCH(F928,Diccionario!$C:$C,0)),"")</f>
        <v/>
      </c>
    </row>
    <row r="929" ht="14.25" customHeight="1" s="52">
      <c r="A929" t="inlineStr">
        <is>
          <t>2025-06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105800000</v>
      </c>
      <c r="J929" t="inlineStr">
        <is>
          <t>COP</t>
        </is>
      </c>
      <c r="L929">
        <f>IFERROR(INDEX(Diccionario!$B:$B,MATCH(F929,Diccionario!$C:$C,0)),"")</f>
        <v/>
      </c>
      <c r="M929">
        <f>IFERROR(INDEX(Diccionario!$H:$H,MATCH(F929,Diccionario!$C:$C,0)),"")</f>
        <v/>
      </c>
      <c r="N929">
        <f>IFERROR(INDEX(Diccionario!$N:$N,MATCH(F929,Diccionario!$C:$C,0)),"")</f>
        <v/>
      </c>
    </row>
    <row r="930" ht="14.25" customHeight="1" s="52">
      <c r="A930" t="inlineStr">
        <is>
          <t>2025-06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39961000</v>
      </c>
      <c r="J930" t="inlineStr">
        <is>
          <t>COP</t>
        </is>
      </c>
      <c r="L930">
        <f>IFERROR(INDEX(Diccionario!$B:$B,MATCH(F930,Diccionario!$C:$C,0)),"")</f>
        <v/>
      </c>
      <c r="M930">
        <f>IFERROR(INDEX(Diccionario!$H:$H,MATCH(F930,Diccionario!$C:$C,0)),"")</f>
        <v/>
      </c>
      <c r="N930">
        <f>IFERROR(INDEX(Diccionario!$N:$N,MATCH(F930,Diccionario!$C:$C,0)),"")</f>
        <v/>
      </c>
    </row>
    <row r="931" ht="14.25" customHeight="1" s="52">
      <c r="A931" t="inlineStr">
        <is>
          <t>2025-06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IFERROR(INDEX(Diccionario!$B:$B,MATCH(F931,Diccionario!$C:$C,0)),"")</f>
        <v/>
      </c>
      <c r="M931">
        <f>IFERROR(INDEX(Diccionario!$H:$H,MATCH(F931,Diccionario!$C:$C,0)),"")</f>
        <v/>
      </c>
      <c r="N931">
        <f>IFERROR(INDEX(Diccionario!$N:$N,MATCH(F931,Diccionario!$C:$C,0)),"")</f>
        <v/>
      </c>
    </row>
    <row r="932" ht="14.25" customHeight="1" s="52">
      <c r="A932" t="inlineStr">
        <is>
          <t>2025-06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26300000</v>
      </c>
      <c r="J932" t="inlineStr">
        <is>
          <t>COP</t>
        </is>
      </c>
      <c r="L932">
        <f>IFERROR(INDEX(Diccionario!$B:$B,MATCH(F932,Diccionario!$C:$C,0)),"")</f>
        <v/>
      </c>
      <c r="M932">
        <f>IFERROR(INDEX(Diccionario!$H:$H,MATCH(F932,Diccionario!$C:$C,0)),"")</f>
        <v/>
      </c>
      <c r="N932">
        <f>IFERROR(INDEX(Diccionario!$N:$N,MATCH(F932,Diccionario!$C:$C,0)),"")</f>
        <v/>
      </c>
    </row>
    <row r="933" ht="14.25" customHeight="1" s="52">
      <c r="A933" t="inlineStr">
        <is>
          <t>2025-06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44990000</v>
      </c>
      <c r="J933" t="inlineStr">
        <is>
          <t>COP</t>
        </is>
      </c>
      <c r="L933">
        <f>IFERROR(INDEX(Diccionario!$B:$B,MATCH(F933,Diccionario!$C:$C,0)),"")</f>
        <v/>
      </c>
      <c r="M933">
        <f>IFERROR(INDEX(Diccionario!$H:$H,MATCH(F933,Diccionario!$C:$C,0)),"")</f>
        <v/>
      </c>
      <c r="N933">
        <f>IFERROR(INDEX(Diccionario!$N:$N,MATCH(F933,Diccionario!$C:$C,0)),"")</f>
        <v/>
      </c>
    </row>
    <row r="934" ht="14.25" customHeight="1" s="52">
      <c r="A934" t="inlineStr">
        <is>
          <t>2025-06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8800000</v>
      </c>
      <c r="J934" t="inlineStr">
        <is>
          <t>COP</t>
        </is>
      </c>
      <c r="L934">
        <f>IFERROR(INDEX(Diccionario!$B:$B,MATCH(F934,Diccionario!$C:$C,0)),"")</f>
        <v/>
      </c>
      <c r="M934">
        <f>IFERROR(INDEX(Diccionario!$H:$H,MATCH(F934,Diccionario!$C:$C,0)),"")</f>
        <v/>
      </c>
      <c r="N934">
        <f>IFERROR(INDEX(Diccionario!$N:$N,MATCH(F934,Diccionario!$C:$C,0)),"")</f>
        <v/>
      </c>
    </row>
    <row r="935" ht="14.25" customHeight="1" s="52">
      <c r="A935" t="inlineStr">
        <is>
          <t>2025-07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91900000</v>
      </c>
      <c r="J935" t="inlineStr">
        <is>
          <t>COP</t>
        </is>
      </c>
      <c r="L935">
        <f>IFERROR(INDEX(Diccionario!$B:$B,MATCH(F935,Diccionario!$C:$C,0)),"")</f>
        <v/>
      </c>
      <c r="M935">
        <f>IFERROR(INDEX(Diccionario!$H:$H,MATCH(F935,Diccionario!$C:$C,0)),"")</f>
        <v/>
      </c>
      <c r="N935">
        <f>IFERROR(INDEX(Diccionario!$N:$N,MATCH(F935,Diccionario!$C:$C,0)),"")</f>
        <v/>
      </c>
    </row>
    <row r="936" ht="14.25" customHeight="1" s="52">
      <c r="A936" t="inlineStr">
        <is>
          <t>2025-07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54765000</v>
      </c>
      <c r="J936" t="inlineStr">
        <is>
          <t>COP</t>
        </is>
      </c>
      <c r="L936">
        <f>IFERROR(INDEX(Diccionario!$B:$B,MATCH(F936,Diccionario!$C:$C,0)),"")</f>
        <v/>
      </c>
      <c r="M936">
        <f>IFERROR(INDEX(Diccionario!$H:$H,MATCH(F936,Diccionario!$C:$C,0)),"")</f>
        <v/>
      </c>
      <c r="N936">
        <f>IFERROR(INDEX(Diccionario!$N:$N,MATCH(F936,Diccionario!$C:$C,0)),"")</f>
        <v/>
      </c>
    </row>
    <row r="937" ht="14.25" customHeight="1" s="52">
      <c r="A937" t="inlineStr">
        <is>
          <t>2025-07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300000</v>
      </c>
      <c r="J937" t="inlineStr">
        <is>
          <t>COP</t>
        </is>
      </c>
      <c r="L937">
        <f>IFERROR(INDEX(Diccionario!$B:$B,MATCH(F937,Diccionario!$C:$C,0)),"")</f>
        <v/>
      </c>
      <c r="M937">
        <f>IFERROR(INDEX(Diccionario!$H:$H,MATCH(F937,Diccionario!$C:$C,0)),"")</f>
        <v/>
      </c>
      <c r="N937">
        <f>IFERROR(INDEX(Diccionario!$N:$N,MATCH(F937,Diccionario!$C:$C,0)),"")</f>
        <v/>
      </c>
    </row>
    <row r="938" ht="14.25" customHeight="1" s="52">
      <c r="A938" t="inlineStr">
        <is>
          <t>2025-07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58200000</v>
      </c>
      <c r="J938" t="inlineStr">
        <is>
          <t>COP</t>
        </is>
      </c>
      <c r="L938">
        <f>IFERROR(INDEX(Diccionario!$B:$B,MATCH(F938,Diccionario!$C:$C,0)),"")</f>
        <v/>
      </c>
      <c r="M938">
        <f>IFERROR(INDEX(Diccionario!$H:$H,MATCH(F938,Diccionario!$C:$C,0)),"")</f>
        <v/>
      </c>
      <c r="N938">
        <f>IFERROR(INDEX(Diccionario!$N:$N,MATCH(F938,Diccionario!$C:$C,0)),"")</f>
        <v/>
      </c>
    </row>
    <row r="939" ht="14.25" customHeight="1" s="52">
      <c r="A939" t="inlineStr">
        <is>
          <t>2025-07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23400000</v>
      </c>
      <c r="J939" t="inlineStr">
        <is>
          <t>COP</t>
        </is>
      </c>
      <c r="L939">
        <f>IFERROR(INDEX(Diccionario!$B:$B,MATCH(F939,Diccionario!$C:$C,0)),"")</f>
        <v/>
      </c>
      <c r="M939">
        <f>IFERROR(INDEX(Diccionario!$H:$H,MATCH(F939,Diccionario!$C:$C,0)),"")</f>
        <v/>
      </c>
      <c r="N939">
        <f>IFERROR(INDEX(Diccionario!$N:$N,MATCH(F939,Diccionario!$C:$C,0)),"")</f>
        <v/>
      </c>
    </row>
    <row r="940" ht="14.25" customHeight="1" s="52">
      <c r="A940" t="inlineStr">
        <is>
          <t>2025-07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11100000</v>
      </c>
      <c r="J940" t="inlineStr">
        <is>
          <t>COP</t>
        </is>
      </c>
      <c r="L940">
        <f>IFERROR(INDEX(Diccionario!$B:$B,MATCH(F940,Diccionario!$C:$C,0)),"")</f>
        <v/>
      </c>
      <c r="M940">
        <f>IFERROR(INDEX(Diccionario!$H:$H,MATCH(F940,Diccionario!$C:$C,0)),"")</f>
        <v/>
      </c>
      <c r="N940">
        <f>IFERROR(INDEX(Diccionario!$N:$N,MATCH(F940,Diccionario!$C:$C,0)),"")</f>
        <v/>
      </c>
    </row>
    <row r="941" ht="14.25" customHeight="1" s="52">
      <c r="A941" t="inlineStr">
        <is>
          <t>2025-08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77100000</v>
      </c>
      <c r="J941" t="inlineStr">
        <is>
          <t>COP</t>
        </is>
      </c>
      <c r="L941">
        <f>IFERROR(INDEX(Diccionario!$B:$B,MATCH(F941,Diccionario!$C:$C,0)),"")</f>
        <v/>
      </c>
      <c r="M941">
        <f>IFERROR(INDEX(Diccionario!$H:$H,MATCH(F941,Diccionario!$C:$C,0)),"")</f>
        <v/>
      </c>
      <c r="N941">
        <f>IFERROR(INDEX(Diccionario!$N:$N,MATCH(F941,Diccionario!$C:$C,0)),"")</f>
        <v/>
      </c>
    </row>
    <row r="942" ht="14.25" customHeight="1" s="52">
      <c r="A942" t="inlineStr">
        <is>
          <t>2025-08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24700000</v>
      </c>
      <c r="J942" t="inlineStr">
        <is>
          <t>COP</t>
        </is>
      </c>
      <c r="L942">
        <f>IFERROR(INDEX(Diccionario!$B:$B,MATCH(F942,Diccionario!$C:$C,0)),"")</f>
        <v/>
      </c>
      <c r="M942">
        <f>IFERROR(INDEX(Diccionario!$H:$H,MATCH(F942,Diccionario!$C:$C,0)),"")</f>
        <v/>
      </c>
      <c r="N942">
        <f>IFERROR(INDEX(Diccionario!$N:$N,MATCH(F942,Diccionario!$C:$C,0)),"")</f>
        <v/>
      </c>
    </row>
    <row r="943" ht="14.25" customHeight="1" s="52">
      <c r="A943" t="inlineStr">
        <is>
          <t>2025-08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0</v>
      </c>
      <c r="J943" t="inlineStr">
        <is>
          <t>COP</t>
        </is>
      </c>
      <c r="L943">
        <f>IFERROR(INDEX(Diccionario!$B:$B,MATCH(F943,Diccionario!$C:$C,0)),"")</f>
        <v/>
      </c>
      <c r="M943">
        <f>IFERROR(INDEX(Diccionario!$H:$H,MATCH(F943,Diccionario!$C:$C,0)),"")</f>
        <v/>
      </c>
      <c r="N943">
        <f>IFERROR(INDEX(Diccionario!$N:$N,MATCH(F943,Diccionario!$C:$C,0)),"")</f>
        <v/>
      </c>
    </row>
    <row r="944" ht="14.25" customHeight="1" s="52">
      <c r="A944" t="inlineStr">
        <is>
          <t>2025-08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33200000</v>
      </c>
      <c r="J944" t="inlineStr">
        <is>
          <t>COP</t>
        </is>
      </c>
      <c r="L944">
        <f>IFERROR(INDEX(Diccionario!$B:$B,MATCH(F944,Diccionario!$C:$C,0)),"")</f>
        <v/>
      </c>
      <c r="M944">
        <f>IFERROR(INDEX(Diccionario!$H:$H,MATCH(F944,Diccionario!$C:$C,0)),"")</f>
        <v/>
      </c>
      <c r="N944">
        <f>IFERROR(INDEX(Diccionario!$N:$N,MATCH(F944,Diccionario!$C:$C,0)),"")</f>
        <v/>
      </c>
    </row>
    <row r="945" ht="14.25" customHeight="1" s="52">
      <c r="A945" t="inlineStr">
        <is>
          <t>2025-08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26700000</v>
      </c>
      <c r="J945" t="inlineStr">
        <is>
          <t>COP</t>
        </is>
      </c>
      <c r="L945">
        <f>IFERROR(INDEX(Diccionario!$B:$B,MATCH(F945,Diccionario!$C:$C,0)),"")</f>
        <v/>
      </c>
      <c r="M945">
        <f>IFERROR(INDEX(Diccionario!$H:$H,MATCH(F945,Diccionario!$C:$C,0)),"")</f>
        <v/>
      </c>
      <c r="N945">
        <f>IFERROR(INDEX(Diccionario!$N:$N,MATCH(F945,Diccionario!$C:$C,0)),"")</f>
        <v/>
      </c>
    </row>
    <row r="946" ht="14.25" customHeight="1" s="52">
      <c r="A946" t="inlineStr">
        <is>
          <t>2025-08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7600000</v>
      </c>
      <c r="J946" t="inlineStr">
        <is>
          <t>COP</t>
        </is>
      </c>
      <c r="L946">
        <f>IFERROR(INDEX(Diccionario!$B:$B,MATCH(F946,Diccionario!$C:$C,0)),"")</f>
        <v/>
      </c>
      <c r="M946">
        <f>IFERROR(INDEX(Diccionario!$H:$H,MATCH(F946,Diccionario!$C:$C,0)),"")</f>
        <v/>
      </c>
      <c r="N946">
        <f>IFERROR(INDEX(Diccionario!$N:$N,MATCH(F946,Diccionario!$C:$C,0)),"")</f>
        <v/>
      </c>
    </row>
    <row r="947" ht="14.25" customHeight="1" s="52">
      <c r="A947" t="inlineStr">
        <is>
          <t>2025-09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66220000</v>
      </c>
      <c r="J947" t="inlineStr">
        <is>
          <t>COP</t>
        </is>
      </c>
      <c r="L947">
        <f>IFERROR(INDEX(Diccionario!$B:$B,MATCH(F947,Diccionario!$C:$C,0)),"")</f>
        <v/>
      </c>
      <c r="M947">
        <f>IFERROR(INDEX(Diccionario!$H:$H,MATCH(F947,Diccionario!$C:$C,0)),"")</f>
        <v/>
      </c>
      <c r="N947">
        <f>IFERROR(INDEX(Diccionario!$N:$N,MATCH(F947,Diccionario!$C:$C,0)),"")</f>
        <v/>
      </c>
    </row>
    <row r="948" ht="14.25" customHeight="1" s="52">
      <c r="A948" t="inlineStr">
        <is>
          <t>2025-09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38000000</v>
      </c>
      <c r="J948" t="inlineStr">
        <is>
          <t>COP</t>
        </is>
      </c>
      <c r="L948">
        <f>IFERROR(INDEX(Diccionario!$B:$B,MATCH(F948,Diccionario!$C:$C,0)),"")</f>
        <v/>
      </c>
      <c r="M948">
        <f>IFERROR(INDEX(Diccionario!$H:$H,MATCH(F948,Diccionario!$C:$C,0)),"")</f>
        <v/>
      </c>
      <c r="N948">
        <f>IFERROR(INDEX(Diccionario!$N:$N,MATCH(F948,Diccionario!$C:$C,0)),"")</f>
        <v/>
      </c>
    </row>
    <row r="949" ht="14.25" customHeight="1" s="52">
      <c r="A949" t="inlineStr">
        <is>
          <t>2025-09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1900000</v>
      </c>
      <c r="J949" t="inlineStr">
        <is>
          <t>COP</t>
        </is>
      </c>
      <c r="L949">
        <f>IFERROR(INDEX(Diccionario!$B:$B,MATCH(F949,Diccionario!$C:$C,0)),"")</f>
        <v/>
      </c>
      <c r="M949">
        <f>IFERROR(INDEX(Diccionario!$H:$H,MATCH(F949,Diccionario!$C:$C,0)),"")</f>
        <v/>
      </c>
      <c r="N949">
        <f>IFERROR(INDEX(Diccionario!$N:$N,MATCH(F949,Diccionario!$C:$C,0)),"")</f>
        <v/>
      </c>
    </row>
    <row r="950" ht="14.25" customHeight="1" s="52">
      <c r="A950" t="inlineStr">
        <is>
          <t>2025-09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52800000</v>
      </c>
      <c r="J950" t="inlineStr">
        <is>
          <t>COP</t>
        </is>
      </c>
      <c r="L950">
        <f>IFERROR(INDEX(Diccionario!$B:$B,MATCH(F950,Diccionario!$C:$C,0)),"")</f>
        <v/>
      </c>
      <c r="M950">
        <f>IFERROR(INDEX(Diccionario!$H:$H,MATCH(F950,Diccionario!$C:$C,0)),"")</f>
        <v/>
      </c>
      <c r="N950">
        <f>IFERROR(INDEX(Diccionario!$N:$N,MATCH(F950,Diccionario!$C:$C,0)),"")</f>
        <v/>
      </c>
    </row>
    <row r="951" ht="14.25" customHeight="1" s="52">
      <c r="A951" t="inlineStr">
        <is>
          <t>2025-09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19100000</v>
      </c>
      <c r="J951" t="inlineStr">
        <is>
          <t>COP</t>
        </is>
      </c>
      <c r="L951">
        <f>IFERROR(INDEX(Diccionario!$B:$B,MATCH(F951,Diccionario!$C:$C,0)),"")</f>
        <v/>
      </c>
      <c r="M951">
        <f>IFERROR(INDEX(Diccionario!$H:$H,MATCH(F951,Diccionario!$C:$C,0)),"")</f>
        <v/>
      </c>
      <c r="N951">
        <f>IFERROR(INDEX(Diccionario!$N:$N,MATCH(F951,Diccionario!$C:$C,0)),"")</f>
        <v/>
      </c>
    </row>
    <row r="952" ht="14.25" customHeight="1" s="52">
      <c r="A952" t="inlineStr">
        <is>
          <t>2025-09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10600000</v>
      </c>
      <c r="J952" t="inlineStr">
        <is>
          <t>COP</t>
        </is>
      </c>
      <c r="L952">
        <f>IFERROR(INDEX(Diccionario!$B:$B,MATCH(F952,Diccionario!$C:$C,0)),"")</f>
        <v/>
      </c>
      <c r="M952">
        <f>IFERROR(INDEX(Diccionario!$H:$H,MATCH(F952,Diccionario!$C:$C,0)),"")</f>
        <v/>
      </c>
      <c r="N952">
        <f>IFERROR(INDEX(Diccionario!$N:$N,MATCH(F952,Diccionario!$C:$C,0)),"")</f>
        <v/>
      </c>
    </row>
    <row r="953" ht="14.25" customHeight="1" s="52">
      <c r="A953" t="inlineStr">
        <is>
          <t>2025-10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80100000</v>
      </c>
      <c r="J953" t="inlineStr">
        <is>
          <t>COP</t>
        </is>
      </c>
      <c r="L953">
        <f>IFERROR(INDEX(Diccionario!$B:$B,MATCH(F953,Diccionario!$C:$C,0)),"")</f>
        <v/>
      </c>
      <c r="M953">
        <f>IFERROR(INDEX(Diccionario!$H:$H,MATCH(F953,Diccionario!$C:$C,0)),"")</f>
        <v/>
      </c>
      <c r="N953">
        <f>IFERROR(INDEX(Diccionario!$N:$N,MATCH(F953,Diccionario!$C:$C,0)),"")</f>
        <v/>
      </c>
    </row>
    <row r="954" ht="14.25" customHeight="1" s="52">
      <c r="A954" t="inlineStr">
        <is>
          <t>2025-10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38600000</v>
      </c>
      <c r="J954" t="inlineStr">
        <is>
          <t>COP</t>
        </is>
      </c>
      <c r="L954">
        <f>IFERROR(INDEX(Diccionario!$B:$B,MATCH(F954,Diccionario!$C:$C,0)),"")</f>
        <v/>
      </c>
      <c r="M954">
        <f>IFERROR(INDEX(Diccionario!$H:$H,MATCH(F954,Diccionario!$C:$C,0)),"")</f>
        <v/>
      </c>
      <c r="N954">
        <f>IFERROR(INDEX(Diccionario!$N:$N,MATCH(F954,Diccionario!$C:$C,0)),"")</f>
        <v/>
      </c>
    </row>
    <row r="955" ht="14.25" customHeight="1" s="52">
      <c r="A955" t="inlineStr">
        <is>
          <t>2025-10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100000</v>
      </c>
      <c r="J955" t="inlineStr">
        <is>
          <t>COP</t>
        </is>
      </c>
      <c r="L955">
        <f>IFERROR(INDEX(Diccionario!$B:$B,MATCH(F955,Diccionario!$C:$C,0)),"")</f>
        <v/>
      </c>
      <c r="M955">
        <f>IFERROR(INDEX(Diccionario!$H:$H,MATCH(F955,Diccionario!$C:$C,0)),"")</f>
        <v/>
      </c>
      <c r="N955">
        <f>IFERROR(INDEX(Diccionario!$N:$N,MATCH(F955,Diccionario!$C:$C,0)),"")</f>
        <v/>
      </c>
    </row>
    <row r="956" ht="14.25" customHeight="1" s="52">
      <c r="A956" t="inlineStr">
        <is>
          <t>2025-10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14000000</v>
      </c>
      <c r="J956" t="inlineStr">
        <is>
          <t>COP</t>
        </is>
      </c>
      <c r="L956">
        <f>IFERROR(INDEX(Diccionario!$B:$B,MATCH(F956,Diccionario!$C:$C,0)),"")</f>
        <v/>
      </c>
      <c r="M956">
        <f>IFERROR(INDEX(Diccionario!$H:$H,MATCH(F956,Diccionario!$C:$C,0)),"")</f>
        <v/>
      </c>
      <c r="N956">
        <f>IFERROR(INDEX(Diccionario!$N:$N,MATCH(F956,Diccionario!$C:$C,0)),"")</f>
        <v/>
      </c>
    </row>
    <row r="957" ht="14.25" customHeight="1" s="52">
      <c r="A957" t="inlineStr">
        <is>
          <t>2025-10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23200000</v>
      </c>
      <c r="J957" t="inlineStr">
        <is>
          <t>COP</t>
        </is>
      </c>
      <c r="L957">
        <f>IFERROR(INDEX(Diccionario!$B:$B,MATCH(F957,Diccionario!$C:$C,0)),"")</f>
        <v/>
      </c>
      <c r="M957">
        <f>IFERROR(INDEX(Diccionario!$H:$H,MATCH(F957,Diccionario!$C:$C,0)),"")</f>
        <v/>
      </c>
      <c r="N957">
        <f>IFERROR(INDEX(Diccionario!$N:$N,MATCH(F957,Diccionario!$C:$C,0)),"")</f>
        <v/>
      </c>
    </row>
    <row r="958" ht="14.25" customHeight="1" s="52">
      <c r="A958" t="inlineStr">
        <is>
          <t>2025-10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9000000</v>
      </c>
      <c r="J958" t="inlineStr">
        <is>
          <t>COP</t>
        </is>
      </c>
      <c r="L958">
        <f>IFERROR(INDEX(Diccionario!$B:$B,MATCH(F958,Diccionario!$C:$C,0)),"")</f>
        <v/>
      </c>
      <c r="M958">
        <f>IFERROR(INDEX(Diccionario!$H:$H,MATCH(F958,Diccionario!$C:$C,0)),"")</f>
        <v/>
      </c>
      <c r="N958">
        <f>IFERROR(INDEX(Diccionario!$N:$N,MATCH(F958,Diccionario!$C:$C,0)),"")</f>
        <v/>
      </c>
    </row>
    <row r="959" ht="14.25" customHeight="1" s="52">
      <c r="A959" t="inlineStr">
        <is>
          <t>2025-11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107200000</v>
      </c>
      <c r="J959" t="inlineStr">
        <is>
          <t>COP</t>
        </is>
      </c>
      <c r="L959">
        <f>IFERROR(INDEX(Diccionario!$B:$B,MATCH(F959,Diccionario!$C:$C,0)),"")</f>
        <v/>
      </c>
      <c r="M959">
        <f>IFERROR(INDEX(Diccionario!$H:$H,MATCH(F959,Diccionario!$C:$C,0)),"")</f>
        <v/>
      </c>
      <c r="N959">
        <f>IFERROR(INDEX(Diccionario!$N:$N,MATCH(F959,Diccionario!$C:$C,0)),"")</f>
        <v/>
      </c>
    </row>
    <row r="960" ht="14.25" customHeight="1" s="52">
      <c r="A960" t="inlineStr">
        <is>
          <t>2025-11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16500000</v>
      </c>
      <c r="J960" t="inlineStr">
        <is>
          <t>COP</t>
        </is>
      </c>
      <c r="L960">
        <f>IFERROR(INDEX(Diccionario!$B:$B,MATCH(F960,Diccionario!$C:$C,0)),"")</f>
        <v/>
      </c>
      <c r="M960">
        <f>IFERROR(INDEX(Diccionario!$H:$H,MATCH(F960,Diccionario!$C:$C,0)),"")</f>
        <v/>
      </c>
      <c r="N960">
        <f>IFERROR(INDEX(Diccionario!$N:$N,MATCH(F960,Diccionario!$C:$C,0)),"")</f>
        <v/>
      </c>
    </row>
    <row r="961" ht="14.25" customHeight="1" s="52">
      <c r="A961" t="inlineStr">
        <is>
          <t>2025-11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400000</v>
      </c>
      <c r="J961" t="inlineStr">
        <is>
          <t>COP</t>
        </is>
      </c>
      <c r="L961">
        <f>IFERROR(INDEX(Diccionario!$B:$B,MATCH(F961,Diccionario!$C:$C,0)),"")</f>
        <v/>
      </c>
      <c r="M961">
        <f>IFERROR(INDEX(Diccionario!$H:$H,MATCH(F961,Diccionario!$C:$C,0)),"")</f>
        <v/>
      </c>
      <c r="N961">
        <f>IFERROR(INDEX(Diccionario!$N:$N,MATCH(F961,Diccionario!$C:$C,0)),"")</f>
        <v/>
      </c>
    </row>
    <row r="962" ht="14.25" customHeight="1" s="52">
      <c r="A962" t="inlineStr">
        <is>
          <t>2025-11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21600000</v>
      </c>
      <c r="J962" t="inlineStr">
        <is>
          <t>COP</t>
        </is>
      </c>
      <c r="L962">
        <f>IFERROR(INDEX(Diccionario!$B:$B,MATCH(F962,Diccionario!$C:$C,0)),"")</f>
        <v/>
      </c>
      <c r="M962">
        <f>IFERROR(INDEX(Diccionario!$H:$H,MATCH(F962,Diccionario!$C:$C,0)),"")</f>
        <v/>
      </c>
      <c r="N962">
        <f>IFERROR(INDEX(Diccionario!$N:$N,MATCH(F962,Diccionario!$C:$C,0)),"")</f>
        <v/>
      </c>
    </row>
    <row r="963" ht="14.25" customHeight="1" s="52">
      <c r="A963" t="inlineStr">
        <is>
          <t>2025-11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9300000</v>
      </c>
      <c r="J963" t="inlineStr">
        <is>
          <t>COP</t>
        </is>
      </c>
      <c r="L963">
        <f>IFERROR(INDEX(Diccionario!$B:$B,MATCH(F963,Diccionario!$C:$C,0)),"")</f>
        <v/>
      </c>
      <c r="M963">
        <f>IFERROR(INDEX(Diccionario!$H:$H,MATCH(F963,Diccionario!$C:$C,0)),"")</f>
        <v/>
      </c>
      <c r="N963">
        <f>IFERROR(INDEX(Diccionario!$N:$N,MATCH(F963,Diccionario!$C:$C,0)),"")</f>
        <v/>
      </c>
    </row>
    <row r="964" ht="14.25" customHeight="1" s="52">
      <c r="A964" t="inlineStr">
        <is>
          <t>2025-11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16100000</v>
      </c>
      <c r="J964" t="inlineStr">
        <is>
          <t>COP</t>
        </is>
      </c>
      <c r="L964">
        <f>IFERROR(INDEX(Diccionario!$B:$B,MATCH(F964,Diccionario!$C:$C,0)),"")</f>
        <v/>
      </c>
      <c r="M964">
        <f>IFERROR(INDEX(Diccionario!$H:$H,MATCH(F964,Diccionario!$C:$C,0)),"")</f>
        <v/>
      </c>
      <c r="N964">
        <f>IFERROR(INDEX(Diccionario!$N:$N,MATCH(F964,Diccionario!$C:$C,0)),"")</f>
        <v/>
      </c>
    </row>
    <row r="965" ht="14.25" customHeight="1" s="52">
      <c r="A965" t="inlineStr">
        <is>
          <t>2025-12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99200000</v>
      </c>
      <c r="J965" t="inlineStr">
        <is>
          <t>COP</t>
        </is>
      </c>
      <c r="L965">
        <f>IFERROR(INDEX(Diccionario!$B:$B,MATCH(F965,Diccionario!$C:$C,0)),"")</f>
        <v/>
      </c>
      <c r="M965">
        <f>IFERROR(INDEX(Diccionario!$H:$H,MATCH(F965,Diccionario!$C:$C,0)),"")</f>
        <v/>
      </c>
      <c r="N965">
        <f>IFERROR(INDEX(Diccionario!$N:$N,MATCH(F965,Diccionario!$C:$C,0)),"")</f>
        <v/>
      </c>
    </row>
    <row r="966" ht="14.25" customHeight="1" s="52">
      <c r="A966" t="inlineStr">
        <is>
          <t>2025-12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47800000</v>
      </c>
      <c r="J966" t="inlineStr">
        <is>
          <t>COP</t>
        </is>
      </c>
      <c r="L966">
        <f>IFERROR(INDEX(Diccionario!$B:$B,MATCH(F966,Diccionario!$C:$C,0)),"")</f>
        <v/>
      </c>
      <c r="M966">
        <f>IFERROR(INDEX(Diccionario!$H:$H,MATCH(F966,Diccionario!$C:$C,0)),"")</f>
        <v/>
      </c>
      <c r="N966">
        <f>IFERROR(INDEX(Diccionario!$N:$N,MATCH(F966,Diccionario!$C:$C,0)),"")</f>
        <v/>
      </c>
    </row>
    <row r="967" ht="14.25" customHeight="1" s="52">
      <c r="A967" t="inlineStr">
        <is>
          <t>2025-12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700000</v>
      </c>
      <c r="J967" t="inlineStr">
        <is>
          <t>COP</t>
        </is>
      </c>
      <c r="L967">
        <f>IFERROR(INDEX(Diccionario!$B:$B,MATCH(F967,Diccionario!$C:$C,0)),"")</f>
        <v/>
      </c>
      <c r="M967">
        <f>IFERROR(INDEX(Diccionario!$H:$H,MATCH(F967,Diccionario!$C:$C,0)),"")</f>
        <v/>
      </c>
      <c r="N967">
        <f>IFERROR(INDEX(Diccionario!$N:$N,MATCH(F967,Diccionario!$C:$C,0)),"")</f>
        <v/>
      </c>
    </row>
    <row r="968" ht="14.25" customHeight="1" s="52">
      <c r="A968" t="inlineStr">
        <is>
          <t>2025-12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23300000</v>
      </c>
      <c r="J968" t="inlineStr">
        <is>
          <t>COP</t>
        </is>
      </c>
      <c r="L968">
        <f>IFERROR(INDEX(Diccionario!$B:$B,MATCH(F968,Diccionario!$C:$C,0)),"")</f>
        <v/>
      </c>
      <c r="M968">
        <f>IFERROR(INDEX(Diccionario!$H:$H,MATCH(F968,Diccionario!$C:$C,0)),"")</f>
        <v/>
      </c>
      <c r="N968">
        <f>IFERROR(INDEX(Diccionario!$N:$N,MATCH(F968,Diccionario!$C:$C,0)),"")</f>
        <v/>
      </c>
    </row>
    <row r="969" ht="14.25" customHeight="1" s="52">
      <c r="A969" t="inlineStr">
        <is>
          <t>2025-12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11400000</v>
      </c>
      <c r="J969" t="inlineStr">
        <is>
          <t>COP</t>
        </is>
      </c>
      <c r="L969">
        <f>IFERROR(INDEX(Diccionario!$B:$B,MATCH(F969,Diccionario!$C:$C,0)),"")</f>
        <v/>
      </c>
      <c r="M969">
        <f>IFERROR(INDEX(Diccionario!$H:$H,MATCH(F969,Diccionario!$C:$C,0)),"")</f>
        <v/>
      </c>
      <c r="N969">
        <f>IFERROR(INDEX(Diccionario!$N:$N,MATCH(F969,Diccionario!$C:$C,0)),"")</f>
        <v/>
      </c>
    </row>
    <row r="970" ht="14.25" customHeight="1" s="52">
      <c r="A970" t="inlineStr">
        <is>
          <t>2025-12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12200000</v>
      </c>
      <c r="J970" t="inlineStr">
        <is>
          <t>COP</t>
        </is>
      </c>
      <c r="L970">
        <f>IFERROR(INDEX(Diccionario!$B:$B,MATCH(F970,Diccionario!$C:$C,0)),"")</f>
        <v/>
      </c>
      <c r="M970">
        <f>IFERROR(INDEX(Diccionario!$H:$H,MATCH(F970,Diccionario!$C:$C,0)),"")</f>
        <v/>
      </c>
      <c r="N970">
        <f>IFERROR(INDEX(Diccionario!$N:$N,MATCH(F970,Diccionario!$C:$C,0)),"")</f>
        <v/>
      </c>
    </row>
    <row r="971" ht="14.25" customHeight="1" s="52">
      <c r="A971" t="inlineStr">
        <is>
          <t>2026-01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72020000</v>
      </c>
      <c r="J971" t="inlineStr">
        <is>
          <t>COP</t>
        </is>
      </c>
      <c r="L971">
        <f>IFERROR(INDEX(Diccionario!$B:$B,MATCH(F971,Diccionario!$C:$C,0)),"")</f>
        <v/>
      </c>
      <c r="M971">
        <f>IFERROR(INDEX(Diccionario!$H:$H,MATCH(F971,Diccionario!$C:$C,0)),"")</f>
        <v/>
      </c>
      <c r="N971">
        <f>IFERROR(INDEX(Diccionario!$N:$N,MATCH(F971,Diccionario!$C:$C,0)),"")</f>
        <v/>
      </c>
    </row>
    <row r="972" ht="14.25" customHeight="1" s="52">
      <c r="A972" t="inlineStr">
        <is>
          <t>2026-01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29800000</v>
      </c>
      <c r="J972" t="inlineStr">
        <is>
          <t>COP</t>
        </is>
      </c>
      <c r="L972">
        <f>IFERROR(INDEX(Diccionario!$B:$B,MATCH(F972,Diccionario!$C:$C,0)),"")</f>
        <v/>
      </c>
      <c r="M972">
        <f>IFERROR(INDEX(Diccionario!$H:$H,MATCH(F972,Diccionario!$C:$C,0)),"")</f>
        <v/>
      </c>
      <c r="N972">
        <f>IFERROR(INDEX(Diccionario!$N:$N,MATCH(F972,Diccionario!$C:$C,0)),"")</f>
        <v/>
      </c>
    </row>
    <row r="973" ht="14.25" customHeight="1" s="52">
      <c r="A973" t="inlineStr">
        <is>
          <t>2026-01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2700000</v>
      </c>
      <c r="J973" t="inlineStr">
        <is>
          <t>COP</t>
        </is>
      </c>
      <c r="L973">
        <f>IFERROR(INDEX(Diccionario!$B:$B,MATCH(F973,Diccionario!$C:$C,0)),"")</f>
        <v/>
      </c>
      <c r="M973">
        <f>IFERROR(INDEX(Diccionario!$H:$H,MATCH(F973,Diccionario!$C:$C,0)),"")</f>
        <v/>
      </c>
      <c r="N973">
        <f>IFERROR(INDEX(Diccionario!$N:$N,MATCH(F973,Diccionario!$C:$C,0)),"")</f>
        <v/>
      </c>
    </row>
    <row r="974" ht="14.25" customHeight="1" s="52">
      <c r="A974" t="inlineStr">
        <is>
          <t>2026-01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8600000</v>
      </c>
      <c r="J974" t="inlineStr">
        <is>
          <t>COP</t>
        </is>
      </c>
      <c r="L974">
        <f>IFERROR(INDEX(Diccionario!$B:$B,MATCH(F974,Diccionario!$C:$C,0)),"")</f>
        <v/>
      </c>
      <c r="M974">
        <f>IFERROR(INDEX(Diccionario!$H:$H,MATCH(F974,Diccionario!$C:$C,0)),"")</f>
        <v/>
      </c>
      <c r="N974">
        <f>IFERROR(INDEX(Diccionario!$N:$N,MATCH(F974,Diccionario!$C:$C,0)),"")</f>
        <v/>
      </c>
    </row>
    <row r="975" ht="14.25" customHeight="1" s="52">
      <c r="A975" t="inlineStr">
        <is>
          <t>2026-01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8100000</v>
      </c>
      <c r="J975" t="inlineStr">
        <is>
          <t>COP</t>
        </is>
      </c>
      <c r="L975">
        <f>IFERROR(INDEX(Diccionario!$B:$B,MATCH(F975,Diccionario!$C:$C,0)),"")</f>
        <v/>
      </c>
      <c r="M975">
        <f>IFERROR(INDEX(Diccionario!$H:$H,MATCH(F975,Diccionario!$C:$C,0)),"")</f>
        <v/>
      </c>
      <c r="N975">
        <f>IFERROR(INDEX(Diccionario!$N:$N,MATCH(F975,Diccionario!$C:$C,0)),"")</f>
        <v/>
      </c>
    </row>
    <row r="976" ht="14.25" customHeight="1" s="52">
      <c r="A976" t="inlineStr">
        <is>
          <t>2026-01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10300000</v>
      </c>
      <c r="J976" t="inlineStr">
        <is>
          <t>COP</t>
        </is>
      </c>
      <c r="L976">
        <f>IFERROR(INDEX(Diccionario!$B:$B,MATCH(F976,Diccionario!$C:$C,0)),"")</f>
        <v/>
      </c>
      <c r="M976">
        <f>IFERROR(INDEX(Diccionario!$H:$H,MATCH(F976,Diccionario!$C:$C,0)),"")</f>
        <v/>
      </c>
      <c r="N976">
        <f>IFERROR(INDEX(Diccionario!$N:$N,MATCH(F976,Diccionario!$C:$C,0)),"")</f>
        <v/>
      </c>
    </row>
    <row r="977" ht="14.25" customHeight="1" s="52">
      <c r="A977" t="inlineStr">
        <is>
          <t>2026-02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97900000</v>
      </c>
      <c r="J977" t="inlineStr">
        <is>
          <t>COP</t>
        </is>
      </c>
      <c r="L977">
        <f>IFERROR(INDEX(Diccionario!$B:$B,MATCH(F977,Diccionario!$C:$C,0)),"")</f>
        <v/>
      </c>
      <c r="M977">
        <f>IFERROR(INDEX(Diccionario!$H:$H,MATCH(F977,Diccionario!$C:$C,0)),"")</f>
        <v/>
      </c>
      <c r="N977">
        <f>IFERROR(INDEX(Diccionario!$N:$N,MATCH(F977,Diccionario!$C:$C,0)),"")</f>
        <v/>
      </c>
    </row>
    <row r="978" ht="14.25" customHeight="1" s="52">
      <c r="A978" t="inlineStr">
        <is>
          <t>2026-02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19400000</v>
      </c>
      <c r="J978" t="inlineStr">
        <is>
          <t>COP</t>
        </is>
      </c>
      <c r="L978">
        <f>IFERROR(INDEX(Diccionario!$B:$B,MATCH(F978,Diccionario!$C:$C,0)),"")</f>
        <v/>
      </c>
      <c r="M978">
        <f>IFERROR(INDEX(Diccionario!$H:$H,MATCH(F978,Diccionario!$C:$C,0)),"")</f>
        <v/>
      </c>
      <c r="N978">
        <f>IFERROR(INDEX(Diccionario!$N:$N,MATCH(F978,Diccionario!$C:$C,0)),"")</f>
        <v/>
      </c>
    </row>
    <row r="979" ht="14.25" customHeight="1" s="52">
      <c r="A979" t="inlineStr">
        <is>
          <t>2026-02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400000</v>
      </c>
      <c r="J979" t="inlineStr">
        <is>
          <t>COP</t>
        </is>
      </c>
      <c r="L979">
        <f>IFERROR(INDEX(Diccionario!$B:$B,MATCH(F979,Diccionario!$C:$C,0)),"")</f>
        <v/>
      </c>
      <c r="M979">
        <f>IFERROR(INDEX(Diccionario!$H:$H,MATCH(F979,Diccionario!$C:$C,0)),"")</f>
        <v/>
      </c>
      <c r="N979">
        <f>IFERROR(INDEX(Diccionario!$N:$N,MATCH(F979,Diccionario!$C:$C,0)),"")</f>
        <v/>
      </c>
    </row>
    <row r="980" ht="14.25" customHeight="1" s="52">
      <c r="A980" t="inlineStr">
        <is>
          <t>2026-02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20200000</v>
      </c>
      <c r="J980" t="inlineStr">
        <is>
          <t>COP</t>
        </is>
      </c>
      <c r="L980">
        <f>IFERROR(INDEX(Diccionario!$B:$B,MATCH(F980,Diccionario!$C:$C,0)),"")</f>
        <v/>
      </c>
      <c r="M980">
        <f>IFERROR(INDEX(Diccionario!$H:$H,MATCH(F980,Diccionario!$C:$C,0)),"")</f>
        <v/>
      </c>
      <c r="N980">
        <f>IFERROR(INDEX(Diccionario!$N:$N,MATCH(F980,Diccionario!$C:$C,0)),"")</f>
        <v/>
      </c>
    </row>
    <row r="981" ht="14.25" customHeight="1" s="52">
      <c r="A981" t="inlineStr">
        <is>
          <t>2026-02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10200000</v>
      </c>
      <c r="J981" t="inlineStr">
        <is>
          <t>COP</t>
        </is>
      </c>
      <c r="L981">
        <f>IFERROR(INDEX(Diccionario!$B:$B,MATCH(F981,Diccionario!$C:$C,0)),"")</f>
        <v/>
      </c>
      <c r="M981">
        <f>IFERROR(INDEX(Diccionario!$H:$H,MATCH(F981,Diccionario!$C:$C,0)),"")</f>
        <v/>
      </c>
      <c r="N981">
        <f>IFERROR(INDEX(Diccionario!$N:$N,MATCH(F981,Diccionario!$C:$C,0)),"")</f>
        <v/>
      </c>
    </row>
    <row r="982" ht="14.25" customHeight="1" s="52">
      <c r="A982" t="inlineStr">
        <is>
          <t>2026-02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11000000</v>
      </c>
      <c r="J982" t="inlineStr">
        <is>
          <t>COP</t>
        </is>
      </c>
      <c r="L982">
        <f>IFERROR(INDEX(Diccionario!$B:$B,MATCH(F982,Diccionario!$C:$C,0)),"")</f>
        <v/>
      </c>
      <c r="M982">
        <f>IFERROR(INDEX(Diccionario!$H:$H,MATCH(F982,Diccionario!$C:$C,0)),"")</f>
        <v/>
      </c>
      <c r="N982">
        <f>IFERROR(INDEX(Diccionario!$N:$N,MATCH(F982,Diccionario!$C:$C,0)),"")</f>
        <v/>
      </c>
    </row>
    <row r="983" ht="14.25" customHeight="1" s="52">
      <c r="A983" t="inlineStr">
        <is>
          <t>2026-03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81200000</v>
      </c>
      <c r="J983" t="inlineStr">
        <is>
          <t>COP</t>
        </is>
      </c>
      <c r="L983">
        <f>IFERROR(INDEX(Diccionario!$B:$B,MATCH(F983,Diccionario!$C:$C,0)),"")</f>
        <v/>
      </c>
      <c r="M983">
        <f>IFERROR(INDEX(Diccionario!$H:$H,MATCH(F983,Diccionario!$C:$C,0)),"")</f>
        <v/>
      </c>
      <c r="N983">
        <f>IFERROR(INDEX(Diccionario!$N:$N,MATCH(F983,Diccionario!$C:$C,0)),"")</f>
        <v/>
      </c>
    </row>
    <row r="984" ht="14.25" customHeight="1" s="52">
      <c r="A984" t="inlineStr">
        <is>
          <t>2026-03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25400000</v>
      </c>
      <c r="J984" t="inlineStr">
        <is>
          <t>COP</t>
        </is>
      </c>
      <c r="L984">
        <f>IFERROR(INDEX(Diccionario!$B:$B,MATCH(F984,Diccionario!$C:$C,0)),"")</f>
        <v/>
      </c>
      <c r="M984">
        <f>IFERROR(INDEX(Diccionario!$H:$H,MATCH(F984,Diccionario!$C:$C,0)),"")</f>
        <v/>
      </c>
      <c r="N984">
        <f>IFERROR(INDEX(Diccionario!$N:$N,MATCH(F984,Diccionario!$C:$C,0)),"")</f>
        <v/>
      </c>
    </row>
    <row r="985" ht="14.25" customHeight="1" s="52">
      <c r="A985" t="inlineStr">
        <is>
          <t>2026-03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256000</v>
      </c>
      <c r="J985" t="inlineStr">
        <is>
          <t>COP</t>
        </is>
      </c>
      <c r="L985">
        <f>IFERROR(INDEX(Diccionario!$B:$B,MATCH(F985,Diccionario!$C:$C,0)),"")</f>
        <v/>
      </c>
      <c r="M985">
        <f>IFERROR(INDEX(Diccionario!$H:$H,MATCH(F985,Diccionario!$C:$C,0)),"")</f>
        <v/>
      </c>
      <c r="N985">
        <f>IFERROR(INDEX(Diccionario!$N:$N,MATCH(F985,Diccionario!$C:$C,0)),"")</f>
        <v/>
      </c>
    </row>
    <row r="986" ht="14.25" customHeight="1" s="52">
      <c r="A986" t="inlineStr">
        <is>
          <t>2026-03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10900000</v>
      </c>
      <c r="J986" t="inlineStr">
        <is>
          <t>COP</t>
        </is>
      </c>
      <c r="L986">
        <f>IFERROR(INDEX(Diccionario!$B:$B,MATCH(F986,Diccionario!$C:$C,0)),"")</f>
        <v/>
      </c>
      <c r="M986">
        <f>IFERROR(INDEX(Diccionario!$H:$H,MATCH(F986,Diccionario!$C:$C,0)),"")</f>
        <v/>
      </c>
      <c r="N986">
        <f>IFERROR(INDEX(Diccionario!$N:$N,MATCH(F986,Diccionario!$C:$C,0)),"")</f>
        <v/>
      </c>
    </row>
    <row r="987" ht="14.25" customHeight="1" s="52">
      <c r="A987" t="inlineStr">
        <is>
          <t>2026-03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7600000</v>
      </c>
      <c r="J987" t="inlineStr">
        <is>
          <t>COP</t>
        </is>
      </c>
      <c r="L987">
        <f>IFERROR(INDEX(Diccionario!$B:$B,MATCH(F987,Diccionario!$C:$C,0)),"")</f>
        <v/>
      </c>
      <c r="M987">
        <f>IFERROR(INDEX(Diccionario!$H:$H,MATCH(F987,Diccionario!$C:$C,0)),"")</f>
        <v/>
      </c>
      <c r="N987">
        <f>IFERROR(INDEX(Diccionario!$N:$N,MATCH(F987,Diccionario!$C:$C,0)),"")</f>
        <v/>
      </c>
    </row>
    <row r="988" ht="14.25" customHeight="1" s="52">
      <c r="A988" t="inlineStr">
        <is>
          <t>2026-03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18500000</v>
      </c>
      <c r="J988" t="inlineStr">
        <is>
          <t>COP</t>
        </is>
      </c>
      <c r="L988">
        <f>IFERROR(INDEX(Diccionario!$B:$B,MATCH(F988,Diccionario!$C:$C,0)),"")</f>
        <v/>
      </c>
      <c r="M988">
        <f>IFERROR(INDEX(Diccionario!$H:$H,MATCH(F988,Diccionario!$C:$C,0)),"")</f>
        <v/>
      </c>
      <c r="N988">
        <f>IFERROR(INDEX(Diccionario!$N:$N,MATCH(F988,Diccionario!$C:$C,0)),"")</f>
        <v/>
      </c>
    </row>
    <row r="989" ht="14.25" customHeight="1" s="52">
      <c r="A989" t="inlineStr">
        <is>
          <t>2026-04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Personal</t>
        </is>
      </c>
      <c r="I989" t="n">
        <v>61100000</v>
      </c>
      <c r="J989" t="inlineStr">
        <is>
          <t>COP</t>
        </is>
      </c>
      <c r="L989">
        <f>IFERROR(INDEX(Diccionario!$B:$B,MATCH(F989,Diccionario!$C:$C,0)),"")</f>
        <v/>
      </c>
      <c r="M989">
        <f>IFERROR(INDEX(Diccionario!$H:$H,MATCH(F989,Diccionario!$C:$C,0)),"")</f>
        <v/>
      </c>
      <c r="N989">
        <f>IFERROR(INDEX(Diccionario!$N:$N,MATCH(F989,Diccionario!$C:$C,0)),"")</f>
        <v/>
      </c>
    </row>
    <row r="990" ht="14.25" customHeight="1" s="52">
      <c r="A990" t="inlineStr">
        <is>
          <t>2026-04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28900000</v>
      </c>
      <c r="J990" t="inlineStr">
        <is>
          <t>COP</t>
        </is>
      </c>
      <c r="L990">
        <f>IFERROR(INDEX(Diccionario!$B:$B,MATCH(F990,Diccionario!$C:$C,0)),"")</f>
        <v/>
      </c>
      <c r="M990">
        <f>IFERROR(INDEX(Diccionario!$H:$H,MATCH(F990,Diccionario!$C:$C,0)),"")</f>
        <v/>
      </c>
      <c r="N990">
        <f>IFERROR(INDEX(Diccionario!$N:$N,MATCH(F990,Diccionario!$C:$C,0)),"")</f>
        <v/>
      </c>
    </row>
    <row r="991" ht="14.25" customHeight="1" s="52">
      <c r="A991" t="inlineStr">
        <is>
          <t>2026-04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Seguros</t>
        </is>
      </c>
      <c r="I991" t="n">
        <v>100000</v>
      </c>
      <c r="J991" t="inlineStr">
        <is>
          <t>COP</t>
        </is>
      </c>
      <c r="L991">
        <f>IFERROR(INDEX(Diccionario!$B:$B,MATCH(F991,Diccionario!$C:$C,0)),"")</f>
        <v/>
      </c>
      <c r="M991">
        <f>IFERROR(INDEX(Diccionario!$H:$H,MATCH(F991,Diccionario!$C:$C,0)),"")</f>
        <v/>
      </c>
      <c r="N991">
        <f>IFERROR(INDEX(Diccionario!$N:$N,MATCH(F991,Diccionario!$C:$C,0)),"")</f>
        <v/>
      </c>
    </row>
    <row r="992" ht="14.25" customHeight="1" s="52">
      <c r="A992" t="inlineStr">
        <is>
          <t>2026-04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Servicios</t>
        </is>
      </c>
      <c r="I992" t="n">
        <v>23100000</v>
      </c>
      <c r="J992" t="inlineStr">
        <is>
          <t>COP</t>
        </is>
      </c>
      <c r="L992">
        <f>IFERROR(INDEX(Diccionario!$B:$B,MATCH(F992,Diccionario!$C:$C,0)),"")</f>
        <v/>
      </c>
      <c r="M992">
        <f>IFERROR(INDEX(Diccionario!$H:$H,MATCH(F992,Diccionario!$C:$C,0)),"")</f>
        <v/>
      </c>
      <c r="N992">
        <f>IFERROR(INDEX(Diccionario!$N:$N,MATCH(F992,Diccionario!$C:$C,0)),"")</f>
        <v/>
      </c>
    </row>
    <row r="993" ht="14.25" customHeight="1" s="52">
      <c r="A993" t="inlineStr">
        <is>
          <t>2026-04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Viajes</t>
        </is>
      </c>
      <c r="I993" t="n">
        <v>7700000</v>
      </c>
      <c r="J993" t="inlineStr">
        <is>
          <t>COP</t>
        </is>
      </c>
      <c r="L993">
        <f>IFERROR(INDEX(Diccionario!$B:$B,MATCH(F993,Diccionario!$C:$C,0)),"")</f>
        <v/>
      </c>
      <c r="M993">
        <f>IFERROR(INDEX(Diccionario!$H:$H,MATCH(F993,Diccionario!$C:$C,0)),"")</f>
        <v/>
      </c>
      <c r="N993">
        <f>IFERROR(INDEX(Diccionario!$N:$N,MATCH(F993,Diccionario!$C:$C,0)),"")</f>
        <v/>
      </c>
    </row>
    <row r="994" ht="14.25" customHeight="1" s="52">
      <c r="A994" t="inlineStr">
        <is>
          <t>2026-04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Diversos</t>
        </is>
      </c>
      <c r="I994" t="n">
        <v>9100000</v>
      </c>
      <c r="J994" t="inlineStr">
        <is>
          <t>COP</t>
        </is>
      </c>
      <c r="L994">
        <f>IFERROR(INDEX(Diccionario!$B:$B,MATCH(F994,Diccionario!$C:$C,0)),"")</f>
        <v/>
      </c>
      <c r="M994">
        <f>IFERROR(INDEX(Diccionario!$H:$H,MATCH(F994,Diccionario!$C:$C,0)),"")</f>
        <v/>
      </c>
      <c r="N994">
        <f>IFERROR(INDEX(Diccionario!$N:$N,MATCH(F994,Diccionario!$C:$C,0)),"")</f>
        <v/>
      </c>
    </row>
    <row r="995" ht="14.25" customHeight="1" s="52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gasto_comercial</t>
        </is>
      </c>
      <c r="H995" t="inlineStr">
        <is>
          <t>Personal</t>
        </is>
      </c>
      <c r="I995" t="n">
        <v>54300000</v>
      </c>
      <c r="J995" t="inlineStr">
        <is>
          <t>COP</t>
        </is>
      </c>
      <c r="L995">
        <f>IFERROR(INDEX(Diccionario!$B:$B,MATCH(F995,Diccionario!$C:$C,0)),"")</f>
        <v/>
      </c>
      <c r="M995">
        <f>IFERROR(INDEX(Diccionario!$H:$H,MATCH(F995,Diccionario!$C:$C,0)),"")</f>
        <v/>
      </c>
      <c r="N995">
        <f>IFERROR(INDEX(Diccionario!$N:$N,MATCH(F995,Diccionario!$C:$C,0)),"")</f>
        <v/>
      </c>
    </row>
    <row r="996" ht="14.25" customHeight="1" s="52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gasto_comercial</t>
        </is>
      </c>
      <c r="H996" t="inlineStr">
        <is>
          <t>Honorario</t>
        </is>
      </c>
      <c r="I996" t="n">
        <v>30600000</v>
      </c>
      <c r="J996" t="inlineStr">
        <is>
          <t>COP</t>
        </is>
      </c>
      <c r="L996">
        <f>IFERROR(INDEX(Diccionario!$B:$B,MATCH(F996,Diccionario!$C:$C,0)),"")</f>
        <v/>
      </c>
      <c r="M996">
        <f>IFERROR(INDEX(Diccionario!$H:$H,MATCH(F996,Diccionario!$C:$C,0)),"")</f>
        <v/>
      </c>
      <c r="N996">
        <f>IFERROR(INDEX(Diccionario!$N:$N,MATCH(F996,Diccionario!$C:$C,0)),"")</f>
        <v/>
      </c>
    </row>
    <row r="997" ht="14.25" customHeight="1" s="52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gasto_comercial</t>
        </is>
      </c>
      <c r="H997" t="inlineStr">
        <is>
          <t>Seguros</t>
        </is>
      </c>
      <c r="I997" t="n">
        <v>2100000</v>
      </c>
      <c r="J997" t="inlineStr">
        <is>
          <t>COP</t>
        </is>
      </c>
      <c r="L997">
        <f>IFERROR(INDEX(Diccionario!$B:$B,MATCH(F997,Diccionario!$C:$C,0)),"")</f>
        <v/>
      </c>
      <c r="M997">
        <f>IFERROR(INDEX(Diccionario!$H:$H,MATCH(F997,Diccionario!$C:$C,0)),"")</f>
        <v/>
      </c>
      <c r="N997">
        <f>IFERROR(INDEX(Diccionario!$N:$N,MATCH(F997,Diccionario!$C:$C,0)),"")</f>
        <v/>
      </c>
    </row>
    <row r="998" ht="14.25" customHeight="1" s="52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gasto_comercial</t>
        </is>
      </c>
      <c r="H998" t="inlineStr">
        <is>
          <t>Servicios</t>
        </is>
      </c>
      <c r="I998" t="n">
        <v>12200000</v>
      </c>
      <c r="J998" t="inlineStr">
        <is>
          <t>COP</t>
        </is>
      </c>
      <c r="L998">
        <f>IFERROR(INDEX(Diccionario!$B:$B,MATCH(F998,Diccionario!$C:$C,0)),"")</f>
        <v/>
      </c>
      <c r="M998">
        <f>IFERROR(INDEX(Diccionario!$H:$H,MATCH(F998,Diccionario!$C:$C,0)),"")</f>
        <v/>
      </c>
      <c r="N998">
        <f>IFERROR(INDEX(Diccionario!$N:$N,MATCH(F998,Diccionario!$C:$C,0)),"")</f>
        <v/>
      </c>
    </row>
    <row r="999" ht="14.25" customHeight="1" s="52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gasto_comercial</t>
        </is>
      </c>
      <c r="H999" t="inlineStr">
        <is>
          <t>Viajes</t>
        </is>
      </c>
      <c r="I999" t="n">
        <v>9100000</v>
      </c>
      <c r="J999" t="inlineStr">
        <is>
          <t>COP</t>
        </is>
      </c>
      <c r="L999">
        <f>IFERROR(INDEX(Diccionario!$B:$B,MATCH(F999,Diccionario!$C:$C,0)),"")</f>
        <v/>
      </c>
      <c r="M999">
        <f>IFERROR(INDEX(Diccionario!$H:$H,MATCH(F999,Diccionario!$C:$C,0)),"")</f>
        <v/>
      </c>
      <c r="N999">
        <f>IFERROR(INDEX(Diccionario!$N:$N,MATCH(F999,Diccionario!$C:$C,0)),"")</f>
        <v/>
      </c>
    </row>
    <row r="1000" ht="14.25" customHeight="1" s="52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gasto_comercial</t>
        </is>
      </c>
      <c r="H1000" t="inlineStr">
        <is>
          <t>Diversos</t>
        </is>
      </c>
      <c r="I1000" t="n">
        <v>11600000</v>
      </c>
      <c r="J1000" t="inlineStr">
        <is>
          <t>COP</t>
        </is>
      </c>
      <c r="L1000">
        <f>IFERROR(INDEX(Diccionario!$B:$B,MATCH(F1000,Diccionario!$C:$C,0)),"")</f>
        <v/>
      </c>
      <c r="M1000">
        <f>IFERROR(INDEX(Diccionario!$H:$H,MATCH(F1000,Diccionario!$C:$C,0)),"")</f>
        <v/>
      </c>
      <c r="N1000">
        <f>IFERROR(INDEX(Diccionario!$N:$N,MATCH(F1000,Diccionario!$C:$C,0)),"")</f>
        <v/>
      </c>
    </row>
    <row r="1001" ht="14.25" customHeight="1" s="52">
      <c r="A1001" t="inlineStr">
        <is>
          <t>2024-04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22.66</v>
      </c>
      <c r="J1001" t="inlineStr">
        <is>
          <t>%</t>
        </is>
      </c>
      <c r="L1001">
        <f>IFERROR(INDEX(Diccionario!$B:$B,MATCH(F1001,Diccionario!$C:$C,0)),"")</f>
        <v/>
      </c>
      <c r="M1001">
        <f>IFERROR(INDEX(Diccionario!$H:$H,MATCH(F1001,Diccionario!$C:$C,0)),"")</f>
        <v/>
      </c>
      <c r="N1001">
        <f>IFERROR(INDEX(Diccionario!$N:$N,MATCH(F1001,Diccionario!$C:$C,0)),"")</f>
        <v/>
      </c>
    </row>
    <row r="1002" ht="14.25" customHeight="1" s="52">
      <c r="A1002" t="inlineStr">
        <is>
          <t>2024-05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22.39</v>
      </c>
      <c r="J1002" t="inlineStr">
        <is>
          <t>%</t>
        </is>
      </c>
      <c r="L1002">
        <f>IFERROR(INDEX(Diccionario!$B:$B,MATCH(F1002,Diccionario!$C:$C,0)),"")</f>
        <v/>
      </c>
      <c r="M1002">
        <f>IFERROR(INDEX(Diccionario!$H:$H,MATCH(F1002,Diccionario!$C:$C,0)),"")</f>
        <v/>
      </c>
      <c r="N1002">
        <f>IFERROR(INDEX(Diccionario!$N:$N,MATCH(F1002,Diccionario!$C:$C,0)),"")</f>
        <v/>
      </c>
    </row>
    <row r="1003" ht="14.25" customHeight="1" s="52">
      <c r="A1003" t="inlineStr">
        <is>
          <t>2024-06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24.42</v>
      </c>
      <c r="J1003" t="inlineStr">
        <is>
          <t>%</t>
        </is>
      </c>
      <c r="L1003">
        <f>IFERROR(INDEX(Diccionario!$B:$B,MATCH(F1003,Diccionario!$C:$C,0)),"")</f>
        <v/>
      </c>
      <c r="M1003">
        <f>IFERROR(INDEX(Diccionario!$H:$H,MATCH(F1003,Diccionario!$C:$C,0)),"")</f>
        <v/>
      </c>
      <c r="N1003">
        <f>IFERROR(INDEX(Diccionario!$N:$N,MATCH(F1003,Diccionario!$C:$C,0)),"")</f>
        <v/>
      </c>
    </row>
    <row r="1004" ht="14.25" customHeight="1" s="52">
      <c r="A1004" t="inlineStr">
        <is>
          <t>2024-07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13.1</v>
      </c>
      <c r="J1004" t="inlineStr">
        <is>
          <t>%</t>
        </is>
      </c>
      <c r="L1004">
        <f>IFERROR(INDEX(Diccionario!$B:$B,MATCH(F1004,Diccionario!$C:$C,0)),"")</f>
        <v/>
      </c>
      <c r="M1004">
        <f>IFERROR(INDEX(Diccionario!$H:$H,MATCH(F1004,Diccionario!$C:$C,0)),"")</f>
        <v/>
      </c>
      <c r="N1004">
        <f>IFERROR(INDEX(Diccionario!$N:$N,MATCH(F1004,Diccionario!$C:$C,0)),"")</f>
        <v/>
      </c>
    </row>
    <row r="1005" ht="14.25" customHeight="1" s="52">
      <c r="A1005" t="inlineStr">
        <is>
          <t>2024-08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26.07</v>
      </c>
      <c r="J1005" t="inlineStr">
        <is>
          <t>%</t>
        </is>
      </c>
      <c r="L1005">
        <f>IFERROR(INDEX(Diccionario!$B:$B,MATCH(F1005,Diccionario!$C:$C,0)),"")</f>
        <v/>
      </c>
      <c r="M1005">
        <f>IFERROR(INDEX(Diccionario!$H:$H,MATCH(F1005,Diccionario!$C:$C,0)),"")</f>
        <v/>
      </c>
      <c r="N1005">
        <f>IFERROR(INDEX(Diccionario!$N:$N,MATCH(F1005,Diccionario!$C:$C,0)),"")</f>
        <v/>
      </c>
    </row>
    <row r="1006" ht="14.25" customHeight="1" s="52">
      <c r="A1006" t="inlineStr">
        <is>
          <t>2024-09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25.49</v>
      </c>
      <c r="J1006" t="inlineStr">
        <is>
          <t>%</t>
        </is>
      </c>
      <c r="L1006">
        <f>IFERROR(INDEX(Diccionario!$B:$B,MATCH(F1006,Diccionario!$C:$C,0)),"")</f>
        <v/>
      </c>
      <c r="M1006">
        <f>IFERROR(INDEX(Diccionario!$H:$H,MATCH(F1006,Diccionario!$C:$C,0)),"")</f>
        <v/>
      </c>
      <c r="N1006">
        <f>IFERROR(INDEX(Diccionario!$N:$N,MATCH(F1006,Diccionario!$C:$C,0)),"")</f>
        <v/>
      </c>
    </row>
    <row r="1007" ht="14.25" customHeight="1" s="52">
      <c r="A1007" t="inlineStr">
        <is>
          <t>2024-10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30.65</v>
      </c>
      <c r="J1007" t="inlineStr">
        <is>
          <t>%</t>
        </is>
      </c>
      <c r="L1007">
        <f>IFERROR(INDEX(Diccionario!$B:$B,MATCH(F1007,Diccionario!$C:$C,0)),"")</f>
        <v/>
      </c>
      <c r="M1007">
        <f>IFERROR(INDEX(Diccionario!$H:$H,MATCH(F1007,Diccionario!$C:$C,0)),"")</f>
        <v/>
      </c>
      <c r="N1007">
        <f>IFERROR(INDEX(Diccionario!$N:$N,MATCH(F1007,Diccionario!$C:$C,0)),"")</f>
        <v/>
      </c>
    </row>
    <row r="1008" ht="14.25" customHeight="1" s="52">
      <c r="A1008" t="inlineStr">
        <is>
          <t>2024-11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23.39</v>
      </c>
      <c r="J1008" t="inlineStr">
        <is>
          <t>%</t>
        </is>
      </c>
      <c r="L1008">
        <f>IFERROR(INDEX(Diccionario!$B:$B,MATCH(F1008,Diccionario!$C:$C,0)),"")</f>
        <v/>
      </c>
      <c r="M1008">
        <f>IFERROR(INDEX(Diccionario!$H:$H,MATCH(F1008,Diccionario!$C:$C,0)),"")</f>
        <v/>
      </c>
      <c r="N1008">
        <f>IFERROR(INDEX(Diccionario!$N:$N,MATCH(F1008,Diccionario!$C:$C,0)),"")</f>
        <v/>
      </c>
    </row>
    <row r="1009" ht="14.25" customHeight="1" s="52">
      <c r="A1009" t="inlineStr">
        <is>
          <t>2024-12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14.18</v>
      </c>
      <c r="J1009" t="inlineStr">
        <is>
          <t>%</t>
        </is>
      </c>
      <c r="L1009">
        <f>IFERROR(INDEX(Diccionario!$B:$B,MATCH(F1009,Diccionario!$C:$C,0)),"")</f>
        <v/>
      </c>
      <c r="M1009">
        <f>IFERROR(INDEX(Diccionario!$H:$H,MATCH(F1009,Diccionario!$C:$C,0)),"")</f>
        <v/>
      </c>
      <c r="N1009">
        <f>IFERROR(INDEX(Diccionario!$N:$N,MATCH(F1009,Diccionario!$C:$C,0)),"")</f>
        <v/>
      </c>
    </row>
    <row r="1010" ht="14.25" customHeight="1" s="52">
      <c r="A1010" t="inlineStr">
        <is>
          <t>2025-02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8.210000000000001</v>
      </c>
      <c r="J1010" t="inlineStr">
        <is>
          <t>%</t>
        </is>
      </c>
      <c r="L1010">
        <f>IFERROR(INDEX(Diccionario!$B:$B,MATCH(F1010,Diccionario!$C:$C,0)),"")</f>
        <v/>
      </c>
      <c r="M1010">
        <f>IFERROR(INDEX(Diccionario!$H:$H,MATCH(F1010,Diccionario!$C:$C,0)),"")</f>
        <v/>
      </c>
      <c r="N1010">
        <f>IFERROR(INDEX(Diccionario!$N:$N,MATCH(F1010,Diccionario!$C:$C,0)),"")</f>
        <v/>
      </c>
    </row>
    <row r="1011" ht="14.25" customHeight="1" s="52">
      <c r="A1011" t="inlineStr">
        <is>
          <t>2025-03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29.93</v>
      </c>
      <c r="J1011" t="inlineStr">
        <is>
          <t>%</t>
        </is>
      </c>
      <c r="L1011">
        <f>IFERROR(INDEX(Diccionario!$B:$B,MATCH(F1011,Diccionario!$C:$C,0)),"")</f>
        <v/>
      </c>
      <c r="M1011">
        <f>IFERROR(INDEX(Diccionario!$H:$H,MATCH(F1011,Diccionario!$C:$C,0)),"")</f>
        <v/>
      </c>
      <c r="N1011">
        <f>IFERROR(INDEX(Diccionario!$N:$N,MATCH(F1011,Diccionario!$C:$C,0)),"")</f>
        <v/>
      </c>
    </row>
    <row r="1012" ht="14.25" customHeight="1" s="52">
      <c r="A1012" t="inlineStr">
        <is>
          <t>2025-04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26.97</v>
      </c>
      <c r="J1012" t="inlineStr">
        <is>
          <t>%</t>
        </is>
      </c>
      <c r="L1012">
        <f>IFERROR(INDEX(Diccionario!$B:$B,MATCH(F1012,Diccionario!$C:$C,0)),"")</f>
        <v/>
      </c>
      <c r="M1012">
        <f>IFERROR(INDEX(Diccionario!$H:$H,MATCH(F1012,Diccionario!$C:$C,0)),"")</f>
        <v/>
      </c>
      <c r="N1012">
        <f>IFERROR(INDEX(Diccionario!$N:$N,MATCH(F1012,Diccionario!$C:$C,0)),"")</f>
        <v/>
      </c>
    </row>
    <row r="1013" ht="14.25" customHeight="1" s="52">
      <c r="A1013" t="inlineStr">
        <is>
          <t>2025-05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21.93</v>
      </c>
      <c r="J1013" t="inlineStr">
        <is>
          <t>%</t>
        </is>
      </c>
      <c r="L1013">
        <f>IFERROR(INDEX(Diccionario!$B:$B,MATCH(F1013,Diccionario!$C:$C,0)),"")</f>
        <v/>
      </c>
      <c r="M1013">
        <f>IFERROR(INDEX(Diccionario!$H:$H,MATCH(F1013,Diccionario!$C:$C,0)),"")</f>
        <v/>
      </c>
      <c r="N1013">
        <f>IFERROR(INDEX(Diccionario!$N:$N,MATCH(F1013,Diccionario!$C:$C,0)),"")</f>
        <v/>
      </c>
    </row>
    <row r="1014" ht="14.25" customHeight="1" s="52">
      <c r="A1014" t="inlineStr">
        <is>
          <t>2025-06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costo_proveedor_ventas_pct</t>
        </is>
      </c>
      <c r="I1014" t="n">
        <v>19.54</v>
      </c>
      <c r="J1014" t="inlineStr">
        <is>
          <t>%</t>
        </is>
      </c>
      <c r="L1014">
        <f>IFERROR(INDEX(Diccionario!$B:$B,MATCH(F1014,Diccionario!$C:$C,0)),"")</f>
        <v/>
      </c>
      <c r="M1014">
        <f>IFERROR(INDEX(Diccionario!$H:$H,MATCH(F1014,Diccionario!$C:$C,0)),"")</f>
        <v/>
      </c>
      <c r="N1014">
        <f>IFERROR(INDEX(Diccionario!$N:$N,MATCH(F1014,Diccionario!$C:$C,0)),"")</f>
        <v/>
      </c>
    </row>
    <row r="1015" ht="14.25" customHeight="1" s="52">
      <c r="A1015" t="inlineStr">
        <is>
          <t>2025-07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costo_proveedor_ventas_pct</t>
        </is>
      </c>
      <c r="I1015" t="n">
        <v>46.64</v>
      </c>
      <c r="J1015" t="inlineStr">
        <is>
          <t>%</t>
        </is>
      </c>
      <c r="L1015">
        <f>IFERROR(INDEX(Diccionario!$B:$B,MATCH(F1015,Diccionario!$C:$C,0)),"")</f>
        <v/>
      </c>
      <c r="M1015">
        <f>IFERROR(INDEX(Diccionario!$H:$H,MATCH(F1015,Diccionario!$C:$C,0)),"")</f>
        <v/>
      </c>
      <c r="N1015">
        <f>IFERROR(INDEX(Diccionario!$N:$N,MATCH(F1015,Diccionario!$C:$C,0)),"")</f>
        <v/>
      </c>
    </row>
    <row r="1016" ht="14.25" customHeight="1" s="52">
      <c r="A1016" t="inlineStr">
        <is>
          <t>2025-08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costo_proveedor_ventas_pct</t>
        </is>
      </c>
      <c r="I1016" t="n">
        <v>7.9</v>
      </c>
      <c r="J1016" t="inlineStr">
        <is>
          <t>%</t>
        </is>
      </c>
      <c r="L1016">
        <f>IFERROR(INDEX(Diccionario!$B:$B,MATCH(F1016,Diccionario!$C:$C,0)),"")</f>
        <v/>
      </c>
      <c r="M1016">
        <f>IFERROR(INDEX(Diccionario!$H:$H,MATCH(F1016,Diccionario!$C:$C,0)),"")</f>
        <v/>
      </c>
      <c r="N1016">
        <f>IFERROR(INDEX(Diccionario!$N:$N,MATCH(F1016,Diccionario!$C:$C,0)),"")</f>
        <v/>
      </c>
    </row>
    <row r="1017" ht="14.25" customHeight="1" s="52">
      <c r="A1017" t="inlineStr">
        <is>
          <t>2025-09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costo_proveedor_ventas_pct</t>
        </is>
      </c>
      <c r="I1017" t="n">
        <v>13.35</v>
      </c>
      <c r="J1017" t="inlineStr">
        <is>
          <t>%</t>
        </is>
      </c>
      <c r="L1017">
        <f>IFERROR(INDEX(Diccionario!$B:$B,MATCH(F1017,Diccionario!$C:$C,0)),"")</f>
        <v/>
      </c>
      <c r="M1017">
        <f>IFERROR(INDEX(Diccionario!$H:$H,MATCH(F1017,Diccionario!$C:$C,0)),"")</f>
        <v/>
      </c>
      <c r="N1017">
        <f>IFERROR(INDEX(Diccionario!$N:$N,MATCH(F1017,Diccionario!$C:$C,0)),"")</f>
        <v/>
      </c>
    </row>
    <row r="1018" ht="14.25" customHeight="1" s="52">
      <c r="A1018" t="inlineStr">
        <is>
          <t>2025-10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costo_proveedor_ventas_pct</t>
        </is>
      </c>
      <c r="I1018" t="n">
        <v>25.04</v>
      </c>
      <c r="J1018" t="inlineStr">
        <is>
          <t>%</t>
        </is>
      </c>
      <c r="L1018">
        <f>IFERROR(INDEX(Diccionario!$B:$B,MATCH(F1018,Diccionario!$C:$C,0)),"")</f>
        <v/>
      </c>
      <c r="M1018">
        <f>IFERROR(INDEX(Diccionario!$H:$H,MATCH(F1018,Diccionario!$C:$C,0)),"")</f>
        <v/>
      </c>
      <c r="N1018">
        <f>IFERROR(INDEX(Diccionario!$N:$N,MATCH(F1018,Diccionario!$C:$C,0)),"")</f>
        <v/>
      </c>
    </row>
    <row r="1019" ht="14.25" customHeight="1" s="52">
      <c r="A1019" t="inlineStr">
        <is>
          <t>2025-11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costo_proveedor_ventas_pct</t>
        </is>
      </c>
      <c r="I1019" t="n">
        <v>39.69</v>
      </c>
      <c r="J1019" t="inlineStr">
        <is>
          <t>%</t>
        </is>
      </c>
      <c r="L1019">
        <f>IFERROR(INDEX(Diccionario!$B:$B,MATCH(F1019,Diccionario!$C:$C,0)),"")</f>
        <v/>
      </c>
      <c r="M1019">
        <f>IFERROR(INDEX(Diccionario!$H:$H,MATCH(F1019,Diccionario!$C:$C,0)),"")</f>
        <v/>
      </c>
      <c r="N1019">
        <f>IFERROR(INDEX(Diccionario!$N:$N,MATCH(F1019,Diccionario!$C:$C,0)),"")</f>
        <v/>
      </c>
    </row>
    <row r="1020" ht="14.25" customHeight="1" s="52">
      <c r="A1020" t="inlineStr">
        <is>
          <t>2025-12</t>
        </is>
      </c>
      <c r="B1020" t="inlineStr">
        <is>
          <t>Colombia</t>
        </is>
      </c>
      <c r="C1020" t="inlineStr">
        <is>
          <t>Coco Colombia</t>
        </is>
      </c>
      <c r="E1020" t="inlineStr">
        <is>
          <t>Real</t>
        </is>
      </c>
      <c r="F1020" t="inlineStr">
        <is>
          <t>costo_proveedor_ventas_pct</t>
        </is>
      </c>
      <c r="I1020" t="n">
        <v>20.96</v>
      </c>
      <c r="J1020" t="inlineStr">
        <is>
          <t>%</t>
        </is>
      </c>
      <c r="L1020">
        <f>IFERROR(INDEX(Diccionario!$B:$B,MATCH(F1020,Diccionario!$C:$C,0)),"")</f>
        <v/>
      </c>
      <c r="M1020">
        <f>IFERROR(INDEX(Diccionario!$H:$H,MATCH(F1020,Diccionario!$C:$C,0)),"")</f>
        <v/>
      </c>
      <c r="N1020">
        <f>IFERROR(INDEX(Diccionario!$N:$N,MATCH(F1020,Diccionario!$C:$C,0)),"")</f>
        <v/>
      </c>
    </row>
    <row r="1021" ht="14.25" customHeight="1" s="52">
      <c r="A1021" t="inlineStr">
        <is>
          <t>2026-01</t>
        </is>
      </c>
      <c r="B1021" t="inlineStr">
        <is>
          <t>Colombia</t>
        </is>
      </c>
      <c r="C1021" t="inlineStr">
        <is>
          <t>Coco Colombia</t>
        </is>
      </c>
      <c r="E1021" t="inlineStr">
        <is>
          <t>Real</t>
        </is>
      </c>
      <c r="F1021" t="inlineStr">
        <is>
          <t>costo_proveedor_ventas_pct</t>
        </is>
      </c>
      <c r="I1021" t="n">
        <v>10.55</v>
      </c>
      <c r="J1021" t="inlineStr">
        <is>
          <t>%</t>
        </is>
      </c>
      <c r="L1021">
        <f>IFERROR(INDEX(Diccionario!$B:$B,MATCH(F1021,Diccionario!$C:$C,0)),"")</f>
        <v/>
      </c>
      <c r="M1021">
        <f>IFERROR(INDEX(Diccionario!$H:$H,MATCH(F1021,Diccionario!$C:$C,0)),"")</f>
        <v/>
      </c>
      <c r="N1021">
        <f>IFERROR(INDEX(Diccionario!$N:$N,MATCH(F1021,Diccionario!$C:$C,0)),"")</f>
        <v/>
      </c>
    </row>
    <row r="1022" ht="14.25" customHeight="1" s="52">
      <c r="A1022" t="inlineStr">
        <is>
          <t>2026-02</t>
        </is>
      </c>
      <c r="B1022" t="inlineStr">
        <is>
          <t>Colombia</t>
        </is>
      </c>
      <c r="C1022" t="inlineStr">
        <is>
          <t>Coco Colombia</t>
        </is>
      </c>
      <c r="E1022" t="inlineStr">
        <is>
          <t>Real</t>
        </is>
      </c>
      <c r="F1022" t="inlineStr">
        <is>
          <t>costo_proveedor_ventas_pct</t>
        </is>
      </c>
      <c r="I1022" t="n">
        <v>23.86</v>
      </c>
      <c r="J1022" t="inlineStr">
        <is>
          <t>%</t>
        </is>
      </c>
      <c r="L1022">
        <f>IFERROR(INDEX(Diccionario!$B:$B,MATCH(F1022,Diccionario!$C:$C,0)),"")</f>
        <v/>
      </c>
      <c r="M1022">
        <f>IFERROR(INDEX(Diccionario!$H:$H,MATCH(F1022,Diccionario!$C:$C,0)),"")</f>
        <v/>
      </c>
      <c r="N1022">
        <f>IFERROR(INDEX(Diccionario!$N:$N,MATCH(F1022,Diccionario!$C:$C,0)),"")</f>
        <v/>
      </c>
    </row>
    <row r="1023" ht="14.25" customHeight="1" s="52">
      <c r="A1023" t="inlineStr">
        <is>
          <t>2026-03</t>
        </is>
      </c>
      <c r="B1023" t="inlineStr">
        <is>
          <t>Colombia</t>
        </is>
      </c>
      <c r="C1023" t="inlineStr">
        <is>
          <t>Coco Colombia</t>
        </is>
      </c>
      <c r="E1023" t="inlineStr">
        <is>
          <t>Real</t>
        </is>
      </c>
      <c r="F1023" t="inlineStr">
        <is>
          <t>costo_proveedor_ventas_pct</t>
        </is>
      </c>
      <c r="I1023" t="n">
        <v>35.68</v>
      </c>
      <c r="J1023" t="inlineStr">
        <is>
          <t>%</t>
        </is>
      </c>
      <c r="L1023">
        <f>IFERROR(INDEX(Diccionario!$B:$B,MATCH(F1023,Diccionario!$C:$C,0)),"")</f>
        <v/>
      </c>
      <c r="M1023">
        <f>IFERROR(INDEX(Diccionario!$H:$H,MATCH(F1023,Diccionario!$C:$C,0)),"")</f>
        <v/>
      </c>
      <c r="N1023">
        <f>IFERROR(INDEX(Diccionario!$N:$N,MATCH(F1023,Diccionario!$C:$C,0)),"")</f>
        <v/>
      </c>
    </row>
    <row r="1024" ht="14.25" customHeight="1" s="52">
      <c r="A1024" t="inlineStr">
        <is>
          <t>2026-04</t>
        </is>
      </c>
      <c r="B1024" t="inlineStr">
        <is>
          <t>Colombia</t>
        </is>
      </c>
      <c r="C1024" t="inlineStr">
        <is>
          <t>Coco Colombia</t>
        </is>
      </c>
      <c r="E1024" t="inlineStr">
        <is>
          <t>Real</t>
        </is>
      </c>
      <c r="F1024" t="inlineStr">
        <is>
          <t>costo_proveedor_ventas_pct</t>
        </is>
      </c>
      <c r="I1024" t="n">
        <v>25.72</v>
      </c>
      <c r="J1024" t="inlineStr">
        <is>
          <t>%</t>
        </is>
      </c>
      <c r="L1024">
        <f>IFERROR(INDEX(Diccionario!$B:$B,MATCH(F1024,Diccionario!$C:$C,0)),"")</f>
        <v/>
      </c>
      <c r="M1024">
        <f>IFERROR(INDEX(Diccionario!$H:$H,MATCH(F1024,Diccionario!$C:$C,0)),"")</f>
        <v/>
      </c>
      <c r="N1024">
        <f>IFERROR(INDEX(Diccionario!$N:$N,MATCH(F1024,Diccionario!$C:$C,0)),"")</f>
        <v/>
      </c>
    </row>
    <row r="1025" ht="14.25" customHeight="1" s="52">
      <c r="A1025" t="inlineStr">
        <is>
          <t>2026-05</t>
        </is>
      </c>
      <c r="B1025" t="inlineStr">
        <is>
          <t>Colombia</t>
        </is>
      </c>
      <c r="C1025" t="inlineStr">
        <is>
          <t>Coco Colombia</t>
        </is>
      </c>
      <c r="E1025" t="inlineStr">
        <is>
          <t>Real</t>
        </is>
      </c>
      <c r="F1025" t="inlineStr">
        <is>
          <t>costo_proveedor_ventas_pct</t>
        </is>
      </c>
      <c r="I1025" t="n">
        <v>22.96</v>
      </c>
      <c r="J1025" t="inlineStr">
        <is>
          <t>%</t>
        </is>
      </c>
      <c r="L1025">
        <f>IFERROR(INDEX(Diccionario!$B:$B,MATCH(F1025,Diccionario!$C:$C,0)),"")</f>
        <v/>
      </c>
      <c r="M1025">
        <f>IFERROR(INDEX(Diccionario!$H:$H,MATCH(F1025,Diccionario!$C:$C,0)),"")</f>
        <v/>
      </c>
      <c r="N1025">
        <f>IFERROR(INDEX(Diccionario!$N:$N,MATCH(F1025,Diccionario!$C:$C,0)),"")</f>
        <v/>
      </c>
    </row>
    <row r="1026" ht="14.25" customHeight="1" s="52">
      <c r="A1026" t="inlineStr">
        <is>
          <t>2024-01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393759551</v>
      </c>
      <c r="J1026" t="inlineStr">
        <is>
          <t>COP</t>
        </is>
      </c>
      <c r="L1026">
        <f>IFERROR(INDEX(Diccionario!$B:$B,MATCH(F1026,Diccionario!$C:$C,0)),"")</f>
        <v/>
      </c>
      <c r="M1026">
        <f>IFERROR(INDEX(Diccionario!$H:$H,MATCH(F1026,Diccionario!$C:$C,0)),"")</f>
        <v/>
      </c>
      <c r="N1026">
        <f>IFERROR(INDEX(Diccionario!$N:$N,MATCH(F1026,Diccionario!$C:$C,0)),"")</f>
        <v/>
      </c>
    </row>
    <row r="1027" ht="14.25" customHeight="1" s="52">
      <c r="A1027" t="inlineStr">
        <is>
          <t>2024-02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546983304</v>
      </c>
      <c r="J1027" t="inlineStr">
        <is>
          <t>COP</t>
        </is>
      </c>
      <c r="L1027">
        <f>IFERROR(INDEX(Diccionario!$B:$B,MATCH(F1027,Diccionario!$C:$C,0)),"")</f>
        <v/>
      </c>
      <c r="M1027">
        <f>IFERROR(INDEX(Diccionario!$H:$H,MATCH(F1027,Diccionario!$C:$C,0)),"")</f>
        <v/>
      </c>
      <c r="N1027">
        <f>IFERROR(INDEX(Diccionario!$N:$N,MATCH(F1027,Diccionario!$C:$C,0)),"")</f>
        <v/>
      </c>
    </row>
    <row r="1028" ht="14.25" customHeight="1" s="52">
      <c r="A1028" t="inlineStr">
        <is>
          <t>2024-03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543692148</v>
      </c>
      <c r="J1028" t="inlineStr">
        <is>
          <t>COP</t>
        </is>
      </c>
      <c r="L1028">
        <f>IFERROR(INDEX(Diccionario!$B:$B,MATCH(F1028,Diccionario!$C:$C,0)),"")</f>
        <v/>
      </c>
      <c r="M1028">
        <f>IFERROR(INDEX(Diccionario!$H:$H,MATCH(F1028,Diccionario!$C:$C,0)),"")</f>
        <v/>
      </c>
      <c r="N1028">
        <f>IFERROR(INDEX(Diccionario!$N:$N,MATCH(F1028,Diccionario!$C:$C,0)),"")</f>
        <v/>
      </c>
    </row>
    <row r="1029" ht="14.25" customHeight="1" s="52">
      <c r="A1029" t="inlineStr">
        <is>
          <t>2024-04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529778177</v>
      </c>
      <c r="J1029" t="inlineStr">
        <is>
          <t>COP</t>
        </is>
      </c>
      <c r="L1029">
        <f>IFERROR(INDEX(Diccionario!$B:$B,MATCH(F1029,Diccionario!$C:$C,0)),"")</f>
        <v/>
      </c>
      <c r="M1029">
        <f>IFERROR(INDEX(Diccionario!$H:$H,MATCH(F1029,Diccionario!$C:$C,0)),"")</f>
        <v/>
      </c>
      <c r="N1029">
        <f>IFERROR(INDEX(Diccionario!$N:$N,MATCH(F1029,Diccionario!$C:$C,0)),"")</f>
        <v/>
      </c>
    </row>
    <row r="1030" ht="14.25" customHeight="1" s="52">
      <c r="A1030" t="inlineStr">
        <is>
          <t>2024-05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605227323</v>
      </c>
      <c r="J1030" t="inlineStr">
        <is>
          <t>COP</t>
        </is>
      </c>
      <c r="L1030">
        <f>IFERROR(INDEX(Diccionario!$B:$B,MATCH(F1030,Diccionario!$C:$C,0)),"")</f>
        <v/>
      </c>
      <c r="M1030">
        <f>IFERROR(INDEX(Diccionario!$H:$H,MATCH(F1030,Diccionario!$C:$C,0)),"")</f>
        <v/>
      </c>
      <c r="N1030">
        <f>IFERROR(INDEX(Diccionario!$N:$N,MATCH(F1030,Diccionario!$C:$C,0)),"")</f>
        <v/>
      </c>
    </row>
    <row r="1031" ht="14.25" customHeight="1" s="52">
      <c r="A1031" t="inlineStr">
        <is>
          <t>2024-06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547523725</v>
      </c>
      <c r="J1031" t="inlineStr">
        <is>
          <t>COP</t>
        </is>
      </c>
      <c r="L1031">
        <f>IFERROR(INDEX(Diccionario!$B:$B,MATCH(F1031,Diccionario!$C:$C,0)),"")</f>
        <v/>
      </c>
      <c r="M1031">
        <f>IFERROR(INDEX(Diccionario!$H:$H,MATCH(F1031,Diccionario!$C:$C,0)),"")</f>
        <v/>
      </c>
      <c r="N1031">
        <f>IFERROR(INDEX(Diccionario!$N:$N,MATCH(F1031,Diccionario!$C:$C,0)),"")</f>
        <v/>
      </c>
    </row>
    <row r="1032" ht="14.25" customHeight="1" s="52">
      <c r="A1032" t="inlineStr">
        <is>
          <t>2024-07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578363325</v>
      </c>
      <c r="J1032" t="inlineStr">
        <is>
          <t>COP</t>
        </is>
      </c>
      <c r="L1032">
        <f>IFERROR(INDEX(Diccionario!$B:$B,MATCH(F1032,Diccionario!$C:$C,0)),"")</f>
        <v/>
      </c>
      <c r="M1032">
        <f>IFERROR(INDEX(Diccionario!$H:$H,MATCH(F1032,Diccionario!$C:$C,0)),"")</f>
        <v/>
      </c>
      <c r="N1032">
        <f>IFERROR(INDEX(Diccionario!$N:$N,MATCH(F1032,Diccionario!$C:$C,0)),"")</f>
        <v/>
      </c>
    </row>
    <row r="1033" ht="14.25" customHeight="1" s="52">
      <c r="A1033" t="inlineStr">
        <is>
          <t>2024-08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602616989</v>
      </c>
      <c r="J1033" t="inlineStr">
        <is>
          <t>COP</t>
        </is>
      </c>
      <c r="L1033">
        <f>IFERROR(INDEX(Diccionario!$B:$B,MATCH(F1033,Diccionario!$C:$C,0)),"")</f>
        <v/>
      </c>
      <c r="M1033">
        <f>IFERROR(INDEX(Diccionario!$H:$H,MATCH(F1033,Diccionario!$C:$C,0)),"")</f>
        <v/>
      </c>
      <c r="N1033">
        <f>IFERROR(INDEX(Diccionario!$N:$N,MATCH(F1033,Diccionario!$C:$C,0)),"")</f>
        <v/>
      </c>
    </row>
    <row r="1034" ht="14.25" customHeight="1" s="52">
      <c r="A1034" t="inlineStr">
        <is>
          <t>2024-09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594469220</v>
      </c>
      <c r="J1034" t="inlineStr">
        <is>
          <t>COP</t>
        </is>
      </c>
      <c r="L1034">
        <f>IFERROR(INDEX(Diccionario!$B:$B,MATCH(F1034,Diccionario!$C:$C,0)),"")</f>
        <v/>
      </c>
      <c r="M1034">
        <f>IFERROR(INDEX(Diccionario!$H:$H,MATCH(F1034,Diccionario!$C:$C,0)),"")</f>
        <v/>
      </c>
      <c r="N1034">
        <f>IFERROR(INDEX(Diccionario!$N:$N,MATCH(F1034,Diccionario!$C:$C,0)),"")</f>
        <v/>
      </c>
    </row>
    <row r="1035" ht="14.25" customHeight="1" s="52">
      <c r="A1035" t="inlineStr">
        <is>
          <t>2024-10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627068547</v>
      </c>
      <c r="J1035" t="inlineStr">
        <is>
          <t>COP</t>
        </is>
      </c>
      <c r="L1035">
        <f>IFERROR(INDEX(Diccionario!$B:$B,MATCH(F1035,Diccionario!$C:$C,0)),"")</f>
        <v/>
      </c>
      <c r="M1035">
        <f>IFERROR(INDEX(Diccionario!$H:$H,MATCH(F1035,Diccionario!$C:$C,0)),"")</f>
        <v/>
      </c>
      <c r="N1035">
        <f>IFERROR(INDEX(Diccionario!$N:$N,MATCH(F1035,Diccionario!$C:$C,0)),"")</f>
        <v/>
      </c>
    </row>
    <row r="1036" ht="14.25" customHeight="1" s="52">
      <c r="A1036" t="inlineStr">
        <is>
          <t>2024-11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702199047</v>
      </c>
      <c r="J1036" t="inlineStr">
        <is>
          <t>COP</t>
        </is>
      </c>
      <c r="L1036">
        <f>IFERROR(INDEX(Diccionario!$B:$B,MATCH(F1036,Diccionario!$C:$C,0)),"")</f>
        <v/>
      </c>
      <c r="M1036">
        <f>IFERROR(INDEX(Diccionario!$H:$H,MATCH(F1036,Diccionario!$C:$C,0)),"")</f>
        <v/>
      </c>
      <c r="N1036">
        <f>IFERROR(INDEX(Diccionario!$N:$N,MATCH(F1036,Diccionario!$C:$C,0)),"")</f>
        <v/>
      </c>
    </row>
    <row r="1037" ht="14.25" customHeight="1" s="52">
      <c r="A1037" t="inlineStr">
        <is>
          <t>2024-12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895000000</v>
      </c>
      <c r="J1037" t="inlineStr">
        <is>
          <t>COP</t>
        </is>
      </c>
      <c r="L1037">
        <f>IFERROR(INDEX(Diccionario!$B:$B,MATCH(F1037,Diccionario!$C:$C,0)),"")</f>
        <v/>
      </c>
      <c r="M1037">
        <f>IFERROR(INDEX(Diccionario!$H:$H,MATCH(F1037,Diccionario!$C:$C,0)),"")</f>
        <v/>
      </c>
      <c r="N1037">
        <f>IFERROR(INDEX(Diccionario!$N:$N,MATCH(F1037,Diccionario!$C:$C,0)),"")</f>
        <v/>
      </c>
    </row>
    <row r="1038" ht="14.25" customHeight="1" s="52">
      <c r="A1038" t="inlineStr">
        <is>
          <t>2025-01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507300096</v>
      </c>
      <c r="J1038" t="inlineStr">
        <is>
          <t>COP</t>
        </is>
      </c>
      <c r="L1038">
        <f>IFERROR(INDEX(Diccionario!$B:$B,MATCH(F1038,Diccionario!$C:$C,0)),"")</f>
        <v/>
      </c>
      <c r="M1038">
        <f>IFERROR(INDEX(Diccionario!$H:$H,MATCH(F1038,Diccionario!$C:$C,0)),"")</f>
        <v/>
      </c>
      <c r="N1038">
        <f>IFERROR(INDEX(Diccionario!$N:$N,MATCH(F1038,Diccionario!$C:$C,0)),"")</f>
        <v/>
      </c>
    </row>
    <row r="1039" ht="14.25" customHeight="1" s="52">
      <c r="A1039" t="inlineStr">
        <is>
          <t>2025-02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571613281</v>
      </c>
      <c r="J1039" t="inlineStr">
        <is>
          <t>COP</t>
        </is>
      </c>
      <c r="L1039">
        <f>IFERROR(INDEX(Diccionario!$B:$B,MATCH(F1039,Diccionario!$C:$C,0)),"")</f>
        <v/>
      </c>
      <c r="M1039">
        <f>IFERROR(INDEX(Diccionario!$H:$H,MATCH(F1039,Diccionario!$C:$C,0)),"")</f>
        <v/>
      </c>
      <c r="N1039">
        <f>IFERROR(INDEX(Diccionario!$N:$N,MATCH(F1039,Diccionario!$C:$C,0)),"")</f>
        <v/>
      </c>
    </row>
    <row r="1040" ht="14.25" customHeight="1" s="52">
      <c r="A1040" t="inlineStr">
        <is>
          <t>2025-03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674275375</v>
      </c>
      <c r="J1040" t="inlineStr">
        <is>
          <t>COP</t>
        </is>
      </c>
      <c r="L1040">
        <f>IFERROR(INDEX(Diccionario!$B:$B,MATCH(F1040,Diccionario!$C:$C,0)),"")</f>
        <v/>
      </c>
      <c r="M1040">
        <f>IFERROR(INDEX(Diccionario!$H:$H,MATCH(F1040,Diccionario!$C:$C,0)),"")</f>
        <v/>
      </c>
      <c r="N1040">
        <f>IFERROR(INDEX(Diccionario!$N:$N,MATCH(F1040,Diccionario!$C:$C,0)),"")</f>
        <v/>
      </c>
    </row>
    <row r="1041" ht="14.25" customHeight="1" s="52">
      <c r="A1041" t="inlineStr">
        <is>
          <t>2025-04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583911889</v>
      </c>
      <c r="J1041" t="inlineStr">
        <is>
          <t>COP</t>
        </is>
      </c>
      <c r="L1041">
        <f>IFERROR(INDEX(Diccionario!$B:$B,MATCH(F1041,Diccionario!$C:$C,0)),"")</f>
        <v/>
      </c>
      <c r="M1041">
        <f>IFERROR(INDEX(Diccionario!$H:$H,MATCH(F1041,Diccionario!$C:$C,0)),"")</f>
        <v/>
      </c>
      <c r="N1041">
        <f>IFERROR(INDEX(Diccionario!$N:$N,MATCH(F1041,Diccionario!$C:$C,0)),"")</f>
        <v/>
      </c>
    </row>
    <row r="1042" ht="14.25" customHeight="1" s="52">
      <c r="A1042" t="inlineStr">
        <is>
          <t>2025-05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697602788</v>
      </c>
      <c r="J1042" t="inlineStr">
        <is>
          <t>COP</t>
        </is>
      </c>
      <c r="L1042">
        <f>IFERROR(INDEX(Diccionario!$B:$B,MATCH(F1042,Diccionario!$C:$C,0)),"")</f>
        <v/>
      </c>
      <c r="M1042">
        <f>IFERROR(INDEX(Diccionario!$H:$H,MATCH(F1042,Diccionario!$C:$C,0)),"")</f>
        <v/>
      </c>
      <c r="N1042">
        <f>IFERROR(INDEX(Diccionario!$N:$N,MATCH(F1042,Diccionario!$C:$C,0)),"")</f>
        <v/>
      </c>
    </row>
    <row r="1043" ht="14.25" customHeight="1" s="52">
      <c r="A1043" t="inlineStr">
        <is>
          <t>2025-06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ingresos_recurrentes</t>
        </is>
      </c>
      <c r="I1043" t="n">
        <v>589403143</v>
      </c>
      <c r="J1043" t="inlineStr">
        <is>
          <t>COP</t>
        </is>
      </c>
      <c r="L1043">
        <f>IFERROR(INDEX(Diccionario!$B:$B,MATCH(F1043,Diccionario!$C:$C,0)),"")</f>
        <v/>
      </c>
      <c r="M1043">
        <f>IFERROR(INDEX(Diccionario!$H:$H,MATCH(F1043,Diccionario!$C:$C,0)),"")</f>
        <v/>
      </c>
      <c r="N1043">
        <f>IFERROR(INDEX(Diccionario!$N:$N,MATCH(F1043,Diccionario!$C:$C,0)),"")</f>
        <v/>
      </c>
    </row>
    <row r="1044" ht="14.25" customHeight="1" s="52">
      <c r="A1044" t="inlineStr">
        <is>
          <t>2025-07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ingresos_recurrentes</t>
        </is>
      </c>
      <c r="I1044" t="n">
        <v>641951176</v>
      </c>
      <c r="J1044" t="inlineStr">
        <is>
          <t>COP</t>
        </is>
      </c>
      <c r="L1044">
        <f>IFERROR(INDEX(Diccionario!$B:$B,MATCH(F1044,Diccionario!$C:$C,0)),"")</f>
        <v/>
      </c>
      <c r="M1044">
        <f>IFERROR(INDEX(Diccionario!$H:$H,MATCH(F1044,Diccionario!$C:$C,0)),"")</f>
        <v/>
      </c>
      <c r="N1044">
        <f>IFERROR(INDEX(Diccionario!$N:$N,MATCH(F1044,Diccionario!$C:$C,0)),"")</f>
        <v/>
      </c>
    </row>
    <row r="1045" ht="14.25" customHeight="1" s="52">
      <c r="A1045" t="inlineStr">
        <is>
          <t>2025-08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ingresos_recurrentes</t>
        </is>
      </c>
      <c r="I1045" t="n">
        <v>631848159</v>
      </c>
      <c r="J1045" t="inlineStr">
        <is>
          <t>COP</t>
        </is>
      </c>
      <c r="L1045">
        <f>IFERROR(INDEX(Diccionario!$B:$B,MATCH(F1045,Diccionario!$C:$C,0)),"")</f>
        <v/>
      </c>
      <c r="M1045">
        <f>IFERROR(INDEX(Diccionario!$H:$H,MATCH(F1045,Diccionario!$C:$C,0)),"")</f>
        <v/>
      </c>
      <c r="N1045">
        <f>IFERROR(INDEX(Diccionario!$N:$N,MATCH(F1045,Diccionario!$C:$C,0)),"")</f>
        <v/>
      </c>
    </row>
    <row r="1046" ht="14.25" customHeight="1" s="52">
      <c r="A1046" t="inlineStr">
        <is>
          <t>2025-09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ingresos_recurrentes</t>
        </is>
      </c>
      <c r="I1046" t="n">
        <v>697647109</v>
      </c>
      <c r="J1046" t="inlineStr">
        <is>
          <t>COP</t>
        </is>
      </c>
      <c r="L1046">
        <f>IFERROR(INDEX(Diccionario!$B:$B,MATCH(F1046,Diccionario!$C:$C,0)),"")</f>
        <v/>
      </c>
      <c r="M1046">
        <f>IFERROR(INDEX(Diccionario!$H:$H,MATCH(F1046,Diccionario!$C:$C,0)),"")</f>
        <v/>
      </c>
      <c r="N1046">
        <f>IFERROR(INDEX(Diccionario!$N:$N,MATCH(F1046,Diccionario!$C:$C,0)),"")</f>
        <v/>
      </c>
    </row>
    <row r="1047" ht="14.25" customHeight="1" s="52">
      <c r="A1047" t="inlineStr">
        <is>
          <t>2025-10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ingresos_recurrentes</t>
        </is>
      </c>
      <c r="I1047" t="n">
        <v>673186093</v>
      </c>
      <c r="J1047" t="inlineStr">
        <is>
          <t>COP</t>
        </is>
      </c>
      <c r="L1047">
        <f>IFERROR(INDEX(Diccionario!$B:$B,MATCH(F1047,Diccionario!$C:$C,0)),"")</f>
        <v/>
      </c>
      <c r="M1047">
        <f>IFERROR(INDEX(Diccionario!$H:$H,MATCH(F1047,Diccionario!$C:$C,0)),"")</f>
        <v/>
      </c>
      <c r="N1047">
        <f>IFERROR(INDEX(Diccionario!$N:$N,MATCH(F1047,Diccionario!$C:$C,0)),"")</f>
        <v/>
      </c>
    </row>
    <row r="1048" ht="14.25" customHeight="1" s="52">
      <c r="A1048" t="inlineStr">
        <is>
          <t>2025-11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ingresos_recurrentes</t>
        </is>
      </c>
      <c r="I1048" t="n">
        <v>676346785</v>
      </c>
      <c r="J1048" t="inlineStr">
        <is>
          <t>COP</t>
        </is>
      </c>
      <c r="L1048">
        <f>IFERROR(INDEX(Diccionario!$B:$B,MATCH(F1048,Diccionario!$C:$C,0)),"")</f>
        <v/>
      </c>
      <c r="M1048">
        <f>IFERROR(INDEX(Diccionario!$H:$H,MATCH(F1048,Diccionario!$C:$C,0)),"")</f>
        <v/>
      </c>
      <c r="N1048">
        <f>IFERROR(INDEX(Diccionario!$N:$N,MATCH(F1048,Diccionario!$C:$C,0)),"")</f>
        <v/>
      </c>
    </row>
    <row r="1049" ht="14.25" customHeight="1" s="52">
      <c r="A1049" t="inlineStr">
        <is>
          <t>2025-12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ingresos_recurrentes</t>
        </is>
      </c>
      <c r="I1049" t="n">
        <v>678500265</v>
      </c>
      <c r="J1049" t="inlineStr">
        <is>
          <t>COP</t>
        </is>
      </c>
      <c r="L1049">
        <f>IFERROR(INDEX(Diccionario!$B:$B,MATCH(F1049,Diccionario!$C:$C,0)),"")</f>
        <v/>
      </c>
      <c r="M1049">
        <f>IFERROR(INDEX(Diccionario!$H:$H,MATCH(F1049,Diccionario!$C:$C,0)),"")</f>
        <v/>
      </c>
      <c r="N1049">
        <f>IFERROR(INDEX(Diccionario!$N:$N,MATCH(F1049,Diccionario!$C:$C,0)),"")</f>
        <v/>
      </c>
    </row>
    <row r="1050" ht="14.25" customHeight="1" s="52">
      <c r="A1050" t="inlineStr">
        <is>
          <t>2026-01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ingresos_recurrentes</t>
        </is>
      </c>
      <c r="I1050" t="n">
        <v>580720049</v>
      </c>
      <c r="J1050" t="inlineStr">
        <is>
          <t>COP</t>
        </is>
      </c>
      <c r="L1050">
        <f>IFERROR(INDEX(Diccionario!$B:$B,MATCH(F1050,Diccionario!$C:$C,0)),"")</f>
        <v/>
      </c>
      <c r="M1050">
        <f>IFERROR(INDEX(Diccionario!$H:$H,MATCH(F1050,Diccionario!$C:$C,0)),"")</f>
        <v/>
      </c>
      <c r="N1050">
        <f>IFERROR(INDEX(Diccionario!$N:$N,MATCH(F1050,Diccionario!$C:$C,0)),"")</f>
        <v/>
      </c>
    </row>
    <row r="1051" ht="14.25" customHeight="1" s="52">
      <c r="A1051" t="inlineStr">
        <is>
          <t>2026-02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ingresos_recurrentes</t>
        </is>
      </c>
      <c r="I1051" t="n">
        <v>678104625</v>
      </c>
      <c r="J1051" t="inlineStr">
        <is>
          <t>COP</t>
        </is>
      </c>
      <c r="L1051">
        <f>IFERROR(INDEX(Diccionario!$B:$B,MATCH(F1051,Diccionario!$C:$C,0)),"")</f>
        <v/>
      </c>
      <c r="M1051">
        <f>IFERROR(INDEX(Diccionario!$H:$H,MATCH(F1051,Diccionario!$C:$C,0)),"")</f>
        <v/>
      </c>
      <c r="N1051">
        <f>IFERROR(INDEX(Diccionario!$N:$N,MATCH(F1051,Diccionario!$C:$C,0)),"")</f>
        <v/>
      </c>
    </row>
    <row r="1052" ht="14.25" customHeight="1" s="52">
      <c r="A1052" t="inlineStr">
        <is>
          <t>2026-03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ingresos_recurrentes</t>
        </is>
      </c>
      <c r="I1052" t="n">
        <v>714287498</v>
      </c>
      <c r="J1052" t="inlineStr">
        <is>
          <t>COP</t>
        </is>
      </c>
      <c r="L1052">
        <f>IFERROR(INDEX(Diccionario!$B:$B,MATCH(F1052,Diccionario!$C:$C,0)),"")</f>
        <v/>
      </c>
      <c r="M1052">
        <f>IFERROR(INDEX(Diccionario!$H:$H,MATCH(F1052,Diccionario!$C:$C,0)),"")</f>
        <v/>
      </c>
      <c r="N1052">
        <f>IFERROR(INDEX(Diccionario!$N:$N,MATCH(F1052,Diccionario!$C:$C,0)),"")</f>
        <v/>
      </c>
    </row>
    <row r="1053" ht="14.25" customHeight="1" s="52">
      <c r="A1053" t="inlineStr">
        <is>
          <t>2026-04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ingresos_recurrentes</t>
        </is>
      </c>
      <c r="I1053" t="n">
        <v>728855485</v>
      </c>
      <c r="J1053" t="inlineStr">
        <is>
          <t>COP</t>
        </is>
      </c>
      <c r="L1053">
        <f>IFERROR(INDEX(Diccionario!$B:$B,MATCH(F1053,Diccionario!$C:$C,0)),"")</f>
        <v/>
      </c>
      <c r="M1053">
        <f>IFERROR(INDEX(Diccionario!$H:$H,MATCH(F1053,Diccionario!$C:$C,0)),"")</f>
        <v/>
      </c>
      <c r="N1053">
        <f>IFERROR(INDEX(Diccionario!$N:$N,MATCH(F1053,Diccionario!$C:$C,0)),"")</f>
        <v/>
      </c>
    </row>
    <row r="1054" ht="14.25" customHeight="1" s="52">
      <c r="A1054" t="inlineStr">
        <is>
          <t>2026-05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ingresos_recurrentes</t>
        </is>
      </c>
      <c r="I1054" t="n">
        <v>774122623</v>
      </c>
      <c r="J1054" t="inlineStr">
        <is>
          <t>COP</t>
        </is>
      </c>
      <c r="L1054">
        <f>IFERROR(INDEX(Diccionario!$B:$B,MATCH(F1054,Diccionario!$C:$C,0)),"")</f>
        <v/>
      </c>
      <c r="M1054">
        <f>IFERROR(INDEX(Diccionario!$H:$H,MATCH(F1054,Diccionario!$C:$C,0)),"")</f>
        <v/>
      </c>
      <c r="N1054">
        <f>IFERROR(INDEX(Diccionario!$N:$N,MATCH(F1054,Diccionario!$C:$C,0)),"")</f>
        <v/>
      </c>
    </row>
    <row r="1055" ht="14.25" customHeight="1" s="52">
      <c r="A1055" t="inlineStr">
        <is>
          <t>2024-01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24800000</v>
      </c>
      <c r="J1055" t="inlineStr">
        <is>
          <t>COP</t>
        </is>
      </c>
      <c r="L1055">
        <f>IFERROR(INDEX(Diccionario!$B:$B,MATCH(F1055,Diccionario!$C:$C,0)),"")</f>
        <v/>
      </c>
      <c r="M1055">
        <f>IFERROR(INDEX(Diccionario!$H:$H,MATCH(F1055,Diccionario!$C:$C,0)),"")</f>
        <v/>
      </c>
      <c r="N1055">
        <f>IFERROR(INDEX(Diccionario!$N:$N,MATCH(F1055,Diccionario!$C:$C,0)),"")</f>
        <v/>
      </c>
    </row>
    <row r="1056" ht="14.25" customHeight="1" s="52">
      <c r="A1056" t="inlineStr">
        <is>
          <t>2024-02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118729053</v>
      </c>
      <c r="J1056" t="inlineStr">
        <is>
          <t>COP</t>
        </is>
      </c>
      <c r="L1056">
        <f>IFERROR(INDEX(Diccionario!$B:$B,MATCH(F1056,Diccionario!$C:$C,0)),"")</f>
        <v/>
      </c>
      <c r="M1056">
        <f>IFERROR(INDEX(Diccionario!$H:$H,MATCH(F1056,Diccionario!$C:$C,0)),"")</f>
        <v/>
      </c>
      <c r="N1056">
        <f>IFERROR(INDEX(Diccionario!$N:$N,MATCH(F1056,Diccionario!$C:$C,0)),"")</f>
        <v/>
      </c>
    </row>
    <row r="1057" ht="14.25" customHeight="1" s="52">
      <c r="A1057" t="inlineStr">
        <is>
          <t>2024-03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12750000</v>
      </c>
      <c r="J1057" t="inlineStr">
        <is>
          <t>COP</t>
        </is>
      </c>
      <c r="L1057">
        <f>IFERROR(INDEX(Diccionario!$B:$B,MATCH(F1057,Diccionario!$C:$C,0)),"")</f>
        <v/>
      </c>
      <c r="M1057">
        <f>IFERROR(INDEX(Diccionario!$H:$H,MATCH(F1057,Diccionario!$C:$C,0)),"")</f>
        <v/>
      </c>
      <c r="N1057">
        <f>IFERROR(INDEX(Diccionario!$N:$N,MATCH(F1057,Diccionario!$C:$C,0)),"")</f>
        <v/>
      </c>
    </row>
    <row r="1058" ht="14.25" customHeight="1" s="52">
      <c r="A1058" t="inlineStr">
        <is>
          <t>2024-04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39644578</v>
      </c>
      <c r="J1058" t="inlineStr">
        <is>
          <t>COP</t>
        </is>
      </c>
      <c r="L1058">
        <f>IFERROR(INDEX(Diccionario!$B:$B,MATCH(F1058,Diccionario!$C:$C,0)),"")</f>
        <v/>
      </c>
      <c r="M1058">
        <f>IFERROR(INDEX(Diccionario!$H:$H,MATCH(F1058,Diccionario!$C:$C,0)),"")</f>
        <v/>
      </c>
      <c r="N1058">
        <f>IFERROR(INDEX(Diccionario!$N:$N,MATCH(F1058,Diccionario!$C:$C,0)),"")</f>
        <v/>
      </c>
    </row>
    <row r="1059" ht="14.25" customHeight="1" s="52">
      <c r="A1059" t="inlineStr">
        <is>
          <t>2024-05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43120258</v>
      </c>
      <c r="J1059" t="inlineStr">
        <is>
          <t>COP</t>
        </is>
      </c>
      <c r="L1059">
        <f>IFERROR(INDEX(Diccionario!$B:$B,MATCH(F1059,Diccionario!$C:$C,0)),"")</f>
        <v/>
      </c>
      <c r="M1059">
        <f>IFERROR(INDEX(Diccionario!$H:$H,MATCH(F1059,Diccionario!$C:$C,0)),"")</f>
        <v/>
      </c>
      <c r="N1059">
        <f>IFERROR(INDEX(Diccionario!$N:$N,MATCH(F1059,Diccionario!$C:$C,0)),"")</f>
        <v/>
      </c>
    </row>
    <row r="1060" ht="14.25" customHeight="1" s="52">
      <c r="A1060" t="inlineStr">
        <is>
          <t>2024-06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104205606</v>
      </c>
      <c r="J1060" t="inlineStr">
        <is>
          <t>COP</t>
        </is>
      </c>
      <c r="L1060">
        <f>IFERROR(INDEX(Diccionario!$B:$B,MATCH(F1060,Diccionario!$C:$C,0)),"")</f>
        <v/>
      </c>
      <c r="M1060">
        <f>IFERROR(INDEX(Diccionario!$H:$H,MATCH(F1060,Diccionario!$C:$C,0)),"")</f>
        <v/>
      </c>
      <c r="N1060">
        <f>IFERROR(INDEX(Diccionario!$N:$N,MATCH(F1060,Diccionario!$C:$C,0)),"")</f>
        <v/>
      </c>
    </row>
    <row r="1061" ht="14.25" customHeight="1" s="52">
      <c r="A1061" t="inlineStr">
        <is>
          <t>2024-07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38194640</v>
      </c>
      <c r="J1061" t="inlineStr">
        <is>
          <t>COP</t>
        </is>
      </c>
      <c r="L1061">
        <f>IFERROR(INDEX(Diccionario!$B:$B,MATCH(F1061,Diccionario!$C:$C,0)),"")</f>
        <v/>
      </c>
      <c r="M1061">
        <f>IFERROR(INDEX(Diccionario!$H:$H,MATCH(F1061,Diccionario!$C:$C,0)),"")</f>
        <v/>
      </c>
      <c r="N1061">
        <f>IFERROR(INDEX(Diccionario!$N:$N,MATCH(F1061,Diccionario!$C:$C,0)),"")</f>
        <v/>
      </c>
    </row>
    <row r="1062" ht="14.25" customHeight="1" s="52">
      <c r="A1062" t="inlineStr">
        <is>
          <t>2024-08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39148433</v>
      </c>
      <c r="J1062" t="inlineStr">
        <is>
          <t>COP</t>
        </is>
      </c>
      <c r="L1062">
        <f>IFERROR(INDEX(Diccionario!$B:$B,MATCH(F1062,Diccionario!$C:$C,0)),"")</f>
        <v/>
      </c>
      <c r="M1062">
        <f>IFERROR(INDEX(Diccionario!$H:$H,MATCH(F1062,Diccionario!$C:$C,0)),"")</f>
        <v/>
      </c>
      <c r="N1062">
        <f>IFERROR(INDEX(Diccionario!$N:$N,MATCH(F1062,Diccionario!$C:$C,0)),"")</f>
        <v/>
      </c>
    </row>
    <row r="1063" ht="14.25" customHeight="1" s="52">
      <c r="A1063" t="inlineStr">
        <is>
          <t>2024-09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38448771</v>
      </c>
      <c r="J1063" t="inlineStr">
        <is>
          <t>COP</t>
        </is>
      </c>
      <c r="L1063">
        <f>IFERROR(INDEX(Diccionario!$B:$B,MATCH(F1063,Diccionario!$C:$C,0)),"")</f>
        <v/>
      </c>
      <c r="M1063">
        <f>IFERROR(INDEX(Diccionario!$H:$H,MATCH(F1063,Diccionario!$C:$C,0)),"")</f>
        <v/>
      </c>
      <c r="N1063">
        <f>IFERROR(INDEX(Diccionario!$N:$N,MATCH(F1063,Diccionario!$C:$C,0)),"")</f>
        <v/>
      </c>
    </row>
    <row r="1064" ht="14.25" customHeight="1" s="52">
      <c r="A1064" t="inlineStr">
        <is>
          <t>2024-10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17301320</v>
      </c>
      <c r="J1064" t="inlineStr">
        <is>
          <t>COP</t>
        </is>
      </c>
      <c r="L1064">
        <f>IFERROR(INDEX(Diccionario!$B:$B,MATCH(F1064,Diccionario!$C:$C,0)),"")</f>
        <v/>
      </c>
      <c r="M1064">
        <f>IFERROR(INDEX(Diccionario!$H:$H,MATCH(F1064,Diccionario!$C:$C,0)),"")</f>
        <v/>
      </c>
      <c r="N1064">
        <f>IFERROR(INDEX(Diccionario!$N:$N,MATCH(F1064,Diccionario!$C:$C,0)),"")</f>
        <v/>
      </c>
    </row>
    <row r="1065" ht="14.25" customHeight="1" s="52">
      <c r="A1065" t="inlineStr">
        <is>
          <t>2024-11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25645918</v>
      </c>
      <c r="J1065" t="inlineStr">
        <is>
          <t>COP</t>
        </is>
      </c>
      <c r="L1065">
        <f>IFERROR(INDEX(Diccionario!$B:$B,MATCH(F1065,Diccionario!$C:$C,0)),"")</f>
        <v/>
      </c>
      <c r="M1065">
        <f>IFERROR(INDEX(Diccionario!$H:$H,MATCH(F1065,Diccionario!$C:$C,0)),"")</f>
        <v/>
      </c>
      <c r="N1065">
        <f>IFERROR(INDEX(Diccionario!$N:$N,MATCH(F1065,Diccionario!$C:$C,0)),"")</f>
        <v/>
      </c>
    </row>
    <row r="1066" ht="14.25" customHeight="1" s="52">
      <c r="A1066" t="inlineStr">
        <is>
          <t>2024-12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252667553</v>
      </c>
      <c r="J1066" t="inlineStr">
        <is>
          <t>COP</t>
        </is>
      </c>
      <c r="L1066">
        <f>IFERROR(INDEX(Diccionario!$B:$B,MATCH(F1066,Diccionario!$C:$C,0)),"")</f>
        <v/>
      </c>
      <c r="M1066">
        <f>IFERROR(INDEX(Diccionario!$H:$H,MATCH(F1066,Diccionario!$C:$C,0)),"")</f>
        <v/>
      </c>
      <c r="N1066">
        <f>IFERROR(INDEX(Diccionario!$N:$N,MATCH(F1066,Diccionario!$C:$C,0)),"")</f>
        <v/>
      </c>
    </row>
    <row r="1067" ht="14.25" customHeight="1" s="52">
      <c r="A1067" t="inlineStr">
        <is>
          <t>2025-01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5800000</v>
      </c>
      <c r="J1067" t="inlineStr">
        <is>
          <t>COP</t>
        </is>
      </c>
      <c r="L1067">
        <f>IFERROR(INDEX(Diccionario!$B:$B,MATCH(F1067,Diccionario!$C:$C,0)),"")</f>
        <v/>
      </c>
      <c r="M1067">
        <f>IFERROR(INDEX(Diccionario!$H:$H,MATCH(F1067,Diccionario!$C:$C,0)),"")</f>
        <v/>
      </c>
      <c r="N1067">
        <f>IFERROR(INDEX(Diccionario!$N:$N,MATCH(F1067,Diccionario!$C:$C,0)),"")</f>
        <v/>
      </c>
    </row>
    <row r="1068" ht="14.25" customHeight="1" s="52">
      <c r="A1068" t="inlineStr">
        <is>
          <t>2025-02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0</v>
      </c>
      <c r="J1068" t="inlineStr">
        <is>
          <t>COP</t>
        </is>
      </c>
      <c r="L1068">
        <f>IFERROR(INDEX(Diccionario!$B:$B,MATCH(F1068,Diccionario!$C:$C,0)),"")</f>
        <v/>
      </c>
      <c r="M1068">
        <f>IFERROR(INDEX(Diccionario!$H:$H,MATCH(F1068,Diccionario!$C:$C,0)),"")</f>
        <v/>
      </c>
      <c r="N1068">
        <f>IFERROR(INDEX(Diccionario!$N:$N,MATCH(F1068,Diccionario!$C:$C,0)),"")</f>
        <v/>
      </c>
    </row>
    <row r="1069" ht="14.25" customHeight="1" s="52">
      <c r="A1069" t="inlineStr">
        <is>
          <t>2025-03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2546881</v>
      </c>
      <c r="J1069" t="inlineStr">
        <is>
          <t>COP</t>
        </is>
      </c>
      <c r="L1069">
        <f>IFERROR(INDEX(Diccionario!$B:$B,MATCH(F1069,Diccionario!$C:$C,0)),"")</f>
        <v/>
      </c>
      <c r="M1069">
        <f>IFERROR(INDEX(Diccionario!$H:$H,MATCH(F1069,Diccionario!$C:$C,0)),"")</f>
        <v/>
      </c>
      <c r="N1069">
        <f>IFERROR(INDEX(Diccionario!$N:$N,MATCH(F1069,Diccionario!$C:$C,0)),"")</f>
        <v/>
      </c>
    </row>
    <row r="1070" ht="14.25" customHeight="1" s="52">
      <c r="A1070" t="inlineStr">
        <is>
          <t>2025-04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2546881</v>
      </c>
      <c r="J1070" t="inlineStr">
        <is>
          <t>COP</t>
        </is>
      </c>
      <c r="L1070">
        <f>IFERROR(INDEX(Diccionario!$B:$B,MATCH(F1070,Diccionario!$C:$C,0)),"")</f>
        <v/>
      </c>
      <c r="M1070">
        <f>IFERROR(INDEX(Diccionario!$H:$H,MATCH(F1070,Diccionario!$C:$C,0)),"")</f>
        <v/>
      </c>
      <c r="N1070">
        <f>IFERROR(INDEX(Diccionario!$N:$N,MATCH(F1070,Diccionario!$C:$C,0)),"")</f>
        <v/>
      </c>
    </row>
    <row r="1071" ht="14.25" customHeight="1" s="52">
      <c r="A1071" t="inlineStr">
        <is>
          <t>2025-05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26543424</v>
      </c>
      <c r="J1071" t="inlineStr">
        <is>
          <t>COP</t>
        </is>
      </c>
      <c r="L1071">
        <f>IFERROR(INDEX(Diccionario!$B:$B,MATCH(F1071,Diccionario!$C:$C,0)),"")</f>
        <v/>
      </c>
      <c r="M1071">
        <f>IFERROR(INDEX(Diccionario!$H:$H,MATCH(F1071,Diccionario!$C:$C,0)),"")</f>
        <v/>
      </c>
      <c r="N1071">
        <f>IFERROR(INDEX(Diccionario!$N:$N,MATCH(F1071,Diccionario!$C:$C,0)),"")</f>
        <v/>
      </c>
    </row>
    <row r="1072" ht="14.25" customHeight="1" s="52">
      <c r="A1072" t="inlineStr">
        <is>
          <t>2025-06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ingresos_no_recurrentes</t>
        </is>
      </c>
      <c r="I1072" t="n">
        <v>21130000</v>
      </c>
      <c r="J1072" t="inlineStr">
        <is>
          <t>COP</t>
        </is>
      </c>
      <c r="L1072">
        <f>IFERROR(INDEX(Diccionario!$B:$B,MATCH(F1072,Diccionario!$C:$C,0)),"")</f>
        <v/>
      </c>
      <c r="M1072">
        <f>IFERROR(INDEX(Diccionario!$H:$H,MATCH(F1072,Diccionario!$C:$C,0)),"")</f>
        <v/>
      </c>
      <c r="N1072">
        <f>IFERROR(INDEX(Diccionario!$N:$N,MATCH(F1072,Diccionario!$C:$C,0)),"")</f>
        <v/>
      </c>
    </row>
    <row r="1073" ht="14.25" customHeight="1" s="52">
      <c r="A1073" t="inlineStr">
        <is>
          <t>2025-07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ingresos_no_recurrentes</t>
        </is>
      </c>
      <c r="I1073" t="n">
        <v>27206633</v>
      </c>
      <c r="J1073" t="inlineStr">
        <is>
          <t>COP</t>
        </is>
      </c>
      <c r="L1073">
        <f>IFERROR(INDEX(Diccionario!$B:$B,MATCH(F1073,Diccionario!$C:$C,0)),"")</f>
        <v/>
      </c>
      <c r="M1073">
        <f>IFERROR(INDEX(Diccionario!$H:$H,MATCH(F1073,Diccionario!$C:$C,0)),"")</f>
        <v/>
      </c>
      <c r="N1073">
        <f>IFERROR(INDEX(Diccionario!$N:$N,MATCH(F1073,Diccionario!$C:$C,0)),"")</f>
        <v/>
      </c>
    </row>
    <row r="1074" ht="14.25" customHeight="1" s="52">
      <c r="A1074" t="inlineStr">
        <is>
          <t>2025-08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ingresos_no_recurrentes</t>
        </is>
      </c>
      <c r="I1074" t="n">
        <v>30397673</v>
      </c>
      <c r="J1074" t="inlineStr">
        <is>
          <t>COP</t>
        </is>
      </c>
      <c r="L1074">
        <f>IFERROR(INDEX(Diccionario!$B:$B,MATCH(F1074,Diccionario!$C:$C,0)),"")</f>
        <v/>
      </c>
      <c r="M1074">
        <f>IFERROR(INDEX(Diccionario!$H:$H,MATCH(F1074,Diccionario!$C:$C,0)),"")</f>
        <v/>
      </c>
      <c r="N1074">
        <f>IFERROR(INDEX(Diccionario!$N:$N,MATCH(F1074,Diccionario!$C:$C,0)),"")</f>
        <v/>
      </c>
    </row>
    <row r="1075" ht="14.25" customHeight="1" s="52">
      <c r="A1075" t="inlineStr">
        <is>
          <t>2025-09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ingresos_no_recurrentes</t>
        </is>
      </c>
      <c r="I1075" t="n">
        <v>56793147</v>
      </c>
      <c r="J1075" t="inlineStr">
        <is>
          <t>COP</t>
        </is>
      </c>
      <c r="L1075">
        <f>IFERROR(INDEX(Diccionario!$B:$B,MATCH(F1075,Diccionario!$C:$C,0)),"")</f>
        <v/>
      </c>
      <c r="M1075">
        <f>IFERROR(INDEX(Diccionario!$H:$H,MATCH(F1075,Diccionario!$C:$C,0)),"")</f>
        <v/>
      </c>
      <c r="N1075">
        <f>IFERROR(INDEX(Diccionario!$N:$N,MATCH(F1075,Diccionario!$C:$C,0)),"")</f>
        <v/>
      </c>
    </row>
    <row r="1076" ht="14.25" customHeight="1" s="52">
      <c r="A1076" t="inlineStr">
        <is>
          <t>2025-10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ingresos_no_recurrentes</t>
        </is>
      </c>
      <c r="I1076" t="n">
        <v>17650000</v>
      </c>
      <c r="J1076" t="inlineStr">
        <is>
          <t>COP</t>
        </is>
      </c>
      <c r="L1076">
        <f>IFERROR(INDEX(Diccionario!$B:$B,MATCH(F1076,Diccionario!$C:$C,0)),"")</f>
        <v/>
      </c>
      <c r="M1076">
        <f>IFERROR(INDEX(Diccionario!$H:$H,MATCH(F1076,Diccionario!$C:$C,0)),"")</f>
        <v/>
      </c>
      <c r="N1076">
        <f>IFERROR(INDEX(Diccionario!$N:$N,MATCH(F1076,Diccionario!$C:$C,0)),"")</f>
        <v/>
      </c>
    </row>
    <row r="1077" ht="14.25" customHeight="1" s="52">
      <c r="A1077" t="inlineStr">
        <is>
          <t>2025-11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ingresos_no_recurrentes</t>
        </is>
      </c>
      <c r="I1077" t="n">
        <v>1</v>
      </c>
      <c r="J1077" t="inlineStr">
        <is>
          <t>COP</t>
        </is>
      </c>
      <c r="L1077">
        <f>IFERROR(INDEX(Diccionario!$B:$B,MATCH(F1077,Diccionario!$C:$C,0)),"")</f>
        <v/>
      </c>
      <c r="M1077">
        <f>IFERROR(INDEX(Diccionario!$H:$H,MATCH(F1077,Diccionario!$C:$C,0)),"")</f>
        <v/>
      </c>
      <c r="N1077">
        <f>IFERROR(INDEX(Diccionario!$N:$N,MATCH(F1077,Diccionario!$C:$C,0)),"")</f>
        <v/>
      </c>
    </row>
    <row r="1078" ht="14.25" customHeight="1" s="52">
      <c r="A1078" t="inlineStr">
        <is>
          <t>2025-12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ingresos_no_recurrentes</t>
        </is>
      </c>
      <c r="I1078" t="n">
        <v>71452835</v>
      </c>
      <c r="J1078" t="inlineStr">
        <is>
          <t>COP</t>
        </is>
      </c>
      <c r="L1078">
        <f>IFERROR(INDEX(Diccionario!$B:$B,MATCH(F1078,Diccionario!$C:$C,0)),"")</f>
        <v/>
      </c>
      <c r="M1078">
        <f>IFERROR(INDEX(Diccionario!$H:$H,MATCH(F1078,Diccionario!$C:$C,0)),"")</f>
        <v/>
      </c>
      <c r="N1078">
        <f>IFERROR(INDEX(Diccionario!$N:$N,MATCH(F1078,Diccionario!$C:$C,0)),"")</f>
        <v/>
      </c>
    </row>
    <row r="1079" ht="14.25" customHeight="1" s="52">
      <c r="A1079" t="inlineStr">
        <is>
          <t>2026-01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ingresos_no_recurrentes</t>
        </is>
      </c>
      <c r="I1079" t="n">
        <v>40047000</v>
      </c>
      <c r="J1079" t="inlineStr">
        <is>
          <t>COP</t>
        </is>
      </c>
      <c r="L1079">
        <f>IFERROR(INDEX(Diccionario!$B:$B,MATCH(F1079,Diccionario!$C:$C,0)),"")</f>
        <v/>
      </c>
      <c r="M1079">
        <f>IFERROR(INDEX(Diccionario!$H:$H,MATCH(F1079,Diccionario!$C:$C,0)),"")</f>
        <v/>
      </c>
      <c r="N1079">
        <f>IFERROR(INDEX(Diccionario!$N:$N,MATCH(F1079,Diccionario!$C:$C,0)),"")</f>
        <v/>
      </c>
    </row>
    <row r="1080" ht="14.25" customHeight="1" s="52">
      <c r="A1080" t="inlineStr">
        <is>
          <t>2026-02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ingresos_no_recurrentes</t>
        </is>
      </c>
      <c r="I1080" t="n">
        <v>67164125</v>
      </c>
      <c r="J1080" t="inlineStr">
        <is>
          <t>COP</t>
        </is>
      </c>
      <c r="L1080">
        <f>IFERROR(INDEX(Diccionario!$B:$B,MATCH(F1080,Diccionario!$C:$C,0)),"")</f>
        <v/>
      </c>
      <c r="M1080">
        <f>IFERROR(INDEX(Diccionario!$H:$H,MATCH(F1080,Diccionario!$C:$C,0)),"")</f>
        <v/>
      </c>
      <c r="N1080">
        <f>IFERROR(INDEX(Diccionario!$N:$N,MATCH(F1080,Diccionario!$C:$C,0)),"")</f>
        <v/>
      </c>
    </row>
    <row r="1081" ht="14.25" customHeight="1" s="52">
      <c r="A1081" t="inlineStr">
        <is>
          <t>2026-03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ingresos_no_recurrentes</t>
        </is>
      </c>
      <c r="I1081" t="n">
        <v>54801528</v>
      </c>
      <c r="J1081" t="inlineStr">
        <is>
          <t>COP</t>
        </is>
      </c>
      <c r="L1081">
        <f>IFERROR(INDEX(Diccionario!$B:$B,MATCH(F1081,Diccionario!$C:$C,0)),"")</f>
        <v/>
      </c>
      <c r="M1081">
        <f>IFERROR(INDEX(Diccionario!$H:$H,MATCH(F1081,Diccionario!$C:$C,0)),"")</f>
        <v/>
      </c>
      <c r="N1081">
        <f>IFERROR(INDEX(Diccionario!$N:$N,MATCH(F1081,Diccionario!$C:$C,0)),"")</f>
        <v/>
      </c>
    </row>
    <row r="1082" ht="14.25" customHeight="1" s="52">
      <c r="A1082" t="inlineStr">
        <is>
          <t>2026-04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ingresos_no_recurrentes</t>
        </is>
      </c>
      <c r="I1082" t="n">
        <v>30501180</v>
      </c>
      <c r="J1082" t="inlineStr">
        <is>
          <t>COP</t>
        </is>
      </c>
      <c r="L1082">
        <f>IFERROR(INDEX(Diccionario!$B:$B,MATCH(F1082,Diccionario!$C:$C,0)),"")</f>
        <v/>
      </c>
      <c r="M1082">
        <f>IFERROR(INDEX(Diccionario!$H:$H,MATCH(F1082,Diccionario!$C:$C,0)),"")</f>
        <v/>
      </c>
      <c r="N1082">
        <f>IFERROR(INDEX(Diccionario!$N:$N,MATCH(F1082,Diccionario!$C:$C,0)),"")</f>
        <v/>
      </c>
    </row>
    <row r="1083" ht="14.25" customHeight="1" s="52">
      <c r="A1083" t="inlineStr">
        <is>
          <t>2026-05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ingresos_no_recurrentes</t>
        </is>
      </c>
      <c r="I1083" t="n">
        <v>61451942</v>
      </c>
      <c r="J1083" t="inlineStr">
        <is>
          <t>COP</t>
        </is>
      </c>
      <c r="L1083">
        <f>IFERROR(INDEX(Diccionario!$B:$B,MATCH(F1083,Diccionario!$C:$C,0)),"")</f>
        <v/>
      </c>
      <c r="M1083">
        <f>IFERROR(INDEX(Diccionario!$H:$H,MATCH(F1083,Diccionario!$C:$C,0)),"")</f>
        <v/>
      </c>
      <c r="N1083">
        <f>IFERROR(INDEX(Diccionario!$N:$N,MATCH(F1083,Diccionario!$C:$C,0)),"")</f>
        <v/>
      </c>
    </row>
    <row r="1084" ht="14.25" customHeight="1" s="52">
      <c r="A1084" t="inlineStr">
        <is>
          <t>2025-05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697602788</v>
      </c>
      <c r="J1084" t="inlineStr">
        <is>
          <t>COP</t>
        </is>
      </c>
      <c r="L1084">
        <f>IFERROR(INDEX(Diccionario!$B:$B,MATCH(F1084,Diccionario!$C:$C,0)),"")</f>
        <v/>
      </c>
      <c r="M1084">
        <f>IFERROR(INDEX(Diccionario!$H:$H,MATCH(F1084,Diccionario!$C:$C,0)),"")</f>
        <v/>
      </c>
      <c r="N1084">
        <f>IFERROR(INDEX(Diccionario!$N:$N,MATCH(F1084,Diccionario!$C:$C,0)),"")</f>
        <v/>
      </c>
    </row>
    <row r="1085" ht="14.25" customHeight="1" s="52">
      <c r="A1085" t="inlineStr">
        <is>
          <t>2025-06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retained_mrr</t>
        </is>
      </c>
      <c r="I1085" t="n">
        <v>631984829</v>
      </c>
      <c r="J1085" t="inlineStr">
        <is>
          <t>COP</t>
        </is>
      </c>
      <c r="L1085">
        <f>IFERROR(INDEX(Diccionario!$B:$B,MATCH(F1085,Diccionario!$C:$C,0)),"")</f>
        <v/>
      </c>
      <c r="M1085">
        <f>IFERROR(INDEX(Diccionario!$H:$H,MATCH(F1085,Diccionario!$C:$C,0)),"")</f>
        <v/>
      </c>
      <c r="N1085">
        <f>IFERROR(INDEX(Diccionario!$N:$N,MATCH(F1085,Diccionario!$C:$C,0)),"")</f>
        <v/>
      </c>
    </row>
    <row r="1086" ht="14.25" customHeight="1" s="52">
      <c r="A1086" t="inlineStr">
        <is>
          <t>2025-07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retained_mrr</t>
        </is>
      </c>
      <c r="I1086" t="n">
        <v>665215212</v>
      </c>
      <c r="J1086" t="inlineStr">
        <is>
          <t>COP</t>
        </is>
      </c>
      <c r="L1086">
        <f>IFERROR(INDEX(Diccionario!$B:$B,MATCH(F1086,Diccionario!$C:$C,0)),"")</f>
        <v/>
      </c>
      <c r="M1086">
        <f>IFERROR(INDEX(Diccionario!$H:$H,MATCH(F1086,Diccionario!$C:$C,0)),"")</f>
        <v/>
      </c>
      <c r="N1086">
        <f>IFERROR(INDEX(Diccionario!$N:$N,MATCH(F1086,Diccionario!$C:$C,0)),"")</f>
        <v/>
      </c>
    </row>
    <row r="1087" ht="14.25" customHeight="1" s="52">
      <c r="A1087" t="inlineStr">
        <is>
          <t>2025-08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retained_mrr</t>
        </is>
      </c>
      <c r="I1087" t="n">
        <v>645143880</v>
      </c>
      <c r="J1087" t="inlineStr">
        <is>
          <t>COP</t>
        </is>
      </c>
      <c r="L1087">
        <f>IFERROR(INDEX(Diccionario!$B:$B,MATCH(F1087,Diccionario!$C:$C,0)),"")</f>
        <v/>
      </c>
      <c r="M1087">
        <f>IFERROR(INDEX(Diccionario!$H:$H,MATCH(F1087,Diccionario!$C:$C,0)),"")</f>
        <v/>
      </c>
      <c r="N1087">
        <f>IFERROR(INDEX(Diccionario!$N:$N,MATCH(F1087,Diccionario!$C:$C,0)),"")</f>
        <v/>
      </c>
    </row>
    <row r="1088" ht="14.25" customHeight="1" s="52">
      <c r="A1088" t="inlineStr">
        <is>
          <t>2025-09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retained_mrr</t>
        </is>
      </c>
      <c r="I1088" t="n">
        <v>599113206</v>
      </c>
      <c r="J1088" t="inlineStr">
        <is>
          <t>COP</t>
        </is>
      </c>
      <c r="L1088">
        <f>IFERROR(INDEX(Diccionario!$B:$B,MATCH(F1088,Diccionario!$C:$C,0)),"")</f>
        <v/>
      </c>
      <c r="M1088">
        <f>IFERROR(INDEX(Diccionario!$H:$H,MATCH(F1088,Diccionario!$C:$C,0)),"")</f>
        <v/>
      </c>
      <c r="N1088">
        <f>IFERROR(INDEX(Diccionario!$N:$N,MATCH(F1088,Diccionario!$C:$C,0)),"")</f>
        <v/>
      </c>
    </row>
    <row r="1089" ht="14.25" customHeight="1" s="52">
      <c r="A1089" t="inlineStr">
        <is>
          <t>2025-10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retained_mrr</t>
        </is>
      </c>
      <c r="I1089" t="n">
        <v>621530361</v>
      </c>
      <c r="J1089" t="inlineStr">
        <is>
          <t>COP</t>
        </is>
      </c>
      <c r="L1089">
        <f>IFERROR(INDEX(Diccionario!$B:$B,MATCH(F1089,Diccionario!$C:$C,0)),"")</f>
        <v/>
      </c>
      <c r="M1089">
        <f>IFERROR(INDEX(Diccionario!$H:$H,MATCH(F1089,Diccionario!$C:$C,0)),"")</f>
        <v/>
      </c>
      <c r="N1089">
        <f>IFERROR(INDEX(Diccionario!$N:$N,MATCH(F1089,Diccionario!$C:$C,0)),"")</f>
        <v/>
      </c>
    </row>
    <row r="1090" ht="14.25" customHeight="1" s="52">
      <c r="A1090" t="inlineStr">
        <is>
          <t>2025-11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retained_mrr</t>
        </is>
      </c>
      <c r="I1090" t="n">
        <v>647442178</v>
      </c>
      <c r="J1090" t="inlineStr">
        <is>
          <t>COP</t>
        </is>
      </c>
      <c r="L1090">
        <f>IFERROR(INDEX(Diccionario!$B:$B,MATCH(F1090,Diccionario!$C:$C,0)),"")</f>
        <v/>
      </c>
      <c r="M1090">
        <f>IFERROR(INDEX(Diccionario!$H:$H,MATCH(F1090,Diccionario!$C:$C,0)),"")</f>
        <v/>
      </c>
      <c r="N1090">
        <f>IFERROR(INDEX(Diccionario!$N:$N,MATCH(F1090,Diccionario!$C:$C,0)),"")</f>
        <v/>
      </c>
    </row>
    <row r="1091" ht="14.25" customHeight="1" s="52">
      <c r="A1091" t="inlineStr">
        <is>
          <t>2025-12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retained_mrr</t>
        </is>
      </c>
      <c r="I1091" t="n">
        <v>533747198</v>
      </c>
      <c r="J1091" t="inlineStr">
        <is>
          <t>COP</t>
        </is>
      </c>
      <c r="L1091">
        <f>IFERROR(INDEX(Diccionario!$B:$B,MATCH(F1091,Diccionario!$C:$C,0)),"")</f>
        <v/>
      </c>
      <c r="M1091">
        <f>IFERROR(INDEX(Diccionario!$H:$H,MATCH(F1091,Diccionario!$C:$C,0)),"")</f>
        <v/>
      </c>
      <c r="N1091">
        <f>IFERROR(INDEX(Diccionario!$N:$N,MATCH(F1091,Diccionario!$C:$C,0)),"")</f>
        <v/>
      </c>
    </row>
    <row r="1092" ht="14.25" customHeight="1" s="52">
      <c r="A1092" t="inlineStr">
        <is>
          <t>2026-01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retained_mrr</t>
        </is>
      </c>
      <c r="I1092" t="n">
        <v>554242648</v>
      </c>
      <c r="J1092" t="inlineStr">
        <is>
          <t>COP</t>
        </is>
      </c>
      <c r="L1092">
        <f>IFERROR(INDEX(Diccionario!$B:$B,MATCH(F1092,Diccionario!$C:$C,0)),"")</f>
        <v/>
      </c>
      <c r="M1092">
        <f>IFERROR(INDEX(Diccionario!$H:$H,MATCH(F1092,Diccionario!$C:$C,0)),"")</f>
        <v/>
      </c>
      <c r="N1092">
        <f>IFERROR(INDEX(Diccionario!$N:$N,MATCH(F1092,Diccionario!$C:$C,0)),"")</f>
        <v/>
      </c>
    </row>
    <row r="1093" ht="14.25" customHeight="1" s="52">
      <c r="A1093" t="inlineStr">
        <is>
          <t>2026-02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retained_mrr</t>
        </is>
      </c>
      <c r="I1093" t="n">
        <v>626918165</v>
      </c>
      <c r="J1093" t="inlineStr">
        <is>
          <t>COP</t>
        </is>
      </c>
      <c r="L1093">
        <f>IFERROR(INDEX(Diccionario!$B:$B,MATCH(F1093,Diccionario!$C:$C,0)),"")</f>
        <v/>
      </c>
      <c r="M1093">
        <f>IFERROR(INDEX(Diccionario!$H:$H,MATCH(F1093,Diccionario!$C:$C,0)),"")</f>
        <v/>
      </c>
      <c r="N1093">
        <f>IFERROR(INDEX(Diccionario!$N:$N,MATCH(F1093,Diccionario!$C:$C,0)),"")</f>
        <v/>
      </c>
    </row>
    <row r="1094" ht="14.25" customHeight="1" s="52">
      <c r="A1094" t="inlineStr">
        <is>
          <t>2026-03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retained_mrr</t>
        </is>
      </c>
      <c r="I1094" t="n">
        <v>666914432</v>
      </c>
      <c r="J1094" t="inlineStr">
        <is>
          <t>COP</t>
        </is>
      </c>
      <c r="L1094">
        <f>IFERROR(INDEX(Diccionario!$B:$B,MATCH(F1094,Diccionario!$C:$C,0)),"")</f>
        <v/>
      </c>
      <c r="M1094">
        <f>IFERROR(INDEX(Diccionario!$H:$H,MATCH(F1094,Diccionario!$C:$C,0)),"")</f>
        <v/>
      </c>
      <c r="N1094">
        <f>IFERROR(INDEX(Diccionario!$N:$N,MATCH(F1094,Diccionario!$C:$C,0)),"")</f>
        <v/>
      </c>
    </row>
    <row r="1095" ht="14.25" customHeight="1" s="52">
      <c r="A1095" t="inlineStr">
        <is>
          <t>2026-04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retained_mrr</t>
        </is>
      </c>
      <c r="I1095" t="n">
        <v>685135673</v>
      </c>
      <c r="J1095" t="inlineStr">
        <is>
          <t>COP</t>
        </is>
      </c>
      <c r="L1095">
        <f>IFERROR(INDEX(Diccionario!$B:$B,MATCH(F1095,Diccionario!$C:$C,0)),"")</f>
        <v/>
      </c>
      <c r="M1095">
        <f>IFERROR(INDEX(Diccionario!$H:$H,MATCH(F1095,Diccionario!$C:$C,0)),"")</f>
        <v/>
      </c>
      <c r="N1095">
        <f>IFERROR(INDEX(Diccionario!$N:$N,MATCH(F1095,Diccionario!$C:$C,0)),"")</f>
        <v/>
      </c>
    </row>
    <row r="1096" ht="14.25" customHeight="1" s="52">
      <c r="A1096" t="inlineStr">
        <is>
          <t>2026-05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retained_mrr</t>
        </is>
      </c>
      <c r="I1096" t="n">
        <v>638091793</v>
      </c>
      <c r="J1096" t="inlineStr">
        <is>
          <t>COP</t>
        </is>
      </c>
      <c r="L1096">
        <f>IFERROR(INDEX(Diccionario!$B:$B,MATCH(F1096,Diccionario!$C:$C,0)),"")</f>
        <v/>
      </c>
      <c r="M1096">
        <f>IFERROR(INDEX(Diccionario!$H:$H,MATCH(F1096,Diccionario!$C:$C,0)),"")</f>
        <v/>
      </c>
      <c r="N1096">
        <f>IFERROR(INDEX(Diccionario!$N:$N,MATCH(F1096,Diccionario!$C:$C,0)),"")</f>
        <v/>
      </c>
    </row>
    <row r="1097" ht="14.25" customHeight="1" s="52">
      <c r="A1097" t="inlineStr">
        <is>
          <t>2025-05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12236217</v>
      </c>
      <c r="J1097" t="inlineStr">
        <is>
          <t>COP</t>
        </is>
      </c>
      <c r="L1097">
        <f>IFERROR(INDEX(Diccionario!$B:$B,MATCH(F1097,Diccionario!$C:$C,0)),"")</f>
        <v/>
      </c>
      <c r="M1097">
        <f>IFERROR(INDEX(Diccionario!$H:$H,MATCH(F1097,Diccionario!$C:$C,0)),"")</f>
        <v/>
      </c>
      <c r="N1097">
        <f>IFERROR(INDEX(Diccionario!$N:$N,MATCH(F1097,Diccionario!$C:$C,0)),"")</f>
        <v/>
      </c>
    </row>
    <row r="1098" ht="14.25" customHeight="1" s="52">
      <c r="A1098" t="inlineStr">
        <is>
          <t>2025-06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new_mrr</t>
        </is>
      </c>
      <c r="I1098" t="n">
        <v>18476082</v>
      </c>
      <c r="J1098" t="inlineStr">
        <is>
          <t>COP</t>
        </is>
      </c>
      <c r="L1098">
        <f>IFERROR(INDEX(Diccionario!$B:$B,MATCH(F1098,Diccionario!$C:$C,0)),"")</f>
        <v/>
      </c>
      <c r="M1098">
        <f>IFERROR(INDEX(Diccionario!$H:$H,MATCH(F1098,Diccionario!$C:$C,0)),"")</f>
        <v/>
      </c>
      <c r="N1098">
        <f>IFERROR(INDEX(Diccionario!$N:$N,MATCH(F1098,Diccionario!$C:$C,0)),"")</f>
        <v/>
      </c>
    </row>
    <row r="1099" ht="14.25" customHeight="1" s="52">
      <c r="A1099" t="inlineStr">
        <is>
          <t>2025-07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new_mrr</t>
        </is>
      </c>
      <c r="I1099" t="n">
        <v>0</v>
      </c>
      <c r="J1099" t="inlineStr">
        <is>
          <t>COP</t>
        </is>
      </c>
      <c r="L1099">
        <f>IFERROR(INDEX(Diccionario!$B:$B,MATCH(F1099,Diccionario!$C:$C,0)),"")</f>
        <v/>
      </c>
      <c r="M1099">
        <f>IFERROR(INDEX(Diccionario!$H:$H,MATCH(F1099,Diccionario!$C:$C,0)),"")</f>
        <v/>
      </c>
      <c r="N1099">
        <f>IFERROR(INDEX(Diccionario!$N:$N,MATCH(F1099,Diccionario!$C:$C,0)),"")</f>
        <v/>
      </c>
    </row>
    <row r="1100" ht="14.25" customHeight="1" s="52">
      <c r="A1100" t="inlineStr">
        <is>
          <t>2025-08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new_mrr</t>
        </is>
      </c>
      <c r="I1100" t="n">
        <v>30328404</v>
      </c>
      <c r="J1100" t="inlineStr">
        <is>
          <t>COP</t>
        </is>
      </c>
      <c r="L1100">
        <f>IFERROR(INDEX(Diccionario!$B:$B,MATCH(F1100,Diccionario!$C:$C,0)),"")</f>
        <v/>
      </c>
      <c r="M1100">
        <f>IFERROR(INDEX(Diccionario!$H:$H,MATCH(F1100,Diccionario!$C:$C,0)),"")</f>
        <v/>
      </c>
      <c r="N1100">
        <f>IFERROR(INDEX(Diccionario!$N:$N,MATCH(F1100,Diccionario!$C:$C,0)),"")</f>
        <v/>
      </c>
    </row>
    <row r="1101" ht="14.25" customHeight="1" s="52">
      <c r="A1101" t="inlineStr">
        <is>
          <t>2025-09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new_mrr</t>
        </is>
      </c>
      <c r="I1101" t="n">
        <v>66758720</v>
      </c>
      <c r="J1101" t="inlineStr">
        <is>
          <t>COP</t>
        </is>
      </c>
      <c r="L1101">
        <f>IFERROR(INDEX(Diccionario!$B:$B,MATCH(F1101,Diccionario!$C:$C,0)),"")</f>
        <v/>
      </c>
      <c r="M1101">
        <f>IFERROR(INDEX(Diccionario!$H:$H,MATCH(F1101,Diccionario!$C:$C,0)),"")</f>
        <v/>
      </c>
      <c r="N1101">
        <f>IFERROR(INDEX(Diccionario!$N:$N,MATCH(F1101,Diccionario!$C:$C,0)),"")</f>
        <v/>
      </c>
    </row>
    <row r="1102" ht="14.25" customHeight="1" s="52">
      <c r="A1102" t="inlineStr">
        <is>
          <t>2025-10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new_mrr</t>
        </is>
      </c>
      <c r="I1102" t="n">
        <v>9744000</v>
      </c>
      <c r="J1102" t="inlineStr">
        <is>
          <t>COP</t>
        </is>
      </c>
      <c r="L1102">
        <f>IFERROR(INDEX(Diccionario!$B:$B,MATCH(F1102,Diccionario!$C:$C,0)),"")</f>
        <v/>
      </c>
      <c r="M1102">
        <f>IFERROR(INDEX(Diccionario!$H:$H,MATCH(F1102,Diccionario!$C:$C,0)),"")</f>
        <v/>
      </c>
      <c r="N1102">
        <f>IFERROR(INDEX(Diccionario!$N:$N,MATCH(F1102,Diccionario!$C:$C,0)),"")</f>
        <v/>
      </c>
    </row>
    <row r="1103" ht="14.25" customHeight="1" s="52">
      <c r="A1103" t="inlineStr">
        <is>
          <t>2025-11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new_mrr</t>
        </is>
      </c>
      <c r="I1103" t="n">
        <v>4576586</v>
      </c>
      <c r="J1103" t="inlineStr">
        <is>
          <t>COP</t>
        </is>
      </c>
      <c r="L1103">
        <f>IFERROR(INDEX(Diccionario!$B:$B,MATCH(F1103,Diccionario!$C:$C,0)),"")</f>
        <v/>
      </c>
      <c r="M1103">
        <f>IFERROR(INDEX(Diccionario!$H:$H,MATCH(F1103,Diccionario!$C:$C,0)),"")</f>
        <v/>
      </c>
      <c r="N1103">
        <f>IFERROR(INDEX(Diccionario!$N:$N,MATCH(F1103,Diccionario!$C:$C,0)),"")</f>
        <v/>
      </c>
    </row>
    <row r="1104" ht="14.25" customHeight="1" s="52">
      <c r="A1104" t="inlineStr">
        <is>
          <t>2025-12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new_mrr</t>
        </is>
      </c>
      <c r="I1104" t="n">
        <v>121130467</v>
      </c>
      <c r="J1104" t="inlineStr">
        <is>
          <t>COP</t>
        </is>
      </c>
      <c r="L1104">
        <f>IFERROR(INDEX(Diccionario!$B:$B,MATCH(F1104,Diccionario!$C:$C,0)),"")</f>
        <v/>
      </c>
      <c r="M1104">
        <f>IFERROR(INDEX(Diccionario!$H:$H,MATCH(F1104,Diccionario!$C:$C,0)),"")</f>
        <v/>
      </c>
      <c r="N1104">
        <f>IFERROR(INDEX(Diccionario!$N:$N,MATCH(F1104,Diccionario!$C:$C,0)),"")</f>
        <v/>
      </c>
    </row>
    <row r="1105" ht="14.25" customHeight="1" s="52">
      <c r="A1105" t="inlineStr">
        <is>
          <t>2026-01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new_mrr</t>
        </is>
      </c>
      <c r="I1105" t="n">
        <v>42197000</v>
      </c>
      <c r="J1105" t="inlineStr">
        <is>
          <t>COP</t>
        </is>
      </c>
      <c r="L1105">
        <f>IFERROR(INDEX(Diccionario!$B:$B,MATCH(F1105,Diccionario!$C:$C,0)),"")</f>
        <v/>
      </c>
      <c r="M1105">
        <f>IFERROR(INDEX(Diccionario!$H:$H,MATCH(F1105,Diccionario!$C:$C,0)),"")</f>
        <v/>
      </c>
      <c r="N1105">
        <f>IFERROR(INDEX(Diccionario!$N:$N,MATCH(F1105,Diccionario!$C:$C,0)),"")</f>
        <v/>
      </c>
    </row>
    <row r="1106" ht="14.25" customHeight="1" s="52">
      <c r="A1106" t="inlineStr">
        <is>
          <t>2026-02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new_mrr</t>
        </is>
      </c>
      <c r="I1106" t="n">
        <v>67164125</v>
      </c>
      <c r="J1106" t="inlineStr">
        <is>
          <t>COP</t>
        </is>
      </c>
      <c r="L1106">
        <f>IFERROR(INDEX(Diccionario!$B:$B,MATCH(F1106,Diccionario!$C:$C,0)),"")</f>
        <v/>
      </c>
      <c r="M1106">
        <f>IFERROR(INDEX(Diccionario!$H:$H,MATCH(F1106,Diccionario!$C:$C,0)),"")</f>
        <v/>
      </c>
      <c r="N1106">
        <f>IFERROR(INDEX(Diccionario!$N:$N,MATCH(F1106,Diccionario!$C:$C,0)),"")</f>
        <v/>
      </c>
    </row>
    <row r="1107" ht="14.25" customHeight="1" s="52">
      <c r="A1107" t="inlineStr">
        <is>
          <t>2026-03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new_mrr</t>
        </is>
      </c>
      <c r="I1107" t="n">
        <v>20433810</v>
      </c>
      <c r="J1107" t="inlineStr">
        <is>
          <t>COP</t>
        </is>
      </c>
      <c r="L1107">
        <f>IFERROR(INDEX(Diccionario!$B:$B,MATCH(F1107,Diccionario!$C:$C,0)),"")</f>
        <v/>
      </c>
      <c r="M1107">
        <f>IFERROR(INDEX(Diccionario!$H:$H,MATCH(F1107,Diccionario!$C:$C,0)),"")</f>
        <v/>
      </c>
      <c r="N1107">
        <f>IFERROR(INDEX(Diccionario!$N:$N,MATCH(F1107,Diccionario!$C:$C,0)),"")</f>
        <v/>
      </c>
    </row>
    <row r="1108" ht="14.25" customHeight="1" s="52">
      <c r="A1108" t="inlineStr">
        <is>
          <t>2026-04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new_mrr</t>
        </is>
      </c>
      <c r="I1108" t="n">
        <v>19704840</v>
      </c>
      <c r="J1108" t="inlineStr">
        <is>
          <t>COP</t>
        </is>
      </c>
      <c r="L1108">
        <f>IFERROR(INDEX(Diccionario!$B:$B,MATCH(F1108,Diccionario!$C:$C,0)),"")</f>
        <v/>
      </c>
      <c r="M1108">
        <f>IFERROR(INDEX(Diccionario!$H:$H,MATCH(F1108,Diccionario!$C:$C,0)),"")</f>
        <v/>
      </c>
      <c r="N1108">
        <f>IFERROR(INDEX(Diccionario!$N:$N,MATCH(F1108,Diccionario!$C:$C,0)),"")</f>
        <v/>
      </c>
    </row>
    <row r="1109" ht="14.25" customHeight="1" s="52">
      <c r="A1109" t="inlineStr">
        <is>
          <t>2026-05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new_mrr</t>
        </is>
      </c>
      <c r="I1109" t="n">
        <v>57840476</v>
      </c>
      <c r="J1109" t="inlineStr">
        <is>
          <t>COP</t>
        </is>
      </c>
      <c r="L1109">
        <f>IFERROR(INDEX(Diccionario!$B:$B,MATCH(F1109,Diccionario!$C:$C,0)),"")</f>
        <v/>
      </c>
      <c r="M1109">
        <f>IFERROR(INDEX(Diccionario!$H:$H,MATCH(F1109,Diccionario!$C:$C,0)),"")</f>
        <v/>
      </c>
      <c r="N1109">
        <f>IFERROR(INDEX(Diccionario!$N:$N,MATCH(F1109,Diccionario!$C:$C,0)),"")</f>
        <v/>
      </c>
    </row>
    <row r="1110" ht="14.25" customHeight="1" s="52">
      <c r="A1110" t="inlineStr">
        <is>
          <t>2025-05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reactivacion_mrr</t>
        </is>
      </c>
      <c r="I1110" t="n">
        <v>0</v>
      </c>
      <c r="J1110" t="inlineStr">
        <is>
          <t>COP</t>
        </is>
      </c>
      <c r="L1110">
        <f>IFERROR(INDEX(Diccionario!$B:$B,MATCH(F1110,Diccionario!$C:$C,0)),"")</f>
        <v/>
      </c>
      <c r="M1110">
        <f>IFERROR(INDEX(Diccionario!$H:$H,MATCH(F1110,Diccionario!$C:$C,0)),"")</f>
        <v/>
      </c>
      <c r="N1110">
        <f>IFERROR(INDEX(Diccionario!$N:$N,MATCH(F1110,Diccionario!$C:$C,0)),"")</f>
        <v/>
      </c>
    </row>
    <row r="1111" ht="14.25" customHeight="1" s="52">
      <c r="A1111" t="inlineStr">
        <is>
          <t>2025-06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reactivacion_mrr</t>
        </is>
      </c>
      <c r="I1111" t="n">
        <v>0</v>
      </c>
      <c r="J1111" t="inlineStr">
        <is>
          <t>COP</t>
        </is>
      </c>
      <c r="L1111">
        <f>IFERROR(INDEX(Diccionario!$B:$B,MATCH(F1111,Diccionario!$C:$C,0)),"")</f>
        <v/>
      </c>
      <c r="M1111">
        <f>IFERROR(INDEX(Diccionario!$H:$H,MATCH(F1111,Diccionario!$C:$C,0)),"")</f>
        <v/>
      </c>
      <c r="N1111">
        <f>IFERROR(INDEX(Diccionario!$N:$N,MATCH(F1111,Diccionario!$C:$C,0)),"")</f>
        <v/>
      </c>
    </row>
    <row r="1112" ht="14.25" customHeight="1" s="52">
      <c r="A1112" t="inlineStr">
        <is>
          <t>2025-09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reactivacion_mrr</t>
        </is>
      </c>
      <c r="I1112" t="n">
        <v>0</v>
      </c>
      <c r="J1112" t="inlineStr">
        <is>
          <t>COP</t>
        </is>
      </c>
      <c r="L1112">
        <f>IFERROR(INDEX(Diccionario!$B:$B,MATCH(F1112,Diccionario!$C:$C,0)),"")</f>
        <v/>
      </c>
      <c r="M1112">
        <f>IFERROR(INDEX(Diccionario!$H:$H,MATCH(F1112,Diccionario!$C:$C,0)),"")</f>
        <v/>
      </c>
      <c r="N1112">
        <f>IFERROR(INDEX(Diccionario!$N:$N,MATCH(F1112,Diccionario!$C:$C,0)),"")</f>
        <v/>
      </c>
    </row>
    <row r="1113" ht="14.25" customHeight="1" s="52">
      <c r="A1113" t="inlineStr">
        <is>
          <t>2025-05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70990398</v>
      </c>
      <c r="J1113" t="inlineStr">
        <is>
          <t>COP</t>
        </is>
      </c>
      <c r="L1113">
        <f>IFERROR(INDEX(Diccionario!$B:$B,MATCH(F1113,Diccionario!$C:$C,0)),"")</f>
        <v/>
      </c>
      <c r="M1113">
        <f>IFERROR(INDEX(Diccionario!$H:$H,MATCH(F1113,Diccionario!$C:$C,0)),"")</f>
        <v/>
      </c>
      <c r="N1113">
        <f>IFERROR(INDEX(Diccionario!$N:$N,MATCH(F1113,Diccionario!$C:$C,0)),"")</f>
        <v/>
      </c>
    </row>
    <row r="1114" ht="14.25" customHeight="1" s="52">
      <c r="A1114" t="inlineStr">
        <is>
          <t>2025-06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expansion_mrr</t>
        </is>
      </c>
      <c r="I1114" t="n">
        <v>39382286</v>
      </c>
      <c r="J1114" t="inlineStr">
        <is>
          <t>COP</t>
        </is>
      </c>
      <c r="L1114">
        <f>IFERROR(INDEX(Diccionario!$B:$B,MATCH(F1114,Diccionario!$C:$C,0)),"")</f>
        <v/>
      </c>
      <c r="M1114">
        <f>IFERROR(INDEX(Diccionario!$H:$H,MATCH(F1114,Diccionario!$C:$C,0)),"")</f>
        <v/>
      </c>
      <c r="N1114">
        <f>IFERROR(INDEX(Diccionario!$N:$N,MATCH(F1114,Diccionario!$C:$C,0)),"")</f>
        <v/>
      </c>
    </row>
    <row r="1115" ht="14.25" customHeight="1" s="52">
      <c r="A1115" t="inlineStr">
        <is>
          <t>2025-07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expansion_mrr</t>
        </is>
      </c>
      <c r="I1115" t="n">
        <v>33230383</v>
      </c>
      <c r="J1115" t="inlineStr">
        <is>
          <t>COP</t>
        </is>
      </c>
      <c r="L1115">
        <f>IFERROR(INDEX(Diccionario!$B:$B,MATCH(F1115,Diccionario!$C:$C,0)),"")</f>
        <v/>
      </c>
      <c r="M1115">
        <f>IFERROR(INDEX(Diccionario!$H:$H,MATCH(F1115,Diccionario!$C:$C,0)),"")</f>
        <v/>
      </c>
      <c r="N1115">
        <f>IFERROR(INDEX(Diccionario!$N:$N,MATCH(F1115,Diccionario!$C:$C,0)),"")</f>
        <v/>
      </c>
    </row>
    <row r="1116" ht="14.25" customHeight="1" s="52">
      <c r="A1116" t="inlineStr">
        <is>
          <t>2025-08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expansion_mrr</t>
        </is>
      </c>
      <c r="I1116" t="n">
        <v>10257072</v>
      </c>
      <c r="J1116" t="inlineStr">
        <is>
          <t>COP</t>
        </is>
      </c>
      <c r="L1116">
        <f>IFERROR(INDEX(Diccionario!$B:$B,MATCH(F1116,Diccionario!$C:$C,0)),"")</f>
        <v/>
      </c>
      <c r="M1116">
        <f>IFERROR(INDEX(Diccionario!$H:$H,MATCH(F1116,Diccionario!$C:$C,0)),"")</f>
        <v/>
      </c>
      <c r="N1116">
        <f>IFERROR(INDEX(Diccionario!$N:$N,MATCH(F1116,Diccionario!$C:$C,0)),"")</f>
        <v/>
      </c>
    </row>
    <row r="1117" ht="14.25" customHeight="1" s="52">
      <c r="A1117" t="inlineStr">
        <is>
          <t>2025-09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expansion_mrr</t>
        </is>
      </c>
      <c r="I1117" t="n">
        <v>20728046</v>
      </c>
      <c r="J1117" t="inlineStr">
        <is>
          <t>COP</t>
        </is>
      </c>
      <c r="L1117">
        <f>IFERROR(INDEX(Diccionario!$B:$B,MATCH(F1117,Diccionario!$C:$C,0)),"")</f>
        <v/>
      </c>
      <c r="M1117">
        <f>IFERROR(INDEX(Diccionario!$H:$H,MATCH(F1117,Diccionario!$C:$C,0)),"")</f>
        <v/>
      </c>
      <c r="N1117">
        <f>IFERROR(INDEX(Diccionario!$N:$N,MATCH(F1117,Diccionario!$C:$C,0)),"")</f>
        <v/>
      </c>
    </row>
    <row r="1118" ht="14.25" customHeight="1" s="52">
      <c r="A1118" t="inlineStr">
        <is>
          <t>2025-10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expansion_mrr</t>
        </is>
      </c>
      <c r="I1118" t="n">
        <v>32161155</v>
      </c>
      <c r="J1118" t="inlineStr">
        <is>
          <t>COP</t>
        </is>
      </c>
      <c r="L1118">
        <f>IFERROR(INDEX(Diccionario!$B:$B,MATCH(F1118,Diccionario!$C:$C,0)),"")</f>
        <v/>
      </c>
      <c r="M1118">
        <f>IFERROR(INDEX(Diccionario!$H:$H,MATCH(F1118,Diccionario!$C:$C,0)),"")</f>
        <v/>
      </c>
      <c r="N1118">
        <f>IFERROR(INDEX(Diccionario!$N:$N,MATCH(F1118,Diccionario!$C:$C,0)),"")</f>
        <v/>
      </c>
    </row>
    <row r="1119" ht="14.25" customHeight="1" s="52">
      <c r="A1119" t="inlineStr">
        <is>
          <t>2025-11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expansion_mrr</t>
        </is>
      </c>
      <c r="I1119" t="n">
        <v>30488403</v>
      </c>
      <c r="J1119" t="inlineStr">
        <is>
          <t>COP</t>
        </is>
      </c>
      <c r="L1119">
        <f>IFERROR(INDEX(Diccionario!$B:$B,MATCH(F1119,Diccionario!$C:$C,0)),"")</f>
        <v/>
      </c>
      <c r="M1119">
        <f>IFERROR(INDEX(Diccionario!$H:$H,MATCH(F1119,Diccionario!$C:$C,0)),"")</f>
        <v/>
      </c>
      <c r="N1119">
        <f>IFERROR(INDEX(Diccionario!$N:$N,MATCH(F1119,Diccionario!$C:$C,0)),"")</f>
        <v/>
      </c>
    </row>
    <row r="1120" ht="14.25" customHeight="1" s="52">
      <c r="A1120" t="inlineStr">
        <is>
          <t>2025-12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expansion_mrr</t>
        </is>
      </c>
      <c r="I1120" t="n">
        <v>7435487</v>
      </c>
      <c r="J1120" t="inlineStr">
        <is>
          <t>COP</t>
        </is>
      </c>
      <c r="L1120">
        <f>IFERROR(INDEX(Diccionario!$B:$B,MATCH(F1120,Diccionario!$C:$C,0)),"")</f>
        <v/>
      </c>
      <c r="M1120">
        <f>IFERROR(INDEX(Diccionario!$H:$H,MATCH(F1120,Diccionario!$C:$C,0)),"")</f>
        <v/>
      </c>
      <c r="N1120">
        <f>IFERROR(INDEX(Diccionario!$N:$N,MATCH(F1120,Diccionario!$C:$C,0)),"")</f>
        <v/>
      </c>
    </row>
    <row r="1121" ht="14.25" customHeight="1" s="52">
      <c r="A1121" t="inlineStr">
        <is>
          <t>2026-01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expansion_mrr</t>
        </is>
      </c>
      <c r="I1121" t="n">
        <v>62692450</v>
      </c>
      <c r="J1121" t="inlineStr">
        <is>
          <t>COP</t>
        </is>
      </c>
      <c r="L1121">
        <f>IFERROR(INDEX(Diccionario!$B:$B,MATCH(F1121,Diccionario!$C:$C,0)),"")</f>
        <v/>
      </c>
      <c r="M1121">
        <f>IFERROR(INDEX(Diccionario!$H:$H,MATCH(F1121,Diccionario!$C:$C,0)),"")</f>
        <v/>
      </c>
      <c r="N1121">
        <f>IFERROR(INDEX(Diccionario!$N:$N,MATCH(F1121,Diccionario!$C:$C,0)),"")</f>
        <v/>
      </c>
    </row>
    <row r="1122" ht="14.25" customHeight="1" s="52">
      <c r="A1122" t="inlineStr">
        <is>
          <t>2026-02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expansion_mrr</t>
        </is>
      </c>
      <c r="I1122" t="n">
        <v>139839642</v>
      </c>
      <c r="J1122" t="inlineStr">
        <is>
          <t>COP</t>
        </is>
      </c>
      <c r="L1122">
        <f>IFERROR(INDEX(Diccionario!$B:$B,MATCH(F1122,Diccionario!$C:$C,0)),"")</f>
        <v/>
      </c>
      <c r="M1122">
        <f>IFERROR(INDEX(Diccionario!$H:$H,MATCH(F1122,Diccionario!$C:$C,0)),"")</f>
        <v/>
      </c>
      <c r="N1122">
        <f>IFERROR(INDEX(Diccionario!$N:$N,MATCH(F1122,Diccionario!$C:$C,0)),"")</f>
        <v/>
      </c>
    </row>
    <row r="1123" ht="14.25" customHeight="1" s="52">
      <c r="A1123" t="inlineStr">
        <is>
          <t>2026-03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expansion_mrr</t>
        </is>
      </c>
      <c r="I1123" t="n">
        <v>60430077</v>
      </c>
      <c r="J1123" t="inlineStr">
        <is>
          <t>COP</t>
        </is>
      </c>
      <c r="L1123">
        <f>IFERROR(INDEX(Diccionario!$B:$B,MATCH(F1123,Diccionario!$C:$C,0)),"")</f>
        <v/>
      </c>
      <c r="M1123">
        <f>IFERROR(INDEX(Diccionario!$H:$H,MATCH(F1123,Diccionario!$C:$C,0)),"")</f>
        <v/>
      </c>
      <c r="N1123">
        <f>IFERROR(INDEX(Diccionario!$N:$N,MATCH(F1123,Diccionario!$C:$C,0)),"")</f>
        <v/>
      </c>
    </row>
    <row r="1124" ht="14.25" customHeight="1" s="52">
      <c r="A1124" t="inlineStr">
        <is>
          <t>2026-04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expansion_mrr</t>
        </is>
      </c>
      <c r="I1124" t="n">
        <v>37926081</v>
      </c>
      <c r="J1124" t="inlineStr">
        <is>
          <t>COP</t>
        </is>
      </c>
      <c r="L1124">
        <f>IFERROR(INDEX(Diccionario!$B:$B,MATCH(F1124,Diccionario!$C:$C,0)),"")</f>
        <v/>
      </c>
      <c r="M1124">
        <f>IFERROR(INDEX(Diccionario!$H:$H,MATCH(F1124,Diccionario!$C:$C,0)),"")</f>
        <v/>
      </c>
      <c r="N1124">
        <f>IFERROR(INDEX(Diccionario!$N:$N,MATCH(F1124,Diccionario!$C:$C,0)),"")</f>
        <v/>
      </c>
    </row>
    <row r="1125" ht="14.25" customHeight="1" s="52">
      <c r="A1125" t="inlineStr">
        <is>
          <t>2026-05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expansion_mrr</t>
        </is>
      </c>
      <c r="I1125" t="n">
        <v>10796596</v>
      </c>
      <c r="J1125" t="inlineStr">
        <is>
          <t>COP</t>
        </is>
      </c>
      <c r="L1125">
        <f>IFERROR(INDEX(Diccionario!$B:$B,MATCH(F1125,Diccionario!$C:$C,0)),"")</f>
        <v/>
      </c>
      <c r="M1125">
        <f>IFERROR(INDEX(Diccionario!$H:$H,MATCH(F1125,Diccionario!$C:$C,0)),"")</f>
        <v/>
      </c>
      <c r="N1125">
        <f>IFERROR(INDEX(Diccionario!$N:$N,MATCH(F1125,Diccionario!$C:$C,0)),"")</f>
        <v/>
      </c>
    </row>
    <row r="1126" ht="14.25" customHeight="1" s="52">
      <c r="A1126" t="inlineStr">
        <is>
          <t>2025-05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-37514312</v>
      </c>
      <c r="J1126" t="inlineStr">
        <is>
          <t>COP</t>
        </is>
      </c>
      <c r="L1126">
        <f>IFERROR(INDEX(Diccionario!$B:$B,MATCH(F1126,Diccionario!$C:$C,0)),"")</f>
        <v/>
      </c>
      <c r="M1126">
        <f>IFERROR(INDEX(Diccionario!$H:$H,MATCH(F1126,Diccionario!$C:$C,0)),"")</f>
        <v/>
      </c>
      <c r="N1126">
        <f>IFERROR(INDEX(Diccionario!$N:$N,MATCH(F1126,Diccionario!$C:$C,0)),"")</f>
        <v/>
      </c>
    </row>
    <row r="1127" ht="14.25" customHeight="1" s="52">
      <c r="A1127" t="inlineStr">
        <is>
          <t>2025-06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contraction_mrr</t>
        </is>
      </c>
      <c r="I1127" t="n">
        <v>-29275713</v>
      </c>
      <c r="J1127" t="inlineStr">
        <is>
          <t>COP</t>
        </is>
      </c>
      <c r="L1127">
        <f>IFERROR(INDEX(Diccionario!$B:$B,MATCH(F1127,Diccionario!$C:$C,0)),"")</f>
        <v/>
      </c>
      <c r="M1127">
        <f>IFERROR(INDEX(Diccionario!$H:$H,MATCH(F1127,Diccionario!$C:$C,0)),"")</f>
        <v/>
      </c>
      <c r="N1127">
        <f>IFERROR(INDEX(Diccionario!$N:$N,MATCH(F1127,Diccionario!$C:$C,0)),"")</f>
        <v/>
      </c>
    </row>
    <row r="1128" ht="14.25" customHeight="1" s="52">
      <c r="A1128" t="inlineStr">
        <is>
          <t>2025-07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contraction_mrr</t>
        </is>
      </c>
      <c r="I1128" t="n">
        <v>-66478867</v>
      </c>
      <c r="J1128" t="inlineStr">
        <is>
          <t>COP</t>
        </is>
      </c>
      <c r="L1128">
        <f>IFERROR(INDEX(Diccionario!$B:$B,MATCH(F1128,Diccionario!$C:$C,0)),"")</f>
        <v/>
      </c>
      <c r="M1128">
        <f>IFERROR(INDEX(Diccionario!$H:$H,MATCH(F1128,Diccionario!$C:$C,0)),"")</f>
        <v/>
      </c>
      <c r="N1128">
        <f>IFERROR(INDEX(Diccionario!$N:$N,MATCH(F1128,Diccionario!$C:$C,0)),"")</f>
        <v/>
      </c>
    </row>
    <row r="1129" ht="14.25" customHeight="1" s="52">
      <c r="A1129" t="inlineStr">
        <is>
          <t>2025-08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contraction_mrr</t>
        </is>
      </c>
      <c r="I1129" t="n">
        <v>-53026479</v>
      </c>
      <c r="J1129" t="inlineStr">
        <is>
          <t>COP</t>
        </is>
      </c>
      <c r="L1129">
        <f>IFERROR(INDEX(Diccionario!$B:$B,MATCH(F1129,Diccionario!$C:$C,0)),"")</f>
        <v/>
      </c>
      <c r="M1129">
        <f>IFERROR(INDEX(Diccionario!$H:$H,MATCH(F1129,Diccionario!$C:$C,0)),"")</f>
        <v/>
      </c>
      <c r="N1129">
        <f>IFERROR(INDEX(Diccionario!$N:$N,MATCH(F1129,Diccionario!$C:$C,0)),"")</f>
        <v/>
      </c>
    </row>
    <row r="1130" ht="14.25" customHeight="1" s="52">
      <c r="A1130" t="inlineStr">
        <is>
          <t>2025-09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contraction_mrr</t>
        </is>
      </c>
      <c r="I1130" t="n">
        <v>-47500121</v>
      </c>
      <c r="J1130" t="inlineStr">
        <is>
          <t>COP</t>
        </is>
      </c>
      <c r="L1130">
        <f>IFERROR(INDEX(Diccionario!$B:$B,MATCH(F1130,Diccionario!$C:$C,0)),"")</f>
        <v/>
      </c>
      <c r="M1130">
        <f>IFERROR(INDEX(Diccionario!$H:$H,MATCH(F1130,Diccionario!$C:$C,0)),"")</f>
        <v/>
      </c>
      <c r="N1130">
        <f>IFERROR(INDEX(Diccionario!$N:$N,MATCH(F1130,Diccionario!$C:$C,0)),"")</f>
        <v/>
      </c>
    </row>
    <row r="1131" ht="14.25" customHeight="1" s="52">
      <c r="A1131" t="inlineStr">
        <is>
          <t>2025-10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contraction_mrr</t>
        </is>
      </c>
      <c r="I1131" t="n">
        <v>-40805021</v>
      </c>
      <c r="J1131" t="inlineStr">
        <is>
          <t>COP</t>
        </is>
      </c>
      <c r="L1131">
        <f>IFERROR(INDEX(Diccionario!$B:$B,MATCH(F1131,Diccionario!$C:$C,0)),"")</f>
        <v/>
      </c>
      <c r="M1131">
        <f>IFERROR(INDEX(Diccionario!$H:$H,MATCH(F1131,Diccionario!$C:$C,0)),"")</f>
        <v/>
      </c>
      <c r="N1131">
        <f>IFERROR(INDEX(Diccionario!$N:$N,MATCH(F1131,Diccionario!$C:$C,0)),"")</f>
        <v/>
      </c>
    </row>
    <row r="1132" ht="14.25" customHeight="1" s="52">
      <c r="A1132" t="inlineStr">
        <is>
          <t>2025-11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contraction_mrr</t>
        </is>
      </c>
      <c r="I1132" t="n">
        <v>-46520913</v>
      </c>
      <c r="J1132" t="inlineStr">
        <is>
          <t>COP</t>
        </is>
      </c>
      <c r="L1132">
        <f>IFERROR(INDEX(Diccionario!$B:$B,MATCH(F1132,Diccionario!$C:$C,0)),"")</f>
        <v/>
      </c>
      <c r="M1132">
        <f>IFERROR(INDEX(Diccionario!$H:$H,MATCH(F1132,Diccionario!$C:$C,0)),"")</f>
        <v/>
      </c>
      <c r="N1132">
        <f>IFERROR(INDEX(Diccionario!$N:$N,MATCH(F1132,Diccionario!$C:$C,0)),"")</f>
        <v/>
      </c>
    </row>
    <row r="1133" ht="14.25" customHeight="1" s="52">
      <c r="A1133" t="inlineStr">
        <is>
          <t>2025-12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contraction_mrr</t>
        </is>
      </c>
      <c r="I1133" t="n">
        <v>-63176870</v>
      </c>
      <c r="J1133" t="inlineStr">
        <is>
          <t>COP</t>
        </is>
      </c>
      <c r="L1133">
        <f>IFERROR(INDEX(Diccionario!$B:$B,MATCH(F1133,Diccionario!$C:$C,0)),"")</f>
        <v/>
      </c>
      <c r="M1133">
        <f>IFERROR(INDEX(Diccionario!$H:$H,MATCH(F1133,Diccionario!$C:$C,0)),"")</f>
        <v/>
      </c>
      <c r="N1133">
        <f>IFERROR(INDEX(Diccionario!$N:$N,MATCH(F1133,Diccionario!$C:$C,0)),"")</f>
        <v/>
      </c>
    </row>
    <row r="1134" ht="14.25" customHeight="1" s="52">
      <c r="A1134" t="inlineStr">
        <is>
          <t>2026-01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contraction_mrr</t>
        </is>
      </c>
      <c r="I1134" t="n">
        <v>-37202034</v>
      </c>
      <c r="J1134" t="inlineStr">
        <is>
          <t>COP</t>
        </is>
      </c>
      <c r="L1134">
        <f>IFERROR(INDEX(Diccionario!$B:$B,MATCH(F1134,Diccionario!$C:$C,0)),"")</f>
        <v/>
      </c>
      <c r="M1134">
        <f>IFERROR(INDEX(Diccionario!$H:$H,MATCH(F1134,Diccionario!$C:$C,0)),"")</f>
        <v/>
      </c>
      <c r="N1134">
        <f>IFERROR(INDEX(Diccionario!$N:$N,MATCH(F1134,Diccionario!$C:$C,0)),"")</f>
        <v/>
      </c>
    </row>
    <row r="1135" ht="14.25" customHeight="1" s="52">
      <c r="A1135" t="inlineStr">
        <is>
          <t>2026-02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contraction_mrr</t>
        </is>
      </c>
      <c r="I1135" t="n">
        <v>-11016136</v>
      </c>
      <c r="J1135" t="inlineStr">
        <is>
          <t>COP</t>
        </is>
      </c>
      <c r="L1135">
        <f>IFERROR(INDEX(Diccionario!$B:$B,MATCH(F1135,Diccionario!$C:$C,0)),"")</f>
        <v/>
      </c>
      <c r="M1135">
        <f>IFERROR(INDEX(Diccionario!$H:$H,MATCH(F1135,Diccionario!$C:$C,0)),"")</f>
        <v/>
      </c>
      <c r="N1135">
        <f>IFERROR(INDEX(Diccionario!$N:$N,MATCH(F1135,Diccionario!$C:$C,0)),"")</f>
        <v/>
      </c>
    </row>
    <row r="1136" ht="14.25" customHeight="1" s="52">
      <c r="A1136" t="inlineStr">
        <is>
          <t>2026-03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contraction_mrr</t>
        </is>
      </c>
      <c r="I1136" t="n">
        <v>-25206134</v>
      </c>
      <c r="J1136" t="inlineStr">
        <is>
          <t>COP</t>
        </is>
      </c>
      <c r="L1136">
        <f>IFERROR(INDEX(Diccionario!$B:$B,MATCH(F1136,Diccionario!$C:$C,0)),"")</f>
        <v/>
      </c>
      <c r="M1136">
        <f>IFERROR(INDEX(Diccionario!$H:$H,MATCH(F1136,Diccionario!$C:$C,0)),"")</f>
        <v/>
      </c>
      <c r="N1136">
        <f>IFERROR(INDEX(Diccionario!$N:$N,MATCH(F1136,Diccionario!$C:$C,0)),"")</f>
        <v/>
      </c>
    </row>
    <row r="1137" ht="14.25" customHeight="1" s="52">
      <c r="A1137" t="inlineStr">
        <is>
          <t>2026-04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contraction_mrr</t>
        </is>
      </c>
      <c r="I1137" t="n">
        <v>-17709872</v>
      </c>
      <c r="J1137" t="inlineStr">
        <is>
          <t>COP</t>
        </is>
      </c>
      <c r="L1137">
        <f>IFERROR(INDEX(Diccionario!$B:$B,MATCH(F1137,Diccionario!$C:$C,0)),"")</f>
        <v/>
      </c>
      <c r="M1137">
        <f>IFERROR(INDEX(Diccionario!$H:$H,MATCH(F1137,Diccionario!$C:$C,0)),"")</f>
        <v/>
      </c>
      <c r="N1137">
        <f>IFERROR(INDEX(Diccionario!$N:$N,MATCH(F1137,Diccionario!$C:$C,0)),"")</f>
        <v/>
      </c>
    </row>
    <row r="1138" ht="14.25" customHeight="1" s="52">
      <c r="A1138" t="inlineStr">
        <is>
          <t>2026-05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contraction_mrr</t>
        </is>
      </c>
      <c r="I1138" t="n">
        <v>-43867662</v>
      </c>
      <c r="J1138" t="inlineStr">
        <is>
          <t>COP</t>
        </is>
      </c>
      <c r="L1138">
        <f>IFERROR(INDEX(Diccionario!$B:$B,MATCH(F1138,Diccionario!$C:$C,0)),"")</f>
        <v/>
      </c>
      <c r="M1138">
        <f>IFERROR(INDEX(Diccionario!$H:$H,MATCH(F1138,Diccionario!$C:$C,0)),"")</f>
        <v/>
      </c>
      <c r="N1138">
        <f>IFERROR(INDEX(Diccionario!$N:$N,MATCH(F1138,Diccionario!$C:$C,0)),"")</f>
        <v/>
      </c>
    </row>
    <row r="1139" ht="14.25" customHeight="1" s="52">
      <c r="A1139" t="inlineStr">
        <is>
          <t>2025-05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-11304705</v>
      </c>
      <c r="J1139" t="inlineStr">
        <is>
          <t>COP</t>
        </is>
      </c>
      <c r="L1139">
        <f>IFERROR(INDEX(Diccionario!$B:$B,MATCH(F1139,Diccionario!$C:$C,0)),"")</f>
        <v/>
      </c>
      <c r="M1139">
        <f>IFERROR(INDEX(Diccionario!$H:$H,MATCH(F1139,Diccionario!$C:$C,0)),"")</f>
        <v/>
      </c>
      <c r="N1139">
        <f>IFERROR(INDEX(Diccionario!$N:$N,MATCH(F1139,Diccionario!$C:$C,0)),"")</f>
        <v/>
      </c>
    </row>
    <row r="1140" ht="14.25" customHeight="1" s="52">
      <c r="A1140" t="inlineStr">
        <is>
          <t>2025-06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churned_mrr</t>
        </is>
      </c>
      <c r="I1140" t="n">
        <v>-7460000</v>
      </c>
      <c r="J1140" t="inlineStr">
        <is>
          <t>COP</t>
        </is>
      </c>
      <c r="L1140">
        <f>IFERROR(INDEX(Diccionario!$B:$B,MATCH(F1140,Diccionario!$C:$C,0)),"")</f>
        <v/>
      </c>
      <c r="M1140">
        <f>IFERROR(INDEX(Diccionario!$H:$H,MATCH(F1140,Diccionario!$C:$C,0)),"")</f>
        <v/>
      </c>
      <c r="N1140">
        <f>IFERROR(INDEX(Diccionario!$N:$N,MATCH(F1140,Diccionario!$C:$C,0)),"")</f>
        <v/>
      </c>
    </row>
    <row r="1141" ht="14.25" customHeight="1" s="52">
      <c r="A1141" t="inlineStr">
        <is>
          <t>2025-07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churned_mrr</t>
        </is>
      </c>
      <c r="I1141" t="n">
        <v>0</v>
      </c>
      <c r="J1141" t="inlineStr">
        <is>
          <t>COP</t>
        </is>
      </c>
      <c r="L1141">
        <f>IFERROR(INDEX(Diccionario!$B:$B,MATCH(F1141,Diccionario!$C:$C,0)),"")</f>
        <v/>
      </c>
      <c r="M1141">
        <f>IFERROR(INDEX(Diccionario!$H:$H,MATCH(F1141,Diccionario!$C:$C,0)),"")</f>
        <v/>
      </c>
      <c r="N1141">
        <f>IFERROR(INDEX(Diccionario!$N:$N,MATCH(F1141,Diccionario!$C:$C,0)),"")</f>
        <v/>
      </c>
    </row>
    <row r="1142" ht="14.25" customHeight="1" s="52">
      <c r="A1142" t="inlineStr">
        <is>
          <t>2025-08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churned_mrr</t>
        </is>
      </c>
      <c r="I1142" t="n">
        <v>-11465728</v>
      </c>
      <c r="J1142" t="inlineStr">
        <is>
          <t>COP</t>
        </is>
      </c>
      <c r="L1142">
        <f>IFERROR(INDEX(Diccionario!$B:$B,MATCH(F1142,Diccionario!$C:$C,0)),"")</f>
        <v/>
      </c>
      <c r="M1142">
        <f>IFERROR(INDEX(Diccionario!$H:$H,MATCH(F1142,Diccionario!$C:$C,0)),"")</f>
        <v/>
      </c>
      <c r="N1142">
        <f>IFERROR(INDEX(Diccionario!$N:$N,MATCH(F1142,Diccionario!$C:$C,0)),"")</f>
        <v/>
      </c>
    </row>
    <row r="1143" ht="14.25" customHeight="1" s="52">
      <c r="A1143" t="inlineStr">
        <is>
          <t>2025-09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churned_mrr</t>
        </is>
      </c>
      <c r="I1143" t="n">
        <v>-1414500</v>
      </c>
      <c r="J1143" t="inlineStr">
        <is>
          <t>COP</t>
        </is>
      </c>
      <c r="L1143">
        <f>IFERROR(INDEX(Diccionario!$B:$B,MATCH(F1143,Diccionario!$C:$C,0)),"")</f>
        <v/>
      </c>
      <c r="M1143">
        <f>IFERROR(INDEX(Diccionario!$H:$H,MATCH(F1143,Diccionario!$C:$C,0)),"")</f>
        <v/>
      </c>
      <c r="N1143">
        <f>IFERROR(INDEX(Diccionario!$N:$N,MATCH(F1143,Diccionario!$C:$C,0)),"")</f>
        <v/>
      </c>
    </row>
    <row r="1144" ht="14.25" customHeight="1" s="52">
      <c r="A1144" t="inlineStr">
        <is>
          <t>2025-10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churned_mrr</t>
        </is>
      </c>
      <c r="I1144" t="n">
        <v>-906843</v>
      </c>
      <c r="J1144" t="inlineStr">
        <is>
          <t>COP</t>
        </is>
      </c>
      <c r="L1144">
        <f>IFERROR(INDEX(Diccionario!$B:$B,MATCH(F1144,Diccionario!$C:$C,0)),"")</f>
        <v/>
      </c>
      <c r="M1144">
        <f>IFERROR(INDEX(Diccionario!$H:$H,MATCH(F1144,Diccionario!$C:$C,0)),"")</f>
        <v/>
      </c>
      <c r="N1144">
        <f>IFERROR(INDEX(Diccionario!$N:$N,MATCH(F1144,Diccionario!$C:$C,0)),"")</f>
        <v/>
      </c>
    </row>
    <row r="1145" ht="14.25" customHeight="1" s="52">
      <c r="A1145" t="inlineStr">
        <is>
          <t>2025-11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churned_mrr</t>
        </is>
      </c>
      <c r="I1145" t="n">
        <v>-5800000</v>
      </c>
      <c r="J1145" t="inlineStr">
        <is>
          <t>COP</t>
        </is>
      </c>
      <c r="L1145">
        <f>IFERROR(INDEX(Diccionario!$B:$B,MATCH(F1145,Diccionario!$C:$C,0)),"")</f>
        <v/>
      </c>
      <c r="M1145">
        <f>IFERROR(INDEX(Diccionario!$H:$H,MATCH(F1145,Diccionario!$C:$C,0)),"")</f>
        <v/>
      </c>
      <c r="N1145">
        <f>IFERROR(INDEX(Diccionario!$N:$N,MATCH(F1145,Diccionario!$C:$C,0)),"")</f>
        <v/>
      </c>
    </row>
    <row r="1146" ht="14.25" customHeight="1" s="52">
      <c r="A1146" t="inlineStr">
        <is>
          <t>2025-12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churned_mrr</t>
        </is>
      </c>
      <c r="I1146" t="n">
        <v>-1685823</v>
      </c>
      <c r="J1146" t="inlineStr">
        <is>
          <t>COP</t>
        </is>
      </c>
      <c r="L1146">
        <f>IFERROR(INDEX(Diccionario!$B:$B,MATCH(F1146,Diccionario!$C:$C,0)),"")</f>
        <v/>
      </c>
      <c r="M1146">
        <f>IFERROR(INDEX(Diccionario!$H:$H,MATCH(F1146,Diccionario!$C:$C,0)),"")</f>
        <v/>
      </c>
      <c r="N1146">
        <f>IFERROR(INDEX(Diccionario!$N:$N,MATCH(F1146,Diccionario!$C:$C,0)),"")</f>
        <v/>
      </c>
    </row>
    <row r="1147" ht="14.25" customHeight="1" s="52">
      <c r="A1147" t="inlineStr">
        <is>
          <t>2026-01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churned_mrr</t>
        </is>
      </c>
      <c r="I1147" t="n">
        <v>-35983665</v>
      </c>
      <c r="J1147" t="inlineStr">
        <is>
          <t>COP</t>
        </is>
      </c>
      <c r="L1147">
        <f>IFERROR(INDEX(Diccionario!$B:$B,MATCH(F1147,Diccionario!$C:$C,0)),"")</f>
        <v/>
      </c>
      <c r="M1147">
        <f>IFERROR(INDEX(Diccionario!$H:$H,MATCH(F1147,Diccionario!$C:$C,0)),"")</f>
        <v/>
      </c>
      <c r="N1147">
        <f>IFERROR(INDEX(Diccionario!$N:$N,MATCH(F1147,Diccionario!$C:$C,0)),"")</f>
        <v/>
      </c>
    </row>
    <row r="1148" ht="14.25" customHeight="1" s="52">
      <c r="A1148" t="inlineStr">
        <is>
          <t>2026-02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churned_mrr</t>
        </is>
      </c>
      <c r="I1148" t="n">
        <v>-9736599</v>
      </c>
      <c r="J1148" t="inlineStr">
        <is>
          <t>COP</t>
        </is>
      </c>
      <c r="L1148">
        <f>IFERROR(INDEX(Diccionario!$B:$B,MATCH(F1148,Diccionario!$C:$C,0)),"")</f>
        <v/>
      </c>
      <c r="M1148">
        <f>IFERROR(INDEX(Diccionario!$H:$H,MATCH(F1148,Diccionario!$C:$C,0)),"")</f>
        <v/>
      </c>
      <c r="N1148">
        <f>IFERROR(INDEX(Diccionario!$N:$N,MATCH(F1148,Diccionario!$C:$C,0)),"")</f>
        <v/>
      </c>
    </row>
    <row r="1149" ht="14.25" customHeight="1" s="52">
      <c r="A1149" t="inlineStr">
        <is>
          <t>2026-03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churned_mrr</t>
        </is>
      </c>
      <c r="I1149" t="n">
        <v>-11358174</v>
      </c>
      <c r="J1149" t="inlineStr">
        <is>
          <t>COP</t>
        </is>
      </c>
      <c r="L1149">
        <f>IFERROR(INDEX(Diccionario!$B:$B,MATCH(F1149,Diccionario!$C:$C,0)),"")</f>
        <v/>
      </c>
      <c r="M1149">
        <f>IFERROR(INDEX(Diccionario!$H:$H,MATCH(F1149,Diccionario!$C:$C,0)),"")</f>
        <v/>
      </c>
      <c r="N1149">
        <f>IFERROR(INDEX(Diccionario!$N:$N,MATCH(F1149,Diccionario!$C:$C,0)),"")</f>
        <v/>
      </c>
    </row>
    <row r="1150" ht="14.25" customHeight="1" s="52">
      <c r="A1150" t="inlineStr">
        <is>
          <t>2026-04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churned_mrr</t>
        </is>
      </c>
      <c r="I1150" t="n">
        <v>-1358174</v>
      </c>
      <c r="J1150" t="inlineStr">
        <is>
          <t>COP</t>
        </is>
      </c>
      <c r="L1150">
        <f>IFERROR(INDEX(Diccionario!$B:$B,MATCH(F1150,Diccionario!$C:$C,0)),"")</f>
        <v/>
      </c>
      <c r="M1150">
        <f>IFERROR(INDEX(Diccionario!$H:$H,MATCH(F1150,Diccionario!$C:$C,0)),"")</f>
        <v/>
      </c>
      <c r="N1150">
        <f>IFERROR(INDEX(Diccionario!$N:$N,MATCH(F1150,Diccionario!$C:$C,0)),"")</f>
        <v/>
      </c>
    </row>
    <row r="1151" ht="14.25" customHeight="1" s="52">
      <c r="A1151" t="inlineStr">
        <is>
          <t>2026-05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churned_mrr</t>
        </is>
      </c>
      <c r="I1151" t="n">
        <v>0</v>
      </c>
      <c r="J1151" t="inlineStr">
        <is>
          <t>COP</t>
        </is>
      </c>
      <c r="L1151">
        <f>IFERROR(INDEX(Diccionario!$B:$B,MATCH(F1151,Diccionario!$C:$C,0)),"")</f>
        <v/>
      </c>
      <c r="M1151">
        <f>IFERROR(INDEX(Diccionario!$H:$H,MATCH(F1151,Diccionario!$C:$C,0)),"")</f>
        <v/>
      </c>
      <c r="N1151">
        <f>IFERROR(INDEX(Diccionario!$N:$N,MATCH(F1151,Diccionario!$C:$C,0)),"")</f>
        <v/>
      </c>
    </row>
    <row r="1152" ht="14.25" customHeight="1" s="52">
      <c r="A1152" t="inlineStr">
        <is>
          <t>2025-05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780829403</v>
      </c>
      <c r="J1152" t="inlineStr">
        <is>
          <t>COP</t>
        </is>
      </c>
      <c r="L1152">
        <f>IFERROR(INDEX(Diccionario!$B:$B,MATCH(F1152,Diccionario!$C:$C,0)),"")</f>
        <v/>
      </c>
      <c r="M1152">
        <f>IFERROR(INDEX(Diccionario!$H:$H,MATCH(F1152,Diccionario!$C:$C,0)),"")</f>
        <v/>
      </c>
      <c r="N1152">
        <f>IFERROR(INDEX(Diccionario!$N:$N,MATCH(F1152,Diccionario!$C:$C,0)),"")</f>
        <v/>
      </c>
    </row>
    <row r="1153" ht="14.25" customHeight="1" s="52">
      <c r="A1153" t="inlineStr">
        <is>
          <t>2025-06</t>
        </is>
      </c>
      <c r="B1153" t="inlineStr">
        <is>
          <t>Colombia</t>
        </is>
      </c>
      <c r="C1153" t="inlineStr">
        <is>
          <t>Coco Colombia</t>
        </is>
      </c>
      <c r="D1153" t="inlineStr">
        <is>
          <t>COP</t>
        </is>
      </c>
      <c r="E1153" t="inlineStr">
        <is>
          <t>Real</t>
        </is>
      </c>
      <c r="F1153" t="inlineStr">
        <is>
          <t>mrr_final</t>
        </is>
      </c>
      <c r="I1153" t="n">
        <v>689843197</v>
      </c>
      <c r="J1153" t="inlineStr">
        <is>
          <t>COP</t>
        </is>
      </c>
      <c r="L1153">
        <f>IFERROR(INDEX(Diccionario!$B:$B,MATCH(F1153,Diccionario!$C:$C,0)),"")</f>
        <v/>
      </c>
      <c r="M1153">
        <f>IFERROR(INDEX(Diccionario!$H:$H,MATCH(F1153,Diccionario!$C:$C,0)),"")</f>
        <v/>
      </c>
      <c r="N1153">
        <f>IFERROR(INDEX(Diccionario!$N:$N,MATCH(F1153,Diccionario!$C:$C,0)),"")</f>
        <v/>
      </c>
    </row>
    <row r="1154" ht="14.25" customHeight="1" s="52">
      <c r="A1154" t="inlineStr">
        <is>
          <t>2025-07</t>
        </is>
      </c>
      <c r="B1154" t="inlineStr">
        <is>
          <t>Colombia</t>
        </is>
      </c>
      <c r="C1154" t="inlineStr">
        <is>
          <t>Coco Colombia</t>
        </is>
      </c>
      <c r="D1154" t="inlineStr">
        <is>
          <t>COP</t>
        </is>
      </c>
      <c r="E1154" t="inlineStr">
        <is>
          <t>Real</t>
        </is>
      </c>
      <c r="F1154" t="inlineStr">
        <is>
          <t>mrr_final</t>
        </is>
      </c>
      <c r="I1154" t="n">
        <v>698445595</v>
      </c>
      <c r="J1154" t="inlineStr">
        <is>
          <t>COP</t>
        </is>
      </c>
      <c r="L1154">
        <f>IFERROR(INDEX(Diccionario!$B:$B,MATCH(F1154,Diccionario!$C:$C,0)),"")</f>
        <v/>
      </c>
      <c r="M1154">
        <f>IFERROR(INDEX(Diccionario!$H:$H,MATCH(F1154,Diccionario!$C:$C,0)),"")</f>
        <v/>
      </c>
      <c r="N1154">
        <f>IFERROR(INDEX(Diccionario!$N:$N,MATCH(F1154,Diccionario!$C:$C,0)),"")</f>
        <v/>
      </c>
    </row>
    <row r="1155" ht="14.25" customHeight="1" s="52">
      <c r="A1155" t="inlineStr">
        <is>
          <t>2025-08</t>
        </is>
      </c>
      <c r="B1155" t="inlineStr">
        <is>
          <t>Colombia</t>
        </is>
      </c>
      <c r="C1155" t="inlineStr">
        <is>
          <t>Coco Colombia</t>
        </is>
      </c>
      <c r="D1155" t="inlineStr">
        <is>
          <t>COP</t>
        </is>
      </c>
      <c r="E1155" t="inlineStr">
        <is>
          <t>Real</t>
        </is>
      </c>
      <c r="F1155" t="inlineStr">
        <is>
          <t>mrr_final</t>
        </is>
      </c>
      <c r="I1155" t="n">
        <v>685729356</v>
      </c>
      <c r="J1155" t="inlineStr">
        <is>
          <t>COP</t>
        </is>
      </c>
      <c r="L1155">
        <f>IFERROR(INDEX(Diccionario!$B:$B,MATCH(F1155,Diccionario!$C:$C,0)),"")</f>
        <v/>
      </c>
      <c r="M1155">
        <f>IFERROR(INDEX(Diccionario!$H:$H,MATCH(F1155,Diccionario!$C:$C,0)),"")</f>
        <v/>
      </c>
      <c r="N1155">
        <f>IFERROR(INDEX(Diccionario!$N:$N,MATCH(F1155,Diccionario!$C:$C,0)),"")</f>
        <v/>
      </c>
    </row>
    <row r="1156" ht="14.25" customHeight="1" s="52">
      <c r="A1156" t="inlineStr">
        <is>
          <t>2025-09</t>
        </is>
      </c>
      <c r="B1156" t="inlineStr">
        <is>
          <t>Colombia</t>
        </is>
      </c>
      <c r="C1156" t="inlineStr">
        <is>
          <t>Coco Colombia</t>
        </is>
      </c>
      <c r="D1156" t="inlineStr">
        <is>
          <t>COP</t>
        </is>
      </c>
      <c r="E1156" t="inlineStr">
        <is>
          <t>Real</t>
        </is>
      </c>
      <c r="F1156" t="inlineStr">
        <is>
          <t>mrr_final</t>
        </is>
      </c>
      <c r="I1156" t="n">
        <v>686599972</v>
      </c>
      <c r="J1156" t="inlineStr">
        <is>
          <t>COP</t>
        </is>
      </c>
      <c r="L1156">
        <f>IFERROR(INDEX(Diccionario!$B:$B,MATCH(F1156,Diccionario!$C:$C,0)),"")</f>
        <v/>
      </c>
      <c r="M1156">
        <f>IFERROR(INDEX(Diccionario!$H:$H,MATCH(F1156,Diccionario!$C:$C,0)),"")</f>
        <v/>
      </c>
      <c r="N1156">
        <f>IFERROR(INDEX(Diccionario!$N:$N,MATCH(F1156,Diccionario!$C:$C,0)),"")</f>
        <v/>
      </c>
    </row>
    <row r="1157" ht="14.25" customHeight="1" s="52">
      <c r="A1157" t="inlineStr">
        <is>
          <t>2025-10</t>
        </is>
      </c>
      <c r="B1157" t="inlineStr">
        <is>
          <t>Colombia</t>
        </is>
      </c>
      <c r="C1157" t="inlineStr">
        <is>
          <t>Coco Colombia</t>
        </is>
      </c>
      <c r="D1157" t="inlineStr">
        <is>
          <t>COP</t>
        </is>
      </c>
      <c r="E1157" t="inlineStr">
        <is>
          <t>Real</t>
        </is>
      </c>
      <c r="F1157" t="inlineStr">
        <is>
          <t>mrr_final</t>
        </is>
      </c>
      <c r="I1157" t="n">
        <v>663435516</v>
      </c>
      <c r="J1157" t="inlineStr">
        <is>
          <t>COP</t>
        </is>
      </c>
      <c r="L1157">
        <f>IFERROR(INDEX(Diccionario!$B:$B,MATCH(F1157,Diccionario!$C:$C,0)),"")</f>
        <v/>
      </c>
      <c r="M1157">
        <f>IFERROR(INDEX(Diccionario!$H:$H,MATCH(F1157,Diccionario!$C:$C,0)),"")</f>
        <v/>
      </c>
      <c r="N1157">
        <f>IFERROR(INDEX(Diccionario!$N:$N,MATCH(F1157,Diccionario!$C:$C,0)),"")</f>
        <v/>
      </c>
    </row>
    <row r="1158" ht="14.25" customHeight="1" s="52">
      <c r="A1158" t="inlineStr">
        <is>
          <t>2025-11</t>
        </is>
      </c>
      <c r="B1158" t="inlineStr">
        <is>
          <t>Colombia</t>
        </is>
      </c>
      <c r="C1158" t="inlineStr">
        <is>
          <t>Coco Colombia</t>
        </is>
      </c>
      <c r="D1158" t="inlineStr">
        <is>
          <t>COP</t>
        </is>
      </c>
      <c r="E1158" t="inlineStr">
        <is>
          <t>Real</t>
        </is>
      </c>
      <c r="F1158" t="inlineStr">
        <is>
          <t>mrr_final</t>
        </is>
      </c>
      <c r="I1158" t="n">
        <v>682507167</v>
      </c>
      <c r="J1158" t="inlineStr">
        <is>
          <t>COP</t>
        </is>
      </c>
      <c r="L1158">
        <f>IFERROR(INDEX(Diccionario!$B:$B,MATCH(F1158,Diccionario!$C:$C,0)),"")</f>
        <v/>
      </c>
      <c r="M1158">
        <f>IFERROR(INDEX(Diccionario!$H:$H,MATCH(F1158,Diccionario!$C:$C,0)),"")</f>
        <v/>
      </c>
      <c r="N1158">
        <f>IFERROR(INDEX(Diccionario!$N:$N,MATCH(F1158,Diccionario!$C:$C,0)),"")</f>
        <v/>
      </c>
    </row>
    <row r="1159" ht="14.25" customHeight="1" s="52">
      <c r="A1159" t="inlineStr">
        <is>
          <t>2025-12</t>
        </is>
      </c>
      <c r="B1159" t="inlineStr">
        <is>
          <t>Colombia</t>
        </is>
      </c>
      <c r="C1159" t="inlineStr">
        <is>
          <t>Coco Colombia</t>
        </is>
      </c>
      <c r="D1159" t="inlineStr">
        <is>
          <t>COP</t>
        </is>
      </c>
      <c r="E1159" t="inlineStr">
        <is>
          <t>Real</t>
        </is>
      </c>
      <c r="F1159" t="inlineStr">
        <is>
          <t>mrr_final</t>
        </is>
      </c>
      <c r="I1159" t="n">
        <v>662313152</v>
      </c>
      <c r="J1159" t="inlineStr">
        <is>
          <t>COP</t>
        </is>
      </c>
      <c r="L1159">
        <f>IFERROR(INDEX(Diccionario!$B:$B,MATCH(F1159,Diccionario!$C:$C,0)),"")</f>
        <v/>
      </c>
      <c r="M1159">
        <f>IFERROR(INDEX(Diccionario!$H:$H,MATCH(F1159,Diccionario!$C:$C,0)),"")</f>
        <v/>
      </c>
      <c r="N1159">
        <f>IFERROR(INDEX(Diccionario!$N:$N,MATCH(F1159,Diccionario!$C:$C,0)),"")</f>
        <v/>
      </c>
    </row>
    <row r="1160" ht="14.25" customHeight="1" s="52">
      <c r="A1160" t="inlineStr">
        <is>
          <t>2026-01</t>
        </is>
      </c>
      <c r="B1160" t="inlineStr">
        <is>
          <t>Colombia</t>
        </is>
      </c>
      <c r="C1160" t="inlineStr">
        <is>
          <t>Coco Colombia</t>
        </is>
      </c>
      <c r="D1160" t="inlineStr">
        <is>
          <t>COP</t>
        </is>
      </c>
      <c r="E1160" t="inlineStr">
        <is>
          <t>Real</t>
        </is>
      </c>
      <c r="F1160" t="inlineStr">
        <is>
          <t>mrr_final</t>
        </is>
      </c>
      <c r="I1160" t="n">
        <v>659132098</v>
      </c>
      <c r="J1160" t="inlineStr">
        <is>
          <t>COP</t>
        </is>
      </c>
      <c r="L1160">
        <f>IFERROR(INDEX(Diccionario!$B:$B,MATCH(F1160,Diccionario!$C:$C,0)),"")</f>
        <v/>
      </c>
      <c r="M1160">
        <f>IFERROR(INDEX(Diccionario!$H:$H,MATCH(F1160,Diccionario!$C:$C,0)),"")</f>
        <v/>
      </c>
      <c r="N1160">
        <f>IFERROR(INDEX(Diccionario!$N:$N,MATCH(F1160,Diccionario!$C:$C,0)),"")</f>
        <v/>
      </c>
    </row>
    <row r="1161" ht="14.25" customHeight="1" s="52">
      <c r="A1161" t="inlineStr">
        <is>
          <t>2026-02</t>
        </is>
      </c>
      <c r="B1161" t="inlineStr">
        <is>
          <t>Colombia</t>
        </is>
      </c>
      <c r="C1161" t="inlineStr">
        <is>
          <t>Coco Colombia</t>
        </is>
      </c>
      <c r="D1161" t="inlineStr">
        <is>
          <t>COP</t>
        </is>
      </c>
      <c r="E1161" t="inlineStr">
        <is>
          <t>Real</t>
        </is>
      </c>
      <c r="F1161" t="inlineStr">
        <is>
          <t>mrr_final</t>
        </is>
      </c>
      <c r="I1161" t="n">
        <v>833921932</v>
      </c>
      <c r="J1161" t="inlineStr">
        <is>
          <t>COP</t>
        </is>
      </c>
      <c r="L1161">
        <f>IFERROR(INDEX(Diccionario!$B:$B,MATCH(F1161,Diccionario!$C:$C,0)),"")</f>
        <v/>
      </c>
      <c r="M1161">
        <f>IFERROR(INDEX(Diccionario!$H:$H,MATCH(F1161,Diccionario!$C:$C,0)),"")</f>
        <v/>
      </c>
      <c r="N1161">
        <f>IFERROR(INDEX(Diccionario!$N:$N,MATCH(F1161,Diccionario!$C:$C,0)),"")</f>
        <v/>
      </c>
    </row>
    <row r="1162" ht="14.25" customHeight="1" s="52">
      <c r="A1162" t="inlineStr">
        <is>
          <t>2026-03</t>
        </is>
      </c>
      <c r="B1162" t="inlineStr">
        <is>
          <t>Colombia</t>
        </is>
      </c>
      <c r="C1162" t="inlineStr">
        <is>
          <t>Coco Colombia</t>
        </is>
      </c>
      <c r="D1162" t="inlineStr">
        <is>
          <t>COP</t>
        </is>
      </c>
      <c r="E1162" t="inlineStr">
        <is>
          <t>Real</t>
        </is>
      </c>
      <c r="F1162" t="inlineStr">
        <is>
          <t>mrr_final</t>
        </is>
      </c>
      <c r="I1162" t="n">
        <v>747778319</v>
      </c>
      <c r="J1162" t="inlineStr">
        <is>
          <t>COP</t>
        </is>
      </c>
      <c r="L1162">
        <f>IFERROR(INDEX(Diccionario!$B:$B,MATCH(F1162,Diccionario!$C:$C,0)),"")</f>
        <v/>
      </c>
      <c r="M1162">
        <f>IFERROR(INDEX(Diccionario!$H:$H,MATCH(F1162,Diccionario!$C:$C,0)),"")</f>
        <v/>
      </c>
      <c r="N1162">
        <f>IFERROR(INDEX(Diccionario!$N:$N,MATCH(F1162,Diccionario!$C:$C,0)),"")</f>
        <v/>
      </c>
    </row>
    <row r="1163" ht="14.25" customHeight="1" s="52">
      <c r="A1163" t="inlineStr">
        <is>
          <t>2026-04</t>
        </is>
      </c>
      <c r="B1163" t="inlineStr">
        <is>
          <t>Colombia</t>
        </is>
      </c>
      <c r="C1163" t="inlineStr">
        <is>
          <t>Coco Colombia</t>
        </is>
      </c>
      <c r="D1163" t="inlineStr">
        <is>
          <t>COP</t>
        </is>
      </c>
      <c r="E1163" t="inlineStr">
        <is>
          <t>Real</t>
        </is>
      </c>
      <c r="F1163" t="inlineStr">
        <is>
          <t>mrr_final</t>
        </is>
      </c>
      <c r="I1163" t="n">
        <v>742766594</v>
      </c>
      <c r="J1163" t="inlineStr">
        <is>
          <t>COP</t>
        </is>
      </c>
      <c r="L1163">
        <f>IFERROR(INDEX(Diccionario!$B:$B,MATCH(F1163,Diccionario!$C:$C,0)),"")</f>
        <v/>
      </c>
      <c r="M1163">
        <f>IFERROR(INDEX(Diccionario!$H:$H,MATCH(F1163,Diccionario!$C:$C,0)),"")</f>
        <v/>
      </c>
      <c r="N1163">
        <f>IFERROR(INDEX(Diccionario!$N:$N,MATCH(F1163,Diccionario!$C:$C,0)),"")</f>
        <v/>
      </c>
    </row>
    <row r="1164" ht="14.25" customHeight="1" s="52">
      <c r="A1164" t="inlineStr">
        <is>
          <t>2026-05</t>
        </is>
      </c>
      <c r="B1164" t="inlineStr">
        <is>
          <t>Colombia</t>
        </is>
      </c>
      <c r="C1164" t="inlineStr">
        <is>
          <t>Coco Colombia</t>
        </is>
      </c>
      <c r="D1164" t="inlineStr">
        <is>
          <t>COP</t>
        </is>
      </c>
      <c r="E1164" t="inlineStr">
        <is>
          <t>Real</t>
        </is>
      </c>
      <c r="F1164" t="inlineStr">
        <is>
          <t>mrr_final</t>
        </is>
      </c>
      <c r="I1164" t="n">
        <v>706728865</v>
      </c>
      <c r="J1164" t="inlineStr">
        <is>
          <t>COP</t>
        </is>
      </c>
      <c r="L1164">
        <f>IFERROR(INDEX(Diccionario!$B:$B,MATCH(F1164,Diccionario!$C:$C,0)),"")</f>
        <v/>
      </c>
      <c r="M1164">
        <f>IFERROR(INDEX(Diccionario!$H:$H,MATCH(F1164,Diccionario!$C:$C,0)),"")</f>
        <v/>
      </c>
      <c r="N1164">
        <f>IFERROR(INDEX(Diccionario!$N:$N,MATCH(F1164,Diccionario!$C:$C,0)),"")</f>
        <v/>
      </c>
    </row>
    <row r="1165" ht="14.25" customHeight="1" s="52">
      <c r="A1165" t="inlineStr">
        <is>
          <t>2026-03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nps</t>
        </is>
      </c>
      <c r="H1165" t="inlineStr">
        <is>
          <t>Promotores</t>
        </is>
      </c>
      <c r="I1165" t="n">
        <v>78.59999999999999</v>
      </c>
      <c r="J1165" t="inlineStr">
        <is>
          <t>%</t>
        </is>
      </c>
      <c r="L1165">
        <f>IFERROR(INDEX(Diccionario!$B:$B,MATCH(F1165,Diccionario!$C:$C,0)),"")</f>
        <v/>
      </c>
      <c r="M1165">
        <f>IFERROR(INDEX(Diccionario!$H:$H,MATCH(F1165,Diccionario!$C:$C,0)),"")</f>
        <v/>
      </c>
      <c r="N1165">
        <f>IFERROR(INDEX(Diccionario!$N:$N,MATCH(F1165,Diccionario!$C:$C,0)),"")</f>
        <v/>
      </c>
    </row>
    <row r="1166" ht="14.25" customHeight="1" s="52">
      <c r="A1166" t="inlineStr">
        <is>
          <t>2026-04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nps</t>
        </is>
      </c>
      <c r="H1166" t="inlineStr">
        <is>
          <t>Promotores</t>
        </is>
      </c>
      <c r="I1166" t="n">
        <v>100</v>
      </c>
      <c r="J1166" t="inlineStr">
        <is>
          <t>%</t>
        </is>
      </c>
      <c r="L1166">
        <f>IFERROR(INDEX(Diccionario!$B:$B,MATCH(F1166,Diccionario!$C:$C,0)),"")</f>
        <v/>
      </c>
      <c r="M1166">
        <f>IFERROR(INDEX(Diccionario!$H:$H,MATCH(F1166,Diccionario!$C:$C,0)),"")</f>
        <v/>
      </c>
      <c r="N1166">
        <f>IFERROR(INDEX(Diccionario!$N:$N,MATCH(F1166,Diccionario!$C:$C,0)),"")</f>
        <v/>
      </c>
    </row>
    <row r="1167" ht="14.25" customHeight="1" s="52">
      <c r="A1167" t="inlineStr">
        <is>
          <t>2026-05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nps</t>
        </is>
      </c>
      <c r="H1167" t="inlineStr">
        <is>
          <t>Promotores</t>
        </is>
      </c>
      <c r="I1167" t="n">
        <v>91.7</v>
      </c>
      <c r="J1167" t="inlineStr">
        <is>
          <t>%</t>
        </is>
      </c>
      <c r="L1167">
        <f>IFERROR(INDEX(Diccionario!$B:$B,MATCH(F1167,Diccionario!$C:$C,0)),"")</f>
        <v/>
      </c>
      <c r="M1167">
        <f>IFERROR(INDEX(Diccionario!$H:$H,MATCH(F1167,Diccionario!$C:$C,0)),"")</f>
        <v/>
      </c>
      <c r="N1167">
        <f>IFERROR(INDEX(Diccionario!$N:$N,MATCH(F1167,Diccionario!$C:$C,0)),"")</f>
        <v/>
      </c>
    </row>
    <row r="1168" ht="14.25" customHeight="1" s="52">
      <c r="A1168" t="inlineStr">
        <is>
          <t>2026-03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nps</t>
        </is>
      </c>
      <c r="H1168" t="inlineStr">
        <is>
          <t>Pasivos</t>
        </is>
      </c>
      <c r="I1168" t="n">
        <v>14.3</v>
      </c>
      <c r="J1168" t="inlineStr">
        <is>
          <t>%</t>
        </is>
      </c>
      <c r="L1168">
        <f>IFERROR(INDEX(Diccionario!$B:$B,MATCH(F1168,Diccionario!$C:$C,0)),"")</f>
        <v/>
      </c>
      <c r="M1168">
        <f>IFERROR(INDEX(Diccionario!$H:$H,MATCH(F1168,Diccionario!$C:$C,0)),"")</f>
        <v/>
      </c>
      <c r="N1168">
        <f>IFERROR(INDEX(Diccionario!$N:$N,MATCH(F1168,Diccionario!$C:$C,0)),"")</f>
        <v/>
      </c>
    </row>
    <row r="1169" ht="14.25" customHeight="1" s="52">
      <c r="A1169" t="inlineStr">
        <is>
          <t>2026-04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nps</t>
        </is>
      </c>
      <c r="H1169" t="inlineStr">
        <is>
          <t>Pasivos</t>
        </is>
      </c>
      <c r="I1169" t="n">
        <v>0</v>
      </c>
      <c r="J1169" t="inlineStr">
        <is>
          <t>%</t>
        </is>
      </c>
      <c r="L1169">
        <f>IFERROR(INDEX(Diccionario!$B:$B,MATCH(F1169,Diccionario!$C:$C,0)),"")</f>
        <v/>
      </c>
      <c r="M1169">
        <f>IFERROR(INDEX(Diccionario!$H:$H,MATCH(F1169,Diccionario!$C:$C,0)),"")</f>
        <v/>
      </c>
      <c r="N1169">
        <f>IFERROR(INDEX(Diccionario!$N:$N,MATCH(F1169,Diccionario!$C:$C,0)),"")</f>
        <v/>
      </c>
    </row>
    <row r="1170" ht="14.25" customHeight="1" s="52">
      <c r="A1170" t="inlineStr">
        <is>
          <t>2026-05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nps</t>
        </is>
      </c>
      <c r="H1170" t="inlineStr">
        <is>
          <t>Pasivos</t>
        </is>
      </c>
      <c r="I1170" t="n">
        <v>8.300000000000001</v>
      </c>
      <c r="J1170" t="inlineStr">
        <is>
          <t>%</t>
        </is>
      </c>
      <c r="L1170">
        <f>IFERROR(INDEX(Diccionario!$B:$B,MATCH(F1170,Diccionario!$C:$C,0)),"")</f>
        <v/>
      </c>
      <c r="M1170">
        <f>IFERROR(INDEX(Diccionario!$H:$H,MATCH(F1170,Diccionario!$C:$C,0)),"")</f>
        <v/>
      </c>
      <c r="N1170">
        <f>IFERROR(INDEX(Diccionario!$N:$N,MATCH(F1170,Diccionario!$C:$C,0)),"")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nps</t>
        </is>
      </c>
      <c r="H1171" t="inlineStr">
        <is>
          <t>Detractores</t>
        </is>
      </c>
      <c r="I1171" t="n">
        <v>7.1</v>
      </c>
      <c r="J1171" t="inlineStr">
        <is>
          <t>%</t>
        </is>
      </c>
      <c r="L1171">
        <f>IFERROR(INDEX(Diccionario!$B:$B,MATCH(F1171,Diccionario!$C:$C,0)),"")</f>
        <v/>
      </c>
      <c r="M1171">
        <f>IFERROR(INDEX(Diccionario!$H:$H,MATCH(F1171,Diccionario!$C:$C,0)),"")</f>
        <v/>
      </c>
      <c r="N1171">
        <f>IFERROR(INDEX(Diccionario!$N:$N,MATCH(F1171,Diccionario!$C:$C,0)),"")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nps</t>
        </is>
      </c>
      <c r="H1172" t="inlineStr">
        <is>
          <t>Detractores</t>
        </is>
      </c>
      <c r="I1172" t="n">
        <v>0</v>
      </c>
      <c r="J1172" t="inlineStr">
        <is>
          <t>%</t>
        </is>
      </c>
      <c r="L1172">
        <f>IFERROR(INDEX(Diccionario!$B:$B,MATCH(F1172,Diccionario!$C:$C,0)),"")</f>
        <v/>
      </c>
      <c r="M1172">
        <f>IFERROR(INDEX(Diccionario!$H:$H,MATCH(F1172,Diccionario!$C:$C,0)),"")</f>
        <v/>
      </c>
      <c r="N1172">
        <f>IFERROR(INDEX(Diccionario!$N:$N,MATCH(F1172,Diccionario!$C:$C,0)),"")</f>
        <v/>
      </c>
    </row>
    <row r="1173" ht="14.25" customHeight="1" s="52">
      <c r="A1173" t="inlineStr">
        <is>
          <t>2025-05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33.9</v>
      </c>
      <c r="J1173" t="inlineStr">
        <is>
          <t>%</t>
        </is>
      </c>
      <c r="L1173">
        <f>IFERROR(INDEX(Diccionario!$B:$B,MATCH(F1173,Diccionario!$C:$C,0)),"")</f>
        <v/>
      </c>
      <c r="M1173">
        <f>IFERROR(INDEX(Diccionario!$H:$H,MATCH(F1173,Diccionario!$C:$C,0)),"")</f>
        <v/>
      </c>
      <c r="N1173">
        <f>IFERROR(INDEX(Diccionario!$N:$N,MATCH(F1173,Diccionario!$C:$C,0)),"")</f>
        <v/>
      </c>
    </row>
    <row r="1174" ht="14.25" customHeight="1" s="52">
      <c r="A1174" t="inlineStr">
        <is>
          <t>2025-06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Grandes</t>
        </is>
      </c>
      <c r="I1174" t="n">
        <v>40</v>
      </c>
      <c r="J1174" t="inlineStr">
        <is>
          <t>%</t>
        </is>
      </c>
      <c r="L1174">
        <f>IFERROR(INDEX(Diccionario!$B:$B,MATCH(F1174,Diccionario!$C:$C,0)),"")</f>
        <v/>
      </c>
      <c r="M1174">
        <f>IFERROR(INDEX(Diccionario!$H:$H,MATCH(F1174,Diccionario!$C:$C,0)),"")</f>
        <v/>
      </c>
      <c r="N1174">
        <f>IFERROR(INDEX(Diccionario!$N:$N,MATCH(F1174,Diccionario!$C:$C,0)),"")</f>
        <v/>
      </c>
    </row>
    <row r="1175" ht="14.25" customHeight="1" s="52">
      <c r="A1175" t="inlineStr">
        <is>
          <t>2025-07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Grandes</t>
        </is>
      </c>
      <c r="I1175" t="n">
        <v>37</v>
      </c>
      <c r="J1175" t="inlineStr">
        <is>
          <t>%</t>
        </is>
      </c>
      <c r="L1175">
        <f>IFERROR(INDEX(Diccionario!$B:$B,MATCH(F1175,Diccionario!$C:$C,0)),"")</f>
        <v/>
      </c>
      <c r="M1175">
        <f>IFERROR(INDEX(Diccionario!$H:$H,MATCH(F1175,Diccionario!$C:$C,0)),"")</f>
        <v/>
      </c>
      <c r="N1175">
        <f>IFERROR(INDEX(Diccionario!$N:$N,MATCH(F1175,Diccionario!$C:$C,0)),"")</f>
        <v/>
      </c>
    </row>
    <row r="1176" ht="14.25" customHeight="1" s="52">
      <c r="A1176" t="inlineStr">
        <is>
          <t>2025-08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Grandes</t>
        </is>
      </c>
      <c r="I1176" t="n">
        <v>37</v>
      </c>
      <c r="J1176" t="inlineStr">
        <is>
          <t>%</t>
        </is>
      </c>
      <c r="L1176">
        <f>IFERROR(INDEX(Diccionario!$B:$B,MATCH(F1176,Diccionario!$C:$C,0)),"")</f>
        <v/>
      </c>
      <c r="M1176">
        <f>IFERROR(INDEX(Diccionario!$H:$H,MATCH(F1176,Diccionario!$C:$C,0)),"")</f>
        <v/>
      </c>
      <c r="N1176">
        <f>IFERROR(INDEX(Diccionario!$N:$N,MATCH(F1176,Diccionario!$C:$C,0)),"")</f>
        <v/>
      </c>
    </row>
    <row r="1177" ht="14.25" customHeight="1" s="52">
      <c r="A1177" t="inlineStr">
        <is>
          <t>2025-09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Grandes</t>
        </is>
      </c>
      <c r="I1177" t="n">
        <v>20.9</v>
      </c>
      <c r="J1177" t="inlineStr">
        <is>
          <t>%</t>
        </is>
      </c>
      <c r="L1177">
        <f>IFERROR(INDEX(Diccionario!$B:$B,MATCH(F1177,Diccionario!$C:$C,0)),"")</f>
        <v/>
      </c>
      <c r="M1177">
        <f>IFERROR(INDEX(Diccionario!$H:$H,MATCH(F1177,Diccionario!$C:$C,0)),"")</f>
        <v/>
      </c>
      <c r="N1177">
        <f>IFERROR(INDEX(Diccionario!$N:$N,MATCH(F1177,Diccionario!$C:$C,0)),"")</f>
        <v/>
      </c>
    </row>
    <row r="1178" ht="14.25" customHeight="1" s="52">
      <c r="A1178" t="inlineStr">
        <is>
          <t>2025-10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Grandes</t>
        </is>
      </c>
      <c r="I1178" t="n">
        <v>21</v>
      </c>
      <c r="J1178" t="inlineStr">
        <is>
          <t>%</t>
        </is>
      </c>
      <c r="L1178">
        <f>IFERROR(INDEX(Diccionario!$B:$B,MATCH(F1178,Diccionario!$C:$C,0)),"")</f>
        <v/>
      </c>
      <c r="M1178">
        <f>IFERROR(INDEX(Diccionario!$H:$H,MATCH(F1178,Diccionario!$C:$C,0)),"")</f>
        <v/>
      </c>
      <c r="N1178">
        <f>IFERROR(INDEX(Diccionario!$N:$N,MATCH(F1178,Diccionario!$C:$C,0)),"")</f>
        <v/>
      </c>
    </row>
    <row r="1179" ht="14.25" customHeight="1" s="52">
      <c r="A1179" t="inlineStr">
        <is>
          <t>2025-11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Grandes</t>
        </is>
      </c>
      <c r="I1179" t="n">
        <v>28</v>
      </c>
      <c r="J1179" t="inlineStr">
        <is>
          <t>%</t>
        </is>
      </c>
      <c r="L1179">
        <f>IFERROR(INDEX(Diccionario!$B:$B,MATCH(F1179,Diccionario!$C:$C,0)),"")</f>
        <v/>
      </c>
      <c r="M1179">
        <f>IFERROR(INDEX(Diccionario!$H:$H,MATCH(F1179,Diccionario!$C:$C,0)),"")</f>
        <v/>
      </c>
      <c r="N1179">
        <f>IFERROR(INDEX(Diccionario!$N:$N,MATCH(F1179,Diccionario!$C:$C,0)),"")</f>
        <v/>
      </c>
    </row>
    <row r="1180" ht="14.25" customHeight="1" s="52">
      <c r="A1180" t="inlineStr">
        <is>
          <t>2025-12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Grandes</t>
        </is>
      </c>
      <c r="I1180" t="n">
        <v>16</v>
      </c>
      <c r="J1180" t="inlineStr">
        <is>
          <t>%</t>
        </is>
      </c>
      <c r="L1180">
        <f>IFERROR(INDEX(Diccionario!$B:$B,MATCH(F1180,Diccionario!$C:$C,0)),"")</f>
        <v/>
      </c>
      <c r="M1180">
        <f>IFERROR(INDEX(Diccionario!$H:$H,MATCH(F1180,Diccionario!$C:$C,0)),"")</f>
        <v/>
      </c>
      <c r="N1180">
        <f>IFERROR(INDEX(Diccionario!$N:$N,MATCH(F1180,Diccionario!$C:$C,0)),"")</f>
        <v/>
      </c>
    </row>
    <row r="1181" ht="14.25" customHeight="1" s="52">
      <c r="A1181" t="inlineStr">
        <is>
          <t>2026-01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Grandes</t>
        </is>
      </c>
      <c r="I1181" t="n">
        <v>40</v>
      </c>
      <c r="J1181" t="inlineStr">
        <is>
          <t>%</t>
        </is>
      </c>
      <c r="L1181">
        <f>IFERROR(INDEX(Diccionario!$B:$B,MATCH(F1181,Diccionario!$C:$C,0)),"")</f>
        <v/>
      </c>
      <c r="M1181">
        <f>IFERROR(INDEX(Diccionario!$H:$H,MATCH(F1181,Diccionario!$C:$C,0)),"")</f>
        <v/>
      </c>
      <c r="N1181">
        <f>IFERROR(INDEX(Diccionario!$N:$N,MATCH(F1181,Diccionario!$C:$C,0)),"")</f>
        <v/>
      </c>
    </row>
    <row r="1182" ht="14.25" customHeight="1" s="52">
      <c r="A1182" t="inlineStr">
        <is>
          <t>2026-02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Grandes</t>
        </is>
      </c>
      <c r="I1182" t="n">
        <v>25</v>
      </c>
      <c r="J1182" t="inlineStr">
        <is>
          <t>%</t>
        </is>
      </c>
      <c r="L1182">
        <f>IFERROR(INDEX(Diccionario!$B:$B,MATCH(F1182,Diccionario!$C:$C,0)),"")</f>
        <v/>
      </c>
      <c r="M1182">
        <f>IFERROR(INDEX(Diccionario!$H:$H,MATCH(F1182,Diccionario!$C:$C,0)),"")</f>
        <v/>
      </c>
      <c r="N1182">
        <f>IFERROR(INDEX(Diccionario!$N:$N,MATCH(F1182,Diccionario!$C:$C,0)),"")</f>
        <v/>
      </c>
    </row>
    <row r="1183" ht="14.25" customHeight="1" s="52">
      <c r="A1183" t="inlineStr">
        <is>
          <t>2026-03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Grandes</t>
        </is>
      </c>
      <c r="I1183" t="n">
        <v>23</v>
      </c>
      <c r="J1183" t="inlineStr">
        <is>
          <t>%</t>
        </is>
      </c>
      <c r="L1183">
        <f>IFERROR(INDEX(Diccionario!$B:$B,MATCH(F1183,Diccionario!$C:$C,0)),"")</f>
        <v/>
      </c>
      <c r="M1183">
        <f>IFERROR(INDEX(Diccionario!$H:$H,MATCH(F1183,Diccionario!$C:$C,0)),"")</f>
        <v/>
      </c>
      <c r="N1183">
        <f>IFERROR(INDEX(Diccionario!$N:$N,MATCH(F1183,Diccionario!$C:$C,0)),"")</f>
        <v/>
      </c>
    </row>
    <row r="1184" ht="14.25" customHeight="1" s="52">
      <c r="A1184" t="inlineStr">
        <is>
          <t>2026-04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Grandes</t>
        </is>
      </c>
      <c r="I1184" t="n">
        <v>27</v>
      </c>
      <c r="J1184" t="inlineStr">
        <is>
          <t>%</t>
        </is>
      </c>
      <c r="L1184">
        <f>IFERROR(INDEX(Diccionario!$B:$B,MATCH(F1184,Diccionario!$C:$C,0)),"")</f>
        <v/>
      </c>
      <c r="M1184">
        <f>IFERROR(INDEX(Diccionario!$H:$H,MATCH(F1184,Diccionario!$C:$C,0)),"")</f>
        <v/>
      </c>
      <c r="N1184">
        <f>IFERROR(INDEX(Diccionario!$N:$N,MATCH(F1184,Diccionario!$C:$C,0)),"")</f>
        <v/>
      </c>
    </row>
    <row r="1185" ht="14.25" customHeight="1" s="52">
      <c r="A1185" t="inlineStr">
        <is>
          <t>2026-05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Grandes</t>
        </is>
      </c>
      <c r="I1185" t="n">
        <v>15</v>
      </c>
      <c r="J1185" t="inlineStr">
        <is>
          <t>%</t>
        </is>
      </c>
      <c r="L1185">
        <f>IFERROR(INDEX(Diccionario!$B:$B,MATCH(F1185,Diccionario!$C:$C,0)),"")</f>
        <v/>
      </c>
      <c r="M1185">
        <f>IFERROR(INDEX(Diccionario!$H:$H,MATCH(F1185,Diccionario!$C:$C,0)),"")</f>
        <v/>
      </c>
      <c r="N1185">
        <f>IFERROR(INDEX(Diccionario!$N:$N,MATCH(F1185,Diccionario!$C:$C,0)),"")</f>
        <v/>
      </c>
    </row>
    <row r="1186" ht="14.25" customHeight="1" s="52">
      <c r="A1186" t="inlineStr">
        <is>
          <t>2025-05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51.53</v>
      </c>
      <c r="J1186" t="inlineStr">
        <is>
          <t>%</t>
        </is>
      </c>
      <c r="L1186">
        <f>IFERROR(INDEX(Diccionario!$B:$B,MATCH(F1186,Diccionario!$C:$C,0)),"")</f>
        <v/>
      </c>
      <c r="M1186">
        <f>IFERROR(INDEX(Diccionario!$H:$H,MATCH(F1186,Diccionario!$C:$C,0)),"")</f>
        <v/>
      </c>
      <c r="N1186">
        <f>IFERROR(INDEX(Diccionario!$N:$N,MATCH(F1186,Diccionario!$C:$C,0)),"")</f>
        <v/>
      </c>
    </row>
    <row r="1187" ht="14.25" customHeight="1" s="52">
      <c r="A1187" t="inlineStr">
        <is>
          <t>2025-06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Medianos</t>
        </is>
      </c>
      <c r="I1187" t="n">
        <v>56</v>
      </c>
      <c r="J1187" t="inlineStr">
        <is>
          <t>%</t>
        </is>
      </c>
      <c r="L1187">
        <f>IFERROR(INDEX(Diccionario!$B:$B,MATCH(F1187,Diccionario!$C:$C,0)),"")</f>
        <v/>
      </c>
      <c r="M1187">
        <f>IFERROR(INDEX(Diccionario!$H:$H,MATCH(F1187,Diccionario!$C:$C,0)),"")</f>
        <v/>
      </c>
      <c r="N1187">
        <f>IFERROR(INDEX(Diccionario!$N:$N,MATCH(F1187,Diccionario!$C:$C,0)),"")</f>
        <v/>
      </c>
    </row>
    <row r="1188" ht="14.25" customHeight="1" s="52">
      <c r="A1188" t="inlineStr">
        <is>
          <t>2025-07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Medianos</t>
        </is>
      </c>
      <c r="I1188" t="n">
        <v>59</v>
      </c>
      <c r="J1188" t="inlineStr">
        <is>
          <t>%</t>
        </is>
      </c>
      <c r="L1188">
        <f>IFERROR(INDEX(Diccionario!$B:$B,MATCH(F1188,Diccionario!$C:$C,0)),"")</f>
        <v/>
      </c>
      <c r="M1188">
        <f>IFERROR(INDEX(Diccionario!$H:$H,MATCH(F1188,Diccionario!$C:$C,0)),"")</f>
        <v/>
      </c>
      <c r="N1188">
        <f>IFERROR(INDEX(Diccionario!$N:$N,MATCH(F1188,Diccionario!$C:$C,0)),"")</f>
        <v/>
      </c>
    </row>
    <row r="1189" ht="14.25" customHeight="1" s="52">
      <c r="A1189" t="inlineStr">
        <is>
          <t>2025-08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Medianos</t>
        </is>
      </c>
      <c r="I1189" t="n">
        <v>49.6</v>
      </c>
      <c r="J1189" t="inlineStr">
        <is>
          <t>%</t>
        </is>
      </c>
      <c r="L1189">
        <f>IFERROR(INDEX(Diccionario!$B:$B,MATCH(F1189,Diccionario!$C:$C,0)),"")</f>
        <v/>
      </c>
      <c r="M1189">
        <f>IFERROR(INDEX(Diccionario!$H:$H,MATCH(F1189,Diccionario!$C:$C,0)),"")</f>
        <v/>
      </c>
      <c r="N1189">
        <f>IFERROR(INDEX(Diccionario!$N:$N,MATCH(F1189,Diccionario!$C:$C,0)),"")</f>
        <v/>
      </c>
    </row>
    <row r="1190" ht="14.25" customHeight="1" s="52">
      <c r="A1190" t="inlineStr">
        <is>
          <t>2025-09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Medianos</t>
        </is>
      </c>
      <c r="I1190" t="n">
        <v>61.7</v>
      </c>
      <c r="J1190" t="inlineStr">
        <is>
          <t>%</t>
        </is>
      </c>
      <c r="L1190">
        <f>IFERROR(INDEX(Diccionario!$B:$B,MATCH(F1190,Diccionario!$C:$C,0)),"")</f>
        <v/>
      </c>
      <c r="M1190">
        <f>IFERROR(INDEX(Diccionario!$H:$H,MATCH(F1190,Diccionario!$C:$C,0)),"")</f>
        <v/>
      </c>
      <c r="N1190">
        <f>IFERROR(INDEX(Diccionario!$N:$N,MATCH(F1190,Diccionario!$C:$C,0)),"")</f>
        <v/>
      </c>
    </row>
    <row r="1191" ht="14.25" customHeight="1" s="52">
      <c r="A1191" t="inlineStr">
        <is>
          <t>2025-10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Medianos</t>
        </is>
      </c>
      <c r="I1191" t="n">
        <v>65</v>
      </c>
      <c r="J1191" t="inlineStr">
        <is>
          <t>%</t>
        </is>
      </c>
      <c r="L1191">
        <f>IFERROR(INDEX(Diccionario!$B:$B,MATCH(F1191,Diccionario!$C:$C,0)),"")</f>
        <v/>
      </c>
      <c r="M1191">
        <f>IFERROR(INDEX(Diccionario!$H:$H,MATCH(F1191,Diccionario!$C:$C,0)),"")</f>
        <v/>
      </c>
      <c r="N1191">
        <f>IFERROR(INDEX(Diccionario!$N:$N,MATCH(F1191,Diccionario!$C:$C,0)),"")</f>
        <v/>
      </c>
    </row>
    <row r="1192" ht="14.25" customHeight="1" s="52">
      <c r="A1192" t="inlineStr">
        <is>
          <t>2025-11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Medianos</t>
        </is>
      </c>
      <c r="I1192" t="n">
        <v>67</v>
      </c>
      <c r="J1192" t="inlineStr">
        <is>
          <t>%</t>
        </is>
      </c>
      <c r="L1192">
        <f>IFERROR(INDEX(Diccionario!$B:$B,MATCH(F1192,Diccionario!$C:$C,0)),"")</f>
        <v/>
      </c>
      <c r="M1192">
        <f>IFERROR(INDEX(Diccionario!$H:$H,MATCH(F1192,Diccionario!$C:$C,0)),"")</f>
        <v/>
      </c>
      <c r="N1192">
        <f>IFERROR(INDEX(Diccionario!$N:$N,MATCH(F1192,Diccionario!$C:$C,0)),"")</f>
        <v/>
      </c>
    </row>
    <row r="1193" ht="14.25" customHeight="1" s="52">
      <c r="A1193" t="inlineStr">
        <is>
          <t>2025-12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Medianos</t>
        </is>
      </c>
      <c r="I1193" t="n">
        <v>77</v>
      </c>
      <c r="J1193" t="inlineStr">
        <is>
          <t>%</t>
        </is>
      </c>
      <c r="L1193">
        <f>IFERROR(INDEX(Diccionario!$B:$B,MATCH(F1193,Diccionario!$C:$C,0)),"")</f>
        <v/>
      </c>
      <c r="M1193">
        <f>IFERROR(INDEX(Diccionario!$H:$H,MATCH(F1193,Diccionario!$C:$C,0)),"")</f>
        <v/>
      </c>
      <c r="N1193">
        <f>IFERROR(INDEX(Diccionario!$N:$N,MATCH(F1193,Diccionario!$C:$C,0)),"")</f>
        <v/>
      </c>
    </row>
    <row r="1194" ht="14.25" customHeight="1" s="52">
      <c r="A1194" t="inlineStr">
        <is>
          <t>2026-01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Medianos</t>
        </is>
      </c>
      <c r="I1194" t="n">
        <v>55</v>
      </c>
      <c r="J1194" t="inlineStr">
        <is>
          <t>%</t>
        </is>
      </c>
      <c r="L1194">
        <f>IFERROR(INDEX(Diccionario!$B:$B,MATCH(F1194,Diccionario!$C:$C,0)),"")</f>
        <v/>
      </c>
      <c r="M1194">
        <f>IFERROR(INDEX(Diccionario!$H:$H,MATCH(F1194,Diccionario!$C:$C,0)),"")</f>
        <v/>
      </c>
      <c r="N1194">
        <f>IFERROR(INDEX(Diccionario!$N:$N,MATCH(F1194,Diccionario!$C:$C,0)),"")</f>
        <v/>
      </c>
    </row>
    <row r="1195" ht="14.25" customHeight="1" s="52">
      <c r="A1195" t="inlineStr">
        <is>
          <t>2026-02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Medianos</t>
        </is>
      </c>
      <c r="I1195" t="n">
        <v>64</v>
      </c>
      <c r="J1195" t="inlineStr">
        <is>
          <t>%</t>
        </is>
      </c>
      <c r="L1195">
        <f>IFERROR(INDEX(Diccionario!$B:$B,MATCH(F1195,Diccionario!$C:$C,0)),"")</f>
        <v/>
      </c>
      <c r="M1195">
        <f>IFERROR(INDEX(Diccionario!$H:$H,MATCH(F1195,Diccionario!$C:$C,0)),"")</f>
        <v/>
      </c>
      <c r="N1195">
        <f>IFERROR(INDEX(Diccionario!$N:$N,MATCH(F1195,Diccionario!$C:$C,0)),"")</f>
        <v/>
      </c>
    </row>
    <row r="1196" ht="14.25" customHeight="1" s="52">
      <c r="A1196" t="inlineStr">
        <is>
          <t>2026-03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Medianos</t>
        </is>
      </c>
      <c r="I1196" t="n">
        <v>65</v>
      </c>
      <c r="J1196" t="inlineStr">
        <is>
          <t>%</t>
        </is>
      </c>
      <c r="L1196">
        <f>IFERROR(INDEX(Diccionario!$B:$B,MATCH(F1196,Diccionario!$C:$C,0)),"")</f>
        <v/>
      </c>
      <c r="M1196">
        <f>IFERROR(INDEX(Diccionario!$H:$H,MATCH(F1196,Diccionario!$C:$C,0)),"")</f>
        <v/>
      </c>
      <c r="N1196">
        <f>IFERROR(INDEX(Diccionario!$N:$N,MATCH(F1196,Diccionario!$C:$C,0)),"")</f>
        <v/>
      </c>
    </row>
    <row r="1197" ht="14.25" customHeight="1" s="52">
      <c r="A1197" t="inlineStr">
        <is>
          <t>2026-04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Medianos</t>
        </is>
      </c>
      <c r="I1197" t="n">
        <v>67</v>
      </c>
      <c r="J1197" t="inlineStr">
        <is>
          <t>%</t>
        </is>
      </c>
      <c r="L1197">
        <f>IFERROR(INDEX(Diccionario!$B:$B,MATCH(F1197,Diccionario!$C:$C,0)),"")</f>
        <v/>
      </c>
      <c r="M1197">
        <f>IFERROR(INDEX(Diccionario!$H:$H,MATCH(F1197,Diccionario!$C:$C,0)),"")</f>
        <v/>
      </c>
      <c r="N1197">
        <f>IFERROR(INDEX(Diccionario!$N:$N,MATCH(F1197,Diccionario!$C:$C,0)),"")</f>
        <v/>
      </c>
    </row>
    <row r="1198" ht="14.25" customHeight="1" s="52">
      <c r="A1198" t="inlineStr">
        <is>
          <t>2026-05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Medianos</t>
        </is>
      </c>
      <c r="I1198" t="n">
        <v>78</v>
      </c>
      <c r="J1198" t="inlineStr">
        <is>
          <t>%</t>
        </is>
      </c>
      <c r="L1198">
        <f>IFERROR(INDEX(Diccionario!$B:$B,MATCH(F1198,Diccionario!$C:$C,0)),"")</f>
        <v/>
      </c>
      <c r="M1198">
        <f>IFERROR(INDEX(Diccionario!$H:$H,MATCH(F1198,Diccionario!$C:$C,0)),"")</f>
        <v/>
      </c>
      <c r="N1198">
        <f>IFERROR(INDEX(Diccionario!$N:$N,MATCH(F1198,Diccionario!$C:$C,0)),"")</f>
        <v/>
      </c>
    </row>
    <row r="1199" ht="14.25" customHeight="1" s="52">
      <c r="A1199" t="inlineStr">
        <is>
          <t>2025-05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14.57</v>
      </c>
      <c r="J1199" t="inlineStr">
        <is>
          <t>%</t>
        </is>
      </c>
      <c r="L1199">
        <f>IFERROR(INDEX(Diccionario!$B:$B,MATCH(F1199,Diccionario!$C:$C,0)),"")</f>
        <v/>
      </c>
      <c r="M1199">
        <f>IFERROR(INDEX(Diccionario!$H:$H,MATCH(F1199,Diccionario!$C:$C,0)),"")</f>
        <v/>
      </c>
      <c r="N1199">
        <f>IFERROR(INDEX(Diccionario!$N:$N,MATCH(F1199,Diccionario!$C:$C,0)),"")</f>
        <v/>
      </c>
    </row>
    <row r="1200" ht="14.25" customHeight="1" s="52">
      <c r="A1200" t="inlineStr">
        <is>
          <t>2025-06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distribucion_facturacion_tamano</t>
        </is>
      </c>
      <c r="H1200" t="inlineStr">
        <is>
          <t>Pequeños</t>
        </is>
      </c>
      <c r="I1200" t="n">
        <v>4</v>
      </c>
      <c r="J1200" t="inlineStr">
        <is>
          <t>%</t>
        </is>
      </c>
      <c r="L1200">
        <f>IFERROR(INDEX(Diccionario!$B:$B,MATCH(F1200,Diccionario!$C:$C,0)),"")</f>
        <v/>
      </c>
      <c r="M1200">
        <f>IFERROR(INDEX(Diccionario!$H:$H,MATCH(F1200,Diccionario!$C:$C,0)),"")</f>
        <v/>
      </c>
      <c r="N1200">
        <f>IFERROR(INDEX(Diccionario!$N:$N,MATCH(F1200,Diccionario!$C:$C,0)),"")</f>
        <v/>
      </c>
    </row>
    <row r="1201" ht="14.25" customHeight="1" s="52">
      <c r="A1201" t="inlineStr">
        <is>
          <t>2025-07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distribucion_facturacion_tamano</t>
        </is>
      </c>
      <c r="H1201" t="inlineStr">
        <is>
          <t>Pequeños</t>
        </is>
      </c>
      <c r="I1201" t="n">
        <v>4</v>
      </c>
      <c r="J1201" t="inlineStr">
        <is>
          <t>%</t>
        </is>
      </c>
      <c r="L1201">
        <f>IFERROR(INDEX(Diccionario!$B:$B,MATCH(F1201,Diccionario!$C:$C,0)),"")</f>
        <v/>
      </c>
      <c r="M1201">
        <f>IFERROR(INDEX(Diccionario!$H:$H,MATCH(F1201,Diccionario!$C:$C,0)),"")</f>
        <v/>
      </c>
      <c r="N1201">
        <f>IFERROR(INDEX(Diccionario!$N:$N,MATCH(F1201,Diccionario!$C:$C,0)),"")</f>
        <v/>
      </c>
    </row>
    <row r="1202" ht="14.25" customHeight="1" s="52">
      <c r="A1202" t="inlineStr">
        <is>
          <t>2025-08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distribucion_facturacion_tamano</t>
        </is>
      </c>
      <c r="H1202" t="inlineStr">
        <is>
          <t>Pequeños</t>
        </is>
      </c>
      <c r="I1202" t="n">
        <v>13.1</v>
      </c>
      <c r="J1202" t="inlineStr">
        <is>
          <t>%</t>
        </is>
      </c>
      <c r="L1202">
        <f>IFERROR(INDEX(Diccionario!$B:$B,MATCH(F1202,Diccionario!$C:$C,0)),"")</f>
        <v/>
      </c>
      <c r="M1202">
        <f>IFERROR(INDEX(Diccionario!$H:$H,MATCH(F1202,Diccionario!$C:$C,0)),"")</f>
        <v/>
      </c>
      <c r="N1202">
        <f>IFERROR(INDEX(Diccionario!$N:$N,MATCH(F1202,Diccionario!$C:$C,0)),"")</f>
        <v/>
      </c>
    </row>
    <row r="1203" ht="14.25" customHeight="1" s="52">
      <c r="A1203" t="inlineStr">
        <is>
          <t>2025-09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distribucion_facturacion_tamano</t>
        </is>
      </c>
      <c r="H1203" t="inlineStr">
        <is>
          <t>Pequeños</t>
        </is>
      </c>
      <c r="I1203" t="n">
        <v>17.37</v>
      </c>
      <c r="J1203" t="inlineStr">
        <is>
          <t>%</t>
        </is>
      </c>
      <c r="L1203">
        <f>IFERROR(INDEX(Diccionario!$B:$B,MATCH(F1203,Diccionario!$C:$C,0)),"")</f>
        <v/>
      </c>
      <c r="M1203">
        <f>IFERROR(INDEX(Diccionario!$H:$H,MATCH(F1203,Diccionario!$C:$C,0)),"")</f>
        <v/>
      </c>
      <c r="N1203">
        <f>IFERROR(INDEX(Diccionario!$N:$N,MATCH(F1203,Diccionario!$C:$C,0)),"")</f>
        <v/>
      </c>
    </row>
    <row r="1204" ht="14.25" customHeight="1" s="52">
      <c r="A1204" t="inlineStr">
        <is>
          <t>2025-10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distribucion_facturacion_tamano</t>
        </is>
      </c>
      <c r="H1204" t="inlineStr">
        <is>
          <t>Pequeños</t>
        </is>
      </c>
      <c r="I1204" t="n">
        <v>10</v>
      </c>
      <c r="J1204" t="inlineStr">
        <is>
          <t>%</t>
        </is>
      </c>
      <c r="L1204">
        <f>IFERROR(INDEX(Diccionario!$B:$B,MATCH(F1204,Diccionario!$C:$C,0)),"")</f>
        <v/>
      </c>
      <c r="M1204">
        <f>IFERROR(INDEX(Diccionario!$H:$H,MATCH(F1204,Diccionario!$C:$C,0)),"")</f>
        <v/>
      </c>
      <c r="N1204">
        <f>IFERROR(INDEX(Diccionario!$N:$N,MATCH(F1204,Diccionario!$C:$C,0)),"")</f>
        <v/>
      </c>
    </row>
    <row r="1205" ht="14.25" customHeight="1" s="52">
      <c r="A1205" t="inlineStr">
        <is>
          <t>2025-11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distribucion_facturacion_tamano</t>
        </is>
      </c>
      <c r="H1205" t="inlineStr">
        <is>
          <t>Pequeños</t>
        </is>
      </c>
      <c r="I1205" t="n">
        <v>5</v>
      </c>
      <c r="J1205" t="inlineStr">
        <is>
          <t>%</t>
        </is>
      </c>
      <c r="L1205">
        <f>IFERROR(INDEX(Diccionario!$B:$B,MATCH(F1205,Diccionario!$C:$C,0)),"")</f>
        <v/>
      </c>
      <c r="M1205">
        <f>IFERROR(INDEX(Diccionario!$H:$H,MATCH(F1205,Diccionario!$C:$C,0)),"")</f>
        <v/>
      </c>
      <c r="N1205">
        <f>IFERROR(INDEX(Diccionario!$N:$N,MATCH(F1205,Diccionario!$C:$C,0)),"")</f>
        <v/>
      </c>
    </row>
    <row r="1206" ht="14.25" customHeight="1" s="52">
      <c r="A1206" t="inlineStr">
        <is>
          <t>2025-12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distribucion_facturacion_tamano</t>
        </is>
      </c>
      <c r="H1206" t="inlineStr">
        <is>
          <t>Pequeños</t>
        </is>
      </c>
      <c r="I1206" t="n">
        <v>7</v>
      </c>
      <c r="J1206" t="inlineStr">
        <is>
          <t>%</t>
        </is>
      </c>
      <c r="L1206">
        <f>IFERROR(INDEX(Diccionario!$B:$B,MATCH(F1206,Diccionario!$C:$C,0)),"")</f>
        <v/>
      </c>
      <c r="M1206">
        <f>IFERROR(INDEX(Diccionario!$H:$H,MATCH(F1206,Diccionario!$C:$C,0)),"")</f>
        <v/>
      </c>
      <c r="N1206">
        <f>IFERROR(INDEX(Diccionario!$N:$N,MATCH(F1206,Diccionario!$C:$C,0)),"")</f>
        <v/>
      </c>
    </row>
    <row r="1207" ht="14.25" customHeight="1" s="52">
      <c r="A1207" t="inlineStr">
        <is>
          <t>2026-01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distribucion_facturacion_tamano</t>
        </is>
      </c>
      <c r="H1207" t="inlineStr">
        <is>
          <t>Pequeños</t>
        </is>
      </c>
      <c r="I1207" t="n">
        <v>5</v>
      </c>
      <c r="J1207" t="inlineStr">
        <is>
          <t>%</t>
        </is>
      </c>
      <c r="L1207">
        <f>IFERROR(INDEX(Diccionario!$B:$B,MATCH(F1207,Diccionario!$C:$C,0)),"")</f>
        <v/>
      </c>
      <c r="M1207">
        <f>IFERROR(INDEX(Diccionario!$H:$H,MATCH(F1207,Diccionario!$C:$C,0)),"")</f>
        <v/>
      </c>
      <c r="N1207">
        <f>IFERROR(INDEX(Diccionario!$N:$N,MATCH(F1207,Diccionario!$C:$C,0)),"")</f>
        <v/>
      </c>
    </row>
    <row r="1208" ht="14.25" customHeight="1" s="52">
      <c r="A1208" t="inlineStr">
        <is>
          <t>2026-02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distribucion_facturacion_tamano</t>
        </is>
      </c>
      <c r="H1208" t="inlineStr">
        <is>
          <t>Pequeños</t>
        </is>
      </c>
      <c r="I1208" t="n">
        <v>11</v>
      </c>
      <c r="J1208" t="inlineStr">
        <is>
          <t>%</t>
        </is>
      </c>
      <c r="L1208">
        <f>IFERROR(INDEX(Diccionario!$B:$B,MATCH(F1208,Diccionario!$C:$C,0)),"")</f>
        <v/>
      </c>
      <c r="M1208">
        <f>IFERROR(INDEX(Diccionario!$H:$H,MATCH(F1208,Diccionario!$C:$C,0)),"")</f>
        <v/>
      </c>
      <c r="N1208">
        <f>IFERROR(INDEX(Diccionario!$N:$N,MATCH(F1208,Diccionario!$C:$C,0)),"")</f>
        <v/>
      </c>
    </row>
    <row r="1209" ht="14.25" customHeight="1" s="52">
      <c r="A1209" t="inlineStr">
        <is>
          <t>2026-03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distribucion_facturacion_tamano</t>
        </is>
      </c>
      <c r="H1209" t="inlineStr">
        <is>
          <t>Pequeños</t>
        </is>
      </c>
      <c r="I1209" t="n">
        <v>12</v>
      </c>
      <c r="J1209" t="inlineStr">
        <is>
          <t>%</t>
        </is>
      </c>
      <c r="L1209">
        <f>IFERROR(INDEX(Diccionario!$B:$B,MATCH(F1209,Diccionario!$C:$C,0)),"")</f>
        <v/>
      </c>
      <c r="M1209">
        <f>IFERROR(INDEX(Diccionario!$H:$H,MATCH(F1209,Diccionario!$C:$C,0)),"")</f>
        <v/>
      </c>
      <c r="N1209">
        <f>IFERROR(INDEX(Diccionario!$N:$N,MATCH(F1209,Diccionario!$C:$C,0)),"")</f>
        <v/>
      </c>
    </row>
    <row r="1210" ht="14.25" customHeight="1" s="52">
      <c r="A1210" t="inlineStr">
        <is>
          <t>2026-04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distribucion_facturacion_tamano</t>
        </is>
      </c>
      <c r="H1210" t="inlineStr">
        <is>
          <t>Pequeños</t>
        </is>
      </c>
      <c r="I1210" t="n">
        <v>6</v>
      </c>
      <c r="J1210" t="inlineStr">
        <is>
          <t>%</t>
        </is>
      </c>
      <c r="L1210">
        <f>IFERROR(INDEX(Diccionario!$B:$B,MATCH(F1210,Diccionario!$C:$C,0)),"")</f>
        <v/>
      </c>
      <c r="M1210">
        <f>IFERROR(INDEX(Diccionario!$H:$H,MATCH(F1210,Diccionario!$C:$C,0)),"")</f>
        <v/>
      </c>
      <c r="N1210">
        <f>IFERROR(INDEX(Diccionario!$N:$N,MATCH(F1210,Diccionario!$C:$C,0)),"")</f>
        <v/>
      </c>
    </row>
    <row r="1211" ht="14.25" customHeight="1" s="52">
      <c r="A1211" t="inlineStr">
        <is>
          <t>2026-05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distribucion_facturacion_tamano</t>
        </is>
      </c>
      <c r="H1211" t="inlineStr">
        <is>
          <t>Pequeños</t>
        </is>
      </c>
      <c r="I1211" t="n">
        <v>7</v>
      </c>
      <c r="J1211" t="inlineStr">
        <is>
          <t>%</t>
        </is>
      </c>
      <c r="L1211">
        <f>IFERROR(INDEX(Diccionario!$B:$B,MATCH(F1211,Diccionario!$C:$C,0)),"")</f>
        <v/>
      </c>
      <c r="M1211">
        <f>IFERROR(INDEX(Diccionario!$H:$H,MATCH(F1211,Diccionario!$C:$C,0)),"")</f>
        <v/>
      </c>
      <c r="N1211">
        <f>IFERROR(INDEX(Diccionario!$N:$N,MATCH(F1211,Diccionario!$C:$C,0)),"")</f>
        <v/>
      </c>
    </row>
    <row r="1212" ht="14.25" customHeight="1" s="52">
      <c r="A1212" t="inlineStr">
        <is>
          <t>2026-05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cartera_vencida_cliente</t>
        </is>
      </c>
      <c r="H1212" t="inlineStr">
        <is>
          <t>Cohan</t>
        </is>
      </c>
      <c r="I1212" t="n">
        <v>11</v>
      </c>
      <c r="J1212" t="inlineStr">
        <is>
          <t>%</t>
        </is>
      </c>
      <c r="L1212">
        <f>IFERROR(INDEX(Diccionario!$B:$B,MATCH(F1212,Diccionario!$C:$C,0)),"")</f>
        <v/>
      </c>
      <c r="M1212">
        <f>IFERROR(INDEX(Diccionario!$H:$H,MATCH(F1212,Diccionario!$C:$C,0)),"")</f>
        <v/>
      </c>
      <c r="N1212">
        <f>IFERROR(INDEX(Diccionario!$N:$N,MATCH(F1212,Diccionario!$C:$C,0)),"")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cartera_vencida_cliente</t>
        </is>
      </c>
      <c r="H1213" t="inlineStr">
        <is>
          <t>Caguan</t>
        </is>
      </c>
      <c r="I1213" t="n">
        <v>7</v>
      </c>
      <c r="J1213" t="inlineStr">
        <is>
          <t>%</t>
        </is>
      </c>
      <c r="L1213">
        <f>IFERROR(INDEX(Diccionario!$B:$B,MATCH(F1213,Diccionario!$C:$C,0)),"")</f>
        <v/>
      </c>
      <c r="M1213">
        <f>IFERROR(INDEX(Diccionario!$H:$H,MATCH(F1213,Diccionario!$C:$C,0)),"")</f>
        <v/>
      </c>
      <c r="N1213">
        <f>IFERROR(INDEX(Diccionario!$N:$N,MATCH(F1213,Diccionario!$C:$C,0)),"")</f>
        <v/>
      </c>
    </row>
    <row r="1214" ht="14.25" customHeight="1" s="52">
      <c r="A1214" t="inlineStr">
        <is>
          <t>2026-05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cartera_vencida_cliente</t>
        </is>
      </c>
      <c r="H1214" t="inlineStr">
        <is>
          <t>Icor</t>
        </is>
      </c>
      <c r="I1214" t="n">
        <v>5</v>
      </c>
      <c r="J1214" t="inlineStr">
        <is>
          <t>%</t>
        </is>
      </c>
      <c r="L1214">
        <f>IFERROR(INDEX(Diccionario!$B:$B,MATCH(F1214,Diccionario!$C:$C,0)),"")</f>
        <v/>
      </c>
      <c r="M1214">
        <f>IFERROR(INDEX(Diccionario!$H:$H,MATCH(F1214,Diccionario!$C:$C,0)),"")</f>
        <v/>
      </c>
      <c r="N1214">
        <f>IFERROR(INDEX(Diccionario!$N:$N,MATCH(F1214,Diccionario!$C:$C,0)),"")</f>
        <v/>
      </c>
    </row>
    <row r="1215" ht="14.25" customHeight="1" s="52">
      <c r="A1215" t="inlineStr">
        <is>
          <t>2026-05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cartera_vencida_cliente</t>
        </is>
      </c>
      <c r="H1215" t="inlineStr">
        <is>
          <t>Ceminsa</t>
        </is>
      </c>
      <c r="I1215" t="n">
        <v>6</v>
      </c>
      <c r="J1215" t="inlineStr">
        <is>
          <t>%</t>
        </is>
      </c>
      <c r="L1215">
        <f>IFERROR(INDEX(Diccionario!$B:$B,MATCH(F1215,Diccionario!$C:$C,0)),"")</f>
        <v/>
      </c>
      <c r="M1215">
        <f>IFERROR(INDEX(Diccionario!$H:$H,MATCH(F1215,Diccionario!$C:$C,0)),"")</f>
        <v/>
      </c>
      <c r="N1215">
        <f>IFERROR(INDEX(Diccionario!$N:$N,MATCH(F1215,Diccionario!$C:$C,0)),"")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cartera_vencida_cliente</t>
        </is>
      </c>
      <c r="H1216" t="inlineStr">
        <is>
          <t>HUS</t>
        </is>
      </c>
      <c r="I1216" t="n">
        <v>4</v>
      </c>
      <c r="J1216" t="inlineStr">
        <is>
          <t>%</t>
        </is>
      </c>
      <c r="L1216">
        <f>IFERROR(INDEX(Diccionario!$B:$B,MATCH(F1216,Diccionario!$C:$C,0)),"")</f>
        <v/>
      </c>
      <c r="M1216">
        <f>IFERROR(INDEX(Diccionario!$H:$H,MATCH(F1216,Diccionario!$C:$C,0)),"")</f>
        <v/>
      </c>
      <c r="N1216">
        <f>IFERROR(INDEX(Diccionario!$N:$N,MATCH(F1216,Diccionario!$C:$C,0)),"")</f>
        <v/>
      </c>
    </row>
    <row r="1217" ht="14.25" customHeight="1" s="52">
      <c r="A1217" t="inlineStr">
        <is>
          <t>2026-05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cartera_vencida_cliente</t>
        </is>
      </c>
      <c r="H1217" t="inlineStr">
        <is>
          <t>La Mesa</t>
        </is>
      </c>
      <c r="I1217" t="n">
        <v>4</v>
      </c>
      <c r="J1217" t="inlineStr">
        <is>
          <t>%</t>
        </is>
      </c>
      <c r="L1217">
        <f>IFERROR(INDEX(Diccionario!$B:$B,MATCH(F1217,Diccionario!$C:$C,0)),"")</f>
        <v/>
      </c>
      <c r="M1217">
        <f>IFERROR(INDEX(Diccionario!$H:$H,MATCH(F1217,Diccionario!$C:$C,0)),"")</f>
        <v/>
      </c>
      <c r="N1217">
        <f>IFERROR(INDEX(Diccionario!$N:$N,MATCH(F1217,Diccionario!$C:$C,0)),"")</f>
        <v/>
      </c>
    </row>
    <row r="1218" ht="14.25" customHeight="1" s="52">
      <c r="A1218" t="inlineStr">
        <is>
          <t>2026-05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cartera_vencida_cliente</t>
        </is>
      </c>
      <c r="H1218" t="inlineStr">
        <is>
          <t>Ciegos y Sordos</t>
        </is>
      </c>
      <c r="I1218" t="n">
        <v>4</v>
      </c>
      <c r="J1218" t="inlineStr">
        <is>
          <t>%</t>
        </is>
      </c>
      <c r="L1218">
        <f>IFERROR(INDEX(Diccionario!$B:$B,MATCH(F1218,Diccionario!$C:$C,0)),"")</f>
        <v/>
      </c>
      <c r="M1218">
        <f>IFERROR(INDEX(Diccionario!$H:$H,MATCH(F1218,Diccionario!$C:$C,0)),"")</f>
        <v/>
      </c>
      <c r="N1218">
        <f>IFERROR(INDEX(Diccionario!$N:$N,MATCH(F1218,Diccionario!$C:$C,0)),"")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cartera_vencida_cliente</t>
        </is>
      </c>
      <c r="H1219" t="inlineStr">
        <is>
          <t>Otros</t>
        </is>
      </c>
      <c r="I1219" t="n">
        <v>59</v>
      </c>
      <c r="J1219" t="inlineStr">
        <is>
          <t>%</t>
        </is>
      </c>
      <c r="L1219">
        <f>IFERROR(INDEX(Diccionario!$B:$B,MATCH(F1219,Diccionario!$C:$C,0)),"")</f>
        <v/>
      </c>
      <c r="M1219">
        <f>IFERROR(INDEX(Diccionario!$H:$H,MATCH(F1219,Diccionario!$C:$C,0)),"")</f>
        <v/>
      </c>
      <c r="N1219">
        <f>IFERROR(INDEX(Diccionario!$N:$N,MATCH(F1219,Diccionario!$C:$C,0)),"")</f>
        <v/>
      </c>
    </row>
    <row r="1220" ht="14.25" customHeight="1" s="52">
      <c r="A1220" t="inlineStr">
        <is>
          <t>2023-12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distribucion_ingresos</t>
        </is>
      </c>
      <c r="H1220" t="inlineStr">
        <is>
          <t>Recurrente</t>
        </is>
      </c>
      <c r="I1220" t="n">
        <v>84</v>
      </c>
      <c r="J1220" t="inlineStr">
        <is>
          <t>%</t>
        </is>
      </c>
      <c r="K1220" t="inlineStr">
        <is>
          <t>Año 2023</t>
        </is>
      </c>
      <c r="L1220">
        <f>IFERROR(INDEX(Diccionario!$B:$B,MATCH(F1220,Diccionario!$C:$C,0)),"")</f>
        <v/>
      </c>
      <c r="M1220">
        <f>IFERROR(INDEX(Diccionario!$H:$H,MATCH(F1220,Diccionario!$C:$C,0)),"")</f>
        <v/>
      </c>
      <c r="N1220">
        <f>IFERROR(INDEX(Diccionario!$N:$N,MATCH(F1220,Diccionario!$C:$C,0)),"")</f>
        <v/>
      </c>
    </row>
    <row r="1221" ht="14.25" customHeight="1" s="52">
      <c r="A1221" t="inlineStr">
        <is>
          <t>2025-12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distribucion_ingresos</t>
        </is>
      </c>
      <c r="H1221" t="inlineStr">
        <is>
          <t>Recurrente</t>
        </is>
      </c>
      <c r="I1221" t="n">
        <v>89.90000000000001</v>
      </c>
      <c r="J1221" t="inlineStr">
        <is>
          <t>%</t>
        </is>
      </c>
      <c r="K1221" t="inlineStr">
        <is>
          <t>Año 2025</t>
        </is>
      </c>
      <c r="L1221">
        <f>IFERROR(INDEX(Diccionario!$B:$B,MATCH(F1221,Diccionario!$C:$C,0)),"")</f>
        <v/>
      </c>
      <c r="M1221">
        <f>IFERROR(INDEX(Diccionario!$H:$H,MATCH(F1221,Diccionario!$C:$C,0)),"")</f>
        <v/>
      </c>
      <c r="N1221">
        <f>IFERROR(INDEX(Diccionario!$N:$N,MATCH(F1221,Diccionario!$C:$C,0)),"")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distribucion_ingresos</t>
        </is>
      </c>
      <c r="H1222" t="inlineStr">
        <is>
          <t>Recurrente</t>
        </is>
      </c>
      <c r="I1222" t="n">
        <v>92.90000000000001</v>
      </c>
      <c r="J1222" t="inlineStr">
        <is>
          <t>%</t>
        </is>
      </c>
      <c r="K1222" t="inlineStr">
        <is>
          <t>Año 2026 YTD</t>
        </is>
      </c>
      <c r="L1222">
        <f>IFERROR(INDEX(Diccionario!$B:$B,MATCH(F1222,Diccionario!$C:$C,0)),"")</f>
        <v/>
      </c>
      <c r="M1222">
        <f>IFERROR(INDEX(Diccionario!$H:$H,MATCH(F1222,Diccionario!$C:$C,0)),"")</f>
        <v/>
      </c>
      <c r="N1222">
        <f>IFERROR(INDEX(Diccionario!$N:$N,MATCH(F1222,Diccionario!$C:$C,0)),"")</f>
        <v/>
      </c>
    </row>
    <row r="1223" ht="14.25" customHeight="1" s="52">
      <c r="A1223" t="inlineStr">
        <is>
          <t>2023-12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distribucion_ingresos</t>
        </is>
      </c>
      <c r="H1223" t="inlineStr">
        <is>
          <t>Variable</t>
        </is>
      </c>
      <c r="I1223" t="n">
        <v>16</v>
      </c>
      <c r="J1223" t="inlineStr">
        <is>
          <t>%</t>
        </is>
      </c>
      <c r="K1223" t="inlineStr">
        <is>
          <t>Año 2023</t>
        </is>
      </c>
      <c r="L1223">
        <f>IFERROR(INDEX(Diccionario!$B:$B,MATCH(F1223,Diccionario!$C:$C,0)),"")</f>
        <v/>
      </c>
      <c r="M1223">
        <f>IFERROR(INDEX(Diccionario!$H:$H,MATCH(F1223,Diccionario!$C:$C,0)),"")</f>
        <v/>
      </c>
      <c r="N1223">
        <f>IFERROR(INDEX(Diccionario!$N:$N,MATCH(F1223,Diccionario!$C:$C,0)),"")</f>
        <v/>
      </c>
    </row>
    <row r="1224" ht="14.25" customHeight="1" s="52">
      <c r="A1224" t="inlineStr">
        <is>
          <t>2025-12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distribucion_ingresos</t>
        </is>
      </c>
      <c r="H1224" t="inlineStr">
        <is>
          <t>Variable</t>
        </is>
      </c>
      <c r="I1224" t="n">
        <v>3.1</v>
      </c>
      <c r="J1224" t="inlineStr">
        <is>
          <t>%</t>
        </is>
      </c>
      <c r="K1224" t="inlineStr">
        <is>
          <t>Año 2025</t>
        </is>
      </c>
      <c r="L1224">
        <f>IFERROR(INDEX(Diccionario!$B:$B,MATCH(F1224,Diccionario!$C:$C,0)),"")</f>
        <v/>
      </c>
      <c r="M1224">
        <f>IFERROR(INDEX(Diccionario!$H:$H,MATCH(F1224,Diccionario!$C:$C,0)),"")</f>
        <v/>
      </c>
      <c r="N1224">
        <f>IFERROR(INDEX(Diccionario!$N:$N,MATCH(F1224,Diccionario!$C:$C,0)),"")</f>
        <v/>
      </c>
    </row>
    <row r="1225" ht="14.25" customHeight="1" s="52">
      <c r="A1225" t="inlineStr">
        <is>
          <t>2026-05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distribucion_ingresos</t>
        </is>
      </c>
      <c r="H1225" t="inlineStr">
        <is>
          <t>Variable</t>
        </is>
      </c>
      <c r="I1225" t="n">
        <v>3.3</v>
      </c>
      <c r="J1225" t="inlineStr">
        <is>
          <t>%</t>
        </is>
      </c>
      <c r="K1225" t="inlineStr">
        <is>
          <t>Año 2026 YTD</t>
        </is>
      </c>
      <c r="L1225">
        <f>IFERROR(INDEX(Diccionario!$B:$B,MATCH(F1225,Diccionario!$C:$C,0)),"")</f>
        <v/>
      </c>
      <c r="M1225">
        <f>IFERROR(INDEX(Diccionario!$H:$H,MATCH(F1225,Diccionario!$C:$C,0)),"")</f>
        <v/>
      </c>
      <c r="N1225">
        <f>IFERROR(INDEX(Diccionario!$N:$N,MATCH(F1225,Diccionario!$C:$C,0)),"")</f>
        <v/>
      </c>
    </row>
    <row r="1226" ht="14.25" customHeight="1" s="52">
      <c r="A1226" t="inlineStr">
        <is>
          <t>2023-12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distribucion_ingresos</t>
        </is>
      </c>
      <c r="H1226" t="inlineStr">
        <is>
          <t>Implementaciones</t>
        </is>
      </c>
      <c r="I1226" t="n">
        <v>0</v>
      </c>
      <c r="J1226" t="inlineStr">
        <is>
          <t>%</t>
        </is>
      </c>
      <c r="K1226" t="inlineStr">
        <is>
          <t>Año 2023</t>
        </is>
      </c>
      <c r="L1226">
        <f>IFERROR(INDEX(Diccionario!$B:$B,MATCH(F1226,Diccionario!$C:$C,0)),"")</f>
        <v/>
      </c>
      <c r="M1226">
        <f>IFERROR(INDEX(Diccionario!$H:$H,MATCH(F1226,Diccionario!$C:$C,0)),"")</f>
        <v/>
      </c>
      <c r="N1226">
        <f>IFERROR(INDEX(Diccionario!$N:$N,MATCH(F1226,Diccionario!$C:$C,0)),"")</f>
        <v/>
      </c>
    </row>
    <row r="1227" ht="14.25" customHeight="1" s="52">
      <c r="A1227" t="inlineStr">
        <is>
          <t>2025-12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distribucion_ingresos</t>
        </is>
      </c>
      <c r="H1227" t="inlineStr">
        <is>
          <t>Implementaciones</t>
        </is>
      </c>
      <c r="I1227" t="n">
        <v>4.2</v>
      </c>
      <c r="J1227" t="inlineStr">
        <is>
          <t>%</t>
        </is>
      </c>
      <c r="K1227" t="inlineStr">
        <is>
          <t>Año 2025</t>
        </is>
      </c>
      <c r="L1227">
        <f>IFERROR(INDEX(Diccionario!$B:$B,MATCH(F1227,Diccionario!$C:$C,0)),"")</f>
        <v/>
      </c>
      <c r="M1227">
        <f>IFERROR(INDEX(Diccionario!$H:$H,MATCH(F1227,Diccionario!$C:$C,0)),"")</f>
        <v/>
      </c>
      <c r="N1227">
        <f>IFERROR(INDEX(Diccionario!$N:$N,MATCH(F1227,Diccionario!$C:$C,0)),"")</f>
        <v/>
      </c>
    </row>
    <row r="1228" ht="14.25" customHeight="1" s="52">
      <c r="A1228" t="inlineStr">
        <is>
          <t>2026-05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distribucion_ingresos</t>
        </is>
      </c>
      <c r="H1228" t="inlineStr">
        <is>
          <t>Implementaciones</t>
        </is>
      </c>
      <c r="I1228" t="n">
        <v>0.6</v>
      </c>
      <c r="J1228" t="inlineStr">
        <is>
          <t>%</t>
        </is>
      </c>
      <c r="K1228" t="inlineStr">
        <is>
          <t>Año 2026 YTD</t>
        </is>
      </c>
      <c r="L1228">
        <f>IFERROR(INDEX(Diccionario!$B:$B,MATCH(F1228,Diccionario!$C:$C,0)),"")</f>
        <v/>
      </c>
      <c r="M1228">
        <f>IFERROR(INDEX(Diccionario!$H:$H,MATCH(F1228,Diccionario!$C:$C,0)),"")</f>
        <v/>
      </c>
      <c r="N1228">
        <f>IFERROR(INDEX(Diccionario!$N:$N,MATCH(F1228,Diccionario!$C:$C,0)),"")</f>
        <v/>
      </c>
    </row>
    <row r="1229" ht="14.25" customHeight="1" s="52">
      <c r="A1229" t="inlineStr">
        <is>
          <t>2023-12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distribucion_ingresos</t>
        </is>
      </c>
      <c r="H1229" t="inlineStr">
        <is>
          <t>Internacional</t>
        </is>
      </c>
      <c r="I1229" t="n">
        <v>0</v>
      </c>
      <c r="J1229" t="inlineStr">
        <is>
          <t>%</t>
        </is>
      </c>
      <c r="K1229" t="inlineStr">
        <is>
          <t>Año 2023</t>
        </is>
      </c>
      <c r="L1229">
        <f>IFERROR(INDEX(Diccionario!$B:$B,MATCH(F1229,Diccionario!$C:$C,0)),"")</f>
        <v/>
      </c>
      <c r="M1229">
        <f>IFERROR(INDEX(Diccionario!$H:$H,MATCH(F1229,Diccionario!$C:$C,0)),"")</f>
        <v/>
      </c>
      <c r="N1229">
        <f>IFERROR(INDEX(Diccionario!$N:$N,MATCH(F1229,Diccionario!$C:$C,0)),"")</f>
        <v/>
      </c>
    </row>
    <row r="1230" ht="14.25" customHeight="1" s="52">
      <c r="A1230" t="inlineStr">
        <is>
          <t>2025-12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distribucion_ingresos</t>
        </is>
      </c>
      <c r="H1230" t="inlineStr">
        <is>
          <t>Internacional</t>
        </is>
      </c>
      <c r="I1230" t="n">
        <v>3.1</v>
      </c>
      <c r="J1230" t="inlineStr">
        <is>
          <t>%</t>
        </is>
      </c>
      <c r="K1230" t="inlineStr">
        <is>
          <t>Año 2025</t>
        </is>
      </c>
      <c r="L1230">
        <f>IFERROR(INDEX(Diccionario!$B:$B,MATCH(F1230,Diccionario!$C:$C,0)),"")</f>
        <v/>
      </c>
      <c r="M1230">
        <f>IFERROR(INDEX(Diccionario!$H:$H,MATCH(F1230,Diccionario!$C:$C,0)),"")</f>
        <v/>
      </c>
      <c r="N1230">
        <f>IFERROR(INDEX(Diccionario!$N:$N,MATCH(F1230,Diccionario!$C:$C,0)),"")</f>
        <v/>
      </c>
    </row>
    <row r="1231" ht="14.25" customHeight="1" s="52">
      <c r="A1231" t="inlineStr">
        <is>
          <t>2026-05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distribucion_ingresos</t>
        </is>
      </c>
      <c r="H1231" t="inlineStr">
        <is>
          <t>Internacional</t>
        </is>
      </c>
      <c r="I1231" t="n">
        <v>3.2</v>
      </c>
      <c r="J1231" t="inlineStr">
        <is>
          <t>%</t>
        </is>
      </c>
      <c r="K1231" t="inlineStr">
        <is>
          <t>Año 2026 YTD</t>
        </is>
      </c>
      <c r="L1231">
        <f>IFERROR(INDEX(Diccionario!$B:$B,MATCH(F1231,Diccionario!$C:$C,0)),"")</f>
        <v/>
      </c>
      <c r="M1231">
        <f>IFERROR(INDEX(Diccionario!$H:$H,MATCH(F1231,Diccionario!$C:$C,0)),"")</f>
        <v/>
      </c>
      <c r="N1231">
        <f>IFERROR(INDEX(Diccionario!$N:$N,MATCH(F1231,Diccionario!$C:$C,0)),"")</f>
        <v/>
      </c>
    </row>
    <row r="1232" ht="14.25" customHeight="1" s="52">
      <c r="A1232" t="inlineStr">
        <is>
          <t>2026-05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salario_area_pct</t>
        </is>
      </c>
      <c r="H1232" t="inlineStr">
        <is>
          <t>Desarrollo</t>
        </is>
      </c>
      <c r="I1232" t="n">
        <v>39.05</v>
      </c>
      <c r="J1232" t="inlineStr">
        <is>
          <t>%</t>
        </is>
      </c>
      <c r="L1232">
        <f>IFERROR(INDEX(Diccionario!$B:$B,MATCH(F1232,Diccionario!$C:$C,0)),"")</f>
        <v/>
      </c>
      <c r="M1232">
        <f>IFERROR(INDEX(Diccionario!$H:$H,MATCH(F1232,Diccionario!$C:$C,0)),"")</f>
        <v/>
      </c>
      <c r="N1232">
        <f>IFERROR(INDEX(Diccionario!$N:$N,MATCH(F1232,Diccionario!$C:$C,0)),"")</f>
        <v/>
      </c>
    </row>
    <row r="1233" ht="14.25" customHeight="1" s="52">
      <c r="A1233" t="inlineStr">
        <is>
          <t>2026-05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salario_area_pct</t>
        </is>
      </c>
      <c r="H1233" t="inlineStr">
        <is>
          <t>Operaciones</t>
        </is>
      </c>
      <c r="I1233" t="n">
        <v>22</v>
      </c>
      <c r="J1233" t="inlineStr">
        <is>
          <t>%</t>
        </is>
      </c>
      <c r="L1233">
        <f>IFERROR(INDEX(Diccionario!$B:$B,MATCH(F1233,Diccionario!$C:$C,0)),"")</f>
        <v/>
      </c>
      <c r="M1233">
        <f>IFERROR(INDEX(Diccionario!$H:$H,MATCH(F1233,Diccionario!$C:$C,0)),"")</f>
        <v/>
      </c>
      <c r="N1233">
        <f>IFERROR(INDEX(Diccionario!$N:$N,MATCH(F1233,Diccionario!$C:$C,0)),"")</f>
        <v/>
      </c>
    </row>
    <row r="1234" ht="14.25" customHeight="1" s="52">
      <c r="A1234" t="inlineStr">
        <is>
          <t>2026-05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salario_area_pct</t>
        </is>
      </c>
      <c r="H1234" t="inlineStr">
        <is>
          <t>Comercial</t>
        </is>
      </c>
      <c r="I1234" t="n">
        <v>20.12</v>
      </c>
      <c r="J1234" t="inlineStr">
        <is>
          <t>%</t>
        </is>
      </c>
      <c r="L1234">
        <f>IFERROR(INDEX(Diccionario!$B:$B,MATCH(F1234,Diccionario!$C:$C,0)),"")</f>
        <v/>
      </c>
      <c r="M1234">
        <f>IFERROR(INDEX(Diccionario!$H:$H,MATCH(F1234,Diccionario!$C:$C,0)),"")</f>
        <v/>
      </c>
      <c r="N1234">
        <f>IFERROR(INDEX(Diccionario!$N:$N,MATCH(F1234,Diccionario!$C:$C,0)),"")</f>
        <v/>
      </c>
    </row>
    <row r="1235" ht="14.25" customHeight="1" s="52">
      <c r="A1235" t="inlineStr">
        <is>
          <t>2026-05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salario_area_pct</t>
        </is>
      </c>
      <c r="H1235" t="inlineStr">
        <is>
          <t>Administrativo</t>
        </is>
      </c>
      <c r="I1235" t="n">
        <v>18.83</v>
      </c>
      <c r="J1235" t="inlineStr">
        <is>
          <t>%</t>
        </is>
      </c>
      <c r="L1235">
        <f>IFERROR(INDEX(Diccionario!$B:$B,MATCH(F1235,Diccionario!$C:$C,0)),"")</f>
        <v/>
      </c>
      <c r="M1235">
        <f>IFERROR(INDEX(Diccionario!$H:$H,MATCH(F1235,Diccionario!$C:$C,0)),"")</f>
        <v/>
      </c>
      <c r="N1235">
        <f>IFERROR(INDEX(Diccionario!$N:$N,MATCH(F1235,Diccionario!$C:$C,0)),"")</f>
        <v/>
      </c>
    </row>
    <row r="1236" ht="14.25" customHeight="1" s="52">
      <c r="A1236" t="inlineStr">
        <is>
          <t>2025-01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233</v>
      </c>
      <c r="J1236" t="inlineStr">
        <is>
          <t>Número</t>
        </is>
      </c>
      <c r="L1236">
        <f>IFERROR(INDEX(Diccionario!$B:$B,MATCH(F1236,Diccionario!$C:$C,0)),"")</f>
        <v/>
      </c>
      <c r="M1236">
        <f>IFERROR(INDEX(Diccionario!$H:$H,MATCH(F1236,Diccionario!$C:$C,0)),"")</f>
        <v/>
      </c>
      <c r="N1236">
        <f>IFERROR(INDEX(Diccionario!$N:$N,MATCH(F1236,Diccionario!$C:$C,0)),"")</f>
        <v/>
      </c>
    </row>
    <row r="1237" ht="14.25" customHeight="1" s="52">
      <c r="A1237" t="inlineStr">
        <is>
          <t>2025-02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191</v>
      </c>
      <c r="J1237" t="inlineStr">
        <is>
          <t>Número</t>
        </is>
      </c>
      <c r="L1237">
        <f>IFERROR(INDEX(Diccionario!$B:$B,MATCH(F1237,Diccionario!$C:$C,0)),"")</f>
        <v/>
      </c>
      <c r="M1237">
        <f>IFERROR(INDEX(Diccionario!$H:$H,MATCH(F1237,Diccionario!$C:$C,0)),"")</f>
        <v/>
      </c>
      <c r="N1237">
        <f>IFERROR(INDEX(Diccionario!$N:$N,MATCH(F1237,Diccionario!$C:$C,0)),"")</f>
        <v/>
      </c>
    </row>
    <row r="1238" ht="14.25" customHeight="1" s="52">
      <c r="A1238" t="inlineStr">
        <is>
          <t>2025-03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117</v>
      </c>
      <c r="J1238" t="inlineStr">
        <is>
          <t>Número</t>
        </is>
      </c>
      <c r="L1238">
        <f>IFERROR(INDEX(Diccionario!$B:$B,MATCH(F1238,Diccionario!$C:$C,0)),"")</f>
        <v/>
      </c>
      <c r="M1238">
        <f>IFERROR(INDEX(Diccionario!$H:$H,MATCH(F1238,Diccionario!$C:$C,0)),"")</f>
        <v/>
      </c>
      <c r="N1238">
        <f>IFERROR(INDEX(Diccionario!$N:$N,MATCH(F1238,Diccionario!$C:$C,0)),"")</f>
        <v/>
      </c>
    </row>
    <row r="1239" ht="14.25" customHeight="1" s="52">
      <c r="A1239" t="inlineStr">
        <is>
          <t>2025-04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119</v>
      </c>
      <c r="J1239" t="inlineStr">
        <is>
          <t>Número</t>
        </is>
      </c>
      <c r="L1239">
        <f>IFERROR(INDEX(Diccionario!$B:$B,MATCH(F1239,Diccionario!$C:$C,0)),"")</f>
        <v/>
      </c>
      <c r="M1239">
        <f>IFERROR(INDEX(Diccionario!$H:$H,MATCH(F1239,Diccionario!$C:$C,0)),"")</f>
        <v/>
      </c>
      <c r="N1239">
        <f>IFERROR(INDEX(Diccionario!$N:$N,MATCH(F1239,Diccionario!$C:$C,0)),"")</f>
        <v/>
      </c>
    </row>
    <row r="1240" ht="14.25" customHeight="1" s="52">
      <c r="A1240" t="inlineStr">
        <is>
          <t>2025-05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172</v>
      </c>
      <c r="J1240" t="inlineStr">
        <is>
          <t>Número</t>
        </is>
      </c>
      <c r="L1240">
        <f>IFERROR(INDEX(Diccionario!$B:$B,MATCH(F1240,Diccionario!$C:$C,0)),"")</f>
        <v/>
      </c>
      <c r="M1240">
        <f>IFERROR(INDEX(Diccionario!$H:$H,MATCH(F1240,Diccionario!$C:$C,0)),"")</f>
        <v/>
      </c>
      <c r="N1240">
        <f>IFERROR(INDEX(Diccionario!$N:$N,MATCH(F1240,Diccionario!$C:$C,0)),"")</f>
        <v/>
      </c>
    </row>
    <row r="1241" ht="14.25" customHeight="1" s="52">
      <c r="A1241" t="inlineStr">
        <is>
          <t>2025-06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238</v>
      </c>
      <c r="J1241" t="inlineStr">
        <is>
          <t>Número</t>
        </is>
      </c>
      <c r="L1241">
        <f>IFERROR(INDEX(Diccionario!$B:$B,MATCH(F1241,Diccionario!$C:$C,0)),"")</f>
        <v/>
      </c>
      <c r="M1241">
        <f>IFERROR(INDEX(Diccionario!$H:$H,MATCH(F1241,Diccionario!$C:$C,0)),"")</f>
        <v/>
      </c>
      <c r="N1241">
        <f>IFERROR(INDEX(Diccionario!$N:$N,MATCH(F1241,Diccionario!$C:$C,0)),"")</f>
        <v/>
      </c>
    </row>
    <row r="1242" ht="14.25" customHeight="1" s="52">
      <c r="A1242" t="inlineStr">
        <is>
          <t>2025-07</t>
        </is>
      </c>
      <c r="B1242" t="inlineStr">
        <is>
          <t>Colombia</t>
        </is>
      </c>
      <c r="C1242" t="inlineStr">
        <is>
          <t>Coco Colombia</t>
        </is>
      </c>
      <c r="E1242" t="inlineStr">
        <is>
          <t>Real</t>
        </is>
      </c>
      <c r="F1242" t="inlineStr">
        <is>
          <t>leads_generados</t>
        </is>
      </c>
      <c r="H1242" t="inlineStr">
        <is>
          <t>Mercadeo</t>
        </is>
      </c>
      <c r="I1242" t="n">
        <v>230</v>
      </c>
      <c r="J1242" t="inlineStr">
        <is>
          <t>Número</t>
        </is>
      </c>
      <c r="L1242">
        <f>IFERROR(INDEX(Diccionario!$B:$B,MATCH(F1242,Diccionario!$C:$C,0)),"")</f>
        <v/>
      </c>
      <c r="M1242">
        <f>IFERROR(INDEX(Diccionario!$H:$H,MATCH(F1242,Diccionario!$C:$C,0)),"")</f>
        <v/>
      </c>
      <c r="N1242">
        <f>IFERROR(INDEX(Diccionario!$N:$N,MATCH(F1242,Diccionario!$C:$C,0)),"")</f>
        <v/>
      </c>
    </row>
    <row r="1243" ht="14.25" customHeight="1" s="52">
      <c r="A1243" t="inlineStr">
        <is>
          <t>2025-08</t>
        </is>
      </c>
      <c r="B1243" t="inlineStr">
        <is>
          <t>Colombia</t>
        </is>
      </c>
      <c r="C1243" t="inlineStr">
        <is>
          <t>Coco Colombia</t>
        </is>
      </c>
      <c r="E1243" t="inlineStr">
        <is>
          <t>Real</t>
        </is>
      </c>
      <c r="F1243" t="inlineStr">
        <is>
          <t>leads_generados</t>
        </is>
      </c>
      <c r="H1243" t="inlineStr">
        <is>
          <t>Mercadeo</t>
        </is>
      </c>
      <c r="I1243" t="n">
        <v>413</v>
      </c>
      <c r="J1243" t="inlineStr">
        <is>
          <t>Número</t>
        </is>
      </c>
      <c r="L1243">
        <f>IFERROR(INDEX(Diccionario!$B:$B,MATCH(F1243,Diccionario!$C:$C,0)),"")</f>
        <v/>
      </c>
      <c r="M1243">
        <f>IFERROR(INDEX(Diccionario!$H:$H,MATCH(F1243,Diccionario!$C:$C,0)),"")</f>
        <v/>
      </c>
      <c r="N1243">
        <f>IFERROR(INDEX(Diccionario!$N:$N,MATCH(F1243,Diccionario!$C:$C,0)),"")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E1244" t="inlineStr">
        <is>
          <t>Real</t>
        </is>
      </c>
      <c r="F1244" t="inlineStr">
        <is>
          <t>leads_generados</t>
        </is>
      </c>
      <c r="H1244" t="inlineStr">
        <is>
          <t>Mercadeo</t>
        </is>
      </c>
      <c r="I1244" t="n">
        <v>777</v>
      </c>
      <c r="J1244" t="inlineStr">
        <is>
          <t>Número</t>
        </is>
      </c>
      <c r="L1244">
        <f>IFERROR(INDEX(Diccionario!$B:$B,MATCH(F1244,Diccionario!$C:$C,0)),"")</f>
        <v/>
      </c>
      <c r="M1244">
        <f>IFERROR(INDEX(Diccionario!$H:$H,MATCH(F1244,Diccionario!$C:$C,0)),"")</f>
        <v/>
      </c>
      <c r="N1244">
        <f>IFERROR(INDEX(Diccionario!$N:$N,MATCH(F1244,Diccionario!$C:$C,0)),"")</f>
        <v/>
      </c>
    </row>
    <row r="1245" ht="14.25" customHeight="1" s="52">
      <c r="A1245" t="inlineStr">
        <is>
          <t>2025-10</t>
        </is>
      </c>
      <c r="B1245" t="inlineStr">
        <is>
          <t>Colombia</t>
        </is>
      </c>
      <c r="C1245" t="inlineStr">
        <is>
          <t>Coco Colombia</t>
        </is>
      </c>
      <c r="E1245" t="inlineStr">
        <is>
          <t>Real</t>
        </is>
      </c>
      <c r="F1245" t="inlineStr">
        <is>
          <t>leads_generados</t>
        </is>
      </c>
      <c r="H1245" t="inlineStr">
        <is>
          <t>Mercadeo</t>
        </is>
      </c>
      <c r="I1245" t="n">
        <v>124</v>
      </c>
      <c r="J1245" t="inlineStr">
        <is>
          <t>Número</t>
        </is>
      </c>
      <c r="L1245">
        <f>IFERROR(INDEX(Diccionario!$B:$B,MATCH(F1245,Diccionario!$C:$C,0)),"")</f>
        <v/>
      </c>
      <c r="M1245">
        <f>IFERROR(INDEX(Diccionario!$H:$H,MATCH(F1245,Diccionario!$C:$C,0)),"")</f>
        <v/>
      </c>
      <c r="N1245">
        <f>IFERROR(INDEX(Diccionario!$N:$N,MATCH(F1245,Diccionario!$C:$C,0)),"")</f>
        <v/>
      </c>
    </row>
    <row r="1246" ht="14.25" customHeight="1" s="52">
      <c r="A1246" t="inlineStr">
        <is>
          <t>2025-11</t>
        </is>
      </c>
      <c r="B1246" t="inlineStr">
        <is>
          <t>Colombia</t>
        </is>
      </c>
      <c r="C1246" t="inlineStr">
        <is>
          <t>Coco Colombia</t>
        </is>
      </c>
      <c r="E1246" t="inlineStr">
        <is>
          <t>Real</t>
        </is>
      </c>
      <c r="F1246" t="inlineStr">
        <is>
          <t>leads_generados</t>
        </is>
      </c>
      <c r="H1246" t="inlineStr">
        <is>
          <t>Mercadeo</t>
        </is>
      </c>
      <c r="I1246" t="n">
        <v>114</v>
      </c>
      <c r="J1246" t="inlineStr">
        <is>
          <t>Número</t>
        </is>
      </c>
      <c r="L1246">
        <f>IFERROR(INDEX(Diccionario!$B:$B,MATCH(F1246,Diccionario!$C:$C,0)),"")</f>
        <v/>
      </c>
      <c r="M1246">
        <f>IFERROR(INDEX(Diccionario!$H:$H,MATCH(F1246,Diccionario!$C:$C,0)),"")</f>
        <v/>
      </c>
      <c r="N1246">
        <f>IFERROR(INDEX(Diccionario!$N:$N,MATCH(F1246,Diccionario!$C:$C,0)),"")</f>
        <v/>
      </c>
    </row>
    <row r="1247" ht="14.25" customHeight="1" s="52">
      <c r="A1247" t="inlineStr">
        <is>
          <t>2025-12</t>
        </is>
      </c>
      <c r="B1247" t="inlineStr">
        <is>
          <t>Colombia</t>
        </is>
      </c>
      <c r="C1247" t="inlineStr">
        <is>
          <t>Coco Colombia</t>
        </is>
      </c>
      <c r="E1247" t="inlineStr">
        <is>
          <t>Real</t>
        </is>
      </c>
      <c r="F1247" t="inlineStr">
        <is>
          <t>leads_generados</t>
        </is>
      </c>
      <c r="H1247" t="inlineStr">
        <is>
          <t>Mercadeo</t>
        </is>
      </c>
      <c r="I1247" t="n">
        <v>514</v>
      </c>
      <c r="J1247" t="inlineStr">
        <is>
          <t>Número</t>
        </is>
      </c>
      <c r="L1247">
        <f>IFERROR(INDEX(Diccionario!$B:$B,MATCH(F1247,Diccionario!$C:$C,0)),"")</f>
        <v/>
      </c>
      <c r="M1247">
        <f>IFERROR(INDEX(Diccionario!$H:$H,MATCH(F1247,Diccionario!$C:$C,0)),"")</f>
        <v/>
      </c>
      <c r="N1247">
        <f>IFERROR(INDEX(Diccionario!$N:$N,MATCH(F1247,Diccionario!$C:$C,0)),"")</f>
        <v/>
      </c>
    </row>
    <row r="1248" ht="14.25" customHeight="1" s="52">
      <c r="A1248" t="inlineStr">
        <is>
          <t>2026-01</t>
        </is>
      </c>
      <c r="B1248" t="inlineStr">
        <is>
          <t>Colombia</t>
        </is>
      </c>
      <c r="C1248" t="inlineStr">
        <is>
          <t>Coco Colombia</t>
        </is>
      </c>
      <c r="E1248" t="inlineStr">
        <is>
          <t>Real</t>
        </is>
      </c>
      <c r="F1248" t="inlineStr">
        <is>
          <t>leads_generados</t>
        </is>
      </c>
      <c r="H1248" t="inlineStr">
        <is>
          <t>Mercadeo</t>
        </is>
      </c>
      <c r="I1248" t="n">
        <v>237</v>
      </c>
      <c r="J1248" t="inlineStr">
        <is>
          <t>Número</t>
        </is>
      </c>
      <c r="L1248">
        <f>IFERROR(INDEX(Diccionario!$B:$B,MATCH(F1248,Diccionario!$C:$C,0)),"")</f>
        <v/>
      </c>
      <c r="M1248">
        <f>IFERROR(INDEX(Diccionario!$H:$H,MATCH(F1248,Diccionario!$C:$C,0)),"")</f>
        <v/>
      </c>
      <c r="N1248">
        <f>IFERROR(INDEX(Diccionario!$N:$N,MATCH(F1248,Diccionario!$C:$C,0)),"")</f>
        <v/>
      </c>
    </row>
    <row r="1249" ht="14.25" customHeight="1" s="52">
      <c r="A1249" t="inlineStr">
        <is>
          <t>2026-02</t>
        </is>
      </c>
      <c r="B1249" t="inlineStr">
        <is>
          <t>Colombia</t>
        </is>
      </c>
      <c r="C1249" t="inlineStr">
        <is>
          <t>Coco Colombia</t>
        </is>
      </c>
      <c r="E1249" t="inlineStr">
        <is>
          <t>Real</t>
        </is>
      </c>
      <c r="F1249" t="inlineStr">
        <is>
          <t>leads_generados</t>
        </is>
      </c>
      <c r="H1249" t="inlineStr">
        <is>
          <t>Mercadeo</t>
        </is>
      </c>
      <c r="I1249" t="n">
        <v>359</v>
      </c>
      <c r="J1249" t="inlineStr">
        <is>
          <t>Número</t>
        </is>
      </c>
      <c r="L1249">
        <f>IFERROR(INDEX(Diccionario!$B:$B,MATCH(F1249,Diccionario!$C:$C,0)),"")</f>
        <v/>
      </c>
      <c r="M1249">
        <f>IFERROR(INDEX(Diccionario!$H:$H,MATCH(F1249,Diccionario!$C:$C,0)),"")</f>
        <v/>
      </c>
      <c r="N1249">
        <f>IFERROR(INDEX(Diccionario!$N:$N,MATCH(F1249,Diccionario!$C:$C,0)),"")</f>
        <v/>
      </c>
    </row>
    <row r="1250" ht="14.25" customHeight="1" s="52">
      <c r="A1250" t="inlineStr">
        <is>
          <t>2026-03</t>
        </is>
      </c>
      <c r="B1250" t="inlineStr">
        <is>
          <t>Colombia</t>
        </is>
      </c>
      <c r="C1250" t="inlineStr">
        <is>
          <t>Coco Colombia</t>
        </is>
      </c>
      <c r="E1250" t="inlineStr">
        <is>
          <t>Real</t>
        </is>
      </c>
      <c r="F1250" t="inlineStr">
        <is>
          <t>leads_generados</t>
        </is>
      </c>
      <c r="H1250" t="inlineStr">
        <is>
          <t>Mercadeo</t>
        </is>
      </c>
      <c r="I1250" t="n">
        <v>294</v>
      </c>
      <c r="J1250" t="inlineStr">
        <is>
          <t>Número</t>
        </is>
      </c>
      <c r="L1250">
        <f>IFERROR(INDEX(Diccionario!$B:$B,MATCH(F1250,Diccionario!$C:$C,0)),"")</f>
        <v/>
      </c>
      <c r="M1250">
        <f>IFERROR(INDEX(Diccionario!$H:$H,MATCH(F1250,Diccionario!$C:$C,0)),"")</f>
        <v/>
      </c>
      <c r="N1250">
        <f>IFERROR(INDEX(Diccionario!$N:$N,MATCH(F1250,Diccionario!$C:$C,0)),"")</f>
        <v/>
      </c>
    </row>
    <row r="1251" ht="14.25" customHeight="1" s="52">
      <c r="A1251" t="inlineStr">
        <is>
          <t>2026-04</t>
        </is>
      </c>
      <c r="B1251" t="inlineStr">
        <is>
          <t>Colombia</t>
        </is>
      </c>
      <c r="C1251" t="inlineStr">
        <is>
          <t>Coco Colombia</t>
        </is>
      </c>
      <c r="E1251" t="inlineStr">
        <is>
          <t>Real</t>
        </is>
      </c>
      <c r="F1251" t="inlineStr">
        <is>
          <t>leads_generados</t>
        </is>
      </c>
      <c r="H1251" t="inlineStr">
        <is>
          <t>Mercadeo</t>
        </is>
      </c>
      <c r="I1251" t="n">
        <v>156</v>
      </c>
      <c r="J1251" t="inlineStr">
        <is>
          <t>Número</t>
        </is>
      </c>
      <c r="L1251">
        <f>IFERROR(INDEX(Diccionario!$B:$B,MATCH(F1251,Diccionario!$C:$C,0)),"")</f>
        <v/>
      </c>
      <c r="M1251">
        <f>IFERROR(INDEX(Diccionario!$H:$H,MATCH(F1251,Diccionario!$C:$C,0)),"")</f>
        <v/>
      </c>
      <c r="N1251">
        <f>IFERROR(INDEX(Diccionario!$N:$N,MATCH(F1251,Diccionario!$C:$C,0)),"")</f>
        <v/>
      </c>
    </row>
    <row r="1252" ht="14.25" customHeight="1" s="52">
      <c r="A1252" t="inlineStr">
        <is>
          <t>2026-05</t>
        </is>
      </c>
      <c r="B1252" t="inlineStr">
        <is>
          <t>Colombia</t>
        </is>
      </c>
      <c r="C1252" t="inlineStr">
        <is>
          <t>Coco Colombia</t>
        </is>
      </c>
      <c r="E1252" t="inlineStr">
        <is>
          <t>Real</t>
        </is>
      </c>
      <c r="F1252" t="inlineStr">
        <is>
          <t>leads_generados</t>
        </is>
      </c>
      <c r="H1252" t="inlineStr">
        <is>
          <t>Mercadeo</t>
        </is>
      </c>
      <c r="I1252" t="n">
        <v>211</v>
      </c>
      <c r="J1252" t="inlineStr">
        <is>
          <t>Número</t>
        </is>
      </c>
      <c r="L1252">
        <f>IFERROR(INDEX(Diccionario!$B:$B,MATCH(F1252,Diccionario!$C:$C,0)),"")</f>
        <v/>
      </c>
      <c r="M1252">
        <f>IFERROR(INDEX(Diccionario!$H:$H,MATCH(F1252,Diccionario!$C:$C,0)),"")</f>
        <v/>
      </c>
      <c r="N1252">
        <f>IFERROR(INDEX(Diccionario!$N:$N,MATCH(F1252,Diccionario!$C:$C,0)),"")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E1253" t="inlineStr">
        <is>
          <t>Real</t>
        </is>
      </c>
      <c r="F1253" t="inlineStr">
        <is>
          <t>leads_generados</t>
        </is>
      </c>
      <c r="H1253" t="inlineStr">
        <is>
          <t>Mercadeo</t>
        </is>
      </c>
      <c r="I1253" t="n">
        <v>20</v>
      </c>
      <c r="J1253" t="inlineStr">
        <is>
          <t>Número</t>
        </is>
      </c>
      <c r="L1253">
        <f>IFERROR(INDEX(Diccionario!$B:$B,MATCH(F1253,Diccionario!$C:$C,0)),"")</f>
        <v/>
      </c>
      <c r="M1253">
        <f>IFERROR(INDEX(Diccionario!$H:$H,MATCH(F1253,Diccionario!$C:$C,0)),"")</f>
        <v/>
      </c>
      <c r="N1253">
        <f>IFERROR(INDEX(Diccionario!$N:$N,MATCH(F1253,Diccionario!$C:$C,0)),"")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gasto_marketing_total</t>
        </is>
      </c>
      <c r="H1254" t="inlineStr">
        <is>
          <t>Mercadeo</t>
        </is>
      </c>
      <c r="I1254" t="n">
        <v>149675351</v>
      </c>
      <c r="J1254" t="inlineStr">
        <is>
          <t>COP</t>
        </is>
      </c>
      <c r="K1254" t="inlineStr">
        <is>
          <t>Q1-2025 (pauta mercadeo)</t>
        </is>
      </c>
      <c r="L1254">
        <f>IFERROR(INDEX(Diccionario!$B:$B,MATCH(F1254,Diccionario!$C:$C,0)),"")</f>
        <v/>
      </c>
      <c r="M1254">
        <f>IFERROR(INDEX(Diccionario!$H:$H,MATCH(F1254,Diccionario!$C:$C,0)),"")</f>
        <v/>
      </c>
      <c r="N1254">
        <f>IFERROR(INDEX(Diccionario!$N:$N,MATCH(F1254,Diccionario!$C:$C,0)),"")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gasto_marketing_total</t>
        </is>
      </c>
      <c r="H1255" t="inlineStr">
        <is>
          <t>Mercadeo</t>
        </is>
      </c>
      <c r="I1255" t="n">
        <v>186879929</v>
      </c>
      <c r="J1255" t="inlineStr">
        <is>
          <t>COP</t>
        </is>
      </c>
      <c r="K1255" t="inlineStr">
        <is>
          <t>Q2-2025 (pauta mercadeo)</t>
        </is>
      </c>
      <c r="L1255">
        <f>IFERROR(INDEX(Diccionario!$B:$B,MATCH(F1255,Diccionario!$C:$C,0)),"")</f>
        <v/>
      </c>
      <c r="M1255">
        <f>IFERROR(INDEX(Diccionario!$H:$H,MATCH(F1255,Diccionario!$C:$C,0)),"")</f>
        <v/>
      </c>
      <c r="N1255">
        <f>IFERROR(INDEX(Diccionario!$N:$N,MATCH(F1255,Diccionario!$C:$C,0)),"")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gasto_marketing_total</t>
        </is>
      </c>
      <c r="H1256" t="inlineStr">
        <is>
          <t>Mercadeo</t>
        </is>
      </c>
      <c r="I1256" t="n">
        <v>195425338</v>
      </c>
      <c r="J1256" t="inlineStr">
        <is>
          <t>COP</t>
        </is>
      </c>
      <c r="K1256" t="inlineStr">
        <is>
          <t>Q3-2025 (pauta mercadeo)</t>
        </is>
      </c>
      <c r="L1256">
        <f>IFERROR(INDEX(Diccionario!$B:$B,MATCH(F1256,Diccionario!$C:$C,0)),"")</f>
        <v/>
      </c>
      <c r="M1256">
        <f>IFERROR(INDEX(Diccionario!$H:$H,MATCH(F1256,Diccionario!$C:$C,0)),"")</f>
        <v/>
      </c>
      <c r="N1256">
        <f>IFERROR(INDEX(Diccionario!$N:$N,MATCH(F1256,Diccionario!$C:$C,0)),"")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gasto_marketing_total</t>
        </is>
      </c>
      <c r="H1257" t="inlineStr">
        <is>
          <t>Mercadeo</t>
        </is>
      </c>
      <c r="I1257" t="n">
        <v>78267175</v>
      </c>
      <c r="J1257" t="inlineStr">
        <is>
          <t>COP</t>
        </is>
      </c>
      <c r="K1257" t="inlineStr">
        <is>
          <t>Q4-2025 (pauta mercadeo)</t>
        </is>
      </c>
      <c r="L1257">
        <f>IFERROR(INDEX(Diccionario!$B:$B,MATCH(F1257,Diccionario!$C:$C,0)),"")</f>
        <v/>
      </c>
      <c r="M1257">
        <f>IFERROR(INDEX(Diccionario!$H:$H,MATCH(F1257,Diccionario!$C:$C,0)),"")</f>
        <v/>
      </c>
      <c r="N1257">
        <f>IFERROR(INDEX(Diccionario!$N:$N,MATCH(F1257,Diccionario!$C:$C,0)),"")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gasto_marketing_total</t>
        </is>
      </c>
      <c r="H1258" t="inlineStr">
        <is>
          <t>Mercadeo</t>
        </is>
      </c>
      <c r="I1258" t="n">
        <v>80204146</v>
      </c>
      <c r="J1258" t="inlineStr">
        <is>
          <t>COP</t>
        </is>
      </c>
      <c r="K1258" t="inlineStr">
        <is>
          <t>Q1-2026 (pauta mercadeo)</t>
        </is>
      </c>
      <c r="L1258">
        <f>IFERROR(INDEX(Diccionario!$B:$B,MATCH(F1258,Diccionario!$C:$C,0)),"")</f>
        <v/>
      </c>
      <c r="M1258">
        <f>IFERROR(INDEX(Diccionario!$H:$H,MATCH(F1258,Diccionario!$C:$C,0)),"")</f>
        <v/>
      </c>
      <c r="N1258">
        <f>IFERROR(INDEX(Diccionario!$N:$N,MATCH(F1258,Diccionario!$C:$C,0)),"")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gasto_marketing_total</t>
        </is>
      </c>
      <c r="H1259" t="inlineStr">
        <is>
          <t>Mercadeo</t>
        </is>
      </c>
      <c r="I1259" t="n">
        <v>62603918</v>
      </c>
      <c r="J1259" t="inlineStr">
        <is>
          <t>COP</t>
        </is>
      </c>
      <c r="K1259" t="inlineStr">
        <is>
          <t>Q2-2026 (pauta mercadeo)</t>
        </is>
      </c>
      <c r="L1259">
        <f>IFERROR(INDEX(Diccionario!$B:$B,MATCH(F1259,Diccionario!$C:$C,0)),"")</f>
        <v/>
      </c>
      <c r="M1259">
        <f>IFERROR(INDEX(Diccionario!$H:$H,MATCH(F1259,Diccionario!$C:$C,0)),"")</f>
        <v/>
      </c>
      <c r="N1259">
        <f>IFERROR(INDEX(Diccionario!$N:$N,MATCH(F1259,Diccionario!$C:$C,0)),"")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D1260" t="inlineStr">
        <is>
          <t>COP</t>
        </is>
      </c>
      <c r="E1260" t="inlineStr">
        <is>
          <t>Real</t>
        </is>
      </c>
      <c r="F1260" t="inlineStr">
        <is>
          <t>cac_fully_loaded</t>
        </is>
      </c>
      <c r="H1260" t="inlineStr">
        <is>
          <t>Mercadeo</t>
        </is>
      </c>
      <c r="I1260" t="n">
        <v>53536660.29</v>
      </c>
      <c r="J1260" t="inlineStr">
        <is>
          <t>COP</t>
        </is>
      </c>
      <c r="K1260" t="inlineStr">
        <is>
          <t>Q1-2025</t>
        </is>
      </c>
      <c r="L1260">
        <f>IFERROR(INDEX(Diccionario!$B:$B,MATCH(F1260,Diccionario!$C:$C,0)),"")</f>
        <v/>
      </c>
      <c r="M1260">
        <f>IFERROR(INDEX(Diccionario!$H:$H,MATCH(F1260,Diccionario!$C:$C,0)),"")</f>
        <v/>
      </c>
      <c r="N1260">
        <f>IFERROR(INDEX(Diccionario!$N:$N,MATCH(F1260,Diccionario!$C:$C,0)),"")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D1261" t="inlineStr">
        <is>
          <t>COP</t>
        </is>
      </c>
      <c r="E1261" t="inlineStr">
        <is>
          <t>Real</t>
        </is>
      </c>
      <c r="F1261" t="inlineStr">
        <is>
          <t>cac_fully_loaded</t>
        </is>
      </c>
      <c r="H1261" t="inlineStr">
        <is>
          <t>Mercadeo</t>
        </is>
      </c>
      <c r="I1261" t="n">
        <v>50289915.59</v>
      </c>
      <c r="J1261" t="inlineStr">
        <is>
          <t>COP</t>
        </is>
      </c>
      <c r="K1261" t="inlineStr">
        <is>
          <t>Q2-2025</t>
        </is>
      </c>
      <c r="L1261">
        <f>IFERROR(INDEX(Diccionario!$B:$B,MATCH(F1261,Diccionario!$C:$C,0)),"")</f>
        <v/>
      </c>
      <c r="M1261">
        <f>IFERROR(INDEX(Diccionario!$H:$H,MATCH(F1261,Diccionario!$C:$C,0)),"")</f>
        <v/>
      </c>
      <c r="N1261">
        <f>IFERROR(INDEX(Diccionario!$N:$N,MATCH(F1261,Diccionario!$C:$C,0)),"")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D1262" t="inlineStr">
        <is>
          <t>COP</t>
        </is>
      </c>
      <c r="E1262" t="inlineStr">
        <is>
          <t>Real</t>
        </is>
      </c>
      <c r="F1262" t="inlineStr">
        <is>
          <t>cac_fully_loaded</t>
        </is>
      </c>
      <c r="H1262" t="inlineStr">
        <is>
          <t>Mercadeo</t>
        </is>
      </c>
      <c r="I1262" t="n">
        <v>34710372</v>
      </c>
      <c r="J1262" t="inlineStr">
        <is>
          <t>COP</t>
        </is>
      </c>
      <c r="K1262" t="inlineStr">
        <is>
          <t>Q3-2025</t>
        </is>
      </c>
      <c r="L1262">
        <f>IFERROR(INDEX(Diccionario!$B:$B,MATCH(F1262,Diccionario!$C:$C,0)),"")</f>
        <v/>
      </c>
      <c r="M1262">
        <f>IFERROR(INDEX(Diccionario!$H:$H,MATCH(F1262,Diccionario!$C:$C,0)),"")</f>
        <v/>
      </c>
      <c r="N1262">
        <f>IFERROR(INDEX(Diccionario!$N:$N,MATCH(F1262,Diccionario!$C:$C,0)),"")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D1263" t="inlineStr">
        <is>
          <t>COP</t>
        </is>
      </c>
      <c r="E1263" t="inlineStr">
        <is>
          <t>Real</t>
        </is>
      </c>
      <c r="F1263" t="inlineStr">
        <is>
          <t>cac_fully_loaded</t>
        </is>
      </c>
      <c r="H1263" t="inlineStr">
        <is>
          <t>Mercadeo</t>
        </is>
      </c>
      <c r="I1263" t="n">
        <v>42374152.85</v>
      </c>
      <c r="J1263" t="inlineStr">
        <is>
          <t>COP</t>
        </is>
      </c>
      <c r="K1263" t="inlineStr">
        <is>
          <t>Q4-2025</t>
        </is>
      </c>
      <c r="L1263">
        <f>IFERROR(INDEX(Diccionario!$B:$B,MATCH(F1263,Diccionario!$C:$C,0)),"")</f>
        <v/>
      </c>
      <c r="M1263">
        <f>IFERROR(INDEX(Diccionario!$H:$H,MATCH(F1263,Diccionario!$C:$C,0)),"")</f>
        <v/>
      </c>
      <c r="N1263">
        <f>IFERROR(INDEX(Diccionario!$N:$N,MATCH(F1263,Diccionario!$C:$C,0)),"")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D1264" t="inlineStr">
        <is>
          <t>COP</t>
        </is>
      </c>
      <c r="E1264" t="inlineStr">
        <is>
          <t>Real</t>
        </is>
      </c>
      <c r="F1264" t="inlineStr">
        <is>
          <t>cac_fully_loaded</t>
        </is>
      </c>
      <c r="H1264" t="inlineStr">
        <is>
          <t>Mercadeo</t>
        </is>
      </c>
      <c r="I1264" t="n">
        <v>117722903.69</v>
      </c>
      <c r="J1264" t="inlineStr">
        <is>
          <t>COP</t>
        </is>
      </c>
      <c r="K1264" t="inlineStr">
        <is>
          <t>Q1-2026</t>
        </is>
      </c>
      <c r="L1264">
        <f>IFERROR(INDEX(Diccionario!$B:$B,MATCH(F1264,Diccionario!$C:$C,0)),"")</f>
        <v/>
      </c>
      <c r="M1264">
        <f>IFERROR(INDEX(Diccionario!$H:$H,MATCH(F1264,Diccionario!$C:$C,0)),"")</f>
        <v/>
      </c>
      <c r="N1264">
        <f>IFERROR(INDEX(Diccionario!$N:$N,MATCH(F1264,Diccionario!$C:$C,0)),"")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D1265" t="inlineStr">
        <is>
          <t>COP</t>
        </is>
      </c>
      <c r="E1265" t="inlineStr">
        <is>
          <t>Real</t>
        </is>
      </c>
      <c r="F1265" t="inlineStr">
        <is>
          <t>cac_fully_loaded</t>
        </is>
      </c>
      <c r="H1265" t="inlineStr">
        <is>
          <t>Mercadeo</t>
        </is>
      </c>
      <c r="I1265" t="n">
        <v>45216106.91</v>
      </c>
      <c r="J1265" t="inlineStr">
        <is>
          <t>COP</t>
        </is>
      </c>
      <c r="K1265" t="inlineStr">
        <is>
          <t>Q2-2026</t>
        </is>
      </c>
      <c r="L1265">
        <f>IFERROR(INDEX(Diccionario!$B:$B,MATCH(F1265,Diccionario!$C:$C,0)),"")</f>
        <v/>
      </c>
      <c r="M1265">
        <f>IFERROR(INDEX(Diccionario!$H:$H,MATCH(F1265,Diccionario!$C:$C,0)),"")</f>
        <v/>
      </c>
      <c r="N1265">
        <f>IFERROR(INDEX(Diccionario!$N:$N,MATCH(F1265,Diccionario!$C:$C,0)),"")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D1266" t="inlineStr">
        <is>
          <t>COP</t>
        </is>
      </c>
      <c r="E1266" t="inlineStr">
        <is>
          <t>Real</t>
        </is>
      </c>
      <c r="F1266" t="inlineStr">
        <is>
          <t>ltv</t>
        </is>
      </c>
      <c r="H1266" t="inlineStr">
        <is>
          <t>Mercadeo</t>
        </is>
      </c>
      <c r="I1266" t="n">
        <v>294011510</v>
      </c>
      <c r="J1266" t="inlineStr">
        <is>
          <t>COP</t>
        </is>
      </c>
      <c r="K1266" t="inlineStr">
        <is>
          <t>Q1-2025 — sin margen bruto</t>
        </is>
      </c>
      <c r="L1266">
        <f>IFERROR(INDEX(Diccionario!$B:$B,MATCH(F1266,Diccionario!$C:$C,0)),"")</f>
        <v/>
      </c>
      <c r="M1266">
        <f>IFERROR(INDEX(Diccionario!$H:$H,MATCH(F1266,Diccionario!$C:$C,0)),"")</f>
        <v/>
      </c>
      <c r="N1266">
        <f>IFERROR(INDEX(Diccionario!$N:$N,MATCH(F1266,Diccionario!$C:$C,0)),"")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D1267" t="inlineStr">
        <is>
          <t>COP</t>
        </is>
      </c>
      <c r="E1267" t="inlineStr">
        <is>
          <t>Real</t>
        </is>
      </c>
      <c r="F1267" t="inlineStr">
        <is>
          <t>ltv</t>
        </is>
      </c>
      <c r="H1267" t="inlineStr">
        <is>
          <t>Mercadeo</t>
        </is>
      </c>
      <c r="I1267" t="n">
        <v>476285903</v>
      </c>
      <c r="J1267" t="inlineStr">
        <is>
          <t>COP</t>
        </is>
      </c>
      <c r="K1267" t="inlineStr">
        <is>
          <t>Q2-2025 — sin margen bruto</t>
        </is>
      </c>
      <c r="L1267">
        <f>IFERROR(INDEX(Diccionario!$B:$B,MATCH(F1267,Diccionario!$C:$C,0)),"")</f>
        <v/>
      </c>
      <c r="M1267">
        <f>IFERROR(INDEX(Diccionario!$H:$H,MATCH(F1267,Diccionario!$C:$C,0)),"")</f>
        <v/>
      </c>
      <c r="N1267">
        <f>IFERROR(INDEX(Diccionario!$N:$N,MATCH(F1267,Diccionario!$C:$C,0)),"")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D1268" t="inlineStr">
        <is>
          <t>COP</t>
        </is>
      </c>
      <c r="E1268" t="inlineStr">
        <is>
          <t>Real</t>
        </is>
      </c>
      <c r="F1268" t="inlineStr">
        <is>
          <t>ltv</t>
        </is>
      </c>
      <c r="H1268" t="inlineStr">
        <is>
          <t>Mercadeo</t>
        </is>
      </c>
      <c r="I1268" t="n">
        <v>408296920</v>
      </c>
      <c r="J1268" t="inlineStr">
        <is>
          <t>COP</t>
        </is>
      </c>
      <c r="K1268" t="inlineStr">
        <is>
          <t>Q3-2025 — sin margen bruto</t>
        </is>
      </c>
      <c r="L1268">
        <f>IFERROR(INDEX(Diccionario!$B:$B,MATCH(F1268,Diccionario!$C:$C,0)),"")</f>
        <v/>
      </c>
      <c r="M1268">
        <f>IFERROR(INDEX(Diccionario!$H:$H,MATCH(F1268,Diccionario!$C:$C,0)),"")</f>
        <v/>
      </c>
      <c r="N1268">
        <f>IFERROR(INDEX(Diccionario!$N:$N,MATCH(F1268,Diccionario!$C:$C,0)),"")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D1269" t="inlineStr">
        <is>
          <t>COP</t>
        </is>
      </c>
      <c r="E1269" t="inlineStr">
        <is>
          <t>Real</t>
        </is>
      </c>
      <c r="F1269" t="inlineStr">
        <is>
          <t>ltv</t>
        </is>
      </c>
      <c r="H1269" t="inlineStr">
        <is>
          <t>Mercadeo</t>
        </is>
      </c>
      <c r="I1269" t="n">
        <v>359574204</v>
      </c>
      <c r="J1269" t="inlineStr">
        <is>
          <t>COP</t>
        </is>
      </c>
      <c r="K1269" t="inlineStr">
        <is>
          <t>Q4-2025 — sin margen bruto</t>
        </is>
      </c>
      <c r="L1269">
        <f>IFERROR(INDEX(Diccionario!$B:$B,MATCH(F1269,Diccionario!$C:$C,0)),"")</f>
        <v/>
      </c>
      <c r="M1269">
        <f>IFERROR(INDEX(Diccionario!$H:$H,MATCH(F1269,Diccionario!$C:$C,0)),"")</f>
        <v/>
      </c>
      <c r="N1269">
        <f>IFERROR(INDEX(Diccionario!$N:$N,MATCH(F1269,Diccionario!$C:$C,0)),"")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D1270" t="inlineStr">
        <is>
          <t>COP</t>
        </is>
      </c>
      <c r="E1270" t="inlineStr">
        <is>
          <t>Real</t>
        </is>
      </c>
      <c r="F1270" t="inlineStr">
        <is>
          <t>ltv</t>
        </is>
      </c>
      <c r="H1270" t="inlineStr">
        <is>
          <t>Mercadeo</t>
        </is>
      </c>
      <c r="I1270" t="n">
        <v>152508916</v>
      </c>
      <c r="J1270" t="inlineStr">
        <is>
          <t>COP</t>
        </is>
      </c>
      <c r="K1270" t="inlineStr">
        <is>
          <t>Q1-2026 — sin margen bruto</t>
        </is>
      </c>
      <c r="L1270">
        <f>IFERROR(INDEX(Diccionario!$B:$B,MATCH(F1270,Diccionario!$C:$C,0)),"")</f>
        <v/>
      </c>
      <c r="M1270">
        <f>IFERROR(INDEX(Diccionario!$H:$H,MATCH(F1270,Diccionario!$C:$C,0)),"")</f>
        <v/>
      </c>
      <c r="N1270">
        <f>IFERROR(INDEX(Diccionario!$N:$N,MATCH(F1270,Diccionario!$C:$C,0)),"")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D1271" t="inlineStr">
        <is>
          <t>COP</t>
        </is>
      </c>
      <c r="E1271" t="inlineStr">
        <is>
          <t>Real</t>
        </is>
      </c>
      <c r="F1271" t="inlineStr">
        <is>
          <t>ltv</t>
        </is>
      </c>
      <c r="H1271" t="inlineStr">
        <is>
          <t>Mercadeo</t>
        </is>
      </c>
      <c r="I1271" t="n">
        <v>115723005</v>
      </c>
      <c r="J1271" t="inlineStr">
        <is>
          <t>COP</t>
        </is>
      </c>
      <c r="K1271" t="inlineStr">
        <is>
          <t>Q2-2026 — sin margen bruto</t>
        </is>
      </c>
      <c r="L1271">
        <f>IFERROR(INDEX(Diccionario!$B:$B,MATCH(F1271,Diccionario!$C:$C,0)),"")</f>
        <v/>
      </c>
      <c r="M1271">
        <f>IFERROR(INDEX(Diccionario!$H:$H,MATCH(F1271,Diccionario!$C:$C,0)),"")</f>
        <v/>
      </c>
      <c r="N1271">
        <f>IFERROR(INDEX(Diccionario!$N:$N,MATCH(F1271,Diccionario!$C:$C,0)),"")</f>
        <v/>
      </c>
    </row>
    <row r="1272" ht="14.25" customHeight="1" s="52">
      <c r="A1272" t="inlineStr">
        <is>
          <t>2025-03</t>
        </is>
      </c>
      <c r="B1272" t="inlineStr">
        <is>
          <t>Colombia</t>
        </is>
      </c>
      <c r="C1272" t="inlineStr">
        <is>
          <t>Coco Colombia</t>
        </is>
      </c>
      <c r="E1272" t="inlineStr">
        <is>
          <t>Real</t>
        </is>
      </c>
      <c r="F1272" t="inlineStr">
        <is>
          <t>ltv_cac</t>
        </is>
      </c>
      <c r="H1272" t="inlineStr">
        <is>
          <t>Mercadeo</t>
        </is>
      </c>
      <c r="I1272" t="n">
        <v>5</v>
      </c>
      <c r="J1272" t="inlineStr">
        <is>
          <t>Veces</t>
        </is>
      </c>
      <c r="K1272" t="inlineStr">
        <is>
          <t>Q1-2025 — sin margen bruto</t>
        </is>
      </c>
      <c r="L1272">
        <f>IFERROR(INDEX(Diccionario!$B:$B,MATCH(F1272,Diccionario!$C:$C,0)),"")</f>
        <v/>
      </c>
      <c r="M1272">
        <f>IFERROR(INDEX(Diccionario!$H:$H,MATCH(F1272,Diccionario!$C:$C,0)),"")</f>
        <v/>
      </c>
      <c r="N1272">
        <f>IFERROR(INDEX(Diccionario!$N:$N,MATCH(F1272,Diccionario!$C:$C,0)),"")</f>
        <v/>
      </c>
    </row>
    <row r="1273" ht="14.25" customHeight="1" s="52">
      <c r="A1273" t="inlineStr">
        <is>
          <t>2025-06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ltv_cac</t>
        </is>
      </c>
      <c r="H1273" t="inlineStr">
        <is>
          <t>Mercadeo</t>
        </is>
      </c>
      <c r="I1273" t="n">
        <v>9</v>
      </c>
      <c r="J1273" t="inlineStr">
        <is>
          <t>Veces</t>
        </is>
      </c>
      <c r="K1273" t="inlineStr">
        <is>
          <t>Q2-2025 — sin margen bruto</t>
        </is>
      </c>
      <c r="L1273">
        <f>IFERROR(INDEX(Diccionario!$B:$B,MATCH(F1273,Diccionario!$C:$C,0)),"")</f>
        <v/>
      </c>
      <c r="M1273">
        <f>IFERROR(INDEX(Diccionario!$H:$H,MATCH(F1273,Diccionario!$C:$C,0)),"")</f>
        <v/>
      </c>
      <c r="N1273">
        <f>IFERROR(INDEX(Diccionario!$N:$N,MATCH(F1273,Diccionario!$C:$C,0)),"")</f>
        <v/>
      </c>
    </row>
    <row r="1274" ht="14.25" customHeight="1" s="52">
      <c r="A1274" t="inlineStr">
        <is>
          <t>2025-09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Mercadeo</t>
        </is>
      </c>
      <c r="I1274" t="n">
        <v>12</v>
      </c>
      <c r="J1274" t="inlineStr">
        <is>
          <t>Veces</t>
        </is>
      </c>
      <c r="K1274" t="inlineStr">
        <is>
          <t>Q3-2025 — sin margen bruto</t>
        </is>
      </c>
      <c r="L1274">
        <f>IFERROR(INDEX(Diccionario!$B:$B,MATCH(F1274,Diccionario!$C:$C,0)),"")</f>
        <v/>
      </c>
      <c r="M1274">
        <f>IFERROR(INDEX(Diccionario!$H:$H,MATCH(F1274,Diccionario!$C:$C,0)),"")</f>
        <v/>
      </c>
      <c r="N1274">
        <f>IFERROR(INDEX(Diccionario!$N:$N,MATCH(F1274,Diccionario!$C:$C,0)),"")</f>
        <v/>
      </c>
    </row>
    <row r="1275" ht="14.25" customHeight="1" s="52">
      <c r="A1275" t="inlineStr">
        <is>
          <t>2025-12</t>
        </is>
      </c>
      <c r="B1275" t="inlineStr">
        <is>
          <t>Colombia</t>
        </is>
      </c>
      <c r="C1275" t="inlineStr">
        <is>
          <t>Coco Colombia</t>
        </is>
      </c>
      <c r="E1275" t="inlineStr">
        <is>
          <t>Real</t>
        </is>
      </c>
      <c r="F1275" t="inlineStr">
        <is>
          <t>ltv_cac</t>
        </is>
      </c>
      <c r="H1275" t="inlineStr">
        <is>
          <t>Mercadeo</t>
        </is>
      </c>
      <c r="I1275" t="n">
        <v>8</v>
      </c>
      <c r="J1275" t="inlineStr">
        <is>
          <t>Veces</t>
        </is>
      </c>
      <c r="K1275" t="inlineStr">
        <is>
          <t>Q4-2025 — sin margen bruto</t>
        </is>
      </c>
      <c r="L1275">
        <f>IFERROR(INDEX(Diccionario!$B:$B,MATCH(F1275,Diccionario!$C:$C,0)),"")</f>
        <v/>
      </c>
      <c r="M1275">
        <f>IFERROR(INDEX(Diccionario!$H:$H,MATCH(F1275,Diccionario!$C:$C,0)),"")</f>
        <v/>
      </c>
      <c r="N1275">
        <f>IFERROR(INDEX(Diccionario!$N:$N,MATCH(F1275,Diccionario!$C:$C,0)),"")</f>
        <v/>
      </c>
    </row>
    <row r="1276" ht="14.25" customHeight="1" s="52">
      <c r="A1276" t="inlineStr">
        <is>
          <t>2026-03</t>
        </is>
      </c>
      <c r="B1276" t="inlineStr">
        <is>
          <t>Colombia</t>
        </is>
      </c>
      <c r="C1276" t="inlineStr">
        <is>
          <t>Coco Colombia</t>
        </is>
      </c>
      <c r="E1276" t="inlineStr">
        <is>
          <t>Real</t>
        </is>
      </c>
      <c r="F1276" t="inlineStr">
        <is>
          <t>ltv_cac</t>
        </is>
      </c>
      <c r="H1276" t="inlineStr">
        <is>
          <t>Mercadeo</t>
        </is>
      </c>
      <c r="I1276" t="n">
        <v>1.3</v>
      </c>
      <c r="J1276" t="inlineStr">
        <is>
          <t>Veces</t>
        </is>
      </c>
      <c r="K1276" t="inlineStr">
        <is>
          <t>Q1-2026 — sin margen bruto</t>
        </is>
      </c>
      <c r="L1276">
        <f>IFERROR(INDEX(Diccionario!$B:$B,MATCH(F1276,Diccionario!$C:$C,0)),"")</f>
        <v/>
      </c>
      <c r="M1276">
        <f>IFERROR(INDEX(Diccionario!$H:$H,MATCH(F1276,Diccionario!$C:$C,0)),"")</f>
        <v/>
      </c>
      <c r="N1276">
        <f>IFERROR(INDEX(Diccionario!$N:$N,MATCH(F1276,Diccionario!$C:$C,0)),"")</f>
        <v/>
      </c>
    </row>
    <row r="1277" ht="14.25" customHeight="1" s="52">
      <c r="A1277" t="inlineStr">
        <is>
          <t>2026-06</t>
        </is>
      </c>
      <c r="B1277" t="inlineStr">
        <is>
          <t>Colombia</t>
        </is>
      </c>
      <c r="C1277" t="inlineStr">
        <is>
          <t>Coco Colombia</t>
        </is>
      </c>
      <c r="E1277" t="inlineStr">
        <is>
          <t>Real</t>
        </is>
      </c>
      <c r="F1277" t="inlineStr">
        <is>
          <t>ltv_cac</t>
        </is>
      </c>
      <c r="H1277" t="inlineStr">
        <is>
          <t>Mercadeo</t>
        </is>
      </c>
      <c r="I1277" t="n">
        <v>2.56</v>
      </c>
      <c r="J1277" t="inlineStr">
        <is>
          <t>Veces</t>
        </is>
      </c>
      <c r="K1277" t="inlineStr">
        <is>
          <t>Q2-2026 — sin margen bruto</t>
        </is>
      </c>
      <c r="L1277">
        <f>IFERROR(INDEX(Diccionario!$B:$B,MATCH(F1277,Diccionario!$C:$C,0)),"")</f>
        <v/>
      </c>
      <c r="M1277">
        <f>IFERROR(INDEX(Diccionario!$H:$H,MATCH(F1277,Diccionario!$C:$C,0)),"")</f>
        <v/>
      </c>
      <c r="N1277">
        <f>IFERROR(INDEX(Diccionario!$N:$N,MATCH(F1277,Diccionario!$C:$C,0)),"")</f>
        <v/>
      </c>
    </row>
    <row r="1278" ht="14.25" customHeight="1" s="52">
      <c r="A1278" t="inlineStr">
        <is>
          <t>2025-03</t>
        </is>
      </c>
      <c r="B1278" t="inlineStr">
        <is>
          <t>Colombia</t>
        </is>
      </c>
      <c r="C1278" t="inlineStr">
        <is>
          <t>Coco Colombia</t>
        </is>
      </c>
      <c r="E1278" t="inlineStr">
        <is>
          <t>Real</t>
        </is>
      </c>
      <c r="F1278" t="inlineStr">
        <is>
          <t>cac_payback_meses</t>
        </is>
      </c>
      <c r="H1278" t="inlineStr">
        <is>
          <t>Mercadeo</t>
        </is>
      </c>
      <c r="I1278" t="n">
        <v>2.1</v>
      </c>
      <c r="J1278" t="inlineStr">
        <is>
          <t>Meses</t>
        </is>
      </c>
      <c r="K1278" t="inlineStr">
        <is>
          <t>Q1-2025 — sin margen bruto</t>
        </is>
      </c>
      <c r="L1278">
        <f>IFERROR(INDEX(Diccionario!$B:$B,MATCH(F1278,Diccionario!$C:$C,0)),"")</f>
        <v/>
      </c>
      <c r="M1278">
        <f>IFERROR(INDEX(Diccionario!$H:$H,MATCH(F1278,Diccionario!$C:$C,0)),"")</f>
        <v/>
      </c>
      <c r="N1278">
        <f>IFERROR(INDEX(Diccionario!$N:$N,MATCH(F1278,Diccionario!$C:$C,0)),"")</f>
        <v/>
      </c>
    </row>
    <row r="1279" ht="14.25" customHeight="1" s="52">
      <c r="A1279" t="inlineStr">
        <is>
          <t>2025-06</t>
        </is>
      </c>
      <c r="B1279" t="inlineStr">
        <is>
          <t>Colombia</t>
        </is>
      </c>
      <c r="C1279" t="inlineStr">
        <is>
          <t>Coco Colombia</t>
        </is>
      </c>
      <c r="E1279" t="inlineStr">
        <is>
          <t>Real</t>
        </is>
      </c>
      <c r="F1279" t="inlineStr">
        <is>
          <t>cac_payback_meses</t>
        </is>
      </c>
      <c r="H1279" t="inlineStr">
        <is>
          <t>Mercadeo</t>
        </is>
      </c>
      <c r="I1279" t="n">
        <v>1.8</v>
      </c>
      <c r="J1279" t="inlineStr">
        <is>
          <t>Meses</t>
        </is>
      </c>
      <c r="K1279" t="inlineStr">
        <is>
          <t>Q2-2025 — sin margen bruto</t>
        </is>
      </c>
      <c r="L1279">
        <f>IFERROR(INDEX(Diccionario!$B:$B,MATCH(F1279,Diccionario!$C:$C,0)),"")</f>
        <v/>
      </c>
      <c r="M1279">
        <f>IFERROR(INDEX(Diccionario!$H:$H,MATCH(F1279,Diccionario!$C:$C,0)),"")</f>
        <v/>
      </c>
      <c r="N1279">
        <f>IFERROR(INDEX(Diccionario!$N:$N,MATCH(F1279,Diccionario!$C:$C,0)),"")</f>
        <v/>
      </c>
    </row>
    <row r="1280" ht="14.25" customHeight="1" s="52">
      <c r="A1280" t="inlineStr">
        <is>
          <t>2025-09</t>
        </is>
      </c>
      <c r="B1280" t="inlineStr">
        <is>
          <t>Colombia</t>
        </is>
      </c>
      <c r="C1280" t="inlineStr">
        <is>
          <t>Coco Colombia</t>
        </is>
      </c>
      <c r="E1280" t="inlineStr">
        <is>
          <t>Real</t>
        </is>
      </c>
      <c r="F1280" t="inlineStr">
        <is>
          <t>cac_payback_meses</t>
        </is>
      </c>
      <c r="H1280" t="inlineStr">
        <is>
          <t>Mercadeo</t>
        </is>
      </c>
      <c r="I1280" t="n">
        <v>1.3</v>
      </c>
      <c r="J1280" t="inlineStr">
        <is>
          <t>Meses</t>
        </is>
      </c>
      <c r="K1280" t="inlineStr">
        <is>
          <t>Q3-2025 — sin margen bruto</t>
        </is>
      </c>
      <c r="L1280">
        <f>IFERROR(INDEX(Diccionario!$B:$B,MATCH(F1280,Diccionario!$C:$C,0)),"")</f>
        <v/>
      </c>
      <c r="M1280">
        <f>IFERROR(INDEX(Diccionario!$H:$H,MATCH(F1280,Diccionario!$C:$C,0)),"")</f>
        <v/>
      </c>
      <c r="N1280">
        <f>IFERROR(INDEX(Diccionario!$N:$N,MATCH(F1280,Diccionario!$C:$C,0)),"")</f>
        <v/>
      </c>
    </row>
    <row r="1281" ht="14.25" customHeight="1" s="52">
      <c r="A1281" t="inlineStr">
        <is>
          <t>2025-12</t>
        </is>
      </c>
      <c r="B1281" t="inlineStr">
        <is>
          <t>Colombia</t>
        </is>
      </c>
      <c r="C1281" t="inlineStr">
        <is>
          <t>Coco Colombia</t>
        </is>
      </c>
      <c r="E1281" t="inlineStr">
        <is>
          <t>Real</t>
        </is>
      </c>
      <c r="F1281" t="inlineStr">
        <is>
          <t>cac_payback_meses</t>
        </is>
      </c>
      <c r="H1281" t="inlineStr">
        <is>
          <t>Mercadeo</t>
        </is>
      </c>
      <c r="I1281" t="n">
        <v>1.7</v>
      </c>
      <c r="J1281" t="inlineStr">
        <is>
          <t>Meses</t>
        </is>
      </c>
      <c r="K1281" t="inlineStr">
        <is>
          <t>Q4-2025 — sin margen bruto</t>
        </is>
      </c>
      <c r="L1281">
        <f>IFERROR(INDEX(Diccionario!$B:$B,MATCH(F1281,Diccionario!$C:$C,0)),"")</f>
        <v/>
      </c>
      <c r="M1281">
        <f>IFERROR(INDEX(Diccionario!$H:$H,MATCH(F1281,Diccionario!$C:$C,0)),"")</f>
        <v/>
      </c>
      <c r="N1281">
        <f>IFERROR(INDEX(Diccionario!$N:$N,MATCH(F1281,Diccionario!$C:$C,0)),"")</f>
        <v/>
      </c>
    </row>
    <row r="1282" ht="14.25" customHeight="1" s="52">
      <c r="A1282" t="inlineStr">
        <is>
          <t>2026-03</t>
        </is>
      </c>
      <c r="B1282" t="inlineStr">
        <is>
          <t>Colombia</t>
        </is>
      </c>
      <c r="C1282" t="inlineStr">
        <is>
          <t>Coco Colombia</t>
        </is>
      </c>
      <c r="E1282" t="inlineStr">
        <is>
          <t>Real</t>
        </is>
      </c>
      <c r="F1282" t="inlineStr">
        <is>
          <t>cac_payback_meses</t>
        </is>
      </c>
      <c r="H1282" t="inlineStr">
        <is>
          <t>Mercadeo</t>
        </is>
      </c>
      <c r="I1282" t="n">
        <v>5</v>
      </c>
      <c r="J1282" t="inlineStr">
        <is>
          <t>Meses</t>
        </is>
      </c>
      <c r="K1282" t="inlineStr">
        <is>
          <t>Q1-2026 — sin margen bruto</t>
        </is>
      </c>
      <c r="L1282">
        <f>IFERROR(INDEX(Diccionario!$B:$B,MATCH(F1282,Diccionario!$C:$C,0)),"")</f>
        <v/>
      </c>
      <c r="M1282">
        <f>IFERROR(INDEX(Diccionario!$H:$H,MATCH(F1282,Diccionario!$C:$C,0)),"")</f>
        <v/>
      </c>
      <c r="N1282">
        <f>IFERROR(INDEX(Diccionario!$N:$N,MATCH(F1282,Diccionario!$C:$C,0)),"")</f>
        <v/>
      </c>
    </row>
    <row r="1283" ht="14.25" customHeight="1" s="52">
      <c r="A1283" t="inlineStr">
        <is>
          <t>2026-06</t>
        </is>
      </c>
      <c r="B1283" t="inlineStr">
        <is>
          <t>Colombia</t>
        </is>
      </c>
      <c r="C1283" t="inlineStr">
        <is>
          <t>Coco Colombia</t>
        </is>
      </c>
      <c r="E1283" t="inlineStr">
        <is>
          <t>Real</t>
        </is>
      </c>
      <c r="F1283" t="inlineStr">
        <is>
          <t>cac_payback_meses</t>
        </is>
      </c>
      <c r="H1283" t="inlineStr">
        <is>
          <t>Mercadeo</t>
        </is>
      </c>
      <c r="I1283" t="n">
        <v>2.9</v>
      </c>
      <c r="J1283" t="inlineStr">
        <is>
          <t>Meses</t>
        </is>
      </c>
      <c r="K1283" t="inlineStr">
        <is>
          <t>Q2-2026 — sin margen bruto</t>
        </is>
      </c>
      <c r="L1283">
        <f>IFERROR(INDEX(Diccionario!$B:$B,MATCH(F1283,Diccionario!$C:$C,0)),"")</f>
        <v/>
      </c>
      <c r="M1283">
        <f>IFERROR(INDEX(Diccionario!$H:$H,MATCH(F1283,Diccionario!$C:$C,0)),"")</f>
        <v/>
      </c>
      <c r="N1283">
        <f>IFERROR(INDEX(Diccionario!$N:$N,MATCH(F1283,Diccionario!$C:$C,0)),"")</f>
        <v/>
      </c>
    </row>
    <row r="1284" ht="14.25" customHeight="1" s="52">
      <c r="A1284" t="inlineStr">
        <is>
          <t>2026-05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ltv</t>
        </is>
      </c>
      <c r="H1284" t="inlineStr">
        <is>
          <t>Financiero TTM</t>
        </is>
      </c>
      <c r="I1284">
        <f>Calc_LTV_Fin!B11</f>
        <v/>
      </c>
      <c r="J1284" t="inlineStr">
        <is>
          <t>COP</t>
        </is>
      </c>
      <c r="K1284" t="inlineStr">
        <is>
          <t>TTM a may-2026; margen editable</t>
        </is>
      </c>
      <c r="L1284">
        <f>IFERROR(INDEX(Diccionario!$B:$B,MATCH(F1284,Diccionario!$C:$C,0)),"")</f>
        <v/>
      </c>
      <c r="M1284">
        <f>IFERROR(INDEX(Diccionario!$H:$H,MATCH(F1284,Diccionario!$C:$C,0)),"")</f>
        <v/>
      </c>
      <c r="N1284">
        <f>IFERROR(INDEX(Diccionario!$N:$N,MATCH(F1284,Diccionario!$C:$C,0)),"")</f>
        <v/>
      </c>
    </row>
    <row r="1285" ht="14.25" customHeight="1" s="52">
      <c r="A1285" t="inlineStr">
        <is>
          <t>2026-05</t>
        </is>
      </c>
      <c r="B1285" t="inlineStr">
        <is>
          <t>Colombia</t>
        </is>
      </c>
      <c r="C1285" t="inlineStr">
        <is>
          <t>Coco Colombia</t>
        </is>
      </c>
      <c r="E1285" t="inlineStr">
        <is>
          <t>Real</t>
        </is>
      </c>
      <c r="F1285" t="inlineStr">
        <is>
          <t>cac_payback_meses</t>
        </is>
      </c>
      <c r="H1285" t="inlineStr">
        <is>
          <t>Financiero TTM</t>
        </is>
      </c>
      <c r="I1285">
        <f>Calc_LTV_Fin!B12</f>
        <v/>
      </c>
      <c r="J1285" t="inlineStr">
        <is>
          <t>Meses</t>
        </is>
      </c>
      <c r="K1285" t="inlineStr">
        <is>
          <t>TTM a may-2026; margen editable</t>
        </is>
      </c>
      <c r="L1285">
        <f>IFERROR(INDEX(Diccionario!$B:$B,MATCH(F1285,Diccionario!$C:$C,0)),"")</f>
        <v/>
      </c>
      <c r="M1285">
        <f>IFERROR(INDEX(Diccionario!$H:$H,MATCH(F1285,Diccionario!$C:$C,0)),"")</f>
        <v/>
      </c>
      <c r="N1285">
        <f>IFERROR(INDEX(Diccionario!$N:$N,MATCH(F1285,Diccionario!$C:$C,0)),"")</f>
        <v/>
      </c>
    </row>
    <row r="1286" ht="14.25" customHeight="1" s="52">
      <c r="A1286" t="inlineStr">
        <is>
          <t>2026-05</t>
        </is>
      </c>
      <c r="B1286" t="inlineStr">
        <is>
          <t>Colombia</t>
        </is>
      </c>
      <c r="C1286" t="inlineStr">
        <is>
          <t>Coco Colombia</t>
        </is>
      </c>
      <c r="E1286" t="inlineStr">
        <is>
          <t>Real</t>
        </is>
      </c>
      <c r="F1286" t="inlineStr">
        <is>
          <t>ltv_cac</t>
        </is>
      </c>
      <c r="H1286" t="inlineStr">
        <is>
          <t>Financiero TTM</t>
        </is>
      </c>
      <c r="I1286">
        <f>Calc_LTV_Fin!B13</f>
        <v/>
      </c>
      <c r="J1286" t="inlineStr">
        <is>
          <t>Veces</t>
        </is>
      </c>
      <c r="K1286" t="inlineStr">
        <is>
          <t>TTM a may-2026; margen editable</t>
        </is>
      </c>
      <c r="L1286">
        <f>IFERROR(INDEX(Diccionario!$B:$B,MATCH(F1286,Diccionario!$C:$C,0)),"")</f>
        <v/>
      </c>
      <c r="M1286">
        <f>IFERROR(INDEX(Diccionario!$H:$H,MATCH(F1286,Diccionario!$C:$C,0)),"")</f>
        <v/>
      </c>
      <c r="N1286">
        <f>IFERROR(INDEX(Diccionario!$N:$N,MATCH(F1286,Diccionario!$C:$C,0)),"")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ventas_cerradas</t>
        </is>
      </c>
      <c r="I1287" t="n">
        <v>0</v>
      </c>
      <c r="J1287" t="inlineStr">
        <is>
          <t>COP</t>
        </is>
      </c>
      <c r="K1287" t="inlineStr">
        <is>
          <t>Sin cierres registrados en el periodo (todo en pipeline)</t>
        </is>
      </c>
      <c r="L1287">
        <f>IFERROR(INDEX(Diccionario!$B:$B,MATCH(F1287,Diccionario!$C:$C,0)),"")</f>
        <v/>
      </c>
      <c r="M1287">
        <f>IFERROR(INDEX(Diccionario!$H:$H,MATCH(F1287,Diccionario!$C:$C,0)),"")</f>
        <v/>
      </c>
      <c r="N1287">
        <f>IFERROR(INDEX(Diccionario!$N:$N,MATCH(F1287,Diccionario!$C:$C,0)),"")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deals_ganados</t>
        </is>
      </c>
      <c r="I1288" t="n">
        <v>0</v>
      </c>
      <c r="J1288" t="inlineStr">
        <is>
          <t>Número</t>
        </is>
      </c>
      <c r="K1288" t="inlineStr">
        <is>
          <t>Sin cierres registrados en el periodo</t>
        </is>
      </c>
      <c r="L1288">
        <f>IFERROR(INDEX(Diccionario!$B:$B,MATCH(F1288,Diccionario!$C:$C,0)),"")</f>
        <v/>
      </c>
      <c r="M1288">
        <f>IFERROR(INDEX(Diccionario!$H:$H,MATCH(F1288,Diccionario!$C:$C,0)),"")</f>
        <v/>
      </c>
      <c r="N1288">
        <f>IFERROR(INDEX(Diccionario!$N:$N,MATCH(F1288,Diccionario!$C:$C,0)),"")</f>
        <v/>
      </c>
    </row>
    <row r="1289" ht="14.25" customHeight="1" s="52">
      <c r="A1289" t="inlineStr">
        <is>
          <t>2026-02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forecast_comercial</t>
        </is>
      </c>
      <c r="I1289" t="n">
        <v>9022720</v>
      </c>
      <c r="J1289" t="inlineStr">
        <is>
          <t>COP</t>
        </is>
      </c>
      <c r="K1289" t="inlineStr">
        <is>
          <t>Insumo Comercial jul-2026 · oport. con cierre esperado en el mes</t>
        </is>
      </c>
      <c r="L1289">
        <f>IFERROR(INDEX(Diccionario!$B:$B,MATCH(F1289,Diccionario!$C:$C,0)),"")</f>
        <v/>
      </c>
      <c r="M1289">
        <f>IFERROR(INDEX(Diccionario!$H:$H,MATCH(F1289,Diccionario!$C:$C,0)),"")</f>
        <v/>
      </c>
      <c r="N1289">
        <f>IFERROR(INDEX(Diccionario!$N:$N,MATCH(F1289,Diccionario!$C:$C,0)),"")</f>
        <v/>
      </c>
    </row>
    <row r="1290" ht="14.25" customHeight="1" s="52">
      <c r="A1290" t="inlineStr">
        <is>
          <t>2026-03</t>
        </is>
      </c>
      <c r="B1290" t="inlineStr">
        <is>
          <t>Colombia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forecast_comercial</t>
        </is>
      </c>
      <c r="I1290" t="n">
        <v>270528826</v>
      </c>
      <c r="J1290" t="inlineStr">
        <is>
          <t>COP</t>
        </is>
      </c>
      <c r="K1290" t="inlineStr">
        <is>
          <t>Insumo Comercial jul-2026 · oport. con cierre esperado en el mes</t>
        </is>
      </c>
      <c r="L1290">
        <f>IFERROR(INDEX(Diccionario!$B:$B,MATCH(F1290,Diccionario!$C:$C,0)),"")</f>
        <v/>
      </c>
      <c r="M1290">
        <f>IFERROR(INDEX(Diccionario!$H:$H,MATCH(F1290,Diccionario!$C:$C,0)),"")</f>
        <v/>
      </c>
      <c r="N1290">
        <f>IFERROR(INDEX(Diccionario!$N:$N,MATCH(F1290,Diccionario!$C:$C,0)),"")</f>
        <v/>
      </c>
    </row>
    <row r="1291" ht="14.25" customHeight="1" s="52">
      <c r="A1291" t="inlineStr">
        <is>
          <t>2026-04</t>
        </is>
      </c>
      <c r="B1291" t="inlineStr">
        <is>
          <t>Colombia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forecast_comercial</t>
        </is>
      </c>
      <c r="I1291" t="n">
        <v>307827060</v>
      </c>
      <c r="J1291" t="inlineStr">
        <is>
          <t>COP</t>
        </is>
      </c>
      <c r="K1291" t="inlineStr">
        <is>
          <t>Insumo Comercial jul-2026 · oport. con cierre esperado en el mes</t>
        </is>
      </c>
      <c r="L1291">
        <f>IFERROR(INDEX(Diccionario!$B:$B,MATCH(F1291,Diccionario!$C:$C,0)),"")</f>
        <v/>
      </c>
      <c r="M1291">
        <f>IFERROR(INDEX(Diccionario!$H:$H,MATCH(F1291,Diccionario!$C:$C,0)),"")</f>
        <v/>
      </c>
      <c r="N1291">
        <f>IFERROR(INDEX(Diccionario!$N:$N,MATCH(F1291,Diccionario!$C:$C,0)),"")</f>
        <v/>
      </c>
    </row>
    <row r="1292" ht="14.25" customHeight="1" s="52">
      <c r="A1292" t="inlineStr">
        <is>
          <t>2026-05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forecast_comercial</t>
        </is>
      </c>
      <c r="I1292" t="n">
        <v>106463773</v>
      </c>
      <c r="J1292" t="inlineStr">
        <is>
          <t>COP</t>
        </is>
      </c>
      <c r="K1292" t="inlineStr">
        <is>
          <t>Insumo Comercial jul-2026 · oport. con cierre esperado en el mes</t>
        </is>
      </c>
      <c r="L1292">
        <f>IFERROR(INDEX(Diccionario!$B:$B,MATCH(F1292,Diccionario!$C:$C,0)),"")</f>
        <v/>
      </c>
      <c r="M1292">
        <f>IFERROR(INDEX(Diccionario!$H:$H,MATCH(F1292,Diccionario!$C:$C,0)),"")</f>
        <v/>
      </c>
      <c r="N1292">
        <f>IFERROR(INDEX(Diccionario!$N:$N,MATCH(F1292,Diccionario!$C:$C,0)),"")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forecast_comercial</t>
        </is>
      </c>
      <c r="I1293" t="n">
        <v>40159561</v>
      </c>
      <c r="J1293" t="inlineStr">
        <is>
          <t>COP</t>
        </is>
      </c>
      <c r="K1293" t="inlineStr">
        <is>
          <t>Insumo Comercial jul-2026 · oport. con cierre esperado en el mes</t>
        </is>
      </c>
      <c r="L1293">
        <f>IFERROR(INDEX(Diccionario!$B:$B,MATCH(F1293,Diccionario!$C:$C,0)),"")</f>
        <v/>
      </c>
      <c r="M1293">
        <f>IFERROR(INDEX(Diccionario!$H:$H,MATCH(F1293,Diccionario!$C:$C,0)),"")</f>
        <v/>
      </c>
      <c r="N1293">
        <f>IFERROR(INDEX(Diccionario!$N:$N,MATCH(F1293,Diccionario!$C:$C,0)),"")</f>
        <v/>
      </c>
    </row>
    <row r="1294" ht="14.25" customHeight="1" s="52">
      <c r="A1294" t="inlineStr">
        <is>
          <t>2026-07</t>
        </is>
      </c>
      <c r="B1294" t="inlineStr">
        <is>
          <t>Colombia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Luisa Fernanda Moreno Muñoz</t>
        </is>
      </c>
      <c r="I1294" t="n">
        <v>366554852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IFERROR(INDEX(Diccionario!$B:$B,MATCH(F1294,Diccionario!$C:$C,0)),"")</f>
        <v/>
      </c>
      <c r="M1294">
        <f>IFERROR(INDEX(Diccionario!$H:$H,MATCH(F1294,Diccionario!$C:$C,0)),"")</f>
        <v/>
      </c>
      <c r="N1294">
        <f>IFERROR(INDEX(Diccionario!$N:$N,MATCH(F1294,Diccionario!$C:$C,0)),"")</f>
        <v/>
      </c>
    </row>
    <row r="1295" ht="14.25" customHeight="1" s="52">
      <c r="A1295" t="inlineStr">
        <is>
          <t>2026-07</t>
        </is>
      </c>
      <c r="B1295" t="inlineStr">
        <is>
          <t>Colombia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Luisa Fernanda Moreno Muñoz</t>
        </is>
      </c>
      <c r="I1295" t="n">
        <v>251946912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IFERROR(INDEX(Diccionario!$B:$B,MATCH(F1295,Diccionario!$C:$C,0)),"")</f>
        <v/>
      </c>
      <c r="M1295">
        <f>IFERROR(INDEX(Diccionario!$H:$H,MATCH(F1295,Diccionario!$C:$C,0)),"")</f>
        <v/>
      </c>
      <c r="N1295">
        <f>IFERROR(INDEX(Diccionario!$N:$N,MATCH(F1295,Diccionario!$C:$C,0)),"")</f>
        <v/>
      </c>
    </row>
    <row r="1296" ht="14.25" customHeight="1" s="52">
      <c r="A1296" t="inlineStr">
        <is>
          <t>2026-07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pipeline_total</t>
        </is>
      </c>
      <c r="H1296" t="inlineStr">
        <is>
          <t>Jennifer Paola Buitrago</t>
        </is>
      </c>
      <c r="I1296" t="n">
        <v>218860706</v>
      </c>
      <c r="J1296" t="inlineStr">
        <is>
          <t>COP</t>
        </is>
      </c>
      <c r="K1296" t="inlineStr">
        <is>
          <t>Insumo Comercial jul-2026 · desglose por comercial (Otros = clientes CR/Guatemala, sin código propio en Listas)</t>
        </is>
      </c>
      <c r="L1296">
        <f>IFERROR(INDEX(Diccionario!$B:$B,MATCH(F1296,Diccionario!$C:$C,0)),"")</f>
        <v/>
      </c>
      <c r="M1296">
        <f>IFERROR(INDEX(Diccionario!$H:$H,MATCH(F1296,Diccionario!$C:$C,0)),"")</f>
        <v/>
      </c>
      <c r="N1296">
        <f>IFERROR(INDEX(Diccionario!$N:$N,MATCH(F1296,Diccionario!$C:$C,0)),"")</f>
        <v/>
      </c>
    </row>
    <row r="1297" ht="14.25" customHeight="1" s="52">
      <c r="A1297" t="inlineStr">
        <is>
          <t>2026-07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pipeline_ponderado</t>
        </is>
      </c>
      <c r="H1297" t="inlineStr">
        <is>
          <t>Jennifer Paola Buitrago</t>
        </is>
      </c>
      <c r="I1297" t="n">
        <v>204094777</v>
      </c>
      <c r="J1297" t="inlineStr">
        <is>
          <t>COP</t>
        </is>
      </c>
      <c r="K1297" t="inlineStr">
        <is>
          <t>Insumo Comercial jul-2026 · desglose por comercial (Otros = clientes CR/Guatemala, sin código propio en Listas)</t>
        </is>
      </c>
      <c r="L1297">
        <f>IFERROR(INDEX(Diccionario!$B:$B,MATCH(F1297,Diccionario!$C:$C,0)),"")</f>
        <v/>
      </c>
      <c r="M1297">
        <f>IFERROR(INDEX(Diccionario!$H:$H,MATCH(F1297,Diccionario!$C:$C,0)),"")</f>
        <v/>
      </c>
      <c r="N1297">
        <f>IFERROR(INDEX(Diccionario!$N:$N,MATCH(F1297,Diccionario!$C:$C,0)),"")</f>
        <v/>
      </c>
    </row>
    <row r="1298" ht="14.25" customHeight="1" s="52">
      <c r="A1298" t="inlineStr">
        <is>
          <t>2026-07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pipeline_total</t>
        </is>
      </c>
      <c r="H1298" t="inlineStr">
        <is>
          <t>Mariam Naranjo</t>
        </is>
      </c>
      <c r="I1298" t="n">
        <v>187535825</v>
      </c>
      <c r="J1298" t="inlineStr">
        <is>
          <t>COP</t>
        </is>
      </c>
      <c r="K1298" t="inlineStr">
        <is>
          <t>Insumo Comercial jul-2026 · desglose por comercial (Otros = clientes CR/Guatemala, sin código propio en Listas)</t>
        </is>
      </c>
      <c r="L1298">
        <f>IFERROR(INDEX(Diccionario!$B:$B,MATCH(F1298,Diccionario!$C:$C,0)),"")</f>
        <v/>
      </c>
      <c r="M1298">
        <f>IFERROR(INDEX(Diccionario!$H:$H,MATCH(F1298,Diccionario!$C:$C,0)),"")</f>
        <v/>
      </c>
      <c r="N1298">
        <f>IFERROR(INDEX(Diccionario!$N:$N,MATCH(F1298,Diccionario!$C:$C,0)),"")</f>
        <v/>
      </c>
    </row>
    <row r="1299" ht="14.25" customHeight="1" s="52">
      <c r="A1299" t="inlineStr">
        <is>
          <t>2026-07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pipeline_ponderado</t>
        </is>
      </c>
      <c r="H1299" t="inlineStr">
        <is>
          <t>Mariam Naranjo</t>
        </is>
      </c>
      <c r="I1299" t="n">
        <v>150661388</v>
      </c>
      <c r="J1299" t="inlineStr">
        <is>
          <t>COP</t>
        </is>
      </c>
      <c r="K1299" t="inlineStr">
        <is>
          <t>Insumo Comercial jul-2026 · desglose por comercial (Otros = clientes CR/Guatemala, sin código propio en Listas)</t>
        </is>
      </c>
      <c r="L1299">
        <f>IFERROR(INDEX(Diccionario!$B:$B,MATCH(F1299,Diccionario!$C:$C,0)),"")</f>
        <v/>
      </c>
      <c r="M1299">
        <f>IFERROR(INDEX(Diccionario!$H:$H,MATCH(F1299,Diccionario!$C:$C,0)),"")</f>
        <v/>
      </c>
      <c r="N1299">
        <f>IFERROR(INDEX(Diccionario!$N:$N,MATCH(F1299,Diccionario!$C:$C,0)),"")</f>
        <v/>
      </c>
    </row>
    <row r="1300" ht="14.25" customHeight="1" s="52">
      <c r="A1300" t="inlineStr">
        <is>
          <t>2026-07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pipeline_total</t>
        </is>
      </c>
      <c r="H1300" t="inlineStr">
        <is>
          <t>Lina Gutiérrez</t>
        </is>
      </c>
      <c r="I1300" t="n">
        <v>86737300</v>
      </c>
      <c r="J1300" t="inlineStr">
        <is>
          <t>COP</t>
        </is>
      </c>
      <c r="K1300" t="inlineStr">
        <is>
          <t>Insumo Comercial jul-2026 · desglose por comercial (Otros = clientes CR/Guatemala, sin código propio en Listas)</t>
        </is>
      </c>
      <c r="L1300">
        <f>IFERROR(INDEX(Diccionario!$B:$B,MATCH(F1300,Diccionario!$C:$C,0)),"")</f>
        <v/>
      </c>
      <c r="M1300">
        <f>IFERROR(INDEX(Diccionario!$H:$H,MATCH(F1300,Diccionario!$C:$C,0)),"")</f>
        <v/>
      </c>
      <c r="N1300">
        <f>IFERROR(INDEX(Diccionario!$N:$N,MATCH(F1300,Diccionario!$C:$C,0)),"")</f>
        <v/>
      </c>
    </row>
    <row r="1301" ht="14.25" customHeight="1" s="52">
      <c r="A1301" t="inlineStr">
        <is>
          <t>2026-07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pipeline_ponderado</t>
        </is>
      </c>
      <c r="H1301" t="inlineStr">
        <is>
          <t>Lina Gutiérrez</t>
        </is>
      </c>
      <c r="I1301" t="n">
        <v>82400435</v>
      </c>
      <c r="J1301" t="inlineStr">
        <is>
          <t>COP</t>
        </is>
      </c>
      <c r="K1301" t="inlineStr">
        <is>
          <t>Insumo Comercial jul-2026 · desglose por comercial (Otros = clientes CR/Guatemala, sin código propio en Listas)</t>
        </is>
      </c>
      <c r="L1301">
        <f>IFERROR(INDEX(Diccionario!$B:$B,MATCH(F1301,Diccionario!$C:$C,0)),"")</f>
        <v/>
      </c>
      <c r="M1301">
        <f>IFERROR(INDEX(Diccionario!$H:$H,MATCH(F1301,Diccionario!$C:$C,0)),"")</f>
        <v/>
      </c>
      <c r="N1301">
        <f>IFERROR(INDEX(Diccionario!$N:$N,MATCH(F1301,Diccionario!$C:$C,0)),"")</f>
        <v/>
      </c>
    </row>
    <row r="1302" ht="14.25" customHeight="1" s="52">
      <c r="A1302" t="inlineStr">
        <is>
          <t>2026-07</t>
        </is>
      </c>
      <c r="B1302" t="inlineStr">
        <is>
          <t>Otros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pipeline_total</t>
        </is>
      </c>
      <c r="H1302" t="inlineStr">
        <is>
          <t>Mariam Naranjo</t>
        </is>
      </c>
      <c r="I1302" t="n">
        <v>39017160</v>
      </c>
      <c r="J1302" t="inlineStr">
        <is>
          <t>COP</t>
        </is>
      </c>
      <c r="K1302" t="inlineStr">
        <is>
          <t>Insumo Comercial jul-2026 · desglose por comercial (Otros = clientes CR/Guatemala, sin código propio en Listas)</t>
        </is>
      </c>
      <c r="L1302">
        <f>IFERROR(INDEX(Diccionario!$B:$B,MATCH(F1302,Diccionario!$C:$C,0)),"")</f>
        <v/>
      </c>
      <c r="M1302">
        <f>IFERROR(INDEX(Diccionario!$H:$H,MATCH(F1302,Diccionario!$C:$C,0)),"")</f>
        <v/>
      </c>
      <c r="N1302">
        <f>IFERROR(INDEX(Diccionario!$N:$N,MATCH(F1302,Diccionario!$C:$C,0)),"")</f>
        <v/>
      </c>
    </row>
    <row r="1303" ht="14.25" customHeight="1" s="52">
      <c r="A1303" t="inlineStr">
        <is>
          <t>2026-07</t>
        </is>
      </c>
      <c r="B1303" t="inlineStr">
        <is>
          <t>Otros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pipeline_ponderado</t>
        </is>
      </c>
      <c r="H1303" t="inlineStr">
        <is>
          <t>Mariam Naranjo</t>
        </is>
      </c>
      <c r="I1303" t="n">
        <v>28600028</v>
      </c>
      <c r="J1303" t="inlineStr">
        <is>
          <t>COP</t>
        </is>
      </c>
      <c r="K1303" t="inlineStr">
        <is>
          <t>Insumo Comercial jul-2026 · desglose por comercial (Otros = clientes CR/Guatemala, sin código propio en Listas)</t>
        </is>
      </c>
      <c r="L1303">
        <f>IFERROR(INDEX(Diccionario!$B:$B,MATCH(F1303,Diccionario!$C:$C,0)),"")</f>
        <v/>
      </c>
      <c r="M1303">
        <f>IFERROR(INDEX(Diccionario!$H:$H,MATCH(F1303,Diccionario!$C:$C,0)),"")</f>
        <v/>
      </c>
      <c r="N1303">
        <f>IFERROR(INDEX(Diccionario!$N:$N,MATCH(F1303,Diccionario!$C:$C,0)),"")</f>
        <v/>
      </c>
    </row>
    <row r="1304" ht="14.25" customHeight="1" s="52">
      <c r="A1304" t="inlineStr">
        <is>
          <t>2026-07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pipeline_total</t>
        </is>
      </c>
      <c r="H1304" t="inlineStr">
        <is>
          <t>Sin asignar</t>
        </is>
      </c>
      <c r="I1304" t="n">
        <v>20373000</v>
      </c>
      <c r="J1304" t="inlineStr">
        <is>
          <t>COP</t>
        </is>
      </c>
      <c r="K1304" t="inlineStr">
        <is>
          <t>Insumo Comercial jul-2026 · desglose por comercial (Otros = clientes CR/Guatemala, sin código propio en Listas)</t>
        </is>
      </c>
      <c r="L1304">
        <f>IFERROR(INDEX(Diccionario!$B:$B,MATCH(F1304,Diccionario!$C:$C,0)),"")</f>
        <v/>
      </c>
      <c r="M1304">
        <f>IFERROR(INDEX(Diccionario!$H:$H,MATCH(F1304,Diccionario!$C:$C,0)),"")</f>
        <v/>
      </c>
      <c r="N1304">
        <f>IFERROR(INDEX(Diccionario!$N:$N,MATCH(F1304,Diccionario!$C:$C,0)),"")</f>
        <v/>
      </c>
    </row>
    <row r="1305" ht="14.25" customHeight="1" s="52">
      <c r="A1305" t="inlineStr">
        <is>
          <t>2026-07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pipeline_ponderado</t>
        </is>
      </c>
      <c r="H1305" t="inlineStr">
        <is>
          <t>Sin asignar</t>
        </is>
      </c>
      <c r="I1305" t="n">
        <v>16298400</v>
      </c>
      <c r="J1305" t="inlineStr">
        <is>
          <t>COP</t>
        </is>
      </c>
      <c r="K1305" t="inlineStr">
        <is>
          <t>Insumo Comercial jul-2026 · desglose por comercial (Otros = clientes CR/Guatemala, sin código propio en Listas)</t>
        </is>
      </c>
      <c r="L1305">
        <f>IFERROR(INDEX(Diccionario!$B:$B,MATCH(F1305,Diccionario!$C:$C,0)),"")</f>
        <v/>
      </c>
      <c r="M1305">
        <f>IFERROR(INDEX(Diccionario!$H:$H,MATCH(F1305,Diccionario!$C:$C,0)),"")</f>
        <v/>
      </c>
      <c r="N1305">
        <f>IFERROR(INDEX(Diccionario!$N:$N,MATCH(F1305,Diccionario!$C:$C,0)),"")</f>
        <v/>
      </c>
    </row>
    <row r="1306" ht="14.25" customHeight="1" s="52">
      <c r="A1306" t="inlineStr">
        <is>
          <t>2026-07</t>
        </is>
      </c>
      <c r="B1306" t="inlineStr">
        <is>
          <t>Otros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pipeline_total</t>
        </is>
      </c>
      <c r="H1306" t="inlineStr">
        <is>
          <t>Mauricio Paba</t>
        </is>
      </c>
      <c r="I1306" t="n">
        <v>0</v>
      </c>
      <c r="J1306" t="inlineStr">
        <is>
          <t>COP</t>
        </is>
      </c>
      <c r="K1306" t="inlineStr">
        <is>
          <t>Insumo Comercial jul-2026 · desglose por comercial (Otros = clientes CR/Guatemala, sin código propio en Listas)</t>
        </is>
      </c>
      <c r="L1306">
        <f>IFERROR(INDEX(Diccionario!$B:$B,MATCH(F1306,Diccionario!$C:$C,0)),"")</f>
        <v/>
      </c>
      <c r="M1306">
        <f>IFERROR(INDEX(Diccionario!$H:$H,MATCH(F1306,Diccionario!$C:$C,0)),"")</f>
        <v/>
      </c>
      <c r="N1306">
        <f>IFERROR(INDEX(Diccionario!$N:$N,MATCH(F1306,Diccionario!$C:$C,0)),"")</f>
        <v/>
      </c>
    </row>
    <row r="1307" ht="14.25" customHeight="1" s="52">
      <c r="A1307" t="inlineStr">
        <is>
          <t>2026-07</t>
        </is>
      </c>
      <c r="B1307" t="inlineStr">
        <is>
          <t>Otros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pipeline_ponderado</t>
        </is>
      </c>
      <c r="H1307" t="inlineStr">
        <is>
          <t>Mauricio Paba</t>
        </is>
      </c>
      <c r="I1307" t="n">
        <v>0</v>
      </c>
      <c r="J1307" t="inlineStr">
        <is>
          <t>COP</t>
        </is>
      </c>
      <c r="K1307" t="inlineStr">
        <is>
          <t>Insumo Comercial jul-2026 · desglose por comercial (Otros = clientes CR/Guatemala, sin código propio en Listas)</t>
        </is>
      </c>
      <c r="L1307">
        <f>IFERROR(INDEX(Diccionario!$B:$B,MATCH(F1307,Diccionario!$C:$C,0)),"")</f>
        <v/>
      </c>
      <c r="M1307">
        <f>IFERROR(INDEX(Diccionario!$H:$H,MATCH(F1307,Diccionario!$C:$C,0)),"")</f>
        <v/>
      </c>
      <c r="N1307">
        <f>IFERROR(INDEX(Diccionario!$N:$N,MATCH(F1307,Diccionario!$C:$C,0)),"")</f>
        <v/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ingresos_totales</t>
        </is>
      </c>
      <c r="I1308" t="n">
        <v>751453314</v>
      </c>
      <c r="J1308" t="inlineStr">
        <is>
          <t>COP</t>
        </is>
      </c>
      <c r="K1308" t="inlineStr">
        <is>
          <t>EEFF junio: ingresos operacionales netos (Servicio software - devoluciones)</t>
        </is>
      </c>
      <c r="L1308" t="inlineStr">
        <is>
          <t>Finanzas</t>
        </is>
      </c>
      <c r="M1308" t="inlineStr">
        <is>
          <t>Finanzas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egresos_totales</t>
        </is>
      </c>
      <c r="I1309" t="n">
        <v>718109664</v>
      </c>
      <c r="J1309" t="inlineStr">
        <is>
          <t>COP</t>
        </is>
      </c>
      <c r="K1309" t="inlineStr">
        <is>
          <t>EEFF junio: salidas totales netas de ingresos no operacionales (para conciliar utilidad oficial)</t>
        </is>
      </c>
      <c r="L1309" t="inlineStr">
        <is>
          <t>Finanzas</t>
        </is>
      </c>
      <c r="M1309" t="inlineStr">
        <is>
          <t>Finanzas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utilidad_neta</t>
        </is>
      </c>
      <c r="I1310" t="n">
        <v>33343650</v>
      </c>
      <c r="J1310" t="inlineStr">
        <is>
          <t>COP</t>
        </is>
      </c>
      <c r="K1310" t="inlineStr">
        <is>
          <t>EEFF junio: utilidad neta oficial</t>
        </is>
      </c>
      <c r="L1310" t="inlineStr">
        <is>
          <t>Finanzas</t>
        </is>
      </c>
      <c r="M1310" t="inlineStr">
        <is>
          <t>Finanzas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ebitda</t>
        </is>
      </c>
      <c r="I1311" t="n">
        <v>34975495</v>
      </c>
      <c r="J1311" t="inlineStr">
        <is>
          <t>COP</t>
        </is>
      </c>
      <c r="K1311" t="inlineStr">
        <is>
          <t>EEFF junio: resultado/utilidad operativa (base EBITDA)</t>
        </is>
      </c>
      <c r="L1311" t="inlineStr">
        <is>
          <t>Finanzas</t>
        </is>
      </c>
      <c r="M1311" t="inlineStr">
        <is>
          <t>Finanzas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arr</t>
        </is>
      </c>
      <c r="I1312" t="n">
        <v>4480477715</v>
      </c>
      <c r="J1312" t="inlineStr">
        <is>
          <t>COP</t>
        </is>
      </c>
      <c r="K1312" t="inlineStr">
        <is>
          <t>'Ventas Totales (ARR)' reportado por contabilidad</t>
        </is>
      </c>
      <c r="L1312" t="inlineStr">
        <is>
          <t>SaaS / Revenue</t>
        </is>
      </c>
      <c r="M1312" t="inlineStr">
        <is>
          <t>Finanzas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cartera_total</t>
        </is>
      </c>
      <c r="I1313" t="n">
        <v>1799431102</v>
      </c>
      <c r="J1313" t="inlineStr">
        <is>
          <t>COP</t>
        </is>
      </c>
      <c r="K1313" t="inlineStr">
        <is>
          <t>EEFF junio: Clientes (Nota 5 / Balance) — cifra oficial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cartera_vencida</t>
        </is>
      </c>
      <c r="I1314" t="n">
        <v>579012623.1</v>
      </c>
      <c r="J1314" t="inlineStr">
        <is>
          <t>COP</t>
        </is>
      </c>
      <c r="K1314" t="inlineStr">
        <is>
          <t>Fuente: informe (no disponible en notas EEFF junio)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cartera_sana</t>
        </is>
      </c>
      <c r="I1315" t="n">
        <v>1503241757.1</v>
      </c>
      <c r="J1315" t="inlineStr">
        <is>
          <t>COP</t>
        </is>
      </c>
      <c r="K1315" t="inlineStr">
        <is>
          <t>Fuente: informe (no disponible en notas EEFF junio)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cartera_cobro_legal</t>
        </is>
      </c>
      <c r="I1316" t="n">
        <v>61936947</v>
      </c>
      <c r="J1316" t="inlineStr">
        <is>
          <t>COP</t>
        </is>
      </c>
      <c r="K1316" t="inlineStr">
        <is>
          <t>Fuente: informe (no disponible en notas EEFF junio)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dso</t>
        </is>
      </c>
      <c r="I1317" t="n">
        <v>70.76000000000001</v>
      </c>
      <c r="J1317" t="inlineStr">
        <is>
          <t>Días</t>
        </is>
      </c>
      <c r="K1317" t="inlineStr">
        <is>
          <t>Meta &lt;45 | Fuente: informe (no disponible en notas EEFF junio)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indice_morosidad</t>
        </is>
      </c>
      <c r="I1318" t="n">
        <v>27.81</v>
      </c>
      <c r="J1318" t="inlineStr">
        <is>
          <t>%</t>
        </is>
      </c>
      <c r="K1318" t="inlineStr">
        <is>
          <t>Meta &lt;5% | Fuente: informe (no disponible en notas EEFF junio)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cartera_mayor_60_pct</t>
        </is>
      </c>
      <c r="I1319" t="n">
        <v>20.3</v>
      </c>
      <c r="J1319" t="inlineStr">
        <is>
          <t>%</t>
        </is>
      </c>
      <c r="K1319" t="inlineStr">
        <is>
          <t>Meta &lt;5% | Fuente: informe (no disponible en notas EEFF junio)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cartera_arr_pct</t>
        </is>
      </c>
      <c r="I1320" t="n">
        <v>46.47</v>
      </c>
      <c r="J1320" t="inlineStr">
        <is>
          <t>%</t>
        </is>
      </c>
      <c r="K1320" t="inlineStr">
        <is>
          <t>Meta &lt;12% | Fuente: informe (no disponible en notas EEFF junio)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D1321" t="inlineStr">
        <is>
          <t>COP</t>
        </is>
      </c>
      <c r="E1321" t="inlineStr">
        <is>
          <t>Real</t>
        </is>
      </c>
      <c r="F1321" t="inlineStr">
        <is>
          <t>concentracion_cartera</t>
        </is>
      </c>
      <c r="I1321" t="n">
        <v>17.1</v>
      </c>
      <c r="J1321" t="inlineStr">
        <is>
          <t>%</t>
        </is>
      </c>
      <c r="K1321" t="inlineStr">
        <is>
          <t>Meta &lt;15% | 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D1322" t="inlineStr">
        <is>
          <t>COP</t>
        </is>
      </c>
      <c r="E1322" t="inlineStr">
        <is>
          <t>Real</t>
        </is>
      </c>
      <c r="F1322" t="inlineStr">
        <is>
          <t>write_off_ratio</t>
        </is>
      </c>
      <c r="I1322" t="n">
        <v>0.25</v>
      </c>
      <c r="J1322" t="inlineStr">
        <is>
          <t>%</t>
        </is>
      </c>
      <c r="K1322" t="inlineStr">
        <is>
          <t>Meta &lt;1% | 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D1323" t="inlineStr">
        <is>
          <t>COP</t>
        </is>
      </c>
      <c r="E1323" t="inlineStr">
        <is>
          <t>Real</t>
        </is>
      </c>
      <c r="F1323" t="inlineStr">
        <is>
          <t>gasto_area</t>
        </is>
      </c>
      <c r="H1323" t="inlineStr">
        <is>
          <t>Financieros</t>
        </is>
      </c>
      <c r="I1323" t="n">
        <v>5500000</v>
      </c>
      <c r="J1323" t="inlineStr">
        <is>
          <t>COP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D1324" t="inlineStr">
        <is>
          <t>COP</t>
        </is>
      </c>
      <c r="E1324" t="inlineStr">
        <is>
          <t>Real</t>
        </is>
      </c>
      <c r="F1324" t="inlineStr">
        <is>
          <t>gasto_area</t>
        </is>
      </c>
      <c r="H1324" t="inlineStr">
        <is>
          <t>TI</t>
        </is>
      </c>
      <c r="I1324" t="n">
        <v>268800000</v>
      </c>
      <c r="J1324" t="inlineStr">
        <is>
          <t>COP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D1325" t="inlineStr">
        <is>
          <t>COP</t>
        </is>
      </c>
      <c r="E1325" t="inlineStr">
        <is>
          <t>Real</t>
        </is>
      </c>
      <c r="F1325" t="inlineStr">
        <is>
          <t>gasto_area</t>
        </is>
      </c>
      <c r="H1325" t="inlineStr">
        <is>
          <t>Proveedores</t>
        </is>
      </c>
      <c r="I1325" t="n">
        <v>188500000</v>
      </c>
      <c r="J1325" t="inlineStr">
        <is>
          <t>COP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D1326" t="inlineStr">
        <is>
          <t>COP</t>
        </is>
      </c>
      <c r="E1326" t="inlineStr">
        <is>
          <t>Real</t>
        </is>
      </c>
      <c r="F1326" t="inlineStr">
        <is>
          <t>gasto_area</t>
        </is>
      </c>
      <c r="H1326" t="inlineStr">
        <is>
          <t>Comercial</t>
        </is>
      </c>
      <c r="I1326" t="n">
        <v>146800000</v>
      </c>
      <c r="J1326" t="inlineStr">
        <is>
          <t>COP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D1327" t="inlineStr">
        <is>
          <t>COP</t>
        </is>
      </c>
      <c r="E1327" t="inlineStr">
        <is>
          <t>Real</t>
        </is>
      </c>
      <c r="F1327" t="inlineStr">
        <is>
          <t>gasto_area</t>
        </is>
      </c>
      <c r="H1327" t="inlineStr">
        <is>
          <t>Administración</t>
        </is>
      </c>
      <c r="I1327" t="n">
        <v>112200000</v>
      </c>
      <c r="J1327" t="inlineStr">
        <is>
          <t>COP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2026-06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gasto_admin</t>
        </is>
      </c>
      <c r="H1328" t="inlineStr">
        <is>
          <t>Personal</t>
        </is>
      </c>
      <c r="I1328" t="n">
        <v>57300000</v>
      </c>
      <c r="J1328" t="inlineStr">
        <is>
          <t>COP</t>
        </is>
      </c>
      <c r="L1328" t="inlineStr">
        <is>
          <t>Contabilidad</t>
        </is>
      </c>
      <c r="M1328" t="inlineStr">
        <is>
          <t>Contabilidad</t>
        </is>
      </c>
      <c r="N1328" t="inlineStr">
        <is>
          <t>Mensual</t>
        </is>
      </c>
    </row>
    <row r="1329" ht="14.25" customHeight="1" s="52">
      <c r="A1329" t="inlineStr">
        <is>
          <t>2026-06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gasto_admin</t>
        </is>
      </c>
      <c r="H1329" t="inlineStr">
        <is>
          <t>Honorarios</t>
        </is>
      </c>
      <c r="I1329" t="n">
        <v>19500000</v>
      </c>
      <c r="J1329" t="inlineStr">
        <is>
          <t>COP</t>
        </is>
      </c>
      <c r="L1329" t="inlineStr">
        <is>
          <t>Contabilidad</t>
        </is>
      </c>
      <c r="M1329" t="inlineStr">
        <is>
          <t>Contabilidad</t>
        </is>
      </c>
      <c r="N1329" t="inlineStr">
        <is>
          <t>Mensual</t>
        </is>
      </c>
    </row>
    <row r="1330" ht="14.25" customHeight="1" s="52">
      <c r="A1330" t="inlineStr">
        <is>
          <t>2026-06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gasto_admin</t>
        </is>
      </c>
      <c r="H1330" t="inlineStr">
        <is>
          <t>Arrendamiento</t>
        </is>
      </c>
      <c r="I1330" t="n">
        <v>10000000</v>
      </c>
      <c r="J1330" t="inlineStr">
        <is>
          <t>COP</t>
        </is>
      </c>
      <c r="L1330" t="inlineStr">
        <is>
          <t>Contabilidad</t>
        </is>
      </c>
      <c r="M1330" t="inlineStr">
        <is>
          <t>Contabilidad</t>
        </is>
      </c>
      <c r="N1330" t="inlineStr">
        <is>
          <t>Mensual</t>
        </is>
      </c>
    </row>
    <row r="1331" ht="14.25" customHeight="1" s="52">
      <c r="A1331" t="inlineStr">
        <is>
          <t>2026-06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gasto_admin</t>
        </is>
      </c>
      <c r="H1331" t="inlineStr">
        <is>
          <t>Seguros</t>
        </is>
      </c>
      <c r="I1331" t="n">
        <v>900000</v>
      </c>
      <c r="J1331" t="inlineStr">
        <is>
          <t>COP</t>
        </is>
      </c>
      <c r="L1331" t="inlineStr">
        <is>
          <t>Contabilidad</t>
        </is>
      </c>
      <c r="M1331" t="inlineStr">
        <is>
          <t>Contabilidad</t>
        </is>
      </c>
      <c r="N1331" t="inlineStr">
        <is>
          <t>Mensual</t>
        </is>
      </c>
    </row>
    <row r="1332" ht="14.25" customHeight="1" s="52">
      <c r="A1332" t="inlineStr">
        <is>
          <t>2026-06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gasto_admin</t>
        </is>
      </c>
      <c r="H1332" t="inlineStr">
        <is>
          <t>Servicios</t>
        </is>
      </c>
      <c r="I1332" t="n">
        <v>3400000</v>
      </c>
      <c r="J1332" t="inlineStr">
        <is>
          <t>COP</t>
        </is>
      </c>
      <c r="L1332" t="inlineStr">
        <is>
          <t>Contabilidad</t>
        </is>
      </c>
      <c r="M1332" t="inlineStr">
        <is>
          <t>Contabilidad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gasto_admin</t>
        </is>
      </c>
      <c r="H1333" t="inlineStr">
        <is>
          <t>Viajes</t>
        </is>
      </c>
      <c r="I1333" t="n">
        <v>80000</v>
      </c>
      <c r="J1333" t="inlineStr">
        <is>
          <t>COP</t>
        </is>
      </c>
      <c r="L1333" t="inlineStr">
        <is>
          <t>Contabilidad</t>
        </is>
      </c>
      <c r="M1333" t="inlineStr">
        <is>
          <t>Contabilidad</t>
        </is>
      </c>
      <c r="N1333" t="inlineStr">
        <is>
          <t>Mensual</t>
        </is>
      </c>
    </row>
    <row r="1334" ht="14.25" customHeight="1" s="52">
      <c r="A1334" t="inlineStr">
        <is>
          <t>2026-06</t>
        </is>
      </c>
      <c r="B1334" t="inlineStr">
        <is>
          <t>Colombia</t>
        </is>
      </c>
      <c r="C1334" t="inlineStr">
        <is>
          <t>Coco Colombia</t>
        </is>
      </c>
      <c r="E1334" t="inlineStr">
        <is>
          <t>Real</t>
        </is>
      </c>
      <c r="F1334" t="inlineStr">
        <is>
          <t>cartera_vencida_cliente</t>
        </is>
      </c>
      <c r="H1334" t="inlineStr">
        <is>
          <t>Coopsana</t>
        </is>
      </c>
      <c r="I1334" t="n">
        <v>17</v>
      </c>
      <c r="J1334" t="inlineStr">
        <is>
          <t>%</t>
        </is>
      </c>
      <c r="K1334" t="inlineStr">
        <is>
          <t>Fuente: informe (no disponible en notas EEFF junio)</t>
        </is>
      </c>
      <c r="L1334" t="inlineStr">
        <is>
          <t>Contabilidad</t>
        </is>
      </c>
      <c r="M1334" t="inlineStr">
        <is>
          <t>Contabilidad</t>
        </is>
      </c>
      <c r="N1334" t="inlineStr">
        <is>
          <t>Mensual</t>
        </is>
      </c>
    </row>
    <row r="1335" ht="14.25" customHeight="1" s="52">
      <c r="A1335" t="inlineStr">
        <is>
          <t>2026-06</t>
        </is>
      </c>
      <c r="B1335" t="inlineStr">
        <is>
          <t>Colombia</t>
        </is>
      </c>
      <c r="C1335" t="inlineStr">
        <is>
          <t>Coco Colombia</t>
        </is>
      </c>
      <c r="E1335" t="inlineStr">
        <is>
          <t>Real</t>
        </is>
      </c>
      <c r="F1335" t="inlineStr">
        <is>
          <t>cartera_vencida_cliente</t>
        </is>
      </c>
      <c r="H1335" t="inlineStr">
        <is>
          <t>Promotora</t>
        </is>
      </c>
      <c r="I1335" t="n">
        <v>9.6</v>
      </c>
      <c r="J1335" t="inlineStr">
        <is>
          <t>%</t>
        </is>
      </c>
      <c r="K1335" t="inlineStr">
        <is>
          <t>Fuente: informe (no disponible en notas EEFF junio)</t>
        </is>
      </c>
      <c r="L1335" t="inlineStr">
        <is>
          <t>Contabilidad</t>
        </is>
      </c>
      <c r="M1335" t="inlineStr">
        <is>
          <t>Contabilidad</t>
        </is>
      </c>
      <c r="N1335" t="inlineStr">
        <is>
          <t>Mensual</t>
        </is>
      </c>
    </row>
    <row r="1336" ht="14.25" customHeight="1" s="52">
      <c r="A1336" t="inlineStr">
        <is>
          <t>2026-06</t>
        </is>
      </c>
      <c r="B1336" t="inlineStr">
        <is>
          <t>Colombia</t>
        </is>
      </c>
      <c r="C1336" t="inlineStr">
        <is>
          <t>Coco Colombia</t>
        </is>
      </c>
      <c r="E1336" t="inlineStr">
        <is>
          <t>Real</t>
        </is>
      </c>
      <c r="F1336" t="inlineStr">
        <is>
          <t>cartera_vencida_cliente</t>
        </is>
      </c>
      <c r="H1336" t="inlineStr">
        <is>
          <t>San Juan de Dios Rionegro</t>
        </is>
      </c>
      <c r="I1336" t="n">
        <v>5.3</v>
      </c>
      <c r="J1336" t="inlineStr">
        <is>
          <t>%</t>
        </is>
      </c>
      <c r="K1336" t="inlineStr">
        <is>
          <t>Fuente: informe (no disponible en notas EEFF junio)</t>
        </is>
      </c>
      <c r="L1336" t="inlineStr">
        <is>
          <t>Contabilidad</t>
        </is>
      </c>
      <c r="M1336" t="inlineStr">
        <is>
          <t>Contabilidad</t>
        </is>
      </c>
      <c r="N1336" t="inlineStr">
        <is>
          <t>Mensual</t>
        </is>
      </c>
    </row>
    <row r="1337" ht="14.25" customHeight="1" s="52">
      <c r="A1337" t="inlineStr">
        <is>
          <t>2026-06</t>
        </is>
      </c>
      <c r="B1337" t="inlineStr">
        <is>
          <t>Colombia</t>
        </is>
      </c>
      <c r="C1337" t="inlineStr">
        <is>
          <t>Coco Colombia</t>
        </is>
      </c>
      <c r="E1337" t="inlineStr">
        <is>
          <t>Real</t>
        </is>
      </c>
      <c r="F1337" t="inlineStr">
        <is>
          <t>cartera_vencida_cliente</t>
        </is>
      </c>
      <c r="H1337" t="inlineStr">
        <is>
          <t>Santa fe de Antioquia</t>
        </is>
      </c>
      <c r="I1337" t="n">
        <v>4.9</v>
      </c>
      <c r="J1337" t="inlineStr">
        <is>
          <t>%</t>
        </is>
      </c>
      <c r="K1337" t="inlineStr">
        <is>
          <t>Fuente: informe (no disponible en notas EEFF junio)</t>
        </is>
      </c>
      <c r="L1337" t="inlineStr">
        <is>
          <t>Contabilidad</t>
        </is>
      </c>
      <c r="M1337" t="inlineStr">
        <is>
          <t>Contabilidad</t>
        </is>
      </c>
      <c r="N1337" t="inlineStr">
        <is>
          <t>Mensual</t>
        </is>
      </c>
    </row>
    <row r="1338" ht="14.25" customHeight="1" s="52">
      <c r="A1338" t="inlineStr">
        <is>
          <t>2026-06</t>
        </is>
      </c>
      <c r="B1338" t="inlineStr">
        <is>
          <t>Colombia</t>
        </is>
      </c>
      <c r="C1338" t="inlineStr">
        <is>
          <t>Coco Colombia</t>
        </is>
      </c>
      <c r="E1338" t="inlineStr">
        <is>
          <t>Real</t>
        </is>
      </c>
      <c r="F1338" t="inlineStr">
        <is>
          <t>cartera_vencida_cliente</t>
        </is>
      </c>
      <c r="H1338" t="inlineStr">
        <is>
          <t>Icor</t>
        </is>
      </c>
      <c r="I1338" t="n">
        <v>4.9</v>
      </c>
      <c r="J1338" t="inlineStr">
        <is>
          <t>%</t>
        </is>
      </c>
      <c r="K1338" t="inlineStr">
        <is>
          <t>Fuente: informe (no disponible en notas EEFF junio)</t>
        </is>
      </c>
      <c r="L1338" t="inlineStr">
        <is>
          <t>Contabilidad</t>
        </is>
      </c>
      <c r="M1338" t="inlineStr">
        <is>
          <t>Contabilidad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E1339" t="inlineStr">
        <is>
          <t>Real</t>
        </is>
      </c>
      <c r="F1339" t="inlineStr">
        <is>
          <t>cartera_vencida_cliente</t>
        </is>
      </c>
      <c r="H1339" t="inlineStr">
        <is>
          <t>Genezen</t>
        </is>
      </c>
      <c r="I1339" t="n">
        <v>4.8</v>
      </c>
      <c r="J1339" t="inlineStr">
        <is>
          <t>%</t>
        </is>
      </c>
      <c r="K1339" t="inlineStr">
        <is>
          <t>Fuente: informe (no disponible en notas EEFF junio)</t>
        </is>
      </c>
      <c r="L1339" t="inlineStr">
        <is>
          <t>Contabilidad</t>
        </is>
      </c>
      <c r="M1339" t="inlineStr">
        <is>
          <t>Contabilidad</t>
        </is>
      </c>
      <c r="N1339" t="inlineStr">
        <is>
          <t>Mensual</t>
        </is>
      </c>
    </row>
    <row r="1340" ht="14.25" customHeight="1" s="52">
      <c r="A1340" t="inlineStr">
        <is>
          <t>2026-06</t>
        </is>
      </c>
      <c r="B1340" t="inlineStr">
        <is>
          <t>Colombia</t>
        </is>
      </c>
      <c r="C1340" t="inlineStr">
        <is>
          <t>Coco Colombia</t>
        </is>
      </c>
      <c r="E1340" t="inlineStr">
        <is>
          <t>Real</t>
        </is>
      </c>
      <c r="F1340" t="inlineStr">
        <is>
          <t>cartera_vencida_cliente</t>
        </is>
      </c>
      <c r="H1340" t="inlineStr">
        <is>
          <t>Otros</t>
        </is>
      </c>
      <c r="I1340" t="n">
        <v>53.5</v>
      </c>
      <c r="J1340" t="inlineStr">
        <is>
          <t>%</t>
        </is>
      </c>
      <c r="K1340" t="inlineStr">
        <is>
          <t>Fuente: informe (no disponible en notas EEFF junio)</t>
        </is>
      </c>
      <c r="L1340" t="inlineStr">
        <is>
          <t>Contabilidad</t>
        </is>
      </c>
      <c r="M1340" t="inlineStr">
        <is>
          <t>Contabilidad</t>
        </is>
      </c>
      <c r="N1340" t="inlineStr">
        <is>
          <t>Mensual</t>
        </is>
      </c>
    </row>
    <row r="1341" ht="14.25" customHeight="1" s="52">
      <c r="A1341" t="inlineStr">
        <is>
          <t>2026-01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pyg_ingresos_operacionales</t>
        </is>
      </c>
      <c r="I1341" t="n">
        <v>612247701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2026-02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pyg_ingresos_operacionales</t>
        </is>
      </c>
      <c r="I1342" t="n">
        <v>744218137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2026-03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pyg_ingresos_operacionales</t>
        </is>
      </c>
      <c r="I1343" t="n">
        <v>787041187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2026-04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pyg_ingresos_operacionales</t>
        </is>
      </c>
      <c r="I1344" t="n">
        <v>750867662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2026-05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pyg_ingresos_operacionales</t>
        </is>
      </c>
      <c r="I1345" t="n">
        <v>826514746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2026-06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pyg_ingresos_operacionales</t>
        </is>
      </c>
      <c r="I1346" t="n">
        <v>751453314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2026-01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pyg_servicio_software</t>
        </is>
      </c>
      <c r="I1347" t="n">
        <v>689690890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2026-02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pyg_servicio_software</t>
        </is>
      </c>
      <c r="I1348" t="n">
        <v>744218137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2026-03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pyg_servicio_software</t>
        </is>
      </c>
      <c r="I1349" t="n">
        <v>839105106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2026-04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pyg_servicio_software</t>
        </is>
      </c>
      <c r="I1350" t="n">
        <v>819197300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2026-05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pyg_servicio_software</t>
        </is>
      </c>
      <c r="I1351" t="n">
        <v>881948086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2026-06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pyg_servicio_software</t>
        </is>
      </c>
      <c r="I1352" t="n">
        <v>929451219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2026-01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pyg_devoluciones</t>
        </is>
      </c>
      <c r="I1353" t="n">
        <v>-77443189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2026-02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pyg_devoluciones</t>
        </is>
      </c>
      <c r="I1354" t="n">
        <v>0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2026-03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pyg_devoluciones</t>
        </is>
      </c>
      <c r="I1355" t="n">
        <v>-52063919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2026-04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pyg_devoluciones</t>
        </is>
      </c>
      <c r="I1356" t="n">
        <v>-68329638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2026-05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pyg_devoluciones</t>
        </is>
      </c>
      <c r="I1357" t="n">
        <v>-55433340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2026-06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pyg_devoluciones</t>
        </is>
      </c>
      <c r="I1358" t="n">
        <v>-177997905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2026-01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pyg_costo_ventas</t>
        </is>
      </c>
      <c r="I1359" t="n">
        <v>238535794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2026-02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pyg_costo_ventas</t>
        </is>
      </c>
      <c r="I1360" t="n">
        <v>343308791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2026-03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pyg_costo_ventas</t>
        </is>
      </c>
      <c r="I1361" t="n">
        <v>455639201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2026-04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pyg_costo_ventas</t>
        </is>
      </c>
      <c r="I1362" t="n">
        <v>379273594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2026-05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pyg_costo_ventas</t>
        </is>
      </c>
      <c r="I1363" t="n">
        <v>355470523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2026-06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pyg_costo_ventas</t>
        </is>
      </c>
      <c r="I1364" t="n">
        <v>348477606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2026-01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pyg_utilidad_bruta</t>
        </is>
      </c>
      <c r="I1365" t="n">
        <v>373711907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2026-02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pyg_utilidad_bruta</t>
        </is>
      </c>
      <c r="I1366" t="n">
        <v>400909346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2026-03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pyg_utilidad_bruta</t>
        </is>
      </c>
      <c r="I1367" t="n">
        <v>331401986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2026-04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pyg_utilidad_bruta</t>
        </is>
      </c>
      <c r="I1368" t="n">
        <v>371594068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2026-05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pyg_utilidad_bruta</t>
        </is>
      </c>
      <c r="I1369" t="n">
        <v>471044223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2026-06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pyg_utilidad_bruta</t>
        </is>
      </c>
      <c r="I1370" t="n">
        <v>402975708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2026-01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pyg_gasto_administracion</t>
        </is>
      </c>
      <c r="I1371" t="n">
        <v>98722435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2026-02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pyg_gasto_administracion</t>
        </is>
      </c>
      <c r="I1372" t="n">
        <v>105633472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2026-03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pyg_gasto_administracion</t>
        </is>
      </c>
      <c r="I1373" t="n">
        <v>141811865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2026-04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pyg_gasto_administracion</t>
        </is>
      </c>
      <c r="I1374" t="n">
        <v>114280887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2026-05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pyg_gasto_administracion</t>
        </is>
      </c>
      <c r="I1375" t="n">
        <v>116808824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2026-06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pyg_gasto_administracion</t>
        </is>
      </c>
      <c r="I1376" t="n">
        <v>112288693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2026-01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pyg_gasto_proyectos</t>
        </is>
      </c>
      <c r="I1377" t="n">
        <v>73409852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2026-02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pyg_gasto_proyectos</t>
        </is>
      </c>
      <c r="I1378" t="n">
        <v>75509638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2026-03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pyg_gasto_proyectos</t>
        </is>
      </c>
      <c r="I1379" t="n">
        <v>72217138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2026-04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pyg_gasto_proyectos</t>
        </is>
      </c>
      <c r="I1380" t="n">
        <v>122384514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2026-05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pyg_gasto_proyectos</t>
        </is>
      </c>
      <c r="I1381" t="n">
        <v>120992711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2026-06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pyg_gasto_proyectos</t>
        </is>
      </c>
      <c r="I1382" t="n">
        <v>108908060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2026-01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pyg_gasto_ventas</t>
        </is>
      </c>
      <c r="I1383" t="n">
        <v>131600259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2026-02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pyg_gasto_ventas</t>
        </is>
      </c>
      <c r="I1384" t="n">
        <v>173632204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2026-03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pyg_gasto_ventas</t>
        </is>
      </c>
      <c r="I1385" t="n">
        <v>139615776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2026-04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pyg_gasto_ventas</t>
        </is>
      </c>
      <c r="I1386" t="n">
        <v>130090415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2026-05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pyg_gasto_ventas</t>
        </is>
      </c>
      <c r="I1387" t="n">
        <v>120233213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2026-06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pyg_gasto_ventas</t>
        </is>
      </c>
      <c r="I1388" t="n">
        <v>146803460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2026-01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pyg_utilidad_operativa</t>
        </is>
      </c>
      <c r="I1389" t="n">
        <v>69979361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2026-02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pyg_utilidad_operativa</t>
        </is>
      </c>
      <c r="I1390" t="n">
        <v>46134032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2026-03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pyg_utilidad_operativa</t>
        </is>
      </c>
      <c r="I1391" t="n">
        <v>-22242793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2026-04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pyg_utilidad_operativa</t>
        </is>
      </c>
      <c r="I1392" t="n">
        <v>4838252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2026-05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pyg_utilidad_operativa</t>
        </is>
      </c>
      <c r="I1393" t="n">
        <v>113009475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2026-06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pyg_utilidad_operativa</t>
        </is>
      </c>
      <c r="I1394" t="n">
        <v>34975495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2026-01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pyg_ingresos_no_operacionales</t>
        </is>
      </c>
      <c r="I1395" t="n">
        <v>597687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2026-02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pyg_ingresos_no_operacionales</t>
        </is>
      </c>
      <c r="I1396" t="n">
        <v>13488976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2026-03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pyg_ingresos_no_operacionales</t>
        </is>
      </c>
      <c r="I1397" t="n">
        <v>-10197660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2026-04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pyg_ingresos_no_operacionales</t>
        </is>
      </c>
      <c r="I1398" t="n">
        <v>906545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2026-05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pyg_ingresos_no_operacionales</t>
        </is>
      </c>
      <c r="I1399" t="n">
        <v>1366339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2026-06</t>
        </is>
      </c>
      <c r="B1400" t="inlineStr">
        <is>
          <t>Colombia</t>
        </is>
      </c>
      <c r="C1400" t="inlineStr">
        <is>
          <t>Coco Colombia</t>
        </is>
      </c>
      <c r="D1400" t="inlineStr">
        <is>
          <t>COP</t>
        </is>
      </c>
      <c r="E1400" t="inlineStr">
        <is>
          <t>Real</t>
        </is>
      </c>
      <c r="F1400" t="inlineStr">
        <is>
          <t>pyg_ingresos_no_operacionales</t>
        </is>
      </c>
      <c r="I1400" t="n">
        <v>3920249</v>
      </c>
      <c r="J1400" t="inlineStr">
        <is>
          <t>COP</t>
        </is>
      </c>
      <c r="K1400" t="inlineStr">
        <is>
          <t>P&amp;G ejecutivo oficial (estados financieros mensuales)</t>
        </is>
      </c>
      <c r="L1400" t="inlineStr">
        <is>
          <t>Finanzas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2026-01</t>
        </is>
      </c>
      <c r="B1401" t="inlineStr">
        <is>
          <t>Colombia</t>
        </is>
      </c>
      <c r="C1401" t="inlineStr">
        <is>
          <t>Coco Colombia</t>
        </is>
      </c>
      <c r="D1401" t="inlineStr">
        <is>
          <t>COP</t>
        </is>
      </c>
      <c r="E1401" t="inlineStr">
        <is>
          <t>Real</t>
        </is>
      </c>
      <c r="F1401" t="inlineStr">
        <is>
          <t>pyg_gastos_financieros</t>
        </is>
      </c>
      <c r="I1401" t="n">
        <v>7091551</v>
      </c>
      <c r="J1401" t="inlineStr">
        <is>
          <t>COP</t>
        </is>
      </c>
      <c r="K1401" t="inlineStr">
        <is>
          <t>P&amp;G ejecutivo oficial (estados financieros mensuales)</t>
        </is>
      </c>
      <c r="L1401" t="inlineStr">
        <is>
          <t>Finanzas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2026-02</t>
        </is>
      </c>
      <c r="B1402" t="inlineStr">
        <is>
          <t>Colombia</t>
        </is>
      </c>
      <c r="C1402" t="inlineStr">
        <is>
          <t>Coco Colombia</t>
        </is>
      </c>
      <c r="D1402" t="inlineStr">
        <is>
          <t>COP</t>
        </is>
      </c>
      <c r="E1402" t="inlineStr">
        <is>
          <t>Real</t>
        </is>
      </c>
      <c r="F1402" t="inlineStr">
        <is>
          <t>pyg_gastos_financieros</t>
        </is>
      </c>
      <c r="I1402" t="n">
        <v>5574093</v>
      </c>
      <c r="J1402" t="inlineStr">
        <is>
          <t>COP</t>
        </is>
      </c>
      <c r="K1402" t="inlineStr">
        <is>
          <t>P&amp;G ejecutivo oficial (estados financieros mensuales)</t>
        </is>
      </c>
      <c r="L1402" t="inlineStr">
        <is>
          <t>Finanzas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2026-03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COP</t>
        </is>
      </c>
      <c r="E1403" t="inlineStr">
        <is>
          <t>Real</t>
        </is>
      </c>
      <c r="F1403" t="inlineStr">
        <is>
          <t>pyg_gastos_financieros</t>
        </is>
      </c>
      <c r="I1403" t="n">
        <v>5497554</v>
      </c>
      <c r="J1403" t="inlineStr">
        <is>
          <t>COP</t>
        </is>
      </c>
      <c r="K1403" t="inlineStr">
        <is>
          <t>P&amp;G ejecutivo oficial (estados financieros mensuales)</t>
        </is>
      </c>
      <c r="L1403" t="inlineStr">
        <is>
          <t>Finanzas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Colombia</t>
        </is>
      </c>
      <c r="C1404" t="inlineStr">
        <is>
          <t>Coco Colombia</t>
        </is>
      </c>
      <c r="D1404" t="inlineStr">
        <is>
          <t>COP</t>
        </is>
      </c>
      <c r="E1404" t="inlineStr">
        <is>
          <t>Real</t>
        </is>
      </c>
      <c r="F1404" t="inlineStr">
        <is>
          <t>pyg_gastos_financieros</t>
        </is>
      </c>
      <c r="I1404" t="n">
        <v>5038594</v>
      </c>
      <c r="J1404" t="inlineStr">
        <is>
          <t>COP</t>
        </is>
      </c>
      <c r="K1404" t="inlineStr">
        <is>
          <t>P&amp;G ejecutivo oficial (estados financieros mensuales)</t>
        </is>
      </c>
      <c r="L1404" t="inlineStr">
        <is>
          <t>Finanzas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Colombia</t>
        </is>
      </c>
      <c r="C1405" t="inlineStr">
        <is>
          <t>Coco Colombia</t>
        </is>
      </c>
      <c r="D1405" t="inlineStr">
        <is>
          <t>COP</t>
        </is>
      </c>
      <c r="E1405" t="inlineStr">
        <is>
          <t>Real</t>
        </is>
      </c>
      <c r="F1405" t="inlineStr">
        <is>
          <t>pyg_gastos_financieros</t>
        </is>
      </c>
      <c r="I1405" t="n">
        <v>6000846</v>
      </c>
      <c r="J1405" t="inlineStr">
        <is>
          <t>COP</t>
        </is>
      </c>
      <c r="K1405" t="inlineStr">
        <is>
          <t>P&amp;G ejecutivo oficial (estados financieros mensuales)</t>
        </is>
      </c>
      <c r="L1405" t="inlineStr">
        <is>
          <t>Finanzas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2026-06</t>
        </is>
      </c>
      <c r="B1406" t="inlineStr">
        <is>
          <t>Colombia</t>
        </is>
      </c>
      <c r="C1406" t="inlineStr">
        <is>
          <t>Coco Colombia</t>
        </is>
      </c>
      <c r="D1406" t="inlineStr">
        <is>
          <t>COP</t>
        </is>
      </c>
      <c r="E1406" t="inlineStr">
        <is>
          <t>Real</t>
        </is>
      </c>
      <c r="F1406" t="inlineStr">
        <is>
          <t>pyg_gastos_financieros</t>
        </is>
      </c>
      <c r="I1406" t="n">
        <v>5552094</v>
      </c>
      <c r="J1406" t="inlineStr">
        <is>
          <t>COP</t>
        </is>
      </c>
      <c r="K1406" t="inlineStr">
        <is>
          <t>P&amp;G ejecutivo oficial (estados financieros mensuales)</t>
        </is>
      </c>
      <c r="L1406" t="inlineStr">
        <is>
          <t>Finanzas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2026-01</t>
        </is>
      </c>
      <c r="B1407" t="inlineStr">
        <is>
          <t>Colombia</t>
        </is>
      </c>
      <c r="C1407" t="inlineStr">
        <is>
          <t>Coco Colombia</t>
        </is>
      </c>
      <c r="D1407" t="inlineStr">
        <is>
          <t>COP</t>
        </is>
      </c>
      <c r="E1407" t="inlineStr">
        <is>
          <t>Real</t>
        </is>
      </c>
      <c r="F1407" t="inlineStr">
        <is>
          <t>pyg_utilidad_neta</t>
        </is>
      </c>
      <c r="I1407" t="n">
        <v>63485497</v>
      </c>
      <c r="J1407" t="inlineStr">
        <is>
          <t>COP</t>
        </is>
      </c>
      <c r="K1407" t="inlineStr">
        <is>
          <t>P&amp;G ejecutivo oficial (estados financieros mensuales)</t>
        </is>
      </c>
      <c r="L1407" t="inlineStr">
        <is>
          <t>Finanzas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2026-02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COP</t>
        </is>
      </c>
      <c r="E1408" t="inlineStr">
        <is>
          <t>Real</t>
        </is>
      </c>
      <c r="F1408" t="inlineStr">
        <is>
          <t>pyg_utilidad_neta</t>
        </is>
      </c>
      <c r="I1408" t="n">
        <v>54048915</v>
      </c>
      <c r="J1408" t="inlineStr">
        <is>
          <t>COP</t>
        </is>
      </c>
      <c r="K1408" t="inlineStr">
        <is>
          <t>P&amp;G ejecutivo oficial (estados financieros mensuales)</t>
        </is>
      </c>
      <c r="L1408" t="inlineStr">
        <is>
          <t>Finanzas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2026-03</t>
        </is>
      </c>
      <c r="B1409" t="inlineStr">
        <is>
          <t>Colombia</t>
        </is>
      </c>
      <c r="C1409" t="inlineStr">
        <is>
          <t>Coco Colombia</t>
        </is>
      </c>
      <c r="D1409" t="inlineStr">
        <is>
          <t>COP</t>
        </is>
      </c>
      <c r="E1409" t="inlineStr">
        <is>
          <t>Real</t>
        </is>
      </c>
      <c r="F1409" t="inlineStr">
        <is>
          <t>pyg_utilidad_neta</t>
        </is>
      </c>
      <c r="I1409" t="n">
        <v>-37938007</v>
      </c>
      <c r="J1409" t="inlineStr">
        <is>
          <t>COP</t>
        </is>
      </c>
      <c r="K1409" t="inlineStr">
        <is>
          <t>P&amp;G ejecutivo oficial (estados financieros mensuales)</t>
        </is>
      </c>
      <c r="L1409" t="inlineStr">
        <is>
          <t>Finanzas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2026-04</t>
        </is>
      </c>
      <c r="B1410" t="inlineStr">
        <is>
          <t>Colombia</t>
        </is>
      </c>
      <c r="C1410" t="inlineStr">
        <is>
          <t>Coco Colombia</t>
        </is>
      </c>
      <c r="D1410" t="inlineStr">
        <is>
          <t>COP</t>
        </is>
      </c>
      <c r="E1410" t="inlineStr">
        <is>
          <t>Real</t>
        </is>
      </c>
      <c r="F1410" t="inlineStr">
        <is>
          <t>pyg_utilidad_neta</t>
        </is>
      </c>
      <c r="I1410" t="n">
        <v>706203</v>
      </c>
      <c r="J1410" t="inlineStr">
        <is>
          <t>COP</t>
        </is>
      </c>
      <c r="K1410" t="inlineStr">
        <is>
          <t>P&amp;G ejecutivo oficial (estados financieros mensuales)</t>
        </is>
      </c>
      <c r="L1410" t="inlineStr">
        <is>
          <t>Finanzas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2026-05</t>
        </is>
      </c>
      <c r="B1411" t="inlineStr">
        <is>
          <t>Colombia</t>
        </is>
      </c>
      <c r="C1411" t="inlineStr">
        <is>
          <t>Coco Colombia</t>
        </is>
      </c>
      <c r="D1411" t="inlineStr">
        <is>
          <t>COP</t>
        </is>
      </c>
      <c r="E1411" t="inlineStr">
        <is>
          <t>Real</t>
        </is>
      </c>
      <c r="F1411" t="inlineStr">
        <is>
          <t>pyg_utilidad_neta</t>
        </is>
      </c>
      <c r="I1411" t="n">
        <v>108374968</v>
      </c>
      <c r="J1411" t="inlineStr">
        <is>
          <t>COP</t>
        </is>
      </c>
      <c r="K1411" t="inlineStr">
        <is>
          <t>P&amp;G ejecutivo oficial (estados financieros mensuales)</t>
        </is>
      </c>
      <c r="L1411" t="inlineStr">
        <is>
          <t>Finanzas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Colombia</t>
        </is>
      </c>
      <c r="C1412" t="inlineStr">
        <is>
          <t>Coco Colombia</t>
        </is>
      </c>
      <c r="D1412" t="inlineStr">
        <is>
          <t>COP</t>
        </is>
      </c>
      <c r="E1412" t="inlineStr">
        <is>
          <t>Real</t>
        </is>
      </c>
      <c r="F1412" t="inlineStr">
        <is>
          <t>pyg_utilidad_neta</t>
        </is>
      </c>
      <c r="I1412" t="n">
        <v>33343650</v>
      </c>
      <c r="J1412" t="inlineStr">
        <is>
          <t>COP</t>
        </is>
      </c>
      <c r="K1412" t="inlineStr">
        <is>
          <t>P&amp;G ejecutivo oficial (estados financieros mensuales)</t>
        </is>
      </c>
      <c r="L1412" t="inlineStr">
        <is>
          <t>Finanzas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2026-04</t>
        </is>
      </c>
      <c r="B1413" t="inlineStr">
        <is>
          <t>EE.UU.</t>
        </is>
      </c>
      <c r="C1413" t="inlineStr">
        <is>
          <t>Coco LLC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5992.45</v>
      </c>
      <c r="J1413" t="inlineStr">
        <is>
          <t>USD</t>
        </is>
      </c>
      <c r="K1413" t="inlineStr">
        <is>
          <t>Homologado desde auxiliar contable (Abril 2026 USA.xlsx). Reemplaza fuente previa (modelo/sin dato).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2026-04</t>
        </is>
      </c>
      <c r="B1414" t="inlineStr">
        <is>
          <t>Perú</t>
        </is>
      </c>
      <c r="C1414" t="inlineStr">
        <is>
          <t>Coco Peru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826.61</v>
      </c>
      <c r="J1414" t="inlineStr">
        <is>
          <t>USD</t>
        </is>
      </c>
      <c r="K1414" t="inlineStr">
        <is>
          <t>Homologado desde auxiliar contable (V4 Abril 2026 PERU.xlsx). Reemplaza fuente previa (modelo/sin dato).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Costa Rica</t>
        </is>
      </c>
      <c r="C1415" t="inlineStr">
        <is>
          <t>Coco Costa Rica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pyg_ingresos_operacionales</t>
        </is>
      </c>
      <c r="G1415" t="inlineStr">
        <is>
          <t>Consolidación USD</t>
        </is>
      </c>
      <c r="I1415" t="n">
        <v>0</v>
      </c>
      <c r="J1415" t="inlineStr">
        <is>
          <t>USD</t>
        </is>
      </c>
      <c r="K1415" t="inlineStr">
        <is>
          <t>Homologado desde auxiliar contable (Abril 2026 CR.xlsx).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Colombia</t>
        </is>
      </c>
      <c r="C1416" t="inlineStr">
        <is>
          <t>Coco Colombia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pyg_ingresos_operacionales</t>
        </is>
      </c>
      <c r="G1416" t="inlineStr">
        <is>
          <t>Consolidación USD</t>
        </is>
      </c>
      <c r="I1416" t="n">
        <v>207564.28</v>
      </c>
      <c r="J1416" t="inlineStr">
        <is>
          <t>USD</t>
        </is>
      </c>
      <c r="K1416" t="inlineStr">
        <is>
          <t>Consolidación subsidiarias (USD). Colombia derivado del P&amp;G oficial / TRM del mes.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Consolidado</t>
        </is>
      </c>
      <c r="C1417" t="inlineStr">
        <is>
          <t>COCO Tecnologias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pyg_ingresos_operacionales</t>
        </is>
      </c>
      <c r="G1417" t="inlineStr">
        <is>
          <t>Consolidación USD</t>
        </is>
      </c>
      <c r="I1417" t="n">
        <v>214383.34</v>
      </c>
      <c r="J1417" t="inlineStr">
        <is>
          <t>USD</t>
        </is>
      </c>
      <c r="K1417" t="inlineStr">
        <is>
          <t>Recalculado: suma Colombia + EE.UU. + Peru + Costa Rica (Consolidacion USD).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2026-05</t>
        </is>
      </c>
      <c r="B1418" t="inlineStr">
        <is>
          <t>EE.UU.</t>
        </is>
      </c>
      <c r="C1418" t="inlineStr">
        <is>
          <t>Coco LLC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pyg_ingresos_operacionales</t>
        </is>
      </c>
      <c r="G1418" t="inlineStr">
        <is>
          <t>Consolidación USD</t>
        </is>
      </c>
      <c r="I1418" t="n">
        <v>9716.450000000001</v>
      </c>
      <c r="J1418" t="inlineStr">
        <is>
          <t>USD</t>
        </is>
      </c>
      <c r="K1418" t="inlineStr">
        <is>
          <t>Homologado desde auxiliar contable (Mayo 2026 USA.xlsx). Reemplaza fuente previa (modelo/sin dato).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2026-05</t>
        </is>
      </c>
      <c r="B1419" t="inlineStr">
        <is>
          <t>Perú</t>
        </is>
      </c>
      <c r="C1419" t="inlineStr">
        <is>
          <t>Coco Peru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pyg_ingresos_operacionales</t>
        </is>
      </c>
      <c r="G1419" t="inlineStr">
        <is>
          <t>Consolidación USD</t>
        </is>
      </c>
      <c r="I1419" t="n">
        <v>819.21</v>
      </c>
      <c r="J1419" t="inlineStr">
        <is>
          <t>USD</t>
        </is>
      </c>
      <c r="K1419" t="inlineStr">
        <is>
          <t>Homologado desde auxiliar contable (Mayo 2026 PERU.xlsx). Reemplaza fuente previa (modelo/sin dato).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Costa Rica</t>
        </is>
      </c>
      <c r="C1420" t="inlineStr">
        <is>
          <t>Coco Costa Rica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pyg_ingresos_operacionales</t>
        </is>
      </c>
      <c r="G1420" t="inlineStr">
        <is>
          <t>Consolidación USD</t>
        </is>
      </c>
      <c r="I1420" t="n">
        <v>0</v>
      </c>
      <c r="J1420" t="inlineStr">
        <is>
          <t>USD</t>
        </is>
      </c>
      <c r="K1420" t="inlineStr">
        <is>
          <t>Homologado desde auxiliar contable (Mayo 2026 CR.xlsx).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Colombia</t>
        </is>
      </c>
      <c r="C1421" t="inlineStr">
        <is>
          <t>Coco Colombia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pyg_ingresos_operacionales</t>
        </is>
      </c>
      <c r="G1421" t="inlineStr">
        <is>
          <t>Consolidación USD</t>
        </is>
      </c>
      <c r="I1421" t="n">
        <v>222539.06</v>
      </c>
      <c r="J1421" t="inlineStr">
        <is>
          <t>USD</t>
        </is>
      </c>
      <c r="K1421" t="inlineStr">
        <is>
          <t>Consolidación subsidiarias (USD). Colombia derivado del P&amp;G oficial / TRM del mes.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Consolidado</t>
        </is>
      </c>
      <c r="C1422" t="inlineStr">
        <is>
          <t>COCO Tecnologias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pyg_ingresos_operacionales</t>
        </is>
      </c>
      <c r="G1422" t="inlineStr">
        <is>
          <t>Consolidación USD</t>
        </is>
      </c>
      <c r="I1422" t="n">
        <v>233074.72</v>
      </c>
      <c r="J1422" t="inlineStr">
        <is>
          <t>USD</t>
        </is>
      </c>
      <c r="K1422" t="inlineStr">
        <is>
          <t>Recalculado: suma Colombia + EE.UU. + Peru + Costa Rica (Consolidacion USD).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2026-06</t>
        </is>
      </c>
      <c r="B1423" t="inlineStr">
        <is>
          <t>EE.UU.</t>
        </is>
      </c>
      <c r="C1423" t="inlineStr">
        <is>
          <t>Coco LLC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pyg_ingresos_operacionales</t>
        </is>
      </c>
      <c r="G1423" t="inlineStr">
        <is>
          <t>Consolidación USD</t>
        </is>
      </c>
      <c r="I1423" t="n">
        <v>5664.45</v>
      </c>
      <c r="J1423" t="inlineStr">
        <is>
          <t>USD</t>
        </is>
      </c>
      <c r="K1423" t="inlineStr">
        <is>
          <t>Homologado desde auxiliar contable (Junio 2026 USA.xlsx). Reemplaza fuente previa (modelo/sin dato).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2026-06</t>
        </is>
      </c>
      <c r="B1424" t="inlineStr">
        <is>
          <t>Perú</t>
        </is>
      </c>
      <c r="C1424" t="inlineStr">
        <is>
          <t>Coco Peru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pyg_ingresos_operacionales</t>
        </is>
      </c>
      <c r="G1424" t="inlineStr">
        <is>
          <t>Consolidación USD</t>
        </is>
      </c>
      <c r="I1424" t="n">
        <v>1821.51</v>
      </c>
      <c r="J1424" t="inlineStr">
        <is>
          <t>USD</t>
        </is>
      </c>
      <c r="K1424" t="inlineStr">
        <is>
          <t>Homologado desde auxiliar contable (Junio 2026 PERU.xlsx). Reemplaza fuente previa (modelo/sin dato).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Costa Rica</t>
        </is>
      </c>
      <c r="C1425" t="inlineStr">
        <is>
          <t>Coco Costa Rica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pyg_ingresos_operacionales</t>
        </is>
      </c>
      <c r="G1425" t="inlineStr">
        <is>
          <t>Consolidación USD</t>
        </is>
      </c>
      <c r="I1425" t="n">
        <v>0</v>
      </c>
      <c r="J1425" t="inlineStr">
        <is>
          <t>USD</t>
        </is>
      </c>
      <c r="K1425" t="inlineStr">
        <is>
          <t>Homologado desde auxiliar contable (Junio 2026 CR.xlsx).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Colombia</t>
        </is>
      </c>
      <c r="C1426" t="inlineStr">
        <is>
          <t>Coco Colombia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pyg_ingresos_operacionales</t>
        </is>
      </c>
      <c r="G1426" t="inlineStr">
        <is>
          <t>Consolidación USD</t>
        </is>
      </c>
      <c r="I1426" t="n">
        <v>214378.26</v>
      </c>
      <c r="J1426" t="inlineStr">
        <is>
          <t>USD</t>
        </is>
      </c>
      <c r="K1426" t="inlineStr">
        <is>
          <t>Consolidación subsidiarias (USD). Colombia derivado del P&amp;G oficial / TRM del mes.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Consolidado</t>
        </is>
      </c>
      <c r="C1427" t="inlineStr">
        <is>
          <t>COCO Tecnologias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pyg_ingresos_operacionales</t>
        </is>
      </c>
      <c r="G1427" t="inlineStr">
        <is>
          <t>Consolidación USD</t>
        </is>
      </c>
      <c r="I1427" t="n">
        <v>221864.22</v>
      </c>
      <c r="J1427" t="inlineStr">
        <is>
          <t>USD</t>
        </is>
      </c>
      <c r="K1427" t="inlineStr">
        <is>
          <t>Recalculado: suma Colombia + EE.UU. + Peru + Costa Rica (Consolidacion USD).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2026-04</t>
        </is>
      </c>
      <c r="B1428" t="inlineStr">
        <is>
          <t>EE.UU.</t>
        </is>
      </c>
      <c r="C1428" t="inlineStr">
        <is>
          <t>Coco LLC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51.18</v>
      </c>
      <c r="J1428" t="inlineStr">
        <is>
          <t>USD</t>
        </is>
      </c>
      <c r="K1428" t="inlineStr">
        <is>
          <t>Homologado desde auxiliar contable (Abril 2026 USA.xlsx). Reemplaza fuente previa (modelo/sin dato).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2026-04</t>
        </is>
      </c>
      <c r="B1429" t="inlineStr">
        <is>
          <t>Perú</t>
        </is>
      </c>
      <c r="C1429" t="inlineStr">
        <is>
          <t>Coco Peru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0</v>
      </c>
      <c r="J1429" t="inlineStr">
        <is>
          <t>USD</t>
        </is>
      </c>
      <c r="K1429" t="inlineStr">
        <is>
          <t>Homologado desde auxiliar contable (V4 Abril 2026 PERU.xlsx). Reemplaza fuente previa (modelo/sin dato).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Costa Rica</t>
        </is>
      </c>
      <c r="C1430" t="inlineStr">
        <is>
          <t>Coco Costa Rica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pyg_ingresos_no_operacionales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CR.xlsx).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Colombia</t>
        </is>
      </c>
      <c r="C1431" t="inlineStr">
        <is>
          <t>Coco Colombia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pyg_ingresos_no_operacionales</t>
        </is>
      </c>
      <c r="G1431" t="inlineStr">
        <is>
          <t>Consolidación USD</t>
        </is>
      </c>
      <c r="I1431" t="n">
        <v>250.6</v>
      </c>
      <c r="J1431" t="inlineStr">
        <is>
          <t>USD</t>
        </is>
      </c>
      <c r="K1431" t="inlineStr">
        <is>
          <t>Consolidación subsidiarias (USD). Colombia derivado del P&amp;G oficial / TRM del mes.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Consolidado</t>
        </is>
      </c>
      <c r="C1432" t="inlineStr">
        <is>
          <t>COCO Tecnologias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pyg_ingresos_no_operacionales</t>
        </is>
      </c>
      <c r="G1432" t="inlineStr">
        <is>
          <t>Consolidación USD</t>
        </is>
      </c>
      <c r="I1432" t="n">
        <v>301.78</v>
      </c>
      <c r="J1432" t="inlineStr">
        <is>
          <t>USD</t>
        </is>
      </c>
      <c r="K1432" t="inlineStr">
        <is>
          <t>Recalculado: suma Colombia + EE.UU. + Peru + Costa Rica (Consolidacion USD).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2026-05</t>
        </is>
      </c>
      <c r="B1433" t="inlineStr">
        <is>
          <t>EE.UU.</t>
        </is>
      </c>
      <c r="C1433" t="inlineStr">
        <is>
          <t>Coco LLC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pyg_ingresos_no_operacionales</t>
        </is>
      </c>
      <c r="G1433" t="inlineStr">
        <is>
          <t>Consolidación USD</t>
        </is>
      </c>
      <c r="I1433" t="n">
        <v>188.15</v>
      </c>
      <c r="J1433" t="inlineStr">
        <is>
          <t>USD</t>
        </is>
      </c>
      <c r="K1433" t="inlineStr">
        <is>
          <t>Homologado desde auxiliar contable (Mayo 2026 USA.xlsx). Reemplaza fuente previa (modelo/sin dato).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2026-05</t>
        </is>
      </c>
      <c r="B1434" t="inlineStr">
        <is>
          <t>Perú</t>
        </is>
      </c>
      <c r="C1434" t="inlineStr">
        <is>
          <t>Coco Peru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pyg_ingresos_no_operacionales</t>
        </is>
      </c>
      <c r="G1434" t="inlineStr">
        <is>
          <t>Consolidación USD</t>
        </is>
      </c>
      <c r="I1434" t="n">
        <v>0</v>
      </c>
      <c r="J1434" t="inlineStr">
        <is>
          <t>USD</t>
        </is>
      </c>
      <c r="K1434" t="inlineStr">
        <is>
          <t>Homologado desde auxiliar contable (Mayo 2026 PERU.xlsx). Reemplaza fuente previa (modelo/sin dato).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Costa Rica</t>
        </is>
      </c>
      <c r="C1435" t="inlineStr">
        <is>
          <t>Coco Costa Rica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pyg_ingresos_no_operacionales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CR.xlsx).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Colombia</t>
        </is>
      </c>
      <c r="C1436" t="inlineStr">
        <is>
          <t>Coco Colombia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pyg_ingresos_no_operacionales</t>
        </is>
      </c>
      <c r="G1436" t="inlineStr">
        <is>
          <t>Consolidación USD</t>
        </is>
      </c>
      <c r="I1436" t="n">
        <v>367.89</v>
      </c>
      <c r="J1436" t="inlineStr">
        <is>
          <t>USD</t>
        </is>
      </c>
      <c r="K1436" t="inlineStr">
        <is>
          <t>Consolidación subsidiarias (USD). Colombia derivado del P&amp;G oficial / TRM del mes.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Consolidado</t>
        </is>
      </c>
      <c r="C1437" t="inlineStr">
        <is>
          <t>COCO Tecnologias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pyg_ingresos_no_operacionales</t>
        </is>
      </c>
      <c r="G1437" t="inlineStr">
        <is>
          <t>Consolidación USD</t>
        </is>
      </c>
      <c r="I1437" t="n">
        <v>556.04</v>
      </c>
      <c r="J1437" t="inlineStr">
        <is>
          <t>USD</t>
        </is>
      </c>
      <c r="K1437" t="inlineStr">
        <is>
          <t>Recalculado: suma Colombia + EE.UU. + Peru + Costa Rica (Consolidacion USD).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2026-06</t>
        </is>
      </c>
      <c r="B1438" t="inlineStr">
        <is>
          <t>EE.UU.</t>
        </is>
      </c>
      <c r="C1438" t="inlineStr">
        <is>
          <t>Coco LLC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pyg_ingresos_no_operacionales</t>
        </is>
      </c>
      <c r="G1438" t="inlineStr">
        <is>
          <t>Consolidación USD</t>
        </is>
      </c>
      <c r="I1438" t="n">
        <v>165.11</v>
      </c>
      <c r="J1438" t="inlineStr">
        <is>
          <t>USD</t>
        </is>
      </c>
      <c r="K1438" t="inlineStr">
        <is>
          <t>Homologado desde auxiliar contable (Junio 2026 USA.xlsx). Reemplaza fuente previa (modelo/sin dato).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2026-06</t>
        </is>
      </c>
      <c r="B1439" t="inlineStr">
        <is>
          <t>Perú</t>
        </is>
      </c>
      <c r="C1439" t="inlineStr">
        <is>
          <t>Coco Peru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pyg_ingresos_no_operacionales</t>
        </is>
      </c>
      <c r="G1439" t="inlineStr">
        <is>
          <t>Consolidación USD</t>
        </is>
      </c>
      <c r="I1439" t="n">
        <v>0</v>
      </c>
      <c r="J1439" t="inlineStr">
        <is>
          <t>USD</t>
        </is>
      </c>
      <c r="K1439" t="inlineStr">
        <is>
          <t>Homologado desde auxiliar contable (Junio 2026 PERU.xlsx). Reemplaza fuente previa (modelo/sin dato).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Costa Rica</t>
        </is>
      </c>
      <c r="C1440" t="inlineStr">
        <is>
          <t>Coco Costa Rica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pyg_ingresos_no_operacionales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CR.xlsx).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Colombia</t>
        </is>
      </c>
      <c r="C1441" t="inlineStr">
        <is>
          <t>Coco Colombia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pyg_ingresos_no_operacionales</t>
        </is>
      </c>
      <c r="G1441" t="inlineStr">
        <is>
          <t>Consolidación USD</t>
        </is>
      </c>
      <c r="I1441" t="n">
        <v>1118.39</v>
      </c>
      <c r="J1441" t="inlineStr">
        <is>
          <t>USD</t>
        </is>
      </c>
      <c r="K1441" t="inlineStr">
        <is>
          <t>Consolidación subsidiarias (USD). Colombia derivado del P&amp;G oficial / TRM del mes.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Consolidado</t>
        </is>
      </c>
      <c r="C1442" t="inlineStr">
        <is>
          <t>COCO Tecnologias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pyg_ingresos_no_operacionales</t>
        </is>
      </c>
      <c r="G1442" t="inlineStr">
        <is>
          <t>Consolidación USD</t>
        </is>
      </c>
      <c r="I1442" t="n">
        <v>1283.5</v>
      </c>
      <c r="J1442" t="inlineStr">
        <is>
          <t>USD</t>
        </is>
      </c>
      <c r="K1442" t="inlineStr">
        <is>
          <t>Recalculado: suma Colombia + EE.UU. + Peru + Costa Rica (Consolidacion USD).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2026-04</t>
        </is>
      </c>
      <c r="B1443" t="inlineStr">
        <is>
          <t>EE.UU.</t>
        </is>
      </c>
      <c r="C1443" t="inlineStr">
        <is>
          <t>Coco LLC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0</v>
      </c>
      <c r="J1443" t="inlineStr">
        <is>
          <t>USD</t>
        </is>
      </c>
      <c r="K1443" t="inlineStr">
        <is>
          <t>Homologado desde auxiliar contable (Abril 2026 USA.xlsx). Reemplaza fuente previa (modelo/sin dato).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2026-04</t>
        </is>
      </c>
      <c r="B1444" t="inlineStr">
        <is>
          <t>Perú</t>
        </is>
      </c>
      <c r="C1444" t="inlineStr">
        <is>
          <t>Coco Peru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0</v>
      </c>
      <c r="J1444" t="inlineStr">
        <is>
          <t>USD</t>
        </is>
      </c>
      <c r="K1444" t="inlineStr">
        <is>
          <t>Homologado desde auxiliar contable (V4 Abril 2026 PERU.xlsx). Reemplaza fuente previa (modelo/sin dato).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Costa Rica</t>
        </is>
      </c>
      <c r="C1445" t="inlineStr">
        <is>
          <t>Coco Costa Rica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pyg_costo_ventas</t>
        </is>
      </c>
      <c r="G1445" t="inlineStr">
        <is>
          <t>Consolidación USD</t>
        </is>
      </c>
      <c r="I1445" t="n">
        <v>0</v>
      </c>
      <c r="J1445" t="inlineStr">
        <is>
          <t>USD</t>
        </is>
      </c>
      <c r="K1445" t="inlineStr">
        <is>
          <t>Homologado desde auxiliar contable (Abril 2026 CR.xlsx).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Colombia</t>
        </is>
      </c>
      <c r="C1446" t="inlineStr">
        <is>
          <t>Coco Colombia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pyg_costo_ventas</t>
        </is>
      </c>
      <c r="G1446" t="inlineStr">
        <is>
          <t>Consolidación USD</t>
        </is>
      </c>
      <c r="I1446" t="n">
        <v>104843.58</v>
      </c>
      <c r="J1446" t="inlineStr">
        <is>
          <t>USD</t>
        </is>
      </c>
      <c r="K1446" t="inlineStr">
        <is>
          <t>Consolidación subsidiarias (USD). Colombia derivado del P&amp;G oficial / TRM del mes.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Consolidado</t>
        </is>
      </c>
      <c r="C1447" t="inlineStr">
        <is>
          <t>COCO Tecnologias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pyg_costo_ventas</t>
        </is>
      </c>
      <c r="G1447" t="inlineStr">
        <is>
          <t>Consolidación USD</t>
        </is>
      </c>
      <c r="I1447" t="n">
        <v>104843.58</v>
      </c>
      <c r="J1447" t="inlineStr">
        <is>
          <t>USD</t>
        </is>
      </c>
      <c r="K1447" t="inlineStr">
        <is>
          <t>Recalculado: suma Colombia + EE.UU. + Peru + Costa Rica (Consolidacion USD).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2026-05</t>
        </is>
      </c>
      <c r="B1448" t="inlineStr">
        <is>
          <t>EE.UU.</t>
        </is>
      </c>
      <c r="C1448" t="inlineStr">
        <is>
          <t>Coco LLC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pyg_costo_ventas</t>
        </is>
      </c>
      <c r="G1448" t="inlineStr">
        <is>
          <t>Consolidación USD</t>
        </is>
      </c>
      <c r="I1448" t="n">
        <v>0</v>
      </c>
      <c r="J1448" t="inlineStr">
        <is>
          <t>USD</t>
        </is>
      </c>
      <c r="K1448" t="inlineStr">
        <is>
          <t>Homologado desde auxiliar contable (Mayo 2026 USA.xlsx). Reemplaza fuente previa (modelo/sin dato).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2026-05</t>
        </is>
      </c>
      <c r="B1449" t="inlineStr">
        <is>
          <t>Perú</t>
        </is>
      </c>
      <c r="C1449" t="inlineStr">
        <is>
          <t>Coco Peru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pyg_costo_ventas</t>
        </is>
      </c>
      <c r="G1449" t="inlineStr">
        <is>
          <t>Consolidación USD</t>
        </is>
      </c>
      <c r="I1449" t="n">
        <v>0</v>
      </c>
      <c r="J1449" t="inlineStr">
        <is>
          <t>USD</t>
        </is>
      </c>
      <c r="K1449" t="inlineStr">
        <is>
          <t>Homologado desde auxiliar contable (Mayo 2026 PERU.xlsx). Reemplaza fuente previa (modelo/sin dato).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Costa Rica</t>
        </is>
      </c>
      <c r="C1450" t="inlineStr">
        <is>
          <t>Coco Costa Rica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pyg_costo_ventas</t>
        </is>
      </c>
      <c r="G1450" t="inlineStr">
        <is>
          <t>Consolidación USD</t>
        </is>
      </c>
      <c r="I1450" t="n">
        <v>0</v>
      </c>
      <c r="J1450" t="inlineStr">
        <is>
          <t>USD</t>
        </is>
      </c>
      <c r="K1450" t="inlineStr">
        <is>
          <t>Homologado desde auxiliar contable (Mayo 2026 CR.xlsx).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Colombia</t>
        </is>
      </c>
      <c r="C1451" t="inlineStr">
        <is>
          <t>Coco Colombia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pyg_costo_ventas</t>
        </is>
      </c>
      <c r="G1451" t="inlineStr">
        <is>
          <t>Consolidación USD</t>
        </is>
      </c>
      <c r="I1451" t="n">
        <v>95710.42</v>
      </c>
      <c r="J1451" t="inlineStr">
        <is>
          <t>USD</t>
        </is>
      </c>
      <c r="K1451" t="inlineStr">
        <is>
          <t>Consolidación subsidiarias (USD). Colombia derivado del P&amp;G oficial / TRM del mes.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Consolidado</t>
        </is>
      </c>
      <c r="C1452" t="inlineStr">
        <is>
          <t>COCO Tecnologias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pyg_costo_ventas</t>
        </is>
      </c>
      <c r="G1452" t="inlineStr">
        <is>
          <t>Consolidación USD</t>
        </is>
      </c>
      <c r="I1452" t="n">
        <v>95710.42</v>
      </c>
      <c r="J1452" t="inlineStr">
        <is>
          <t>USD</t>
        </is>
      </c>
      <c r="K1452" t="inlineStr">
        <is>
          <t>Recalculado: suma Colombia + EE.UU. + Peru + Costa Rica (Consolidacion USD).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2026-06</t>
        </is>
      </c>
      <c r="B1453" t="inlineStr">
        <is>
          <t>EE.UU.</t>
        </is>
      </c>
      <c r="C1453" t="inlineStr">
        <is>
          <t>Coco LLC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pyg_costo_ventas</t>
        </is>
      </c>
      <c r="G1453" t="inlineStr">
        <is>
          <t>Consolidación USD</t>
        </is>
      </c>
      <c r="I1453" t="n">
        <v>0</v>
      </c>
      <c r="J1453" t="inlineStr">
        <is>
          <t>USD</t>
        </is>
      </c>
      <c r="K1453" t="inlineStr">
        <is>
          <t>Homologado desde auxiliar contable (Junio 2026 USA.xlsx). Reemplaza fuente previa (modelo/sin dato).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2026-06</t>
        </is>
      </c>
      <c r="B1454" t="inlineStr">
        <is>
          <t>Perú</t>
        </is>
      </c>
      <c r="C1454" t="inlineStr">
        <is>
          <t>Coco Peru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pyg_costo_ventas</t>
        </is>
      </c>
      <c r="G1454" t="inlineStr">
        <is>
          <t>Consolidación USD</t>
        </is>
      </c>
      <c r="I1454" t="n">
        <v>0</v>
      </c>
      <c r="J1454" t="inlineStr">
        <is>
          <t>USD</t>
        </is>
      </c>
      <c r="K1454" t="inlineStr">
        <is>
          <t>Homologado desde auxiliar contable (Junio 2026 PERU.xlsx). Reemplaza fuente previa (modelo/sin dato).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Costa Rica</t>
        </is>
      </c>
      <c r="C1455" t="inlineStr">
        <is>
          <t>Coco Costa Rica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pyg_costo_ventas</t>
        </is>
      </c>
      <c r="G1455" t="inlineStr">
        <is>
          <t>Consolidación USD</t>
        </is>
      </c>
      <c r="I1455" t="n">
        <v>0</v>
      </c>
      <c r="J1455" t="inlineStr">
        <is>
          <t>USD</t>
        </is>
      </c>
      <c r="K1455" t="inlineStr">
        <is>
          <t>Homologado desde auxiliar contable (Junio 2026 CR.xlsx).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Colombia</t>
        </is>
      </c>
      <c r="C1456" t="inlineStr">
        <is>
          <t>Coco Colombia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pyg_costo_ventas</t>
        </is>
      </c>
      <c r="G1456" t="inlineStr">
        <is>
          <t>Consolidación USD</t>
        </is>
      </c>
      <c r="I1456" t="n">
        <v>99415.39</v>
      </c>
      <c r="J1456" t="inlineStr">
        <is>
          <t>USD</t>
        </is>
      </c>
      <c r="K1456" t="inlineStr">
        <is>
          <t>Consolidación subsidiarias (USD). Colombia derivado del P&amp;G oficial / TRM del mes.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Consolidado</t>
        </is>
      </c>
      <c r="C1457" t="inlineStr">
        <is>
          <t>COCO Tecnologias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pyg_costo_ventas</t>
        </is>
      </c>
      <c r="G1457" t="inlineStr">
        <is>
          <t>Consolidación USD</t>
        </is>
      </c>
      <c r="I1457" t="n">
        <v>99415.39</v>
      </c>
      <c r="J1457" t="inlineStr">
        <is>
          <t>USD</t>
        </is>
      </c>
      <c r="K1457" t="inlineStr">
        <is>
          <t>Recalculado: suma Colombia + EE.UU. + Peru + Costa Rica (Consolidacion USD).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2026-04</t>
        </is>
      </c>
      <c r="B1458" t="inlineStr">
        <is>
          <t>EE.UU.</t>
        </is>
      </c>
      <c r="C1458" t="inlineStr">
        <is>
          <t>Coco LLC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7117.46</v>
      </c>
      <c r="J1458" t="inlineStr">
        <is>
          <t>USD</t>
        </is>
      </c>
      <c r="K1458" t="inlineStr">
        <is>
          <t>Homologado desde auxiliar contable (Abril 2026 USA.xlsx). Reemplaza fuente previa (modelo/sin dato).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2026-04</t>
        </is>
      </c>
      <c r="B1459" t="inlineStr">
        <is>
          <t>Perú</t>
        </is>
      </c>
      <c r="C1459" t="inlineStr">
        <is>
          <t>Coco Peru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471.75</v>
      </c>
      <c r="J1459" t="inlineStr">
        <is>
          <t>USD</t>
        </is>
      </c>
      <c r="K1459" t="inlineStr">
        <is>
          <t>Homologado desde auxiliar contable (V4 Abril 2026 PERU.xlsx). Reemplaza fuente previa (modelo/sin dato).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Costa Rica</t>
        </is>
      </c>
      <c r="C1460" t="inlineStr">
        <is>
          <t>Coco Costa Rica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pyg_gasto_administracion</t>
        </is>
      </c>
      <c r="G1460" t="inlineStr">
        <is>
          <t>Consolidación USD</t>
        </is>
      </c>
      <c r="I1460" t="n">
        <v>11279.07</v>
      </c>
      <c r="J1460" t="inlineStr">
        <is>
          <t>USD</t>
        </is>
      </c>
      <c r="K1460" t="inlineStr">
        <is>
          <t>Homologado desde auxiliar contable (Abril 2026 CR.xlsx).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Colombia</t>
        </is>
      </c>
      <c r="C1461" t="inlineStr">
        <is>
          <t>Coco Colombia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pyg_gasto_administracion</t>
        </is>
      </c>
      <c r="G1461" t="inlineStr">
        <is>
          <t>Consolidación USD</t>
        </is>
      </c>
      <c r="I1461" t="n">
        <v>31590.96</v>
      </c>
      <c r="J1461" t="inlineStr">
        <is>
          <t>USD</t>
        </is>
      </c>
      <c r="K1461" t="inlineStr">
        <is>
          <t>Consolidación subsidiarias (USD). Colombia derivado del P&amp;G oficial / TRM del mes.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Consolidado</t>
        </is>
      </c>
      <c r="C1462" t="inlineStr">
        <is>
          <t>COCO Tecnologias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pyg_gasto_administracion</t>
        </is>
      </c>
      <c r="G1462" t="inlineStr">
        <is>
          <t>Consolidación USD</t>
        </is>
      </c>
      <c r="I1462" t="n">
        <v>50459.24</v>
      </c>
      <c r="J1462" t="inlineStr">
        <is>
          <t>USD</t>
        </is>
      </c>
      <c r="K1462" t="inlineStr">
        <is>
          <t>Recalculado: suma Colombia + EE.UU. + Peru + Costa Rica (Consolidacion USD).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2026-05</t>
        </is>
      </c>
      <c r="B1463" t="inlineStr">
        <is>
          <t>EE.UU.</t>
        </is>
      </c>
      <c r="C1463" t="inlineStr">
        <is>
          <t>Coco LLC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pyg_gasto_administracion</t>
        </is>
      </c>
      <c r="G1463" t="inlineStr">
        <is>
          <t>Consolidación USD</t>
        </is>
      </c>
      <c r="I1463" t="n">
        <v>11883.61</v>
      </c>
      <c r="J1463" t="inlineStr">
        <is>
          <t>USD</t>
        </is>
      </c>
      <c r="K1463" t="inlineStr">
        <is>
          <t>Homologado desde auxiliar contable (Mayo 2026 USA.xlsx). Reemplaza fuente previa (modelo/sin dato).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2026-05</t>
        </is>
      </c>
      <c r="B1464" t="inlineStr">
        <is>
          <t>Perú</t>
        </is>
      </c>
      <c r="C1464" t="inlineStr">
        <is>
          <t>Coco Peru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pyg_gasto_administracion</t>
        </is>
      </c>
      <c r="G1464" t="inlineStr">
        <is>
          <t>Consolidación USD</t>
        </is>
      </c>
      <c r="I1464" t="n">
        <v>357.89</v>
      </c>
      <c r="J1464" t="inlineStr">
        <is>
          <t>USD</t>
        </is>
      </c>
      <c r="K1464" t="inlineStr">
        <is>
          <t>Homologado desde auxiliar contable (Mayo 2026 PERU.xlsx). Reemplaza fuente previa (modelo/sin dato).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Costa Rica</t>
        </is>
      </c>
      <c r="C1465" t="inlineStr">
        <is>
          <t>Coco Costa Rica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pyg_gasto_administracion</t>
        </is>
      </c>
      <c r="G1465" t="inlineStr">
        <is>
          <t>Consolidación USD</t>
        </is>
      </c>
      <c r="I1465" t="n">
        <v>1357.8</v>
      </c>
      <c r="J1465" t="inlineStr">
        <is>
          <t>USD</t>
        </is>
      </c>
      <c r="K1465" t="inlineStr">
        <is>
          <t>Homologado desde auxiliar contable (Mayo 2026 CR.xlsx).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Colombia</t>
        </is>
      </c>
      <c r="C1466" t="inlineStr">
        <is>
          <t>Coco Colombia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pyg_gasto_administracion</t>
        </is>
      </c>
      <c r="G1466" t="inlineStr">
        <is>
          <t>Consolidación USD</t>
        </is>
      </c>
      <c r="I1466" t="n">
        <v>31450.77</v>
      </c>
      <c r="J1466" t="inlineStr">
        <is>
          <t>USD</t>
        </is>
      </c>
      <c r="K1466" t="inlineStr">
        <is>
          <t>Consolidación subsidiarias (USD). Colombia derivado del P&amp;G oficial / TRM del mes.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Consolidado</t>
        </is>
      </c>
      <c r="C1467" t="inlineStr">
        <is>
          <t>COCO Tecnologias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pyg_gasto_administracion</t>
        </is>
      </c>
      <c r="G1467" t="inlineStr">
        <is>
          <t>Consolidación USD</t>
        </is>
      </c>
      <c r="I1467" t="n">
        <v>45050.07</v>
      </c>
      <c r="J1467" t="inlineStr">
        <is>
          <t>USD</t>
        </is>
      </c>
      <c r="K1467" t="inlineStr">
        <is>
          <t>Recalculado: suma Colombia + EE.UU. + Peru + Costa Rica (Consolidacion USD).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2026-06</t>
        </is>
      </c>
      <c r="B1468" t="inlineStr">
        <is>
          <t>EE.UU.</t>
        </is>
      </c>
      <c r="C1468" t="inlineStr">
        <is>
          <t>Coco LLC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pyg_gasto_administracion</t>
        </is>
      </c>
      <c r="G1468" t="inlineStr">
        <is>
          <t>Consolidación USD</t>
        </is>
      </c>
      <c r="I1468" t="n">
        <v>16502.37</v>
      </c>
      <c r="J1468" t="inlineStr">
        <is>
          <t>USD</t>
        </is>
      </c>
      <c r="K1468" t="inlineStr">
        <is>
          <t>Homologado desde auxiliar contable (Junio 2026 USA.xlsx). Reemplaza fuente previa (modelo/sin dato).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2026-06</t>
        </is>
      </c>
      <c r="B1469" t="inlineStr">
        <is>
          <t>Perú</t>
        </is>
      </c>
      <c r="C1469" t="inlineStr">
        <is>
          <t>Coco Peru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pyg_gasto_administracion</t>
        </is>
      </c>
      <c r="G1469" t="inlineStr">
        <is>
          <t>Consolidación USD</t>
        </is>
      </c>
      <c r="I1469" t="n">
        <v>257.86</v>
      </c>
      <c r="J1469" t="inlineStr">
        <is>
          <t>USD</t>
        </is>
      </c>
      <c r="K1469" t="inlineStr">
        <is>
          <t>Homologado desde auxiliar contable (Junio 2026 PERU.xlsx). Reemplaza fuente previa (modelo/sin dato).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Costa Rica</t>
        </is>
      </c>
      <c r="C1470" t="inlineStr">
        <is>
          <t>Coco Costa Rica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pyg_gasto_administracion</t>
        </is>
      </c>
      <c r="G1470" t="inlineStr">
        <is>
          <t>Consolidación USD</t>
        </is>
      </c>
      <c r="I1470" t="n">
        <v>2621.99</v>
      </c>
      <c r="J1470" t="inlineStr">
        <is>
          <t>USD</t>
        </is>
      </c>
      <c r="K1470" t="inlineStr">
        <is>
          <t>Homologado desde auxiliar contable (Junio 2026 CR.xlsx).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Colombia</t>
        </is>
      </c>
      <c r="C1471" t="inlineStr">
        <is>
          <t>Coco Colombia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pyg_gasto_administracion</t>
        </is>
      </c>
      <c r="G1471" t="inlineStr">
        <is>
          <t>Consolidación USD</t>
        </is>
      </c>
      <c r="I1471" t="n">
        <v>32034.26</v>
      </c>
      <c r="J1471" t="inlineStr">
        <is>
          <t>USD</t>
        </is>
      </c>
      <c r="K1471" t="inlineStr">
        <is>
          <t>Consolidación subsidiarias (USD). Colombia derivado del P&amp;G oficial / TRM del mes.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Consolidado</t>
        </is>
      </c>
      <c r="C1472" t="inlineStr">
        <is>
          <t>COCO Tecnologias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pyg_gasto_administracion</t>
        </is>
      </c>
      <c r="G1472" t="inlineStr">
        <is>
          <t>Consolidación USD</t>
        </is>
      </c>
      <c r="I1472" t="n">
        <v>51416.48</v>
      </c>
      <c r="J1472" t="inlineStr">
        <is>
          <t>USD</t>
        </is>
      </c>
      <c r="K1472" t="inlineStr">
        <is>
          <t>Recalculado: suma Colombia + EE.UU. + Peru + Costa Rica (Consolidacion USD).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2026-04</t>
        </is>
      </c>
      <c r="B1473" t="inlineStr">
        <is>
          <t>EE.UU.</t>
        </is>
      </c>
      <c r="C1473" t="inlineStr">
        <is>
          <t>Coco LLC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0</v>
      </c>
      <c r="J1473" t="inlineStr">
        <is>
          <t>USD</t>
        </is>
      </c>
      <c r="K1473" t="inlineStr">
        <is>
          <t>Homologado desde auxiliar contable (Abril 2026 USA.xlsx). Reemplaza fuente previa (modelo/sin dato).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2026-04</t>
        </is>
      </c>
      <c r="B1474" t="inlineStr">
        <is>
          <t>Perú</t>
        </is>
      </c>
      <c r="C1474" t="inlineStr">
        <is>
          <t>Coco Peru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246.79</v>
      </c>
      <c r="J1474" t="inlineStr">
        <is>
          <t>USD</t>
        </is>
      </c>
      <c r="K1474" t="inlineStr">
        <is>
          <t>Homologado desde auxiliar contable (V4 Abril 2026 PERU.xlsx). Reemplaza fuente previa (modelo/sin dato).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Costa Rica</t>
        </is>
      </c>
      <c r="C1475" t="inlineStr">
        <is>
          <t>Coco Costa Rica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pyg_gasto_ventas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CR.xlsx).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Colombia</t>
        </is>
      </c>
      <c r="C1476" t="inlineStr">
        <is>
          <t>Coco Colombia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pyg_gasto_ventas</t>
        </is>
      </c>
      <c r="G1476" t="inlineStr">
        <is>
          <t>Consolidación USD</t>
        </is>
      </c>
      <c r="I1476" t="n">
        <v>35961.23</v>
      </c>
      <c r="J1476" t="inlineStr">
        <is>
          <t>USD</t>
        </is>
      </c>
      <c r="K1476" t="inlineStr">
        <is>
          <t>Consolidación subsidiarias (USD). Colombia derivado del P&amp;G oficial / TRM del mes.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Consolidado</t>
        </is>
      </c>
      <c r="C1477" t="inlineStr">
        <is>
          <t>COCO Tecnologias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pyg_gasto_ventas</t>
        </is>
      </c>
      <c r="G1477" t="inlineStr">
        <is>
          <t>Consolidación USD</t>
        </is>
      </c>
      <c r="I1477" t="n">
        <v>36208.02</v>
      </c>
      <c r="J1477" t="inlineStr">
        <is>
          <t>USD</t>
        </is>
      </c>
      <c r="K1477" t="inlineStr">
        <is>
          <t>Recalculado: suma Colombia + EE.UU. + Peru + Costa Rica (Consolidacion USD).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2026-05</t>
        </is>
      </c>
      <c r="B1478" t="inlineStr">
        <is>
          <t>EE.UU.</t>
        </is>
      </c>
      <c r="C1478" t="inlineStr">
        <is>
          <t>Coco LLC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pyg_gasto_ventas</t>
        </is>
      </c>
      <c r="G1478" t="inlineStr">
        <is>
          <t>Consolidación USD</t>
        </is>
      </c>
      <c r="I1478" t="n">
        <v>7500</v>
      </c>
      <c r="J1478" t="inlineStr">
        <is>
          <t>USD</t>
        </is>
      </c>
      <c r="K1478" t="inlineStr">
        <is>
          <t>Homologado desde auxiliar contable (Mayo 2026 USA.xlsx). Reemplaza fuente previa (modelo/sin dato).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2026-05</t>
        </is>
      </c>
      <c r="B1479" t="inlineStr">
        <is>
          <t>Perú</t>
        </is>
      </c>
      <c r="C1479" t="inlineStr">
        <is>
          <t>Coco Peru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pyg_gasto_ventas</t>
        </is>
      </c>
      <c r="G1479" t="inlineStr">
        <is>
          <t>Consolidación USD</t>
        </is>
      </c>
      <c r="I1479" t="n">
        <v>10285.3</v>
      </c>
      <c r="J1479" t="inlineStr">
        <is>
          <t>USD</t>
        </is>
      </c>
      <c r="K1479" t="inlineStr">
        <is>
          <t>Homologado desde auxiliar contable (Mayo 2026 PERU.xlsx). Reemplaza fuente previa (modelo/sin dato).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Costa Rica</t>
        </is>
      </c>
      <c r="C1480" t="inlineStr">
        <is>
          <t>Coco Costa Rica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pyg_gasto_ventas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CR.xlsx).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Colombia</t>
        </is>
      </c>
      <c r="C1481" t="inlineStr">
        <is>
          <t>Coco Colombia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pyg_gasto_ventas</t>
        </is>
      </c>
      <c r="G1481" t="inlineStr">
        <is>
          <t>Consolidación USD</t>
        </is>
      </c>
      <c r="I1481" t="n">
        <v>32372.79</v>
      </c>
      <c r="J1481" t="inlineStr">
        <is>
          <t>USD</t>
        </is>
      </c>
      <c r="K1481" t="inlineStr">
        <is>
          <t>Consolidación subsidiarias (USD). Colombia derivado del P&amp;G oficial / TRM del mes.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Consolidado</t>
        </is>
      </c>
      <c r="C1482" t="inlineStr">
        <is>
          <t>COCO Tecnologias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pyg_gasto_ventas</t>
        </is>
      </c>
      <c r="G1482" t="inlineStr">
        <is>
          <t>Consolidación USD</t>
        </is>
      </c>
      <c r="I1482" t="n">
        <v>50158.09</v>
      </c>
      <c r="J1482" t="inlineStr">
        <is>
          <t>USD</t>
        </is>
      </c>
      <c r="K1482" t="inlineStr">
        <is>
          <t>Recalculado: suma Colombia + EE.UU. + Peru + Costa Rica (Consolidacion USD).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2026-06</t>
        </is>
      </c>
      <c r="B1483" t="inlineStr">
        <is>
          <t>EE.UU.</t>
        </is>
      </c>
      <c r="C1483" t="inlineStr">
        <is>
          <t>Coco LLC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pyg_gasto_ventas</t>
        </is>
      </c>
      <c r="G1483" t="inlineStr">
        <is>
          <t>Consolidación USD</t>
        </is>
      </c>
      <c r="I1483" t="n">
        <v>2500</v>
      </c>
      <c r="J1483" t="inlineStr">
        <is>
          <t>USD</t>
        </is>
      </c>
      <c r="K1483" t="inlineStr">
        <is>
          <t>Homologado desde auxiliar contable (Junio 2026 USA.xlsx). Reemplaza fuente previa (modelo/sin dato).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2026-06</t>
        </is>
      </c>
      <c r="B1484" t="inlineStr">
        <is>
          <t>Perú</t>
        </is>
      </c>
      <c r="C1484" t="inlineStr">
        <is>
          <t>Coco Peru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pyg_gasto_ventas</t>
        </is>
      </c>
      <c r="G1484" t="inlineStr">
        <is>
          <t>Consolidación USD</t>
        </is>
      </c>
      <c r="I1484" t="n">
        <v>3294.66</v>
      </c>
      <c r="J1484" t="inlineStr">
        <is>
          <t>USD</t>
        </is>
      </c>
      <c r="K1484" t="inlineStr">
        <is>
          <t>Homologado desde auxiliar contable (Junio 2026 PERU.xlsx). Reemplaza fuente previa (modelo/sin dato).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Costa Rica</t>
        </is>
      </c>
      <c r="C1485" t="inlineStr">
        <is>
          <t>Coco Costa Rica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pyg_gasto_ventas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CR.xlsx).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Colombia</t>
        </is>
      </c>
      <c r="C1486" t="inlineStr">
        <is>
          <t>Coco Colombia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pyg_gasto_ventas</t>
        </is>
      </c>
      <c r="G1486" t="inlineStr">
        <is>
          <t>Consolidación USD</t>
        </is>
      </c>
      <c r="I1486" t="n">
        <v>41880.81</v>
      </c>
      <c r="J1486" t="inlineStr">
        <is>
          <t>USD</t>
        </is>
      </c>
      <c r="K1486" t="inlineStr">
        <is>
          <t>Consolidación subsidiarias (USD). Colombia derivado del P&amp;G oficial / TRM del mes.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Consolidado</t>
        </is>
      </c>
      <c r="C1487" t="inlineStr">
        <is>
          <t>COCO Tecnologias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pyg_gasto_ventas</t>
        </is>
      </c>
      <c r="G1487" t="inlineStr">
        <is>
          <t>Consolidación USD</t>
        </is>
      </c>
      <c r="I1487" t="n">
        <v>47675.47</v>
      </c>
      <c r="J1487" t="inlineStr">
        <is>
          <t>USD</t>
        </is>
      </c>
      <c r="K1487" t="inlineStr">
        <is>
          <t>Recalculado: suma Colombia + EE.UU. + Peru + Costa Rica (Consolidacion USD).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2026-04</t>
        </is>
      </c>
      <c r="B1488" t="inlineStr">
        <is>
          <t>EE.UU.</t>
        </is>
      </c>
      <c r="C1488" t="inlineStr">
        <is>
          <t>Coco LLC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0</v>
      </c>
      <c r="J1488" t="inlineStr">
        <is>
          <t>USD</t>
        </is>
      </c>
      <c r="K1488" t="inlineStr">
        <is>
          <t>Homologado desde auxiliar contable (Abril 2026 USA.xlsx). Reemplaza fuente previa (modelo/sin dato).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2026-04</t>
        </is>
      </c>
      <c r="B1489" t="inlineStr">
        <is>
          <t>Perú</t>
        </is>
      </c>
      <c r="C1489" t="inlineStr">
        <is>
          <t>Coco Peru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0</v>
      </c>
      <c r="J1489" t="inlineStr">
        <is>
          <t>USD</t>
        </is>
      </c>
      <c r="K1489" t="inlineStr">
        <is>
          <t>Homologado desde auxiliar contable (V4 Abril 2026 PERU.xlsx). Reemplaza fuente previa (modelo/sin dato).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Costa Rica</t>
        </is>
      </c>
      <c r="C1490" t="inlineStr">
        <is>
          <t>Coco Costa Rica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pyg_gasto_proyectos</t>
        </is>
      </c>
      <c r="G1490" t="inlineStr">
        <is>
          <t>Consolidación USD</t>
        </is>
      </c>
      <c r="I1490" t="n">
        <v>0</v>
      </c>
      <c r="J1490" t="inlineStr">
        <is>
          <t>USD</t>
        </is>
      </c>
      <c r="K1490" t="inlineStr">
        <is>
          <t>Homologado desde auxiliar contable (Abril 2026 CR.xlsx).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Colombia</t>
        </is>
      </c>
      <c r="C1491" t="inlineStr">
        <is>
          <t>Coco Colombia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pyg_gasto_proyectos</t>
        </is>
      </c>
      <c r="G1491" t="inlineStr">
        <is>
          <t>Consolidación USD</t>
        </is>
      </c>
      <c r="I1491" t="n">
        <v>33831.07</v>
      </c>
      <c r="J1491" t="inlineStr">
        <is>
          <t>USD</t>
        </is>
      </c>
      <c r="K1491" t="inlineStr">
        <is>
          <t>Consolidación subsidiarias (USD). Colombia derivado del P&amp;G oficial / TRM del mes.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Consolidado</t>
        </is>
      </c>
      <c r="C1492" t="inlineStr">
        <is>
          <t>COCO Tecnologias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pyg_gasto_proyectos</t>
        </is>
      </c>
      <c r="G1492" t="inlineStr">
        <is>
          <t>Consolidación USD</t>
        </is>
      </c>
      <c r="I1492" t="n">
        <v>33831.07</v>
      </c>
      <c r="J1492" t="inlineStr">
        <is>
          <t>USD</t>
        </is>
      </c>
      <c r="K1492" t="inlineStr">
        <is>
          <t>Recalculado: suma Colombia + EE.UU. + Peru + Costa Rica (Consolidacion USD).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2026-05</t>
        </is>
      </c>
      <c r="B1493" t="inlineStr">
        <is>
          <t>EE.UU.</t>
        </is>
      </c>
      <c r="C1493" t="inlineStr">
        <is>
          <t>Coco LLC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pyg_gasto_proyectos</t>
        </is>
      </c>
      <c r="G1493" t="inlineStr">
        <is>
          <t>Consolidación USD</t>
        </is>
      </c>
      <c r="I1493" t="n">
        <v>0</v>
      </c>
      <c r="J1493" t="inlineStr">
        <is>
          <t>USD</t>
        </is>
      </c>
      <c r="K1493" t="inlineStr">
        <is>
          <t>Homologado desde auxiliar contable (Mayo 2026 USA.xlsx). Reemplaza fuente previa (modelo/sin dato).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2026-05</t>
        </is>
      </c>
      <c r="B1494" t="inlineStr">
        <is>
          <t>Perú</t>
        </is>
      </c>
      <c r="C1494" t="inlineStr">
        <is>
          <t>Coco Peru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pyg_gasto_proyectos</t>
        </is>
      </c>
      <c r="G1494" t="inlineStr">
        <is>
          <t>Consolidación USD</t>
        </is>
      </c>
      <c r="I1494" t="n">
        <v>0</v>
      </c>
      <c r="J1494" t="inlineStr">
        <is>
          <t>USD</t>
        </is>
      </c>
      <c r="K1494" t="inlineStr">
        <is>
          <t>Homologado desde auxiliar contable (Mayo 2026 PERU.xlsx). Reemplaza fuente previa (modelo/sin dato).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Costa Rica</t>
        </is>
      </c>
      <c r="C1495" t="inlineStr">
        <is>
          <t>Coco Costa Rica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pyg_gasto_proyectos</t>
        </is>
      </c>
      <c r="G1495" t="inlineStr">
        <is>
          <t>Consolidación USD</t>
        </is>
      </c>
      <c r="I1495" t="n">
        <v>0</v>
      </c>
      <c r="J1495" t="inlineStr">
        <is>
          <t>USD</t>
        </is>
      </c>
      <c r="K1495" t="inlineStr">
        <is>
          <t>Homologado desde auxiliar contable (Mayo 2026 CR.xlsx).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Colombia</t>
        </is>
      </c>
      <c r="C1496" t="inlineStr">
        <is>
          <t>Coco Colombia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pyg_gasto_proyectos</t>
        </is>
      </c>
      <c r="G1496" t="inlineStr">
        <is>
          <t>Consolidación USD</t>
        </is>
      </c>
      <c r="I1496" t="n">
        <v>32577.28</v>
      </c>
      <c r="J1496" t="inlineStr">
        <is>
          <t>USD</t>
        </is>
      </c>
      <c r="K1496" t="inlineStr">
        <is>
          <t>Consolidación subsidiarias (USD). Colombia derivado del P&amp;G oficial / TRM del mes.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Consolidado</t>
        </is>
      </c>
      <c r="C1497" t="inlineStr">
        <is>
          <t>COCO Tecnologias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pyg_gasto_proyectos</t>
        </is>
      </c>
      <c r="G1497" t="inlineStr">
        <is>
          <t>Consolidación USD</t>
        </is>
      </c>
      <c r="I1497" t="n">
        <v>32577.28</v>
      </c>
      <c r="J1497" t="inlineStr">
        <is>
          <t>USD</t>
        </is>
      </c>
      <c r="K1497" t="inlineStr">
        <is>
          <t>Recalculado: suma Colombia + EE.UU. + Peru + Costa Rica (Consolidacion USD).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2026-06</t>
        </is>
      </c>
      <c r="B1498" t="inlineStr">
        <is>
          <t>EE.UU.</t>
        </is>
      </c>
      <c r="C1498" t="inlineStr">
        <is>
          <t>Coco LLC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pyg_gasto_proyectos</t>
        </is>
      </c>
      <c r="G1498" t="inlineStr">
        <is>
          <t>Consolidación USD</t>
        </is>
      </c>
      <c r="I1498" t="n">
        <v>0</v>
      </c>
      <c r="J1498" t="inlineStr">
        <is>
          <t>USD</t>
        </is>
      </c>
      <c r="K1498" t="inlineStr">
        <is>
          <t>Homologado desde auxiliar contable (Junio 2026 USA.xlsx). Reemplaza fuente previa (modelo/sin dato).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2026-06</t>
        </is>
      </c>
      <c r="B1499" t="inlineStr">
        <is>
          <t>Perú</t>
        </is>
      </c>
      <c r="C1499" t="inlineStr">
        <is>
          <t>Coco Peru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pyg_gasto_proyectos</t>
        </is>
      </c>
      <c r="G1499" t="inlineStr">
        <is>
          <t>Consolidación USD</t>
        </is>
      </c>
      <c r="I1499" t="n">
        <v>0</v>
      </c>
      <c r="J1499" t="inlineStr">
        <is>
          <t>USD</t>
        </is>
      </c>
      <c r="K1499" t="inlineStr">
        <is>
          <t>Homologado desde auxiliar contable (Junio 2026 PERU.xlsx). Reemplaza fuente previa (modelo/sin dato).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Costa Rica</t>
        </is>
      </c>
      <c r="C1500" t="inlineStr">
        <is>
          <t>Coco Costa Rica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pyg_gasto_proyectos</t>
        </is>
      </c>
      <c r="G1500" t="inlineStr">
        <is>
          <t>Consolidación USD</t>
        </is>
      </c>
      <c r="I1500" t="n">
        <v>0</v>
      </c>
      <c r="J1500" t="inlineStr">
        <is>
          <t>USD</t>
        </is>
      </c>
      <c r="K1500" t="inlineStr">
        <is>
          <t>Homologado desde auxiliar contable (Junio 2026 CR.xlsx).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Colombia</t>
        </is>
      </c>
      <c r="C1501" t="inlineStr">
        <is>
          <t>Coco Colombia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pyg_gasto_proyectos</t>
        </is>
      </c>
      <c r="G1501" t="inlineStr">
        <is>
          <t>Consolidación USD</t>
        </is>
      </c>
      <c r="I1501" t="n">
        <v>31069.82</v>
      </c>
      <c r="J1501" t="inlineStr">
        <is>
          <t>USD</t>
        </is>
      </c>
      <c r="K1501" t="inlineStr">
        <is>
          <t>Consolidación subsidiarias (USD). Colombia derivado del P&amp;G oficial / TRM del mes.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Consolidado</t>
        </is>
      </c>
      <c r="C1502" t="inlineStr">
        <is>
          <t>COCO Tecnologias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pyg_gasto_proyectos</t>
        </is>
      </c>
      <c r="G1502" t="inlineStr">
        <is>
          <t>Consolidación USD</t>
        </is>
      </c>
      <c r="I1502" t="n">
        <v>31069.82</v>
      </c>
      <c r="J1502" t="inlineStr">
        <is>
          <t>USD</t>
        </is>
      </c>
      <c r="K1502" t="inlineStr">
        <is>
          <t>Recalculado: suma Colombia + EE.UU. + Peru + Costa Rica (Consolidacion USD).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2026-04</t>
        </is>
      </c>
      <c r="B1503" t="inlineStr">
        <is>
          <t>EE.UU.</t>
        </is>
      </c>
      <c r="C1503" t="inlineStr">
        <is>
          <t>Coco LLC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23.28</v>
      </c>
      <c r="J1503" t="inlineStr">
        <is>
          <t>USD</t>
        </is>
      </c>
      <c r="K1503" t="inlineStr">
        <is>
          <t>Homologado desde auxiliar contable (Abril 2026 USA.xlsx). Reemplaza fuente previa (modelo/sin dato).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2026-04</t>
        </is>
      </c>
      <c r="B1504" t="inlineStr">
        <is>
          <t>Perú</t>
        </is>
      </c>
      <c r="C1504" t="inlineStr">
        <is>
          <t>Coco Peru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26.53</v>
      </c>
      <c r="J1504" t="inlineStr">
        <is>
          <t>USD</t>
        </is>
      </c>
      <c r="K1504" t="inlineStr">
        <is>
          <t>Homologado desde auxiliar contable (V4 Abril 2026 PERU.xlsx). Reemplaza fuente previa (modelo/sin dato).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Costa Rica</t>
        </is>
      </c>
      <c r="C1505" t="inlineStr">
        <is>
          <t>Coco Costa Rica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pyg_gastos_financieros</t>
        </is>
      </c>
      <c r="G1505" t="inlineStr">
        <is>
          <t>Consolidación USD</t>
        </is>
      </c>
      <c r="I1505" t="n">
        <v>40</v>
      </c>
      <c r="J1505" t="inlineStr">
        <is>
          <t>USD</t>
        </is>
      </c>
      <c r="K1505" t="inlineStr">
        <is>
          <t>Homologado desde auxiliar contable (Abril 2026 CR.xlsx).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Colombia</t>
        </is>
      </c>
      <c r="C1506" t="inlineStr">
        <is>
          <t>Coco Colombia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pyg_gastos_financieros</t>
        </is>
      </c>
      <c r="G1506" t="inlineStr">
        <is>
          <t>Consolidación USD</t>
        </is>
      </c>
      <c r="I1506" t="n">
        <v>1392.83</v>
      </c>
      <c r="J1506" t="inlineStr">
        <is>
          <t>USD</t>
        </is>
      </c>
      <c r="K1506" t="inlineStr">
        <is>
          <t>Consolidación subsidiarias (USD). Colombia derivado del P&amp;G oficial / TRM del mes.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Consolidado</t>
        </is>
      </c>
      <c r="C1507" t="inlineStr">
        <is>
          <t>COCO Tecnologias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pyg_gastos_financieros</t>
        </is>
      </c>
      <c r="G1507" t="inlineStr">
        <is>
          <t>Consolidación USD</t>
        </is>
      </c>
      <c r="I1507" t="n">
        <v>1482.64</v>
      </c>
      <c r="J1507" t="inlineStr">
        <is>
          <t>USD</t>
        </is>
      </c>
      <c r="K1507" t="inlineStr">
        <is>
          <t>Recalculado: suma Colombia + EE.UU. + Peru + Costa Rica (Consolidacion USD).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2026-05</t>
        </is>
      </c>
      <c r="B1508" t="inlineStr">
        <is>
          <t>EE.UU.</t>
        </is>
      </c>
      <c r="C1508" t="inlineStr">
        <is>
          <t>Coco LLC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pyg_gastos_financieros</t>
        </is>
      </c>
      <c r="G1508" t="inlineStr">
        <is>
          <t>Consolidación USD</t>
        </is>
      </c>
      <c r="I1508" t="n">
        <v>260.62</v>
      </c>
      <c r="J1508" t="inlineStr">
        <is>
          <t>USD</t>
        </is>
      </c>
      <c r="K1508" t="inlineStr">
        <is>
          <t>Homologado desde auxiliar contable (Mayo 2026 USA.xlsx). Reemplaza fuente previa (modelo/sin dato).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2026-05</t>
        </is>
      </c>
      <c r="B1509" t="inlineStr">
        <is>
          <t>Perú</t>
        </is>
      </c>
      <c r="C1509" t="inlineStr">
        <is>
          <t>Coco Peru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pyg_gastos_financieros</t>
        </is>
      </c>
      <c r="G1509" t="inlineStr">
        <is>
          <t>Consolidación USD</t>
        </is>
      </c>
      <c r="I1509" t="n">
        <v>140.67</v>
      </c>
      <c r="J1509" t="inlineStr">
        <is>
          <t>USD</t>
        </is>
      </c>
      <c r="K1509" t="inlineStr">
        <is>
          <t>Homologado desde auxiliar contable (Mayo 2026 PERU.xlsx). Reemplaza fuente previa (modelo/sin dato).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Costa Rica</t>
        </is>
      </c>
      <c r="C1510" t="inlineStr">
        <is>
          <t>Coco Costa Rica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pyg_gastos_financieros</t>
        </is>
      </c>
      <c r="G1510" t="inlineStr">
        <is>
          <t>Consolidación USD</t>
        </is>
      </c>
      <c r="I1510" t="n">
        <v>36</v>
      </c>
      <c r="J1510" t="inlineStr">
        <is>
          <t>USD</t>
        </is>
      </c>
      <c r="K1510" t="inlineStr">
        <is>
          <t>Homologado desde auxiliar contable (Mayo 2026 CR.xlsx).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Colombia</t>
        </is>
      </c>
      <c r="C1511" t="inlineStr">
        <is>
          <t>Coco Colombia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pyg_gastos_financieros</t>
        </is>
      </c>
      <c r="G1511" t="inlineStr">
        <is>
          <t>Consolidación USD</t>
        </is>
      </c>
      <c r="I1511" t="n">
        <v>1615.73</v>
      </c>
      <c r="J1511" t="inlineStr">
        <is>
          <t>USD</t>
        </is>
      </c>
      <c r="K1511" t="inlineStr">
        <is>
          <t>Consolidación subsidiarias (USD). Colombia derivado del P&amp;G oficial / TRM del mes.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Consolidado</t>
        </is>
      </c>
      <c r="C1512" t="inlineStr">
        <is>
          <t>COCO Tecnologias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pyg_gastos_financieros</t>
        </is>
      </c>
      <c r="G1512" t="inlineStr">
        <is>
          <t>Consolidación USD</t>
        </is>
      </c>
      <c r="I1512" t="n">
        <v>2053.02</v>
      </c>
      <c r="J1512" t="inlineStr">
        <is>
          <t>USD</t>
        </is>
      </c>
      <c r="K1512" t="inlineStr">
        <is>
          <t>Recalculado: suma Colombia + EE.UU. + Peru + Costa Rica (Consolidacion USD).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2026-06</t>
        </is>
      </c>
      <c r="B1513" t="inlineStr">
        <is>
          <t>EE.UU.</t>
        </is>
      </c>
      <c r="C1513" t="inlineStr">
        <is>
          <t>Coco LLC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pyg_gastos_financieros</t>
        </is>
      </c>
      <c r="G1513" t="inlineStr">
        <is>
          <t>Consolidación USD</t>
        </is>
      </c>
      <c r="I1513" t="n">
        <v>327.06</v>
      </c>
      <c r="J1513" t="inlineStr">
        <is>
          <t>USD</t>
        </is>
      </c>
      <c r="K1513" t="inlineStr">
        <is>
          <t>Homologado desde auxiliar contable (Junio 2026 USA.xlsx). Reemplaza fuente previa (modelo/sin dato).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2026-06</t>
        </is>
      </c>
      <c r="B1514" t="inlineStr">
        <is>
          <t>Perú</t>
        </is>
      </c>
      <c r="C1514" t="inlineStr">
        <is>
          <t>Coco Peru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pyg_gastos_financieros</t>
        </is>
      </c>
      <c r="G1514" t="inlineStr">
        <is>
          <t>Consolidación USD</t>
        </is>
      </c>
      <c r="I1514" t="n">
        <v>92.26000000000001</v>
      </c>
      <c r="J1514" t="inlineStr">
        <is>
          <t>USD</t>
        </is>
      </c>
      <c r="K1514" t="inlineStr">
        <is>
          <t>Homologado desde auxiliar contable (Junio 2026 PERU.xlsx). Reemplaza fuente previa (modelo/sin dato).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Costa Rica</t>
        </is>
      </c>
      <c r="C1515" t="inlineStr">
        <is>
          <t>Coco Costa Rica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pyg_gastos_financieros</t>
        </is>
      </c>
      <c r="G1515" t="inlineStr">
        <is>
          <t>Consolidación USD</t>
        </is>
      </c>
      <c r="I1515" t="n">
        <v>50</v>
      </c>
      <c r="J1515" t="inlineStr">
        <is>
          <t>USD</t>
        </is>
      </c>
      <c r="K1515" t="inlineStr">
        <is>
          <t>Homologado desde auxiliar contable (Junio 2026 CR.xlsx).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Colombia</t>
        </is>
      </c>
      <c r="C1516" t="inlineStr">
        <is>
          <t>Coco Colombia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pyg_gastos_financieros</t>
        </is>
      </c>
      <c r="G1516" t="inlineStr">
        <is>
          <t>Consolidación USD</t>
        </is>
      </c>
      <c r="I1516" t="n">
        <v>1583.93</v>
      </c>
      <c r="J1516" t="inlineStr">
        <is>
          <t>USD</t>
        </is>
      </c>
      <c r="K1516" t="inlineStr">
        <is>
          <t>Consolidación subsidiarias (USD). Colombia derivado del P&amp;G oficial / TRM del mes.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Consolidado</t>
        </is>
      </c>
      <c r="C1517" t="inlineStr">
        <is>
          <t>COCO Tecnologias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pyg_gastos_financieros</t>
        </is>
      </c>
      <c r="G1517" t="inlineStr">
        <is>
          <t>Consolidación USD</t>
        </is>
      </c>
      <c r="I1517" t="n">
        <v>2053.25</v>
      </c>
      <c r="J1517" t="inlineStr">
        <is>
          <t>USD</t>
        </is>
      </c>
      <c r="K1517" t="inlineStr">
        <is>
          <t>Recalculado: suma Colombia + EE.UU. + Peru + Costa Rica (Consolidacion USD).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2026-04</t>
        </is>
      </c>
      <c r="B1518" t="inlineStr">
        <is>
          <t>EE.UU.</t>
        </is>
      </c>
      <c r="C1518" t="inlineStr">
        <is>
          <t>Coco LLC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-1097.11</v>
      </c>
      <c r="J1518" t="inlineStr">
        <is>
          <t>USD</t>
        </is>
      </c>
      <c r="K1518" t="inlineStr">
        <is>
          <t>Homologado desde auxiliar contable (Abril 2026 USA.xlsx). Reemplaza fuente previa (modelo/sin dato).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2026-04</t>
        </is>
      </c>
      <c r="B1519" t="inlineStr">
        <is>
          <t>Perú</t>
        </is>
      </c>
      <c r="C1519" t="inlineStr">
        <is>
          <t>Coco Peru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81.54000000000001</v>
      </c>
      <c r="J1519" t="inlineStr">
        <is>
          <t>USD</t>
        </is>
      </c>
      <c r="K1519" t="inlineStr">
        <is>
          <t>Homologado desde auxiliar contable (V4 Abril 2026 PERU.xlsx). Reemplaza fuente previa (modelo/sin dato).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Costa Rica</t>
        </is>
      </c>
      <c r="C1520" t="inlineStr">
        <is>
          <t>Coco Costa Rica</t>
        </is>
      </c>
      <c r="D1520" t="inlineStr">
        <is>
          <t>USD</t>
        </is>
      </c>
      <c r="E1520" t="inlineStr">
        <is>
          <t>Real</t>
        </is>
      </c>
      <c r="F1520" t="inlineStr">
        <is>
          <t>pyg_utilidad_neta</t>
        </is>
      </c>
      <c r="G1520" t="inlineStr">
        <is>
          <t>Consolidación USD</t>
        </is>
      </c>
      <c r="I1520" t="n">
        <v>-11319.07</v>
      </c>
      <c r="J1520" t="inlineStr">
        <is>
          <t>USD</t>
        </is>
      </c>
      <c r="K1520" t="inlineStr">
        <is>
          <t>Homologado desde auxiliar contable (Abril 2026 CR.xlsx). Reemplaza fuente previa (modelo/sin dato).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2026-04</t>
        </is>
      </c>
      <c r="B1521" t="inlineStr">
        <is>
          <t>Colombia</t>
        </is>
      </c>
      <c r="C1521" t="inlineStr">
        <is>
          <t>Coco Colombia</t>
        </is>
      </c>
      <c r="D1521" t="inlineStr">
        <is>
          <t>USD</t>
        </is>
      </c>
      <c r="E1521" t="inlineStr">
        <is>
          <t>Real</t>
        </is>
      </c>
      <c r="F1521" t="inlineStr">
        <is>
          <t>pyg_utilidad_neta</t>
        </is>
      </c>
      <c r="G1521" t="inlineStr">
        <is>
          <t>Consolidación USD</t>
        </is>
      </c>
      <c r="I1521" t="n">
        <v>195.22</v>
      </c>
      <c r="J1521" t="inlineStr">
        <is>
          <t>USD</t>
        </is>
      </c>
      <c r="K1521" t="inlineStr">
        <is>
          <t>Consolidación subsidiarias (USD). Colombia derivado del P&amp;G oficial / TRM del mes.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2026-04</t>
        </is>
      </c>
      <c r="B1522" t="inlineStr">
        <is>
          <t>Consolidado</t>
        </is>
      </c>
      <c r="C1522" t="inlineStr">
        <is>
          <t>COCO Tecnologias</t>
        </is>
      </c>
      <c r="D1522" t="inlineStr">
        <is>
          <t>USD</t>
        </is>
      </c>
      <c r="E1522" t="inlineStr">
        <is>
          <t>Real</t>
        </is>
      </c>
      <c r="F1522" t="inlineStr">
        <is>
          <t>pyg_utilidad_neta</t>
        </is>
      </c>
      <c r="G1522" t="inlineStr">
        <is>
          <t>Consolidación USD</t>
        </is>
      </c>
      <c r="I1522" t="n">
        <v>-12139.42</v>
      </c>
      <c r="J1522" t="inlineStr">
        <is>
          <t>USD</t>
        </is>
      </c>
      <c r="K1522" t="inlineStr">
        <is>
          <t>Recalculado: suma Colombia + EE.UU. + Peru + Costa Rica (Consolidacion USD).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2026-05</t>
        </is>
      </c>
      <c r="B1523" t="inlineStr">
        <is>
          <t>EE.UU.</t>
        </is>
      </c>
      <c r="C1523" t="inlineStr">
        <is>
          <t>Coco LLC</t>
        </is>
      </c>
      <c r="D1523" t="inlineStr">
        <is>
          <t>USD</t>
        </is>
      </c>
      <c r="E1523" t="inlineStr">
        <is>
          <t>Real</t>
        </is>
      </c>
      <c r="F1523" t="inlineStr">
        <is>
          <t>pyg_utilidad_neta</t>
        </is>
      </c>
      <c r="G1523" t="inlineStr">
        <is>
          <t>Consolidación USD</t>
        </is>
      </c>
      <c r="I1523" t="n">
        <v>-9739.629999999999</v>
      </c>
      <c r="J1523" t="inlineStr">
        <is>
          <t>USD</t>
        </is>
      </c>
      <c r="K1523" t="inlineStr">
        <is>
          <t>Homologado desde auxiliar contable (Mayo 2026 USA.xlsx). Reemplaza fuente previa (modelo/sin dato).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Peru</t>
        </is>
      </c>
      <c r="D1524" t="inlineStr">
        <is>
          <t>USD</t>
        </is>
      </c>
      <c r="E1524" t="inlineStr">
        <is>
          <t>Real</t>
        </is>
      </c>
      <c r="F1524" t="inlineStr">
        <is>
          <t>pyg_utilidad_neta</t>
        </is>
      </c>
      <c r="G1524" t="inlineStr">
        <is>
          <t>Consolidación USD</t>
        </is>
      </c>
      <c r="I1524" t="n">
        <v>-9964.66</v>
      </c>
      <c r="J1524" t="inlineStr">
        <is>
          <t>USD</t>
        </is>
      </c>
      <c r="K1524" t="inlineStr">
        <is>
          <t>Homologado desde auxiliar contable (Mayo 2026 PERU.xlsx). Reemplaza fuente previa (modelo/sin dato).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2026-05</t>
        </is>
      </c>
      <c r="B1525" t="inlineStr">
        <is>
          <t>Costa Rica</t>
        </is>
      </c>
      <c r="C1525" t="inlineStr">
        <is>
          <t>Coco Costa Rica</t>
        </is>
      </c>
      <c r="D1525" t="inlineStr">
        <is>
          <t>USD</t>
        </is>
      </c>
      <c r="E1525" t="inlineStr">
        <is>
          <t>Real</t>
        </is>
      </c>
      <c r="F1525" t="inlineStr">
        <is>
          <t>pyg_utilidad_neta</t>
        </is>
      </c>
      <c r="G1525" t="inlineStr">
        <is>
          <t>Consolidación USD</t>
        </is>
      </c>
      <c r="I1525" t="n">
        <v>-1393.8</v>
      </c>
      <c r="J1525" t="inlineStr">
        <is>
          <t>USD</t>
        </is>
      </c>
      <c r="K1525" t="inlineStr">
        <is>
          <t>Homologado desde auxiliar contable (Mayo 2026 CR.xlsx). Reemplaza fuente previa (modelo/sin dato).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2026-05</t>
        </is>
      </c>
      <c r="B1526" t="inlineStr">
        <is>
          <t>Colombia</t>
        </is>
      </c>
      <c r="C1526" t="inlineStr">
        <is>
          <t>Coco Colombia</t>
        </is>
      </c>
      <c r="D1526" t="inlineStr">
        <is>
          <t>USD</t>
        </is>
      </c>
      <c r="E1526" t="inlineStr">
        <is>
          <t>Real</t>
        </is>
      </c>
      <c r="F1526" t="inlineStr">
        <is>
          <t>pyg_utilidad_neta</t>
        </is>
      </c>
      <c r="G1526" t="inlineStr">
        <is>
          <t>Consolidación USD</t>
        </is>
      </c>
      <c r="I1526" t="n">
        <v>29179.96</v>
      </c>
      <c r="J1526" t="inlineStr">
        <is>
          <t>USD</t>
        </is>
      </c>
      <c r="K1526" t="inlineStr">
        <is>
          <t>Consolidación subsidiarias (USD). Colombia derivado del P&amp;G oficial / TRM del mes.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Consolidado</t>
        </is>
      </c>
      <c r="C1527" t="inlineStr">
        <is>
          <t>COCO Tecnologias</t>
        </is>
      </c>
      <c r="D1527" t="inlineStr">
        <is>
          <t>USD</t>
        </is>
      </c>
      <c r="E1527" t="inlineStr">
        <is>
          <t>Real</t>
        </is>
      </c>
      <c r="F1527" t="inlineStr">
        <is>
          <t>pyg_utilidad_neta</t>
        </is>
      </c>
      <c r="G1527" t="inlineStr">
        <is>
          <t>Consolidación USD</t>
        </is>
      </c>
      <c r="I1527" t="n">
        <v>8081.87</v>
      </c>
      <c r="J1527" t="inlineStr">
        <is>
          <t>USD</t>
        </is>
      </c>
      <c r="K1527" t="inlineStr">
        <is>
          <t>Recalculado: suma Colombia + EE.UU. + Peru + Costa Rica (Consolidacion USD).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EE.UU.</t>
        </is>
      </c>
      <c r="C1528" t="inlineStr">
        <is>
          <t>Coco LLC</t>
        </is>
      </c>
      <c r="D1528" t="inlineStr">
        <is>
          <t>USD</t>
        </is>
      </c>
      <c r="E1528" t="inlineStr">
        <is>
          <t>Real</t>
        </is>
      </c>
      <c r="F1528" t="inlineStr">
        <is>
          <t>pyg_utilidad_neta</t>
        </is>
      </c>
      <c r="G1528" t="inlineStr">
        <is>
          <t>Consolidación USD</t>
        </is>
      </c>
      <c r="I1528" t="n">
        <v>-13499.87</v>
      </c>
      <c r="J1528" t="inlineStr">
        <is>
          <t>USD</t>
        </is>
      </c>
      <c r="K1528" t="inlineStr">
        <is>
          <t>Homologado desde auxiliar contable (Junio 2026 USA.xlsx). Reemplaza fuente previa (modelo/sin dato).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2026-06</t>
        </is>
      </c>
      <c r="B1529" t="inlineStr">
        <is>
          <t>Perú</t>
        </is>
      </c>
      <c r="C1529" t="inlineStr">
        <is>
          <t>Coco Peru</t>
        </is>
      </c>
      <c r="D1529" t="inlineStr">
        <is>
          <t>USD</t>
        </is>
      </c>
      <c r="E1529" t="inlineStr">
        <is>
          <t>Real</t>
        </is>
      </c>
      <c r="F1529" t="inlineStr">
        <is>
          <t>pyg_utilidad_neta</t>
        </is>
      </c>
      <c r="G1529" t="inlineStr">
        <is>
          <t>Consolidación USD</t>
        </is>
      </c>
      <c r="I1529" t="n">
        <v>-1823.26</v>
      </c>
      <c r="J1529" t="inlineStr">
        <is>
          <t>USD</t>
        </is>
      </c>
      <c r="K1529" t="inlineStr">
        <is>
          <t>Homologado desde auxiliar contable (Junio 2026 PERU.xlsx). Reemplaza fuente previa (modelo/sin dato).</t>
        </is>
      </c>
      <c r="L1529" t="inlineStr">
        <is>
          <t>Internacional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2026-06</t>
        </is>
      </c>
      <c r="B1530" t="inlineStr">
        <is>
          <t>Costa Rica</t>
        </is>
      </c>
      <c r="C1530" t="inlineStr">
        <is>
          <t>Coco Costa Rica</t>
        </is>
      </c>
      <c r="D1530" t="inlineStr">
        <is>
          <t>USD</t>
        </is>
      </c>
      <c r="E1530" t="inlineStr">
        <is>
          <t>Real</t>
        </is>
      </c>
      <c r="F1530" t="inlineStr">
        <is>
          <t>pyg_utilidad_neta</t>
        </is>
      </c>
      <c r="G1530" t="inlineStr">
        <is>
          <t>Consolidación USD</t>
        </is>
      </c>
      <c r="I1530" t="n">
        <v>-2671.99</v>
      </c>
      <c r="J1530" t="inlineStr">
        <is>
          <t>USD</t>
        </is>
      </c>
      <c r="K1530" t="inlineStr">
        <is>
          <t>Homologado desde auxiliar contable (Junio 2026 CR.xlsx). Reemplaza fuente previa (modelo/sin dato).</t>
        </is>
      </c>
      <c r="L1530" t="inlineStr">
        <is>
          <t>Internacional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2026-06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USD</t>
        </is>
      </c>
      <c r="E1531" t="inlineStr">
        <is>
          <t>Real</t>
        </is>
      </c>
      <c r="F1531" t="inlineStr">
        <is>
          <t>pyg_utilidad_neta</t>
        </is>
      </c>
      <c r="G1531" t="inlineStr">
        <is>
          <t>Consolidación USD</t>
        </is>
      </c>
      <c r="I1531" t="n">
        <v>9512.440000000001</v>
      </c>
      <c r="J1531" t="inlineStr">
        <is>
          <t>USD</t>
        </is>
      </c>
      <c r="K1531" t="inlineStr">
        <is>
          <t>Consolidación subsidiarias (USD). Colombia derivado del P&amp;G oficial / TRM del mes.</t>
        </is>
      </c>
      <c r="L1531" t="inlineStr">
        <is>
          <t>Internacional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2026-06</t>
        </is>
      </c>
      <c r="B1532" t="inlineStr">
        <is>
          <t>Consolidado</t>
        </is>
      </c>
      <c r="C1532" t="inlineStr">
        <is>
          <t>COCO Tecnologias</t>
        </is>
      </c>
      <c r="D1532" t="inlineStr">
        <is>
          <t>USD</t>
        </is>
      </c>
      <c r="E1532" t="inlineStr">
        <is>
          <t>Real</t>
        </is>
      </c>
      <c r="F1532" t="inlineStr">
        <is>
          <t>pyg_utilidad_neta</t>
        </is>
      </c>
      <c r="G1532" t="inlineStr">
        <is>
          <t>Consolidación USD</t>
        </is>
      </c>
      <c r="I1532" t="n">
        <v>-8482.68</v>
      </c>
      <c r="J1532" t="inlineStr">
        <is>
          <t>USD</t>
        </is>
      </c>
      <c r="K1532" t="inlineStr">
        <is>
          <t>Recalculado: suma Colombia + EE.UU. + Peru + Costa Rica (Consolidacion USD).</t>
        </is>
      </c>
      <c r="L1532" t="inlineStr">
        <is>
          <t>Internacional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2026-04</t>
        </is>
      </c>
      <c r="B1533" t="inlineStr">
        <is>
          <t>Perú</t>
        </is>
      </c>
      <c r="C1533" t="inlineStr">
        <is>
          <t>Coco Perú</t>
        </is>
      </c>
      <c r="D1533" t="inlineStr">
        <is>
          <t>USD</t>
        </is>
      </c>
      <c r="E1533" t="inlineStr">
        <is>
          <t>Real</t>
        </is>
      </c>
      <c r="F1533" t="inlineStr">
        <is>
          <t>proinnovate_ingresos</t>
        </is>
      </c>
      <c r="G1533" t="inlineStr">
        <is>
          <t>PROINNOVATE</t>
        </is>
      </c>
      <c r="I1533" t="n">
        <v>22965.15</v>
      </c>
      <c r="J1533" t="inlineStr">
        <is>
          <t>USD</t>
        </is>
      </c>
      <c r="K1533" t="inlineStr">
        <is>
          <t>Programa PROINNOVATE Perú (no incluido en consolidado P&amp;G)</t>
        </is>
      </c>
      <c r="L1533" t="inlineStr">
        <is>
          <t>Internacional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2026-05</t>
        </is>
      </c>
      <c r="B1534" t="inlineStr">
        <is>
          <t>Perú</t>
        </is>
      </c>
      <c r="C1534" t="inlineStr">
        <is>
          <t>Coco Perú</t>
        </is>
      </c>
      <c r="D1534" t="inlineStr">
        <is>
          <t>USD</t>
        </is>
      </c>
      <c r="E1534" t="inlineStr">
        <is>
          <t>Real</t>
        </is>
      </c>
      <c r="F1534" t="inlineStr">
        <is>
          <t>proinnovate_ingresos</t>
        </is>
      </c>
      <c r="G1534" t="inlineStr">
        <is>
          <t>PROINNOVATE</t>
        </is>
      </c>
      <c r="I1534" t="n">
        <v>0</v>
      </c>
      <c r="J1534" t="inlineStr">
        <is>
          <t>USD</t>
        </is>
      </c>
      <c r="K1534" t="inlineStr">
        <is>
          <t>Programa PROINNOVATE Perú (no incluido en consolidado P&amp;G)</t>
        </is>
      </c>
      <c r="L1534" t="inlineStr">
        <is>
          <t>Internacional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2026-06</t>
        </is>
      </c>
      <c r="B1535" t="inlineStr">
        <is>
          <t>Perú</t>
        </is>
      </c>
      <c r="C1535" t="inlineStr">
        <is>
          <t>Coco Perú</t>
        </is>
      </c>
      <c r="D1535" t="inlineStr">
        <is>
          <t>USD</t>
        </is>
      </c>
      <c r="E1535" t="inlineStr">
        <is>
          <t>Real</t>
        </is>
      </c>
      <c r="F1535" t="inlineStr">
        <is>
          <t>proinnovate_ingresos</t>
        </is>
      </c>
      <c r="G1535" t="inlineStr">
        <is>
          <t>PROINNOVATE</t>
        </is>
      </c>
      <c r="I1535" t="n">
        <v>1380.84</v>
      </c>
      <c r="J1535" t="inlineStr">
        <is>
          <t>USD</t>
        </is>
      </c>
      <c r="K1535" t="inlineStr">
        <is>
          <t>Programa PROINNOVATE Perú (no incluido en consolidado P&amp;G)</t>
        </is>
      </c>
      <c r="L1535" t="inlineStr">
        <is>
          <t>Internacional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2026-04</t>
        </is>
      </c>
      <c r="B1536" t="inlineStr">
        <is>
          <t>Perú</t>
        </is>
      </c>
      <c r="C1536" t="inlineStr">
        <is>
          <t>Coco Perú</t>
        </is>
      </c>
      <c r="D1536" t="inlineStr">
        <is>
          <t>USD</t>
        </is>
      </c>
      <c r="E1536" t="inlineStr">
        <is>
          <t>Real</t>
        </is>
      </c>
      <c r="F1536" t="inlineStr">
        <is>
          <t>proinnovate_gastos</t>
        </is>
      </c>
      <c r="G1536" t="inlineStr">
        <is>
          <t>PROINNOVATE</t>
        </is>
      </c>
      <c r="I1536" t="n">
        <v>6982.98</v>
      </c>
      <c r="J1536" t="inlineStr">
        <is>
          <t>USD</t>
        </is>
      </c>
      <c r="K1536" t="inlineStr">
        <is>
          <t>Programa PROINNOVATE Perú (no incluido en consolidado P&amp;G)</t>
        </is>
      </c>
      <c r="L1536" t="inlineStr">
        <is>
          <t>Internacional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2026-05</t>
        </is>
      </c>
      <c r="B1537" t="inlineStr">
        <is>
          <t>Perú</t>
        </is>
      </c>
      <c r="C1537" t="inlineStr">
        <is>
          <t>Coco Perú</t>
        </is>
      </c>
      <c r="D1537" t="inlineStr">
        <is>
          <t>USD</t>
        </is>
      </c>
      <c r="E1537" t="inlineStr">
        <is>
          <t>Real</t>
        </is>
      </c>
      <c r="F1537" t="inlineStr">
        <is>
          <t>proinnovate_gastos</t>
        </is>
      </c>
      <c r="G1537" t="inlineStr">
        <is>
          <t>PROINNOVATE</t>
        </is>
      </c>
      <c r="I1537" t="n">
        <v>6069.63</v>
      </c>
      <c r="J1537" t="inlineStr">
        <is>
          <t>USD</t>
        </is>
      </c>
      <c r="K1537" t="inlineStr">
        <is>
          <t>Programa PROINNOVATE Perú (no incluido en consolidado P&amp;G)</t>
        </is>
      </c>
      <c r="L1537" t="inlineStr">
        <is>
          <t>Internacional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2026-06</t>
        </is>
      </c>
      <c r="B1538" t="inlineStr">
        <is>
          <t>Perú</t>
        </is>
      </c>
      <c r="C1538" t="inlineStr">
        <is>
          <t>Coco Perú</t>
        </is>
      </c>
      <c r="D1538" t="inlineStr">
        <is>
          <t>USD</t>
        </is>
      </c>
      <c r="E1538" t="inlineStr">
        <is>
          <t>Real</t>
        </is>
      </c>
      <c r="F1538" t="inlineStr">
        <is>
          <t>proinnovate_gastos</t>
        </is>
      </c>
      <c r="G1538" t="inlineStr">
        <is>
          <t>PROINNOVATE</t>
        </is>
      </c>
      <c r="I1538" t="n">
        <v>2166.36</v>
      </c>
      <c r="J1538" t="inlineStr">
        <is>
          <t>USD</t>
        </is>
      </c>
      <c r="K1538" t="inlineStr">
        <is>
          <t>Programa PROINNOVATE Perú (no incluido en consolidado P&amp;G)</t>
        </is>
      </c>
      <c r="L1538" t="inlineStr">
        <is>
          <t>Internacional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Perú</t>
        </is>
      </c>
      <c r="C1539" t="inlineStr">
        <is>
          <t>Coco Perú</t>
        </is>
      </c>
      <c r="D1539" t="inlineStr">
        <is>
          <t>USD</t>
        </is>
      </c>
      <c r="E1539" t="inlineStr">
        <is>
          <t>Real</t>
        </is>
      </c>
      <c r="F1539" t="inlineStr">
        <is>
          <t>proinnovate_resultado</t>
        </is>
      </c>
      <c r="G1539" t="inlineStr">
        <is>
          <t>PROINNOVATE</t>
        </is>
      </c>
      <c r="I1539" t="n">
        <v>15982.17</v>
      </c>
      <c r="J1539" t="inlineStr">
        <is>
          <t>USD</t>
        </is>
      </c>
      <c r="K1539" t="inlineStr">
        <is>
          <t>Programa PROINNOVATE Perú (no incluido en consolidado P&amp;G)</t>
        </is>
      </c>
      <c r="L1539" t="inlineStr">
        <is>
          <t>Internacional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2026-05</t>
        </is>
      </c>
      <c r="B1540" t="inlineStr">
        <is>
          <t>Perú</t>
        </is>
      </c>
      <c r="C1540" t="inlineStr">
        <is>
          <t>Coco Perú</t>
        </is>
      </c>
      <c r="D1540" t="inlineStr">
        <is>
          <t>USD</t>
        </is>
      </c>
      <c r="E1540" t="inlineStr">
        <is>
          <t>Real</t>
        </is>
      </c>
      <c r="F1540" t="inlineStr">
        <is>
          <t>proinnovate_resultado</t>
        </is>
      </c>
      <c r="G1540" t="inlineStr">
        <is>
          <t>PROINNOVATE</t>
        </is>
      </c>
      <c r="I1540" t="n">
        <v>-6069.63</v>
      </c>
      <c r="J1540" t="inlineStr">
        <is>
          <t>USD</t>
        </is>
      </c>
      <c r="K1540" t="inlineStr">
        <is>
          <t>Programa PROINNOVATE Perú (no incluido en consolidado P&amp;G)</t>
        </is>
      </c>
      <c r="L1540" t="inlineStr">
        <is>
          <t>Internacional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2026-06</t>
        </is>
      </c>
      <c r="B1541" t="inlineStr">
        <is>
          <t>Perú</t>
        </is>
      </c>
      <c r="C1541" t="inlineStr">
        <is>
          <t>Coco Perú</t>
        </is>
      </c>
      <c r="D1541" t="inlineStr">
        <is>
          <t>USD</t>
        </is>
      </c>
      <c r="E1541" t="inlineStr">
        <is>
          <t>Real</t>
        </is>
      </c>
      <c r="F1541" t="inlineStr">
        <is>
          <t>proinnovate_resultado</t>
        </is>
      </c>
      <c r="G1541" t="inlineStr">
        <is>
          <t>PROINNOVATE</t>
        </is>
      </c>
      <c r="I1541" t="n">
        <v>-785.52</v>
      </c>
      <c r="J1541" t="inlineStr">
        <is>
          <t>USD</t>
        </is>
      </c>
      <c r="K1541" t="inlineStr">
        <is>
          <t>Programa PROINNOVATE Perú (no incluido en consolidado P&amp;G)</t>
        </is>
      </c>
      <c r="L1541" t="inlineStr">
        <is>
          <t>Internacional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2026-01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I1542" t="n">
        <v>744928000</v>
      </c>
      <c r="J1542" t="inlineStr">
        <is>
          <t>COP</t>
        </is>
      </c>
      <c r="K1542" t="inlineStr">
        <is>
          <t>Presupuesto combinado 2026 · versión aplicada: Original 4.5M · TRM plan 4.000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2026-01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Original enero</t>
        </is>
      </c>
      <c r="I1543" t="n">
        <v>744928000</v>
      </c>
      <c r="J1543" t="inlineStr">
        <is>
          <t>COP</t>
        </is>
      </c>
      <c r="K1543" t="inlineStr">
        <is>
          <t>Presupuesto original aprobado en enero 2026 · TRM plan 4.000 · meta anual USD 4.5M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2026-01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G1544" t="inlineStr">
        <is>
          <t>Revisado mayo</t>
        </is>
      </c>
      <c r="I1544" t="n">
        <v>612247701</v>
      </c>
      <c r="J1544" t="inlineStr">
        <is>
          <t>COP</t>
        </is>
      </c>
      <c r="K1544" t="inlineStr">
        <is>
          <t>Presupuesto revisado en mayo 2026 · TRM plan 3.690 · meta anual USD 4.0M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2026-02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I1545" t="n">
        <v>1417284000</v>
      </c>
      <c r="J1545" t="inlineStr">
        <is>
          <t>COP</t>
        </is>
      </c>
      <c r="K1545" t="inlineStr">
        <is>
          <t>Presupuesto combinado 2026 · versión aplicada: Original 4.5M · TRM plan 4.000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2026-02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Original enero</t>
        </is>
      </c>
      <c r="I1546" t="n">
        <v>1417284000</v>
      </c>
      <c r="J1546" t="inlineStr">
        <is>
          <t>COP</t>
        </is>
      </c>
      <c r="K1546" t="inlineStr">
        <is>
          <t>Presupuesto original aprobado en enero 2026 · TRM plan 4.000 · meta anual USD 4.5M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2026-02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G1547" t="inlineStr">
        <is>
          <t>Revisado mayo</t>
        </is>
      </c>
      <c r="I1547" t="n">
        <v>744218137</v>
      </c>
      <c r="J1547" t="inlineStr">
        <is>
          <t>COP</t>
        </is>
      </c>
      <c r="K1547" t="inlineStr">
        <is>
          <t>Presupuesto revisado en mayo 2026 · TRM plan 3.690 · meta anual USD 4.0M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2026-03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I1548" t="n">
        <v>1584956000</v>
      </c>
      <c r="J1548" t="inlineStr">
        <is>
          <t>COP</t>
        </is>
      </c>
      <c r="K1548" t="inlineStr">
        <is>
          <t>Presupuesto combinado 2026 · versión aplicada: Original 4.5M · TRM plan 4.000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2026-03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Original enero</t>
        </is>
      </c>
      <c r="I1549" t="n">
        <v>1584956000</v>
      </c>
      <c r="J1549" t="inlineStr">
        <is>
          <t>COP</t>
        </is>
      </c>
      <c r="K1549" t="inlineStr">
        <is>
          <t>Presupuesto original aprobado en enero 2026 · TRM plan 4.000 · meta anual USD 4.5M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2026-03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G1550" t="inlineStr">
        <is>
          <t>Revisado mayo</t>
        </is>
      </c>
      <c r="I1550" t="n">
        <v>787041187</v>
      </c>
      <c r="J1550" t="inlineStr">
        <is>
          <t>COP</t>
        </is>
      </c>
      <c r="K1550" t="inlineStr">
        <is>
          <t>Presupuesto revisado en mayo 2026 · TRM plan 3.690 · meta anual USD 4.0M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2026-04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I1551" t="n">
        <v>1436764000</v>
      </c>
      <c r="J1551" t="inlineStr">
        <is>
          <t>COP</t>
        </is>
      </c>
      <c r="K1551" t="inlineStr">
        <is>
          <t>Presupuesto combinado 2026 · versión aplicada: Original 4.5M · TRM plan 4.000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2026-04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Original enero</t>
        </is>
      </c>
      <c r="I1552" t="n">
        <v>1436764000</v>
      </c>
      <c r="J1552" t="inlineStr">
        <is>
          <t>COP</t>
        </is>
      </c>
      <c r="K1552" t="inlineStr">
        <is>
          <t>Presupuesto original aprobado en enero 2026 · TRM plan 4.000 · meta anual USD 4.5M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2026-04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G1553" t="inlineStr">
        <is>
          <t>Revisado mayo</t>
        </is>
      </c>
      <c r="I1553" t="n">
        <v>750867662</v>
      </c>
      <c r="J1553" t="inlineStr">
        <is>
          <t>COP</t>
        </is>
      </c>
      <c r="K1553" t="inlineStr">
        <is>
          <t>Presupuesto revisado en mayo 2026 · TRM plan 3.690 · meta anual USD 4.0M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2026-05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I1554" t="n">
        <v>1328900000</v>
      </c>
      <c r="J1554" t="inlineStr">
        <is>
          <t>COP</t>
        </is>
      </c>
      <c r="K1554" t="inlineStr">
        <is>
          <t>Presupuesto combinado 2026 · versión aplicada: Revisado 4.0M · TRM plan 3.690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2026-05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Original enero</t>
        </is>
      </c>
      <c r="I1555" t="n">
        <v>1612320000</v>
      </c>
      <c r="J1555" t="inlineStr">
        <is>
          <t>COP</t>
        </is>
      </c>
      <c r="K1555" t="inlineStr">
        <is>
          <t>Presupuesto original aprobado en enero 2026 · TRM plan 4.000 · meta anual USD 4.5M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2026-05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G1556" t="inlineStr">
        <is>
          <t>Revisado mayo</t>
        </is>
      </c>
      <c r="I1556" t="n">
        <v>1328900000</v>
      </c>
      <c r="J1556" t="inlineStr">
        <is>
          <t>COP</t>
        </is>
      </c>
      <c r="K1556" t="inlineStr">
        <is>
          <t>Presupuesto revisado en mayo 2026 · TRM plan 3.690 · meta anual USD 4.0M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2026-06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I1557" t="n">
        <v>955991587</v>
      </c>
      <c r="J1557" t="inlineStr">
        <is>
          <t>COP</t>
        </is>
      </c>
      <c r="K1557" t="inlineStr">
        <is>
          <t>Presupuesto combinado 2026 · versión aplicada: Revisado 4.0M · TRM plan 3.690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2026-06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Original enero</t>
        </is>
      </c>
      <c r="I1558" t="n">
        <v>1502236000</v>
      </c>
      <c r="J1558" t="inlineStr">
        <is>
          <t>COP</t>
        </is>
      </c>
      <c r="K1558" t="inlineStr">
        <is>
          <t>Presupuesto original aprobado en enero 2026 · TRM plan 4.000 · meta anual USD 4.5M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2026-06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G1559" t="inlineStr">
        <is>
          <t>Revisado mayo</t>
        </is>
      </c>
      <c r="I1559" t="n">
        <v>955991587</v>
      </c>
      <c r="J1559" t="inlineStr">
        <is>
          <t>COP</t>
        </is>
      </c>
      <c r="K1559" t="inlineStr">
        <is>
          <t>Presupuesto revisado en mayo 2026 · TRM plan 3.690 · meta anual USD 4.0M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2026-07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I1560" t="n">
        <v>1047406944</v>
      </c>
      <c r="J1560" t="inlineStr">
        <is>
          <t>COP</t>
        </is>
      </c>
      <c r="K1560" t="inlineStr">
        <is>
          <t>Presupuesto combinado 2026 · versión aplicada: Revisado 4.0M · TRM plan 3.690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2026-07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Original enero</t>
        </is>
      </c>
      <c r="I1561" t="n">
        <v>1552340000</v>
      </c>
      <c r="J1561" t="inlineStr">
        <is>
          <t>COP</t>
        </is>
      </c>
      <c r="K1561" t="inlineStr">
        <is>
          <t>Presupuesto original aprobado en enero 2026 · TRM plan 4.000 · meta anual USD 4.5M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2026-07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G1562" t="inlineStr">
        <is>
          <t>Revisado mayo</t>
        </is>
      </c>
      <c r="I1562" t="n">
        <v>1047406944</v>
      </c>
      <c r="J1562" t="inlineStr">
        <is>
          <t>COP</t>
        </is>
      </c>
      <c r="K1562" t="inlineStr">
        <is>
          <t>Presupuesto revisado en mayo 2026 · TRM plan 3.690 · meta anual USD 4.0M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2026-08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I1563" t="n">
        <v>1573626071</v>
      </c>
      <c r="J1563" t="inlineStr">
        <is>
          <t>COP</t>
        </is>
      </c>
      <c r="K1563" t="inlineStr">
        <is>
          <t>Presupuesto combinado 2026 · versión aplicada: Revisado 4.0M · TRM plan 3.690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2026-08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Original enero</t>
        </is>
      </c>
      <c r="I1564" t="n">
        <v>1534356000</v>
      </c>
      <c r="J1564" t="inlineStr">
        <is>
          <t>COP</t>
        </is>
      </c>
      <c r="K1564" t="inlineStr">
        <is>
          <t>Presupuesto original aprobado en enero 2026 · TRM plan 4.000 · meta anual USD 4.5M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2026-08</t>
        </is>
      </c>
      <c r="B1565" t="inlineStr">
        <is>
          <t>Colombia</t>
        </is>
      </c>
      <c r="C1565" t="inlineStr">
        <is>
          <t>Coco Colombia</t>
        </is>
      </c>
      <c r="D1565" t="inlineStr">
        <is>
          <t>COP</t>
        </is>
      </c>
      <c r="E1565" t="inlineStr">
        <is>
          <t>Presupuesto</t>
        </is>
      </c>
      <c r="F1565" t="inlineStr">
        <is>
          <t>ingresos_totales</t>
        </is>
      </c>
      <c r="G1565" t="inlineStr">
        <is>
          <t>Revisado mayo</t>
        </is>
      </c>
      <c r="I1565" t="n">
        <v>1573626071</v>
      </c>
      <c r="J1565" t="inlineStr">
        <is>
          <t>COP</t>
        </is>
      </c>
      <c r="K1565" t="inlineStr">
        <is>
          <t>Presupuesto revisado en mayo 2026 · TRM plan 3.690 · meta anual USD 4.0M</t>
        </is>
      </c>
      <c r="L1565" t="inlineStr">
        <is>
          <t>Finanzas</t>
        </is>
      </c>
      <c r="M1565" t="inlineStr">
        <is>
          <t>Finanzas</t>
        </is>
      </c>
      <c r="N1565" t="inlineStr">
        <is>
          <t>Mensual</t>
        </is>
      </c>
    </row>
    <row r="1566">
      <c r="A1566" t="inlineStr">
        <is>
          <t>2026-09</t>
        </is>
      </c>
      <c r="B1566" t="inlineStr">
        <is>
          <t>Colombia</t>
        </is>
      </c>
      <c r="C1566" t="inlineStr">
        <is>
          <t>Coco Colombia</t>
        </is>
      </c>
      <c r="D1566" t="inlineStr">
        <is>
          <t>COP</t>
        </is>
      </c>
      <c r="E1566" t="inlineStr">
        <is>
          <t>Presupuesto</t>
        </is>
      </c>
      <c r="F1566" t="inlineStr">
        <is>
          <t>ingresos_totales</t>
        </is>
      </c>
      <c r="I1566" t="n">
        <v>1665041429</v>
      </c>
      <c r="J1566" t="inlineStr">
        <is>
          <t>COP</t>
        </is>
      </c>
      <c r="K1566" t="inlineStr">
        <is>
          <t>Presupuesto combinado 2026 · versión aplicada: Revisado 4.0M · TRM plan 3.690</t>
        </is>
      </c>
      <c r="L1566" t="inlineStr">
        <is>
          <t>Finanzas</t>
        </is>
      </c>
      <c r="M1566" t="inlineStr">
        <is>
          <t>Finanzas</t>
        </is>
      </c>
      <c r="N1566" t="inlineStr">
        <is>
          <t>Mensual</t>
        </is>
      </c>
    </row>
    <row r="1567">
      <c r="A1567" t="inlineStr">
        <is>
          <t>2026-09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COP</t>
        </is>
      </c>
      <c r="E1567" t="inlineStr">
        <is>
          <t>Presupuesto</t>
        </is>
      </c>
      <c r="F1567" t="inlineStr">
        <is>
          <t>ingresos_totales</t>
        </is>
      </c>
      <c r="G1567" t="inlineStr">
        <is>
          <t>Original enero</t>
        </is>
      </c>
      <c r="I1567" t="n">
        <v>1697052000</v>
      </c>
      <c r="J1567" t="inlineStr">
        <is>
          <t>COP</t>
        </is>
      </c>
      <c r="K1567" t="inlineStr">
        <is>
          <t>Presupuesto original aprobado en enero 2026 · TRM plan 4.000 · meta anual USD 4.5M</t>
        </is>
      </c>
      <c r="L1567" t="inlineStr">
        <is>
          <t>Finanzas</t>
        </is>
      </c>
      <c r="M1567" t="inlineStr">
        <is>
          <t>Finanzas</t>
        </is>
      </c>
      <c r="N1567" t="inlineStr">
        <is>
          <t>Mensual</t>
        </is>
      </c>
    </row>
    <row r="1568">
      <c r="A1568" t="inlineStr">
        <is>
          <t>2026-09</t>
        </is>
      </c>
      <c r="B1568" t="inlineStr">
        <is>
          <t>Colombia</t>
        </is>
      </c>
      <c r="C1568" t="inlineStr">
        <is>
          <t>Coco Colombia</t>
        </is>
      </c>
      <c r="D1568" t="inlineStr">
        <is>
          <t>COP</t>
        </is>
      </c>
      <c r="E1568" t="inlineStr">
        <is>
          <t>Presupuesto</t>
        </is>
      </c>
      <c r="F1568" t="inlineStr">
        <is>
          <t>ingresos_totales</t>
        </is>
      </c>
      <c r="G1568" t="inlineStr">
        <is>
          <t>Revisado mayo</t>
        </is>
      </c>
      <c r="I1568" t="n">
        <v>1665041429</v>
      </c>
      <c r="J1568" t="inlineStr">
        <is>
          <t>COP</t>
        </is>
      </c>
      <c r="K1568" t="inlineStr">
        <is>
          <t>Presupuesto revisado en mayo 2026 · TRM plan 3.690 · meta anual USD 4.0M</t>
        </is>
      </c>
      <c r="L1568" t="inlineStr">
        <is>
          <t>Finanzas</t>
        </is>
      </c>
      <c r="M1568" t="inlineStr">
        <is>
          <t>Finanzas</t>
        </is>
      </c>
      <c r="N1568" t="inlineStr">
        <is>
          <t>Mensual</t>
        </is>
      </c>
    </row>
    <row r="1569">
      <c r="A1569" t="inlineStr">
        <is>
          <t>2026-10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COP</t>
        </is>
      </c>
      <c r="E1569" t="inlineStr">
        <is>
          <t>Presupuesto</t>
        </is>
      </c>
      <c r="F1569" t="inlineStr">
        <is>
          <t>ingresos_totales</t>
        </is>
      </c>
      <c r="I1569" t="n">
        <v>1756456786</v>
      </c>
      <c r="J1569" t="inlineStr">
        <is>
          <t>COP</t>
        </is>
      </c>
      <c r="K1569" t="inlineStr">
        <is>
          <t>Presupuesto combinado 2026 · versión aplicada: Revisado 4.0M · TRM plan 3.690</t>
        </is>
      </c>
      <c r="L1569" t="inlineStr">
        <is>
          <t>Finanzas</t>
        </is>
      </c>
      <c r="M1569" t="inlineStr">
        <is>
          <t>Finanzas</t>
        </is>
      </c>
      <c r="N1569" t="inlineStr">
        <is>
          <t>Mensual</t>
        </is>
      </c>
    </row>
    <row r="1570">
      <c r="A1570" t="inlineStr">
        <is>
          <t>2026-10</t>
        </is>
      </c>
      <c r="B1570" t="inlineStr">
        <is>
          <t>Colombia</t>
        </is>
      </c>
      <c r="C1570" t="inlineStr">
        <is>
          <t>Coco Colombia</t>
        </is>
      </c>
      <c r="D1570" t="inlineStr">
        <is>
          <t>COP</t>
        </is>
      </c>
      <c r="E1570" t="inlineStr">
        <is>
          <t>Presupuesto</t>
        </is>
      </c>
      <c r="F1570" t="inlineStr">
        <is>
          <t>ingresos_totales</t>
        </is>
      </c>
      <c r="G1570" t="inlineStr">
        <is>
          <t>Original enero</t>
        </is>
      </c>
      <c r="I1570" t="n">
        <v>1679816000</v>
      </c>
      <c r="J1570" t="inlineStr">
        <is>
          <t>COP</t>
        </is>
      </c>
      <c r="K1570" t="inlineStr">
        <is>
          <t>Presupuesto original aprobado en enero 2026 · TRM plan 4.000 · meta anual USD 4.5M</t>
        </is>
      </c>
      <c r="L1570" t="inlineStr">
        <is>
          <t>Finanzas</t>
        </is>
      </c>
      <c r="M1570" t="inlineStr">
        <is>
          <t>Finanzas</t>
        </is>
      </c>
      <c r="N1570" t="inlineStr">
        <is>
          <t>Mensual</t>
        </is>
      </c>
    </row>
    <row r="1571">
      <c r="A1571" t="inlineStr">
        <is>
          <t>2026-10</t>
        </is>
      </c>
      <c r="B1571" t="inlineStr">
        <is>
          <t>Colombia</t>
        </is>
      </c>
      <c r="C1571" t="inlineStr">
        <is>
          <t>Coco Colombia</t>
        </is>
      </c>
      <c r="D1571" t="inlineStr">
        <is>
          <t>COP</t>
        </is>
      </c>
      <c r="E1571" t="inlineStr">
        <is>
          <t>Presupuesto</t>
        </is>
      </c>
      <c r="F1571" t="inlineStr">
        <is>
          <t>ingresos_totales</t>
        </is>
      </c>
      <c r="G1571" t="inlineStr">
        <is>
          <t>Revisado mayo</t>
        </is>
      </c>
      <c r="I1571" t="n">
        <v>1756456786</v>
      </c>
      <c r="J1571" t="inlineStr">
        <is>
          <t>COP</t>
        </is>
      </c>
      <c r="K1571" t="inlineStr">
        <is>
          <t>Presupuesto revisado en mayo 2026 · TRM plan 3.690 · meta anual USD 4.0M</t>
        </is>
      </c>
      <c r="L1571" t="inlineStr">
        <is>
          <t>Finanzas</t>
        </is>
      </c>
      <c r="M1571" t="inlineStr">
        <is>
          <t>Finanzas</t>
        </is>
      </c>
      <c r="N1571" t="inlineStr">
        <is>
          <t>Mensual</t>
        </is>
      </c>
    </row>
    <row r="1572">
      <c r="A1572" t="inlineStr">
        <is>
          <t>2026-11</t>
        </is>
      </c>
      <c r="B1572" t="inlineStr">
        <is>
          <t>Colombia</t>
        </is>
      </c>
      <c r="C1572" t="inlineStr">
        <is>
          <t>Coco Colombia</t>
        </is>
      </c>
      <c r="D1572" t="inlineStr">
        <is>
          <t>COP</t>
        </is>
      </c>
      <c r="E1572" t="inlineStr">
        <is>
          <t>Presupuesto</t>
        </is>
      </c>
      <c r="F1572" t="inlineStr">
        <is>
          <t>ingresos_totales</t>
        </is>
      </c>
      <c r="I1572" t="n">
        <v>1847872143</v>
      </c>
      <c r="J1572" t="inlineStr">
        <is>
          <t>COP</t>
        </is>
      </c>
      <c r="K1572" t="inlineStr">
        <is>
          <t>Presupuesto combinado 2026 · versión aplicada: Revisado 4.0M · TRM plan 3.690</t>
        </is>
      </c>
      <c r="L1572" t="inlineStr">
        <is>
          <t>Finanzas</t>
        </is>
      </c>
      <c r="M1572" t="inlineStr">
        <is>
          <t>Finanzas</t>
        </is>
      </c>
      <c r="N1572" t="inlineStr">
        <is>
          <t>Mensual</t>
        </is>
      </c>
    </row>
    <row r="1573">
      <c r="A1573" t="inlineStr">
        <is>
          <t>2026-11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COP</t>
        </is>
      </c>
      <c r="E1573" t="inlineStr">
        <is>
          <t>Presupuesto</t>
        </is>
      </c>
      <c r="F1573" t="inlineStr">
        <is>
          <t>ingresos_totales</t>
        </is>
      </c>
      <c r="G1573" t="inlineStr">
        <is>
          <t>Original enero</t>
        </is>
      </c>
      <c r="I1573" t="n">
        <v>1692868000</v>
      </c>
      <c r="J1573" t="inlineStr">
        <is>
          <t>COP</t>
        </is>
      </c>
      <c r="K1573" t="inlineStr">
        <is>
          <t>Presupuesto original aprobado en enero 2026 · TRM plan 4.000 · meta anual USD 4.5M</t>
        </is>
      </c>
      <c r="L1573" t="inlineStr">
        <is>
          <t>Finanzas</t>
        </is>
      </c>
      <c r="M1573" t="inlineStr">
        <is>
          <t>Finanzas</t>
        </is>
      </c>
      <c r="N1573" t="inlineStr">
        <is>
          <t>Mensual</t>
        </is>
      </c>
    </row>
    <row r="1574">
      <c r="A1574" t="inlineStr">
        <is>
          <t>2026-11</t>
        </is>
      </c>
      <c r="B1574" t="inlineStr">
        <is>
          <t>Colombia</t>
        </is>
      </c>
      <c r="C1574" t="inlineStr">
        <is>
          <t>Coco Colombia</t>
        </is>
      </c>
      <c r="D1574" t="inlineStr">
        <is>
          <t>COP</t>
        </is>
      </c>
      <c r="E1574" t="inlineStr">
        <is>
          <t>Presupuesto</t>
        </is>
      </c>
      <c r="F1574" t="inlineStr">
        <is>
          <t>ingresos_totales</t>
        </is>
      </c>
      <c r="G1574" t="inlineStr">
        <is>
          <t>Revisado mayo</t>
        </is>
      </c>
      <c r="I1574" t="n">
        <v>1847872143</v>
      </c>
      <c r="J1574" t="inlineStr">
        <is>
          <t>COP</t>
        </is>
      </c>
      <c r="K1574" t="inlineStr">
        <is>
          <t>Presupuesto revisado en mayo 2026 · TRM plan 3.690 · meta anual USD 4.0M</t>
        </is>
      </c>
      <c r="L1574" t="inlineStr">
        <is>
          <t>Finanzas</t>
        </is>
      </c>
      <c r="M1574" t="inlineStr">
        <is>
          <t>Finanzas</t>
        </is>
      </c>
      <c r="N1574" t="inlineStr">
        <is>
          <t>Mensual</t>
        </is>
      </c>
    </row>
    <row r="1575">
      <c r="A1575" t="inlineStr">
        <is>
          <t>2026-12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COP</t>
        </is>
      </c>
      <c r="E1575" t="inlineStr">
        <is>
          <t>Presupuesto</t>
        </is>
      </c>
      <c r="F1575" t="inlineStr">
        <is>
          <t>ingresos_totales</t>
        </is>
      </c>
      <c r="I1575" t="n">
        <v>1939287500</v>
      </c>
      <c r="J1575" t="inlineStr">
        <is>
          <t>COP</t>
        </is>
      </c>
      <c r="K1575" t="inlineStr">
        <is>
          <t>Presupuesto combinado 2026 · versión aplicada: Revisado 4.0M · TRM plan 3.690</t>
        </is>
      </c>
      <c r="L1575" t="inlineStr">
        <is>
          <t>Finanzas</t>
        </is>
      </c>
      <c r="M1575" t="inlineStr">
        <is>
          <t>Finanzas</t>
        </is>
      </c>
      <c r="N1575" t="inlineStr">
        <is>
          <t>Mensual</t>
        </is>
      </c>
    </row>
    <row r="1576">
      <c r="A1576" t="inlineStr">
        <is>
          <t>2026-12</t>
        </is>
      </c>
      <c r="B1576" t="inlineStr">
        <is>
          <t>Colombia</t>
        </is>
      </c>
      <c r="C1576" t="inlineStr">
        <is>
          <t>Coco Colombia</t>
        </is>
      </c>
      <c r="D1576" t="inlineStr">
        <is>
          <t>COP</t>
        </is>
      </c>
      <c r="E1576" t="inlineStr">
        <is>
          <t>Presupuesto</t>
        </is>
      </c>
      <c r="F1576" t="inlineStr">
        <is>
          <t>ingresos_totales</t>
        </is>
      </c>
      <c r="G1576" t="inlineStr">
        <is>
          <t>Original enero</t>
        </is>
      </c>
      <c r="I1576" t="n">
        <v>1767984000</v>
      </c>
      <c r="J1576" t="inlineStr">
        <is>
          <t>COP</t>
        </is>
      </c>
      <c r="K1576" t="inlineStr">
        <is>
          <t>Presupuesto original aprobado en enero 2026 · TRM plan 4.000 · meta anual USD 4.5M</t>
        </is>
      </c>
      <c r="L1576" t="inlineStr">
        <is>
          <t>Finanzas</t>
        </is>
      </c>
      <c r="M1576" t="inlineStr">
        <is>
          <t>Finanzas</t>
        </is>
      </c>
      <c r="N1576" t="inlineStr">
        <is>
          <t>Mensual</t>
        </is>
      </c>
    </row>
    <row r="1577">
      <c r="A1577" t="inlineStr">
        <is>
          <t>2026-12</t>
        </is>
      </c>
      <c r="B1577" t="inlineStr">
        <is>
          <t>Colombia</t>
        </is>
      </c>
      <c r="C1577" t="inlineStr">
        <is>
          <t>Coco Colombia</t>
        </is>
      </c>
      <c r="D1577" t="inlineStr">
        <is>
          <t>COP</t>
        </is>
      </c>
      <c r="E1577" t="inlineStr">
        <is>
          <t>Presupuesto</t>
        </is>
      </c>
      <c r="F1577" t="inlineStr">
        <is>
          <t>ingresos_totales</t>
        </is>
      </c>
      <c r="G1577" t="inlineStr">
        <is>
          <t>Revisado mayo</t>
        </is>
      </c>
      <c r="I1577" t="n">
        <v>1939287500</v>
      </c>
      <c r="J1577" t="inlineStr">
        <is>
          <t>COP</t>
        </is>
      </c>
      <c r="K1577" t="inlineStr">
        <is>
          <t>Presupuesto revisado en mayo 2026 · TRM plan 3.690 · meta anual USD 4.0M</t>
        </is>
      </c>
      <c r="L1577" t="inlineStr">
        <is>
          <t>Finanzas</t>
        </is>
      </c>
      <c r="M1577" t="inlineStr">
        <is>
          <t>Finanzas</t>
        </is>
      </c>
      <c r="N1577" t="inlineStr">
        <is>
          <t>Mensual</t>
        </is>
      </c>
    </row>
    <row r="1578">
      <c r="A1578" t="inlineStr">
        <is>
          <t>2026-06</t>
        </is>
      </c>
      <c r="B1578" t="inlineStr">
        <is>
          <t>EE.UU.</t>
        </is>
      </c>
      <c r="C1578" t="inlineStr">
        <is>
          <t>Coco LLC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pyg_servicio_software</t>
        </is>
      </c>
      <c r="G1578" t="inlineStr">
        <is>
          <t>Acumulado H1 2026</t>
        </is>
      </c>
      <c r="I1578" t="n">
        <v>32997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Perú</t>
        </is>
      </c>
      <c r="C1579" t="inlineStr">
        <is>
          <t>Coco Perú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pyg_servicio_software</t>
        </is>
      </c>
      <c r="G1579" t="inlineStr">
        <is>
          <t>Acumulado H1 2026</t>
        </is>
      </c>
      <c r="I1579" t="n">
        <v>4679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pyg_servicio_software</t>
        </is>
      </c>
      <c r="G1580" t="inlineStr">
        <is>
          <t>Acumulado H1 2026</t>
        </is>
      </c>
      <c r="I1580" t="n">
        <v>1398926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pyg_servicio_software</t>
        </is>
      </c>
      <c r="G1581" t="inlineStr">
        <is>
          <t>Acumulado H1 2026</t>
        </is>
      </c>
      <c r="I1581" t="n">
        <v>1436602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Colombia</t>
        </is>
      </c>
      <c r="C1582" t="inlineStr">
        <is>
          <t>Coco Colombia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pyg_devoluciones</t>
        </is>
      </c>
      <c r="G1582" t="inlineStr">
        <is>
          <t>Acumulado H1 2026</t>
        </is>
      </c>
      <c r="I1582" t="n">
        <v>-123034</v>
      </c>
      <c r="J1582" t="inlineStr">
        <is>
          <t>USD</t>
        </is>
      </c>
      <c r="K1582" t="inlineStr">
        <is>
          <t>P&amp;G Consolidado Oficial · Acumulado 1-ene al 30-jun-2026 (H1) · USD · sin balance general. Tasas promedio jun-2026: Perú 3.4050 PEN/USD · Colombia 3,505.2683 COP/USD.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Consolidado</t>
        </is>
      </c>
      <c r="C1583" t="inlineStr">
        <is>
          <t>Coco Consolidado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pyg_devoluciones</t>
        </is>
      </c>
      <c r="G1583" t="inlineStr">
        <is>
          <t>Acumulado H1 2026</t>
        </is>
      </c>
      <c r="I1583" t="n">
        <v>-123034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EE.UU.</t>
        </is>
      </c>
      <c r="C1584" t="inlineStr">
        <is>
          <t>Coco LLC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pyg_ingresos_operacionales</t>
        </is>
      </c>
      <c r="G1584" t="inlineStr">
        <is>
          <t>Acumulado H1 2026</t>
        </is>
      </c>
      <c r="I1584" t="n">
        <v>32997</v>
      </c>
      <c r="J1584" t="inlineStr">
        <is>
          <t>USD</t>
        </is>
      </c>
      <c r="K1584" t="inlineStr">
        <is>
          <t>P&amp;G Consolidado Oficial · Acumulado 1-ene al 30-jun-2026 (H1) · USD · sin balance general. Tasas promedio jun-2026: Perú 3.4050 PEN/USD · Colombia 3,505.2683 COP/USD.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Perú</t>
        </is>
      </c>
      <c r="C1585" t="inlineStr">
        <is>
          <t>Coco Perú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pyg_ingresos_operacionales</t>
        </is>
      </c>
      <c r="G1585" t="inlineStr">
        <is>
          <t>Acumulado H1 2026</t>
        </is>
      </c>
      <c r="I1585" t="n">
        <v>4679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Colombia</t>
        </is>
      </c>
      <c r="C1586" t="inlineStr">
        <is>
          <t>Coco Colombia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pyg_ingresos_operacionales</t>
        </is>
      </c>
      <c r="G1586" t="inlineStr">
        <is>
          <t>Acumulado H1 2026</t>
        </is>
      </c>
      <c r="I1586" t="n">
        <v>1275892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Consolidado</t>
        </is>
      </c>
      <c r="C1587" t="inlineStr">
        <is>
          <t>Coco Consolidado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pyg_ingresos_operacionales</t>
        </is>
      </c>
      <c r="G1587" t="inlineStr">
        <is>
          <t>Acumulado H1 2026</t>
        </is>
      </c>
      <c r="I1587" t="n">
        <v>1313567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Colombia</t>
        </is>
      </c>
      <c r="C1588" t="inlineStr">
        <is>
          <t>Coco Colombia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pyg_costo_ventas</t>
        </is>
      </c>
      <c r="G1588" t="inlineStr">
        <is>
          <t>Acumulado H1 2026</t>
        </is>
      </c>
      <c r="I1588" t="n">
        <v>605005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Consolidado</t>
        </is>
      </c>
      <c r="C1589" t="inlineStr">
        <is>
          <t>Coco Consolidado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pyg_costo_ventas</t>
        </is>
      </c>
      <c r="G1589" t="inlineStr">
        <is>
          <t>Acumulado H1 2026</t>
        </is>
      </c>
      <c r="I1589" t="n">
        <v>605005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EE.UU.</t>
        </is>
      </c>
      <c r="C1590" t="inlineStr">
        <is>
          <t>Coco LLC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pyg_gasto_administracion</t>
        </is>
      </c>
      <c r="G1590" t="inlineStr">
        <is>
          <t>Acumulado H1 2026</t>
        </is>
      </c>
      <c r="I1590" t="n">
        <v>30736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Perú</t>
        </is>
      </c>
      <c r="C1591" t="inlineStr">
        <is>
          <t>Coco Perú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pyg_gasto_administracion</t>
        </is>
      </c>
      <c r="G1591" t="inlineStr">
        <is>
          <t>Acumulado H1 2026</t>
        </is>
      </c>
      <c r="I1591" t="n">
        <v>1600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Costa Rica</t>
        </is>
      </c>
      <c r="C1592" t="inlineStr">
        <is>
          <t>Coco Costa Rica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pyg_gasto_administracion</t>
        </is>
      </c>
      <c r="G1592" t="inlineStr">
        <is>
          <t>Acumulado H1 2026</t>
        </is>
      </c>
      <c r="I1592" t="n">
        <v>21792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Colombia</t>
        </is>
      </c>
      <c r="C1593" t="inlineStr">
        <is>
          <t>Coco Colombia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pyg_gasto_administracion</t>
        </is>
      </c>
      <c r="G1593" t="inlineStr">
        <is>
          <t>Acumulado H1 2026</t>
        </is>
      </c>
      <c r="I1593" t="n">
        <v>196717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Consolidado</t>
        </is>
      </c>
      <c r="C1594" t="inlineStr">
        <is>
          <t>Coco Consolidado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pyg_gasto_administracion</t>
        </is>
      </c>
      <c r="G1594" t="inlineStr">
        <is>
          <t>Acumulado H1 2026</t>
        </is>
      </c>
      <c r="I1594" t="n">
        <v>250845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EE.UU.</t>
        </is>
      </c>
      <c r="C1595" t="inlineStr">
        <is>
          <t>Coco LLC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pyg_gasto_ventas</t>
        </is>
      </c>
      <c r="G1595" t="inlineStr">
        <is>
          <t>Acumulado H1 2026</t>
        </is>
      </c>
      <c r="I1595" t="n">
        <v>25246</v>
      </c>
      <c r="J1595" t="inlineStr">
        <is>
          <t>USD</t>
        </is>
      </c>
      <c r="K1595" t="inlineStr">
        <is>
          <t>Estado de Resultados Combinado por País · acumulado a junio 2026 (versión definitiva, incluye reclasificación de honorarios de Perú pagados por EE.UU.).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Colombia</t>
        </is>
      </c>
      <c r="C1596" t="inlineStr">
        <is>
          <t>Coco Colombia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pyg_gasto_ventas</t>
        </is>
      </c>
      <c r="G1596" t="inlineStr">
        <is>
          <t>Acumulado H1 2026</t>
        </is>
      </c>
      <c r="I1596" t="n">
        <v>240203</v>
      </c>
      <c r="J1596" t="inlineStr">
        <is>
          <t>USD</t>
        </is>
      </c>
      <c r="K1596" t="inlineStr">
        <is>
          <t>P&amp;G Consolidado Oficial · Acumulado 1-ene al 30-jun-2026 (H1) · USD · sin balance general. Tasas promedio jun-2026: Perú 3.4050 PEN/USD · Colombia 3,505.2683 COP/USD.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Consolidado</t>
        </is>
      </c>
      <c r="C1597" t="inlineStr">
        <is>
          <t>Coco Consolidado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pyg_gasto_ventas</t>
        </is>
      </c>
      <c r="G1597" t="inlineStr">
        <is>
          <t>Acumulado H1 2026</t>
        </is>
      </c>
      <c r="I1597" t="n">
        <v>265449</v>
      </c>
      <c r="J1597" t="inlineStr">
        <is>
          <t>USD</t>
        </is>
      </c>
      <c r="K1597" t="inlineStr">
        <is>
          <t>Estado de Resultados Combinado por País · acumulado a junio 2026 (versión definitiva, incluye reclasificación de honorarios de Perú pagados por EE.UU.).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EE.UU.</t>
        </is>
      </c>
      <c r="C1598" t="inlineStr">
        <is>
          <t>Coco LLC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pyg_gasto_proyectos</t>
        </is>
      </c>
      <c r="G1598" t="inlineStr">
        <is>
          <t>Acumulado H1 2026</t>
        </is>
      </c>
      <c r="I1598" t="n">
        <v>11500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Perú</t>
        </is>
      </c>
      <c r="C1599" t="inlineStr">
        <is>
          <t>Coco Perú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pyg_gasto_proyectos</t>
        </is>
      </c>
      <c r="G1599" t="inlineStr">
        <is>
          <t>Acumulado H1 2026</t>
        </is>
      </c>
      <c r="I1599" t="n">
        <v>16797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Colombia</t>
        </is>
      </c>
      <c r="C1600" t="inlineStr">
        <is>
          <t>Coco Colombia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pyg_gasto_proyectos</t>
        </is>
      </c>
      <c r="G1600" t="inlineStr">
        <is>
          <t>Acumulado H1 2026</t>
        </is>
      </c>
      <c r="I1600" t="n">
        <v>163589</v>
      </c>
      <c r="J1600" t="inlineStr">
        <is>
          <t>USD</t>
        </is>
      </c>
      <c r="K1600" t="inlineStr">
        <is>
          <t>P&amp;G Consolidado Oficial · Acumulado 1-ene al 30-jun-2026 (H1) · USD · sin balance general. Tasas promedio jun-2026: Perú 3.4050 PEN/USD · Colombia 3,505.2683 COP/USD.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Consolidado</t>
        </is>
      </c>
      <c r="C1601" t="inlineStr">
        <is>
          <t>Coco Consolidado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pyg_gasto_proyectos</t>
        </is>
      </c>
      <c r="G1601" t="inlineStr">
        <is>
          <t>Acumulado H1 2026</t>
        </is>
      </c>
      <c r="I1601" t="n">
        <v>191885</v>
      </c>
      <c r="J1601" t="inlineStr">
        <is>
          <t>USD</t>
        </is>
      </c>
      <c r="K1601" t="inlineStr">
        <is>
          <t>P&amp;G Consolidado Oficial · Acumulado 1-ene al 30-jun-2026 (H1) · USD · sin balance general. Tasas promedio jun-2026: Perú 3.4050 PEN/USD · Colombia 3,505.2683 COP/USD.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Colombia</t>
        </is>
      </c>
      <c r="C1602" t="inlineStr">
        <is>
          <t>Coco Colombia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pyg_ingresos_no_operacionales</t>
        </is>
      </c>
      <c r="G1602" t="inlineStr">
        <is>
          <t>Acumulado H1 2026</t>
        </is>
      </c>
      <c r="I1602" t="n">
        <v>2876</v>
      </c>
      <c r="J1602" t="inlineStr">
        <is>
          <t>USD</t>
        </is>
      </c>
      <c r="K1602" t="inlineStr">
        <is>
          <t>P&amp;G Consolidado Oficial · Acumulado 1-ene al 30-jun-2026 (H1) · USD · sin balance general. Tasas promedio jun-2026: Perú 3.4050 PEN/USD · Colombia 3,505.2683 COP/USD.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2026-06</t>
        </is>
      </c>
      <c r="B1603" t="inlineStr">
        <is>
          <t>Consolidado</t>
        </is>
      </c>
      <c r="C1603" t="inlineStr">
        <is>
          <t>Coco Consolidado</t>
        </is>
      </c>
      <c r="D1603" t="inlineStr">
        <is>
          <t>USD</t>
        </is>
      </c>
      <c r="E1603" t="inlineStr">
        <is>
          <t>Real</t>
        </is>
      </c>
      <c r="F1603" t="inlineStr">
        <is>
          <t>pyg_ingresos_no_operacionales</t>
        </is>
      </c>
      <c r="G1603" t="inlineStr">
        <is>
          <t>Acumulado H1 2026</t>
        </is>
      </c>
      <c r="I1603" t="n">
        <v>2876</v>
      </c>
      <c r="J1603" t="inlineStr">
        <is>
          <t>USD</t>
        </is>
      </c>
      <c r="K1603" t="inlineStr">
        <is>
          <t>P&amp;G Consolidado Oficial · Acumulado 1-ene al 30-jun-2026 (H1) · USD · sin balance general. Tasas promedio jun-2026: Perú 3.4050 PEN/USD · Colombia 3,505.2683 COP/USD.</t>
        </is>
      </c>
      <c r="L1603" t="inlineStr">
        <is>
          <t>Internacional</t>
        </is>
      </c>
      <c r="M1603" t="inlineStr">
        <is>
          <t>Finanzas</t>
        </is>
      </c>
      <c r="N1603" t="inlineStr">
        <is>
          <t>Semestral</t>
        </is>
      </c>
    </row>
    <row r="1604">
      <c r="A1604" t="inlineStr">
        <is>
          <t>2026-06</t>
        </is>
      </c>
      <c r="B1604" t="inlineStr">
        <is>
          <t>EE.UU.</t>
        </is>
      </c>
      <c r="C1604" t="inlineStr">
        <is>
          <t>Coco LLC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pyg_gastos_financieros</t>
        </is>
      </c>
      <c r="G1604" t="inlineStr">
        <is>
          <t>Acumulado H1 2026</t>
        </is>
      </c>
      <c r="I1604" t="n">
        <v>15</v>
      </c>
      <c r="J1604" t="inlineStr">
        <is>
          <t>USD</t>
        </is>
      </c>
      <c r="K1604" t="inlineStr">
        <is>
          <t>P&amp;G Consolidado Oficial · Acumulado 1-ene al 30-jun-2026 (H1) · USD · sin balance general. Tasas promedio jun-2026: Perú 3.4050 PEN/USD · Colombia 3,505.2683 COP/USD.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Semestral</t>
        </is>
      </c>
    </row>
    <row r="1605">
      <c r="A1605" t="inlineStr">
        <is>
          <t>2026-06</t>
        </is>
      </c>
      <c r="B1605" t="inlineStr">
        <is>
          <t>Perú</t>
        </is>
      </c>
      <c r="C1605" t="inlineStr">
        <is>
          <t>Coco Perú</t>
        </is>
      </c>
      <c r="D1605" t="inlineStr">
        <is>
          <t>USD</t>
        </is>
      </c>
      <c r="E1605" t="inlineStr">
        <is>
          <t>Real</t>
        </is>
      </c>
      <c r="F1605" t="inlineStr">
        <is>
          <t>pyg_gastos_financieros</t>
        </is>
      </c>
      <c r="G1605" t="inlineStr">
        <is>
          <t>Acumulado H1 2026</t>
        </is>
      </c>
      <c r="I1605" t="n">
        <v>265</v>
      </c>
      <c r="J1605" t="inlineStr">
        <is>
          <t>USD</t>
        </is>
      </c>
      <c r="K1605" t="inlineStr">
        <is>
          <t>P&amp;G Consolidado Oficial · Acumulado 1-ene al 30-jun-2026 (H1) · USD · sin balance general. Tasas promedio jun-2026: Perú 3.4050 PEN/USD · Colombia 3,505.2683 COP/USD.</t>
        </is>
      </c>
      <c r="L1605" t="inlineStr">
        <is>
          <t>Internacional</t>
        </is>
      </c>
      <c r="M1605" t="inlineStr">
        <is>
          <t>Finanzas</t>
        </is>
      </c>
      <c r="N1605" t="inlineStr">
        <is>
          <t>Semestral</t>
        </is>
      </c>
    </row>
    <row r="1606">
      <c r="A1606" t="inlineStr">
        <is>
          <t>2026-06</t>
        </is>
      </c>
      <c r="B1606" t="inlineStr">
        <is>
          <t>Costa Rica</t>
        </is>
      </c>
      <c r="C1606" t="inlineStr">
        <is>
          <t>Coco Costa Rica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pyg_gastos_financieros</t>
        </is>
      </c>
      <c r="G1606" t="inlineStr">
        <is>
          <t>Acumulado H1 2026</t>
        </is>
      </c>
      <c r="I1606" t="n">
        <v>206</v>
      </c>
      <c r="J1606" t="inlineStr">
        <is>
          <t>USD</t>
        </is>
      </c>
      <c r="K1606" t="inlineStr">
        <is>
          <t>P&amp;G Consolidado Oficial · Acumulado 1-ene al 30-jun-2026 (H1) · USD · sin balance general. Tasas promedio jun-2026: Perú 3.4050 PEN/USD · Colombia 3,505.2683 COP/USD.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Semestral</t>
        </is>
      </c>
    </row>
    <row r="1607">
      <c r="A1607" t="inlineStr">
        <is>
          <t>2026-06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USD</t>
        </is>
      </c>
      <c r="E1607" t="inlineStr">
        <is>
          <t>Real</t>
        </is>
      </c>
      <c r="F1607" t="inlineStr">
        <is>
          <t>pyg_gastos_financieros</t>
        </is>
      </c>
      <c r="G1607" t="inlineStr">
        <is>
          <t>Acumulado H1 2026</t>
        </is>
      </c>
      <c r="I1607" t="n">
        <v>9915</v>
      </c>
      <c r="J1607" t="inlineStr">
        <is>
          <t>USD</t>
        </is>
      </c>
      <c r="K1607" t="inlineStr">
        <is>
          <t>P&amp;G Consolidado Oficial · Acumulado 1-ene al 30-jun-2026 (H1) · USD · sin balance general. Tasas promedio jun-2026: Perú 3.4050 PEN/USD · Colombia 3,505.2683 COP/USD.</t>
        </is>
      </c>
      <c r="L1607" t="inlineStr">
        <is>
          <t>Internacional</t>
        </is>
      </c>
      <c r="M1607" t="inlineStr">
        <is>
          <t>Finanzas</t>
        </is>
      </c>
      <c r="N1607" t="inlineStr">
        <is>
          <t>Semestral</t>
        </is>
      </c>
    </row>
    <row r="1608">
      <c r="A1608" t="inlineStr">
        <is>
          <t>2026-06</t>
        </is>
      </c>
      <c r="B1608" t="inlineStr">
        <is>
          <t>Consolidado</t>
        </is>
      </c>
      <c r="C1608" t="inlineStr">
        <is>
          <t>Coco Consolidado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pyg_gastos_financieros</t>
        </is>
      </c>
      <c r="G1608" t="inlineStr">
        <is>
          <t>Acumulado H1 2026</t>
        </is>
      </c>
      <c r="I1608" t="n">
        <v>10401</v>
      </c>
      <c r="J1608" t="inlineStr">
        <is>
          <t>USD</t>
        </is>
      </c>
      <c r="K1608" t="inlineStr">
        <is>
          <t>P&amp;G Consolidado Oficial · Acumulado 1-ene al 30-jun-2026 (H1) · USD · sin balance general. Tasas promedio jun-2026: Perú 3.4050 PEN/USD · Colombia 3,505.2683 COP/USD.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Semestral</t>
        </is>
      </c>
    </row>
    <row r="1609">
      <c r="A1609" t="inlineStr">
        <is>
          <t>2026-06</t>
        </is>
      </c>
      <c r="B1609" t="inlineStr">
        <is>
          <t>EE.UU.</t>
        </is>
      </c>
      <c r="C1609" t="inlineStr">
        <is>
          <t>Coco LLC</t>
        </is>
      </c>
      <c r="D1609" t="inlineStr">
        <is>
          <t>USD</t>
        </is>
      </c>
      <c r="E1609" t="inlineStr">
        <is>
          <t>Real</t>
        </is>
      </c>
      <c r="F1609" t="inlineStr">
        <is>
          <t>pyg_utilidad_neta</t>
        </is>
      </c>
      <c r="G1609" t="inlineStr">
        <is>
          <t>Acumulado H1 2026</t>
        </is>
      </c>
      <c r="I1609" t="n">
        <v>-45057</v>
      </c>
      <c r="J1609" t="inlineStr">
        <is>
          <t>USD</t>
        </is>
      </c>
      <c r="K1609" t="inlineStr">
        <is>
          <t>Estado de Resultados Combinado por País · acumulado a junio 2026 (versión definitiva, incluye reclasificación de honorarios de Perú pagados por EE.UU.).</t>
        </is>
      </c>
      <c r="L1609" t="inlineStr">
        <is>
          <t>Internacional</t>
        </is>
      </c>
      <c r="M1609" t="inlineStr">
        <is>
          <t>Finanzas</t>
        </is>
      </c>
      <c r="N1609" t="inlineStr">
        <is>
          <t>Semestral</t>
        </is>
      </c>
    </row>
    <row r="1610">
      <c r="A1610" t="inlineStr">
        <is>
          <t>2026-06</t>
        </is>
      </c>
      <c r="B1610" t="inlineStr">
        <is>
          <t>Perú</t>
        </is>
      </c>
      <c r="C1610" t="inlineStr">
        <is>
          <t>Coco Perú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pyg_utilidad_neta</t>
        </is>
      </c>
      <c r="G1610" t="inlineStr">
        <is>
          <t>Acumulado H1 2026</t>
        </is>
      </c>
      <c r="I1610" t="n">
        <v>-13983</v>
      </c>
      <c r="J1610" t="inlineStr">
        <is>
          <t>USD</t>
        </is>
      </c>
      <c r="K1610" t="inlineStr">
        <is>
          <t>P&amp;G Consolidado Oficial · Acumulado 1-ene al 30-jun-2026 (H1) · USD · sin balance general. Tasas promedio jun-2026: Perú 3.4050 PEN/USD · Colombia 3,505.2683 COP/USD.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Semestral</t>
        </is>
      </c>
    </row>
    <row r="1611">
      <c r="A1611" t="inlineStr">
        <is>
          <t>2026-06</t>
        </is>
      </c>
      <c r="B1611" t="inlineStr">
        <is>
          <t>Costa Rica</t>
        </is>
      </c>
      <c r="C1611" t="inlineStr">
        <is>
          <t>Coco Costa Rica</t>
        </is>
      </c>
      <c r="D1611" t="inlineStr">
        <is>
          <t>USD</t>
        </is>
      </c>
      <c r="E1611" t="inlineStr">
        <is>
          <t>Real</t>
        </is>
      </c>
      <c r="F1611" t="inlineStr">
        <is>
          <t>pyg_utilidad_neta</t>
        </is>
      </c>
      <c r="G1611" t="inlineStr">
        <is>
          <t>Acumulado H1 2026</t>
        </is>
      </c>
      <c r="I1611" t="n">
        <v>-21998</v>
      </c>
      <c r="J1611" t="inlineStr">
        <is>
          <t>USD</t>
        </is>
      </c>
      <c r="K1611" t="inlineStr">
        <is>
          <t>P&amp;G Consolidado Oficial · Acumulado 1-ene al 30-jun-2026 (H1) · USD · sin balance general. Tasas promedio jun-2026: Perú 3.4050 PEN/USD · Colombia 3,505.2683 COP/USD.</t>
        </is>
      </c>
      <c r="L1611" t="inlineStr">
        <is>
          <t>Internacional</t>
        </is>
      </c>
      <c r="M1611" t="inlineStr">
        <is>
          <t>Finanzas</t>
        </is>
      </c>
      <c r="N1611" t="inlineStr">
        <is>
          <t>Semestral</t>
        </is>
      </c>
    </row>
    <row r="1612">
      <c r="A1612" t="inlineStr">
        <is>
          <t>2026-06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pyg_utilidad_neta</t>
        </is>
      </c>
      <c r="G1612" t="inlineStr">
        <is>
          <t>Acumulado H1 2026</t>
        </is>
      </c>
      <c r="I1612" t="n">
        <v>63339</v>
      </c>
      <c r="J1612" t="inlineStr">
        <is>
          <t>USD</t>
        </is>
      </c>
      <c r="K1612" t="inlineStr">
        <is>
          <t>P&amp;G Consolidado Oficial · Acumulado 1-ene al 30-jun-2026 (H1) · USD · sin balance general. Tasas promedio jun-2026: Perú 3.4050 PEN/USD · Colombia 3,505.2683 COP/USD.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Semestral</t>
        </is>
      </c>
    </row>
    <row r="1613">
      <c r="A1613" t="inlineStr">
        <is>
          <t>2026-06</t>
        </is>
      </c>
      <c r="B1613" t="inlineStr">
        <is>
          <t>Consolidado</t>
        </is>
      </c>
      <c r="C1613" t="inlineStr">
        <is>
          <t>Coco Consolidado</t>
        </is>
      </c>
      <c r="D1613" t="inlineStr">
        <is>
          <t>USD</t>
        </is>
      </c>
      <c r="E1613" t="inlineStr">
        <is>
          <t>Real</t>
        </is>
      </c>
      <c r="F1613" t="inlineStr">
        <is>
          <t>pyg_utilidad_neta</t>
        </is>
      </c>
      <c r="G1613" t="inlineStr">
        <is>
          <t>Acumulado H1 2026</t>
        </is>
      </c>
      <c r="I1613" t="n">
        <v>-17700</v>
      </c>
      <c r="J1613" t="inlineStr">
        <is>
          <t>USD</t>
        </is>
      </c>
      <c r="K1613" t="inlineStr">
        <is>
          <t>Estado de Resultados Combinado por País · acumulado a junio 2026 (versión definitiva, incluye reclasificación de honorarios de Perú pagados por EE.UU.).</t>
        </is>
      </c>
      <c r="L1613" t="inlineStr">
        <is>
          <t>Internacional</t>
        </is>
      </c>
      <c r="M1613" t="inlineStr">
        <is>
          <t>Finanzas</t>
        </is>
      </c>
      <c r="N1613" t="inlineStr">
        <is>
          <t>Semestral</t>
        </is>
      </c>
    </row>
    <row r="1614">
      <c r="A1614" t="inlineStr">
        <is>
          <t>2026-06</t>
        </is>
      </c>
      <c r="B1614" t="inlineStr">
        <is>
          <t>EE.UU.</t>
        </is>
      </c>
      <c r="C1614" t="inlineStr">
        <is>
          <t>Coco LLC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pyg_reclasif_honorarios_peru</t>
        </is>
      </c>
      <c r="G1614" t="inlineStr">
        <is>
          <t>Acumulado H1 2026</t>
        </is>
      </c>
      <c r="I1614" t="n">
        <v>10557</v>
      </c>
      <c r="J1614" t="inlineStr">
        <is>
          <t>USD</t>
        </is>
      </c>
      <c r="K1614" t="inlineStr">
        <is>
          <t>Estado de Resultados Combinado por País · acumulado a junio 2026 (versión definitiva, incluye reclasificación de honorarios de Perú pagados por EE.UU.).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Semestral</t>
        </is>
      </c>
    </row>
    <row r="1615">
      <c r="A1615" t="inlineStr">
        <is>
          <t>2026-06</t>
        </is>
      </c>
      <c r="B1615" t="inlineStr">
        <is>
          <t>Consolidado</t>
        </is>
      </c>
      <c r="C1615" t="inlineStr">
        <is>
          <t>Coco Consolidado</t>
        </is>
      </c>
      <c r="D1615" t="inlineStr">
        <is>
          <t>USD</t>
        </is>
      </c>
      <c r="E1615" t="inlineStr">
        <is>
          <t>Real</t>
        </is>
      </c>
      <c r="F1615" t="inlineStr">
        <is>
          <t>pyg_reclasif_honorarios_peru</t>
        </is>
      </c>
      <c r="G1615" t="inlineStr">
        <is>
          <t>Acumulado H1 2026</t>
        </is>
      </c>
      <c r="I1615" t="n">
        <v>10557</v>
      </c>
      <c r="J1615" t="inlineStr">
        <is>
          <t>USD</t>
        </is>
      </c>
      <c r="K1615" t="inlineStr">
        <is>
          <t>Estado de Resultados Combinado por País · acumulado a junio 2026 (versión definitiva, incluye reclasificación de honorarios de Perú pagados por EE.UU.).</t>
        </is>
      </c>
      <c r="L1615" t="inlineStr">
        <is>
          <t>Internacional</t>
        </is>
      </c>
      <c r="M1615" t="inlineStr">
        <is>
          <t>Finanzas</t>
        </is>
      </c>
      <c r="N1615" t="inlineStr">
        <is>
          <t>Semestral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COP</t>
        </is>
      </c>
      <c r="E1616" t="inlineStr">
        <is>
          <t>Real</t>
        </is>
      </c>
      <c r="F1616" t="inlineStr">
        <is>
          <t>pyg_servicio_software</t>
        </is>
      </c>
      <c r="I1616" t="n">
        <v>711900651</v>
      </c>
      <c r="J1616" t="inlineStr">
        <is>
          <t>COP</t>
        </is>
      </c>
      <c r="K1616" t="inlineStr">
        <is>
          <t>EEFF julio 2026: julio mensual derivado de acumulado oficial COCO Colombia menos enero-junio COP local ya cargado. Fuente: EF Julio COCO 2026.pdf.</t>
        </is>
      </c>
      <c r="L1616" t="inlineStr">
        <is>
          <t>Finanzas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USD</t>
        </is>
      </c>
      <c r="E1617" t="inlineStr">
        <is>
          <t>Real</t>
        </is>
      </c>
      <c r="F1617" t="inlineStr">
        <is>
          <t>pyg_servicio_software</t>
        </is>
      </c>
      <c r="G1617" t="inlineStr">
        <is>
          <t>Consolidación USD</t>
        </is>
      </c>
      <c r="I1617" t="n">
        <v>203094.48</v>
      </c>
      <c r="J1617" t="inlineStr">
        <is>
          <t>USD</t>
        </is>
      </c>
      <c r="K1617" t="inlineStr">
        <is>
          <t>Consolidado estructurado julio 2026: Colombia convertido desde COP a USD con TRM 3505.2683.</t>
        </is>
      </c>
      <c r="L1617" t="inlineStr">
        <is>
          <t>Internacional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COP</t>
        </is>
      </c>
      <c r="E1618" t="inlineStr">
        <is>
          <t>Real</t>
        </is>
      </c>
      <c r="F1618" t="inlineStr">
        <is>
          <t>pyg_devoluciones</t>
        </is>
      </c>
      <c r="I1618" t="n">
        <v>-32010099</v>
      </c>
      <c r="J1618" t="inlineStr">
        <is>
          <t>COP</t>
        </is>
      </c>
      <c r="K1618" t="inlineStr">
        <is>
          <t>EEFF julio 2026: julio mensual derivado de acumulado oficial COCO Colombia menos enero-junio COP local ya cargado. Fuente: EF Julio COCO 2026.pdf.</t>
        </is>
      </c>
      <c r="L1618" t="inlineStr">
        <is>
          <t>Finanzas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USD</t>
        </is>
      </c>
      <c r="E1619" t="inlineStr">
        <is>
          <t>Real</t>
        </is>
      </c>
      <c r="F1619" t="inlineStr">
        <is>
          <t>pyg_devoluciones</t>
        </is>
      </c>
      <c r="G1619" t="inlineStr">
        <is>
          <t>Consolidación USD</t>
        </is>
      </c>
      <c r="I1619" t="n">
        <v>-9132</v>
      </c>
      <c r="J1619" t="inlineStr">
        <is>
          <t>USD</t>
        </is>
      </c>
      <c r="K1619" t="inlineStr">
        <is>
          <t>Consolidado estructurado julio 2026: Colombia convertido desde COP a USD con TRM 3505.2683.</t>
        </is>
      </c>
      <c r="L1619" t="inlineStr">
        <is>
          <t>Internacional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COP</t>
        </is>
      </c>
      <c r="E1620" t="inlineStr">
        <is>
          <t>Real</t>
        </is>
      </c>
      <c r="F1620" t="inlineStr">
        <is>
          <t>pyg_ingresos_operacionales</t>
        </is>
      </c>
      <c r="I1620" t="n">
        <v>679890552</v>
      </c>
      <c r="J1620" t="inlineStr">
        <is>
          <t>COP</t>
        </is>
      </c>
      <c r="K1620" t="inlineStr">
        <is>
          <t>EEFF julio 2026: julio mensual derivado de acumulado oficial COCO Colombia menos enero-junio COP local ya cargado. Fuente: EF Julio COCO 2026.pdf.</t>
        </is>
      </c>
      <c r="L1620" t="inlineStr">
        <is>
          <t>Finanzas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USD</t>
        </is>
      </c>
      <c r="E1621" t="inlineStr">
        <is>
          <t>Real</t>
        </is>
      </c>
      <c r="F1621" t="inlineStr">
        <is>
          <t>pyg_ingresos_operacionales</t>
        </is>
      </c>
      <c r="G1621" t="inlineStr">
        <is>
          <t>Consolidación USD</t>
        </is>
      </c>
      <c r="I1621" t="n">
        <v>193962.49</v>
      </c>
      <c r="J1621" t="inlineStr">
        <is>
          <t>USD</t>
        </is>
      </c>
      <c r="K1621" t="inlineStr">
        <is>
          <t>Consolidado estructurado julio 2026: Colombia convertido desde COP a USD con TRM 3505.2683.</t>
        </is>
      </c>
      <c r="L1621" t="inlineStr">
        <is>
          <t>Internacional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COP</t>
        </is>
      </c>
      <c r="E1622" t="inlineStr">
        <is>
          <t>Real</t>
        </is>
      </c>
      <c r="F1622" t="inlineStr">
        <is>
          <t>pyg_costo_ventas</t>
        </is>
      </c>
      <c r="I1622" t="n">
        <v>321917837</v>
      </c>
      <c r="J1622" t="inlineStr">
        <is>
          <t>COP</t>
        </is>
      </c>
      <c r="K1622" t="inlineStr">
        <is>
          <t>EEFF julio 2026: julio mensual derivado de acumulado oficial COCO Colombia menos enero-junio COP local ya cargado. Fuente: EF Julio COCO 2026.pdf.</t>
        </is>
      </c>
      <c r="L1622" t="inlineStr">
        <is>
          <t>Finanzas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USD</t>
        </is>
      </c>
      <c r="E1623" t="inlineStr">
        <is>
          <t>Real</t>
        </is>
      </c>
      <c r="F1623" t="inlineStr">
        <is>
          <t>pyg_costo_ventas</t>
        </is>
      </c>
      <c r="G1623" t="inlineStr">
        <is>
          <t>Consolidación USD</t>
        </is>
      </c>
      <c r="I1623" t="n">
        <v>91838.28999999999</v>
      </c>
      <c r="J1623" t="inlineStr">
        <is>
          <t>USD</t>
        </is>
      </c>
      <c r="K1623" t="inlineStr">
        <is>
          <t>Consolidado estructurado julio 2026: Colombia convertido desde COP a USD con TRM 3505.2683.</t>
        </is>
      </c>
      <c r="L1623" t="inlineStr">
        <is>
          <t>Internacional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COP</t>
        </is>
      </c>
      <c r="E1624" t="inlineStr">
        <is>
          <t>Real</t>
        </is>
      </c>
      <c r="F1624" t="inlineStr">
        <is>
          <t>pyg_utilidad_bruta</t>
        </is>
      </c>
      <c r="I1624" t="n">
        <v>357972713</v>
      </c>
      <c r="J1624" t="inlineStr">
        <is>
          <t>COP</t>
        </is>
      </c>
      <c r="K1624" t="inlineStr">
        <is>
          <t>EEFF julio 2026: julio mensual derivado de acumulado oficial COCO Colombia menos enero-junio COP local ya cargado. Fuente: EF Julio COCO 2026.pdf.</t>
        </is>
      </c>
      <c r="L1624" t="inlineStr">
        <is>
          <t>Finanzas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USD</t>
        </is>
      </c>
      <c r="E1625" t="inlineStr">
        <is>
          <t>Real</t>
        </is>
      </c>
      <c r="F1625" t="inlineStr">
        <is>
          <t>pyg_utilidad_bruta</t>
        </is>
      </c>
      <c r="G1625" t="inlineStr">
        <is>
          <t>Consolidación USD</t>
        </is>
      </c>
      <c r="I1625" t="n">
        <v>102124.2</v>
      </c>
      <c r="J1625" t="inlineStr">
        <is>
          <t>USD</t>
        </is>
      </c>
      <c r="K1625" t="inlineStr">
        <is>
          <t>Consolidado estructurado julio 2026: Colombia convertido desde COP a USD con TRM 3505.2683.</t>
        </is>
      </c>
      <c r="L1625" t="inlineStr">
        <is>
          <t>Internacional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COP</t>
        </is>
      </c>
      <c r="E1626" t="inlineStr">
        <is>
          <t>Real</t>
        </is>
      </c>
      <c r="F1626" t="inlineStr">
        <is>
          <t>pyg_gasto_administracion</t>
        </is>
      </c>
      <c r="I1626" t="n">
        <v>107932742</v>
      </c>
      <c r="J1626" t="inlineStr">
        <is>
          <t>COP</t>
        </is>
      </c>
      <c r="K1626" t="inlineStr">
        <is>
          <t>EEFF julio 2026: julio mensual derivado de acumulado oficial COCO Colombia menos enero-junio COP local ya cargado. Fuente: EF Julio COCO 2026.pdf.</t>
        </is>
      </c>
      <c r="L1626" t="inlineStr">
        <is>
          <t>Finanzas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Colombia</t>
        </is>
      </c>
      <c r="C1627" t="inlineStr">
        <is>
          <t>Coco Colombia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pyg_gasto_administracion</t>
        </is>
      </c>
      <c r="G1627" t="inlineStr">
        <is>
          <t>Consolidación USD</t>
        </is>
      </c>
      <c r="I1627" t="n">
        <v>30791.58</v>
      </c>
      <c r="J1627" t="inlineStr">
        <is>
          <t>USD</t>
        </is>
      </c>
      <c r="K1627" t="inlineStr">
        <is>
          <t>Consolidado estructurado julio 2026: Colombia convertido desde COP a USD con TRM 3505.2683.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Colombia</t>
        </is>
      </c>
      <c r="C1628" t="inlineStr">
        <is>
          <t>Coco Colombia</t>
        </is>
      </c>
      <c r="D1628" t="inlineStr">
        <is>
          <t>COP</t>
        </is>
      </c>
      <c r="E1628" t="inlineStr">
        <is>
          <t>Real</t>
        </is>
      </c>
      <c r="F1628" t="inlineStr">
        <is>
          <t>pyg_gasto_proyectos</t>
        </is>
      </c>
      <c r="I1628" t="n">
        <v>102936374</v>
      </c>
      <c r="J1628" t="inlineStr">
        <is>
          <t>COP</t>
        </is>
      </c>
      <c r="K1628" t="inlineStr">
        <is>
          <t>EEFF julio 2026: julio mensual derivado de acumulado oficial COCO Colombia menos enero-junio COP local ya cargado. Fuente: EF Julio COCO 2026.pdf.</t>
        </is>
      </c>
      <c r="L1628" t="inlineStr">
        <is>
          <t>Finanzas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Colombia</t>
        </is>
      </c>
      <c r="C1629" t="inlineStr">
        <is>
          <t>Coco Colombia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pyg_gasto_proyectos</t>
        </is>
      </c>
      <c r="G1629" t="inlineStr">
        <is>
          <t>Consolidación USD</t>
        </is>
      </c>
      <c r="I1629" t="n">
        <v>29366.19</v>
      </c>
      <c r="J1629" t="inlineStr">
        <is>
          <t>USD</t>
        </is>
      </c>
      <c r="K1629" t="inlineStr">
        <is>
          <t>Consolidado estructurado julio 2026: Colombia convertido desde COP a USD con TRM 3505.2683.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Colombia</t>
        </is>
      </c>
      <c r="C1630" t="inlineStr">
        <is>
          <t>Coco Colombia</t>
        </is>
      </c>
      <c r="D1630" t="inlineStr">
        <is>
          <t>COP</t>
        </is>
      </c>
      <c r="E1630" t="inlineStr">
        <is>
          <t>Real</t>
        </is>
      </c>
      <c r="F1630" t="inlineStr">
        <is>
          <t>pyg_gasto_ventas</t>
        </is>
      </c>
      <c r="I1630" t="n">
        <v>117761236</v>
      </c>
      <c r="J1630" t="inlineStr">
        <is>
          <t>COP</t>
        </is>
      </c>
      <c r="K1630" t="inlineStr">
        <is>
          <t>EEFF julio 2026: julio mensual derivado de acumulado oficial COCO Colombia menos enero-junio COP local ya cargado. Fuente: EF Julio COCO 2026.pdf.</t>
        </is>
      </c>
      <c r="L1630" t="inlineStr">
        <is>
          <t>Finanzas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Colombia</t>
        </is>
      </c>
      <c r="C1631" t="inlineStr">
        <is>
          <t>Coco Colombia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pyg_gasto_ventas</t>
        </is>
      </c>
      <c r="G1631" t="inlineStr">
        <is>
          <t>Consolidación USD</t>
        </is>
      </c>
      <c r="I1631" t="n">
        <v>33595.5</v>
      </c>
      <c r="J1631" t="inlineStr">
        <is>
          <t>USD</t>
        </is>
      </c>
      <c r="K1631" t="inlineStr">
        <is>
          <t>Consolidado estructurado julio 2026: Colombia convertido desde COP a USD con TRM 3505.2683.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Colombia</t>
        </is>
      </c>
      <c r="C1632" t="inlineStr">
        <is>
          <t>Coco Colombia</t>
        </is>
      </c>
      <c r="D1632" t="inlineStr">
        <is>
          <t>COP</t>
        </is>
      </c>
      <c r="E1632" t="inlineStr">
        <is>
          <t>Real</t>
        </is>
      </c>
      <c r="F1632" t="inlineStr">
        <is>
          <t>pyg_utilidad_operativa</t>
        </is>
      </c>
      <c r="I1632" t="n">
        <v>29342360</v>
      </c>
      <c r="J1632" t="inlineStr">
        <is>
          <t>COP</t>
        </is>
      </c>
      <c r="K1632" t="inlineStr">
        <is>
          <t>EEFF julio 2026: julio mensual derivado de acumulado oficial COCO Colombia menos enero-junio COP local ya cargado. Fuente: EF Julio COCO 2026.pdf.</t>
        </is>
      </c>
      <c r="L1632" t="inlineStr">
        <is>
          <t>Finanzas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Colombia</t>
        </is>
      </c>
      <c r="C1633" t="inlineStr">
        <is>
          <t>Coco Colombia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pyg_utilidad_operativa</t>
        </is>
      </c>
      <c r="G1633" t="inlineStr">
        <is>
          <t>Consolidación USD</t>
        </is>
      </c>
      <c r="I1633" t="n">
        <v>8370.93</v>
      </c>
      <c r="J1633" t="inlineStr">
        <is>
          <t>USD</t>
        </is>
      </c>
      <c r="K1633" t="inlineStr">
        <is>
          <t>Consolidado estructurado julio 2026: Colombia convertido desde COP a USD con TRM 3505.2683.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Colombia</t>
        </is>
      </c>
      <c r="C1634" t="inlineStr">
        <is>
          <t>Coco Colombia</t>
        </is>
      </c>
      <c r="D1634" t="inlineStr">
        <is>
          <t>COP</t>
        </is>
      </c>
      <c r="E1634" t="inlineStr">
        <is>
          <t>Real</t>
        </is>
      </c>
      <c r="F1634" t="inlineStr">
        <is>
          <t>pyg_ingresos_no_operacionales</t>
        </is>
      </c>
      <c r="I1634" t="n">
        <v>718311</v>
      </c>
      <c r="J1634" t="inlineStr">
        <is>
          <t>COP</t>
        </is>
      </c>
      <c r="K1634" t="inlineStr">
        <is>
          <t>EEFF julio 2026: julio mensual derivado de acumulado oficial COCO Colombia menos enero-junio COP local ya cargado. Fuente: EF Julio COCO 2026.pdf.</t>
        </is>
      </c>
      <c r="L1634" t="inlineStr">
        <is>
          <t>Finanzas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Colombia</t>
        </is>
      </c>
      <c r="C1635" t="inlineStr">
        <is>
          <t>Coco Colombia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pyg_ingresos_no_operacionales</t>
        </is>
      </c>
      <c r="G1635" t="inlineStr">
        <is>
          <t>Consolidación USD</t>
        </is>
      </c>
      <c r="I1635" t="n">
        <v>204.92</v>
      </c>
      <c r="J1635" t="inlineStr">
        <is>
          <t>USD</t>
        </is>
      </c>
      <c r="K1635" t="inlineStr">
        <is>
          <t>Consolidado estructurado julio 2026: Colombia convertido desde COP a USD con TRM 3505.2683.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Colombia</t>
        </is>
      </c>
      <c r="C1636" t="inlineStr">
        <is>
          <t>Coco Colombia</t>
        </is>
      </c>
      <c r="D1636" t="inlineStr">
        <is>
          <t>COP</t>
        </is>
      </c>
      <c r="E1636" t="inlineStr">
        <is>
          <t>Real</t>
        </is>
      </c>
      <c r="F1636" t="inlineStr">
        <is>
          <t>pyg_gastos_financieros</t>
        </is>
      </c>
      <c r="I1636" t="n">
        <v>5353621</v>
      </c>
      <c r="J1636" t="inlineStr">
        <is>
          <t>COP</t>
        </is>
      </c>
      <c r="K1636" t="inlineStr">
        <is>
          <t>EEFF julio 2026: julio mensual derivado de acumulado oficial COCO Colombia menos enero-junio COP local ya cargado. Fuente: EF Julio COCO 2026.pdf.</t>
        </is>
      </c>
      <c r="L1636" t="inlineStr">
        <is>
          <t>Finanzas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Colombia</t>
        </is>
      </c>
      <c r="C1637" t="inlineStr">
        <is>
          <t>Coco Colombia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pyg_gastos_financieros</t>
        </is>
      </c>
      <c r="G1637" t="inlineStr">
        <is>
          <t>Consolidación USD</t>
        </is>
      </c>
      <c r="I1637" t="n">
        <v>1527.31</v>
      </c>
      <c r="J1637" t="inlineStr">
        <is>
          <t>USD</t>
        </is>
      </c>
      <c r="K1637" t="inlineStr">
        <is>
          <t>Consolidado estructurado julio 2026: Colombia convertido desde COP a USD con TRM 3505.2683.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Colombia</t>
        </is>
      </c>
      <c r="C1638" t="inlineStr">
        <is>
          <t>Coco Colombia</t>
        </is>
      </c>
      <c r="D1638" t="inlineStr">
        <is>
          <t>COP</t>
        </is>
      </c>
      <c r="E1638" t="inlineStr">
        <is>
          <t>Real</t>
        </is>
      </c>
      <c r="F1638" t="inlineStr">
        <is>
          <t>pyg_utilidad_neta</t>
        </is>
      </c>
      <c r="I1638" t="n">
        <v>24707051</v>
      </c>
      <c r="J1638" t="inlineStr">
        <is>
          <t>COP</t>
        </is>
      </c>
      <c r="K1638" t="inlineStr">
        <is>
          <t>EEFF julio 2026: julio mensual derivado de acumulado oficial COCO Colombia menos enero-junio COP local ya cargado. Fuente: EF Julio COCO 2026.pdf.</t>
        </is>
      </c>
      <c r="L1638" t="inlineStr">
        <is>
          <t>Finanzas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Colombia</t>
        </is>
      </c>
      <c r="C1639" t="inlineStr">
        <is>
          <t>Coco Colombia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pyg_utilidad_neta</t>
        </is>
      </c>
      <c r="G1639" t="inlineStr">
        <is>
          <t>Consolidación USD</t>
        </is>
      </c>
      <c r="I1639" t="n">
        <v>7048.55</v>
      </c>
      <c r="J1639" t="inlineStr">
        <is>
          <t>USD</t>
        </is>
      </c>
      <c r="K1639" t="inlineStr">
        <is>
          <t>Consolidado estructurado julio 2026: Colombia convertido desde COP a USD con TRM 3505.2683.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pyg_servicio_software</t>
        </is>
      </c>
      <c r="G1640" t="inlineStr">
        <is>
          <t>Moneda origen</t>
        </is>
      </c>
      <c r="I1640" t="n">
        <v>6013.45</v>
      </c>
      <c r="J1640" t="inlineStr">
        <is>
          <t>USD</t>
        </is>
      </c>
      <c r="K1640" t="inlineStr">
        <is>
          <t>Consolidado estructurado julio 2026: julio mensual derivado por diferencia entre acumulado julio y acumulado junio.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pyg_servicio_software</t>
        </is>
      </c>
      <c r="G1641" t="inlineStr">
        <is>
          <t>Consolidación USD</t>
        </is>
      </c>
      <c r="I1641" t="n">
        <v>6013.45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pyg_devoluciones</t>
        </is>
      </c>
      <c r="G1642" t="inlineStr">
        <is>
          <t>Moneda origen</t>
        </is>
      </c>
      <c r="I1642" t="n">
        <v>0</v>
      </c>
      <c r="J1642" t="inlineStr">
        <is>
          <t>USD</t>
        </is>
      </c>
      <c r="K1642" t="inlineStr">
        <is>
          <t>Consolidado estructurado julio 2026: julio mensual derivado por diferencia entre acumulado julio y acumulado junio.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pyg_devoluciones</t>
        </is>
      </c>
      <c r="G1643" t="inlineStr">
        <is>
          <t>Consolidación USD</t>
        </is>
      </c>
      <c r="I1643" t="n">
        <v>0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pyg_ingresos_operacionales</t>
        </is>
      </c>
      <c r="G1644" t="inlineStr">
        <is>
          <t>Moneda origen</t>
        </is>
      </c>
      <c r="I1644" t="n">
        <v>6013.45</v>
      </c>
      <c r="J1644" t="inlineStr">
        <is>
          <t>USD</t>
        </is>
      </c>
      <c r="K1644" t="inlineStr">
        <is>
          <t>Consolidado estructurado julio 2026: julio mensual derivado por diferencia entre acumulado julio y acumulado junio.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pyg_ingresos_operacionales</t>
        </is>
      </c>
      <c r="G1645" t="inlineStr">
        <is>
          <t>Consolidación USD</t>
        </is>
      </c>
      <c r="I1645" t="n">
        <v>6013.45</v>
      </c>
      <c r="J1645" t="inlineStr">
        <is>
          <t>USD</t>
        </is>
      </c>
      <c r="K1645" t="inlineStr">
        <is>
          <t>Homologado desde auxiliar contable (Julio 2026 USA.xlsx). Reemplaza fuente previa (modelo/sin dato).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pyg_ingresos_no_operacionales</t>
        </is>
      </c>
      <c r="G1646" t="inlineStr">
        <is>
          <t>Moneda origen</t>
        </is>
      </c>
      <c r="I1646" t="n">
        <v>10.76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pyg_ingresos_no_operacionales</t>
        </is>
      </c>
      <c r="G1647" t="inlineStr">
        <is>
          <t>Consolidación USD</t>
        </is>
      </c>
      <c r="I1647" t="n">
        <v>10.76</v>
      </c>
      <c r="J1647" t="inlineStr">
        <is>
          <t>USD</t>
        </is>
      </c>
      <c r="K1647" t="inlineStr">
        <is>
          <t>Homologado desde auxiliar contable (Julio 2026 USA.xlsx). Reemplaza fuente previa (modelo/sin dato).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pyg_costo_ventas</t>
        </is>
      </c>
      <c r="G1648" t="inlineStr">
        <is>
          <t>Moneda origen</t>
        </is>
      </c>
      <c r="I1648" t="n">
        <v>0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pyg_costo_ventas</t>
        </is>
      </c>
      <c r="G1649" t="inlineStr">
        <is>
          <t>Consolidación USD</t>
        </is>
      </c>
      <c r="I1649" t="n">
        <v>0</v>
      </c>
      <c r="J1649" t="inlineStr">
        <is>
          <t>USD</t>
        </is>
      </c>
      <c r="K1649" t="inlineStr">
        <is>
          <t>Homologado desde auxiliar contable (Julio 2026 USA.xlsx). Reemplaza fuente previa (modelo/sin dato).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pyg_gasto_administracion</t>
        </is>
      </c>
      <c r="G1650" t="inlineStr">
        <is>
          <t>Moneda origen</t>
        </is>
      </c>
      <c r="I1650" t="n">
        <v>12001.75</v>
      </c>
      <c r="J1650" t="inlineStr">
        <is>
          <t>USD</t>
        </is>
      </c>
      <c r="K1650" t="inlineStr">
        <is>
          <t>Consolidado estructurado julio 2026: julio mensual derivado por diferencia entre acumulado julio y acumulado junio.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EE.UU.</t>
        </is>
      </c>
      <c r="C1651" t="inlineStr">
        <is>
          <t>Coco LLC</t>
        </is>
      </c>
      <c r="D1651" t="inlineStr">
        <is>
          <t>USD</t>
        </is>
      </c>
      <c r="E1651" t="inlineStr">
        <is>
          <t>Real</t>
        </is>
      </c>
      <c r="F1651" t="inlineStr">
        <is>
          <t>pyg_gasto_administracion</t>
        </is>
      </c>
      <c r="G1651" t="inlineStr">
        <is>
          <t>Consolidación USD</t>
        </is>
      </c>
      <c r="I1651" t="n">
        <v>4001.75</v>
      </c>
      <c r="J1651" t="inlineStr">
        <is>
          <t>USD</t>
        </is>
      </c>
      <c r="K1651" t="inlineStr">
        <is>
          <t>Homologado desde auxiliar contable (Julio 2026 USA.xlsx). Reemplaza fuente previa (modelo/sin dato).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EE.UU.</t>
        </is>
      </c>
      <c r="C1652" t="inlineStr">
        <is>
          <t>Coco LLC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pyg_gasto_ventas</t>
        </is>
      </c>
      <c r="G1652" t="inlineStr">
        <is>
          <t>Moneda origen</t>
        </is>
      </c>
      <c r="I1652" t="n">
        <v>0</v>
      </c>
      <c r="J1652" t="inlineStr">
        <is>
          <t>USD</t>
        </is>
      </c>
      <c r="K1652" t="inlineStr">
        <is>
          <t>Consolidado estructurado julio 2026: julio mensual derivado por diferencia entre acumulado julio y acumulado junio.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EE.UU.</t>
        </is>
      </c>
      <c r="C1653" t="inlineStr">
        <is>
          <t>Coco LLC</t>
        </is>
      </c>
      <c r="D1653" t="inlineStr">
        <is>
          <t>USD</t>
        </is>
      </c>
      <c r="E1653" t="inlineStr">
        <is>
          <t>Real</t>
        </is>
      </c>
      <c r="F1653" t="inlineStr">
        <is>
          <t>pyg_gasto_ventas</t>
        </is>
      </c>
      <c r="G1653" t="inlineStr">
        <is>
          <t>Consolidación USD</t>
        </is>
      </c>
      <c r="I1653" t="n">
        <v>8000</v>
      </c>
      <c r="J1653" t="inlineStr">
        <is>
          <t>USD</t>
        </is>
      </c>
      <c r="K1653" t="inlineStr">
        <is>
          <t>Homologado desde auxiliar contable (Julio 2026 USA.xlsx). Reemplaza fuente previa (modelo/sin dato).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EE.UU.</t>
        </is>
      </c>
      <c r="C1654" t="inlineStr">
        <is>
          <t>Coco LLC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pyg_gasto_proyectos</t>
        </is>
      </c>
      <c r="G1654" t="inlineStr">
        <is>
          <t>Moneda origen</t>
        </is>
      </c>
      <c r="I1654" t="n">
        <v>0</v>
      </c>
      <c r="J1654" t="inlineStr">
        <is>
          <t>USD</t>
        </is>
      </c>
      <c r="K1654" t="inlineStr">
        <is>
          <t>Consolidado estructurado julio 2026: julio mensual derivado por diferencia entre acumulado julio y acumulado junio.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EE.UU.</t>
        </is>
      </c>
      <c r="C1655" t="inlineStr">
        <is>
          <t>Coco LLC</t>
        </is>
      </c>
      <c r="D1655" t="inlineStr">
        <is>
          <t>USD</t>
        </is>
      </c>
      <c r="E1655" t="inlineStr">
        <is>
          <t>Real</t>
        </is>
      </c>
      <c r="F1655" t="inlineStr">
        <is>
          <t>pyg_gasto_proyectos</t>
        </is>
      </c>
      <c r="G1655" t="inlineStr">
        <is>
          <t>Consolidación USD</t>
        </is>
      </c>
      <c r="I1655" t="n">
        <v>0</v>
      </c>
      <c r="J1655" t="inlineStr">
        <is>
          <t>USD</t>
        </is>
      </c>
      <c r="K1655" t="inlineStr">
        <is>
          <t>Homologado desde auxiliar contable (Julio 2026 USA.xlsx). Reemplaza fuente previa (modelo/sin dato).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EE.UU.</t>
        </is>
      </c>
      <c r="C1656" t="inlineStr">
        <is>
          <t>Coco LLC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pyg_gastos_financieros</t>
        </is>
      </c>
      <c r="G1656" t="inlineStr">
        <is>
          <t>Moneda origen</t>
        </is>
      </c>
      <c r="I1656" t="n">
        <v>134.28</v>
      </c>
      <c r="J1656" t="inlineStr">
        <is>
          <t>USD</t>
        </is>
      </c>
      <c r="K1656" t="inlineStr">
        <is>
          <t>Consolidado estructurado julio 2026: julio mensual derivado por diferencia entre acumulado julio y acumulado junio.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EE.UU.</t>
        </is>
      </c>
      <c r="C1657" t="inlineStr">
        <is>
          <t>Coco LLC</t>
        </is>
      </c>
      <c r="D1657" t="inlineStr">
        <is>
          <t>USD</t>
        </is>
      </c>
      <c r="E1657" t="inlineStr">
        <is>
          <t>Real</t>
        </is>
      </c>
      <c r="F1657" t="inlineStr">
        <is>
          <t>pyg_gastos_financieros</t>
        </is>
      </c>
      <c r="G1657" t="inlineStr">
        <is>
          <t>Consolidación USD</t>
        </is>
      </c>
      <c r="I1657" t="n">
        <v>134.28</v>
      </c>
      <c r="J1657" t="inlineStr">
        <is>
          <t>USD</t>
        </is>
      </c>
      <c r="K1657" t="inlineStr">
        <is>
          <t>Homologado desde auxiliar contable (Julio 2026 USA.xlsx). Reemplaza fuente previa (modelo/sin dato).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EE.UU.</t>
        </is>
      </c>
      <c r="C1658" t="inlineStr">
        <is>
          <t>Coco LLC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pyg_utilidad_bruta</t>
        </is>
      </c>
      <c r="G1658" t="inlineStr">
        <is>
          <t>Moneda origen</t>
        </is>
      </c>
      <c r="I1658" t="n">
        <v>6013.45</v>
      </c>
      <c r="J1658" t="inlineStr">
        <is>
          <t>USD</t>
        </is>
      </c>
      <c r="K1658" t="inlineStr">
        <is>
          <t>Consolidado estructurado julio 2026: julio mensual derivado por diferencia entre acumulado julio y acumulado junio.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EE.UU.</t>
        </is>
      </c>
      <c r="C1659" t="inlineStr">
        <is>
          <t>Coco LLC</t>
        </is>
      </c>
      <c r="D1659" t="inlineStr">
        <is>
          <t>USD</t>
        </is>
      </c>
      <c r="E1659" t="inlineStr">
        <is>
          <t>Real</t>
        </is>
      </c>
      <c r="F1659" t="inlineStr">
        <is>
          <t>pyg_utilidad_bruta</t>
        </is>
      </c>
      <c r="G1659" t="inlineStr">
        <is>
          <t>Consolidación USD</t>
        </is>
      </c>
      <c r="I1659" t="n">
        <v>6013.45</v>
      </c>
      <c r="J1659" t="inlineStr">
        <is>
          <t>USD</t>
        </is>
      </c>
      <c r="K1659" t="inlineStr">
        <is>
          <t>Consolidado estructurado julio 2026: julio mensual derivado por diferencia entre acumulado julio y acumulado junio.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EE.UU.</t>
        </is>
      </c>
      <c r="C1660" t="inlineStr">
        <is>
          <t>Coco LLC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pyg_utilidad_operativa</t>
        </is>
      </c>
      <c r="G1660" t="inlineStr">
        <is>
          <t>Moneda origen</t>
        </is>
      </c>
      <c r="I1660" t="n">
        <v>-5988.3</v>
      </c>
      <c r="J1660" t="inlineStr">
        <is>
          <t>USD</t>
        </is>
      </c>
      <c r="K1660" t="inlineStr">
        <is>
          <t>Consolidado estructurado julio 2026: julio mensual derivado por diferencia entre acumulado julio y acumulado junio.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EE.UU.</t>
        </is>
      </c>
      <c r="C1661" t="inlineStr">
        <is>
          <t>Coco LLC</t>
        </is>
      </c>
      <c r="D1661" t="inlineStr">
        <is>
          <t>USD</t>
        </is>
      </c>
      <c r="E1661" t="inlineStr">
        <is>
          <t>Real</t>
        </is>
      </c>
      <c r="F1661" t="inlineStr">
        <is>
          <t>pyg_utilidad_operativa</t>
        </is>
      </c>
      <c r="G1661" t="inlineStr">
        <is>
          <t>Consolidación USD</t>
        </is>
      </c>
      <c r="I1661" t="n">
        <v>-5988.3</v>
      </c>
      <c r="J1661" t="inlineStr">
        <is>
          <t>USD</t>
        </is>
      </c>
      <c r="K1661" t="inlineStr">
        <is>
          <t>Consolidado estructurado julio 2026: julio mensual derivado por diferencia entre acumulado julio y acumulado junio.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EE.UU.</t>
        </is>
      </c>
      <c r="C1662" t="inlineStr">
        <is>
          <t>Coco LLC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pyg_utilidad_neta</t>
        </is>
      </c>
      <c r="G1662" t="inlineStr">
        <is>
          <t>Moneda origen</t>
        </is>
      </c>
      <c r="I1662" t="n">
        <v>-6111.82</v>
      </c>
      <c r="J1662" t="inlineStr">
        <is>
          <t>USD</t>
        </is>
      </c>
      <c r="K1662" t="inlineStr">
        <is>
          <t>Consolidado estructurado julio 2026: julio mensual derivado por diferencia entre acumulado julio y acumulado junio.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EE.UU.</t>
        </is>
      </c>
      <c r="C1663" t="inlineStr">
        <is>
          <t>Coco LLC</t>
        </is>
      </c>
      <c r="D1663" t="inlineStr">
        <is>
          <t>USD</t>
        </is>
      </c>
      <c r="E1663" t="inlineStr">
        <is>
          <t>Real</t>
        </is>
      </c>
      <c r="F1663" t="inlineStr">
        <is>
          <t>pyg_utilidad_neta</t>
        </is>
      </c>
      <c r="G1663" t="inlineStr">
        <is>
          <t>Consolidación USD</t>
        </is>
      </c>
      <c r="I1663" t="n">
        <v>-6111.82</v>
      </c>
      <c r="J1663" t="inlineStr">
        <is>
          <t>USD</t>
        </is>
      </c>
      <c r="K1663" t="inlineStr">
        <is>
          <t>Homologado desde auxiliar contable (Julio 2026 USA.xlsx). Reemplaza fuente previa (modelo/sin dato).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Perú</t>
        </is>
      </c>
      <c r="D1664" t="inlineStr">
        <is>
          <t>PEN</t>
        </is>
      </c>
      <c r="E1664" t="inlineStr">
        <is>
          <t>Real</t>
        </is>
      </c>
      <c r="F1664" t="inlineStr">
        <is>
          <t>pyg_servicio_software</t>
        </is>
      </c>
      <c r="G1664" t="inlineStr">
        <is>
          <t>Moneda origen PEN - operación ordinaria</t>
        </is>
      </c>
      <c r="I1664" t="n">
        <v>6202.25</v>
      </c>
      <c r="J1664" t="inlineStr">
        <is>
          <t>PEN</t>
        </is>
      </c>
      <c r="K1664" t="inlineStr">
        <is>
          <t>Perú julio 2026: movimientos ordinarios de Mov_Mensuales; PEN/USD 3.405 y USD/PEN 0.293686 provisionales. Otros ingresos acumulados del proyecto especial excluidos.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USD</t>
        </is>
      </c>
      <c r="E1665" t="inlineStr">
        <is>
          <t>Real</t>
        </is>
      </c>
      <c r="F1665" t="inlineStr">
        <is>
          <t>pyg_servicio_software</t>
        </is>
      </c>
      <c r="G1665" t="inlineStr">
        <is>
          <t>Consolidación USD</t>
        </is>
      </c>
      <c r="I1665" t="n">
        <v>1821.51</v>
      </c>
      <c r="J1665" t="inlineStr">
        <is>
          <t>USD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Perú</t>
        </is>
      </c>
      <c r="D1666" t="inlineStr">
        <is>
          <t>PEN</t>
        </is>
      </c>
      <c r="E1666" t="inlineStr">
        <is>
          <t>Real</t>
        </is>
      </c>
      <c r="F1666" t="inlineStr">
        <is>
          <t>pyg_devoluciones</t>
        </is>
      </c>
      <c r="G1666" t="inlineStr">
        <is>
          <t>Moneda origen PEN - operación ordinaria</t>
        </is>
      </c>
      <c r="I1666" t="n">
        <v>0</v>
      </c>
      <c r="J1666" t="inlineStr">
        <is>
          <t>PEN</t>
        </is>
      </c>
      <c r="K1666" t="inlineStr">
        <is>
          <t>Perú julio 2026: movimientos ordinarios de Mov_Mensuales; PEN/USD 3.405 y USD/PEN 0.293686 provisionales. Otros ingresos acumulados del proyecto especial excluidos.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USD</t>
        </is>
      </c>
      <c r="E1667" t="inlineStr">
        <is>
          <t>Real</t>
        </is>
      </c>
      <c r="F1667" t="inlineStr">
        <is>
          <t>pyg_devoluciones</t>
        </is>
      </c>
      <c r="G1667" t="inlineStr">
        <is>
          <t>Consolidación USD</t>
        </is>
      </c>
      <c r="I1667" t="n">
        <v>0</v>
      </c>
      <c r="J1667" t="inlineStr">
        <is>
          <t>USD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Perú</t>
        </is>
      </c>
      <c r="D1668" t="inlineStr">
        <is>
          <t>PEN</t>
        </is>
      </c>
      <c r="E1668" t="inlineStr">
        <is>
          <t>Real</t>
        </is>
      </c>
      <c r="F1668" t="inlineStr">
        <is>
          <t>pyg_ingresos_operacionales</t>
        </is>
      </c>
      <c r="G1668" t="inlineStr">
        <is>
          <t>Moneda origen PEN - operación ordinaria</t>
        </is>
      </c>
      <c r="I1668" t="n">
        <v>6202.25</v>
      </c>
      <c r="J1668" t="inlineStr">
        <is>
          <t>PEN</t>
        </is>
      </c>
      <c r="K1668" t="inlineStr">
        <is>
          <t>Perú julio 2026: movimientos ordinarios de Mov_Mensuales; PEN/USD 3.405 y USD/PEN 0.293686 provisionales. Otros ingresos acumulados del proyecto especial excluidos.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Peru</t>
        </is>
      </c>
      <c r="D1669" t="inlineStr">
        <is>
          <t>USD</t>
        </is>
      </c>
      <c r="E1669" t="inlineStr">
        <is>
          <t>Real</t>
        </is>
      </c>
      <c r="F1669" t="inlineStr">
        <is>
          <t>pyg_ingresos_operacionales</t>
        </is>
      </c>
      <c r="G1669" t="inlineStr">
        <is>
          <t>Consolidación USD</t>
        </is>
      </c>
      <c r="I1669" t="n">
        <v>2793.35</v>
      </c>
      <c r="J1669" t="inlineStr">
        <is>
          <t>USD</t>
        </is>
      </c>
      <c r="K1669" t="inlineStr">
        <is>
          <t>Homologado desde auxiliar contable (V3 Julio 2026 PERU.xlsx). Reemplaza fuente previa (modelo/sin dato).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PEN</t>
        </is>
      </c>
      <c r="E1670" t="inlineStr">
        <is>
          <t>Real</t>
        </is>
      </c>
      <c r="F1670" t="inlineStr">
        <is>
          <t>pyg_ingresos_no_operacionales</t>
        </is>
      </c>
      <c r="G1670" t="inlineStr">
        <is>
          <t>Moneda origen PEN - operación ordinaria</t>
        </is>
      </c>
      <c r="I1670" t="n">
        <v>0</v>
      </c>
      <c r="J1670" t="inlineStr">
        <is>
          <t>PEN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Peru</t>
        </is>
      </c>
      <c r="D1671" t="inlineStr">
        <is>
          <t>USD</t>
        </is>
      </c>
      <c r="E1671" t="inlineStr">
        <is>
          <t>Real</t>
        </is>
      </c>
      <c r="F1671" t="inlineStr">
        <is>
          <t>pyg_ingresos_no_operacionales</t>
        </is>
      </c>
      <c r="G1671" t="inlineStr">
        <is>
          <t>Consolidación USD</t>
        </is>
      </c>
      <c r="I1671" t="n">
        <v>0</v>
      </c>
      <c r="J1671" t="inlineStr">
        <is>
          <t>USD</t>
        </is>
      </c>
      <c r="K1671" t="inlineStr">
        <is>
          <t>Homologado desde auxiliar contable (V3 Julio 2026 PERU.xlsx). Reemplaza fuente previa (modelo/sin dato).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PEN</t>
        </is>
      </c>
      <c r="E1672" t="inlineStr">
        <is>
          <t>Real</t>
        </is>
      </c>
      <c r="F1672" t="inlineStr">
        <is>
          <t>pyg_costo_ventas</t>
        </is>
      </c>
      <c r="G1672" t="inlineStr">
        <is>
          <t>Moneda origen PEN - operación ordinaria</t>
        </is>
      </c>
      <c r="I1672" t="n">
        <v>0</v>
      </c>
      <c r="J1672" t="inlineStr">
        <is>
          <t>PEN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Peru</t>
        </is>
      </c>
      <c r="D1673" t="inlineStr">
        <is>
          <t>USD</t>
        </is>
      </c>
      <c r="E1673" t="inlineStr">
        <is>
          <t>Real</t>
        </is>
      </c>
      <c r="F1673" t="inlineStr">
        <is>
          <t>pyg_costo_ventas</t>
        </is>
      </c>
      <c r="G1673" t="inlineStr">
        <is>
          <t>Consolidación USD</t>
        </is>
      </c>
      <c r="I1673" t="n">
        <v>0</v>
      </c>
      <c r="J1673" t="inlineStr">
        <is>
          <t>USD</t>
        </is>
      </c>
      <c r="K1673" t="inlineStr">
        <is>
          <t>Homologado desde auxiliar contable (V3 Julio 2026 PERU.xlsx). Reemplaza fuente previa (modelo/sin dato).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Perú</t>
        </is>
      </c>
      <c r="D1674" t="inlineStr">
        <is>
          <t>PEN</t>
        </is>
      </c>
      <c r="E1674" t="inlineStr">
        <is>
          <t>Real</t>
        </is>
      </c>
      <c r="F1674" t="inlineStr">
        <is>
          <t>pyg_gasto_administracion</t>
        </is>
      </c>
      <c r="G1674" t="inlineStr">
        <is>
          <t>Moneda origen PEN - operación ordinaria</t>
        </is>
      </c>
      <c r="I1674" t="n">
        <v>878</v>
      </c>
      <c r="J1674" t="inlineStr">
        <is>
          <t>PEN</t>
        </is>
      </c>
      <c r="K1674" t="inlineStr">
        <is>
          <t>Perú julio 2026: movimientos ordinarios de Mov_Mensuales; PEN/USD 3.405 y USD/PEN 0.293686 provisionales. Otros ingresos acumulados del proyecto especial excluidos.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Perú</t>
        </is>
      </c>
      <c r="C1675" t="inlineStr">
        <is>
          <t>Coco Peru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pyg_gasto_administracion</t>
        </is>
      </c>
      <c r="G1675" t="inlineStr">
        <is>
          <t>Consolidación USD</t>
        </is>
      </c>
      <c r="I1675" t="n">
        <v>253.27</v>
      </c>
      <c r="J1675" t="inlineStr">
        <is>
          <t>USD</t>
        </is>
      </c>
      <c r="K1675" t="inlineStr">
        <is>
          <t>Homologado desde auxiliar contable (V3 Julio 2026 PERU.xlsx). Reemplaza fuente previa (modelo/sin dato).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Perú</t>
        </is>
      </c>
      <c r="C1676" t="inlineStr">
        <is>
          <t>Coco Perú</t>
        </is>
      </c>
      <c r="D1676" t="inlineStr">
        <is>
          <t>PEN</t>
        </is>
      </c>
      <c r="E1676" t="inlineStr">
        <is>
          <t>Real</t>
        </is>
      </c>
      <c r="F1676" t="inlineStr">
        <is>
          <t>pyg_gasto_ventas</t>
        </is>
      </c>
      <c r="G1676" t="inlineStr">
        <is>
          <t>Moneda origen PEN - operación ordinaria</t>
        </is>
      </c>
      <c r="I1676" t="n">
        <v>11218.31</v>
      </c>
      <c r="J1676" t="inlineStr">
        <is>
          <t>PEN</t>
        </is>
      </c>
      <c r="K1676" t="inlineStr">
        <is>
          <t>Perú julio 2026: movimientos ordinarios de Mov_Mensuales; PEN/USD 3.405 y USD/PEN 0.293686 provisionales. Otros ingresos acumulados del proyecto especial excluidos.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Perú</t>
        </is>
      </c>
      <c r="C1677" t="inlineStr">
        <is>
          <t>Coco Peru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pyg_gasto_ventas</t>
        </is>
      </c>
      <c r="G1677" t="inlineStr">
        <is>
          <t>Consolidación USD</t>
        </is>
      </c>
      <c r="I1677" t="n">
        <v>3421.91</v>
      </c>
      <c r="J1677" t="inlineStr">
        <is>
          <t>USD</t>
        </is>
      </c>
      <c r="K1677" t="inlineStr">
        <is>
          <t>Homologado desde auxiliar contable (V3 Julio 2026 PERU.xlsx). Reemplaza fuente previa (modelo/sin dato).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Perú</t>
        </is>
      </c>
      <c r="C1678" t="inlineStr">
        <is>
          <t>Coco Perú</t>
        </is>
      </c>
      <c r="D1678" t="inlineStr">
        <is>
          <t>PEN</t>
        </is>
      </c>
      <c r="E1678" t="inlineStr">
        <is>
          <t>Real</t>
        </is>
      </c>
      <c r="F1678" t="inlineStr">
        <is>
          <t>pyg_gasto_proyectos</t>
        </is>
      </c>
      <c r="G1678" t="inlineStr">
        <is>
          <t>Moneda origen PEN - operación ordinaria</t>
        </is>
      </c>
      <c r="I1678" t="n">
        <v>0</v>
      </c>
      <c r="J1678" t="inlineStr">
        <is>
          <t>PEN</t>
        </is>
      </c>
      <c r="K1678" t="inlineStr">
        <is>
          <t>Perú julio 2026: movimientos ordinarios de Mov_Mensuales; PEN/USD 3.405 y USD/PEN 0.293686 provisionales. Otros ingresos acumulados del proyecto especial excluidos.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Perú</t>
        </is>
      </c>
      <c r="C1679" t="inlineStr">
        <is>
          <t>Coco Peru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pyg_gasto_proyectos</t>
        </is>
      </c>
      <c r="G1679" t="inlineStr">
        <is>
          <t>Consolidación USD</t>
        </is>
      </c>
      <c r="I1679" t="n">
        <v>0</v>
      </c>
      <c r="J1679" t="inlineStr">
        <is>
          <t>USD</t>
        </is>
      </c>
      <c r="K1679" t="inlineStr">
        <is>
          <t>Homologado desde auxiliar contable (V3 Julio 2026 PERU.xlsx). Reemplaza fuente previa (modelo/sin dato).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Perú</t>
        </is>
      </c>
      <c r="C1680" t="inlineStr">
        <is>
          <t>Coco Perú</t>
        </is>
      </c>
      <c r="D1680" t="inlineStr">
        <is>
          <t>PEN</t>
        </is>
      </c>
      <c r="E1680" t="inlineStr">
        <is>
          <t>Real</t>
        </is>
      </c>
      <c r="F1680" t="inlineStr">
        <is>
          <t>pyg_gastos_financieros</t>
        </is>
      </c>
      <c r="G1680" t="inlineStr">
        <is>
          <t>Moneda origen PEN - operación ordinaria</t>
        </is>
      </c>
      <c r="I1680" t="n">
        <v>314.15</v>
      </c>
      <c r="J1680" t="inlineStr">
        <is>
          <t>PEN</t>
        </is>
      </c>
      <c r="K1680" t="inlineStr">
        <is>
          <t>Perú julio 2026: movimientos ordinarios de Mov_Mensuales; PEN/USD 3.405 y USD/PEN 0.293686 provisionales. Otros ingresos acumulados del proyecto especial excluidos.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Perú</t>
        </is>
      </c>
      <c r="C1681" t="inlineStr">
        <is>
          <t>Coco Peru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pyg_gastos_financieros</t>
        </is>
      </c>
      <c r="G1681" t="inlineStr">
        <is>
          <t>Consolidación USD</t>
        </is>
      </c>
      <c r="I1681" t="n">
        <v>27.25</v>
      </c>
      <c r="J1681" t="inlineStr">
        <is>
          <t>USD</t>
        </is>
      </c>
      <c r="K1681" t="inlineStr">
        <is>
          <t>Homologado desde auxiliar contable (V3 Julio 2026 PERU.xlsx). Reemplaza fuente previa (modelo/sin dato).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Perú</t>
        </is>
      </c>
      <c r="C1682" t="inlineStr">
        <is>
          <t>Coco Perú</t>
        </is>
      </c>
      <c r="D1682" t="inlineStr">
        <is>
          <t>PEN</t>
        </is>
      </c>
      <c r="E1682" t="inlineStr">
        <is>
          <t>Real</t>
        </is>
      </c>
      <c r="F1682" t="inlineStr">
        <is>
          <t>pyg_utilidad_bruta</t>
        </is>
      </c>
      <c r="G1682" t="inlineStr">
        <is>
          <t>Moneda origen PEN - operación ordinaria</t>
        </is>
      </c>
      <c r="I1682" t="n">
        <v>6202.25</v>
      </c>
      <c r="J1682" t="inlineStr">
        <is>
          <t>PEN</t>
        </is>
      </c>
      <c r="K1682" t="inlineStr">
        <is>
          <t>Perú julio 2026: movimientos ordinarios de Mov_Mensuales; PEN/USD 3.405 y USD/PEN 0.293686 provisionales. Otros ingresos acumulados del proyecto especial excluidos.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Perú</t>
        </is>
      </c>
      <c r="C1683" t="inlineStr">
        <is>
          <t>Coco Perú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pyg_utilidad_bruta</t>
        </is>
      </c>
      <c r="G1683" t="inlineStr">
        <is>
          <t>Consolidación USD</t>
        </is>
      </c>
      <c r="I1683" t="n">
        <v>1821.51</v>
      </c>
      <c r="J1683" t="inlineStr">
        <is>
          <t>USD</t>
        </is>
      </c>
      <c r="K1683" t="inlineStr">
        <is>
          <t>Perú julio 2026: movimientos ordinarios de Mov_Mensuales; PEN/USD 3.405 y USD/PEN 0.293686 provisionales. Otros ingresos acumulados del proyecto especial excluidos.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Perú</t>
        </is>
      </c>
      <c r="C1684" t="inlineStr">
        <is>
          <t>Coco Perú</t>
        </is>
      </c>
      <c r="D1684" t="inlineStr">
        <is>
          <t>PEN</t>
        </is>
      </c>
      <c r="E1684" t="inlineStr">
        <is>
          <t>Real</t>
        </is>
      </c>
      <c r="F1684" t="inlineStr">
        <is>
          <t>pyg_utilidad_operativa</t>
        </is>
      </c>
      <c r="G1684" t="inlineStr">
        <is>
          <t>Moneda origen PEN - operación ordinaria</t>
        </is>
      </c>
      <c r="I1684" t="n">
        <v>-5894.06</v>
      </c>
      <c r="J1684" t="inlineStr">
        <is>
          <t>PEN</t>
        </is>
      </c>
      <c r="K1684" t="inlineStr">
        <is>
          <t>Perú julio 2026: movimientos ordinarios de Mov_Mensuales; PEN/USD 3.405 y USD/PEN 0.293686 provisionales. Otros ingresos acumulados del proyecto especial excluidos.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Perú</t>
        </is>
      </c>
      <c r="C1685" t="inlineStr">
        <is>
          <t>Coco Perú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pyg_utilidad_operativa</t>
        </is>
      </c>
      <c r="G1685" t="inlineStr">
        <is>
          <t>Consolidación USD</t>
        </is>
      </c>
      <c r="I1685" t="n">
        <v>-1731</v>
      </c>
      <c r="J1685" t="inlineStr">
        <is>
          <t>USD</t>
        </is>
      </c>
      <c r="K1685" t="inlineStr">
        <is>
          <t>Perú julio 2026: movimientos ordinarios de Mov_Mensuales; PEN/USD 3.405 y USD/PEN 0.293686 provisionales. Otros ingresos acumulados del proyecto especial excluidos.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Perú</t>
        </is>
      </c>
      <c r="C1686" t="inlineStr">
        <is>
          <t>Coco Perú</t>
        </is>
      </c>
      <c r="D1686" t="inlineStr">
        <is>
          <t>PEN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Moneda origen PEN - operación ordinaria</t>
        </is>
      </c>
      <c r="I1686" t="n">
        <v>-6208.21</v>
      </c>
      <c r="J1686" t="inlineStr">
        <is>
          <t>PEN</t>
        </is>
      </c>
      <c r="K1686" t="inlineStr">
        <is>
          <t>Perú julio 2026: movimientos ordinarios de Mov_Mensuales; PEN/USD 3.405 y USD/PEN 0.293686 provisionales. Otros ingresos acumulados del proyecto especial excluidos.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Perú</t>
        </is>
      </c>
      <c r="C1687" t="inlineStr">
        <is>
          <t>Coco Peru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pyg_utilidad_neta</t>
        </is>
      </c>
      <c r="G1687" t="inlineStr">
        <is>
          <t>Consolidación USD</t>
        </is>
      </c>
      <c r="I1687" t="n">
        <v>-909.09</v>
      </c>
      <c r="J1687" t="inlineStr">
        <is>
          <t>USD</t>
        </is>
      </c>
      <c r="K1687" t="inlineStr">
        <is>
          <t>Homologado desde auxiliar contable (V3 Julio 2026 PERU.xlsx). Reemplaza fuente previa (modelo/sin dato).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Consolidado</t>
        </is>
      </c>
      <c r="C1688" t="inlineStr">
        <is>
          <t>Consolidado COCO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pyg_servicio_software</t>
        </is>
      </c>
      <c r="G1688" t="inlineStr">
        <is>
          <t>Consolidación USD</t>
        </is>
      </c>
      <c r="I1688" t="n">
        <v>345033.44</v>
      </c>
      <c r="J1688" t="inlineStr">
        <is>
          <t>USD</t>
        </is>
      </c>
      <c r="K1688" t="inlineStr">
        <is>
          <t>Consolidado julio 2026 recalculado con Perú ordinario; proyecto especial excluido.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Consolidado</t>
        </is>
      </c>
      <c r="C1689" t="inlineStr">
        <is>
          <t>Consolidado COCO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pyg_devoluciones</t>
        </is>
      </c>
      <c r="G1689" t="inlineStr">
        <is>
          <t>Consolidación USD</t>
        </is>
      </c>
      <c r="I1689" t="n">
        <v>-9132</v>
      </c>
      <c r="J1689" t="inlineStr">
        <is>
          <t>USD</t>
        </is>
      </c>
      <c r="K1689" t="inlineStr">
        <is>
          <t>Consolidado julio 2026 recalculado con Perú ordinario; proyecto especial excluido.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Consolidado</t>
        </is>
      </c>
      <c r="C1690" t="inlineStr">
        <is>
          <t>COCO Tecnologias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pyg_ingresos_operacionales</t>
        </is>
      </c>
      <c r="G1690" t="inlineStr">
        <is>
          <t>Consolidación USD</t>
        </is>
      </c>
      <c r="I1690" t="n">
        <v>336873.29</v>
      </c>
      <c r="J1690" t="inlineStr">
        <is>
          <t>USD</t>
        </is>
      </c>
      <c r="K1690" t="inlineStr">
        <is>
          <t>Recalculado: suma Colombia + EE.UU. + Peru + Costa Rica (Consolidacion USD).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Consolidado</t>
        </is>
      </c>
      <c r="C1691" t="inlineStr">
        <is>
          <t>COCO Tecnologias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91838.28999999999</v>
      </c>
      <c r="J1691" t="inlineStr">
        <is>
          <t>USD</t>
        </is>
      </c>
      <c r="K1691" t="inlineStr">
        <is>
          <t>Recalculado: suma Colombia + EE.UU. + Peru + Costa Rica (Consolidacion USD).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Consolidado</t>
        </is>
      </c>
      <c r="C1692" t="inlineStr">
        <is>
          <t>Consolidado COCO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244063.16</v>
      </c>
      <c r="J1692" t="inlineStr">
        <is>
          <t>USD</t>
        </is>
      </c>
      <c r="K1692" t="inlineStr">
        <is>
          <t>Consolidado julio 2026 recalculado con Perú ordinario; proyecto especial excluido.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Consolidado</t>
        </is>
      </c>
      <c r="C1693" t="inlineStr">
        <is>
          <t>COCO Tecnologias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38093.54</v>
      </c>
      <c r="J1693" t="inlineStr">
        <is>
          <t>USD</t>
        </is>
      </c>
      <c r="K1693" t="inlineStr">
        <is>
          <t>Recalculado: suma Colombia + EE.UU. + Peru + Costa Rica (Consolidacion USD).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Consolidado</t>
        </is>
      </c>
      <c r="C1694" t="inlineStr">
        <is>
          <t>COCO Tecnologias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pyg_gasto_proyectos</t>
        </is>
      </c>
      <c r="G1694" t="inlineStr">
        <is>
          <t>Consolidación USD</t>
        </is>
      </c>
      <c r="I1694" t="n">
        <v>29366.19</v>
      </c>
      <c r="J1694" t="inlineStr">
        <is>
          <t>USD</t>
        </is>
      </c>
      <c r="K1694" t="inlineStr">
        <is>
          <t>Recalculado: suma Colombia + EE.UU. + Peru + Costa Rica (Consolidacion USD).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Consolidado</t>
        </is>
      </c>
      <c r="C1695" t="inlineStr">
        <is>
          <t>COCO Tecnologias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pyg_gasto_ventas</t>
        </is>
      </c>
      <c r="G1695" t="inlineStr">
        <is>
          <t>Consolidación USD</t>
        </is>
      </c>
      <c r="I1695" t="n">
        <v>45017.41</v>
      </c>
      <c r="J1695" t="inlineStr">
        <is>
          <t>USD</t>
        </is>
      </c>
      <c r="K1695" t="inlineStr">
        <is>
          <t>Recalculado: suma Colombia + EE.UU. + Peru + Costa Rica (Consolidacion USD).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Consolidado</t>
        </is>
      </c>
      <c r="C1696" t="inlineStr">
        <is>
          <t>Consolidado COCO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pyg_utilidad_operativa</t>
        </is>
      </c>
      <c r="G1696" t="inlineStr">
        <is>
          <t>Consolidación USD</t>
        </is>
      </c>
      <c r="I1696" t="n">
        <v>131708.69</v>
      </c>
      <c r="J1696" t="inlineStr">
        <is>
          <t>USD</t>
        </is>
      </c>
      <c r="K1696" t="inlineStr">
        <is>
          <t>Consolidado julio 2026 recalculado con Perú ordinario; proyecto especial excluido.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Consolidado</t>
        </is>
      </c>
      <c r="C1697" t="inlineStr">
        <is>
          <t>COCO Tecnologias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pyg_ingresos_no_operacionales</t>
        </is>
      </c>
      <c r="G1697" t="inlineStr">
        <is>
          <t>Consolidación USD</t>
        </is>
      </c>
      <c r="I1697" t="n">
        <v>215.68</v>
      </c>
      <c r="J1697" t="inlineStr">
        <is>
          <t>USD</t>
        </is>
      </c>
      <c r="K1697" t="inlineStr">
        <is>
          <t>Recalculado: suma Colombia + EE.UU. + Peru + Costa Rica (Consolidacion USD).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Consolidado</t>
        </is>
      </c>
      <c r="C1698" t="inlineStr">
        <is>
          <t>COCO Tecnologias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pyg_gastos_financieros</t>
        </is>
      </c>
      <c r="G1698" t="inlineStr">
        <is>
          <t>Consolidación USD</t>
        </is>
      </c>
      <c r="I1698" t="n">
        <v>1718.84</v>
      </c>
      <c r="J1698" t="inlineStr">
        <is>
          <t>USD</t>
        </is>
      </c>
      <c r="K1698" t="inlineStr">
        <is>
          <t>Recalculado: suma Colombia + EE.UU. + Peru + Costa Rica (Consolidacion USD).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2026-07</t>
        </is>
      </c>
      <c r="B1699" t="inlineStr">
        <is>
          <t>Consolidado</t>
        </is>
      </c>
      <c r="C1699" t="inlineStr">
        <is>
          <t>COCO Tecnologias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pyg_utilidad_neta</t>
        </is>
      </c>
      <c r="G1699" t="inlineStr">
        <is>
          <t>Consolidación USD</t>
        </is>
      </c>
      <c r="I1699" t="n">
        <v>131054.7</v>
      </c>
      <c r="J1699" t="inlineStr">
        <is>
          <t>USD</t>
        </is>
      </c>
      <c r="K1699" t="inlineStr">
        <is>
          <t>Recalculado: suma Colombia + EE.UU. + Peru + Costa Rica (Consolidacion USD).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2026-07</t>
        </is>
      </c>
      <c r="B1700" t="inlineStr">
        <is>
          <t>Costa Rica</t>
        </is>
      </c>
      <c r="C1700" t="inlineStr">
        <is>
          <t>Coco Costa Rica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pyg_servicio_software</t>
        </is>
      </c>
      <c r="G1700" t="inlineStr">
        <is>
          <t>Consolidación USD</t>
        </is>
      </c>
      <c r="I1700" t="n">
        <v>134104</v>
      </c>
      <c r="J1700" t="inlineStr">
        <is>
          <t>USD</t>
        </is>
      </c>
      <c r="K1700" t="inlineStr">
        <is>
          <t>Julio 2026 CR.xlsx ? movimiento mensual del auxiliar: ingresos por cr?ditos y gastos por d?bitos; moneda fuente USD.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2026-07</t>
        </is>
      </c>
      <c r="B1701" t="inlineStr">
        <is>
          <t>Costa Rica</t>
        </is>
      </c>
      <c r="C1701" t="inlineStr">
        <is>
          <t>Coco Costa Rica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pyg_devoluciones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Julio 2026 CR.xlsx ? movimiento mensual del auxiliar: ingresos por cr?ditos y gastos por d?bitos; moneda fuente USD.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2026-07</t>
        </is>
      </c>
      <c r="B1702" t="inlineStr">
        <is>
          <t>Costa Rica</t>
        </is>
      </c>
      <c r="C1702" t="inlineStr">
        <is>
          <t>Coco Costa Rica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pyg_ingresos_operacionales</t>
        </is>
      </c>
      <c r="G1702" t="inlineStr">
        <is>
          <t>Consolidación USD</t>
        </is>
      </c>
      <c r="I1702" t="n">
        <v>134104</v>
      </c>
      <c r="J1702" t="inlineStr">
        <is>
          <t>USD</t>
        </is>
      </c>
      <c r="K1702" t="inlineStr">
        <is>
          <t>Homologado desde auxiliar contable (NUEVO Julio 2026 CR.xlsx).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2026-07</t>
        </is>
      </c>
      <c r="B1703" t="inlineStr">
        <is>
          <t>Costa Rica</t>
        </is>
      </c>
      <c r="C1703" t="inlineStr">
        <is>
          <t>Coco Costa Rica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pyg_ingresos_no_operacionales</t>
        </is>
      </c>
      <c r="G1703" t="inlineStr">
        <is>
          <t>Consolidación USD</t>
        </is>
      </c>
      <c r="I1703" t="n">
        <v>0</v>
      </c>
      <c r="J1703" t="inlineStr">
        <is>
          <t>USD</t>
        </is>
      </c>
      <c r="K1703" t="inlineStr">
        <is>
          <t>Homologado desde auxiliar contable (NUEVO Julio 2026 CR.xlsx).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2026-07</t>
        </is>
      </c>
      <c r="B1704" t="inlineStr">
        <is>
          <t>Costa Rica</t>
        </is>
      </c>
      <c r="C1704" t="inlineStr">
        <is>
          <t>Coco Costa Rica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pyg_costo_ventas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(NUEVO Julio 2026 CR.xlsx).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2026-07</t>
        </is>
      </c>
      <c r="B1705" t="inlineStr">
        <is>
          <t>Costa Rica</t>
        </is>
      </c>
      <c r="C1705" t="inlineStr">
        <is>
          <t>Coco Costa Rica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pyg_utilidad_bruta</t>
        </is>
      </c>
      <c r="G1705" t="inlineStr">
        <is>
          <t>Consolidación USD</t>
        </is>
      </c>
      <c r="I1705" t="n">
        <v>134104</v>
      </c>
      <c r="J1705" t="inlineStr">
        <is>
          <t>USD</t>
        </is>
      </c>
      <c r="K1705" t="inlineStr">
        <is>
          <t>Julio 2026 CR.xlsx ? movimiento mensual del auxiliar: ingresos por cr?ditos y gastos por d?bitos; moneda fuente USD.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2026-07</t>
        </is>
      </c>
      <c r="B1706" t="inlineStr">
        <is>
          <t>Costa Rica</t>
        </is>
      </c>
      <c r="C1706" t="inlineStr">
        <is>
          <t>Coco Costa Rica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pyg_gasto_administracion</t>
        </is>
      </c>
      <c r="G1706" t="inlineStr">
        <is>
          <t>Consolidación USD</t>
        </is>
      </c>
      <c r="I1706" t="n">
        <v>3046.94</v>
      </c>
      <c r="J1706" t="inlineStr">
        <is>
          <t>USD</t>
        </is>
      </c>
      <c r="K1706" t="inlineStr">
        <is>
          <t>Homologado desde auxiliar contable (NUEVO Julio 2026 CR.xlsx).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2026-07</t>
        </is>
      </c>
      <c r="B1707" t="inlineStr">
        <is>
          <t>Costa Rica</t>
        </is>
      </c>
      <c r="C1707" t="inlineStr">
        <is>
          <t>Coco Costa Rica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pyg_gasto_ventas</t>
        </is>
      </c>
      <c r="G1707" t="inlineStr">
        <is>
          <t>Consolidación USD</t>
        </is>
      </c>
      <c r="I1707" t="n">
        <v>0</v>
      </c>
      <c r="J1707" t="inlineStr">
        <is>
          <t>USD</t>
        </is>
      </c>
      <c r="K1707" t="inlineStr">
        <is>
          <t>Homologado desde auxiliar contable (NUEVO Julio 2026 CR.xlsx).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2026-07</t>
        </is>
      </c>
      <c r="B1708" t="inlineStr">
        <is>
          <t>Costa Rica</t>
        </is>
      </c>
      <c r="C1708" t="inlineStr">
        <is>
          <t>Coco Costa Rica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pyg_gasto_proyectos</t>
        </is>
      </c>
      <c r="G1708" t="inlineStr">
        <is>
          <t>Consolidación USD</t>
        </is>
      </c>
      <c r="I1708" t="n">
        <v>0</v>
      </c>
      <c r="J1708" t="inlineStr">
        <is>
          <t>USD</t>
        </is>
      </c>
      <c r="K1708" t="inlineStr">
        <is>
          <t>Homologado desde auxiliar contable (NUEVO Julio 2026 CR.xlsx).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2026-07</t>
        </is>
      </c>
      <c r="B1709" t="inlineStr">
        <is>
          <t>Costa Rica</t>
        </is>
      </c>
      <c r="C1709" t="inlineStr">
        <is>
          <t>Coco Costa Rica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pyg_gastos_financieros</t>
        </is>
      </c>
      <c r="G1709" t="inlineStr">
        <is>
          <t>Consolidación USD</t>
        </is>
      </c>
      <c r="I1709" t="n">
        <v>30</v>
      </c>
      <c r="J1709" t="inlineStr">
        <is>
          <t>USD</t>
        </is>
      </c>
      <c r="K1709" t="inlineStr">
        <is>
          <t>Homologado desde auxiliar contable (NUEVO Julio 2026 CR.xlsx).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2026-07</t>
        </is>
      </c>
      <c r="B1710" t="inlineStr">
        <is>
          <t>Costa Rica</t>
        </is>
      </c>
      <c r="C1710" t="inlineStr">
        <is>
          <t>Coco Costa Rica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pyg_utilidad_operativa</t>
        </is>
      </c>
      <c r="G1710" t="inlineStr">
        <is>
          <t>Consolidación USD</t>
        </is>
      </c>
      <c r="I1710" t="n">
        <v>131057.06</v>
      </c>
      <c r="J1710" t="inlineStr">
        <is>
          <t>USD</t>
        </is>
      </c>
      <c r="K1710" t="inlineStr">
        <is>
          <t>Julio 2026 CR.xlsx ? movimiento mensual del auxiliar: ingresos por cr?ditos y gastos por d?bitos; moneda fuente USD.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2026-07</t>
        </is>
      </c>
      <c r="B1711" t="inlineStr">
        <is>
          <t>Costa Rica</t>
        </is>
      </c>
      <c r="C1711" t="inlineStr">
        <is>
          <t>Coco Costa Rica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pyg_utilidad_neta</t>
        </is>
      </c>
      <c r="G1711" t="inlineStr">
        <is>
          <t>Consolidación USD</t>
        </is>
      </c>
      <c r="I1711" t="n">
        <v>131027.06</v>
      </c>
      <c r="J1711" t="inlineStr">
        <is>
          <t>USD</t>
        </is>
      </c>
      <c r="K1711" t="inlineStr">
        <is>
          <t>Homologado desde auxiliar contable (NUEVO Julio 2026 CR.xlsx).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2026-01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pyg_ingresos_operacionales</t>
        </is>
      </c>
      <c r="G1712" t="inlineStr">
        <is>
          <t>Consolidación USD</t>
        </is>
      </c>
      <c r="I1712" t="n">
        <v>3498.8</v>
      </c>
      <c r="J1712" t="inlineStr">
        <is>
          <t>USD</t>
        </is>
      </c>
      <c r="K1712" t="inlineStr">
        <is>
          <t>Homologado desde auxiliar contable (Enero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2026-01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pyg_ingresos_no_operacionales</t>
        </is>
      </c>
      <c r="G1713" t="inlineStr">
        <is>
          <t>Consolidación USD</t>
        </is>
      </c>
      <c r="I1713" t="n">
        <v>124.57</v>
      </c>
      <c r="J1713" t="inlineStr">
        <is>
          <t>USD</t>
        </is>
      </c>
      <c r="K1713" t="inlineStr">
        <is>
          <t>Homologado desde auxiliar contable (Enero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2026-01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pyg_costo_ventas</t>
        </is>
      </c>
      <c r="G1714" t="inlineStr">
        <is>
          <t>Consolidación USD</t>
        </is>
      </c>
      <c r="I1714" t="n">
        <v>0</v>
      </c>
      <c r="J1714" t="inlineStr">
        <is>
          <t>USD</t>
        </is>
      </c>
      <c r="K1714" t="inlineStr">
        <is>
          <t>Homologado desde auxiliar contable (Enero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2026-01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pyg_gasto_administracion</t>
        </is>
      </c>
      <c r="G1715" t="inlineStr">
        <is>
          <t>Consolidación USD</t>
        </is>
      </c>
      <c r="I1715" t="n">
        <v>4338.27</v>
      </c>
      <c r="J1715" t="inlineStr">
        <is>
          <t>USD</t>
        </is>
      </c>
      <c r="K1715" t="inlineStr">
        <is>
          <t>Homologado desde auxiliar contable (Enero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2026-01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pyg_gasto_ventas</t>
        </is>
      </c>
      <c r="G1716" t="inlineStr">
        <is>
          <t>Consolidación USD</t>
        </is>
      </c>
      <c r="I1716" t="n">
        <v>2148</v>
      </c>
      <c r="J1716" t="inlineStr">
        <is>
          <t>USD</t>
        </is>
      </c>
      <c r="K1716" t="inlineStr">
        <is>
          <t>Homologado desde auxiliar contable (Enero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2026-01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pyg_gasto_proyectos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(Enero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2026-01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pyg_gastos_financieros</t>
        </is>
      </c>
      <c r="G1718" t="inlineStr">
        <is>
          <t>Consolidación USD</t>
        </is>
      </c>
      <c r="I1718" t="n">
        <v>75.90000000000001</v>
      </c>
      <c r="J1718" t="inlineStr">
        <is>
          <t>USD</t>
        </is>
      </c>
      <c r="K1718" t="inlineStr">
        <is>
          <t>Homologado desde auxiliar contable (Enero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2026-01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pyg_utilidad_neta</t>
        </is>
      </c>
      <c r="G1719" t="inlineStr">
        <is>
          <t>Consolidación USD</t>
        </is>
      </c>
      <c r="I1719" t="n">
        <v>-2938.8</v>
      </c>
      <c r="J1719" t="inlineStr">
        <is>
          <t>USD</t>
        </is>
      </c>
      <c r="K1719" t="inlineStr">
        <is>
          <t>Homologado desde auxiliar contable (Enero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2026-02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pyg_ingresos_operacionales</t>
        </is>
      </c>
      <c r="G1720" t="inlineStr">
        <is>
          <t>Consolidación USD</t>
        </is>
      </c>
      <c r="I1720" t="n">
        <v>4051.45</v>
      </c>
      <c r="J1720" t="inlineStr">
        <is>
          <t>USD</t>
        </is>
      </c>
      <c r="K1720" t="inlineStr">
        <is>
          <t>Homologado desde auxiliar contable (Febrero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2026-02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pyg_ingresos_no_operacionales</t>
        </is>
      </c>
      <c r="G1721" t="inlineStr">
        <is>
          <t>Consolidación USD</t>
        </is>
      </c>
      <c r="I1721" t="n">
        <v>13.41</v>
      </c>
      <c r="J1721" t="inlineStr">
        <is>
          <t>USD</t>
        </is>
      </c>
      <c r="K1721" t="inlineStr">
        <is>
          <t>Homologado desde auxiliar contable (Febrero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2026-02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pyg_costo_ventas</t>
        </is>
      </c>
      <c r="G1722" t="inlineStr">
        <is>
          <t>Consolidación USD</t>
        </is>
      </c>
      <c r="I1722" t="n">
        <v>0</v>
      </c>
      <c r="J1722" t="inlineStr">
        <is>
          <t>USD</t>
        </is>
      </c>
      <c r="K1722" t="inlineStr">
        <is>
          <t>Homologado desde auxiliar contable (Febrero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2026-02</t>
        </is>
      </c>
      <c r="B1723" t="inlineStr">
        <is>
          <t>EE.UU.</t>
        </is>
      </c>
      <c r="C1723" t="inlineStr">
        <is>
          <t>Coco LLC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pyg_gasto_administracion</t>
        </is>
      </c>
      <c r="G1723" t="inlineStr">
        <is>
          <t>Consolidación USD</t>
        </is>
      </c>
      <c r="I1723" t="n">
        <v>16009.46</v>
      </c>
      <c r="J1723" t="inlineStr">
        <is>
          <t>USD</t>
        </is>
      </c>
      <c r="K1723" t="inlineStr">
        <is>
          <t>Homologado desde auxiliar contable (Febrero 2026 USA.xlsx).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2026-02</t>
        </is>
      </c>
      <c r="B1724" t="inlineStr">
        <is>
          <t>EE.UU.</t>
        </is>
      </c>
      <c r="C1724" t="inlineStr">
        <is>
          <t>Coco LLC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pyg_gasto_ventas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(Febrero 2026 USA.xlsx).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2026-02</t>
        </is>
      </c>
      <c r="B1725" t="inlineStr">
        <is>
          <t>EE.UU.</t>
        </is>
      </c>
      <c r="C1725" t="inlineStr">
        <is>
          <t>Coco LLC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pyg_gasto_proyectos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(Febrero 2026 USA.xlsx).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2026-02</t>
        </is>
      </c>
      <c r="B1726" t="inlineStr">
        <is>
          <t>EE.UU.</t>
        </is>
      </c>
      <c r="C1726" t="inlineStr">
        <is>
          <t>Coco LLC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pyg_gastos_financieros</t>
        </is>
      </c>
      <c r="G1726" t="inlineStr">
        <is>
          <t>Consolidación USD</t>
        </is>
      </c>
      <c r="I1726" t="n">
        <v>83.06999999999999</v>
      </c>
      <c r="J1726" t="inlineStr">
        <is>
          <t>USD</t>
        </is>
      </c>
      <c r="K1726" t="inlineStr">
        <is>
          <t>Homologado desde auxiliar contable (Febrero 2026 USA.xlsx).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2026-02</t>
        </is>
      </c>
      <c r="B1727" t="inlineStr">
        <is>
          <t>EE.UU.</t>
        </is>
      </c>
      <c r="C1727" t="inlineStr">
        <is>
          <t>Coco LLC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pyg_utilidad_neta</t>
        </is>
      </c>
      <c r="G1727" t="inlineStr">
        <is>
          <t>Consolidación USD</t>
        </is>
      </c>
      <c r="I1727" t="n">
        <v>-12027.67</v>
      </c>
      <c r="J1727" t="inlineStr">
        <is>
          <t>USD</t>
        </is>
      </c>
      <c r="K1727" t="inlineStr">
        <is>
          <t>Homologado desde auxiliar contable (Febrero 2026 USA.xlsx).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2026-03</t>
        </is>
      </c>
      <c r="B1728" t="inlineStr">
        <is>
          <t>EE.UU.</t>
        </is>
      </c>
      <c r="C1728" t="inlineStr">
        <is>
          <t>Coco LLC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pyg_ingresos_operacionales</t>
        </is>
      </c>
      <c r="G1728" t="inlineStr">
        <is>
          <t>Consolidación USD</t>
        </is>
      </c>
      <c r="I1728" t="n">
        <v>4073.45</v>
      </c>
      <c r="J1728" t="inlineStr">
        <is>
          <t>USD</t>
        </is>
      </c>
      <c r="K1728" t="inlineStr">
        <is>
          <t>Homologado desde auxiliar contable (Marzo 2026 USA.xlsx).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2026-03</t>
        </is>
      </c>
      <c r="B1729" t="inlineStr">
        <is>
          <t>EE.UU.</t>
        </is>
      </c>
      <c r="C1729" t="inlineStr">
        <is>
          <t>Coco LLC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pyg_ingresos_no_operacionales</t>
        </is>
      </c>
      <c r="G1729" t="inlineStr">
        <is>
          <t>Consolidación USD</t>
        </is>
      </c>
      <c r="I1729" t="n">
        <v>22.96</v>
      </c>
      <c r="J1729" t="inlineStr">
        <is>
          <t>USD</t>
        </is>
      </c>
      <c r="K1729" t="inlineStr">
        <is>
          <t>Homologado desde auxiliar contable (Marzo 2026 USA.xlsx).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2026-03</t>
        </is>
      </c>
      <c r="B1730" t="inlineStr">
        <is>
          <t>EE.UU.</t>
        </is>
      </c>
      <c r="C1730" t="inlineStr">
        <is>
          <t>Coco LLC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pyg_costo_ventas</t>
        </is>
      </c>
      <c r="G1730" t="inlineStr">
        <is>
          <t>Consolidación USD</t>
        </is>
      </c>
      <c r="I1730" t="n">
        <v>0</v>
      </c>
      <c r="J1730" t="inlineStr">
        <is>
          <t>USD</t>
        </is>
      </c>
      <c r="K1730" t="inlineStr">
        <is>
          <t>Homologado desde auxiliar contable (Marzo 2026 USA.xlsx).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2026-03</t>
        </is>
      </c>
      <c r="B1731" t="inlineStr">
        <is>
          <t>EE.UU.</t>
        </is>
      </c>
      <c r="C1731" t="inlineStr">
        <is>
          <t>Coco LLC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pyg_gasto_administracion</t>
        </is>
      </c>
      <c r="G1731" t="inlineStr">
        <is>
          <t>Consolidación USD</t>
        </is>
      </c>
      <c r="I1731" t="n">
        <v>4263.65</v>
      </c>
      <c r="J1731" t="inlineStr">
        <is>
          <t>USD</t>
        </is>
      </c>
      <c r="K1731" t="inlineStr">
        <is>
          <t>Homologado desde auxiliar contable (Marzo 2026 USA.xlsx).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2026-03</t>
        </is>
      </c>
      <c r="B1732" t="inlineStr">
        <is>
          <t>EE.UU.</t>
        </is>
      </c>
      <c r="C1732" t="inlineStr">
        <is>
          <t>Coco LLC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pyg_gasto_ventas</t>
        </is>
      </c>
      <c r="G1732" t="inlineStr">
        <is>
          <t>Consolidación USD</t>
        </is>
      </c>
      <c r="I1732" t="n">
        <v>2957.46</v>
      </c>
      <c r="J1732" t="inlineStr">
        <is>
          <t>USD</t>
        </is>
      </c>
      <c r="K1732" t="inlineStr">
        <is>
          <t>Homologado desde auxiliar contable (Marzo 2026 USA.xlsx).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2026-03</t>
        </is>
      </c>
      <c r="B1733" t="inlineStr">
        <is>
          <t>EE.UU.</t>
        </is>
      </c>
      <c r="C1733" t="inlineStr">
        <is>
          <t>Coco LLC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pyg_gasto_proyectos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(Marzo 2026 USA.xlsx).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2026-03</t>
        </is>
      </c>
      <c r="B1734" t="inlineStr">
        <is>
          <t>EE.UU.</t>
        </is>
      </c>
      <c r="C1734" t="inlineStr">
        <is>
          <t>Coco LLC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pyg_gastos_financieros</t>
        </is>
      </c>
      <c r="G1734" t="inlineStr">
        <is>
          <t>Consolidación USD</t>
        </is>
      </c>
      <c r="I1734" t="n">
        <v>8.33</v>
      </c>
      <c r="J1734" t="inlineStr">
        <is>
          <t>USD</t>
        </is>
      </c>
      <c r="K1734" t="inlineStr">
        <is>
          <t>Homologado desde auxiliar contable (Marzo 2026 USA.xlsx).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2026-03</t>
        </is>
      </c>
      <c r="B1735" t="inlineStr">
        <is>
          <t>EE.UU.</t>
        </is>
      </c>
      <c r="C1735" t="inlineStr">
        <is>
          <t>Coco LLC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pyg_utilidad_neta</t>
        </is>
      </c>
      <c r="G1735" t="inlineStr">
        <is>
          <t>Consolidación USD</t>
        </is>
      </c>
      <c r="I1735" t="n">
        <v>-3133.03</v>
      </c>
      <c r="J1735" t="inlineStr">
        <is>
          <t>USD</t>
        </is>
      </c>
      <c r="K1735" t="inlineStr">
        <is>
          <t>Homologado desde auxiliar contable (Marzo 2026 USA.xlsx).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2026-01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pyg_ingresos_operacionales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(Enero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2026-01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pyg_ingresos_no_operacionales</t>
        </is>
      </c>
      <c r="G1737" t="inlineStr">
        <is>
          <t>Consolidación USD</t>
        </is>
      </c>
      <c r="I1737" t="n">
        <v>0</v>
      </c>
      <c r="J1737" t="inlineStr">
        <is>
          <t>USD</t>
        </is>
      </c>
      <c r="K1737" t="inlineStr">
        <is>
          <t>Homologado desde auxiliar contable (Enero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2026-01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pyg_costo_ventas</t>
        </is>
      </c>
      <c r="G1738" t="inlineStr">
        <is>
          <t>Consolidación USD</t>
        </is>
      </c>
      <c r="I1738" t="n">
        <v>0</v>
      </c>
      <c r="J1738" t="inlineStr">
        <is>
          <t>USD</t>
        </is>
      </c>
      <c r="K1738" t="inlineStr">
        <is>
          <t>Homologado desde auxiliar contable (Enero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2026-01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pyg_gasto_administracion</t>
        </is>
      </c>
      <c r="G1739" t="inlineStr">
        <is>
          <t>Consolidación USD</t>
        </is>
      </c>
      <c r="I1739" t="n">
        <v>2162.73</v>
      </c>
      <c r="J1739" t="inlineStr">
        <is>
          <t>USD</t>
        </is>
      </c>
      <c r="K1739" t="inlineStr">
        <is>
          <t>Homologado desde auxiliar contable (Enero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2026-01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pyg_gasto_ventas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(Enero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2026-01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pyg_gasto_proyectos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(Enero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2026-01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pyg_gastos_financieros</t>
        </is>
      </c>
      <c r="G1742" t="inlineStr">
        <is>
          <t>Consolidación USD</t>
        </is>
      </c>
      <c r="I1742" t="n">
        <v>20</v>
      </c>
      <c r="J1742" t="inlineStr">
        <is>
          <t>USD</t>
        </is>
      </c>
      <c r="K1742" t="inlineStr">
        <is>
          <t>Homologado desde auxiliar contable (Enero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2026-01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pyg_utilidad_neta</t>
        </is>
      </c>
      <c r="G1743" t="inlineStr">
        <is>
          <t>Consolidación USD</t>
        </is>
      </c>
      <c r="I1743" t="n">
        <v>-2182.73</v>
      </c>
      <c r="J1743" t="inlineStr">
        <is>
          <t>USD</t>
        </is>
      </c>
      <c r="K1743" t="inlineStr">
        <is>
          <t>Homologado desde auxiliar contable (Enero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2026-02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pyg_ingresos_operacionales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Febrero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2026-02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pyg_ingresos_no_operacionales</t>
        </is>
      </c>
      <c r="G1745" t="inlineStr">
        <is>
          <t>Consolidación USD</t>
        </is>
      </c>
      <c r="I1745" t="n">
        <v>0</v>
      </c>
      <c r="J1745" t="inlineStr">
        <is>
          <t>USD</t>
        </is>
      </c>
      <c r="K1745" t="inlineStr">
        <is>
          <t>Homologado desde auxiliar contable (V5 Febrero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2026-02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pyg_costo_ventas</t>
        </is>
      </c>
      <c r="G1746" t="inlineStr">
        <is>
          <t>Consolidación USD</t>
        </is>
      </c>
      <c r="I1746" t="n">
        <v>0</v>
      </c>
      <c r="J1746" t="inlineStr">
        <is>
          <t>USD</t>
        </is>
      </c>
      <c r="K1746" t="inlineStr">
        <is>
          <t>Homologado desde auxiliar contable (V5 Febrero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2026-02</t>
        </is>
      </c>
      <c r="B1747" t="inlineStr">
        <is>
          <t>Costa Rica</t>
        </is>
      </c>
      <c r="C1747" t="inlineStr">
        <is>
          <t>Coco Costa Rica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pyg_gasto_administracion</t>
        </is>
      </c>
      <c r="G1747" t="inlineStr">
        <is>
          <t>Consolidación USD</t>
        </is>
      </c>
      <c r="I1747" t="n">
        <v>2134.96</v>
      </c>
      <c r="J1747" t="inlineStr">
        <is>
          <t>USD</t>
        </is>
      </c>
      <c r="K1747" t="inlineStr">
        <is>
          <t>Homologado desde auxiliar contable (V5 Febrero 2026 CR.xlsx).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2026-02</t>
        </is>
      </c>
      <c r="B1748" t="inlineStr">
        <is>
          <t>Costa Rica</t>
        </is>
      </c>
      <c r="C1748" t="inlineStr">
        <is>
          <t>Coco Costa Rica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pyg_gasto_ventas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(V5 Febrero 2026 CR.xlsx).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2026-02</t>
        </is>
      </c>
      <c r="B1749" t="inlineStr">
        <is>
          <t>Costa Rica</t>
        </is>
      </c>
      <c r="C1749" t="inlineStr">
        <is>
          <t>Coco Costa Rica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pyg_gasto_proyectos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(V5 Febrero 2026 CR.xlsx).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2026-02</t>
        </is>
      </c>
      <c r="B1750" t="inlineStr">
        <is>
          <t>Costa Rica</t>
        </is>
      </c>
      <c r="C1750" t="inlineStr">
        <is>
          <t>Coco Costa Rica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pyg_gastos_financieros</t>
        </is>
      </c>
      <c r="G1750" t="inlineStr">
        <is>
          <t>Consolidación USD</t>
        </is>
      </c>
      <c r="I1750" t="n">
        <v>30</v>
      </c>
      <c r="J1750" t="inlineStr">
        <is>
          <t>USD</t>
        </is>
      </c>
      <c r="K1750" t="inlineStr">
        <is>
          <t>Homologado desde auxiliar contable (V5 Febrero 2026 CR.xlsx).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2026-02</t>
        </is>
      </c>
      <c r="B1751" t="inlineStr">
        <is>
          <t>Costa Rica</t>
        </is>
      </c>
      <c r="C1751" t="inlineStr">
        <is>
          <t>Coco Costa Rica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pyg_utilidad_neta</t>
        </is>
      </c>
      <c r="G1751" t="inlineStr">
        <is>
          <t>Consolidación USD</t>
        </is>
      </c>
      <c r="I1751" t="n">
        <v>-2164.96</v>
      </c>
      <c r="J1751" t="inlineStr">
        <is>
          <t>USD</t>
        </is>
      </c>
      <c r="K1751" t="inlineStr">
        <is>
          <t>Homologado desde auxiliar contable (V5 Febrero 2026 CR.xlsx).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2026-03</t>
        </is>
      </c>
      <c r="B1752" t="inlineStr">
        <is>
          <t>Costa Rica</t>
        </is>
      </c>
      <c r="C1752" t="inlineStr">
        <is>
          <t>Coco Costa Rica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pyg_ingresos_operacionales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(V5 Marzo 2026 CR.xlsx).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2026-03</t>
        </is>
      </c>
      <c r="B1753" t="inlineStr">
        <is>
          <t>Costa Rica</t>
        </is>
      </c>
      <c r="C1753" t="inlineStr">
        <is>
          <t>Coco Costa Rica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pyg_ingresos_no_operacionales</t>
        </is>
      </c>
      <c r="G1753" t="inlineStr">
        <is>
          <t>Consolidación USD</t>
        </is>
      </c>
      <c r="I1753" t="n">
        <v>0</v>
      </c>
      <c r="J1753" t="inlineStr">
        <is>
          <t>USD</t>
        </is>
      </c>
      <c r="K1753" t="inlineStr">
        <is>
          <t>Homologado desde auxiliar contable (V5 Marzo 2026 CR.xlsx).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2026-03</t>
        </is>
      </c>
      <c r="B1754" t="inlineStr">
        <is>
          <t>Costa Rica</t>
        </is>
      </c>
      <c r="C1754" t="inlineStr">
        <is>
          <t>Coco Costa Rica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pyg_costo_ventas</t>
        </is>
      </c>
      <c r="G1754" t="inlineStr">
        <is>
          <t>Consolidación USD</t>
        </is>
      </c>
      <c r="I1754" t="n">
        <v>0</v>
      </c>
      <c r="J1754" t="inlineStr">
        <is>
          <t>USD</t>
        </is>
      </c>
      <c r="K1754" t="inlineStr">
        <is>
          <t>Homologado desde auxiliar contable (V5 Marzo 2026 CR.xlsx).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2026-03</t>
        </is>
      </c>
      <c r="B1755" t="inlineStr">
        <is>
          <t>Costa Rica</t>
        </is>
      </c>
      <c r="C1755" t="inlineStr">
        <is>
          <t>Coco Costa Rica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pyg_gasto_administracion</t>
        </is>
      </c>
      <c r="G1755" t="inlineStr">
        <is>
          <t>Consolidación USD</t>
        </is>
      </c>
      <c r="I1755" t="n">
        <v>2235.83</v>
      </c>
      <c r="J1755" t="inlineStr">
        <is>
          <t>USD</t>
        </is>
      </c>
      <c r="K1755" t="inlineStr">
        <is>
          <t>Homologado desde auxiliar contable (V5 Marzo 2026 CR.xlsx).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2026-03</t>
        </is>
      </c>
      <c r="B1756" t="inlineStr">
        <is>
          <t>Costa Rica</t>
        </is>
      </c>
      <c r="C1756" t="inlineStr">
        <is>
          <t>Coco Costa Rica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pyg_gasto_ventas</t>
        </is>
      </c>
      <c r="G1756" t="inlineStr">
        <is>
          <t>Consolidación USD</t>
        </is>
      </c>
      <c r="I1756" t="n">
        <v>0</v>
      </c>
      <c r="J1756" t="inlineStr">
        <is>
          <t>USD</t>
        </is>
      </c>
      <c r="K1756" t="inlineStr">
        <is>
          <t>Homologado desde auxiliar contable (V5 Marzo 2026 CR.xlsx).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2026-03</t>
        </is>
      </c>
      <c r="B1757" t="inlineStr">
        <is>
          <t>Costa Rica</t>
        </is>
      </c>
      <c r="C1757" t="inlineStr">
        <is>
          <t>Coco Costa Rica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pyg_gasto_proyectos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(V5 Marzo 2026 CR.xlsx).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2026-03</t>
        </is>
      </c>
      <c r="B1758" t="inlineStr">
        <is>
          <t>Costa Rica</t>
        </is>
      </c>
      <c r="C1758" t="inlineStr">
        <is>
          <t>Coco Costa Rica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pyg_gastos_financieros</t>
        </is>
      </c>
      <c r="G1758" t="inlineStr">
        <is>
          <t>Consolidación USD</t>
        </is>
      </c>
      <c r="I1758" t="n">
        <v>30</v>
      </c>
      <c r="J1758" t="inlineStr">
        <is>
          <t>USD</t>
        </is>
      </c>
      <c r="K1758" t="inlineStr">
        <is>
          <t>Homologado desde auxiliar contable (V5 Marzo 2026 CR.xlsx).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2026-03</t>
        </is>
      </c>
      <c r="B1759" t="inlineStr">
        <is>
          <t>Costa Rica</t>
        </is>
      </c>
      <c r="C1759" t="inlineStr">
        <is>
          <t>Coco Costa Rica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pyg_utilidad_neta</t>
        </is>
      </c>
      <c r="G1759" t="inlineStr">
        <is>
          <t>Consolidación USD</t>
        </is>
      </c>
      <c r="I1759" t="n">
        <v>-2265.83</v>
      </c>
      <c r="J1759" t="inlineStr">
        <is>
          <t>USD</t>
        </is>
      </c>
      <c r="K1759" t="inlineStr">
        <is>
          <t>Homologado desde auxiliar contable (V5 Marzo 2026 CR.xlsx).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2026-01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pyg_ingresos_operacionales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(Enero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2026-01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pyg_ingresos_no_operacionales</t>
        </is>
      </c>
      <c r="G1761" t="inlineStr">
        <is>
          <t>Consolidación USD</t>
        </is>
      </c>
      <c r="I1761" t="n">
        <v>0</v>
      </c>
      <c r="J1761" t="inlineStr">
        <is>
          <t>USD</t>
        </is>
      </c>
      <c r="K1761" t="inlineStr">
        <is>
          <t>Homologado desde auxiliar contable (Enero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2026-01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pyg_costo_ventas</t>
        </is>
      </c>
      <c r="G1762" t="inlineStr">
        <is>
          <t>Consolidación USD</t>
        </is>
      </c>
      <c r="I1762" t="n">
        <v>0</v>
      </c>
      <c r="J1762" t="inlineStr">
        <is>
          <t>USD</t>
        </is>
      </c>
      <c r="K1762" t="inlineStr">
        <is>
          <t>Homologado desde auxiliar contable (Enero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2026-01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pyg_gasto_administracion</t>
        </is>
      </c>
      <c r="G1763" t="inlineStr">
        <is>
          <t>Consolidación USD</t>
        </is>
      </c>
      <c r="I1763" t="n">
        <v>0</v>
      </c>
      <c r="J1763" t="inlineStr">
        <is>
          <t>USD</t>
        </is>
      </c>
      <c r="K1763" t="inlineStr">
        <is>
          <t>Homologado desde auxiliar contable (Enero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2026-01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pyg_gasto_ventas</t>
        </is>
      </c>
      <c r="G1764" t="inlineStr">
        <is>
          <t>Consolidación USD</t>
        </is>
      </c>
      <c r="I1764" t="n">
        <v>633.6</v>
      </c>
      <c r="J1764" t="inlineStr">
        <is>
          <t>USD</t>
        </is>
      </c>
      <c r="K1764" t="inlineStr">
        <is>
          <t>Homologado desde auxiliar contable (Enero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2026-01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pyg_gasto_proyectos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(Enero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2026-01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pyg_gastos_financieros</t>
        </is>
      </c>
      <c r="G1766" t="inlineStr">
        <is>
          <t>Consolidación USD</t>
        </is>
      </c>
      <c r="I1766" t="n">
        <v>27.62</v>
      </c>
      <c r="J1766" t="inlineStr">
        <is>
          <t>USD</t>
        </is>
      </c>
      <c r="K1766" t="inlineStr">
        <is>
          <t>Homologado desde auxiliar contable (Enero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2026-01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pyg_utilidad_neta</t>
        </is>
      </c>
      <c r="G1767" t="inlineStr">
        <is>
          <t>Consolidación USD</t>
        </is>
      </c>
      <c r="I1767" t="n">
        <v>-661.22</v>
      </c>
      <c r="J1767" t="inlineStr">
        <is>
          <t>USD</t>
        </is>
      </c>
      <c r="K1767" t="inlineStr">
        <is>
          <t>Homologado desde auxiliar contable (Enero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2026-02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pyg_ingresos_operacionales</t>
        </is>
      </c>
      <c r="G1768" t="inlineStr">
        <is>
          <t>Consolidación USD</t>
        </is>
      </c>
      <c r="I1768" t="n">
        <v>829.52</v>
      </c>
      <c r="J1768" t="inlineStr">
        <is>
          <t>USD</t>
        </is>
      </c>
      <c r="K1768" t="inlineStr">
        <is>
          <t>Homologado desde auxiliar contable (Febrero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2026-02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pyg_ingresos_no_operacionales</t>
        </is>
      </c>
      <c r="G1769" t="inlineStr">
        <is>
          <t>Consolidación USD</t>
        </is>
      </c>
      <c r="I1769" t="n">
        <v>19350.89</v>
      </c>
      <c r="J1769" t="inlineStr">
        <is>
          <t>USD</t>
        </is>
      </c>
      <c r="K1769" t="inlineStr">
        <is>
          <t>Homologado desde auxiliar contable (Febrero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2026-02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pyg_costo_ventas</t>
        </is>
      </c>
      <c r="G1770" t="inlineStr">
        <is>
          <t>Consolidación USD</t>
        </is>
      </c>
      <c r="I1770" t="n">
        <v>0</v>
      </c>
      <c r="J1770" t="inlineStr">
        <is>
          <t>USD</t>
        </is>
      </c>
      <c r="K1770" t="inlineStr">
        <is>
          <t>Homologado desde auxiliar contable (Febrero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2026-02</t>
        </is>
      </c>
      <c r="B1771" t="inlineStr">
        <is>
          <t>Perú</t>
        </is>
      </c>
      <c r="C1771" t="inlineStr">
        <is>
          <t>Coco Peru</t>
        </is>
      </c>
      <c r="D1771" t="inlineStr">
        <is>
          <t>USD</t>
        </is>
      </c>
      <c r="E1771" t="inlineStr">
        <is>
          <t>Real</t>
        </is>
      </c>
      <c r="F1771" t="inlineStr">
        <is>
          <t>pyg_gasto_administracion</t>
        </is>
      </c>
      <c r="G1771" t="inlineStr">
        <is>
          <t>Consolidación USD</t>
        </is>
      </c>
      <c r="I1771" t="n">
        <v>254.8</v>
      </c>
      <c r="J1771" t="inlineStr">
        <is>
          <t>USD</t>
        </is>
      </c>
      <c r="K1771" t="inlineStr">
        <is>
          <t>Homologado desde auxiliar contable (Febrero 2026 PERU.xlsx). Reemplaza fuente previa (modelo/sin dato).</t>
        </is>
      </c>
      <c r="L1771" t="inlineStr">
        <is>
          <t>Internacional</t>
        </is>
      </c>
      <c r="M1771" t="inlineStr">
        <is>
          <t>Finanzas</t>
        </is>
      </c>
      <c r="N1771" t="inlineStr">
        <is>
          <t>Mensual</t>
        </is>
      </c>
    </row>
    <row r="1772">
      <c r="A1772" t="inlineStr">
        <is>
          <t>2026-02</t>
        </is>
      </c>
      <c r="B1772" t="inlineStr">
        <is>
          <t>Perú</t>
        </is>
      </c>
      <c r="C1772" t="inlineStr">
        <is>
          <t>Coco Peru</t>
        </is>
      </c>
      <c r="D1772" t="inlineStr">
        <is>
          <t>USD</t>
        </is>
      </c>
      <c r="E1772" t="inlineStr">
        <is>
          <t>Real</t>
        </is>
      </c>
      <c r="F1772" t="inlineStr">
        <is>
          <t>pyg_gasto_ventas</t>
        </is>
      </c>
      <c r="G1772" t="inlineStr">
        <is>
          <t>Consolidación USD</t>
        </is>
      </c>
      <c r="I1772" t="n">
        <v>0</v>
      </c>
      <c r="J1772" t="inlineStr">
        <is>
          <t>USD</t>
        </is>
      </c>
      <c r="K1772" t="inlineStr">
        <is>
          <t>Homologado desde auxiliar contable (Febrero 2026 PERU.xlsx). Reemplaza fuente previa (modelo/sin dato).</t>
        </is>
      </c>
      <c r="L1772" t="inlineStr">
        <is>
          <t>Internacional</t>
        </is>
      </c>
      <c r="M1772" t="inlineStr">
        <is>
          <t>Finanzas</t>
        </is>
      </c>
      <c r="N1772" t="inlineStr">
        <is>
          <t>Mensual</t>
        </is>
      </c>
    </row>
    <row r="1773">
      <c r="A1773" t="inlineStr">
        <is>
          <t>2026-02</t>
        </is>
      </c>
      <c r="B1773" t="inlineStr">
        <is>
          <t>Perú</t>
        </is>
      </c>
      <c r="C1773" t="inlineStr">
        <is>
          <t>Coco Peru</t>
        </is>
      </c>
      <c r="D1773" t="inlineStr">
        <is>
          <t>USD</t>
        </is>
      </c>
      <c r="E1773" t="inlineStr">
        <is>
          <t>Real</t>
        </is>
      </c>
      <c r="F1773" t="inlineStr">
        <is>
          <t>pyg_gasto_proyectos</t>
        </is>
      </c>
      <c r="G1773" t="inlineStr">
        <is>
          <t>Consolidación USD</t>
        </is>
      </c>
      <c r="I1773" t="n">
        <v>0</v>
      </c>
      <c r="J1773" t="inlineStr">
        <is>
          <t>USD</t>
        </is>
      </c>
      <c r="K1773" t="inlineStr">
        <is>
          <t>Homologado desde auxiliar contable (Febrero 2026 PERU.xlsx). Reemplaza fuente previa (modelo/sin dato).</t>
        </is>
      </c>
      <c r="L1773" t="inlineStr">
        <is>
          <t>Internacional</t>
        </is>
      </c>
      <c r="M1773" t="inlineStr">
        <is>
          <t>Finanzas</t>
        </is>
      </c>
      <c r="N1773" t="inlineStr">
        <is>
          <t>Mensual</t>
        </is>
      </c>
    </row>
    <row r="1774">
      <c r="A1774" t="inlineStr">
        <is>
          <t>2026-02</t>
        </is>
      </c>
      <c r="B1774" t="inlineStr">
        <is>
          <t>Perú</t>
        </is>
      </c>
      <c r="C1774" t="inlineStr">
        <is>
          <t>Coco Peru</t>
        </is>
      </c>
      <c r="D1774" t="inlineStr">
        <is>
          <t>USD</t>
        </is>
      </c>
      <c r="E1774" t="inlineStr">
        <is>
          <t>Real</t>
        </is>
      </c>
      <c r="F1774" t="inlineStr">
        <is>
          <t>pyg_gastos_financieros</t>
        </is>
      </c>
      <c r="G1774" t="inlineStr">
        <is>
          <t>Consolidación USD</t>
        </is>
      </c>
      <c r="I1774" t="n">
        <v>28.12</v>
      </c>
      <c r="J1774" t="inlineStr">
        <is>
          <t>USD</t>
        </is>
      </c>
      <c r="K1774" t="inlineStr">
        <is>
          <t>Homologado desde auxiliar contable (Febrero 2026 PERU.xlsx). Reemplaza fuente previa (modelo/sin dato).</t>
        </is>
      </c>
      <c r="L1774" t="inlineStr">
        <is>
          <t>Internacional</t>
        </is>
      </c>
      <c r="M1774" t="inlineStr">
        <is>
          <t>Finanzas</t>
        </is>
      </c>
      <c r="N1774" t="inlineStr">
        <is>
          <t>Mensual</t>
        </is>
      </c>
    </row>
    <row r="1775">
      <c r="A1775" t="inlineStr">
        <is>
          <t>2026-02</t>
        </is>
      </c>
      <c r="B1775" t="inlineStr">
        <is>
          <t>Perú</t>
        </is>
      </c>
      <c r="C1775" t="inlineStr">
        <is>
          <t>Coco Peru</t>
        </is>
      </c>
      <c r="D1775" t="inlineStr">
        <is>
          <t>USD</t>
        </is>
      </c>
      <c r="E1775" t="inlineStr">
        <is>
          <t>Real</t>
        </is>
      </c>
      <c r="F1775" t="inlineStr">
        <is>
          <t>pyg_utilidad_neta</t>
        </is>
      </c>
      <c r="G1775" t="inlineStr">
        <is>
          <t>Consolidación USD</t>
        </is>
      </c>
      <c r="I1775" t="n">
        <v>19897.49</v>
      </c>
      <c r="J1775" t="inlineStr">
        <is>
          <t>USD</t>
        </is>
      </c>
      <c r="K1775" t="inlineStr">
        <is>
          <t>Homologado desde auxiliar contable (Febrero 2026 PERU.xlsx). Reemplaza fuente previa (modelo/sin dato).</t>
        </is>
      </c>
      <c r="L1775" t="inlineStr">
        <is>
          <t>Internacional</t>
        </is>
      </c>
      <c r="M1775" t="inlineStr">
        <is>
          <t>Finanzas</t>
        </is>
      </c>
      <c r="N1775" t="inlineStr">
        <is>
          <t>Mensual</t>
        </is>
      </c>
    </row>
    <row r="1776">
      <c r="A1776" t="inlineStr">
        <is>
          <t>2026-03</t>
        </is>
      </c>
      <c r="B1776" t="inlineStr">
        <is>
          <t>Perú</t>
        </is>
      </c>
      <c r="C1776" t="inlineStr">
        <is>
          <t>Coco Peru</t>
        </is>
      </c>
      <c r="D1776" t="inlineStr">
        <is>
          <t>USD</t>
        </is>
      </c>
      <c r="E1776" t="inlineStr">
        <is>
          <t>Real</t>
        </is>
      </c>
      <c r="F1776" t="inlineStr">
        <is>
          <t>pyg_ingresos_operacionales</t>
        </is>
      </c>
      <c r="G1776" t="inlineStr">
        <is>
          <t>Consolidación USD</t>
        </is>
      </c>
      <c r="I1776" t="n">
        <v>1351.99</v>
      </c>
      <c r="J1776" t="inlineStr">
        <is>
          <t>USD</t>
        </is>
      </c>
      <c r="K1776" t="inlineStr">
        <is>
          <t>Homologado desde auxiliar contable (V4 Marzo 2026 PERU.xlsx). Reemplaza fuente previa (modelo/sin dato).</t>
        </is>
      </c>
      <c r="L1776" t="inlineStr">
        <is>
          <t>Internacional</t>
        </is>
      </c>
      <c r="M1776" t="inlineStr">
        <is>
          <t>Finanzas</t>
        </is>
      </c>
      <c r="N1776" t="inlineStr">
        <is>
          <t>Mensual</t>
        </is>
      </c>
    </row>
    <row r="1777">
      <c r="A1777" t="inlineStr">
        <is>
          <t>2026-03</t>
        </is>
      </c>
      <c r="B1777" t="inlineStr">
        <is>
          <t>Perú</t>
        </is>
      </c>
      <c r="C1777" t="inlineStr">
        <is>
          <t>Coco Peru</t>
        </is>
      </c>
      <c r="D1777" t="inlineStr">
        <is>
          <t>USD</t>
        </is>
      </c>
      <c r="E1777" t="inlineStr">
        <is>
          <t>Real</t>
        </is>
      </c>
      <c r="F1777" t="inlineStr">
        <is>
          <t>pyg_ingresos_no_operacionales</t>
        </is>
      </c>
      <c r="G1777" t="inlineStr">
        <is>
          <t>Consolidación USD</t>
        </is>
      </c>
      <c r="I1777" t="n">
        <v>0</v>
      </c>
      <c r="J1777" t="inlineStr">
        <is>
          <t>USD</t>
        </is>
      </c>
      <c r="K1777" t="inlineStr">
        <is>
          <t>Homologado desde auxiliar contable (V4 Marzo 2026 PERU.xlsx). Reemplaza fuente previa (modelo/sin dato).</t>
        </is>
      </c>
      <c r="L1777" t="inlineStr">
        <is>
          <t>Internacional</t>
        </is>
      </c>
      <c r="M1777" t="inlineStr">
        <is>
          <t>Finanzas</t>
        </is>
      </c>
      <c r="N1777" t="inlineStr">
        <is>
          <t>Mensual</t>
        </is>
      </c>
    </row>
    <row r="1778">
      <c r="A1778" t="inlineStr">
        <is>
          <t>2026-03</t>
        </is>
      </c>
      <c r="B1778" t="inlineStr">
        <is>
          <t>Perú</t>
        </is>
      </c>
      <c r="C1778" t="inlineStr">
        <is>
          <t>Coco Peru</t>
        </is>
      </c>
      <c r="D1778" t="inlineStr">
        <is>
          <t>USD</t>
        </is>
      </c>
      <c r="E1778" t="inlineStr">
        <is>
          <t>Real</t>
        </is>
      </c>
      <c r="F1778" t="inlineStr">
        <is>
          <t>pyg_costo_ventas</t>
        </is>
      </c>
      <c r="G1778" t="inlineStr">
        <is>
          <t>Consolidación USD</t>
        </is>
      </c>
      <c r="I1778" t="n">
        <v>0</v>
      </c>
      <c r="J1778" t="inlineStr">
        <is>
          <t>USD</t>
        </is>
      </c>
      <c r="K1778" t="inlineStr">
        <is>
          <t>Homologado desde auxiliar contable (V4 Marzo 2026 PERU.xlsx). Reemplaza fuente previa (modelo/sin dato).</t>
        </is>
      </c>
      <c r="L1778" t="inlineStr">
        <is>
          <t>Internacional</t>
        </is>
      </c>
      <c r="M1778" t="inlineStr">
        <is>
          <t>Finanzas</t>
        </is>
      </c>
      <c r="N1778" t="inlineStr">
        <is>
          <t>Mensual</t>
        </is>
      </c>
    </row>
    <row r="1779">
      <c r="A1779" t="inlineStr">
        <is>
          <t>2026-03</t>
        </is>
      </c>
      <c r="B1779" t="inlineStr">
        <is>
          <t>Perú</t>
        </is>
      </c>
      <c r="C1779" t="inlineStr">
        <is>
          <t>Coco Peru</t>
        </is>
      </c>
      <c r="D1779" t="inlineStr">
        <is>
          <t>USD</t>
        </is>
      </c>
      <c r="E1779" t="inlineStr">
        <is>
          <t>Real</t>
        </is>
      </c>
      <c r="F1779" t="inlineStr">
        <is>
          <t>pyg_gasto_administracion</t>
        </is>
      </c>
      <c r="G1779" t="inlineStr">
        <is>
          <t>Consolidación USD</t>
        </is>
      </c>
      <c r="I1779" t="n">
        <v>249.49</v>
      </c>
      <c r="J1779" t="inlineStr">
        <is>
          <t>USD</t>
        </is>
      </c>
      <c r="K1779" t="inlineStr">
        <is>
          <t>Homologado desde auxiliar contable (V4 Marzo 2026 PERU.xlsx). Reemplaza fuente previa (modelo/sin dato).</t>
        </is>
      </c>
      <c r="L1779" t="inlineStr">
        <is>
          <t>Internacional</t>
        </is>
      </c>
      <c r="M1779" t="inlineStr">
        <is>
          <t>Finanzas</t>
        </is>
      </c>
      <c r="N1779" t="inlineStr">
        <is>
          <t>Mensual</t>
        </is>
      </c>
    </row>
    <row r="1780">
      <c r="A1780" t="inlineStr">
        <is>
          <t>2026-03</t>
        </is>
      </c>
      <c r="B1780" t="inlineStr">
        <is>
          <t>Perú</t>
        </is>
      </c>
      <c r="C1780" t="inlineStr">
        <is>
          <t>Coco Peru</t>
        </is>
      </c>
      <c r="D1780" t="inlineStr">
        <is>
          <t>USD</t>
        </is>
      </c>
      <c r="E1780" t="inlineStr">
        <is>
          <t>Real</t>
        </is>
      </c>
      <c r="F1780" t="inlineStr">
        <is>
          <t>pyg_gasto_ventas</t>
        </is>
      </c>
      <c r="G1780" t="inlineStr">
        <is>
          <t>Consolidación USD</t>
        </is>
      </c>
      <c r="I1780" t="n">
        <v>799.79</v>
      </c>
      <c r="J1780" t="inlineStr">
        <is>
          <t>USD</t>
        </is>
      </c>
      <c r="K1780" t="inlineStr">
        <is>
          <t>Homologado desde auxiliar contable (V4 Marzo 2026 PERU.xlsx). Reemplaza fuente previa (modelo/sin dato).</t>
        </is>
      </c>
      <c r="L1780" t="inlineStr">
        <is>
          <t>Internacional</t>
        </is>
      </c>
      <c r="M1780" t="inlineStr">
        <is>
          <t>Finanzas</t>
        </is>
      </c>
      <c r="N1780" t="inlineStr">
        <is>
          <t>Mensual</t>
        </is>
      </c>
    </row>
    <row r="1781">
      <c r="A1781" t="inlineStr">
        <is>
          <t>2026-03</t>
        </is>
      </c>
      <c r="B1781" t="inlineStr">
        <is>
          <t>Perú</t>
        </is>
      </c>
      <c r="C1781" t="inlineStr">
        <is>
          <t>Coco Peru</t>
        </is>
      </c>
      <c r="D1781" t="inlineStr">
        <is>
          <t>USD</t>
        </is>
      </c>
      <c r="E1781" t="inlineStr">
        <is>
          <t>Real</t>
        </is>
      </c>
      <c r="F1781" t="inlineStr">
        <is>
          <t>pyg_gasto_proyectos</t>
        </is>
      </c>
      <c r="G1781" t="inlineStr">
        <is>
          <t>Consolidación USD</t>
        </is>
      </c>
      <c r="I1781" t="n">
        <v>0</v>
      </c>
      <c r="J1781" t="inlineStr">
        <is>
          <t>USD</t>
        </is>
      </c>
      <c r="K1781" t="inlineStr">
        <is>
          <t>Homologado desde auxiliar contable (V4 Marzo 2026 PERU.xlsx). Reemplaza fuente previa (modelo/sin dato).</t>
        </is>
      </c>
      <c r="L1781" t="inlineStr">
        <is>
          <t>Internacional</t>
        </is>
      </c>
      <c r="M1781" t="inlineStr">
        <is>
          <t>Finanzas</t>
        </is>
      </c>
      <c r="N1781" t="inlineStr">
        <is>
          <t>Mensual</t>
        </is>
      </c>
    </row>
    <row r="1782">
      <c r="A1782" t="inlineStr">
        <is>
          <t>2026-03</t>
        </is>
      </c>
      <c r="B1782" t="inlineStr">
        <is>
          <t>Perú</t>
        </is>
      </c>
      <c r="C1782" t="inlineStr">
        <is>
          <t>Coco Peru</t>
        </is>
      </c>
      <c r="D1782" t="inlineStr">
        <is>
          <t>USD</t>
        </is>
      </c>
      <c r="E1782" t="inlineStr">
        <is>
          <t>Real</t>
        </is>
      </c>
      <c r="F1782" t="inlineStr">
        <is>
          <t>pyg_gastos_financieros</t>
        </is>
      </c>
      <c r="G1782" t="inlineStr">
        <is>
          <t>Consolidación USD</t>
        </is>
      </c>
      <c r="I1782" t="n">
        <v>26.44</v>
      </c>
      <c r="J1782" t="inlineStr">
        <is>
          <t>USD</t>
        </is>
      </c>
      <c r="K1782" t="inlineStr">
        <is>
          <t>Homologado desde auxiliar contable (V4 Marzo 2026 PERU.xlsx). Reemplaza fuente previa (modelo/sin dato).</t>
        </is>
      </c>
      <c r="L1782" t="inlineStr">
        <is>
          <t>Internacional</t>
        </is>
      </c>
      <c r="M1782" t="inlineStr">
        <is>
          <t>Finanzas</t>
        </is>
      </c>
      <c r="N1782" t="inlineStr">
        <is>
          <t>Mensual</t>
        </is>
      </c>
    </row>
    <row r="1783">
      <c r="A1783" t="inlineStr">
        <is>
          <t>2026-03</t>
        </is>
      </c>
      <c r="B1783" t="inlineStr">
        <is>
          <t>Perú</t>
        </is>
      </c>
      <c r="C1783" t="inlineStr">
        <is>
          <t>Coco Peru</t>
        </is>
      </c>
      <c r="D1783" t="inlineStr">
        <is>
          <t>USD</t>
        </is>
      </c>
      <c r="E1783" t="inlineStr">
        <is>
          <t>Real</t>
        </is>
      </c>
      <c r="F1783" t="inlineStr">
        <is>
          <t>pyg_utilidad_neta</t>
        </is>
      </c>
      <c r="G1783" t="inlineStr">
        <is>
          <t>Consolidación USD</t>
        </is>
      </c>
      <c r="I1783" t="n">
        <v>276.26</v>
      </c>
      <c r="J1783" t="inlineStr">
        <is>
          <t>USD</t>
        </is>
      </c>
      <c r="K1783" t="inlineStr">
        <is>
          <t>Homologado desde auxiliar contable (V4 Marzo 2026 PERU.xlsx). Reemplaza fuente previa (modelo/sin dato).</t>
        </is>
      </c>
      <c r="L1783" t="inlineStr">
        <is>
          <t>Internacional</t>
        </is>
      </c>
      <c r="M1783" t="inlineStr">
        <is>
          <t>Finanzas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retained_mrr</t>
        </is>
      </c>
      <c r="I1784" t="n">
        <v>316310847</v>
      </c>
      <c r="J1784" t="inlineStr">
        <is>
          <t>COP</t>
        </is>
      </c>
      <c r="K1784" t="inlineStr">
        <is>
          <t>Analisis de Movimiento MRR Jun-Jul 2026 (area comercial, 13-ago-2026).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new_mrr</t>
        </is>
      </c>
      <c r="I1785" t="n">
        <v>504092820</v>
      </c>
      <c r="J1785" t="inlineStr">
        <is>
          <t>COP</t>
        </is>
      </c>
      <c r="K1785" t="inlineStr">
        <is>
          <t>Analisis de Movimiento MRR Jun-Jul 2026 (area comercial, 13-ago-2026).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reactivacion_mrr</t>
        </is>
      </c>
      <c r="I1786" t="n">
        <v>0</v>
      </c>
      <c r="J1786" t="inlineStr">
        <is>
          <t>COP</t>
        </is>
      </c>
      <c r="K1786" t="inlineStr">
        <is>
          <t>Analisis de Movimiento MRR Jun-Jul 2026 (area comercial, 13-ago-2026).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expansion_mrr</t>
        </is>
      </c>
      <c r="I1787" t="n">
        <v>14828122</v>
      </c>
      <c r="J1787" t="inlineStr">
        <is>
          <t>COP</t>
        </is>
      </c>
      <c r="K1787" t="inlineStr">
        <is>
          <t>Analisis de Movimiento MRR Jun-Jul 2026 (area comercial, 13-ago-2026).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contraction_mrr</t>
        </is>
      </c>
      <c r="I1788" t="n">
        <v>-43146258</v>
      </c>
      <c r="J1788" t="inlineStr">
        <is>
          <t>COP</t>
        </is>
      </c>
      <c r="K1788" t="inlineStr">
        <is>
          <t>Analisis de Movimiento MRR Jun-Jul 2026 (area comercial, 13-ago-2026).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churned_mrr</t>
        </is>
      </c>
      <c r="I1789" t="n">
        <v>-37681670</v>
      </c>
      <c r="J1789" t="inlineStr">
        <is>
          <t>COP</t>
        </is>
      </c>
      <c r="K1789" t="inlineStr">
        <is>
          <t>Analisis de Movimiento MRR Jun-Jul 2026 (area comercial, 13-ago-2026).</t>
        </is>
      </c>
      <c r="N1789" t="inlineStr">
        <is>
          <t>Mensual</t>
        </is>
      </c>
    </row>
    <row r="1790">
      <c r="A1790" t="inlineStr">
        <is>
          <t>2026-06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mrr_final</t>
        </is>
      </c>
      <c r="I1790" t="n">
        <v>759860184</v>
      </c>
      <c r="J1790" t="inlineStr">
        <is>
          <t>COP</t>
        </is>
      </c>
      <c r="K1790" t="inlineStr">
        <is>
          <t>Analisis de Movimiento MRR Jun-Jul 2026 (area comercial, 13-ago-2026). (total de junio, referencia).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mrr_final</t>
        </is>
      </c>
      <c r="I1791" t="n">
        <v>1197953198</v>
      </c>
      <c r="J1791" t="inlineStr">
        <is>
          <t>COP</t>
        </is>
      </c>
      <c r="K1791" t="inlineStr">
        <is>
          <t>Analisis de Movimiento MRR Jun-Jul 2026 (area comercial, 13-ago-2026).</t>
        </is>
      </c>
      <c r="N1791" t="inlineStr">
        <is>
          <t>Mensual</t>
        </is>
      </c>
    </row>
    <row r="1792">
      <c r="A1792" t="inlineStr">
        <is>
          <t>2026-06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arr_mrr</t>
        </is>
      </c>
      <c r="I1792" t="n">
        <v>9118322209</v>
      </c>
      <c r="J1792" t="inlineStr">
        <is>
          <t>COP</t>
        </is>
      </c>
      <c r="K1792" t="inlineStr">
        <is>
          <t>MRR junio x 12. Indicador nuevo, separado de 'arr' (ese es Ventas Totales segun contabilidad, no MRR anualizado pese al nombre).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arr_mrr</t>
        </is>
      </c>
      <c r="I1793" t="n">
        <v>14375438376</v>
      </c>
      <c r="J1793" t="inlineStr">
        <is>
          <t>COP</t>
        </is>
      </c>
      <c r="K1793" t="inlineStr">
        <is>
          <t>MRR julio x 12. Incluye efecto puntual de Costa Rica (CCSS, +USD/COP 494.8M, cliente nuevo sin historico previo) -- si no es representativo de un MRR estable, usar el ARR de junio como referencia.</t>
        </is>
      </c>
      <c r="N1793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3505.2683</v>
      </c>
      <c r="C40" t="inlineStr">
        <is>
          <t>Base previa/impl?cita para convertir Colombia julio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2026-08-13T22:08:20Z</dcterms:modified>
  <cp:lastModifiedBy>ANDRES ARANGO SANTAMARIA</cp:lastModifiedBy>
</cp:coreProperties>
</file>