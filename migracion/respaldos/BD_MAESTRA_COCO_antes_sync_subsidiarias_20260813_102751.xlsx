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focus423-my.sharepoint.com/personal/andres_arango_cfocus_co/Documents/01_CFOCUS_CLIENTES/COCO/1.0 Coco Digital/COCO_Dashboard_Cloud/migracion/"/>
    </mc:Choice>
  </mc:AlternateContent>
  <xr:revisionPtr revIDLastSave="0" documentId="11_C0440548671D00CA88AEAE23019D19DD7D5970BB" xr6:coauthVersionLast="47" xr6:coauthVersionMax="47" xr10:uidLastSave="{00000000-0000-0000-0000-000000000000}"/>
  <bookViews>
    <workbookView xWindow="-108" yWindow="-108" windowWidth="23256" windowHeight="13176" firstSheet="35" activeTab="37" xr2:uid="{00000000-000D-0000-FFFF-FFFF00000000}"/>
  </bookViews>
  <sheets>
    <sheet name="Diccionario" sheetId="1" r:id="rId1"/>
    <sheet name="BD_Indicadores" sheetId="2" r:id="rId2"/>
    <sheet name="PyG_Mensual_Col" sheetId="3" r:id="rId3"/>
    <sheet name="Subsidiarias_PyG" sheetId="4" r:id="rId4"/>
    <sheet name="PyG_Oficial" sheetId="5" r:id="rId5"/>
    <sheet name="Finanzas" sheetId="6" r:id="rId6"/>
    <sheet name="Contabilidad" sheetId="7" r:id="rId7"/>
    <sheet name="SaaS_Revenue" sheetId="8" r:id="rId8"/>
    <sheet name="Ventas" sheetId="9" r:id="rId9"/>
    <sheet name="Marketing" sheetId="10" r:id="rId10"/>
    <sheet name="Customer_Success" sheetId="11" r:id="rId11"/>
    <sheet name="TRM" sheetId="12" r:id="rId12"/>
    <sheet name="TRM_Peru" sheetId="13" r:id="rId13"/>
    <sheet name="Calc_LTV_Fin" sheetId="14" r:id="rId14"/>
    <sheet name="Analisis_Churn" sheetId="15" r:id="rId15"/>
    <sheet name="Analisis_Reconciliacion" sheetId="16" r:id="rId16"/>
    <sheet name="CATALOGOS" sheetId="17" r:id="rId17"/>
    <sheet name="LOG" sheetId="18" r:id="rId18"/>
    <sheet name="Pipeline_Comercial" sheetId="19" r:id="rId19"/>
    <sheet name="EEFF_Resumen" sheetId="20" r:id="rId20"/>
    <sheet name="EEFF_COCO_Oficial" sheetId="21" r:id="rId21"/>
    <sheet name="EEFF_Balance" sheetId="22" r:id="rId22"/>
    <sheet name="EEFF_Resultados_YTD" sheetId="23" r:id="rId23"/>
    <sheet name="EEFF_Movimientos" sheetId="24" r:id="rId24"/>
    <sheet name="EEFF_Base_Homologada" sheetId="25" r:id="rId25"/>
    <sheet name="EEFF_Homologacion" sheetId="26" r:id="rId26"/>
    <sheet name="EEFF_Intercompanias" sheetId="27" r:id="rId27"/>
    <sheet name="EEFF_Alertas" sheetId="28" r:id="rId28"/>
    <sheet name="EEFF_Checks" sheetId="29" r:id="rId29"/>
    <sheet name="EEFF_Notas_COCO" sheetId="30" r:id="rId30"/>
    <sheet name="EEFF_Fuentes" sheetId="31" r:id="rId31"/>
    <sheet name="DB_README" sheetId="32" r:id="rId32"/>
    <sheet name="MAP_DASHBOARD_GASTOS" sheetId="33" r:id="rId33"/>
    <sheet name="BD_PYG_OFICIAL" sheetId="34" r:id="rId34"/>
    <sheet name="BD_GASTOS_HOMOLOGADOS" sheetId="35" r:id="rId35"/>
    <sheet name="BD_GASTOS_DASHBOARD_BRIDGE" sheetId="36" r:id="rId36"/>
    <sheet name="DB_CHECKS_ORGANIZACION" sheetId="37" r:id="rId37"/>
    <sheet name="BD_GASTOS_RESUMEN_MENSUAL" sheetId="38" r:id="rId3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4" l="1"/>
  <c r="B11" i="14"/>
  <c r="B13" i="14" s="1"/>
  <c r="M12" i="11"/>
  <c r="M11" i="11"/>
  <c r="M10" i="11"/>
  <c r="M9" i="11"/>
  <c r="M8" i="11"/>
  <c r="M7" i="11"/>
  <c r="M6" i="11"/>
  <c r="M5" i="11"/>
  <c r="M55" i="10"/>
  <c r="M54" i="10"/>
  <c r="M53" i="10"/>
  <c r="M52" i="10"/>
  <c r="M51" i="10"/>
  <c r="M50" i="10"/>
  <c r="M49" i="10"/>
  <c r="M48" i="10"/>
  <c r="I48" i="10"/>
  <c r="M47" i="10"/>
  <c r="M46" i="10"/>
  <c r="I46" i="10"/>
  <c r="M45" i="10"/>
  <c r="M44" i="10"/>
  <c r="M43" i="10"/>
  <c r="M42" i="10"/>
  <c r="M41" i="10"/>
  <c r="M40" i="10"/>
  <c r="M39" i="10"/>
  <c r="M38" i="10"/>
  <c r="M37" i="10"/>
  <c r="M36" i="10"/>
  <c r="M35" i="10"/>
  <c r="M34" i="10"/>
  <c r="M33" i="10"/>
  <c r="M32" i="10"/>
  <c r="M31" i="10"/>
  <c r="M30" i="10"/>
  <c r="M29" i="10"/>
  <c r="M28" i="10"/>
  <c r="M27" i="10"/>
  <c r="M26" i="10"/>
  <c r="M25" i="10"/>
  <c r="M24" i="10"/>
  <c r="M23" i="10"/>
  <c r="M22" i="10"/>
  <c r="M21" i="10"/>
  <c r="M20" i="10"/>
  <c r="M19" i="10"/>
  <c r="M18" i="10"/>
  <c r="M17" i="10"/>
  <c r="M16" i="10"/>
  <c r="M15" i="10"/>
  <c r="M14" i="10"/>
  <c r="M13" i="10"/>
  <c r="M12" i="10"/>
  <c r="M11" i="10"/>
  <c r="M10" i="10"/>
  <c r="M9" i="10"/>
  <c r="M8" i="10"/>
  <c r="M7" i="10"/>
  <c r="M6" i="10"/>
  <c r="M5" i="10"/>
  <c r="M64" i="9"/>
  <c r="M63" i="9"/>
  <c r="M62" i="9"/>
  <c r="M61" i="9"/>
  <c r="M60" i="9"/>
  <c r="M59" i="9"/>
  <c r="M58" i="9"/>
  <c r="M57" i="9"/>
  <c r="M56" i="9"/>
  <c r="M55" i="9"/>
  <c r="M54" i="9"/>
  <c r="M53" i="9"/>
  <c r="M52" i="9"/>
  <c r="M51" i="9"/>
  <c r="M50" i="9"/>
  <c r="M49" i="9"/>
  <c r="M48" i="9"/>
  <c r="M47" i="9"/>
  <c r="M46" i="9"/>
  <c r="M45" i="9"/>
  <c r="M44" i="9"/>
  <c r="M43" i="9"/>
  <c r="M42" i="9"/>
  <c r="M41" i="9"/>
  <c r="M40" i="9"/>
  <c r="M39" i="9"/>
  <c r="M38" i="9"/>
  <c r="M37" i="9"/>
  <c r="M36" i="9"/>
  <c r="M35" i="9"/>
  <c r="M34" i="9"/>
  <c r="M33" i="9"/>
  <c r="M32" i="9"/>
  <c r="M31" i="9"/>
  <c r="M30" i="9"/>
  <c r="M29" i="9"/>
  <c r="M28" i="9"/>
  <c r="M27" i="9"/>
  <c r="M26" i="9"/>
  <c r="M25" i="9"/>
  <c r="M24" i="9"/>
  <c r="M23" i="9"/>
  <c r="M22" i="9"/>
  <c r="M21" i="9"/>
  <c r="M20" i="9"/>
  <c r="M19" i="9"/>
  <c r="M18" i="9"/>
  <c r="M17" i="9"/>
  <c r="M16" i="9"/>
  <c r="M15" i="9"/>
  <c r="M14" i="9"/>
  <c r="M13" i="9"/>
  <c r="M12" i="9"/>
  <c r="M11" i="9"/>
  <c r="M10" i="9"/>
  <c r="M9" i="9"/>
  <c r="M8" i="9"/>
  <c r="M7" i="9"/>
  <c r="M6" i="9"/>
  <c r="M5" i="9"/>
  <c r="M5" i="8"/>
  <c r="M1006" i="7"/>
  <c r="M1005" i="7"/>
  <c r="M1004" i="7"/>
  <c r="M1003" i="7"/>
  <c r="M1002" i="7"/>
  <c r="M1001" i="7"/>
  <c r="M1000" i="7"/>
  <c r="M999" i="7"/>
  <c r="M998" i="7"/>
  <c r="M997" i="7"/>
  <c r="M996" i="7"/>
  <c r="M995" i="7"/>
  <c r="M994" i="7"/>
  <c r="M993" i="7"/>
  <c r="M992" i="7"/>
  <c r="M991" i="7"/>
  <c r="M990" i="7"/>
  <c r="M989" i="7"/>
  <c r="M988" i="7"/>
  <c r="M987" i="7"/>
  <c r="M986" i="7"/>
  <c r="M985" i="7"/>
  <c r="M984" i="7"/>
  <c r="M983" i="7"/>
  <c r="M982" i="7"/>
  <c r="M981" i="7"/>
  <c r="M980" i="7"/>
  <c r="M979" i="7"/>
  <c r="M978" i="7"/>
  <c r="M977" i="7"/>
  <c r="M976" i="7"/>
  <c r="M975" i="7"/>
  <c r="M974" i="7"/>
  <c r="M973" i="7"/>
  <c r="M972" i="7"/>
  <c r="M971" i="7"/>
  <c r="M970" i="7"/>
  <c r="M969" i="7"/>
  <c r="M968" i="7"/>
  <c r="M967" i="7"/>
  <c r="M966" i="7"/>
  <c r="M965" i="7"/>
  <c r="M964" i="7"/>
  <c r="M963" i="7"/>
  <c r="M962" i="7"/>
  <c r="M961" i="7"/>
  <c r="M960" i="7"/>
  <c r="M959" i="7"/>
  <c r="M958" i="7"/>
  <c r="M957" i="7"/>
  <c r="M956" i="7"/>
  <c r="M955" i="7"/>
  <c r="M954" i="7"/>
  <c r="M953" i="7"/>
  <c r="M952" i="7"/>
  <c r="M951" i="7"/>
  <c r="M950" i="7"/>
  <c r="M949" i="7"/>
  <c r="M948" i="7"/>
  <c r="M947" i="7"/>
  <c r="M946" i="7"/>
  <c r="M945" i="7"/>
  <c r="M944" i="7"/>
  <c r="M943" i="7"/>
  <c r="M942" i="7"/>
  <c r="M941" i="7"/>
  <c r="M940" i="7"/>
  <c r="M939" i="7"/>
  <c r="M938" i="7"/>
  <c r="M937" i="7"/>
  <c r="M936" i="7"/>
  <c r="M935" i="7"/>
  <c r="M934" i="7"/>
  <c r="M933" i="7"/>
  <c r="M932" i="7"/>
  <c r="M931" i="7"/>
  <c r="M930" i="7"/>
  <c r="M929" i="7"/>
  <c r="M928" i="7"/>
  <c r="M927" i="7"/>
  <c r="M926" i="7"/>
  <c r="M925" i="7"/>
  <c r="M924" i="7"/>
  <c r="M923" i="7"/>
  <c r="M922" i="7"/>
  <c r="M921" i="7"/>
  <c r="M920" i="7"/>
  <c r="M919" i="7"/>
  <c r="M918" i="7"/>
  <c r="M917" i="7"/>
  <c r="M916" i="7"/>
  <c r="M915" i="7"/>
  <c r="M914" i="7"/>
  <c r="M913" i="7"/>
  <c r="M912" i="7"/>
  <c r="M911" i="7"/>
  <c r="M910" i="7"/>
  <c r="M909" i="7"/>
  <c r="M908" i="7"/>
  <c r="M907" i="7"/>
  <c r="M906" i="7"/>
  <c r="M905" i="7"/>
  <c r="M904" i="7"/>
  <c r="M903" i="7"/>
  <c r="M902" i="7"/>
  <c r="M901" i="7"/>
  <c r="M900" i="7"/>
  <c r="M899" i="7"/>
  <c r="M898" i="7"/>
  <c r="M897" i="7"/>
  <c r="M896" i="7"/>
  <c r="M895" i="7"/>
  <c r="M894" i="7"/>
  <c r="M893" i="7"/>
  <c r="M892" i="7"/>
  <c r="M891" i="7"/>
  <c r="M890" i="7"/>
  <c r="M889" i="7"/>
  <c r="M888" i="7"/>
  <c r="M887" i="7"/>
  <c r="M886" i="7"/>
  <c r="M885" i="7"/>
  <c r="M884" i="7"/>
  <c r="M883" i="7"/>
  <c r="M882" i="7"/>
  <c r="M881" i="7"/>
  <c r="M880" i="7"/>
  <c r="M879" i="7"/>
  <c r="M878" i="7"/>
  <c r="M877" i="7"/>
  <c r="M876" i="7"/>
  <c r="M875" i="7"/>
  <c r="M874" i="7"/>
  <c r="M873" i="7"/>
  <c r="M872" i="7"/>
  <c r="M871" i="7"/>
  <c r="M870" i="7"/>
  <c r="M869" i="7"/>
  <c r="M868" i="7"/>
  <c r="M867" i="7"/>
  <c r="M866" i="7"/>
  <c r="M865" i="7"/>
  <c r="M864" i="7"/>
  <c r="M863" i="7"/>
  <c r="M862" i="7"/>
  <c r="M861" i="7"/>
  <c r="M860" i="7"/>
  <c r="M859" i="7"/>
  <c r="M858" i="7"/>
  <c r="M857" i="7"/>
  <c r="M856" i="7"/>
  <c r="M855" i="7"/>
  <c r="M854" i="7"/>
  <c r="M853" i="7"/>
  <c r="M852" i="7"/>
  <c r="M851" i="7"/>
  <c r="M850" i="7"/>
  <c r="M849" i="7"/>
  <c r="M848" i="7"/>
  <c r="M847" i="7"/>
  <c r="M846" i="7"/>
  <c r="M845" i="7"/>
  <c r="M844" i="7"/>
  <c r="M843" i="7"/>
  <c r="M842" i="7"/>
  <c r="M841" i="7"/>
  <c r="M840" i="7"/>
  <c r="M839" i="7"/>
  <c r="M838" i="7"/>
  <c r="M837" i="7"/>
  <c r="M836" i="7"/>
  <c r="M835" i="7"/>
  <c r="M834" i="7"/>
  <c r="M833" i="7"/>
  <c r="M832" i="7"/>
  <c r="M831" i="7"/>
  <c r="M830" i="7"/>
  <c r="M829" i="7"/>
  <c r="M828" i="7"/>
  <c r="M827" i="7"/>
  <c r="M826" i="7"/>
  <c r="M825" i="7"/>
  <c r="M824" i="7"/>
  <c r="M823" i="7"/>
  <c r="M822" i="7"/>
  <c r="M821" i="7"/>
  <c r="M820" i="7"/>
  <c r="M819" i="7"/>
  <c r="M818" i="7"/>
  <c r="M817" i="7"/>
  <c r="M816" i="7"/>
  <c r="M815" i="7"/>
  <c r="M814" i="7"/>
  <c r="M813" i="7"/>
  <c r="M812" i="7"/>
  <c r="M811" i="7"/>
  <c r="M810" i="7"/>
  <c r="M809" i="7"/>
  <c r="M808" i="7"/>
  <c r="M807" i="7"/>
  <c r="M806" i="7"/>
  <c r="M805" i="7"/>
  <c r="M804" i="7"/>
  <c r="M803" i="7"/>
  <c r="M802" i="7"/>
  <c r="M801" i="7"/>
  <c r="M800" i="7"/>
  <c r="M799" i="7"/>
  <c r="M798" i="7"/>
  <c r="M797" i="7"/>
  <c r="M796" i="7"/>
  <c r="M795" i="7"/>
  <c r="M794" i="7"/>
  <c r="M793" i="7"/>
  <c r="M792" i="7"/>
  <c r="M791" i="7"/>
  <c r="M790" i="7"/>
  <c r="M789" i="7"/>
  <c r="M788" i="7"/>
  <c r="M787" i="7"/>
  <c r="M786" i="7"/>
  <c r="M785" i="7"/>
  <c r="M784" i="7"/>
  <c r="M783" i="7"/>
  <c r="M782" i="7"/>
  <c r="M781" i="7"/>
  <c r="M780" i="7"/>
  <c r="M779" i="7"/>
  <c r="M778" i="7"/>
  <c r="M777" i="7"/>
  <c r="M776" i="7"/>
  <c r="M775" i="7"/>
  <c r="M774" i="7"/>
  <c r="M773" i="7"/>
  <c r="M772" i="7"/>
  <c r="M771" i="7"/>
  <c r="M770" i="7"/>
  <c r="M769" i="7"/>
  <c r="M768" i="7"/>
  <c r="M767" i="7"/>
  <c r="M766" i="7"/>
  <c r="M765" i="7"/>
  <c r="M764" i="7"/>
  <c r="M763" i="7"/>
  <c r="M762" i="7"/>
  <c r="M761" i="7"/>
  <c r="M760" i="7"/>
  <c r="M759" i="7"/>
  <c r="M758" i="7"/>
  <c r="M757" i="7"/>
  <c r="M756" i="7"/>
  <c r="M755" i="7"/>
  <c r="M754" i="7"/>
  <c r="M753" i="7"/>
  <c r="M752" i="7"/>
  <c r="M751" i="7"/>
  <c r="M750" i="7"/>
  <c r="M749" i="7"/>
  <c r="M748" i="7"/>
  <c r="M747" i="7"/>
  <c r="M746" i="7"/>
  <c r="M745" i="7"/>
  <c r="M744" i="7"/>
  <c r="M743" i="7"/>
  <c r="M742" i="7"/>
  <c r="M741" i="7"/>
  <c r="M740" i="7"/>
  <c r="M739" i="7"/>
  <c r="M738" i="7"/>
  <c r="M737" i="7"/>
  <c r="M736" i="7"/>
  <c r="M735" i="7"/>
  <c r="M734" i="7"/>
  <c r="M733" i="7"/>
  <c r="M732" i="7"/>
  <c r="M731" i="7"/>
  <c r="M730" i="7"/>
  <c r="M729" i="7"/>
  <c r="M728" i="7"/>
  <c r="M727" i="7"/>
  <c r="M726" i="7"/>
  <c r="M725" i="7"/>
  <c r="M724" i="7"/>
  <c r="M723" i="7"/>
  <c r="M722" i="7"/>
  <c r="M721" i="7"/>
  <c r="M720" i="7"/>
  <c r="M719" i="7"/>
  <c r="M718" i="7"/>
  <c r="M717" i="7"/>
  <c r="M716" i="7"/>
  <c r="M715" i="7"/>
  <c r="M714" i="7"/>
  <c r="M713" i="7"/>
  <c r="M712" i="7"/>
  <c r="M711" i="7"/>
  <c r="M710" i="7"/>
  <c r="M709" i="7"/>
  <c r="M708" i="7"/>
  <c r="M707" i="7"/>
  <c r="M706" i="7"/>
  <c r="M705" i="7"/>
  <c r="M704" i="7"/>
  <c r="M703" i="7"/>
  <c r="M702" i="7"/>
  <c r="M701" i="7"/>
  <c r="M700" i="7"/>
  <c r="M699" i="7"/>
  <c r="M698" i="7"/>
  <c r="M697" i="7"/>
  <c r="M696" i="7"/>
  <c r="M695" i="7"/>
  <c r="M694" i="7"/>
  <c r="M693" i="7"/>
  <c r="M692" i="7"/>
  <c r="M691" i="7"/>
  <c r="M690" i="7"/>
  <c r="M689" i="7"/>
  <c r="M688" i="7"/>
  <c r="M687" i="7"/>
  <c r="M686" i="7"/>
  <c r="M685" i="7"/>
  <c r="M684" i="7"/>
  <c r="M683" i="7"/>
  <c r="M682" i="7"/>
  <c r="M681" i="7"/>
  <c r="M680" i="7"/>
  <c r="M679" i="7"/>
  <c r="M678" i="7"/>
  <c r="M677" i="7"/>
  <c r="M676" i="7"/>
  <c r="M675" i="7"/>
  <c r="M674" i="7"/>
  <c r="M673" i="7"/>
  <c r="M672" i="7"/>
  <c r="M671" i="7"/>
  <c r="M670" i="7"/>
  <c r="M669" i="7"/>
  <c r="M668" i="7"/>
  <c r="M667" i="7"/>
  <c r="M666" i="7"/>
  <c r="M665" i="7"/>
  <c r="M664" i="7"/>
  <c r="M663" i="7"/>
  <c r="M662" i="7"/>
  <c r="M661" i="7"/>
  <c r="M660" i="7"/>
  <c r="M659" i="7"/>
  <c r="M658" i="7"/>
  <c r="M657" i="7"/>
  <c r="M656" i="7"/>
  <c r="M655" i="7"/>
  <c r="M654" i="7"/>
  <c r="M653" i="7"/>
  <c r="M652" i="7"/>
  <c r="M651" i="7"/>
  <c r="M650" i="7"/>
  <c r="M649" i="7"/>
  <c r="M648" i="7"/>
  <c r="M647" i="7"/>
  <c r="M646" i="7"/>
  <c r="M645" i="7"/>
  <c r="M644" i="7"/>
  <c r="M643" i="7"/>
  <c r="M642" i="7"/>
  <c r="M641" i="7"/>
  <c r="M640" i="7"/>
  <c r="M639" i="7"/>
  <c r="M638" i="7"/>
  <c r="M637" i="7"/>
  <c r="M636" i="7"/>
  <c r="M635" i="7"/>
  <c r="M634" i="7"/>
  <c r="M633" i="7"/>
  <c r="M632" i="7"/>
  <c r="M631" i="7"/>
  <c r="M630" i="7"/>
  <c r="M629" i="7"/>
  <c r="M628" i="7"/>
  <c r="M627" i="7"/>
  <c r="M626" i="7"/>
  <c r="M625" i="7"/>
  <c r="M624" i="7"/>
  <c r="M623" i="7"/>
  <c r="M622" i="7"/>
  <c r="M621" i="7"/>
  <c r="M620" i="7"/>
  <c r="M619" i="7"/>
  <c r="M618" i="7"/>
  <c r="M617" i="7"/>
  <c r="M616" i="7"/>
  <c r="M615" i="7"/>
  <c r="M614" i="7"/>
  <c r="M613" i="7"/>
  <c r="M612" i="7"/>
  <c r="M611" i="7"/>
  <c r="M610" i="7"/>
  <c r="M609" i="7"/>
  <c r="M608" i="7"/>
  <c r="M607" i="7"/>
  <c r="M606" i="7"/>
  <c r="M605" i="7"/>
  <c r="M604" i="7"/>
  <c r="M603" i="7"/>
  <c r="M602" i="7"/>
  <c r="M601" i="7"/>
  <c r="M600" i="7"/>
  <c r="M599" i="7"/>
  <c r="M598" i="7"/>
  <c r="M597" i="7"/>
  <c r="M596" i="7"/>
  <c r="M595" i="7"/>
  <c r="M594" i="7"/>
  <c r="M593" i="7"/>
  <c r="M592" i="7"/>
  <c r="M591" i="7"/>
  <c r="M590" i="7"/>
  <c r="M589" i="7"/>
  <c r="M588" i="7"/>
  <c r="M587" i="7"/>
  <c r="M586" i="7"/>
  <c r="M585" i="7"/>
  <c r="M584" i="7"/>
  <c r="M583" i="7"/>
  <c r="M582" i="7"/>
  <c r="M581" i="7"/>
  <c r="M580" i="7"/>
  <c r="M579" i="7"/>
  <c r="M578" i="7"/>
  <c r="M577" i="7"/>
  <c r="M576" i="7"/>
  <c r="M575" i="7"/>
  <c r="M574" i="7"/>
  <c r="M573" i="7"/>
  <c r="M572" i="7"/>
  <c r="M571" i="7"/>
  <c r="M570" i="7"/>
  <c r="M569" i="7"/>
  <c r="M568" i="7"/>
  <c r="M567" i="7"/>
  <c r="M566" i="7"/>
  <c r="M565" i="7"/>
  <c r="M564" i="7"/>
  <c r="M563" i="7"/>
  <c r="M562" i="7"/>
  <c r="M561" i="7"/>
  <c r="M560" i="7"/>
  <c r="M559" i="7"/>
  <c r="M558" i="7"/>
  <c r="M557" i="7"/>
  <c r="M556" i="7"/>
  <c r="M555" i="7"/>
  <c r="M554" i="7"/>
  <c r="M553" i="7"/>
  <c r="M552" i="7"/>
  <c r="M551" i="7"/>
  <c r="M550" i="7"/>
  <c r="M549" i="7"/>
  <c r="M548" i="7"/>
  <c r="M547" i="7"/>
  <c r="M546" i="7"/>
  <c r="M545" i="7"/>
  <c r="M544" i="7"/>
  <c r="M543" i="7"/>
  <c r="M542" i="7"/>
  <c r="M541" i="7"/>
  <c r="M540" i="7"/>
  <c r="M539" i="7"/>
  <c r="M538" i="7"/>
  <c r="M537" i="7"/>
  <c r="M536" i="7"/>
  <c r="M535" i="7"/>
  <c r="M534" i="7"/>
  <c r="M533" i="7"/>
  <c r="M532" i="7"/>
  <c r="M531" i="7"/>
  <c r="M530" i="7"/>
  <c r="M529" i="7"/>
  <c r="M528" i="7"/>
  <c r="M527" i="7"/>
  <c r="M526" i="7"/>
  <c r="M525" i="7"/>
  <c r="M524" i="7"/>
  <c r="M523" i="7"/>
  <c r="M522" i="7"/>
  <c r="M521" i="7"/>
  <c r="M520" i="7"/>
  <c r="M519" i="7"/>
  <c r="M518" i="7"/>
  <c r="M517" i="7"/>
  <c r="M516" i="7"/>
  <c r="M515" i="7"/>
  <c r="M514" i="7"/>
  <c r="M513" i="7"/>
  <c r="M512" i="7"/>
  <c r="M511" i="7"/>
  <c r="M510" i="7"/>
  <c r="M509" i="7"/>
  <c r="M508" i="7"/>
  <c r="M507" i="7"/>
  <c r="M506" i="7"/>
  <c r="M505" i="7"/>
  <c r="M504" i="7"/>
  <c r="M503" i="7"/>
  <c r="M502" i="7"/>
  <c r="M501" i="7"/>
  <c r="M500" i="7"/>
  <c r="M499" i="7"/>
  <c r="M498" i="7"/>
  <c r="M497" i="7"/>
  <c r="M496" i="7"/>
  <c r="M495" i="7"/>
  <c r="M494" i="7"/>
  <c r="M493" i="7"/>
  <c r="M492" i="7"/>
  <c r="M491" i="7"/>
  <c r="M490" i="7"/>
  <c r="M489" i="7"/>
  <c r="M488" i="7"/>
  <c r="M487" i="7"/>
  <c r="M486" i="7"/>
  <c r="M485" i="7"/>
  <c r="M484" i="7"/>
  <c r="M483" i="7"/>
  <c r="M482" i="7"/>
  <c r="M481" i="7"/>
  <c r="M480" i="7"/>
  <c r="M479" i="7"/>
  <c r="M478" i="7"/>
  <c r="M477" i="7"/>
  <c r="M476" i="7"/>
  <c r="M475" i="7"/>
  <c r="M474" i="7"/>
  <c r="M473" i="7"/>
  <c r="M472" i="7"/>
  <c r="M471" i="7"/>
  <c r="M470" i="7"/>
  <c r="M469" i="7"/>
  <c r="M468" i="7"/>
  <c r="M467" i="7"/>
  <c r="M466" i="7"/>
  <c r="M465" i="7"/>
  <c r="M464" i="7"/>
  <c r="M463" i="7"/>
  <c r="M462" i="7"/>
  <c r="M461" i="7"/>
  <c r="M460" i="7"/>
  <c r="M459" i="7"/>
  <c r="M458" i="7"/>
  <c r="M457" i="7"/>
  <c r="M456" i="7"/>
  <c r="M455" i="7"/>
  <c r="M454" i="7"/>
  <c r="M453" i="7"/>
  <c r="M452" i="7"/>
  <c r="M451" i="7"/>
  <c r="M450" i="7"/>
  <c r="M449" i="7"/>
  <c r="M448" i="7"/>
  <c r="M447" i="7"/>
  <c r="M446" i="7"/>
  <c r="M445" i="7"/>
  <c r="M444" i="7"/>
  <c r="M443" i="7"/>
  <c r="M442" i="7"/>
  <c r="M441" i="7"/>
  <c r="M440" i="7"/>
  <c r="M439" i="7"/>
  <c r="M438" i="7"/>
  <c r="M437" i="7"/>
  <c r="M436" i="7"/>
  <c r="M435" i="7"/>
  <c r="M434" i="7"/>
  <c r="M433" i="7"/>
  <c r="M432" i="7"/>
  <c r="M431" i="7"/>
  <c r="M430" i="7"/>
  <c r="M429" i="7"/>
  <c r="M428" i="7"/>
  <c r="M427" i="7"/>
  <c r="M426" i="7"/>
  <c r="M425" i="7"/>
  <c r="M424" i="7"/>
  <c r="M423" i="7"/>
  <c r="M422" i="7"/>
  <c r="M421" i="7"/>
  <c r="M420" i="7"/>
  <c r="M419" i="7"/>
  <c r="M418" i="7"/>
  <c r="M417" i="7"/>
  <c r="M416" i="7"/>
  <c r="M415" i="7"/>
  <c r="M414" i="7"/>
  <c r="M413" i="7"/>
  <c r="M412" i="7"/>
  <c r="M411" i="7"/>
  <c r="M410" i="7"/>
  <c r="M409" i="7"/>
  <c r="M408" i="7"/>
  <c r="M407" i="7"/>
  <c r="M406" i="7"/>
  <c r="M405" i="7"/>
  <c r="M404" i="7"/>
  <c r="M403" i="7"/>
  <c r="M402" i="7"/>
  <c r="M401" i="7"/>
  <c r="M400" i="7"/>
  <c r="M399" i="7"/>
  <c r="M398" i="7"/>
  <c r="M397" i="7"/>
  <c r="M396" i="7"/>
  <c r="M395" i="7"/>
  <c r="M394" i="7"/>
  <c r="M393" i="7"/>
  <c r="M392" i="7"/>
  <c r="M391" i="7"/>
  <c r="M390" i="7"/>
  <c r="M389" i="7"/>
  <c r="M388" i="7"/>
  <c r="M387" i="7"/>
  <c r="M386" i="7"/>
  <c r="M385" i="7"/>
  <c r="M384" i="7"/>
  <c r="M383" i="7"/>
  <c r="M382" i="7"/>
  <c r="M381" i="7"/>
  <c r="M380" i="7"/>
  <c r="M379" i="7"/>
  <c r="M378" i="7"/>
  <c r="M377" i="7"/>
  <c r="M376" i="7"/>
  <c r="M375" i="7"/>
  <c r="M374" i="7"/>
  <c r="M373" i="7"/>
  <c r="M372" i="7"/>
  <c r="M371" i="7"/>
  <c r="M370" i="7"/>
  <c r="M369" i="7"/>
  <c r="M368" i="7"/>
  <c r="M367" i="7"/>
  <c r="M366" i="7"/>
  <c r="M365" i="7"/>
  <c r="M364" i="7"/>
  <c r="M363" i="7"/>
  <c r="M362" i="7"/>
  <c r="M361" i="7"/>
  <c r="M360" i="7"/>
  <c r="M359" i="7"/>
  <c r="M358" i="7"/>
  <c r="M357" i="7"/>
  <c r="M356" i="7"/>
  <c r="M355" i="7"/>
  <c r="M354" i="7"/>
  <c r="M353" i="7"/>
  <c r="M352" i="7"/>
  <c r="M351" i="7"/>
  <c r="M350" i="7"/>
  <c r="M349" i="7"/>
  <c r="M348" i="7"/>
  <c r="M347" i="7"/>
  <c r="M346" i="7"/>
  <c r="M345" i="7"/>
  <c r="M344" i="7"/>
  <c r="M343" i="7"/>
  <c r="M342" i="7"/>
  <c r="M341" i="7"/>
  <c r="M340" i="7"/>
  <c r="M339" i="7"/>
  <c r="M338" i="7"/>
  <c r="M337" i="7"/>
  <c r="M336" i="7"/>
  <c r="M335" i="7"/>
  <c r="M334" i="7"/>
  <c r="M333" i="7"/>
  <c r="M332" i="7"/>
  <c r="M331" i="7"/>
  <c r="M330" i="7"/>
  <c r="M329" i="7"/>
  <c r="M328" i="7"/>
  <c r="M327" i="7"/>
  <c r="M326" i="7"/>
  <c r="M325" i="7"/>
  <c r="M324" i="7"/>
  <c r="M323" i="7"/>
  <c r="M322" i="7"/>
  <c r="M321" i="7"/>
  <c r="M320" i="7"/>
  <c r="M319" i="7"/>
  <c r="M318" i="7"/>
  <c r="M317" i="7"/>
  <c r="M316" i="7"/>
  <c r="M315" i="7"/>
  <c r="M314" i="7"/>
  <c r="M313" i="7"/>
  <c r="M312" i="7"/>
  <c r="M311" i="7"/>
  <c r="M310" i="7"/>
  <c r="M309" i="7"/>
  <c r="M308" i="7"/>
  <c r="M307" i="7"/>
  <c r="M306" i="7"/>
  <c r="M305" i="7"/>
  <c r="M304" i="7"/>
  <c r="M303" i="7"/>
  <c r="M302" i="7"/>
  <c r="M301" i="7"/>
  <c r="M300" i="7"/>
  <c r="M299" i="7"/>
  <c r="M298" i="7"/>
  <c r="M297" i="7"/>
  <c r="M296" i="7"/>
  <c r="M295" i="7"/>
  <c r="M294" i="7"/>
  <c r="M293" i="7"/>
  <c r="M292" i="7"/>
  <c r="M291" i="7"/>
  <c r="M290" i="7"/>
  <c r="M289" i="7"/>
  <c r="M288" i="7"/>
  <c r="M287" i="7"/>
  <c r="M286" i="7"/>
  <c r="M285" i="7"/>
  <c r="M284" i="7"/>
  <c r="M283" i="7"/>
  <c r="M282" i="7"/>
  <c r="M281" i="7"/>
  <c r="M280" i="7"/>
  <c r="M279" i="7"/>
  <c r="M278" i="7"/>
  <c r="M277" i="7"/>
  <c r="M276" i="7"/>
  <c r="M275" i="7"/>
  <c r="M274" i="7"/>
  <c r="M273" i="7"/>
  <c r="M272" i="7"/>
  <c r="M271" i="7"/>
  <c r="M270" i="7"/>
  <c r="M269" i="7"/>
  <c r="M268" i="7"/>
  <c r="M267" i="7"/>
  <c r="M266" i="7"/>
  <c r="M265" i="7"/>
  <c r="M264" i="7"/>
  <c r="M263" i="7"/>
  <c r="M262" i="7"/>
  <c r="M261" i="7"/>
  <c r="M260" i="7"/>
  <c r="M259" i="7"/>
  <c r="M258" i="7"/>
  <c r="M257" i="7"/>
  <c r="M256" i="7"/>
  <c r="M255" i="7"/>
  <c r="M254" i="7"/>
  <c r="M253" i="7"/>
  <c r="M252" i="7"/>
  <c r="M251" i="7"/>
  <c r="M250" i="7"/>
  <c r="M249" i="7"/>
  <c r="M248" i="7"/>
  <c r="M247" i="7"/>
  <c r="M246" i="7"/>
  <c r="M245" i="7"/>
  <c r="M244" i="7"/>
  <c r="M243" i="7"/>
  <c r="M242" i="7"/>
  <c r="M241" i="7"/>
  <c r="M240" i="7"/>
  <c r="M239" i="7"/>
  <c r="M238" i="7"/>
  <c r="M237" i="7"/>
  <c r="M236" i="7"/>
  <c r="M235" i="7"/>
  <c r="M234" i="7"/>
  <c r="M233" i="7"/>
  <c r="M232" i="7"/>
  <c r="M231" i="7"/>
  <c r="M230" i="7"/>
  <c r="M229" i="7"/>
  <c r="M228" i="7"/>
  <c r="M227" i="7"/>
  <c r="M226" i="7"/>
  <c r="M225" i="7"/>
  <c r="M224" i="7"/>
  <c r="M223" i="7"/>
  <c r="M222" i="7"/>
  <c r="M221" i="7"/>
  <c r="M220" i="7"/>
  <c r="M219" i="7"/>
  <c r="M218" i="7"/>
  <c r="M217" i="7"/>
  <c r="M216" i="7"/>
  <c r="M215" i="7"/>
  <c r="M214" i="7"/>
  <c r="M213" i="7"/>
  <c r="M212" i="7"/>
  <c r="M211" i="7"/>
  <c r="M210" i="7"/>
  <c r="M209" i="7"/>
  <c r="M208" i="7"/>
  <c r="M207" i="7"/>
  <c r="M206" i="7"/>
  <c r="M205" i="7"/>
  <c r="M204" i="7"/>
  <c r="M203" i="7"/>
  <c r="M202" i="7"/>
  <c r="M201" i="7"/>
  <c r="M200" i="7"/>
  <c r="M199" i="7"/>
  <c r="M198" i="7"/>
  <c r="M197" i="7"/>
  <c r="M196" i="7"/>
  <c r="M195" i="7"/>
  <c r="M194" i="7"/>
  <c r="M193" i="7"/>
  <c r="M192" i="7"/>
  <c r="M191" i="7"/>
  <c r="M190" i="7"/>
  <c r="M189" i="7"/>
  <c r="M188" i="7"/>
  <c r="M187" i="7"/>
  <c r="M186" i="7"/>
  <c r="M185" i="7"/>
  <c r="M184" i="7"/>
  <c r="M183" i="7"/>
  <c r="M182" i="7"/>
  <c r="M181" i="7"/>
  <c r="M180" i="7"/>
  <c r="M179" i="7"/>
  <c r="M178" i="7"/>
  <c r="M177" i="7"/>
  <c r="M176" i="7"/>
  <c r="M175" i="7"/>
  <c r="M174" i="7"/>
  <c r="M173" i="7"/>
  <c r="M172" i="7"/>
  <c r="M171" i="7"/>
  <c r="M170" i="7"/>
  <c r="M169" i="7"/>
  <c r="M168" i="7"/>
  <c r="M167" i="7"/>
  <c r="M166" i="7"/>
  <c r="M165" i="7"/>
  <c r="M164" i="7"/>
  <c r="M163" i="7"/>
  <c r="M162" i="7"/>
  <c r="M161" i="7"/>
  <c r="M160" i="7"/>
  <c r="M159" i="7"/>
  <c r="M158" i="7"/>
  <c r="M157" i="7"/>
  <c r="M156" i="7"/>
  <c r="M155" i="7"/>
  <c r="M154" i="7"/>
  <c r="M153" i="7"/>
  <c r="M152" i="7"/>
  <c r="M151" i="7"/>
  <c r="M150" i="7"/>
  <c r="M149" i="7"/>
  <c r="M148" i="7"/>
  <c r="M147" i="7"/>
  <c r="M146" i="7"/>
  <c r="M145" i="7"/>
  <c r="M144" i="7"/>
  <c r="M143" i="7"/>
  <c r="M142" i="7"/>
  <c r="M141" i="7"/>
  <c r="M140" i="7"/>
  <c r="M139" i="7"/>
  <c r="M138" i="7"/>
  <c r="M137" i="7"/>
  <c r="M136" i="7"/>
  <c r="M135" i="7"/>
  <c r="M134" i="7"/>
  <c r="M133" i="7"/>
  <c r="M132" i="7"/>
  <c r="M131" i="7"/>
  <c r="M130" i="7"/>
  <c r="M129" i="7"/>
  <c r="M128" i="7"/>
  <c r="M127" i="7"/>
  <c r="M126" i="7"/>
  <c r="M125" i="7"/>
  <c r="M124" i="7"/>
  <c r="M123" i="7"/>
  <c r="M122" i="7"/>
  <c r="M121" i="7"/>
  <c r="M120" i="7"/>
  <c r="M119" i="7"/>
  <c r="M118" i="7"/>
  <c r="M117" i="7"/>
  <c r="M116" i="7"/>
  <c r="M115" i="7"/>
  <c r="M114" i="7"/>
  <c r="M113" i="7"/>
  <c r="M112" i="7"/>
  <c r="M111" i="7"/>
  <c r="M110" i="7"/>
  <c r="M109" i="7"/>
  <c r="M108" i="7"/>
  <c r="M107" i="7"/>
  <c r="M106" i="7"/>
  <c r="M105" i="7"/>
  <c r="M104" i="7"/>
  <c r="M103" i="7"/>
  <c r="M102" i="7"/>
  <c r="M101" i="7"/>
  <c r="M100" i="7"/>
  <c r="M99" i="7"/>
  <c r="M98" i="7"/>
  <c r="M97" i="7"/>
  <c r="M96" i="7"/>
  <c r="M95" i="7"/>
  <c r="M94" i="7"/>
  <c r="M93" i="7"/>
  <c r="M92" i="7"/>
  <c r="M91" i="7"/>
  <c r="M90" i="7"/>
  <c r="M89" i="7"/>
  <c r="M88" i="7"/>
  <c r="M87" i="7"/>
  <c r="M86" i="7"/>
  <c r="M85" i="7"/>
  <c r="M84" i="7"/>
  <c r="M83" i="7"/>
  <c r="M82" i="7"/>
  <c r="M81" i="7"/>
  <c r="M80" i="7"/>
  <c r="M79" i="7"/>
  <c r="M78" i="7"/>
  <c r="M77" i="7"/>
  <c r="M76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62" i="7"/>
  <c r="M61" i="7"/>
  <c r="M60" i="7"/>
  <c r="M59" i="7"/>
  <c r="M58" i="7"/>
  <c r="M57" i="7"/>
  <c r="M56" i="7"/>
  <c r="M55" i="7"/>
  <c r="M54" i="7"/>
  <c r="M53" i="7"/>
  <c r="M52" i="7"/>
  <c r="M51" i="7"/>
  <c r="M50" i="7"/>
  <c r="M49" i="7"/>
  <c r="M48" i="7"/>
  <c r="M47" i="7"/>
  <c r="M46" i="7"/>
  <c r="M45" i="7"/>
  <c r="M44" i="7"/>
  <c r="M43" i="7"/>
  <c r="M42" i="7"/>
  <c r="M41" i="7"/>
  <c r="M40" i="7"/>
  <c r="M39" i="7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M5" i="7"/>
  <c r="M186" i="6"/>
  <c r="M185" i="6"/>
  <c r="M184" i="6"/>
  <c r="M183" i="6"/>
  <c r="M182" i="6"/>
  <c r="M181" i="6"/>
  <c r="M180" i="6"/>
  <c r="M179" i="6"/>
  <c r="M178" i="6"/>
  <c r="M177" i="6"/>
  <c r="M176" i="6"/>
  <c r="M175" i="6"/>
  <c r="M174" i="6"/>
  <c r="M173" i="6"/>
  <c r="M172" i="6"/>
  <c r="M171" i="6"/>
  <c r="M170" i="6"/>
  <c r="M169" i="6"/>
  <c r="M168" i="6"/>
  <c r="M167" i="6"/>
  <c r="M166" i="6"/>
  <c r="M165" i="6"/>
  <c r="M164" i="6"/>
  <c r="M163" i="6"/>
  <c r="M162" i="6"/>
  <c r="M161" i="6"/>
  <c r="M160" i="6"/>
  <c r="M159" i="6"/>
  <c r="M158" i="6"/>
  <c r="M157" i="6"/>
  <c r="M156" i="6"/>
  <c r="M155" i="6"/>
  <c r="M154" i="6"/>
  <c r="M153" i="6"/>
  <c r="M152" i="6"/>
  <c r="M151" i="6"/>
  <c r="M150" i="6"/>
  <c r="M149" i="6"/>
  <c r="M148" i="6"/>
  <c r="M147" i="6"/>
  <c r="M146" i="6"/>
  <c r="M145" i="6"/>
  <c r="M144" i="6"/>
  <c r="M143" i="6"/>
  <c r="M142" i="6"/>
  <c r="M141" i="6"/>
  <c r="M140" i="6"/>
  <c r="M139" i="6"/>
  <c r="M138" i="6"/>
  <c r="M137" i="6"/>
  <c r="M136" i="6"/>
  <c r="M135" i="6"/>
  <c r="M134" i="6"/>
  <c r="M133" i="6"/>
  <c r="M132" i="6"/>
  <c r="M131" i="6"/>
  <c r="M130" i="6"/>
  <c r="M129" i="6"/>
  <c r="M128" i="6"/>
  <c r="M127" i="6"/>
  <c r="M126" i="6"/>
  <c r="M125" i="6"/>
  <c r="M124" i="6"/>
  <c r="M123" i="6"/>
  <c r="M122" i="6"/>
  <c r="M121" i="6"/>
  <c r="M120" i="6"/>
  <c r="M119" i="6"/>
  <c r="M118" i="6"/>
  <c r="M117" i="6"/>
  <c r="M116" i="6"/>
  <c r="M115" i="6"/>
  <c r="M114" i="6"/>
  <c r="M113" i="6"/>
  <c r="M112" i="6"/>
  <c r="M111" i="6"/>
  <c r="M110" i="6"/>
  <c r="M109" i="6"/>
  <c r="M108" i="6"/>
  <c r="M107" i="6"/>
  <c r="M106" i="6"/>
  <c r="M105" i="6"/>
  <c r="M104" i="6"/>
  <c r="M103" i="6"/>
  <c r="M102" i="6"/>
  <c r="M101" i="6"/>
  <c r="M100" i="6"/>
  <c r="M99" i="6"/>
  <c r="M98" i="6"/>
  <c r="M97" i="6"/>
  <c r="M96" i="6"/>
  <c r="M95" i="6"/>
  <c r="M94" i="6"/>
  <c r="M93" i="6"/>
  <c r="M92" i="6"/>
  <c r="M91" i="6"/>
  <c r="M90" i="6"/>
  <c r="M89" i="6"/>
  <c r="M88" i="6"/>
  <c r="M87" i="6"/>
  <c r="M86" i="6"/>
  <c r="M85" i="6"/>
  <c r="M84" i="6"/>
  <c r="M83" i="6"/>
  <c r="M82" i="6"/>
  <c r="M81" i="6"/>
  <c r="M80" i="6"/>
  <c r="M79" i="6"/>
  <c r="M78" i="6"/>
  <c r="M77" i="6"/>
  <c r="M76" i="6"/>
  <c r="M75" i="6"/>
  <c r="M74" i="6"/>
  <c r="M73" i="6"/>
  <c r="M72" i="6"/>
  <c r="M71" i="6"/>
  <c r="M70" i="6"/>
  <c r="M69" i="6"/>
  <c r="M68" i="6"/>
  <c r="M67" i="6"/>
  <c r="M66" i="6"/>
  <c r="M65" i="6"/>
  <c r="M64" i="6"/>
  <c r="M63" i="6"/>
  <c r="M62" i="6"/>
  <c r="M61" i="6"/>
  <c r="M60" i="6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A16" i="3"/>
  <c r="A13" i="3"/>
  <c r="A9" i="3"/>
  <c r="A7" i="3"/>
  <c r="N1307" i="2"/>
  <c r="M1307" i="2"/>
  <c r="L1307" i="2"/>
  <c r="N1306" i="2"/>
  <c r="M1306" i="2"/>
  <c r="L1306" i="2"/>
  <c r="N1305" i="2"/>
  <c r="M1305" i="2"/>
  <c r="L1305" i="2"/>
  <c r="N1304" i="2"/>
  <c r="M1304" i="2"/>
  <c r="L1304" i="2"/>
  <c r="N1303" i="2"/>
  <c r="M1303" i="2"/>
  <c r="L1303" i="2"/>
  <c r="N1302" i="2"/>
  <c r="M1302" i="2"/>
  <c r="L1302" i="2"/>
  <c r="N1301" i="2"/>
  <c r="M1301" i="2"/>
  <c r="L1301" i="2"/>
  <c r="N1300" i="2"/>
  <c r="M1300" i="2"/>
  <c r="L1300" i="2"/>
  <c r="N1299" i="2"/>
  <c r="M1299" i="2"/>
  <c r="L1299" i="2"/>
  <c r="N1298" i="2"/>
  <c r="M1298" i="2"/>
  <c r="L1298" i="2"/>
  <c r="N1297" i="2"/>
  <c r="M1297" i="2"/>
  <c r="L1297" i="2"/>
  <c r="N1296" i="2"/>
  <c r="M1296" i="2"/>
  <c r="L1296" i="2"/>
  <c r="N1295" i="2"/>
  <c r="M1295" i="2"/>
  <c r="L1295" i="2"/>
  <c r="N1294" i="2"/>
  <c r="M1294" i="2"/>
  <c r="L1294" i="2"/>
  <c r="N1293" i="2"/>
  <c r="M1293" i="2"/>
  <c r="L1293" i="2"/>
  <c r="N1292" i="2"/>
  <c r="M1292" i="2"/>
  <c r="L1292" i="2"/>
  <c r="N1291" i="2"/>
  <c r="M1291" i="2"/>
  <c r="L1291" i="2"/>
  <c r="N1290" i="2"/>
  <c r="M1290" i="2"/>
  <c r="L1290" i="2"/>
  <c r="N1289" i="2"/>
  <c r="M1289" i="2"/>
  <c r="L1289" i="2"/>
  <c r="N1288" i="2"/>
  <c r="M1288" i="2"/>
  <c r="L1288" i="2"/>
  <c r="N1287" i="2"/>
  <c r="M1287" i="2"/>
  <c r="L1287" i="2"/>
  <c r="N1286" i="2"/>
  <c r="M1286" i="2"/>
  <c r="L1286" i="2"/>
  <c r="N1285" i="2"/>
  <c r="M1285" i="2"/>
  <c r="L1285" i="2"/>
  <c r="I1285" i="2"/>
  <c r="N1284" i="2"/>
  <c r="M1284" i="2"/>
  <c r="L1284" i="2"/>
  <c r="I1284" i="2"/>
  <c r="N1283" i="2"/>
  <c r="M1283" i="2"/>
  <c r="L1283" i="2"/>
  <c r="N1282" i="2"/>
  <c r="M1282" i="2"/>
  <c r="L1282" i="2"/>
  <c r="N1281" i="2"/>
  <c r="M1281" i="2"/>
  <c r="L1281" i="2"/>
  <c r="N1280" i="2"/>
  <c r="M1280" i="2"/>
  <c r="L1280" i="2"/>
  <c r="N1279" i="2"/>
  <c r="M1279" i="2"/>
  <c r="L1279" i="2"/>
  <c r="N1278" i="2"/>
  <c r="M1278" i="2"/>
  <c r="L1278" i="2"/>
  <c r="N1277" i="2"/>
  <c r="M1277" i="2"/>
  <c r="L1277" i="2"/>
  <c r="N1276" i="2"/>
  <c r="M1276" i="2"/>
  <c r="L1276" i="2"/>
  <c r="N1275" i="2"/>
  <c r="M1275" i="2"/>
  <c r="L1275" i="2"/>
  <c r="N1274" i="2"/>
  <c r="M1274" i="2"/>
  <c r="L1274" i="2"/>
  <c r="N1273" i="2"/>
  <c r="M1273" i="2"/>
  <c r="L1273" i="2"/>
  <c r="N1272" i="2"/>
  <c r="M1272" i="2"/>
  <c r="L1272" i="2"/>
  <c r="N1271" i="2"/>
  <c r="M1271" i="2"/>
  <c r="L1271" i="2"/>
  <c r="N1270" i="2"/>
  <c r="M1270" i="2"/>
  <c r="L1270" i="2"/>
  <c r="N1269" i="2"/>
  <c r="M1269" i="2"/>
  <c r="L1269" i="2"/>
  <c r="N1268" i="2"/>
  <c r="M1268" i="2"/>
  <c r="L1268" i="2"/>
  <c r="N1267" i="2"/>
  <c r="M1267" i="2"/>
  <c r="L1267" i="2"/>
  <c r="N1266" i="2"/>
  <c r="M1266" i="2"/>
  <c r="L1266" i="2"/>
  <c r="N1265" i="2"/>
  <c r="M1265" i="2"/>
  <c r="L1265" i="2"/>
  <c r="N1264" i="2"/>
  <c r="M1264" i="2"/>
  <c r="L1264" i="2"/>
  <c r="N1263" i="2"/>
  <c r="M1263" i="2"/>
  <c r="L1263" i="2"/>
  <c r="N1262" i="2"/>
  <c r="M1262" i="2"/>
  <c r="L1262" i="2"/>
  <c r="N1261" i="2"/>
  <c r="M1261" i="2"/>
  <c r="L1261" i="2"/>
  <c r="N1260" i="2"/>
  <c r="M1260" i="2"/>
  <c r="L1260" i="2"/>
  <c r="N1259" i="2"/>
  <c r="M1259" i="2"/>
  <c r="L1259" i="2"/>
  <c r="N1258" i="2"/>
  <c r="M1258" i="2"/>
  <c r="L1258" i="2"/>
  <c r="N1257" i="2"/>
  <c r="M1257" i="2"/>
  <c r="L1257" i="2"/>
  <c r="N1256" i="2"/>
  <c r="M1256" i="2"/>
  <c r="L1256" i="2"/>
  <c r="N1255" i="2"/>
  <c r="M1255" i="2"/>
  <c r="L1255" i="2"/>
  <c r="N1254" i="2"/>
  <c r="M1254" i="2"/>
  <c r="L1254" i="2"/>
  <c r="N1253" i="2"/>
  <c r="M1253" i="2"/>
  <c r="L1253" i="2"/>
  <c r="N1252" i="2"/>
  <c r="M1252" i="2"/>
  <c r="L1252" i="2"/>
  <c r="N1251" i="2"/>
  <c r="M1251" i="2"/>
  <c r="L1251" i="2"/>
  <c r="N1250" i="2"/>
  <c r="M1250" i="2"/>
  <c r="L1250" i="2"/>
  <c r="N1249" i="2"/>
  <c r="M1249" i="2"/>
  <c r="L1249" i="2"/>
  <c r="N1248" i="2"/>
  <c r="M1248" i="2"/>
  <c r="L1248" i="2"/>
  <c r="N1247" i="2"/>
  <c r="M1247" i="2"/>
  <c r="L1247" i="2"/>
  <c r="N1246" i="2"/>
  <c r="M1246" i="2"/>
  <c r="L1246" i="2"/>
  <c r="N1245" i="2"/>
  <c r="M1245" i="2"/>
  <c r="L1245" i="2"/>
  <c r="N1244" i="2"/>
  <c r="M1244" i="2"/>
  <c r="L1244" i="2"/>
  <c r="N1243" i="2"/>
  <c r="M1243" i="2"/>
  <c r="L1243" i="2"/>
  <c r="N1242" i="2"/>
  <c r="M1242" i="2"/>
  <c r="L1242" i="2"/>
  <c r="N1241" i="2"/>
  <c r="M1241" i="2"/>
  <c r="L1241" i="2"/>
  <c r="N1240" i="2"/>
  <c r="M1240" i="2"/>
  <c r="L1240" i="2"/>
  <c r="N1239" i="2"/>
  <c r="M1239" i="2"/>
  <c r="L1239" i="2"/>
  <c r="N1238" i="2"/>
  <c r="M1238" i="2"/>
  <c r="L1238" i="2"/>
  <c r="N1237" i="2"/>
  <c r="M1237" i="2"/>
  <c r="L1237" i="2"/>
  <c r="N1236" i="2"/>
  <c r="M1236" i="2"/>
  <c r="L1236" i="2"/>
  <c r="N1235" i="2"/>
  <c r="M1235" i="2"/>
  <c r="L1235" i="2"/>
  <c r="N1234" i="2"/>
  <c r="M1234" i="2"/>
  <c r="L1234" i="2"/>
  <c r="N1233" i="2"/>
  <c r="M1233" i="2"/>
  <c r="L1233" i="2"/>
  <c r="N1232" i="2"/>
  <c r="M1232" i="2"/>
  <c r="L1232" i="2"/>
  <c r="N1231" i="2"/>
  <c r="M1231" i="2"/>
  <c r="L1231" i="2"/>
  <c r="N1230" i="2"/>
  <c r="M1230" i="2"/>
  <c r="L1230" i="2"/>
  <c r="N1229" i="2"/>
  <c r="M1229" i="2"/>
  <c r="L1229" i="2"/>
  <c r="N1228" i="2"/>
  <c r="M1228" i="2"/>
  <c r="L1228" i="2"/>
  <c r="N1227" i="2"/>
  <c r="M1227" i="2"/>
  <c r="L1227" i="2"/>
  <c r="N1226" i="2"/>
  <c r="M1226" i="2"/>
  <c r="L1226" i="2"/>
  <c r="N1225" i="2"/>
  <c r="M1225" i="2"/>
  <c r="L1225" i="2"/>
  <c r="N1224" i="2"/>
  <c r="M1224" i="2"/>
  <c r="L1224" i="2"/>
  <c r="N1223" i="2"/>
  <c r="M1223" i="2"/>
  <c r="L1223" i="2"/>
  <c r="N1222" i="2"/>
  <c r="M1222" i="2"/>
  <c r="L1222" i="2"/>
  <c r="N1221" i="2"/>
  <c r="M1221" i="2"/>
  <c r="L1221" i="2"/>
  <c r="N1220" i="2"/>
  <c r="M1220" i="2"/>
  <c r="L1220" i="2"/>
  <c r="N1219" i="2"/>
  <c r="M1219" i="2"/>
  <c r="L1219" i="2"/>
  <c r="N1218" i="2"/>
  <c r="M1218" i="2"/>
  <c r="L1218" i="2"/>
  <c r="N1217" i="2"/>
  <c r="M1217" i="2"/>
  <c r="L1217" i="2"/>
  <c r="N1216" i="2"/>
  <c r="M1216" i="2"/>
  <c r="L1216" i="2"/>
  <c r="N1215" i="2"/>
  <c r="M1215" i="2"/>
  <c r="L1215" i="2"/>
  <c r="N1214" i="2"/>
  <c r="M1214" i="2"/>
  <c r="L1214" i="2"/>
  <c r="N1213" i="2"/>
  <c r="M1213" i="2"/>
  <c r="L1213" i="2"/>
  <c r="N1212" i="2"/>
  <c r="M1212" i="2"/>
  <c r="L1212" i="2"/>
  <c r="N1211" i="2"/>
  <c r="M1211" i="2"/>
  <c r="L1211" i="2"/>
  <c r="N1210" i="2"/>
  <c r="M1210" i="2"/>
  <c r="L1210" i="2"/>
  <c r="N1209" i="2"/>
  <c r="M1209" i="2"/>
  <c r="L1209" i="2"/>
  <c r="N1208" i="2"/>
  <c r="M1208" i="2"/>
  <c r="L1208" i="2"/>
  <c r="N1207" i="2"/>
  <c r="M1207" i="2"/>
  <c r="L1207" i="2"/>
  <c r="N1206" i="2"/>
  <c r="M1206" i="2"/>
  <c r="L1206" i="2"/>
  <c r="N1205" i="2"/>
  <c r="M1205" i="2"/>
  <c r="L1205" i="2"/>
  <c r="N1204" i="2"/>
  <c r="M1204" i="2"/>
  <c r="L1204" i="2"/>
  <c r="N1203" i="2"/>
  <c r="M1203" i="2"/>
  <c r="L1203" i="2"/>
  <c r="N1202" i="2"/>
  <c r="M1202" i="2"/>
  <c r="L1202" i="2"/>
  <c r="N1201" i="2"/>
  <c r="M1201" i="2"/>
  <c r="L1201" i="2"/>
  <c r="N1200" i="2"/>
  <c r="M1200" i="2"/>
  <c r="L1200" i="2"/>
  <c r="N1199" i="2"/>
  <c r="M1199" i="2"/>
  <c r="L1199" i="2"/>
  <c r="N1198" i="2"/>
  <c r="M1198" i="2"/>
  <c r="L1198" i="2"/>
  <c r="N1197" i="2"/>
  <c r="M1197" i="2"/>
  <c r="L1197" i="2"/>
  <c r="N1196" i="2"/>
  <c r="M1196" i="2"/>
  <c r="L1196" i="2"/>
  <c r="N1195" i="2"/>
  <c r="M1195" i="2"/>
  <c r="L1195" i="2"/>
  <c r="N1194" i="2"/>
  <c r="M1194" i="2"/>
  <c r="L1194" i="2"/>
  <c r="N1193" i="2"/>
  <c r="M1193" i="2"/>
  <c r="L1193" i="2"/>
  <c r="N1192" i="2"/>
  <c r="M1192" i="2"/>
  <c r="L1192" i="2"/>
  <c r="N1191" i="2"/>
  <c r="M1191" i="2"/>
  <c r="L1191" i="2"/>
  <c r="N1190" i="2"/>
  <c r="M1190" i="2"/>
  <c r="L1190" i="2"/>
  <c r="N1189" i="2"/>
  <c r="M1189" i="2"/>
  <c r="L1189" i="2"/>
  <c r="N1188" i="2"/>
  <c r="M1188" i="2"/>
  <c r="L1188" i="2"/>
  <c r="N1187" i="2"/>
  <c r="M1187" i="2"/>
  <c r="L1187" i="2"/>
  <c r="N1186" i="2"/>
  <c r="M1186" i="2"/>
  <c r="L1186" i="2"/>
  <c r="N1185" i="2"/>
  <c r="M1185" i="2"/>
  <c r="L1185" i="2"/>
  <c r="N1184" i="2"/>
  <c r="M1184" i="2"/>
  <c r="L1184" i="2"/>
  <c r="N1183" i="2"/>
  <c r="M1183" i="2"/>
  <c r="L1183" i="2"/>
  <c r="N1182" i="2"/>
  <c r="M1182" i="2"/>
  <c r="L1182" i="2"/>
  <c r="N1181" i="2"/>
  <c r="M1181" i="2"/>
  <c r="L1181" i="2"/>
  <c r="N1180" i="2"/>
  <c r="M1180" i="2"/>
  <c r="L1180" i="2"/>
  <c r="N1179" i="2"/>
  <c r="M1179" i="2"/>
  <c r="L1179" i="2"/>
  <c r="N1178" i="2"/>
  <c r="M1178" i="2"/>
  <c r="L1178" i="2"/>
  <c r="N1177" i="2"/>
  <c r="M1177" i="2"/>
  <c r="L1177" i="2"/>
  <c r="N1176" i="2"/>
  <c r="M1176" i="2"/>
  <c r="L1176" i="2"/>
  <c r="N1175" i="2"/>
  <c r="M1175" i="2"/>
  <c r="L1175" i="2"/>
  <c r="N1174" i="2"/>
  <c r="M1174" i="2"/>
  <c r="L1174" i="2"/>
  <c r="N1173" i="2"/>
  <c r="M1173" i="2"/>
  <c r="L1173" i="2"/>
  <c r="N1172" i="2"/>
  <c r="M1172" i="2"/>
  <c r="L1172" i="2"/>
  <c r="N1171" i="2"/>
  <c r="M1171" i="2"/>
  <c r="L1171" i="2"/>
  <c r="N1170" i="2"/>
  <c r="M1170" i="2"/>
  <c r="L1170" i="2"/>
  <c r="N1169" i="2"/>
  <c r="M1169" i="2"/>
  <c r="L1169" i="2"/>
  <c r="N1168" i="2"/>
  <c r="M1168" i="2"/>
  <c r="L1168" i="2"/>
  <c r="N1167" i="2"/>
  <c r="M1167" i="2"/>
  <c r="L1167" i="2"/>
  <c r="N1166" i="2"/>
  <c r="M1166" i="2"/>
  <c r="L1166" i="2"/>
  <c r="N1165" i="2"/>
  <c r="M1165" i="2"/>
  <c r="L1165" i="2"/>
  <c r="N1164" i="2"/>
  <c r="M1164" i="2"/>
  <c r="L1164" i="2"/>
  <c r="N1163" i="2"/>
  <c r="M1163" i="2"/>
  <c r="L1163" i="2"/>
  <c r="N1162" i="2"/>
  <c r="M1162" i="2"/>
  <c r="L1162" i="2"/>
  <c r="N1161" i="2"/>
  <c r="M1161" i="2"/>
  <c r="L1161" i="2"/>
  <c r="N1160" i="2"/>
  <c r="M1160" i="2"/>
  <c r="L1160" i="2"/>
  <c r="N1159" i="2"/>
  <c r="M1159" i="2"/>
  <c r="L1159" i="2"/>
  <c r="N1158" i="2"/>
  <c r="M1158" i="2"/>
  <c r="L1158" i="2"/>
  <c r="N1157" i="2"/>
  <c r="M1157" i="2"/>
  <c r="L1157" i="2"/>
  <c r="N1156" i="2"/>
  <c r="M1156" i="2"/>
  <c r="L1156" i="2"/>
  <c r="N1155" i="2"/>
  <c r="M1155" i="2"/>
  <c r="L1155" i="2"/>
  <c r="N1154" i="2"/>
  <c r="M1154" i="2"/>
  <c r="L1154" i="2"/>
  <c r="N1153" i="2"/>
  <c r="M1153" i="2"/>
  <c r="L1153" i="2"/>
  <c r="N1152" i="2"/>
  <c r="M1152" i="2"/>
  <c r="L1152" i="2"/>
  <c r="N1151" i="2"/>
  <c r="M1151" i="2"/>
  <c r="L1151" i="2"/>
  <c r="N1150" i="2"/>
  <c r="M1150" i="2"/>
  <c r="L1150" i="2"/>
  <c r="N1149" i="2"/>
  <c r="M1149" i="2"/>
  <c r="L1149" i="2"/>
  <c r="N1148" i="2"/>
  <c r="M1148" i="2"/>
  <c r="L1148" i="2"/>
  <c r="N1147" i="2"/>
  <c r="M1147" i="2"/>
  <c r="L1147" i="2"/>
  <c r="N1146" i="2"/>
  <c r="M1146" i="2"/>
  <c r="L1146" i="2"/>
  <c r="N1145" i="2"/>
  <c r="M1145" i="2"/>
  <c r="L1145" i="2"/>
  <c r="N1144" i="2"/>
  <c r="M1144" i="2"/>
  <c r="L1144" i="2"/>
  <c r="N1143" i="2"/>
  <c r="M1143" i="2"/>
  <c r="L1143" i="2"/>
  <c r="N1142" i="2"/>
  <c r="M1142" i="2"/>
  <c r="L1142" i="2"/>
  <c r="N1141" i="2"/>
  <c r="M1141" i="2"/>
  <c r="L1141" i="2"/>
  <c r="N1140" i="2"/>
  <c r="M1140" i="2"/>
  <c r="L1140" i="2"/>
  <c r="N1139" i="2"/>
  <c r="M1139" i="2"/>
  <c r="L1139" i="2"/>
  <c r="N1138" i="2"/>
  <c r="M1138" i="2"/>
  <c r="L1138" i="2"/>
  <c r="N1137" i="2"/>
  <c r="M1137" i="2"/>
  <c r="L1137" i="2"/>
  <c r="N1136" i="2"/>
  <c r="M1136" i="2"/>
  <c r="L1136" i="2"/>
  <c r="N1135" i="2"/>
  <c r="M1135" i="2"/>
  <c r="L1135" i="2"/>
  <c r="N1134" i="2"/>
  <c r="M1134" i="2"/>
  <c r="L1134" i="2"/>
  <c r="N1133" i="2"/>
  <c r="M1133" i="2"/>
  <c r="L1133" i="2"/>
  <c r="N1132" i="2"/>
  <c r="M1132" i="2"/>
  <c r="L1132" i="2"/>
  <c r="N1131" i="2"/>
  <c r="M1131" i="2"/>
  <c r="L1131" i="2"/>
  <c r="N1130" i="2"/>
  <c r="M1130" i="2"/>
  <c r="L1130" i="2"/>
  <c r="N1129" i="2"/>
  <c r="M1129" i="2"/>
  <c r="L1129" i="2"/>
  <c r="N1128" i="2"/>
  <c r="M1128" i="2"/>
  <c r="L1128" i="2"/>
  <c r="N1127" i="2"/>
  <c r="M1127" i="2"/>
  <c r="L1127" i="2"/>
  <c r="N1126" i="2"/>
  <c r="M1126" i="2"/>
  <c r="L1126" i="2"/>
  <c r="N1125" i="2"/>
  <c r="M1125" i="2"/>
  <c r="L1125" i="2"/>
  <c r="N1124" i="2"/>
  <c r="M1124" i="2"/>
  <c r="L1124" i="2"/>
  <c r="N1123" i="2"/>
  <c r="M1123" i="2"/>
  <c r="L1123" i="2"/>
  <c r="N1122" i="2"/>
  <c r="M1122" i="2"/>
  <c r="L1122" i="2"/>
  <c r="N1121" i="2"/>
  <c r="M1121" i="2"/>
  <c r="L1121" i="2"/>
  <c r="N1120" i="2"/>
  <c r="M1120" i="2"/>
  <c r="L1120" i="2"/>
  <c r="N1119" i="2"/>
  <c r="M1119" i="2"/>
  <c r="L1119" i="2"/>
  <c r="N1118" i="2"/>
  <c r="M1118" i="2"/>
  <c r="L1118" i="2"/>
  <c r="N1117" i="2"/>
  <c r="M1117" i="2"/>
  <c r="L1117" i="2"/>
  <c r="N1116" i="2"/>
  <c r="M1116" i="2"/>
  <c r="L1116" i="2"/>
  <c r="N1115" i="2"/>
  <c r="M1115" i="2"/>
  <c r="L1115" i="2"/>
  <c r="N1114" i="2"/>
  <c r="M1114" i="2"/>
  <c r="L1114" i="2"/>
  <c r="N1113" i="2"/>
  <c r="M1113" i="2"/>
  <c r="L1113" i="2"/>
  <c r="N1112" i="2"/>
  <c r="M1112" i="2"/>
  <c r="L1112" i="2"/>
  <c r="N1111" i="2"/>
  <c r="M1111" i="2"/>
  <c r="L1111" i="2"/>
  <c r="N1110" i="2"/>
  <c r="M1110" i="2"/>
  <c r="L1110" i="2"/>
  <c r="N1109" i="2"/>
  <c r="M1109" i="2"/>
  <c r="L1109" i="2"/>
  <c r="N1108" i="2"/>
  <c r="M1108" i="2"/>
  <c r="L1108" i="2"/>
  <c r="N1107" i="2"/>
  <c r="M1107" i="2"/>
  <c r="L1107" i="2"/>
  <c r="N1106" i="2"/>
  <c r="M1106" i="2"/>
  <c r="L1106" i="2"/>
  <c r="N1105" i="2"/>
  <c r="M1105" i="2"/>
  <c r="L1105" i="2"/>
  <c r="N1104" i="2"/>
  <c r="M1104" i="2"/>
  <c r="L1104" i="2"/>
  <c r="N1103" i="2"/>
  <c r="M1103" i="2"/>
  <c r="L1103" i="2"/>
  <c r="N1102" i="2"/>
  <c r="M1102" i="2"/>
  <c r="L1102" i="2"/>
  <c r="N1101" i="2"/>
  <c r="M1101" i="2"/>
  <c r="L1101" i="2"/>
  <c r="N1100" i="2"/>
  <c r="M1100" i="2"/>
  <c r="L1100" i="2"/>
  <c r="N1099" i="2"/>
  <c r="M1099" i="2"/>
  <c r="L1099" i="2"/>
  <c r="N1098" i="2"/>
  <c r="M1098" i="2"/>
  <c r="L1098" i="2"/>
  <c r="N1097" i="2"/>
  <c r="M1097" i="2"/>
  <c r="L1097" i="2"/>
  <c r="N1096" i="2"/>
  <c r="M1096" i="2"/>
  <c r="L1096" i="2"/>
  <c r="N1095" i="2"/>
  <c r="M1095" i="2"/>
  <c r="L1095" i="2"/>
  <c r="N1094" i="2"/>
  <c r="M1094" i="2"/>
  <c r="L1094" i="2"/>
  <c r="N1093" i="2"/>
  <c r="M1093" i="2"/>
  <c r="L1093" i="2"/>
  <c r="N1092" i="2"/>
  <c r="M1092" i="2"/>
  <c r="L1092" i="2"/>
  <c r="N1091" i="2"/>
  <c r="M1091" i="2"/>
  <c r="L1091" i="2"/>
  <c r="N1090" i="2"/>
  <c r="M1090" i="2"/>
  <c r="L1090" i="2"/>
  <c r="N1089" i="2"/>
  <c r="M1089" i="2"/>
  <c r="L1089" i="2"/>
  <c r="N1088" i="2"/>
  <c r="M1088" i="2"/>
  <c r="L1088" i="2"/>
  <c r="N1087" i="2"/>
  <c r="M1087" i="2"/>
  <c r="L1087" i="2"/>
  <c r="N1086" i="2"/>
  <c r="M1086" i="2"/>
  <c r="L1086" i="2"/>
  <c r="N1085" i="2"/>
  <c r="M1085" i="2"/>
  <c r="L1085" i="2"/>
  <c r="N1084" i="2"/>
  <c r="M1084" i="2"/>
  <c r="L1084" i="2"/>
  <c r="N1083" i="2"/>
  <c r="M1083" i="2"/>
  <c r="L1083" i="2"/>
  <c r="N1082" i="2"/>
  <c r="M1082" i="2"/>
  <c r="L1082" i="2"/>
  <c r="N1081" i="2"/>
  <c r="M1081" i="2"/>
  <c r="L1081" i="2"/>
  <c r="N1080" i="2"/>
  <c r="M1080" i="2"/>
  <c r="L1080" i="2"/>
  <c r="N1079" i="2"/>
  <c r="M1079" i="2"/>
  <c r="L1079" i="2"/>
  <c r="N1078" i="2"/>
  <c r="M1078" i="2"/>
  <c r="L1078" i="2"/>
  <c r="N1077" i="2"/>
  <c r="M1077" i="2"/>
  <c r="L1077" i="2"/>
  <c r="N1076" i="2"/>
  <c r="M1076" i="2"/>
  <c r="L1076" i="2"/>
  <c r="N1075" i="2"/>
  <c r="M1075" i="2"/>
  <c r="L1075" i="2"/>
  <c r="N1074" i="2"/>
  <c r="M1074" i="2"/>
  <c r="L1074" i="2"/>
  <c r="N1073" i="2"/>
  <c r="M1073" i="2"/>
  <c r="L1073" i="2"/>
  <c r="N1072" i="2"/>
  <c r="M1072" i="2"/>
  <c r="L1072" i="2"/>
  <c r="N1071" i="2"/>
  <c r="M1071" i="2"/>
  <c r="L1071" i="2"/>
  <c r="N1070" i="2"/>
  <c r="M1070" i="2"/>
  <c r="L1070" i="2"/>
  <c r="N1069" i="2"/>
  <c r="M1069" i="2"/>
  <c r="L1069" i="2"/>
  <c r="N1068" i="2"/>
  <c r="M1068" i="2"/>
  <c r="L1068" i="2"/>
  <c r="N1067" i="2"/>
  <c r="M1067" i="2"/>
  <c r="L1067" i="2"/>
  <c r="N1066" i="2"/>
  <c r="M1066" i="2"/>
  <c r="L1066" i="2"/>
  <c r="N1065" i="2"/>
  <c r="M1065" i="2"/>
  <c r="L1065" i="2"/>
  <c r="N1064" i="2"/>
  <c r="M1064" i="2"/>
  <c r="L1064" i="2"/>
  <c r="N1063" i="2"/>
  <c r="M1063" i="2"/>
  <c r="L1063" i="2"/>
  <c r="N1062" i="2"/>
  <c r="M1062" i="2"/>
  <c r="L1062" i="2"/>
  <c r="N1061" i="2"/>
  <c r="M1061" i="2"/>
  <c r="L1061" i="2"/>
  <c r="N1060" i="2"/>
  <c r="M1060" i="2"/>
  <c r="L1060" i="2"/>
  <c r="N1059" i="2"/>
  <c r="M1059" i="2"/>
  <c r="L1059" i="2"/>
  <c r="N1058" i="2"/>
  <c r="M1058" i="2"/>
  <c r="L1058" i="2"/>
  <c r="N1057" i="2"/>
  <c r="M1057" i="2"/>
  <c r="L1057" i="2"/>
  <c r="N1056" i="2"/>
  <c r="M1056" i="2"/>
  <c r="L1056" i="2"/>
  <c r="N1055" i="2"/>
  <c r="M1055" i="2"/>
  <c r="L1055" i="2"/>
  <c r="N1054" i="2"/>
  <c r="M1054" i="2"/>
  <c r="L1054" i="2"/>
  <c r="N1053" i="2"/>
  <c r="M1053" i="2"/>
  <c r="L1053" i="2"/>
  <c r="N1052" i="2"/>
  <c r="M1052" i="2"/>
  <c r="L1052" i="2"/>
  <c r="N1051" i="2"/>
  <c r="M1051" i="2"/>
  <c r="L1051" i="2"/>
  <c r="N1050" i="2"/>
  <c r="M1050" i="2"/>
  <c r="L1050" i="2"/>
  <c r="N1049" i="2"/>
  <c r="M1049" i="2"/>
  <c r="L1049" i="2"/>
  <c r="N1048" i="2"/>
  <c r="M1048" i="2"/>
  <c r="L1048" i="2"/>
  <c r="N1047" i="2"/>
  <c r="M1047" i="2"/>
  <c r="L1047" i="2"/>
  <c r="N1046" i="2"/>
  <c r="M1046" i="2"/>
  <c r="L1046" i="2"/>
  <c r="N1045" i="2"/>
  <c r="M1045" i="2"/>
  <c r="L1045" i="2"/>
  <c r="N1044" i="2"/>
  <c r="M1044" i="2"/>
  <c r="L1044" i="2"/>
  <c r="N1043" i="2"/>
  <c r="M1043" i="2"/>
  <c r="L1043" i="2"/>
  <c r="N1042" i="2"/>
  <c r="M1042" i="2"/>
  <c r="L1042" i="2"/>
  <c r="N1041" i="2"/>
  <c r="M1041" i="2"/>
  <c r="L1041" i="2"/>
  <c r="N1040" i="2"/>
  <c r="M1040" i="2"/>
  <c r="L1040" i="2"/>
  <c r="N1039" i="2"/>
  <c r="M1039" i="2"/>
  <c r="L1039" i="2"/>
  <c r="N1038" i="2"/>
  <c r="M1038" i="2"/>
  <c r="L1038" i="2"/>
  <c r="N1037" i="2"/>
  <c r="M1037" i="2"/>
  <c r="L1037" i="2"/>
  <c r="N1036" i="2"/>
  <c r="M1036" i="2"/>
  <c r="L1036" i="2"/>
  <c r="N1035" i="2"/>
  <c r="M1035" i="2"/>
  <c r="L1035" i="2"/>
  <c r="N1034" i="2"/>
  <c r="M1034" i="2"/>
  <c r="L1034" i="2"/>
  <c r="N1033" i="2"/>
  <c r="M1033" i="2"/>
  <c r="L1033" i="2"/>
  <c r="N1032" i="2"/>
  <c r="M1032" i="2"/>
  <c r="L1032" i="2"/>
  <c r="N1031" i="2"/>
  <c r="M1031" i="2"/>
  <c r="L1031" i="2"/>
  <c r="N1030" i="2"/>
  <c r="M1030" i="2"/>
  <c r="L1030" i="2"/>
  <c r="N1029" i="2"/>
  <c r="M1029" i="2"/>
  <c r="L1029" i="2"/>
  <c r="N1028" i="2"/>
  <c r="M1028" i="2"/>
  <c r="L1028" i="2"/>
  <c r="N1027" i="2"/>
  <c r="M1027" i="2"/>
  <c r="L1027" i="2"/>
  <c r="N1026" i="2"/>
  <c r="M1026" i="2"/>
  <c r="L1026" i="2"/>
  <c r="N1025" i="2"/>
  <c r="M1025" i="2"/>
  <c r="L1025" i="2"/>
  <c r="N1024" i="2"/>
  <c r="M1024" i="2"/>
  <c r="L1024" i="2"/>
  <c r="N1023" i="2"/>
  <c r="M1023" i="2"/>
  <c r="L1023" i="2"/>
  <c r="N1022" i="2"/>
  <c r="M1022" i="2"/>
  <c r="L1022" i="2"/>
  <c r="N1021" i="2"/>
  <c r="M1021" i="2"/>
  <c r="L1021" i="2"/>
  <c r="N1020" i="2"/>
  <c r="M1020" i="2"/>
  <c r="L1020" i="2"/>
  <c r="N1019" i="2"/>
  <c r="M1019" i="2"/>
  <c r="L1019" i="2"/>
  <c r="N1018" i="2"/>
  <c r="M1018" i="2"/>
  <c r="L1018" i="2"/>
  <c r="N1017" i="2"/>
  <c r="M1017" i="2"/>
  <c r="L1017" i="2"/>
  <c r="N1016" i="2"/>
  <c r="M1016" i="2"/>
  <c r="L1016" i="2"/>
  <c r="N1015" i="2"/>
  <c r="M1015" i="2"/>
  <c r="L1015" i="2"/>
  <c r="N1014" i="2"/>
  <c r="M1014" i="2"/>
  <c r="L1014" i="2"/>
  <c r="N1013" i="2"/>
  <c r="M1013" i="2"/>
  <c r="L1013" i="2"/>
  <c r="N1012" i="2"/>
  <c r="M1012" i="2"/>
  <c r="L1012" i="2"/>
  <c r="N1011" i="2"/>
  <c r="M1011" i="2"/>
  <c r="L1011" i="2"/>
  <c r="N1010" i="2"/>
  <c r="M1010" i="2"/>
  <c r="L1010" i="2"/>
  <c r="N1009" i="2"/>
  <c r="M1009" i="2"/>
  <c r="L1009" i="2"/>
  <c r="N1008" i="2"/>
  <c r="M1008" i="2"/>
  <c r="L1008" i="2"/>
  <c r="N1007" i="2"/>
  <c r="M1007" i="2"/>
  <c r="L1007" i="2"/>
  <c r="N1006" i="2"/>
  <c r="M1006" i="2"/>
  <c r="L1006" i="2"/>
  <c r="N1005" i="2"/>
  <c r="M1005" i="2"/>
  <c r="L1005" i="2"/>
  <c r="N1004" i="2"/>
  <c r="M1004" i="2"/>
  <c r="L1004" i="2"/>
  <c r="N1003" i="2"/>
  <c r="M1003" i="2"/>
  <c r="L1003" i="2"/>
  <c r="N1002" i="2"/>
  <c r="M1002" i="2"/>
  <c r="L1002" i="2"/>
  <c r="N1001" i="2"/>
  <c r="M1001" i="2"/>
  <c r="L1001" i="2"/>
  <c r="N1000" i="2"/>
  <c r="M1000" i="2"/>
  <c r="L1000" i="2"/>
  <c r="N999" i="2"/>
  <c r="M999" i="2"/>
  <c r="L999" i="2"/>
  <c r="N998" i="2"/>
  <c r="M998" i="2"/>
  <c r="L998" i="2"/>
  <c r="N997" i="2"/>
  <c r="M997" i="2"/>
  <c r="L997" i="2"/>
  <c r="N996" i="2"/>
  <c r="M996" i="2"/>
  <c r="L996" i="2"/>
  <c r="N995" i="2"/>
  <c r="M995" i="2"/>
  <c r="L995" i="2"/>
  <c r="N994" i="2"/>
  <c r="M994" i="2"/>
  <c r="L994" i="2"/>
  <c r="N993" i="2"/>
  <c r="M993" i="2"/>
  <c r="L993" i="2"/>
  <c r="N992" i="2"/>
  <c r="M992" i="2"/>
  <c r="L992" i="2"/>
  <c r="N991" i="2"/>
  <c r="M991" i="2"/>
  <c r="L991" i="2"/>
  <c r="N990" i="2"/>
  <c r="M990" i="2"/>
  <c r="L990" i="2"/>
  <c r="N989" i="2"/>
  <c r="M989" i="2"/>
  <c r="L989" i="2"/>
  <c r="N988" i="2"/>
  <c r="M988" i="2"/>
  <c r="L988" i="2"/>
  <c r="N987" i="2"/>
  <c r="M987" i="2"/>
  <c r="L987" i="2"/>
  <c r="N986" i="2"/>
  <c r="M986" i="2"/>
  <c r="L986" i="2"/>
  <c r="N985" i="2"/>
  <c r="M985" i="2"/>
  <c r="L985" i="2"/>
  <c r="N984" i="2"/>
  <c r="M984" i="2"/>
  <c r="L984" i="2"/>
  <c r="N983" i="2"/>
  <c r="M983" i="2"/>
  <c r="L983" i="2"/>
  <c r="N982" i="2"/>
  <c r="M982" i="2"/>
  <c r="L982" i="2"/>
  <c r="N981" i="2"/>
  <c r="M981" i="2"/>
  <c r="L981" i="2"/>
  <c r="N980" i="2"/>
  <c r="M980" i="2"/>
  <c r="L980" i="2"/>
  <c r="N979" i="2"/>
  <c r="M979" i="2"/>
  <c r="L979" i="2"/>
  <c r="N978" i="2"/>
  <c r="M978" i="2"/>
  <c r="L978" i="2"/>
  <c r="N977" i="2"/>
  <c r="M977" i="2"/>
  <c r="L977" i="2"/>
  <c r="N976" i="2"/>
  <c r="M976" i="2"/>
  <c r="L976" i="2"/>
  <c r="N975" i="2"/>
  <c r="M975" i="2"/>
  <c r="L975" i="2"/>
  <c r="N974" i="2"/>
  <c r="M974" i="2"/>
  <c r="L974" i="2"/>
  <c r="N973" i="2"/>
  <c r="M973" i="2"/>
  <c r="L973" i="2"/>
  <c r="N972" i="2"/>
  <c r="M972" i="2"/>
  <c r="L972" i="2"/>
  <c r="N971" i="2"/>
  <c r="M971" i="2"/>
  <c r="L971" i="2"/>
  <c r="N970" i="2"/>
  <c r="M970" i="2"/>
  <c r="L970" i="2"/>
  <c r="N969" i="2"/>
  <c r="M969" i="2"/>
  <c r="L969" i="2"/>
  <c r="N968" i="2"/>
  <c r="M968" i="2"/>
  <c r="L968" i="2"/>
  <c r="N967" i="2"/>
  <c r="M967" i="2"/>
  <c r="L967" i="2"/>
  <c r="N966" i="2"/>
  <c r="M966" i="2"/>
  <c r="L966" i="2"/>
  <c r="N965" i="2"/>
  <c r="M965" i="2"/>
  <c r="L965" i="2"/>
  <c r="N964" i="2"/>
  <c r="M964" i="2"/>
  <c r="L964" i="2"/>
  <c r="N963" i="2"/>
  <c r="M963" i="2"/>
  <c r="L963" i="2"/>
  <c r="N962" i="2"/>
  <c r="M962" i="2"/>
  <c r="L962" i="2"/>
  <c r="N961" i="2"/>
  <c r="M961" i="2"/>
  <c r="L961" i="2"/>
  <c r="N960" i="2"/>
  <c r="M960" i="2"/>
  <c r="L960" i="2"/>
  <c r="N959" i="2"/>
  <c r="M959" i="2"/>
  <c r="L959" i="2"/>
  <c r="N958" i="2"/>
  <c r="M958" i="2"/>
  <c r="L958" i="2"/>
  <c r="N957" i="2"/>
  <c r="M957" i="2"/>
  <c r="L957" i="2"/>
  <c r="N956" i="2"/>
  <c r="M956" i="2"/>
  <c r="L956" i="2"/>
  <c r="N955" i="2"/>
  <c r="M955" i="2"/>
  <c r="L955" i="2"/>
  <c r="N954" i="2"/>
  <c r="M954" i="2"/>
  <c r="L954" i="2"/>
  <c r="N953" i="2"/>
  <c r="M953" i="2"/>
  <c r="L953" i="2"/>
  <c r="N952" i="2"/>
  <c r="M952" i="2"/>
  <c r="L952" i="2"/>
  <c r="N951" i="2"/>
  <c r="M951" i="2"/>
  <c r="L951" i="2"/>
  <c r="N950" i="2"/>
  <c r="M950" i="2"/>
  <c r="L950" i="2"/>
  <c r="N949" i="2"/>
  <c r="M949" i="2"/>
  <c r="L949" i="2"/>
  <c r="N948" i="2"/>
  <c r="M948" i="2"/>
  <c r="L948" i="2"/>
  <c r="N947" i="2"/>
  <c r="M947" i="2"/>
  <c r="L947" i="2"/>
  <c r="N946" i="2"/>
  <c r="M946" i="2"/>
  <c r="L946" i="2"/>
  <c r="N945" i="2"/>
  <c r="M945" i="2"/>
  <c r="L945" i="2"/>
  <c r="N944" i="2"/>
  <c r="M944" i="2"/>
  <c r="L944" i="2"/>
  <c r="N943" i="2"/>
  <c r="M943" i="2"/>
  <c r="L943" i="2"/>
  <c r="N942" i="2"/>
  <c r="M942" i="2"/>
  <c r="L942" i="2"/>
  <c r="N941" i="2"/>
  <c r="M941" i="2"/>
  <c r="L941" i="2"/>
  <c r="N940" i="2"/>
  <c r="M940" i="2"/>
  <c r="L940" i="2"/>
  <c r="N939" i="2"/>
  <c r="M939" i="2"/>
  <c r="L939" i="2"/>
  <c r="N938" i="2"/>
  <c r="M938" i="2"/>
  <c r="L938" i="2"/>
  <c r="N937" i="2"/>
  <c r="M937" i="2"/>
  <c r="L937" i="2"/>
  <c r="N936" i="2"/>
  <c r="M936" i="2"/>
  <c r="L936" i="2"/>
  <c r="N935" i="2"/>
  <c r="M935" i="2"/>
  <c r="L935" i="2"/>
  <c r="N934" i="2"/>
  <c r="M934" i="2"/>
  <c r="L934" i="2"/>
  <c r="N933" i="2"/>
  <c r="M933" i="2"/>
  <c r="L933" i="2"/>
  <c r="N932" i="2"/>
  <c r="M932" i="2"/>
  <c r="L932" i="2"/>
  <c r="N931" i="2"/>
  <c r="M931" i="2"/>
  <c r="L931" i="2"/>
  <c r="N930" i="2"/>
  <c r="M930" i="2"/>
  <c r="L930" i="2"/>
  <c r="N929" i="2"/>
  <c r="M929" i="2"/>
  <c r="L929" i="2"/>
  <c r="N928" i="2"/>
  <c r="M928" i="2"/>
  <c r="L928" i="2"/>
  <c r="N927" i="2"/>
  <c r="M927" i="2"/>
  <c r="L927" i="2"/>
  <c r="N926" i="2"/>
  <c r="M926" i="2"/>
  <c r="L926" i="2"/>
  <c r="N925" i="2"/>
  <c r="M925" i="2"/>
  <c r="L925" i="2"/>
  <c r="N924" i="2"/>
  <c r="M924" i="2"/>
  <c r="L924" i="2"/>
  <c r="N923" i="2"/>
  <c r="M923" i="2"/>
  <c r="L923" i="2"/>
  <c r="N922" i="2"/>
  <c r="M922" i="2"/>
  <c r="L922" i="2"/>
  <c r="N921" i="2"/>
  <c r="M921" i="2"/>
  <c r="L921" i="2"/>
  <c r="N920" i="2"/>
  <c r="M920" i="2"/>
  <c r="L920" i="2"/>
  <c r="N919" i="2"/>
  <c r="M919" i="2"/>
  <c r="L919" i="2"/>
  <c r="N918" i="2"/>
  <c r="M918" i="2"/>
  <c r="L918" i="2"/>
  <c r="N917" i="2"/>
  <c r="M917" i="2"/>
  <c r="L917" i="2"/>
  <c r="N916" i="2"/>
  <c r="M916" i="2"/>
  <c r="L916" i="2"/>
  <c r="N915" i="2"/>
  <c r="M915" i="2"/>
  <c r="L915" i="2"/>
  <c r="N914" i="2"/>
  <c r="M914" i="2"/>
  <c r="L914" i="2"/>
  <c r="N913" i="2"/>
  <c r="M913" i="2"/>
  <c r="L913" i="2"/>
  <c r="N912" i="2"/>
  <c r="M912" i="2"/>
  <c r="L912" i="2"/>
  <c r="N911" i="2"/>
  <c r="M911" i="2"/>
  <c r="L911" i="2"/>
  <c r="N910" i="2"/>
  <c r="M910" i="2"/>
  <c r="L910" i="2"/>
  <c r="N909" i="2"/>
  <c r="M909" i="2"/>
  <c r="L909" i="2"/>
  <c r="N908" i="2"/>
  <c r="M908" i="2"/>
  <c r="L908" i="2"/>
  <c r="N907" i="2"/>
  <c r="M907" i="2"/>
  <c r="L907" i="2"/>
  <c r="N906" i="2"/>
  <c r="M906" i="2"/>
  <c r="L906" i="2"/>
  <c r="N905" i="2"/>
  <c r="M905" i="2"/>
  <c r="L905" i="2"/>
  <c r="N904" i="2"/>
  <c r="M904" i="2"/>
  <c r="L904" i="2"/>
  <c r="N903" i="2"/>
  <c r="M903" i="2"/>
  <c r="L903" i="2"/>
  <c r="N902" i="2"/>
  <c r="M902" i="2"/>
  <c r="L902" i="2"/>
  <c r="N901" i="2"/>
  <c r="M901" i="2"/>
  <c r="L901" i="2"/>
  <c r="N900" i="2"/>
  <c r="M900" i="2"/>
  <c r="L900" i="2"/>
  <c r="N899" i="2"/>
  <c r="M899" i="2"/>
  <c r="L899" i="2"/>
  <c r="N898" i="2"/>
  <c r="M898" i="2"/>
  <c r="L898" i="2"/>
  <c r="N897" i="2"/>
  <c r="M897" i="2"/>
  <c r="L897" i="2"/>
  <c r="N896" i="2"/>
  <c r="M896" i="2"/>
  <c r="L896" i="2"/>
  <c r="N895" i="2"/>
  <c r="M895" i="2"/>
  <c r="L895" i="2"/>
  <c r="N894" i="2"/>
  <c r="M894" i="2"/>
  <c r="L894" i="2"/>
  <c r="N893" i="2"/>
  <c r="M893" i="2"/>
  <c r="L893" i="2"/>
  <c r="N892" i="2"/>
  <c r="M892" i="2"/>
  <c r="L892" i="2"/>
  <c r="N891" i="2"/>
  <c r="M891" i="2"/>
  <c r="L891" i="2"/>
  <c r="N890" i="2"/>
  <c r="M890" i="2"/>
  <c r="L890" i="2"/>
  <c r="N889" i="2"/>
  <c r="M889" i="2"/>
  <c r="L889" i="2"/>
  <c r="N888" i="2"/>
  <c r="M888" i="2"/>
  <c r="L888" i="2"/>
  <c r="N887" i="2"/>
  <c r="M887" i="2"/>
  <c r="L887" i="2"/>
  <c r="N886" i="2"/>
  <c r="M886" i="2"/>
  <c r="L886" i="2"/>
  <c r="N885" i="2"/>
  <c r="M885" i="2"/>
  <c r="L885" i="2"/>
  <c r="N884" i="2"/>
  <c r="M884" i="2"/>
  <c r="L884" i="2"/>
  <c r="N883" i="2"/>
  <c r="M883" i="2"/>
  <c r="L883" i="2"/>
  <c r="N882" i="2"/>
  <c r="M882" i="2"/>
  <c r="L882" i="2"/>
  <c r="N881" i="2"/>
  <c r="M881" i="2"/>
  <c r="L881" i="2"/>
  <c r="N880" i="2"/>
  <c r="M880" i="2"/>
  <c r="L880" i="2"/>
  <c r="N879" i="2"/>
  <c r="M879" i="2"/>
  <c r="L879" i="2"/>
  <c r="N878" i="2"/>
  <c r="M878" i="2"/>
  <c r="L878" i="2"/>
  <c r="N877" i="2"/>
  <c r="M877" i="2"/>
  <c r="L877" i="2"/>
  <c r="N876" i="2"/>
  <c r="M876" i="2"/>
  <c r="L876" i="2"/>
  <c r="N875" i="2"/>
  <c r="M875" i="2"/>
  <c r="L875" i="2"/>
  <c r="N874" i="2"/>
  <c r="M874" i="2"/>
  <c r="L874" i="2"/>
  <c r="N873" i="2"/>
  <c r="M873" i="2"/>
  <c r="L873" i="2"/>
  <c r="N872" i="2"/>
  <c r="M872" i="2"/>
  <c r="L872" i="2"/>
  <c r="N871" i="2"/>
  <c r="M871" i="2"/>
  <c r="L871" i="2"/>
  <c r="N870" i="2"/>
  <c r="M870" i="2"/>
  <c r="L870" i="2"/>
  <c r="N869" i="2"/>
  <c r="M869" i="2"/>
  <c r="L869" i="2"/>
  <c r="N868" i="2"/>
  <c r="M868" i="2"/>
  <c r="L868" i="2"/>
  <c r="N867" i="2"/>
  <c r="M867" i="2"/>
  <c r="L867" i="2"/>
  <c r="N866" i="2"/>
  <c r="M866" i="2"/>
  <c r="L866" i="2"/>
  <c r="N865" i="2"/>
  <c r="M865" i="2"/>
  <c r="L865" i="2"/>
  <c r="N864" i="2"/>
  <c r="M864" i="2"/>
  <c r="L864" i="2"/>
  <c r="N863" i="2"/>
  <c r="M863" i="2"/>
  <c r="L863" i="2"/>
  <c r="N862" i="2"/>
  <c r="M862" i="2"/>
  <c r="L862" i="2"/>
  <c r="N861" i="2"/>
  <c r="M861" i="2"/>
  <c r="L861" i="2"/>
  <c r="N860" i="2"/>
  <c r="M860" i="2"/>
  <c r="L860" i="2"/>
  <c r="N859" i="2"/>
  <c r="M859" i="2"/>
  <c r="L859" i="2"/>
  <c r="N858" i="2"/>
  <c r="M858" i="2"/>
  <c r="L858" i="2"/>
  <c r="N857" i="2"/>
  <c r="M857" i="2"/>
  <c r="L857" i="2"/>
  <c r="N856" i="2"/>
  <c r="M856" i="2"/>
  <c r="L856" i="2"/>
  <c r="N855" i="2"/>
  <c r="M855" i="2"/>
  <c r="L855" i="2"/>
  <c r="N854" i="2"/>
  <c r="M854" i="2"/>
  <c r="L854" i="2"/>
  <c r="N853" i="2"/>
  <c r="M853" i="2"/>
  <c r="L853" i="2"/>
  <c r="N852" i="2"/>
  <c r="M852" i="2"/>
  <c r="L852" i="2"/>
  <c r="N851" i="2"/>
  <c r="M851" i="2"/>
  <c r="L851" i="2"/>
  <c r="N850" i="2"/>
  <c r="M850" i="2"/>
  <c r="L850" i="2"/>
  <c r="N849" i="2"/>
  <c r="M849" i="2"/>
  <c r="L849" i="2"/>
  <c r="N848" i="2"/>
  <c r="M848" i="2"/>
  <c r="L848" i="2"/>
  <c r="N847" i="2"/>
  <c r="M847" i="2"/>
  <c r="L847" i="2"/>
  <c r="N846" i="2"/>
  <c r="M846" i="2"/>
  <c r="L846" i="2"/>
  <c r="N845" i="2"/>
  <c r="M845" i="2"/>
  <c r="L845" i="2"/>
  <c r="N844" i="2"/>
  <c r="M844" i="2"/>
  <c r="L844" i="2"/>
  <c r="N843" i="2"/>
  <c r="M843" i="2"/>
  <c r="L843" i="2"/>
  <c r="N842" i="2"/>
  <c r="M842" i="2"/>
  <c r="L842" i="2"/>
  <c r="N841" i="2"/>
  <c r="M841" i="2"/>
  <c r="L841" i="2"/>
  <c r="N840" i="2"/>
  <c r="M840" i="2"/>
  <c r="L840" i="2"/>
  <c r="N839" i="2"/>
  <c r="M839" i="2"/>
  <c r="L839" i="2"/>
  <c r="N838" i="2"/>
  <c r="M838" i="2"/>
  <c r="L838" i="2"/>
  <c r="N837" i="2"/>
  <c r="M837" i="2"/>
  <c r="L837" i="2"/>
  <c r="N836" i="2"/>
  <c r="M836" i="2"/>
  <c r="L836" i="2"/>
  <c r="N835" i="2"/>
  <c r="M835" i="2"/>
  <c r="L835" i="2"/>
  <c r="N834" i="2"/>
  <c r="M834" i="2"/>
  <c r="L834" i="2"/>
  <c r="N833" i="2"/>
  <c r="M833" i="2"/>
  <c r="L833" i="2"/>
  <c r="N832" i="2"/>
  <c r="M832" i="2"/>
  <c r="L832" i="2"/>
  <c r="N831" i="2"/>
  <c r="M831" i="2"/>
  <c r="L831" i="2"/>
  <c r="N830" i="2"/>
  <c r="M830" i="2"/>
  <c r="L830" i="2"/>
  <c r="N829" i="2"/>
  <c r="M829" i="2"/>
  <c r="L829" i="2"/>
  <c r="N828" i="2"/>
  <c r="M828" i="2"/>
  <c r="L828" i="2"/>
  <c r="N827" i="2"/>
  <c r="M827" i="2"/>
  <c r="L827" i="2"/>
  <c r="N826" i="2"/>
  <c r="M826" i="2"/>
  <c r="L826" i="2"/>
  <c r="N825" i="2"/>
  <c r="M825" i="2"/>
  <c r="L825" i="2"/>
  <c r="N824" i="2"/>
  <c r="M824" i="2"/>
  <c r="L824" i="2"/>
  <c r="N823" i="2"/>
  <c r="M823" i="2"/>
  <c r="L823" i="2"/>
  <c r="N822" i="2"/>
  <c r="M822" i="2"/>
  <c r="L822" i="2"/>
  <c r="N821" i="2"/>
  <c r="M821" i="2"/>
  <c r="L821" i="2"/>
  <c r="N820" i="2"/>
  <c r="M820" i="2"/>
  <c r="L820" i="2"/>
  <c r="N819" i="2"/>
  <c r="M819" i="2"/>
  <c r="L819" i="2"/>
  <c r="N818" i="2"/>
  <c r="M818" i="2"/>
  <c r="L818" i="2"/>
  <c r="N817" i="2"/>
  <c r="M817" i="2"/>
  <c r="L817" i="2"/>
  <c r="N816" i="2"/>
  <c r="M816" i="2"/>
  <c r="L816" i="2"/>
  <c r="N815" i="2"/>
  <c r="M815" i="2"/>
  <c r="L815" i="2"/>
  <c r="N814" i="2"/>
  <c r="M814" i="2"/>
  <c r="L814" i="2"/>
  <c r="N813" i="2"/>
  <c r="M813" i="2"/>
  <c r="L813" i="2"/>
  <c r="N812" i="2"/>
  <c r="M812" i="2"/>
  <c r="L812" i="2"/>
  <c r="N811" i="2"/>
  <c r="M811" i="2"/>
  <c r="L811" i="2"/>
  <c r="N810" i="2"/>
  <c r="M810" i="2"/>
  <c r="L810" i="2"/>
  <c r="N809" i="2"/>
  <c r="M809" i="2"/>
  <c r="L809" i="2"/>
  <c r="N808" i="2"/>
  <c r="M808" i="2"/>
  <c r="L808" i="2"/>
  <c r="N807" i="2"/>
  <c r="M807" i="2"/>
  <c r="L807" i="2"/>
  <c r="N806" i="2"/>
  <c r="M806" i="2"/>
  <c r="L806" i="2"/>
  <c r="N805" i="2"/>
  <c r="M805" i="2"/>
  <c r="L805" i="2"/>
  <c r="N804" i="2"/>
  <c r="M804" i="2"/>
  <c r="L804" i="2"/>
  <c r="N803" i="2"/>
  <c r="M803" i="2"/>
  <c r="L803" i="2"/>
  <c r="N802" i="2"/>
  <c r="M802" i="2"/>
  <c r="L802" i="2"/>
  <c r="N801" i="2"/>
  <c r="M801" i="2"/>
  <c r="L801" i="2"/>
  <c r="N800" i="2"/>
  <c r="M800" i="2"/>
  <c r="L800" i="2"/>
  <c r="N799" i="2"/>
  <c r="M799" i="2"/>
  <c r="L799" i="2"/>
  <c r="N798" i="2"/>
  <c r="M798" i="2"/>
  <c r="L798" i="2"/>
  <c r="N797" i="2"/>
  <c r="M797" i="2"/>
  <c r="L797" i="2"/>
  <c r="N796" i="2"/>
  <c r="M796" i="2"/>
  <c r="L796" i="2"/>
  <c r="N795" i="2"/>
  <c r="M795" i="2"/>
  <c r="L795" i="2"/>
  <c r="N794" i="2"/>
  <c r="M794" i="2"/>
  <c r="L794" i="2"/>
  <c r="N793" i="2"/>
  <c r="M793" i="2"/>
  <c r="L793" i="2"/>
  <c r="N792" i="2"/>
  <c r="M792" i="2"/>
  <c r="L792" i="2"/>
  <c r="N791" i="2"/>
  <c r="M791" i="2"/>
  <c r="L791" i="2"/>
  <c r="N790" i="2"/>
  <c r="M790" i="2"/>
  <c r="L790" i="2"/>
  <c r="N789" i="2"/>
  <c r="M789" i="2"/>
  <c r="L789" i="2"/>
  <c r="N788" i="2"/>
  <c r="M788" i="2"/>
  <c r="L788" i="2"/>
  <c r="N787" i="2"/>
  <c r="M787" i="2"/>
  <c r="L787" i="2"/>
  <c r="N786" i="2"/>
  <c r="M786" i="2"/>
  <c r="L786" i="2"/>
  <c r="N785" i="2"/>
  <c r="M785" i="2"/>
  <c r="L785" i="2"/>
  <c r="N784" i="2"/>
  <c r="M784" i="2"/>
  <c r="L784" i="2"/>
  <c r="N783" i="2"/>
  <c r="M783" i="2"/>
  <c r="L783" i="2"/>
  <c r="N782" i="2"/>
  <c r="M782" i="2"/>
  <c r="L782" i="2"/>
  <c r="N781" i="2"/>
  <c r="M781" i="2"/>
  <c r="L781" i="2"/>
  <c r="N780" i="2"/>
  <c r="M780" i="2"/>
  <c r="L780" i="2"/>
  <c r="N779" i="2"/>
  <c r="M779" i="2"/>
  <c r="L779" i="2"/>
  <c r="N778" i="2"/>
  <c r="M778" i="2"/>
  <c r="L778" i="2"/>
  <c r="N777" i="2"/>
  <c r="M777" i="2"/>
  <c r="L777" i="2"/>
  <c r="N776" i="2"/>
  <c r="M776" i="2"/>
  <c r="L776" i="2"/>
  <c r="N775" i="2"/>
  <c r="M775" i="2"/>
  <c r="L775" i="2"/>
  <c r="N774" i="2"/>
  <c r="M774" i="2"/>
  <c r="L774" i="2"/>
  <c r="N773" i="2"/>
  <c r="M773" i="2"/>
  <c r="L773" i="2"/>
  <c r="N772" i="2"/>
  <c r="M772" i="2"/>
  <c r="L772" i="2"/>
  <c r="N771" i="2"/>
  <c r="M771" i="2"/>
  <c r="L771" i="2"/>
  <c r="N770" i="2"/>
  <c r="M770" i="2"/>
  <c r="L770" i="2"/>
  <c r="N769" i="2"/>
  <c r="M769" i="2"/>
  <c r="L769" i="2"/>
  <c r="N768" i="2"/>
  <c r="M768" i="2"/>
  <c r="L768" i="2"/>
  <c r="N767" i="2"/>
  <c r="M767" i="2"/>
  <c r="L767" i="2"/>
  <c r="N766" i="2"/>
  <c r="M766" i="2"/>
  <c r="L766" i="2"/>
  <c r="N765" i="2"/>
  <c r="M765" i="2"/>
  <c r="L765" i="2"/>
  <c r="N764" i="2"/>
  <c r="M764" i="2"/>
  <c r="L764" i="2"/>
  <c r="N763" i="2"/>
  <c r="M763" i="2"/>
  <c r="L763" i="2"/>
  <c r="N762" i="2"/>
  <c r="M762" i="2"/>
  <c r="L762" i="2"/>
  <c r="N761" i="2"/>
  <c r="M761" i="2"/>
  <c r="L761" i="2"/>
  <c r="N760" i="2"/>
  <c r="M760" i="2"/>
  <c r="L760" i="2"/>
  <c r="N759" i="2"/>
  <c r="M759" i="2"/>
  <c r="L759" i="2"/>
  <c r="N758" i="2"/>
  <c r="M758" i="2"/>
  <c r="L758" i="2"/>
  <c r="N757" i="2"/>
  <c r="M757" i="2"/>
  <c r="L757" i="2"/>
  <c r="N756" i="2"/>
  <c r="M756" i="2"/>
  <c r="L756" i="2"/>
  <c r="N755" i="2"/>
  <c r="M755" i="2"/>
  <c r="L755" i="2"/>
  <c r="N754" i="2"/>
  <c r="M754" i="2"/>
  <c r="L754" i="2"/>
  <c r="N753" i="2"/>
  <c r="M753" i="2"/>
  <c r="L753" i="2"/>
  <c r="N752" i="2"/>
  <c r="M752" i="2"/>
  <c r="L752" i="2"/>
  <c r="N751" i="2"/>
  <c r="M751" i="2"/>
  <c r="L751" i="2"/>
  <c r="N750" i="2"/>
  <c r="M750" i="2"/>
  <c r="L750" i="2"/>
  <c r="N749" i="2"/>
  <c r="M749" i="2"/>
  <c r="L749" i="2"/>
  <c r="N748" i="2"/>
  <c r="M748" i="2"/>
  <c r="L748" i="2"/>
  <c r="N747" i="2"/>
  <c r="M747" i="2"/>
  <c r="L747" i="2"/>
  <c r="N746" i="2"/>
  <c r="M746" i="2"/>
  <c r="L746" i="2"/>
  <c r="N745" i="2"/>
  <c r="M745" i="2"/>
  <c r="L745" i="2"/>
  <c r="N744" i="2"/>
  <c r="M744" i="2"/>
  <c r="L744" i="2"/>
  <c r="N743" i="2"/>
  <c r="M743" i="2"/>
  <c r="L743" i="2"/>
  <c r="N742" i="2"/>
  <c r="M742" i="2"/>
  <c r="L742" i="2"/>
  <c r="N741" i="2"/>
  <c r="M741" i="2"/>
  <c r="L741" i="2"/>
  <c r="N740" i="2"/>
  <c r="M740" i="2"/>
  <c r="L740" i="2"/>
  <c r="N739" i="2"/>
  <c r="M739" i="2"/>
  <c r="L739" i="2"/>
  <c r="N738" i="2"/>
  <c r="M738" i="2"/>
  <c r="L738" i="2"/>
  <c r="N737" i="2"/>
  <c r="M737" i="2"/>
  <c r="L737" i="2"/>
  <c r="N736" i="2"/>
  <c r="M736" i="2"/>
  <c r="L736" i="2"/>
  <c r="N735" i="2"/>
  <c r="M735" i="2"/>
  <c r="L735" i="2"/>
  <c r="N734" i="2"/>
  <c r="M734" i="2"/>
  <c r="L734" i="2"/>
  <c r="N733" i="2"/>
  <c r="M733" i="2"/>
  <c r="L733" i="2"/>
  <c r="N732" i="2"/>
  <c r="M732" i="2"/>
  <c r="L732" i="2"/>
  <c r="N731" i="2"/>
  <c r="M731" i="2"/>
  <c r="L731" i="2"/>
  <c r="N730" i="2"/>
  <c r="M730" i="2"/>
  <c r="L730" i="2"/>
  <c r="N729" i="2"/>
  <c r="M729" i="2"/>
  <c r="L729" i="2"/>
  <c r="N728" i="2"/>
  <c r="M728" i="2"/>
  <c r="L728" i="2"/>
  <c r="N727" i="2"/>
  <c r="M727" i="2"/>
  <c r="L727" i="2"/>
  <c r="N726" i="2"/>
  <c r="M726" i="2"/>
  <c r="L726" i="2"/>
  <c r="N725" i="2"/>
  <c r="M725" i="2"/>
  <c r="L725" i="2"/>
  <c r="N724" i="2"/>
  <c r="M724" i="2"/>
  <c r="L724" i="2"/>
  <c r="N723" i="2"/>
  <c r="M723" i="2"/>
  <c r="L723" i="2"/>
  <c r="N722" i="2"/>
  <c r="M722" i="2"/>
  <c r="L722" i="2"/>
  <c r="N721" i="2"/>
  <c r="M721" i="2"/>
  <c r="L721" i="2"/>
  <c r="N720" i="2"/>
  <c r="M720" i="2"/>
  <c r="L720" i="2"/>
  <c r="N719" i="2"/>
  <c r="M719" i="2"/>
  <c r="L719" i="2"/>
  <c r="N718" i="2"/>
  <c r="M718" i="2"/>
  <c r="L718" i="2"/>
  <c r="N717" i="2"/>
  <c r="M717" i="2"/>
  <c r="L717" i="2"/>
  <c r="N716" i="2"/>
  <c r="M716" i="2"/>
  <c r="L716" i="2"/>
  <c r="N715" i="2"/>
  <c r="M715" i="2"/>
  <c r="L715" i="2"/>
  <c r="N714" i="2"/>
  <c r="M714" i="2"/>
  <c r="L714" i="2"/>
  <c r="N713" i="2"/>
  <c r="M713" i="2"/>
  <c r="L713" i="2"/>
  <c r="N712" i="2"/>
  <c r="M712" i="2"/>
  <c r="L712" i="2"/>
  <c r="N711" i="2"/>
  <c r="M711" i="2"/>
  <c r="L711" i="2"/>
  <c r="N710" i="2"/>
  <c r="M710" i="2"/>
  <c r="L710" i="2"/>
  <c r="N709" i="2"/>
  <c r="M709" i="2"/>
  <c r="L709" i="2"/>
  <c r="N708" i="2"/>
  <c r="M708" i="2"/>
  <c r="L708" i="2"/>
  <c r="N707" i="2"/>
  <c r="M707" i="2"/>
  <c r="L707" i="2"/>
  <c r="N706" i="2"/>
  <c r="M706" i="2"/>
  <c r="L706" i="2"/>
  <c r="N705" i="2"/>
  <c r="M705" i="2"/>
  <c r="L705" i="2"/>
  <c r="N704" i="2"/>
  <c r="M704" i="2"/>
  <c r="L704" i="2"/>
  <c r="N703" i="2"/>
  <c r="M703" i="2"/>
  <c r="L703" i="2"/>
  <c r="N702" i="2"/>
  <c r="M702" i="2"/>
  <c r="L702" i="2"/>
  <c r="N701" i="2"/>
  <c r="M701" i="2"/>
  <c r="L701" i="2"/>
  <c r="N700" i="2"/>
  <c r="M700" i="2"/>
  <c r="L700" i="2"/>
  <c r="N699" i="2"/>
  <c r="M699" i="2"/>
  <c r="L699" i="2"/>
  <c r="N698" i="2"/>
  <c r="M698" i="2"/>
  <c r="L698" i="2"/>
  <c r="N697" i="2"/>
  <c r="M697" i="2"/>
  <c r="L697" i="2"/>
  <c r="N696" i="2"/>
  <c r="M696" i="2"/>
  <c r="L696" i="2"/>
  <c r="N695" i="2"/>
  <c r="M695" i="2"/>
  <c r="L695" i="2"/>
  <c r="N694" i="2"/>
  <c r="M694" i="2"/>
  <c r="L694" i="2"/>
  <c r="N693" i="2"/>
  <c r="M693" i="2"/>
  <c r="L693" i="2"/>
  <c r="N692" i="2"/>
  <c r="M692" i="2"/>
  <c r="L692" i="2"/>
  <c r="N691" i="2"/>
  <c r="M691" i="2"/>
  <c r="L691" i="2"/>
  <c r="N690" i="2"/>
  <c r="M690" i="2"/>
  <c r="L690" i="2"/>
  <c r="N689" i="2"/>
  <c r="M689" i="2"/>
  <c r="L689" i="2"/>
  <c r="N688" i="2"/>
  <c r="M688" i="2"/>
  <c r="L688" i="2"/>
  <c r="N687" i="2"/>
  <c r="M687" i="2"/>
  <c r="L687" i="2"/>
  <c r="N686" i="2"/>
  <c r="M686" i="2"/>
  <c r="L686" i="2"/>
  <c r="N685" i="2"/>
  <c r="M685" i="2"/>
  <c r="L685" i="2"/>
  <c r="N684" i="2"/>
  <c r="M684" i="2"/>
  <c r="L684" i="2"/>
  <c r="N683" i="2"/>
  <c r="M683" i="2"/>
  <c r="L683" i="2"/>
  <c r="N682" i="2"/>
  <c r="M682" i="2"/>
  <c r="L682" i="2"/>
  <c r="N681" i="2"/>
  <c r="M681" i="2"/>
  <c r="L681" i="2"/>
  <c r="N680" i="2"/>
  <c r="M680" i="2"/>
  <c r="L680" i="2"/>
  <c r="N679" i="2"/>
  <c r="M679" i="2"/>
  <c r="L679" i="2"/>
  <c r="N678" i="2"/>
  <c r="M678" i="2"/>
  <c r="L678" i="2"/>
  <c r="N677" i="2"/>
  <c r="M677" i="2"/>
  <c r="L677" i="2"/>
  <c r="N676" i="2"/>
  <c r="M676" i="2"/>
  <c r="L676" i="2"/>
  <c r="N675" i="2"/>
  <c r="M675" i="2"/>
  <c r="L675" i="2"/>
  <c r="N674" i="2"/>
  <c r="M674" i="2"/>
  <c r="L674" i="2"/>
  <c r="N673" i="2"/>
  <c r="M673" i="2"/>
  <c r="L673" i="2"/>
  <c r="N672" i="2"/>
  <c r="M672" i="2"/>
  <c r="L672" i="2"/>
  <c r="N671" i="2"/>
  <c r="M671" i="2"/>
  <c r="L671" i="2"/>
  <c r="N670" i="2"/>
  <c r="M670" i="2"/>
  <c r="L670" i="2"/>
  <c r="N669" i="2"/>
  <c r="M669" i="2"/>
  <c r="L669" i="2"/>
  <c r="N668" i="2"/>
  <c r="M668" i="2"/>
  <c r="L668" i="2"/>
  <c r="N667" i="2"/>
  <c r="M667" i="2"/>
  <c r="L667" i="2"/>
  <c r="N666" i="2"/>
  <c r="M666" i="2"/>
  <c r="L666" i="2"/>
  <c r="N665" i="2"/>
  <c r="M665" i="2"/>
  <c r="L665" i="2"/>
  <c r="N664" i="2"/>
  <c r="M664" i="2"/>
  <c r="L664" i="2"/>
  <c r="N663" i="2"/>
  <c r="M663" i="2"/>
  <c r="L663" i="2"/>
  <c r="N662" i="2"/>
  <c r="M662" i="2"/>
  <c r="L662" i="2"/>
  <c r="N661" i="2"/>
  <c r="M661" i="2"/>
  <c r="L661" i="2"/>
  <c r="N660" i="2"/>
  <c r="M660" i="2"/>
  <c r="L660" i="2"/>
  <c r="N659" i="2"/>
  <c r="M659" i="2"/>
  <c r="L659" i="2"/>
  <c r="N658" i="2"/>
  <c r="M658" i="2"/>
  <c r="L658" i="2"/>
  <c r="N657" i="2"/>
  <c r="M657" i="2"/>
  <c r="L657" i="2"/>
  <c r="N656" i="2"/>
  <c r="M656" i="2"/>
  <c r="L656" i="2"/>
  <c r="N655" i="2"/>
  <c r="M655" i="2"/>
  <c r="L655" i="2"/>
  <c r="N654" i="2"/>
  <c r="M654" i="2"/>
  <c r="L654" i="2"/>
  <c r="N653" i="2"/>
  <c r="M653" i="2"/>
  <c r="L653" i="2"/>
  <c r="N652" i="2"/>
  <c r="M652" i="2"/>
  <c r="L652" i="2"/>
  <c r="N651" i="2"/>
  <c r="M651" i="2"/>
  <c r="L651" i="2"/>
  <c r="N650" i="2"/>
  <c r="M650" i="2"/>
  <c r="L650" i="2"/>
  <c r="N649" i="2"/>
  <c r="M649" i="2"/>
  <c r="L649" i="2"/>
  <c r="N648" i="2"/>
  <c r="M648" i="2"/>
  <c r="L648" i="2"/>
  <c r="N647" i="2"/>
  <c r="M647" i="2"/>
  <c r="L647" i="2"/>
  <c r="N646" i="2"/>
  <c r="M646" i="2"/>
  <c r="L646" i="2"/>
  <c r="N645" i="2"/>
  <c r="M645" i="2"/>
  <c r="L645" i="2"/>
  <c r="N644" i="2"/>
  <c r="M644" i="2"/>
  <c r="L644" i="2"/>
  <c r="N643" i="2"/>
  <c r="M643" i="2"/>
  <c r="L643" i="2"/>
  <c r="N642" i="2"/>
  <c r="M642" i="2"/>
  <c r="L642" i="2"/>
  <c r="N641" i="2"/>
  <c r="M641" i="2"/>
  <c r="L641" i="2"/>
  <c r="N640" i="2"/>
  <c r="M640" i="2"/>
  <c r="L640" i="2"/>
  <c r="N639" i="2"/>
  <c r="M639" i="2"/>
  <c r="L639" i="2"/>
  <c r="N638" i="2"/>
  <c r="M638" i="2"/>
  <c r="L638" i="2"/>
  <c r="N637" i="2"/>
  <c r="M637" i="2"/>
  <c r="L637" i="2"/>
  <c r="N636" i="2"/>
  <c r="M636" i="2"/>
  <c r="L636" i="2"/>
  <c r="N635" i="2"/>
  <c r="M635" i="2"/>
  <c r="L635" i="2"/>
  <c r="N634" i="2"/>
  <c r="M634" i="2"/>
  <c r="L634" i="2"/>
  <c r="N633" i="2"/>
  <c r="M633" i="2"/>
  <c r="L633" i="2"/>
  <c r="N632" i="2"/>
  <c r="M632" i="2"/>
  <c r="L632" i="2"/>
  <c r="N631" i="2"/>
  <c r="M631" i="2"/>
  <c r="L631" i="2"/>
  <c r="N630" i="2"/>
  <c r="M630" i="2"/>
  <c r="L630" i="2"/>
  <c r="N629" i="2"/>
  <c r="M629" i="2"/>
  <c r="L629" i="2"/>
  <c r="N628" i="2"/>
  <c r="M628" i="2"/>
  <c r="L628" i="2"/>
  <c r="N627" i="2"/>
  <c r="M627" i="2"/>
  <c r="L627" i="2"/>
  <c r="N626" i="2"/>
  <c r="M626" i="2"/>
  <c r="L626" i="2"/>
  <c r="N625" i="2"/>
  <c r="M625" i="2"/>
  <c r="L625" i="2"/>
  <c r="N624" i="2"/>
  <c r="M624" i="2"/>
  <c r="L624" i="2"/>
  <c r="N623" i="2"/>
  <c r="M623" i="2"/>
  <c r="L623" i="2"/>
  <c r="N622" i="2"/>
  <c r="M622" i="2"/>
  <c r="L622" i="2"/>
  <c r="N621" i="2"/>
  <c r="M621" i="2"/>
  <c r="L621" i="2"/>
  <c r="N620" i="2"/>
  <c r="M620" i="2"/>
  <c r="L620" i="2"/>
  <c r="N619" i="2"/>
  <c r="M619" i="2"/>
  <c r="L619" i="2"/>
  <c r="N618" i="2"/>
  <c r="M618" i="2"/>
  <c r="L618" i="2"/>
  <c r="N617" i="2"/>
  <c r="M617" i="2"/>
  <c r="L617" i="2"/>
  <c r="N616" i="2"/>
  <c r="M616" i="2"/>
  <c r="L616" i="2"/>
  <c r="N615" i="2"/>
  <c r="M615" i="2"/>
  <c r="L615" i="2"/>
  <c r="N614" i="2"/>
  <c r="M614" i="2"/>
  <c r="L614" i="2"/>
  <c r="N613" i="2"/>
  <c r="M613" i="2"/>
  <c r="L613" i="2"/>
  <c r="N612" i="2"/>
  <c r="M612" i="2"/>
  <c r="L612" i="2"/>
  <c r="N611" i="2"/>
  <c r="M611" i="2"/>
  <c r="L611" i="2"/>
  <c r="N610" i="2"/>
  <c r="M610" i="2"/>
  <c r="L610" i="2"/>
  <c r="N609" i="2"/>
  <c r="M609" i="2"/>
  <c r="L609" i="2"/>
  <c r="N608" i="2"/>
  <c r="M608" i="2"/>
  <c r="L608" i="2"/>
  <c r="N607" i="2"/>
  <c r="M607" i="2"/>
  <c r="L607" i="2"/>
  <c r="N606" i="2"/>
  <c r="M606" i="2"/>
  <c r="L606" i="2"/>
  <c r="N605" i="2"/>
  <c r="M605" i="2"/>
  <c r="L605" i="2"/>
  <c r="N604" i="2"/>
  <c r="M604" i="2"/>
  <c r="L604" i="2"/>
  <c r="N603" i="2"/>
  <c r="M603" i="2"/>
  <c r="L603" i="2"/>
  <c r="N602" i="2"/>
  <c r="M602" i="2"/>
  <c r="L602" i="2"/>
  <c r="N601" i="2"/>
  <c r="M601" i="2"/>
  <c r="L601" i="2"/>
  <c r="N600" i="2"/>
  <c r="M600" i="2"/>
  <c r="L600" i="2"/>
  <c r="N599" i="2"/>
  <c r="M599" i="2"/>
  <c r="L599" i="2"/>
  <c r="N598" i="2"/>
  <c r="M598" i="2"/>
  <c r="L598" i="2"/>
  <c r="N597" i="2"/>
  <c r="M597" i="2"/>
  <c r="L597" i="2"/>
  <c r="N596" i="2"/>
  <c r="M596" i="2"/>
  <c r="L596" i="2"/>
  <c r="N595" i="2"/>
  <c r="M595" i="2"/>
  <c r="L595" i="2"/>
  <c r="N594" i="2"/>
  <c r="M594" i="2"/>
  <c r="L594" i="2"/>
  <c r="N593" i="2"/>
  <c r="M593" i="2"/>
  <c r="L593" i="2"/>
  <c r="N592" i="2"/>
  <c r="M592" i="2"/>
  <c r="L592" i="2"/>
  <c r="N591" i="2"/>
  <c r="M591" i="2"/>
  <c r="L591" i="2"/>
  <c r="N590" i="2"/>
  <c r="M590" i="2"/>
  <c r="L590" i="2"/>
  <c r="N589" i="2"/>
  <c r="M589" i="2"/>
  <c r="L589" i="2"/>
  <c r="N588" i="2"/>
  <c r="M588" i="2"/>
  <c r="L588" i="2"/>
  <c r="N587" i="2"/>
  <c r="M587" i="2"/>
  <c r="L587" i="2"/>
  <c r="N586" i="2"/>
  <c r="M586" i="2"/>
  <c r="L586" i="2"/>
  <c r="N585" i="2"/>
  <c r="M585" i="2"/>
  <c r="L585" i="2"/>
  <c r="N584" i="2"/>
  <c r="M584" i="2"/>
  <c r="L584" i="2"/>
  <c r="N583" i="2"/>
  <c r="M583" i="2"/>
  <c r="L583" i="2"/>
  <c r="N582" i="2"/>
  <c r="M582" i="2"/>
  <c r="L582" i="2"/>
  <c r="N581" i="2"/>
  <c r="M581" i="2"/>
  <c r="L581" i="2"/>
  <c r="N580" i="2"/>
  <c r="M580" i="2"/>
  <c r="L580" i="2"/>
  <c r="N579" i="2"/>
  <c r="M579" i="2"/>
  <c r="L579" i="2"/>
  <c r="N578" i="2"/>
  <c r="M578" i="2"/>
  <c r="L578" i="2"/>
  <c r="N577" i="2"/>
  <c r="M577" i="2"/>
  <c r="L577" i="2"/>
  <c r="N576" i="2"/>
  <c r="M576" i="2"/>
  <c r="L576" i="2"/>
  <c r="N575" i="2"/>
  <c r="M575" i="2"/>
  <c r="L575" i="2"/>
  <c r="N574" i="2"/>
  <c r="M574" i="2"/>
  <c r="L574" i="2"/>
  <c r="N573" i="2"/>
  <c r="M573" i="2"/>
  <c r="L573" i="2"/>
  <c r="N572" i="2"/>
  <c r="M572" i="2"/>
  <c r="L572" i="2"/>
  <c r="N571" i="2"/>
  <c r="M571" i="2"/>
  <c r="L571" i="2"/>
  <c r="N570" i="2"/>
  <c r="M570" i="2"/>
  <c r="L570" i="2"/>
  <c r="N569" i="2"/>
  <c r="M569" i="2"/>
  <c r="L569" i="2"/>
  <c r="N568" i="2"/>
  <c r="M568" i="2"/>
  <c r="L568" i="2"/>
  <c r="N567" i="2"/>
  <c r="M567" i="2"/>
  <c r="L567" i="2"/>
  <c r="N566" i="2"/>
  <c r="M566" i="2"/>
  <c r="L566" i="2"/>
  <c r="N565" i="2"/>
  <c r="M565" i="2"/>
  <c r="L565" i="2"/>
  <c r="N564" i="2"/>
  <c r="M564" i="2"/>
  <c r="L564" i="2"/>
  <c r="N563" i="2"/>
  <c r="M563" i="2"/>
  <c r="L563" i="2"/>
  <c r="N562" i="2"/>
  <c r="M562" i="2"/>
  <c r="L562" i="2"/>
  <c r="N561" i="2"/>
  <c r="M561" i="2"/>
  <c r="L561" i="2"/>
  <c r="N560" i="2"/>
  <c r="M560" i="2"/>
  <c r="L560" i="2"/>
  <c r="N559" i="2"/>
  <c r="M559" i="2"/>
  <c r="L559" i="2"/>
  <c r="N558" i="2"/>
  <c r="M558" i="2"/>
  <c r="L558" i="2"/>
  <c r="N557" i="2"/>
  <c r="M557" i="2"/>
  <c r="L557" i="2"/>
  <c r="N556" i="2"/>
  <c r="M556" i="2"/>
  <c r="L556" i="2"/>
  <c r="N555" i="2"/>
  <c r="M555" i="2"/>
  <c r="L555" i="2"/>
  <c r="N554" i="2"/>
  <c r="M554" i="2"/>
  <c r="L554" i="2"/>
  <c r="N553" i="2"/>
  <c r="M553" i="2"/>
  <c r="L553" i="2"/>
  <c r="N552" i="2"/>
  <c r="M552" i="2"/>
  <c r="L552" i="2"/>
  <c r="N551" i="2"/>
  <c r="M551" i="2"/>
  <c r="L551" i="2"/>
  <c r="N550" i="2"/>
  <c r="M550" i="2"/>
  <c r="L550" i="2"/>
  <c r="N549" i="2"/>
  <c r="M549" i="2"/>
  <c r="L549" i="2"/>
  <c r="N548" i="2"/>
  <c r="M548" i="2"/>
  <c r="L548" i="2"/>
  <c r="N547" i="2"/>
  <c r="M547" i="2"/>
  <c r="L547" i="2"/>
  <c r="N546" i="2"/>
  <c r="M546" i="2"/>
  <c r="L546" i="2"/>
  <c r="N545" i="2"/>
  <c r="M545" i="2"/>
  <c r="L545" i="2"/>
  <c r="N544" i="2"/>
  <c r="M544" i="2"/>
  <c r="L544" i="2"/>
  <c r="N543" i="2"/>
  <c r="M543" i="2"/>
  <c r="L543" i="2"/>
  <c r="N542" i="2"/>
  <c r="M542" i="2"/>
  <c r="L542" i="2"/>
  <c r="N541" i="2"/>
  <c r="M541" i="2"/>
  <c r="L541" i="2"/>
  <c r="N540" i="2"/>
  <c r="M540" i="2"/>
  <c r="L540" i="2"/>
  <c r="N539" i="2"/>
  <c r="M539" i="2"/>
  <c r="L539" i="2"/>
  <c r="N538" i="2"/>
  <c r="M538" i="2"/>
  <c r="L538" i="2"/>
  <c r="N537" i="2"/>
  <c r="M537" i="2"/>
  <c r="L537" i="2"/>
  <c r="N536" i="2"/>
  <c r="M536" i="2"/>
  <c r="L536" i="2"/>
  <c r="N535" i="2"/>
  <c r="M535" i="2"/>
  <c r="L535" i="2"/>
  <c r="N534" i="2"/>
  <c r="M534" i="2"/>
  <c r="L534" i="2"/>
  <c r="N533" i="2"/>
  <c r="M533" i="2"/>
  <c r="L533" i="2"/>
  <c r="N532" i="2"/>
  <c r="M532" i="2"/>
  <c r="L532" i="2"/>
  <c r="N531" i="2"/>
  <c r="M531" i="2"/>
  <c r="L531" i="2"/>
  <c r="N530" i="2"/>
  <c r="M530" i="2"/>
  <c r="L530" i="2"/>
  <c r="N529" i="2"/>
  <c r="M529" i="2"/>
  <c r="L529" i="2"/>
  <c r="N528" i="2"/>
  <c r="M528" i="2"/>
  <c r="L528" i="2"/>
  <c r="N527" i="2"/>
  <c r="M527" i="2"/>
  <c r="L527" i="2"/>
  <c r="N526" i="2"/>
  <c r="M526" i="2"/>
  <c r="L526" i="2"/>
  <c r="N525" i="2"/>
  <c r="M525" i="2"/>
  <c r="L525" i="2"/>
  <c r="N524" i="2"/>
  <c r="M524" i="2"/>
  <c r="L524" i="2"/>
  <c r="N523" i="2"/>
  <c r="M523" i="2"/>
  <c r="L523" i="2"/>
  <c r="N522" i="2"/>
  <c r="M522" i="2"/>
  <c r="L522" i="2"/>
  <c r="N521" i="2"/>
  <c r="M521" i="2"/>
  <c r="L521" i="2"/>
  <c r="N520" i="2"/>
  <c r="M520" i="2"/>
  <c r="L520" i="2"/>
  <c r="N519" i="2"/>
  <c r="M519" i="2"/>
  <c r="L519" i="2"/>
  <c r="N518" i="2"/>
  <c r="M518" i="2"/>
  <c r="L518" i="2"/>
  <c r="N517" i="2"/>
  <c r="M517" i="2"/>
  <c r="L517" i="2"/>
  <c r="N516" i="2"/>
  <c r="M516" i="2"/>
  <c r="L516" i="2"/>
  <c r="N515" i="2"/>
  <c r="M515" i="2"/>
  <c r="L515" i="2"/>
  <c r="N514" i="2"/>
  <c r="M514" i="2"/>
  <c r="L514" i="2"/>
  <c r="N513" i="2"/>
  <c r="M513" i="2"/>
  <c r="L513" i="2"/>
  <c r="N512" i="2"/>
  <c r="M512" i="2"/>
  <c r="L512" i="2"/>
  <c r="N511" i="2"/>
  <c r="M511" i="2"/>
  <c r="L511" i="2"/>
  <c r="N510" i="2"/>
  <c r="M510" i="2"/>
  <c r="L510" i="2"/>
  <c r="N509" i="2"/>
  <c r="M509" i="2"/>
  <c r="L509" i="2"/>
  <c r="N508" i="2"/>
  <c r="M508" i="2"/>
  <c r="L508" i="2"/>
  <c r="N507" i="2"/>
  <c r="M507" i="2"/>
  <c r="L507" i="2"/>
  <c r="N506" i="2"/>
  <c r="M506" i="2"/>
  <c r="L506" i="2"/>
  <c r="N505" i="2"/>
  <c r="M505" i="2"/>
  <c r="L505" i="2"/>
  <c r="N504" i="2"/>
  <c r="M504" i="2"/>
  <c r="L504" i="2"/>
  <c r="N503" i="2"/>
  <c r="M503" i="2"/>
  <c r="L503" i="2"/>
  <c r="N502" i="2"/>
  <c r="M502" i="2"/>
  <c r="L502" i="2"/>
  <c r="N501" i="2"/>
  <c r="M501" i="2"/>
  <c r="L501" i="2"/>
  <c r="N500" i="2"/>
  <c r="M500" i="2"/>
  <c r="L500" i="2"/>
  <c r="N499" i="2"/>
  <c r="M499" i="2"/>
  <c r="L499" i="2"/>
  <c r="N498" i="2"/>
  <c r="M498" i="2"/>
  <c r="L498" i="2"/>
  <c r="N497" i="2"/>
  <c r="M497" i="2"/>
  <c r="L497" i="2"/>
  <c r="N496" i="2"/>
  <c r="M496" i="2"/>
  <c r="L496" i="2"/>
  <c r="N495" i="2"/>
  <c r="M495" i="2"/>
  <c r="L495" i="2"/>
  <c r="N494" i="2"/>
  <c r="M494" i="2"/>
  <c r="L494" i="2"/>
  <c r="N493" i="2"/>
  <c r="M493" i="2"/>
  <c r="L493" i="2"/>
  <c r="N492" i="2"/>
  <c r="M492" i="2"/>
  <c r="L492" i="2"/>
  <c r="N491" i="2"/>
  <c r="M491" i="2"/>
  <c r="L491" i="2"/>
  <c r="N490" i="2"/>
  <c r="M490" i="2"/>
  <c r="L490" i="2"/>
  <c r="N489" i="2"/>
  <c r="M489" i="2"/>
  <c r="L489" i="2"/>
  <c r="N488" i="2"/>
  <c r="M488" i="2"/>
  <c r="L488" i="2"/>
  <c r="N487" i="2"/>
  <c r="M487" i="2"/>
  <c r="L487" i="2"/>
  <c r="N486" i="2"/>
  <c r="M486" i="2"/>
  <c r="L486" i="2"/>
  <c r="N485" i="2"/>
  <c r="M485" i="2"/>
  <c r="L485" i="2"/>
  <c r="N484" i="2"/>
  <c r="M484" i="2"/>
  <c r="L484" i="2"/>
  <c r="N483" i="2"/>
  <c r="M483" i="2"/>
  <c r="L483" i="2"/>
  <c r="N482" i="2"/>
  <c r="M482" i="2"/>
  <c r="L482" i="2"/>
  <c r="N481" i="2"/>
  <c r="M481" i="2"/>
  <c r="L481" i="2"/>
  <c r="N480" i="2"/>
  <c r="M480" i="2"/>
  <c r="L480" i="2"/>
  <c r="N479" i="2"/>
  <c r="M479" i="2"/>
  <c r="L479" i="2"/>
  <c r="N478" i="2"/>
  <c r="M478" i="2"/>
  <c r="L478" i="2"/>
  <c r="N477" i="2"/>
  <c r="M477" i="2"/>
  <c r="L477" i="2"/>
  <c r="N476" i="2"/>
  <c r="M476" i="2"/>
  <c r="L476" i="2"/>
  <c r="N475" i="2"/>
  <c r="M475" i="2"/>
  <c r="L475" i="2"/>
  <c r="N474" i="2"/>
  <c r="M474" i="2"/>
  <c r="L474" i="2"/>
  <c r="N473" i="2"/>
  <c r="M473" i="2"/>
  <c r="L473" i="2"/>
  <c r="N472" i="2"/>
  <c r="M472" i="2"/>
  <c r="L472" i="2"/>
  <c r="N471" i="2"/>
  <c r="M471" i="2"/>
  <c r="L471" i="2"/>
  <c r="N470" i="2"/>
  <c r="M470" i="2"/>
  <c r="L470" i="2"/>
  <c r="N469" i="2"/>
  <c r="M469" i="2"/>
  <c r="L469" i="2"/>
  <c r="N468" i="2"/>
  <c r="M468" i="2"/>
  <c r="L468" i="2"/>
  <c r="N467" i="2"/>
  <c r="M467" i="2"/>
  <c r="L467" i="2"/>
  <c r="N466" i="2"/>
  <c r="M466" i="2"/>
  <c r="L466" i="2"/>
  <c r="N465" i="2"/>
  <c r="M465" i="2"/>
  <c r="L465" i="2"/>
  <c r="N464" i="2"/>
  <c r="M464" i="2"/>
  <c r="L464" i="2"/>
  <c r="N463" i="2"/>
  <c r="M463" i="2"/>
  <c r="L463" i="2"/>
  <c r="N462" i="2"/>
  <c r="M462" i="2"/>
  <c r="L462" i="2"/>
  <c r="N461" i="2"/>
  <c r="M461" i="2"/>
  <c r="L461" i="2"/>
  <c r="N460" i="2"/>
  <c r="M460" i="2"/>
  <c r="L460" i="2"/>
  <c r="N459" i="2"/>
  <c r="M459" i="2"/>
  <c r="L459" i="2"/>
  <c r="N458" i="2"/>
  <c r="M458" i="2"/>
  <c r="L458" i="2"/>
  <c r="N457" i="2"/>
  <c r="M457" i="2"/>
  <c r="L457" i="2"/>
  <c r="N456" i="2"/>
  <c r="M456" i="2"/>
  <c r="L456" i="2"/>
  <c r="N455" i="2"/>
  <c r="M455" i="2"/>
  <c r="L455" i="2"/>
  <c r="N454" i="2"/>
  <c r="M454" i="2"/>
  <c r="L454" i="2"/>
  <c r="N453" i="2"/>
  <c r="M453" i="2"/>
  <c r="L453" i="2"/>
  <c r="N452" i="2"/>
  <c r="M452" i="2"/>
  <c r="L452" i="2"/>
  <c r="N451" i="2"/>
  <c r="M451" i="2"/>
  <c r="L451" i="2"/>
  <c r="N450" i="2"/>
  <c r="M450" i="2"/>
  <c r="L450" i="2"/>
  <c r="N449" i="2"/>
  <c r="M449" i="2"/>
  <c r="L449" i="2"/>
  <c r="N448" i="2"/>
  <c r="M448" i="2"/>
  <c r="L448" i="2"/>
  <c r="N447" i="2"/>
  <c r="M447" i="2"/>
  <c r="L447" i="2"/>
  <c r="N446" i="2"/>
  <c r="M446" i="2"/>
  <c r="L446" i="2"/>
  <c r="N445" i="2"/>
  <c r="M445" i="2"/>
  <c r="L445" i="2"/>
  <c r="N444" i="2"/>
  <c r="M444" i="2"/>
  <c r="L444" i="2"/>
  <c r="N443" i="2"/>
  <c r="M443" i="2"/>
  <c r="L443" i="2"/>
  <c r="N442" i="2"/>
  <c r="M442" i="2"/>
  <c r="L442" i="2"/>
  <c r="N441" i="2"/>
  <c r="M441" i="2"/>
  <c r="L441" i="2"/>
  <c r="N440" i="2"/>
  <c r="M440" i="2"/>
  <c r="L440" i="2"/>
  <c r="N439" i="2"/>
  <c r="M439" i="2"/>
  <c r="L439" i="2"/>
  <c r="N438" i="2"/>
  <c r="M438" i="2"/>
  <c r="L438" i="2"/>
  <c r="N437" i="2"/>
  <c r="M437" i="2"/>
  <c r="L437" i="2"/>
  <c r="N436" i="2"/>
  <c r="M436" i="2"/>
  <c r="L436" i="2"/>
  <c r="N435" i="2"/>
  <c r="M435" i="2"/>
  <c r="L435" i="2"/>
  <c r="N434" i="2"/>
  <c r="M434" i="2"/>
  <c r="L434" i="2"/>
  <c r="N433" i="2"/>
  <c r="M433" i="2"/>
  <c r="L433" i="2"/>
  <c r="N432" i="2"/>
  <c r="M432" i="2"/>
  <c r="L432" i="2"/>
  <c r="N431" i="2"/>
  <c r="M431" i="2"/>
  <c r="L431" i="2"/>
  <c r="N430" i="2"/>
  <c r="M430" i="2"/>
  <c r="L430" i="2"/>
  <c r="N429" i="2"/>
  <c r="M429" i="2"/>
  <c r="L429" i="2"/>
  <c r="N428" i="2"/>
  <c r="M428" i="2"/>
  <c r="L428" i="2"/>
  <c r="N427" i="2"/>
  <c r="M427" i="2"/>
  <c r="L427" i="2"/>
  <c r="N426" i="2"/>
  <c r="M426" i="2"/>
  <c r="L426" i="2"/>
  <c r="N425" i="2"/>
  <c r="M425" i="2"/>
  <c r="L425" i="2"/>
  <c r="N424" i="2"/>
  <c r="M424" i="2"/>
  <c r="L424" i="2"/>
  <c r="N423" i="2"/>
  <c r="M423" i="2"/>
  <c r="L423" i="2"/>
  <c r="N422" i="2"/>
  <c r="M422" i="2"/>
  <c r="L422" i="2"/>
  <c r="N421" i="2"/>
  <c r="M421" i="2"/>
  <c r="L421" i="2"/>
  <c r="N420" i="2"/>
  <c r="M420" i="2"/>
  <c r="L420" i="2"/>
  <c r="N419" i="2"/>
  <c r="M419" i="2"/>
  <c r="L419" i="2"/>
  <c r="N418" i="2"/>
  <c r="M418" i="2"/>
  <c r="L418" i="2"/>
  <c r="N417" i="2"/>
  <c r="M417" i="2"/>
  <c r="L417" i="2"/>
  <c r="N416" i="2"/>
  <c r="M416" i="2"/>
  <c r="L416" i="2"/>
  <c r="N415" i="2"/>
  <c r="M415" i="2"/>
  <c r="L415" i="2"/>
  <c r="N414" i="2"/>
  <c r="M414" i="2"/>
  <c r="L414" i="2"/>
  <c r="N413" i="2"/>
  <c r="M413" i="2"/>
  <c r="L413" i="2"/>
  <c r="N412" i="2"/>
  <c r="M412" i="2"/>
  <c r="L412" i="2"/>
  <c r="N411" i="2"/>
  <c r="M411" i="2"/>
  <c r="L411" i="2"/>
  <c r="N410" i="2"/>
  <c r="M410" i="2"/>
  <c r="L410" i="2"/>
  <c r="N409" i="2"/>
  <c r="M409" i="2"/>
  <c r="L409" i="2"/>
  <c r="N408" i="2"/>
  <c r="M408" i="2"/>
  <c r="L408" i="2"/>
  <c r="N407" i="2"/>
  <c r="M407" i="2"/>
  <c r="L407" i="2"/>
  <c r="N406" i="2"/>
  <c r="M406" i="2"/>
  <c r="L406" i="2"/>
  <c r="N405" i="2"/>
  <c r="M405" i="2"/>
  <c r="L405" i="2"/>
  <c r="N404" i="2"/>
  <c r="M404" i="2"/>
  <c r="L404" i="2"/>
  <c r="N403" i="2"/>
  <c r="M403" i="2"/>
  <c r="L403" i="2"/>
  <c r="N402" i="2"/>
  <c r="M402" i="2"/>
  <c r="L402" i="2"/>
  <c r="N401" i="2"/>
  <c r="M401" i="2"/>
  <c r="L401" i="2"/>
  <c r="N400" i="2"/>
  <c r="M400" i="2"/>
  <c r="L400" i="2"/>
  <c r="N399" i="2"/>
  <c r="M399" i="2"/>
  <c r="L399" i="2"/>
  <c r="N398" i="2"/>
  <c r="M398" i="2"/>
  <c r="L398" i="2"/>
  <c r="N397" i="2"/>
  <c r="M397" i="2"/>
  <c r="L397" i="2"/>
  <c r="N396" i="2"/>
  <c r="M396" i="2"/>
  <c r="L396" i="2"/>
  <c r="N395" i="2"/>
  <c r="M395" i="2"/>
  <c r="L395" i="2"/>
  <c r="N394" i="2"/>
  <c r="M394" i="2"/>
  <c r="L394" i="2"/>
  <c r="N393" i="2"/>
  <c r="M393" i="2"/>
  <c r="L393" i="2"/>
  <c r="N392" i="2"/>
  <c r="M392" i="2"/>
  <c r="L392" i="2"/>
  <c r="N391" i="2"/>
  <c r="M391" i="2"/>
  <c r="L391" i="2"/>
  <c r="N390" i="2"/>
  <c r="M390" i="2"/>
  <c r="L390" i="2"/>
  <c r="N389" i="2"/>
  <c r="M389" i="2"/>
  <c r="L389" i="2"/>
  <c r="N388" i="2"/>
  <c r="M388" i="2"/>
  <c r="L388" i="2"/>
  <c r="N387" i="2"/>
  <c r="M387" i="2"/>
  <c r="L387" i="2"/>
  <c r="N386" i="2"/>
  <c r="M386" i="2"/>
  <c r="L386" i="2"/>
  <c r="N385" i="2"/>
  <c r="M385" i="2"/>
  <c r="L385" i="2"/>
  <c r="N384" i="2"/>
  <c r="M384" i="2"/>
  <c r="L384" i="2"/>
  <c r="N383" i="2"/>
  <c r="M383" i="2"/>
  <c r="L383" i="2"/>
  <c r="N382" i="2"/>
  <c r="M382" i="2"/>
  <c r="L382" i="2"/>
  <c r="N381" i="2"/>
  <c r="M381" i="2"/>
  <c r="L381" i="2"/>
  <c r="N380" i="2"/>
  <c r="M380" i="2"/>
  <c r="L380" i="2"/>
  <c r="N379" i="2"/>
  <c r="M379" i="2"/>
  <c r="L379" i="2"/>
  <c r="N378" i="2"/>
  <c r="M378" i="2"/>
  <c r="L378" i="2"/>
  <c r="N377" i="2"/>
  <c r="M377" i="2"/>
  <c r="L377" i="2"/>
  <c r="N376" i="2"/>
  <c r="M376" i="2"/>
  <c r="L376" i="2"/>
  <c r="N375" i="2"/>
  <c r="M375" i="2"/>
  <c r="L375" i="2"/>
  <c r="N374" i="2"/>
  <c r="M374" i="2"/>
  <c r="L374" i="2"/>
  <c r="N373" i="2"/>
  <c r="M373" i="2"/>
  <c r="L373" i="2"/>
  <c r="N372" i="2"/>
  <c r="M372" i="2"/>
  <c r="L372" i="2"/>
  <c r="N371" i="2"/>
  <c r="M371" i="2"/>
  <c r="L371" i="2"/>
  <c r="N370" i="2"/>
  <c r="M370" i="2"/>
  <c r="L370" i="2"/>
  <c r="N369" i="2"/>
  <c r="M369" i="2"/>
  <c r="L369" i="2"/>
  <c r="N368" i="2"/>
  <c r="M368" i="2"/>
  <c r="L368" i="2"/>
  <c r="N367" i="2"/>
  <c r="M367" i="2"/>
  <c r="L367" i="2"/>
  <c r="N366" i="2"/>
  <c r="M366" i="2"/>
  <c r="L366" i="2"/>
  <c r="N365" i="2"/>
  <c r="M365" i="2"/>
  <c r="L365" i="2"/>
  <c r="N364" i="2"/>
  <c r="M364" i="2"/>
  <c r="L364" i="2"/>
  <c r="N363" i="2"/>
  <c r="M363" i="2"/>
  <c r="L363" i="2"/>
  <c r="N362" i="2"/>
  <c r="M362" i="2"/>
  <c r="L362" i="2"/>
  <c r="N361" i="2"/>
  <c r="M361" i="2"/>
  <c r="L361" i="2"/>
  <c r="N360" i="2"/>
  <c r="M360" i="2"/>
  <c r="L360" i="2"/>
  <c r="N359" i="2"/>
  <c r="M359" i="2"/>
  <c r="L359" i="2"/>
  <c r="N358" i="2"/>
  <c r="M358" i="2"/>
  <c r="L358" i="2"/>
  <c r="N357" i="2"/>
  <c r="M357" i="2"/>
  <c r="L357" i="2"/>
  <c r="N356" i="2"/>
  <c r="M356" i="2"/>
  <c r="L356" i="2"/>
  <c r="N355" i="2"/>
  <c r="M355" i="2"/>
  <c r="L355" i="2"/>
  <c r="N354" i="2"/>
  <c r="M354" i="2"/>
  <c r="L354" i="2"/>
  <c r="N353" i="2"/>
  <c r="M353" i="2"/>
  <c r="L353" i="2"/>
  <c r="N352" i="2"/>
  <c r="M352" i="2"/>
  <c r="L352" i="2"/>
  <c r="N351" i="2"/>
  <c r="M351" i="2"/>
  <c r="L351" i="2"/>
  <c r="N350" i="2"/>
  <c r="M350" i="2"/>
  <c r="L350" i="2"/>
  <c r="N349" i="2"/>
  <c r="M349" i="2"/>
  <c r="L349" i="2"/>
  <c r="N348" i="2"/>
  <c r="M348" i="2"/>
  <c r="L348" i="2"/>
  <c r="N347" i="2"/>
  <c r="M347" i="2"/>
  <c r="L347" i="2"/>
  <c r="N346" i="2"/>
  <c r="M346" i="2"/>
  <c r="L346" i="2"/>
  <c r="N345" i="2"/>
  <c r="M345" i="2"/>
  <c r="L345" i="2"/>
  <c r="N344" i="2"/>
  <c r="M344" i="2"/>
  <c r="L344" i="2"/>
  <c r="N343" i="2"/>
  <c r="M343" i="2"/>
  <c r="L343" i="2"/>
  <c r="N342" i="2"/>
  <c r="M342" i="2"/>
  <c r="L342" i="2"/>
  <c r="N341" i="2"/>
  <c r="M341" i="2"/>
  <c r="L341" i="2"/>
  <c r="N340" i="2"/>
  <c r="M340" i="2"/>
  <c r="L340" i="2"/>
  <c r="N339" i="2"/>
  <c r="M339" i="2"/>
  <c r="L339" i="2"/>
  <c r="N338" i="2"/>
  <c r="M338" i="2"/>
  <c r="L338" i="2"/>
  <c r="N337" i="2"/>
  <c r="M337" i="2"/>
  <c r="L337" i="2"/>
  <c r="N336" i="2"/>
  <c r="M336" i="2"/>
  <c r="L336" i="2"/>
  <c r="N335" i="2"/>
  <c r="M335" i="2"/>
  <c r="L335" i="2"/>
  <c r="N334" i="2"/>
  <c r="M334" i="2"/>
  <c r="L334" i="2"/>
  <c r="N333" i="2"/>
  <c r="M333" i="2"/>
  <c r="L333" i="2"/>
  <c r="N332" i="2"/>
  <c r="M332" i="2"/>
  <c r="L332" i="2"/>
  <c r="N331" i="2"/>
  <c r="M331" i="2"/>
  <c r="L331" i="2"/>
  <c r="N330" i="2"/>
  <c r="M330" i="2"/>
  <c r="L330" i="2"/>
  <c r="N329" i="2"/>
  <c r="M329" i="2"/>
  <c r="L329" i="2"/>
  <c r="N328" i="2"/>
  <c r="M328" i="2"/>
  <c r="L328" i="2"/>
  <c r="N327" i="2"/>
  <c r="M327" i="2"/>
  <c r="L327" i="2"/>
  <c r="N326" i="2"/>
  <c r="M326" i="2"/>
  <c r="L326" i="2"/>
  <c r="N325" i="2"/>
  <c r="M325" i="2"/>
  <c r="L325" i="2"/>
  <c r="N324" i="2"/>
  <c r="M324" i="2"/>
  <c r="L324" i="2"/>
  <c r="N323" i="2"/>
  <c r="M323" i="2"/>
  <c r="L323" i="2"/>
  <c r="N322" i="2"/>
  <c r="M322" i="2"/>
  <c r="L322" i="2"/>
  <c r="N321" i="2"/>
  <c r="M321" i="2"/>
  <c r="L321" i="2"/>
  <c r="N320" i="2"/>
  <c r="M320" i="2"/>
  <c r="L320" i="2"/>
  <c r="N319" i="2"/>
  <c r="M319" i="2"/>
  <c r="L319" i="2"/>
  <c r="N318" i="2"/>
  <c r="M318" i="2"/>
  <c r="L318" i="2"/>
  <c r="N317" i="2"/>
  <c r="M317" i="2"/>
  <c r="L317" i="2"/>
  <c r="N316" i="2"/>
  <c r="M316" i="2"/>
  <c r="L316" i="2"/>
  <c r="N315" i="2"/>
  <c r="M315" i="2"/>
  <c r="L315" i="2"/>
  <c r="N314" i="2"/>
  <c r="M314" i="2"/>
  <c r="L314" i="2"/>
  <c r="N313" i="2"/>
  <c r="M313" i="2"/>
  <c r="L313" i="2"/>
  <c r="N312" i="2"/>
  <c r="M312" i="2"/>
  <c r="L312" i="2"/>
  <c r="N311" i="2"/>
  <c r="M311" i="2"/>
  <c r="L311" i="2"/>
  <c r="N310" i="2"/>
  <c r="M310" i="2"/>
  <c r="L310" i="2"/>
  <c r="N309" i="2"/>
  <c r="M309" i="2"/>
  <c r="L309" i="2"/>
  <c r="N308" i="2"/>
  <c r="M308" i="2"/>
  <c r="L308" i="2"/>
  <c r="N307" i="2"/>
  <c r="M307" i="2"/>
  <c r="L307" i="2"/>
  <c r="N306" i="2"/>
  <c r="M306" i="2"/>
  <c r="L306" i="2"/>
  <c r="N305" i="2"/>
  <c r="M305" i="2"/>
  <c r="L305" i="2"/>
  <c r="N304" i="2"/>
  <c r="M304" i="2"/>
  <c r="L304" i="2"/>
  <c r="N303" i="2"/>
  <c r="M303" i="2"/>
  <c r="L303" i="2"/>
  <c r="N302" i="2"/>
  <c r="M302" i="2"/>
  <c r="L302" i="2"/>
  <c r="N301" i="2"/>
  <c r="M301" i="2"/>
  <c r="L301" i="2"/>
  <c r="N300" i="2"/>
  <c r="M300" i="2"/>
  <c r="L300" i="2"/>
  <c r="N299" i="2"/>
  <c r="M299" i="2"/>
  <c r="L299" i="2"/>
  <c r="N298" i="2"/>
  <c r="M298" i="2"/>
  <c r="L298" i="2"/>
  <c r="N297" i="2"/>
  <c r="M297" i="2"/>
  <c r="L297" i="2"/>
  <c r="N296" i="2"/>
  <c r="M296" i="2"/>
  <c r="L296" i="2"/>
  <c r="N295" i="2"/>
  <c r="M295" i="2"/>
  <c r="L295" i="2"/>
  <c r="N294" i="2"/>
  <c r="M294" i="2"/>
  <c r="L294" i="2"/>
  <c r="N293" i="2"/>
  <c r="M293" i="2"/>
  <c r="L293" i="2"/>
  <c r="N292" i="2"/>
  <c r="M292" i="2"/>
  <c r="L292" i="2"/>
  <c r="N291" i="2"/>
  <c r="M291" i="2"/>
  <c r="L291" i="2"/>
  <c r="N290" i="2"/>
  <c r="M290" i="2"/>
  <c r="L290" i="2"/>
  <c r="N289" i="2"/>
  <c r="M289" i="2"/>
  <c r="L289" i="2"/>
  <c r="N288" i="2"/>
  <c r="M288" i="2"/>
  <c r="L288" i="2"/>
  <c r="N287" i="2"/>
  <c r="M287" i="2"/>
  <c r="L287" i="2"/>
  <c r="N286" i="2"/>
  <c r="M286" i="2"/>
  <c r="L286" i="2"/>
  <c r="N285" i="2"/>
  <c r="M285" i="2"/>
  <c r="L285" i="2"/>
  <c r="N284" i="2"/>
  <c r="M284" i="2"/>
  <c r="L284" i="2"/>
  <c r="N283" i="2"/>
  <c r="M283" i="2"/>
  <c r="L283" i="2"/>
  <c r="N282" i="2"/>
  <c r="M282" i="2"/>
  <c r="L282" i="2"/>
  <c r="N281" i="2"/>
  <c r="M281" i="2"/>
  <c r="L281" i="2"/>
  <c r="N280" i="2"/>
  <c r="M280" i="2"/>
  <c r="L280" i="2"/>
  <c r="N279" i="2"/>
  <c r="M279" i="2"/>
  <c r="L279" i="2"/>
  <c r="N278" i="2"/>
  <c r="M278" i="2"/>
  <c r="L278" i="2"/>
  <c r="N277" i="2"/>
  <c r="M277" i="2"/>
  <c r="L277" i="2"/>
  <c r="N276" i="2"/>
  <c r="M276" i="2"/>
  <c r="L276" i="2"/>
  <c r="N275" i="2"/>
  <c r="M275" i="2"/>
  <c r="L275" i="2"/>
  <c r="N274" i="2"/>
  <c r="M274" i="2"/>
  <c r="L274" i="2"/>
  <c r="N273" i="2"/>
  <c r="M273" i="2"/>
  <c r="L273" i="2"/>
  <c r="N272" i="2"/>
  <c r="M272" i="2"/>
  <c r="L272" i="2"/>
  <c r="N271" i="2"/>
  <c r="M271" i="2"/>
  <c r="L271" i="2"/>
  <c r="N270" i="2"/>
  <c r="M270" i="2"/>
  <c r="L270" i="2"/>
  <c r="N269" i="2"/>
  <c r="M269" i="2"/>
  <c r="L269" i="2"/>
  <c r="N268" i="2"/>
  <c r="M268" i="2"/>
  <c r="L268" i="2"/>
  <c r="N267" i="2"/>
  <c r="M267" i="2"/>
  <c r="L267" i="2"/>
  <c r="N266" i="2"/>
  <c r="M266" i="2"/>
  <c r="L266" i="2"/>
  <c r="N265" i="2"/>
  <c r="M265" i="2"/>
  <c r="L265" i="2"/>
  <c r="N264" i="2"/>
  <c r="M264" i="2"/>
  <c r="L264" i="2"/>
  <c r="N263" i="2"/>
  <c r="M263" i="2"/>
  <c r="L263" i="2"/>
  <c r="N262" i="2"/>
  <c r="M262" i="2"/>
  <c r="L262" i="2"/>
  <c r="N261" i="2"/>
  <c r="M261" i="2"/>
  <c r="L261" i="2"/>
  <c r="N260" i="2"/>
  <c r="M260" i="2"/>
  <c r="L260" i="2"/>
  <c r="N259" i="2"/>
  <c r="M259" i="2"/>
  <c r="L259" i="2"/>
  <c r="N258" i="2"/>
  <c r="M258" i="2"/>
  <c r="L258" i="2"/>
  <c r="N257" i="2"/>
  <c r="M257" i="2"/>
  <c r="L257" i="2"/>
  <c r="N256" i="2"/>
  <c r="M256" i="2"/>
  <c r="L256" i="2"/>
  <c r="N255" i="2"/>
  <c r="M255" i="2"/>
  <c r="L255" i="2"/>
  <c r="N254" i="2"/>
  <c r="M254" i="2"/>
  <c r="L254" i="2"/>
  <c r="N253" i="2"/>
  <c r="M253" i="2"/>
  <c r="L253" i="2"/>
  <c r="N252" i="2"/>
  <c r="M252" i="2"/>
  <c r="L252" i="2"/>
  <c r="N251" i="2"/>
  <c r="M251" i="2"/>
  <c r="L251" i="2"/>
  <c r="N250" i="2"/>
  <c r="M250" i="2"/>
  <c r="L250" i="2"/>
  <c r="N249" i="2"/>
  <c r="M249" i="2"/>
  <c r="L249" i="2"/>
  <c r="N248" i="2"/>
  <c r="M248" i="2"/>
  <c r="L248" i="2"/>
  <c r="N247" i="2"/>
  <c r="M247" i="2"/>
  <c r="L247" i="2"/>
  <c r="N246" i="2"/>
  <c r="M246" i="2"/>
  <c r="L246" i="2"/>
  <c r="N245" i="2"/>
  <c r="M245" i="2"/>
  <c r="L245" i="2"/>
  <c r="N244" i="2"/>
  <c r="M244" i="2"/>
  <c r="L244" i="2"/>
  <c r="N243" i="2"/>
  <c r="M243" i="2"/>
  <c r="L243" i="2"/>
  <c r="N242" i="2"/>
  <c r="M242" i="2"/>
  <c r="L242" i="2"/>
  <c r="N241" i="2"/>
  <c r="M241" i="2"/>
  <c r="L241" i="2"/>
  <c r="N240" i="2"/>
  <c r="M240" i="2"/>
  <c r="L240" i="2"/>
  <c r="N239" i="2"/>
  <c r="M239" i="2"/>
  <c r="L239" i="2"/>
  <c r="N238" i="2"/>
  <c r="M238" i="2"/>
  <c r="L238" i="2"/>
  <c r="N237" i="2"/>
  <c r="M237" i="2"/>
  <c r="L237" i="2"/>
  <c r="N236" i="2"/>
  <c r="M236" i="2"/>
  <c r="L236" i="2"/>
  <c r="N235" i="2"/>
  <c r="M235" i="2"/>
  <c r="L235" i="2"/>
  <c r="N234" i="2"/>
  <c r="M234" i="2"/>
  <c r="L234" i="2"/>
  <c r="N233" i="2"/>
  <c r="M233" i="2"/>
  <c r="L233" i="2"/>
  <c r="N232" i="2"/>
  <c r="M232" i="2"/>
  <c r="L232" i="2"/>
  <c r="N231" i="2"/>
  <c r="M231" i="2"/>
  <c r="L231" i="2"/>
  <c r="N230" i="2"/>
  <c r="M230" i="2"/>
  <c r="L230" i="2"/>
  <c r="N229" i="2"/>
  <c r="M229" i="2"/>
  <c r="L229" i="2"/>
  <c r="N228" i="2"/>
  <c r="M228" i="2"/>
  <c r="L228" i="2"/>
  <c r="N227" i="2"/>
  <c r="M227" i="2"/>
  <c r="L227" i="2"/>
  <c r="N226" i="2"/>
  <c r="M226" i="2"/>
  <c r="L226" i="2"/>
  <c r="N225" i="2"/>
  <c r="M225" i="2"/>
  <c r="L225" i="2"/>
  <c r="N224" i="2"/>
  <c r="M224" i="2"/>
  <c r="L224" i="2"/>
  <c r="N223" i="2"/>
  <c r="M223" i="2"/>
  <c r="L223" i="2"/>
  <c r="N222" i="2"/>
  <c r="M222" i="2"/>
  <c r="L222" i="2"/>
  <c r="N221" i="2"/>
  <c r="M221" i="2"/>
  <c r="L221" i="2"/>
  <c r="N220" i="2"/>
  <c r="M220" i="2"/>
  <c r="L220" i="2"/>
  <c r="N219" i="2"/>
  <c r="M219" i="2"/>
  <c r="L219" i="2"/>
  <c r="N218" i="2"/>
  <c r="M218" i="2"/>
  <c r="L218" i="2"/>
  <c r="N217" i="2"/>
  <c r="M217" i="2"/>
  <c r="L217" i="2"/>
  <c r="N216" i="2"/>
  <c r="M216" i="2"/>
  <c r="L216" i="2"/>
  <c r="N215" i="2"/>
  <c r="M215" i="2"/>
  <c r="L215" i="2"/>
  <c r="N214" i="2"/>
  <c r="M214" i="2"/>
  <c r="L214" i="2"/>
  <c r="N213" i="2"/>
  <c r="M213" i="2"/>
  <c r="L213" i="2"/>
  <c r="N212" i="2"/>
  <c r="M212" i="2"/>
  <c r="L212" i="2"/>
  <c r="N211" i="2"/>
  <c r="M211" i="2"/>
  <c r="L211" i="2"/>
  <c r="N210" i="2"/>
  <c r="M210" i="2"/>
  <c r="L210" i="2"/>
  <c r="N209" i="2"/>
  <c r="M209" i="2"/>
  <c r="L209" i="2"/>
  <c r="N208" i="2"/>
  <c r="M208" i="2"/>
  <c r="L208" i="2"/>
  <c r="N207" i="2"/>
  <c r="M207" i="2"/>
  <c r="L207" i="2"/>
  <c r="N206" i="2"/>
  <c r="M206" i="2"/>
  <c r="L206" i="2"/>
  <c r="N205" i="2"/>
  <c r="M205" i="2"/>
  <c r="L205" i="2"/>
  <c r="N204" i="2"/>
  <c r="M204" i="2"/>
  <c r="L204" i="2"/>
  <c r="N203" i="2"/>
  <c r="M203" i="2"/>
  <c r="L203" i="2"/>
  <c r="N202" i="2"/>
  <c r="M202" i="2"/>
  <c r="L202" i="2"/>
  <c r="N201" i="2"/>
  <c r="M201" i="2"/>
  <c r="L201" i="2"/>
  <c r="N200" i="2"/>
  <c r="M200" i="2"/>
  <c r="L200" i="2"/>
  <c r="N199" i="2"/>
  <c r="M199" i="2"/>
  <c r="L199" i="2"/>
  <c r="N198" i="2"/>
  <c r="M198" i="2"/>
  <c r="L198" i="2"/>
  <c r="N197" i="2"/>
  <c r="M197" i="2"/>
  <c r="L197" i="2"/>
  <c r="N196" i="2"/>
  <c r="M196" i="2"/>
  <c r="L196" i="2"/>
  <c r="N195" i="2"/>
  <c r="M195" i="2"/>
  <c r="L195" i="2"/>
  <c r="N194" i="2"/>
  <c r="M194" i="2"/>
  <c r="L194" i="2"/>
  <c r="N193" i="2"/>
  <c r="M193" i="2"/>
  <c r="L193" i="2"/>
  <c r="N192" i="2"/>
  <c r="M192" i="2"/>
  <c r="L192" i="2"/>
  <c r="N191" i="2"/>
  <c r="M191" i="2"/>
  <c r="L191" i="2"/>
  <c r="N190" i="2"/>
  <c r="M190" i="2"/>
  <c r="L190" i="2"/>
  <c r="N189" i="2"/>
  <c r="M189" i="2"/>
  <c r="L189" i="2"/>
  <c r="N188" i="2"/>
  <c r="M188" i="2"/>
  <c r="L188" i="2"/>
  <c r="N187" i="2"/>
  <c r="M187" i="2"/>
  <c r="L187" i="2"/>
  <c r="N186" i="2"/>
  <c r="M186" i="2"/>
  <c r="L186" i="2"/>
  <c r="N185" i="2"/>
  <c r="M185" i="2"/>
  <c r="L185" i="2"/>
  <c r="N184" i="2"/>
  <c r="M184" i="2"/>
  <c r="L184" i="2"/>
  <c r="N183" i="2"/>
  <c r="M183" i="2"/>
  <c r="L183" i="2"/>
  <c r="N182" i="2"/>
  <c r="M182" i="2"/>
  <c r="L182" i="2"/>
  <c r="N181" i="2"/>
  <c r="M181" i="2"/>
  <c r="L181" i="2"/>
  <c r="N180" i="2"/>
  <c r="M180" i="2"/>
  <c r="L180" i="2"/>
  <c r="N179" i="2"/>
  <c r="M179" i="2"/>
  <c r="L179" i="2"/>
  <c r="N178" i="2"/>
  <c r="M178" i="2"/>
  <c r="L178" i="2"/>
  <c r="N177" i="2"/>
  <c r="M177" i="2"/>
  <c r="L177" i="2"/>
  <c r="N176" i="2"/>
  <c r="M176" i="2"/>
  <c r="L176" i="2"/>
  <c r="N175" i="2"/>
  <c r="M175" i="2"/>
  <c r="L175" i="2"/>
  <c r="N174" i="2"/>
  <c r="M174" i="2"/>
  <c r="L174" i="2"/>
  <c r="N173" i="2"/>
  <c r="M173" i="2"/>
  <c r="L173" i="2"/>
  <c r="N172" i="2"/>
  <c r="M172" i="2"/>
  <c r="L172" i="2"/>
  <c r="N171" i="2"/>
  <c r="M171" i="2"/>
  <c r="L171" i="2"/>
  <c r="N170" i="2"/>
  <c r="M170" i="2"/>
  <c r="L170" i="2"/>
  <c r="N169" i="2"/>
  <c r="M169" i="2"/>
  <c r="L169" i="2"/>
  <c r="N168" i="2"/>
  <c r="M168" i="2"/>
  <c r="L168" i="2"/>
  <c r="N167" i="2"/>
  <c r="M167" i="2"/>
  <c r="L167" i="2"/>
  <c r="N166" i="2"/>
  <c r="M166" i="2"/>
  <c r="L166" i="2"/>
  <c r="N165" i="2"/>
  <c r="M165" i="2"/>
  <c r="L165" i="2"/>
  <c r="N164" i="2"/>
  <c r="M164" i="2"/>
  <c r="L164" i="2"/>
  <c r="N163" i="2"/>
  <c r="M163" i="2"/>
  <c r="L163" i="2"/>
  <c r="N162" i="2"/>
  <c r="M162" i="2"/>
  <c r="L162" i="2"/>
  <c r="N161" i="2"/>
  <c r="M161" i="2"/>
  <c r="L161" i="2"/>
  <c r="N160" i="2"/>
  <c r="M160" i="2"/>
  <c r="L160" i="2"/>
  <c r="N159" i="2"/>
  <c r="M159" i="2"/>
  <c r="L159" i="2"/>
  <c r="N158" i="2"/>
  <c r="M158" i="2"/>
  <c r="L158" i="2"/>
  <c r="N157" i="2"/>
  <c r="M157" i="2"/>
  <c r="L157" i="2"/>
  <c r="N156" i="2"/>
  <c r="M156" i="2"/>
  <c r="L156" i="2"/>
  <c r="N155" i="2"/>
  <c r="M155" i="2"/>
  <c r="L155" i="2"/>
  <c r="N154" i="2"/>
  <c r="M154" i="2"/>
  <c r="L154" i="2"/>
  <c r="N153" i="2"/>
  <c r="M153" i="2"/>
  <c r="L153" i="2"/>
  <c r="N152" i="2"/>
  <c r="M152" i="2"/>
  <c r="L152" i="2"/>
  <c r="N151" i="2"/>
  <c r="M151" i="2"/>
  <c r="L151" i="2"/>
  <c r="N150" i="2"/>
  <c r="M150" i="2"/>
  <c r="L150" i="2"/>
  <c r="N149" i="2"/>
  <c r="M149" i="2"/>
  <c r="L149" i="2"/>
  <c r="N148" i="2"/>
  <c r="M148" i="2"/>
  <c r="L148" i="2"/>
  <c r="N147" i="2"/>
  <c r="M147" i="2"/>
  <c r="L147" i="2"/>
  <c r="N146" i="2"/>
  <c r="M146" i="2"/>
  <c r="L146" i="2"/>
  <c r="N145" i="2"/>
  <c r="M145" i="2"/>
  <c r="L145" i="2"/>
  <c r="N144" i="2"/>
  <c r="M144" i="2"/>
  <c r="L144" i="2"/>
  <c r="N143" i="2"/>
  <c r="M143" i="2"/>
  <c r="L143" i="2"/>
  <c r="N142" i="2"/>
  <c r="M142" i="2"/>
  <c r="L142" i="2"/>
  <c r="N141" i="2"/>
  <c r="M141" i="2"/>
  <c r="L141" i="2"/>
  <c r="N140" i="2"/>
  <c r="M140" i="2"/>
  <c r="L140" i="2"/>
  <c r="N139" i="2"/>
  <c r="M139" i="2"/>
  <c r="L139" i="2"/>
  <c r="N138" i="2"/>
  <c r="M138" i="2"/>
  <c r="L138" i="2"/>
  <c r="N137" i="2"/>
  <c r="M137" i="2"/>
  <c r="L137" i="2"/>
  <c r="N136" i="2"/>
  <c r="M136" i="2"/>
  <c r="L136" i="2"/>
  <c r="N135" i="2"/>
  <c r="M135" i="2"/>
  <c r="L135" i="2"/>
  <c r="N134" i="2"/>
  <c r="M134" i="2"/>
  <c r="L134" i="2"/>
  <c r="N133" i="2"/>
  <c r="M133" i="2"/>
  <c r="L133" i="2"/>
  <c r="N132" i="2"/>
  <c r="M132" i="2"/>
  <c r="L132" i="2"/>
  <c r="N131" i="2"/>
  <c r="M131" i="2"/>
  <c r="L131" i="2"/>
  <c r="N130" i="2"/>
  <c r="M130" i="2"/>
  <c r="L130" i="2"/>
  <c r="N129" i="2"/>
  <c r="M129" i="2"/>
  <c r="L129" i="2"/>
  <c r="N128" i="2"/>
  <c r="M128" i="2"/>
  <c r="L128" i="2"/>
  <c r="N127" i="2"/>
  <c r="M127" i="2"/>
  <c r="L127" i="2"/>
  <c r="N126" i="2"/>
  <c r="M126" i="2"/>
  <c r="L126" i="2"/>
  <c r="N125" i="2"/>
  <c r="M125" i="2"/>
  <c r="L125" i="2"/>
  <c r="N124" i="2"/>
  <c r="M124" i="2"/>
  <c r="L124" i="2"/>
  <c r="N123" i="2"/>
  <c r="M123" i="2"/>
  <c r="L123" i="2"/>
  <c r="N122" i="2"/>
  <c r="M122" i="2"/>
  <c r="L122" i="2"/>
  <c r="N121" i="2"/>
  <c r="M121" i="2"/>
  <c r="L121" i="2"/>
  <c r="N120" i="2"/>
  <c r="M120" i="2"/>
  <c r="L120" i="2"/>
  <c r="N119" i="2"/>
  <c r="M119" i="2"/>
  <c r="L119" i="2"/>
  <c r="N118" i="2"/>
  <c r="M118" i="2"/>
  <c r="L118" i="2"/>
  <c r="N117" i="2"/>
  <c r="M117" i="2"/>
  <c r="L117" i="2"/>
  <c r="N116" i="2"/>
  <c r="M116" i="2"/>
  <c r="L116" i="2"/>
  <c r="N115" i="2"/>
  <c r="M115" i="2"/>
  <c r="L115" i="2"/>
  <c r="N114" i="2"/>
  <c r="M114" i="2"/>
  <c r="L114" i="2"/>
  <c r="N113" i="2"/>
  <c r="M113" i="2"/>
  <c r="L113" i="2"/>
  <c r="N112" i="2"/>
  <c r="M112" i="2"/>
  <c r="L112" i="2"/>
  <c r="N111" i="2"/>
  <c r="M111" i="2"/>
  <c r="L111" i="2"/>
  <c r="N110" i="2"/>
  <c r="M110" i="2"/>
  <c r="L110" i="2"/>
  <c r="N109" i="2"/>
  <c r="M109" i="2"/>
  <c r="L109" i="2"/>
  <c r="N108" i="2"/>
  <c r="M108" i="2"/>
  <c r="L108" i="2"/>
  <c r="N107" i="2"/>
  <c r="M107" i="2"/>
  <c r="L107" i="2"/>
  <c r="N106" i="2"/>
  <c r="M106" i="2"/>
  <c r="L106" i="2"/>
  <c r="N105" i="2"/>
  <c r="M105" i="2"/>
  <c r="L105" i="2"/>
  <c r="N104" i="2"/>
  <c r="M104" i="2"/>
  <c r="L104" i="2"/>
  <c r="N103" i="2"/>
  <c r="M103" i="2"/>
  <c r="L103" i="2"/>
  <c r="N102" i="2"/>
  <c r="M102" i="2"/>
  <c r="L102" i="2"/>
  <c r="N101" i="2"/>
  <c r="M101" i="2"/>
  <c r="L101" i="2"/>
  <c r="N100" i="2"/>
  <c r="M100" i="2"/>
  <c r="L100" i="2"/>
  <c r="N99" i="2"/>
  <c r="M99" i="2"/>
  <c r="L99" i="2"/>
  <c r="N98" i="2"/>
  <c r="M98" i="2"/>
  <c r="L98" i="2"/>
  <c r="N97" i="2"/>
  <c r="M97" i="2"/>
  <c r="L97" i="2"/>
  <c r="N96" i="2"/>
  <c r="M96" i="2"/>
  <c r="L96" i="2"/>
  <c r="N95" i="2"/>
  <c r="M95" i="2"/>
  <c r="L95" i="2"/>
  <c r="N94" i="2"/>
  <c r="M94" i="2"/>
  <c r="L94" i="2"/>
  <c r="N93" i="2"/>
  <c r="M93" i="2"/>
  <c r="L93" i="2"/>
  <c r="N92" i="2"/>
  <c r="M92" i="2"/>
  <c r="L92" i="2"/>
  <c r="N91" i="2"/>
  <c r="M91" i="2"/>
  <c r="L91" i="2"/>
  <c r="N90" i="2"/>
  <c r="M90" i="2"/>
  <c r="L90" i="2"/>
  <c r="N89" i="2"/>
  <c r="M89" i="2"/>
  <c r="L89" i="2"/>
  <c r="N88" i="2"/>
  <c r="M88" i="2"/>
  <c r="L88" i="2"/>
  <c r="N87" i="2"/>
  <c r="M87" i="2"/>
  <c r="L87" i="2"/>
  <c r="N86" i="2"/>
  <c r="M86" i="2"/>
  <c r="L86" i="2"/>
  <c r="N85" i="2"/>
  <c r="M85" i="2"/>
  <c r="L85" i="2"/>
  <c r="N84" i="2"/>
  <c r="M84" i="2"/>
  <c r="L84" i="2"/>
  <c r="N83" i="2"/>
  <c r="M83" i="2"/>
  <c r="L83" i="2"/>
  <c r="N82" i="2"/>
  <c r="M82" i="2"/>
  <c r="L82" i="2"/>
  <c r="N81" i="2"/>
  <c r="M81" i="2"/>
  <c r="L81" i="2"/>
  <c r="N80" i="2"/>
  <c r="M80" i="2"/>
  <c r="L80" i="2"/>
  <c r="N79" i="2"/>
  <c r="M79" i="2"/>
  <c r="L79" i="2"/>
  <c r="N78" i="2"/>
  <c r="M78" i="2"/>
  <c r="L78" i="2"/>
  <c r="N77" i="2"/>
  <c r="M77" i="2"/>
  <c r="L77" i="2"/>
  <c r="N76" i="2"/>
  <c r="M76" i="2"/>
  <c r="L76" i="2"/>
  <c r="N75" i="2"/>
  <c r="M75" i="2"/>
  <c r="L75" i="2"/>
  <c r="N74" i="2"/>
  <c r="M74" i="2"/>
  <c r="L74" i="2"/>
  <c r="N73" i="2"/>
  <c r="M73" i="2"/>
  <c r="L73" i="2"/>
  <c r="N72" i="2"/>
  <c r="M72" i="2"/>
  <c r="L72" i="2"/>
  <c r="N71" i="2"/>
  <c r="M71" i="2"/>
  <c r="L71" i="2"/>
  <c r="N70" i="2"/>
  <c r="M70" i="2"/>
  <c r="L70" i="2"/>
  <c r="N69" i="2"/>
  <c r="M69" i="2"/>
  <c r="L69" i="2"/>
  <c r="N68" i="2"/>
  <c r="M68" i="2"/>
  <c r="L68" i="2"/>
  <c r="N67" i="2"/>
  <c r="M67" i="2"/>
  <c r="L67" i="2"/>
  <c r="N66" i="2"/>
  <c r="M66" i="2"/>
  <c r="L66" i="2"/>
  <c r="N65" i="2"/>
  <c r="M65" i="2"/>
  <c r="L65" i="2"/>
  <c r="N64" i="2"/>
  <c r="M64" i="2"/>
  <c r="L64" i="2"/>
  <c r="N63" i="2"/>
  <c r="M63" i="2"/>
  <c r="L63" i="2"/>
  <c r="N62" i="2"/>
  <c r="M62" i="2"/>
  <c r="L62" i="2"/>
  <c r="N61" i="2"/>
  <c r="M61" i="2"/>
  <c r="L61" i="2"/>
  <c r="N60" i="2"/>
  <c r="M60" i="2"/>
  <c r="L60" i="2"/>
  <c r="N59" i="2"/>
  <c r="M59" i="2"/>
  <c r="L59" i="2"/>
  <c r="N58" i="2"/>
  <c r="M58" i="2"/>
  <c r="L58" i="2"/>
  <c r="N57" i="2"/>
  <c r="M57" i="2"/>
  <c r="L57" i="2"/>
  <c r="N56" i="2"/>
  <c r="M56" i="2"/>
  <c r="L56" i="2"/>
  <c r="N55" i="2"/>
  <c r="M55" i="2"/>
  <c r="L55" i="2"/>
  <c r="N54" i="2"/>
  <c r="M54" i="2"/>
  <c r="L54" i="2"/>
  <c r="N53" i="2"/>
  <c r="M53" i="2"/>
  <c r="L53" i="2"/>
  <c r="N52" i="2"/>
  <c r="M52" i="2"/>
  <c r="L52" i="2"/>
  <c r="N51" i="2"/>
  <c r="M51" i="2"/>
  <c r="L51" i="2"/>
  <c r="N50" i="2"/>
  <c r="M50" i="2"/>
  <c r="L50" i="2"/>
  <c r="N49" i="2"/>
  <c r="M49" i="2"/>
  <c r="L49" i="2"/>
  <c r="N48" i="2"/>
  <c r="M48" i="2"/>
  <c r="L48" i="2"/>
  <c r="N47" i="2"/>
  <c r="M47" i="2"/>
  <c r="L47" i="2"/>
  <c r="N46" i="2"/>
  <c r="M46" i="2"/>
  <c r="L46" i="2"/>
  <c r="N45" i="2"/>
  <c r="M45" i="2"/>
  <c r="L45" i="2"/>
  <c r="N44" i="2"/>
  <c r="M44" i="2"/>
  <c r="L44" i="2"/>
  <c r="N43" i="2"/>
  <c r="M43" i="2"/>
  <c r="L43" i="2"/>
  <c r="N42" i="2"/>
  <c r="M42" i="2"/>
  <c r="L42" i="2"/>
  <c r="N41" i="2"/>
  <c r="M41" i="2"/>
  <c r="L41" i="2"/>
  <c r="N40" i="2"/>
  <c r="M40" i="2"/>
  <c r="L40" i="2"/>
  <c r="N39" i="2"/>
  <c r="M39" i="2"/>
  <c r="L39" i="2"/>
  <c r="N38" i="2"/>
  <c r="M38" i="2"/>
  <c r="L38" i="2"/>
  <c r="N37" i="2"/>
  <c r="M37" i="2"/>
  <c r="L37" i="2"/>
  <c r="N36" i="2"/>
  <c r="M36" i="2"/>
  <c r="L36" i="2"/>
  <c r="N35" i="2"/>
  <c r="M35" i="2"/>
  <c r="L35" i="2"/>
  <c r="N34" i="2"/>
  <c r="M34" i="2"/>
  <c r="L34" i="2"/>
  <c r="N33" i="2"/>
  <c r="M33" i="2"/>
  <c r="L33" i="2"/>
  <c r="N32" i="2"/>
  <c r="M32" i="2"/>
  <c r="L32" i="2"/>
  <c r="N31" i="2"/>
  <c r="M31" i="2"/>
  <c r="L31" i="2"/>
  <c r="N30" i="2"/>
  <c r="M30" i="2"/>
  <c r="L30" i="2"/>
  <c r="N29" i="2"/>
  <c r="M29" i="2"/>
  <c r="L29" i="2"/>
  <c r="N28" i="2"/>
  <c r="M28" i="2"/>
  <c r="L28" i="2"/>
  <c r="N27" i="2"/>
  <c r="M27" i="2"/>
  <c r="L27" i="2"/>
  <c r="N26" i="2"/>
  <c r="M26" i="2"/>
  <c r="L26" i="2"/>
  <c r="N25" i="2"/>
  <c r="M25" i="2"/>
  <c r="L25" i="2"/>
  <c r="N24" i="2"/>
  <c r="M24" i="2"/>
  <c r="L24" i="2"/>
  <c r="N23" i="2"/>
  <c r="M23" i="2"/>
  <c r="L23" i="2"/>
  <c r="N22" i="2"/>
  <c r="M22" i="2"/>
  <c r="L22" i="2"/>
  <c r="N21" i="2"/>
  <c r="M21" i="2"/>
  <c r="L21" i="2"/>
  <c r="N20" i="2"/>
  <c r="M20" i="2"/>
  <c r="L20" i="2"/>
  <c r="N19" i="2"/>
  <c r="M19" i="2"/>
  <c r="L19" i="2"/>
  <c r="N18" i="2"/>
  <c r="M18" i="2"/>
  <c r="L18" i="2"/>
  <c r="N17" i="2"/>
  <c r="M17" i="2"/>
  <c r="L17" i="2"/>
  <c r="N16" i="2"/>
  <c r="M16" i="2"/>
  <c r="L16" i="2"/>
  <c r="N15" i="2"/>
  <c r="M15" i="2"/>
  <c r="L15" i="2"/>
  <c r="N14" i="2"/>
  <c r="M14" i="2"/>
  <c r="L14" i="2"/>
  <c r="N13" i="2"/>
  <c r="M13" i="2"/>
  <c r="L13" i="2"/>
  <c r="N12" i="2"/>
  <c r="M12" i="2"/>
  <c r="L12" i="2"/>
  <c r="N11" i="2"/>
  <c r="M11" i="2"/>
  <c r="L11" i="2"/>
  <c r="N10" i="2"/>
  <c r="M10" i="2"/>
  <c r="L10" i="2"/>
  <c r="N9" i="2"/>
  <c r="M9" i="2"/>
  <c r="L9" i="2"/>
  <c r="N8" i="2"/>
  <c r="M8" i="2"/>
  <c r="L8" i="2"/>
  <c r="N7" i="2"/>
  <c r="M7" i="2"/>
  <c r="L7" i="2"/>
  <c r="N6" i="2"/>
  <c r="M6" i="2"/>
  <c r="L6" i="2"/>
  <c r="N5" i="2"/>
  <c r="M5" i="2"/>
  <c r="L5" i="2"/>
  <c r="N4" i="2"/>
  <c r="M4" i="2"/>
  <c r="L4" i="2"/>
  <c r="I49" i="10" l="1"/>
  <c r="I1286" i="2"/>
</calcChain>
</file>

<file path=xl/sharedStrings.xml><?xml version="1.0" encoding="utf-8"?>
<sst xmlns="http://schemas.openxmlformats.org/spreadsheetml/2006/main" count="78351" uniqueCount="2302">
  <si>
    <t>Diccionario de indicadores — Dashboard Ejecutivo COCO Tecnologías</t>
  </si>
  <si>
    <t>Catálogo único de variables. 'Origen=COCO' viene de tu archivo; 'Origen=Claude' son inputs base que las fórmulas requieren y conviene validar.</t>
  </si>
  <si>
    <t>ID</t>
  </si>
  <si>
    <t>Categoría</t>
  </si>
  <si>
    <t>Código indicador</t>
  </si>
  <si>
    <t>Nombre visible</t>
  </si>
  <si>
    <t>Tipo</t>
  </si>
  <si>
    <t>Fórmula / regla de cálculo</t>
  </si>
  <si>
    <t>Unidad</t>
  </si>
  <si>
    <t>Responsable carga</t>
  </si>
  <si>
    <t>Fuente sugerida</t>
  </si>
  <si>
    <t>Frecuencia</t>
  </si>
  <si>
    <t>Desglose (segmento / detalle)</t>
  </si>
  <si>
    <t>Origen</t>
  </si>
  <si>
    <t>Comentario</t>
  </si>
  <si>
    <t>periodicidad</t>
  </si>
  <si>
    <t>Control</t>
  </si>
  <si>
    <t>periodo</t>
  </si>
  <si>
    <t>Periodo</t>
  </si>
  <si>
    <t>Dimensión</t>
  </si>
  <si>
    <t>Mes de reporte en formato AAAA-MM</t>
  </si>
  <si>
    <t>AAAA-MM</t>
  </si>
  <si>
    <t>Cada área</t>
  </si>
  <si>
    <t>Plantilla</t>
  </si>
  <si>
    <t>Mensual</t>
  </si>
  <si>
    <t>COCO</t>
  </si>
  <si>
    <t>Debe existir en todas las filas</t>
  </si>
  <si>
    <t>pais</t>
  </si>
  <si>
    <t>País</t>
  </si>
  <si>
    <t>País donde se genera la métrica</t>
  </si>
  <si>
    <t>Texto</t>
  </si>
  <si>
    <t>Colombia / México / EE.UU. / Otros</t>
  </si>
  <si>
    <t>compania</t>
  </si>
  <si>
    <t>Compañía</t>
  </si>
  <si>
    <t>Entidad legal o unidad de negocio</t>
  </si>
  <si>
    <t>Finanzas</t>
  </si>
  <si>
    <t>Contabilidad</t>
  </si>
  <si>
    <t>Coco Colombia / Coco LLC / Coco Global</t>
  </si>
  <si>
    <t>moneda</t>
  </si>
  <si>
    <t>Moneda</t>
  </si>
  <si>
    <t>Moneda original del dato reportado</t>
  </si>
  <si>
    <t>COP/USD</t>
  </si>
  <si>
    <t>COP / USD</t>
  </si>
  <si>
    <t>No mezclar monedas sin identificar</t>
  </si>
  <si>
    <t>escenario</t>
  </si>
  <si>
    <t>Escenario</t>
  </si>
  <si>
    <t>Tipo de dato reportado</t>
  </si>
  <si>
    <t>Real / Budget / Forecast</t>
  </si>
  <si>
    <t>Permite comparar real vs ppto vs forecast</t>
  </si>
  <si>
    <t>ingresos_one_off</t>
  </si>
  <si>
    <t>Ingresos one-off</t>
  </si>
  <si>
    <t>Input</t>
  </si>
  <si>
    <t>Facturación no recurrente</t>
  </si>
  <si>
    <t>Ventas</t>
  </si>
  <si>
    <t>Facturación / contab.</t>
  </si>
  <si>
    <t>detalle: Implementación / Interoperabilidad / Integración / Proyectos</t>
  </si>
  <si>
    <t>Separar de ingresos recurrentes</t>
  </si>
  <si>
    <t>margen_bruto</t>
  </si>
  <si>
    <t>Margen bruto</t>
  </si>
  <si>
    <t>KPI</t>
  </si>
  <si>
    <t>ingresos_totales - costo_directo</t>
  </si>
  <si>
    <t>Indicador clave de escalabilidad</t>
  </si>
  <si>
    <t>margen_bruto_pct</t>
  </si>
  <si>
    <t>Margen bruto %</t>
  </si>
  <si>
    <t>margen_bruto / ingresos_totales</t>
  </si>
  <si>
    <t>%</t>
  </si>
  <si>
    <t>Meta a definir con CEO</t>
  </si>
  <si>
    <t>gastos_totales</t>
  </si>
  <si>
    <t>Gastos operativos totales</t>
  </si>
  <si>
    <t>Input/KPI</t>
  </si>
  <si>
    <t>Σ gastos por área</t>
  </si>
  <si>
    <t>Opex. Puede cargarse agregado o por área. Distinto de 'egresos_totales'</t>
  </si>
  <si>
    <t>egresos_totales</t>
  </si>
  <si>
    <t>Egresos totales</t>
  </si>
  <si>
    <t>Σ de todas las salidas del periodo (costos + gastos + financieros)</t>
  </si>
  <si>
    <t>P&amp;L: Ingresos - Egresos = Utilidad neta</t>
  </si>
  <si>
    <t>utilidad_neta</t>
  </si>
  <si>
    <t>Utilidad neta</t>
  </si>
  <si>
    <t>ingresos_totales - egresos_totales</t>
  </si>
  <si>
    <t>Resultado del P&amp;L del periodo</t>
  </si>
  <si>
    <t>ebitda</t>
  </si>
  <si>
    <t>EBITDA</t>
  </si>
  <si>
    <t>margen_bruto - gastos_totales</t>
  </si>
  <si>
    <t>Métrica central del comité</t>
  </si>
  <si>
    <t>margen_ebitda</t>
  </si>
  <si>
    <t>Margen EBITDA</t>
  </si>
  <si>
    <t>ebitda / ingresos_totales</t>
  </si>
  <si>
    <t>Comparar contra presupuesto</t>
  </si>
  <si>
    <t>cobros_periodo</t>
  </si>
  <si>
    <t>Cobros del periodo</t>
  </si>
  <si>
    <t>Dinero efectivamente recibido de clientes</t>
  </si>
  <si>
    <t>Tesorería</t>
  </si>
  <si>
    <t>Bancos / cartera</t>
  </si>
  <si>
    <t>Distinto a facturación</t>
  </si>
  <si>
    <t>burn_rate_neto</t>
  </si>
  <si>
    <t>Burn rate neto</t>
  </si>
  <si>
    <t>pagos_periodo - cobros_periodo</t>
  </si>
  <si>
    <t>Negativo = consume caja</t>
  </si>
  <si>
    <t>runway_meses</t>
  </si>
  <si>
    <t>Runway</t>
  </si>
  <si>
    <t>caja_disponible / burn_rate_neto</t>
  </si>
  <si>
    <t>Meses</t>
  </si>
  <si>
    <t>Solo si burn_rate_neto &gt; 0</t>
  </si>
  <si>
    <t>ppto_vs_real_ingresos</t>
  </si>
  <si>
    <t>Ingresos real vs presupuesto</t>
  </si>
  <si>
    <t>(ingresos_totales Real / ingresos_totales Budget) - 1</t>
  </si>
  <si>
    <t>Presupuesto</t>
  </si>
  <si>
    <t>Se deriva del campo 'escenario'</t>
  </si>
  <si>
    <t>ppto_vs_real_gastos</t>
  </si>
  <si>
    <t>Gastos real vs presupuesto</t>
  </si>
  <si>
    <t>(gastos_totales Real / gastos_totales Budget) - 1</t>
  </si>
  <si>
    <t>SaaS / Revenue</t>
  </si>
  <si>
    <t>arr</t>
  </si>
  <si>
    <t>ARR</t>
  </si>
  <si>
    <t>mrr_final * 12</t>
  </si>
  <si>
    <t>MRR anualizado</t>
  </si>
  <si>
    <t>grr</t>
  </si>
  <si>
    <t>GRR</t>
  </si>
  <si>
    <t>(mrr_inicio - contraction_mrr - churned_mrr) / mrr_inicio</t>
  </si>
  <si>
    <t>CRM / facturación</t>
  </si>
  <si>
    <t>Retención bruta de ingresos</t>
  </si>
  <si>
    <t>arpa</t>
  </si>
  <si>
    <t>ARPA</t>
  </si>
  <si>
    <t>mrr_final / clientes_final</t>
  </si>
  <si>
    <t>Facturación / CRM</t>
  </si>
  <si>
    <t>Ingreso promedio por cuenta</t>
  </si>
  <si>
    <t>pipeline_total</t>
  </si>
  <si>
    <t>Pipeline total</t>
  </si>
  <si>
    <t>Σ valor oportunidades abiertas</t>
  </si>
  <si>
    <t>CRM</t>
  </si>
  <si>
    <t>Semanal/mensual</t>
  </si>
  <si>
    <t>Con fecha estimada de cierre</t>
  </si>
  <si>
    <t>pipeline_ponderado</t>
  </si>
  <si>
    <t>Pipeline ponderado</t>
  </si>
  <si>
    <t>Σ (valor_oportunidad * prob_cierre)</t>
  </si>
  <si>
    <t>Más útil que pipeline bruto</t>
  </si>
  <si>
    <t>ventas_cerradas</t>
  </si>
  <si>
    <t>Ventas cerradas</t>
  </si>
  <si>
    <t>Valor contratos ganados en el periodo</t>
  </si>
  <si>
    <t>CRM / contratos</t>
  </si>
  <si>
    <t>detalle: Recurrente / One-off</t>
  </si>
  <si>
    <t>Separar recurrente vs one-off</t>
  </si>
  <si>
    <t>ticket_promedio</t>
  </si>
  <si>
    <t>Ticket promedio</t>
  </si>
  <si>
    <t>ventas_cerradas / deals_ganados</t>
  </si>
  <si>
    <t>Medir también por país</t>
  </si>
  <si>
    <t>forecast_comercial</t>
  </si>
  <si>
    <t>Forecast comercial</t>
  </si>
  <si>
    <t>Σ (oport. con cierre esperado * prob_cierre)</t>
  </si>
  <si>
    <t>Anticipa ingresos</t>
  </si>
  <si>
    <t>Marketing</t>
  </si>
  <si>
    <t>gasto_marketing_total</t>
  </si>
  <si>
    <t>Gasto marketing total</t>
  </si>
  <si>
    <t>Gasto total de marketing (pauta total)</t>
  </si>
  <si>
    <t>Necesario para CAC. Revisar = pauta total</t>
  </si>
  <si>
    <t>leads_generados</t>
  </si>
  <si>
    <t>Leads generados</t>
  </si>
  <si>
    <t>Nº de leads nuevos</t>
  </si>
  <si>
    <t>Número</t>
  </si>
  <si>
    <t>CRM / formularios</t>
  </si>
  <si>
    <t>detalle: por canal (opcional)</t>
  </si>
  <si>
    <t>Separar por canal si es posible</t>
  </si>
  <si>
    <t>cac_fully_loaded</t>
  </si>
  <si>
    <t>CAC fully loaded</t>
  </si>
  <si>
    <t>(gasto_ventas_comercial + gasto_marketing_total) / clientes_nuevos</t>
  </si>
  <si>
    <t>Comercial/Mktg</t>
  </si>
  <si>
    <t>Contab. / CRM</t>
  </si>
  <si>
    <t>Trimestral</t>
  </si>
  <si>
    <t>Incluye ventas + mktg. Revisión trimestral (Andrés)</t>
  </si>
  <si>
    <t>ltv</t>
  </si>
  <si>
    <t>LTV</t>
  </si>
  <si>
    <t>(arpa * margen_bruto_pct) / churn_ingresos_pct</t>
  </si>
  <si>
    <t>detalle: Mercadeo (s/ingreso, churn clientes) | Financiero TTM (margen 51%, churn ingresos)</t>
  </si>
  <si>
    <t>Vista Financiera: hoja Calc_LTV_Fin, margen editable, churn TTM</t>
  </si>
  <si>
    <t>ltv_cac</t>
  </si>
  <si>
    <t>LTV / CAC</t>
  </si>
  <si>
    <t>ltv / cac_fully_loaded</t>
  </si>
  <si>
    <t>Veces</t>
  </si>
  <si>
    <t>Dashboard</t>
  </si>
  <si>
    <t>detalle: Mercadeo | Financiero</t>
  </si>
  <si>
    <t>Eficiencia comercial. Difiere según vista del LTV</t>
  </si>
  <si>
    <t>cac_payback_meses</t>
  </si>
  <si>
    <t>Payback CAC</t>
  </si>
  <si>
    <t>cac_fully_loaded / (arpa * margen_bruto_pct)</t>
  </si>
  <si>
    <t>detalle: Mercadeo (s/margen) | Financiero (c/margen)</t>
  </si>
  <si>
    <t>Dos vistas. Revisión trimestral (Andrés)</t>
  </si>
  <si>
    <t>Customer Success</t>
  </si>
  <si>
    <t>clientes_inicio</t>
  </si>
  <si>
    <t>Clientes iniciales</t>
  </si>
  <si>
    <t>Clientes activos al inicio del periodo</t>
  </si>
  <si>
    <t>Comercial</t>
  </si>
  <si>
    <t>Base para churn</t>
  </si>
  <si>
    <t>clientes_nuevos</t>
  </si>
  <si>
    <t>Clientes nuevos</t>
  </si>
  <si>
    <t>Clientes ganados en el periodo</t>
  </si>
  <si>
    <t>Reconcilia con ventas</t>
  </si>
  <si>
    <t>clientes_final</t>
  </si>
  <si>
    <t>Clientes finales</t>
  </si>
  <si>
    <t>clientes_inicio + clientes_nuevos - clientes_perdidos</t>
  </si>
  <si>
    <t>Base al cierre</t>
  </si>
  <si>
    <t>churn_clientes_pct</t>
  </si>
  <si>
    <t>Churn de clientes</t>
  </si>
  <si>
    <t>clientes_perdidos / clientes_inicio</t>
  </si>
  <si>
    <t>Complementa churn de ingresos</t>
  </si>
  <si>
    <t>clientes_en_riesgo</t>
  </si>
  <si>
    <t>Clientes en riesgo</t>
  </si>
  <si>
    <t>Clientes con prob. de churn según CS</t>
  </si>
  <si>
    <t>CRM / health score</t>
  </si>
  <si>
    <t>Métrica accionable</t>
  </si>
  <si>
    <t>clientes_riesgo_pct</t>
  </si>
  <si>
    <t>% clientes en riesgo</t>
  </si>
  <si>
    <t>clientes_en_riesgo / clientes_final</t>
  </si>
  <si>
    <t>Alerta temprana</t>
  </si>
  <si>
    <t>nps</t>
  </si>
  <si>
    <t>NPS</t>
  </si>
  <si>
    <t>Resultado de encuesta de recomendación</t>
  </si>
  <si>
    <t>CS</t>
  </si>
  <si>
    <t>Encuestas</t>
  </si>
  <si>
    <t>Mensual/trim.</t>
  </si>
  <si>
    <t>detalle: Promotores / Pasivos / Detractores</t>
  </si>
  <si>
    <t>S8. Histórico completo lo envía CS</t>
  </si>
  <si>
    <t>Internacional</t>
  </si>
  <si>
    <t>ingresos_internacionales</t>
  </si>
  <si>
    <t>Ingresos internacionales</t>
  </si>
  <si>
    <t>Σ ingresos_totales donde país≠Colombia</t>
  </si>
  <si>
    <t>Facturación</t>
  </si>
  <si>
    <t>segmento: por país</t>
  </si>
  <si>
    <t>Clave para ronda</t>
  </si>
  <si>
    <t>mrr_internacional</t>
  </si>
  <si>
    <t>MRR internacional</t>
  </si>
  <si>
    <t>Σ mrr_final donde país≠Colombia</t>
  </si>
  <si>
    <t>Finanzas/Intl</t>
  </si>
  <si>
    <t>pipeline_internacional</t>
  </si>
  <si>
    <t>Pipeline internacional</t>
  </si>
  <si>
    <t>Σ pipeline_total donde país≠Colombia</t>
  </si>
  <si>
    <t>Ventas/Intl</t>
  </si>
  <si>
    <t>Tracción internacional</t>
  </si>
  <si>
    <t>clientes_internacionales</t>
  </si>
  <si>
    <t>Clientes internacionales</t>
  </si>
  <si>
    <t>Σ clientes_final donde país≠Colombia</t>
  </si>
  <si>
    <t>CS/Intl</t>
  </si>
  <si>
    <t>new_mrr</t>
  </si>
  <si>
    <t>Nuevas ventas MRR</t>
  </si>
  <si>
    <t>MRR de clientes nuevos del periodo</t>
  </si>
  <si>
    <t>Mensual (serie 13m)</t>
  </si>
  <si>
    <t>Componente del MRR bridge</t>
  </si>
  <si>
    <t>expansion_mrr</t>
  </si>
  <si>
    <t>Expansión MRR</t>
  </si>
  <si>
    <t>Incremento de MRR de clientes existentes</t>
  </si>
  <si>
    <t>reactivacion_mrr</t>
  </si>
  <si>
    <t>Rescatadas MRR</t>
  </si>
  <si>
    <t>MRR de clientes recuperados</t>
  </si>
  <si>
    <t>contraction_mrr</t>
  </si>
  <si>
    <t>Contracción MRR</t>
  </si>
  <si>
    <t>Reducción de MRR de clientes existentes</t>
  </si>
  <si>
    <t>churned_mrr</t>
  </si>
  <si>
    <t>Churned MRR</t>
  </si>
  <si>
    <t>MRR perdido por clientes que se van</t>
  </si>
  <si>
    <t>retained_mrr</t>
  </si>
  <si>
    <t>Retenidas MRR</t>
  </si>
  <si>
    <t>MRR retenido del periodo anterior</t>
  </si>
  <si>
    <t>churn_mrr_mensual</t>
  </si>
  <si>
    <t>Churn MRR mensual</t>
  </si>
  <si>
    <t>churned_mrr / mrr_inicio</t>
  </si>
  <si>
    <t>Churn de ingresos mes a mes</t>
  </si>
  <si>
    <t>clientes_retirados</t>
  </si>
  <si>
    <t>Clientes retirados</t>
  </si>
  <si>
    <t>Nº de clientes que se retiran en el periodo</t>
  </si>
  <si>
    <t>Igual a clientes_perdidos</t>
  </si>
  <si>
    <t>cartera_total</t>
  </si>
  <si>
    <t>Cartera total</t>
  </si>
  <si>
    <t>Saldo total de cartera por cobrar</t>
  </si>
  <si>
    <t>Mensual (serie 13m + último mes)</t>
  </si>
  <si>
    <t>cartera_vencida</t>
  </si>
  <si>
    <t>Cartera vencida</t>
  </si>
  <si>
    <t>Cartera con plazo vencido</t>
  </si>
  <si>
    <t>cartera_sana</t>
  </si>
  <si>
    <t>Cartera sana</t>
  </si>
  <si>
    <t>cartera_total - cartera_vencida</t>
  </si>
  <si>
    <t>cartera_vencida_cliente</t>
  </si>
  <si>
    <t>Cartera vencida por cliente</t>
  </si>
  <si>
    <t>Cartera vencida atribuida a cada cliente</t>
  </si>
  <si>
    <t>detalle: 7 principales + 'Otros'</t>
  </si>
  <si>
    <t>Para gráfico de torta</t>
  </si>
  <si>
    <t>liquidez_total</t>
  </si>
  <si>
    <t>Liquidez total</t>
  </si>
  <si>
    <t>Saldo disponible por cuenta principal</t>
  </si>
  <si>
    <t>Bancos</t>
  </si>
  <si>
    <t>detalle: cuenta bancaria</t>
  </si>
  <si>
    <t>Por cuentas principales</t>
  </si>
  <si>
    <t>dso</t>
  </si>
  <si>
    <t>DSO</t>
  </si>
  <si>
    <t>cartera_total / facturacion_periodo * 30</t>
  </si>
  <si>
    <t>Días</t>
  </si>
  <si>
    <t>Mensual (evol. 12m + proy.)</t>
  </si>
  <si>
    <t>Días de cartera</t>
  </si>
  <si>
    <t>dpo</t>
  </si>
  <si>
    <t>DPO</t>
  </si>
  <si>
    <t>cuentas_x_pagar / costo_directo * 30</t>
  </si>
  <si>
    <t>Días de pago a proveedores</t>
  </si>
  <si>
    <t>ccc</t>
  </si>
  <si>
    <t>CCC</t>
  </si>
  <si>
    <t>dso - dpo (+ días de inventario)</t>
  </si>
  <si>
    <t>Ciclo de conversión de efectivo</t>
  </si>
  <si>
    <t>gasto_area</t>
  </si>
  <si>
    <t>Costos y gastos por área</t>
  </si>
  <si>
    <t>Gasto del periodo por gran área</t>
  </si>
  <si>
    <t>detalle: Administración / Comercial / Proveedores / TI / Financieros</t>
  </si>
  <si>
    <t>CONSOLIDADO: usar 'detalle' para el área</t>
  </si>
  <si>
    <t>gasto_admin</t>
  </si>
  <si>
    <t>Gastos administrativos</t>
  </si>
  <si>
    <t>Gasto administrativo por concepto</t>
  </si>
  <si>
    <t>detalle: Diversos / Viajes / Servicios / Seguros / Arrendamientos / Honorarios / Personal</t>
  </si>
  <si>
    <t>CONSOLIDADO: usar 'detalle' para el concepto</t>
  </si>
  <si>
    <t>costo_operacion</t>
  </si>
  <si>
    <t>Costos de operación</t>
  </si>
  <si>
    <t>Costo de operación por concepto</t>
  </si>
  <si>
    <t>detalle: Viajes / Mantenimientos / Servicios / Honorarios / Personal</t>
  </si>
  <si>
    <t>costo_proveedor</t>
  </si>
  <si>
    <t>Costos de proveedores</t>
  </si>
  <si>
    <t>Costo por proveedor tecnológico</t>
  </si>
  <si>
    <t>detalle: B2Chat / AWS / Infobip / IVA / Otros</t>
  </si>
  <si>
    <t>CONSOLIDADO: usar 'detalle' para el proveedor</t>
  </si>
  <si>
    <t>costo_proveedor_ventas_pct</t>
  </si>
  <si>
    <t>Costos de proveedores / ventas %</t>
  </si>
  <si>
    <t>Σ costo_proveedor / ingresos_totales</t>
  </si>
  <si>
    <t>salario_area_pct</t>
  </si>
  <si>
    <t>Salarios por área %</t>
  </si>
  <si>
    <t>nómina_área / nómina_total</t>
  </si>
  <si>
    <t>Mensual (últimos 2 meses)</t>
  </si>
  <si>
    <t>detalle: Desarrollo / Operaciones / Comercial / Administrativo</t>
  </si>
  <si>
    <t>Gráfico de torta</t>
  </si>
  <si>
    <t>distribucion_clientes</t>
  </si>
  <si>
    <t>Distribución de clientes</t>
  </si>
  <si>
    <t>Nº o % de clientes por tipo de ingreso</t>
  </si>
  <si>
    <t>Número/%</t>
  </si>
  <si>
    <t>detalle: Recurrente / No recurrente</t>
  </si>
  <si>
    <t>Financiero</t>
  </si>
  <si>
    <t>escenarios_fin</t>
  </si>
  <si>
    <t>Escenarios financieros</t>
  </si>
  <si>
    <t>Proyección por escenario (Real/Budget/Forecast)</t>
  </si>
  <si>
    <t>Modelo financiero</t>
  </si>
  <si>
    <t>detalle: definir vistas con Andrés</t>
  </si>
  <si>
    <t>ALCANCE A DEFINIR — vino suelto en el archivo</t>
  </si>
  <si>
    <t>cartera_cobro_legal</t>
  </si>
  <si>
    <t>Cartera en cobro legal</t>
  </si>
  <si>
    <t>Saldo de cartera en proceso jurídico</t>
  </si>
  <si>
    <t>Subconjunto de la cartera vencida</t>
  </si>
  <si>
    <t>indice_morosidad</t>
  </si>
  <si>
    <t>Índice de morosidad</t>
  </si>
  <si>
    <t>cartera_vencida / cartera_total</t>
  </si>
  <si>
    <t>Meta: excelente &lt; 5%</t>
  </si>
  <si>
    <t>cartera_mayor_60_pct</t>
  </si>
  <si>
    <t>% Cartera mayor a 60 días</t>
  </si>
  <si>
    <t>cartera_&gt;60d / cartera_total</t>
  </si>
  <si>
    <t>cartera_arr_pct</t>
  </si>
  <si>
    <t>Cartera como % de ARR</t>
  </si>
  <si>
    <t>cartera_total / arr</t>
  </si>
  <si>
    <t>Meta: excelente &lt; 12%</t>
  </si>
  <si>
    <t>concentracion_cartera</t>
  </si>
  <si>
    <t>Concentración de cartera</t>
  </si>
  <si>
    <t>cartera top cliente(s) / cartera_total</t>
  </si>
  <si>
    <t>Meta: excelente &lt; 15%</t>
  </si>
  <si>
    <t>write_off_ratio</t>
  </si>
  <si>
    <t>Write-off ratio (castigo real)</t>
  </si>
  <si>
    <t>cartera_castigada / ventas</t>
  </si>
  <si>
    <t>Meta: excelente &lt; 1%</t>
  </si>
  <si>
    <t>ingresos_no_recurrentes</t>
  </si>
  <si>
    <t>Ingresos no recurrentes</t>
  </si>
  <si>
    <t>Ingresos variables / one-off del periodo</t>
  </si>
  <si>
    <t>Serie S5</t>
  </si>
  <si>
    <t>gasto_desarrollo</t>
  </si>
  <si>
    <t>Gastos de Desarrollo</t>
  </si>
  <si>
    <t>Gasto del área de desarrollo por concepto</t>
  </si>
  <si>
    <t>Mensual (serie)</t>
  </si>
  <si>
    <t>detalle: Personal / Honorarios / Servicios / Viajes</t>
  </si>
  <si>
    <t>Zoom S15</t>
  </si>
  <si>
    <t>gasto_comercial</t>
  </si>
  <si>
    <t>Gastos Comercial</t>
  </si>
  <si>
    <t>Gasto del área comercial por concepto</t>
  </si>
  <si>
    <t>detalle: Personal / Honorario / Seguros / Servicios / Viajes / Diversos</t>
  </si>
  <si>
    <t>Zoom S13</t>
  </si>
  <si>
    <t>distribucion_facturacion_tamano</t>
  </si>
  <si>
    <t>Distribución facturación por tamaño</t>
  </si>
  <si>
    <t>% de facturación por tamaño de cliente</t>
  </si>
  <si>
    <t>detalle: Grandes / Medianos / Pequeños</t>
  </si>
  <si>
    <t>S9</t>
  </si>
  <si>
    <t>distribucion_ingresos</t>
  </si>
  <si>
    <t>Distribución de ingresos por tipo</t>
  </si>
  <si>
    <t>% de ingresos por tipo</t>
  </si>
  <si>
    <t>Anual</t>
  </si>
  <si>
    <t>detalle: Recurrente / Variable / Implementaciones / Internacional</t>
  </si>
  <si>
    <t>S4 (pie por año)</t>
  </si>
  <si>
    <t>mrr_inicio</t>
  </si>
  <si>
    <t>MRR inicio</t>
  </si>
  <si>
    <t>MRR al inicio del periodo</t>
  </si>
  <si>
    <t>Claude</t>
  </si>
  <si>
    <t>Requerido por GRR, churn, bridge</t>
  </si>
  <si>
    <t>mrr_final</t>
  </si>
  <si>
    <t>MRR final</t>
  </si>
  <si>
    <t>MRR al cierre del periodo</t>
  </si>
  <si>
    <t>Requerido por ARR, ARPA, MRR intl</t>
  </si>
  <si>
    <t>ingresos_recurrentes</t>
  </si>
  <si>
    <t>Ingresos recurrentes</t>
  </si>
  <si>
    <t>Ingreso recurrente reconocido en el periodo</t>
  </si>
  <si>
    <t>≈ MRR reconocido del mes</t>
  </si>
  <si>
    <t>ingresos_totales</t>
  </si>
  <si>
    <t>Ingresos totales</t>
  </si>
  <si>
    <t>ingresos_recurrentes + ingresos_one_off</t>
  </si>
  <si>
    <t>Base de muchos KPIs</t>
  </si>
  <si>
    <t>costo_directo</t>
  </si>
  <si>
    <t>Costo directo</t>
  </si>
  <si>
    <t>Costo directo de servicio (COGS)</t>
  </si>
  <si>
    <t>Requerido por margen bruto</t>
  </si>
  <si>
    <t>caja_disponible</t>
  </si>
  <si>
    <t>Caja disponible</t>
  </si>
  <si>
    <t>Saldo de caja al cierre</t>
  </si>
  <si>
    <t>Requerido por runway</t>
  </si>
  <si>
    <t>pagos_periodo</t>
  </si>
  <si>
    <t>Pagos del periodo</t>
  </si>
  <si>
    <t>Dinero efectivamente pagado en el periodo</t>
  </si>
  <si>
    <t>Requerido por burn rate</t>
  </si>
  <si>
    <t>facturacion_periodo</t>
  </si>
  <si>
    <t>Facturación del periodo</t>
  </si>
  <si>
    <t>Dinero efectivamente facturado</t>
  </si>
  <si>
    <t>Requerido por DSO / cartera</t>
  </si>
  <si>
    <t>clientes_perdidos</t>
  </si>
  <si>
    <t>Clientes perdidos</t>
  </si>
  <si>
    <t>Clientes que se retiran en el periodo</t>
  </si>
  <si>
    <t>Igual a clientes_retirados; requerido por churn</t>
  </si>
  <si>
    <t>deals_ganados</t>
  </si>
  <si>
    <t>Deals ganados</t>
  </si>
  <si>
    <t>Nº de oportunidades ganadas</t>
  </si>
  <si>
    <t>Requerido por ticket promedio</t>
  </si>
  <si>
    <t>gasto_ventas_comercial</t>
  </si>
  <si>
    <t>Gasto comercial (ventas)</t>
  </si>
  <si>
    <t>Gasto del área comercial para adquisición</t>
  </si>
  <si>
    <t>Requerido por CAC fully loaded</t>
  </si>
  <si>
    <t>churn_ingresos_pct</t>
  </si>
  <si>
    <t>Churn de ingresos %</t>
  </si>
  <si>
    <t>Requerido por LTV</t>
  </si>
  <si>
    <t>P&amp;G oficial</t>
  </si>
  <si>
    <t>pyg_ingresos_operacionales</t>
  </si>
  <si>
    <t>P&amp;G · Ingresos operacionales netos</t>
  </si>
  <si>
    <t>Servicio de software − devoluciones</t>
  </si>
  <si>
    <t>Estados financieros / Contabilidad</t>
  </si>
  <si>
    <t>pais / compañía</t>
  </si>
  <si>
    <t>Ingreso operacional neto del P&amp;G oficial mensual</t>
  </si>
  <si>
    <t>pyg_servicio_software</t>
  </si>
  <si>
    <t>P&amp;G · Servicio de software</t>
  </si>
  <si>
    <t>Facturación bruta por servicio de software</t>
  </si>
  <si>
    <t>COP</t>
  </si>
  <si>
    <t>Antes de devoluciones</t>
  </si>
  <si>
    <t>pyg_devoluciones</t>
  </si>
  <si>
    <t>P&amp;G · Devoluciones en ventas</t>
  </si>
  <si>
    <t>Devoluciones del periodo (valor negativo)</t>
  </si>
  <si>
    <t>Resta de ingresos</t>
  </si>
  <si>
    <t>pyg_costo_ventas</t>
  </si>
  <si>
    <t>P&amp;G · Costo de ventas</t>
  </si>
  <si>
    <t>Costo directo del servicio</t>
  </si>
  <si>
    <t>COGS del P&amp;G oficial</t>
  </si>
  <si>
    <t>pyg_utilidad_bruta</t>
  </si>
  <si>
    <t>P&amp;G · Utilidad bruta</t>
  </si>
  <si>
    <t>ingresos_operacionales − costo_ventas</t>
  </si>
  <si>
    <t>Margen bruto del P&amp;G oficial</t>
  </si>
  <si>
    <t>pyg_gasto_administracion</t>
  </si>
  <si>
    <t>P&amp;G · Gastos de administración</t>
  </si>
  <si>
    <t>Gastos operacionales de administración</t>
  </si>
  <si>
    <t>Línea del P&amp;G oficial</t>
  </si>
  <si>
    <t>pyg_gasto_proyectos</t>
  </si>
  <si>
    <t>P&amp;G · Gastos operación/proyectos</t>
  </si>
  <si>
    <t>Gastos operacionales / proyectos reclasificados</t>
  </si>
  <si>
    <t>pyg_gasto_ventas</t>
  </si>
  <si>
    <t>P&amp;G · Gastos de ventas</t>
  </si>
  <si>
    <t>Gastos operacionales de ventas</t>
  </si>
  <si>
    <t>pyg_utilidad_operativa</t>
  </si>
  <si>
    <t>P&amp;G · Utilidad operativa</t>
  </si>
  <si>
    <t>utilidad_bruta − gastos operacionales</t>
  </si>
  <si>
    <t>Base de EBITDA junio</t>
  </si>
  <si>
    <t>pyg_ingresos_no_operacionales</t>
  </si>
  <si>
    <t>P&amp;G · Ingresos no operacionales</t>
  </si>
  <si>
    <t>Ingresos financieros / otros no operacionales</t>
  </si>
  <si>
    <t>pyg_gastos_financieros</t>
  </si>
  <si>
    <t>P&amp;G · Gastos financieros</t>
  </si>
  <si>
    <t>Gastos no operacionales / financieros</t>
  </si>
  <si>
    <t>pyg_utilidad_neta</t>
  </si>
  <si>
    <t>P&amp;G · Utilidad neta</t>
  </si>
  <si>
    <t>utilidad operativa + ing. no op − gastos financieros</t>
  </si>
  <si>
    <t>Resultado del ejercicio del P&amp;G oficial</t>
  </si>
  <si>
    <t>(subsidiarias)</t>
  </si>
  <si>
    <t>Subsidiarias USA / Perú / Costa Rica</t>
  </si>
  <si>
    <t>Mismos códigos pyg_* con pais≠Colombia y moneda=USD</t>
  </si>
  <si>
    <t>Fuente: plantilla unificación subsidiarias (USD)</t>
  </si>
  <si>
    <t>proinnovate_ingresos</t>
  </si>
  <si>
    <t>PROINNOVATE · Ingresos/desembolsos</t>
  </si>
  <si>
    <t>Programa PROINNOVATE (Perú)</t>
  </si>
  <si>
    <t>USD</t>
  </si>
  <si>
    <t>Subsidiaria Perú</t>
  </si>
  <si>
    <t>pais=Perú</t>
  </si>
  <si>
    <t>Programa PROINNOVATE Perú</t>
  </si>
  <si>
    <t>proinnovate_gastos</t>
  </si>
  <si>
    <t>PROINNOVATE · Gastos asociados</t>
  </si>
  <si>
    <t>proinnovate_resultado</t>
  </si>
  <si>
    <t>PROINNOVATE · Resultado neto</t>
  </si>
  <si>
    <t>ingresos − gastos PROINNOVATE</t>
  </si>
  <si>
    <t>BD_Indicadores — tabla de hechos (formato largo). 1 fila = 1 indicador en 1 periodo y dimensiones.</t>
  </si>
  <si>
    <t>lista</t>
  </si>
  <si>
    <t>lista (Diccionario)</t>
  </si>
  <si>
    <t>p.ej. Medianos</t>
  </si>
  <si>
    <t>p.ej. AWS / Comercial</t>
  </si>
  <si>
    <t>número</t>
  </si>
  <si>
    <t>COP/USD/%/…</t>
  </si>
  <si>
    <t>opcional</t>
  </si>
  <si>
    <t>codigo_indicador</t>
  </si>
  <si>
    <t>segmento</t>
  </si>
  <si>
    <t>detalle</t>
  </si>
  <si>
    <t>valor</t>
  </si>
  <si>
    <t>unidad</t>
  </si>
  <si>
    <t>comentario</t>
  </si>
  <si>
    <t>area</t>
  </si>
  <si>
    <t>area_responsable</t>
  </si>
  <si>
    <t>2024-01</t>
  </si>
  <si>
    <t>Colombia</t>
  </si>
  <si>
    <t>Coco Colombia</t>
  </si>
  <si>
    <t>Real</t>
  </si>
  <si>
    <t>Derivado: ingresos - egresos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</si>
  <si>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</si>
  <si>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</si>
  <si>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</si>
  <si>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</si>
  <si>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</si>
  <si>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</si>
  <si>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</si>
  <si>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</si>
  <si>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</si>
  <si>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</si>
  <si>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</si>
  <si>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</si>
  <si>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</si>
  <si>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</si>
  <si>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</si>
  <si>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</si>
  <si>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</si>
  <si>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</si>
  <si>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</si>
  <si>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</si>
  <si>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</si>
  <si>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</si>
  <si>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</si>
  <si>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</si>
  <si>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Ajustado al cierre oficial (PDF Estados Financieros Junio 2026); serie mensual del Modelo, suma = 4.472.342.747</t>
  </si>
  <si>
    <t>2026-02</t>
  </si>
  <si>
    <t>2026-03</t>
  </si>
  <si>
    <t>2026-04</t>
  </si>
  <si>
    <t>2026-05</t>
  </si>
  <si>
    <t>'Ventas Totales (ARR)' reportado por contabilidad</t>
  </si>
  <si>
    <t>Meta &lt;45</t>
  </si>
  <si>
    <t>Meta &lt;5%</t>
  </si>
  <si>
    <t>Meta &lt;12%</t>
  </si>
  <si>
    <t>Meta &lt;15%</t>
  </si>
  <si>
    <t>Meta &lt;1%</t>
  </si>
  <si>
    <t>Financieros</t>
  </si>
  <si>
    <t>TI</t>
  </si>
  <si>
    <t>Proveedores</t>
  </si>
  <si>
    <t>Administración</t>
  </si>
  <si>
    <t>Personal</t>
  </si>
  <si>
    <t>Honorarios</t>
  </si>
  <si>
    <t>Arrendamiento</t>
  </si>
  <si>
    <t>Seguros</t>
  </si>
  <si>
    <t>Servicios</t>
  </si>
  <si>
    <t>Viajes</t>
  </si>
  <si>
    <t>Diversos</t>
  </si>
  <si>
    <t>Infobip</t>
  </si>
  <si>
    <t>IVA</t>
  </si>
  <si>
    <t>AWS</t>
  </si>
  <si>
    <t>B2Chat</t>
  </si>
  <si>
    <t>Otros</t>
  </si>
  <si>
    <t>Honorario</t>
  </si>
  <si>
    <t>Mantenimientos</t>
  </si>
  <si>
    <t>Promotores</t>
  </si>
  <si>
    <t>Pasivos</t>
  </si>
  <si>
    <t>Detractores</t>
  </si>
  <si>
    <t>Grandes</t>
  </si>
  <si>
    <t>Medianos</t>
  </si>
  <si>
    <t>Pequeños</t>
  </si>
  <si>
    <t>Cohan</t>
  </si>
  <si>
    <t>Caguan</t>
  </si>
  <si>
    <t>Icor</t>
  </si>
  <si>
    <t>Ceminsa</t>
  </si>
  <si>
    <t>HUS</t>
  </si>
  <si>
    <t>La Mesa</t>
  </si>
  <si>
    <t>Ciegos y Sordos</t>
  </si>
  <si>
    <t>2023-12</t>
  </si>
  <si>
    <t>Recurrente</t>
  </si>
  <si>
    <t>Año 2023</t>
  </si>
  <si>
    <t>Año 2025</t>
  </si>
  <si>
    <t>Año 2026 YTD</t>
  </si>
  <si>
    <t>Variable</t>
  </si>
  <si>
    <t>Implementaciones</t>
  </si>
  <si>
    <t>Desarrollo</t>
  </si>
  <si>
    <t>Operaciones</t>
  </si>
  <si>
    <t>Administrativo</t>
  </si>
  <si>
    <t>Mercadeo</t>
  </si>
  <si>
    <t>2026-06</t>
  </si>
  <si>
    <t>Q1-2025 (pauta mercadeo)</t>
  </si>
  <si>
    <t>Q2-2025 (pauta mercadeo)</t>
  </si>
  <si>
    <t>Q3-2025 (pauta mercadeo)</t>
  </si>
  <si>
    <t>Q4-2025 (pauta mercadeo)</t>
  </si>
  <si>
    <t>Q1-2026 (pauta mercadeo)</t>
  </si>
  <si>
    <t>Q2-2026 (pauta mercadeo)</t>
  </si>
  <si>
    <t>Q1-2025</t>
  </si>
  <si>
    <t>Q2-2025</t>
  </si>
  <si>
    <t>Q3-2025</t>
  </si>
  <si>
    <t>Q4-2025</t>
  </si>
  <si>
    <t>Q1-2026</t>
  </si>
  <si>
    <t>Q2-2026</t>
  </si>
  <si>
    <t>Q1-2025 — sin margen bruto</t>
  </si>
  <si>
    <t>Q2-2025 — sin margen bruto</t>
  </si>
  <si>
    <t>Q3-2025 — sin margen bruto</t>
  </si>
  <si>
    <t>Q4-2025 — sin margen bruto</t>
  </si>
  <si>
    <t>Q1-2026 — sin margen bruto</t>
  </si>
  <si>
    <t>Q2-2026 — sin margen bruto</t>
  </si>
  <si>
    <t>Financiero TTM</t>
  </si>
  <si>
    <t>TTM a may-2026; margen editable</t>
  </si>
  <si>
    <t>2026-07</t>
  </si>
  <si>
    <t>Sin cierres registrados en el periodo (todo en pipeline)</t>
  </si>
  <si>
    <t>Sin cierres registrados en el periodo</t>
  </si>
  <si>
    <t>Insumo Comercial jul-2026 · oport. con cierre esperado en el mes</t>
  </si>
  <si>
    <t>Luisa Fernanda Moreno Muñoz</t>
  </si>
  <si>
    <t>Insumo Comercial jul-2026 · desglose por comercial (Otros = clientes CR/Guatemala, sin código propio en Listas)</t>
  </si>
  <si>
    <t>Jennifer Paola Buitrago</t>
  </si>
  <si>
    <t>Mariam Naranjo</t>
  </si>
  <si>
    <t>Lina Gutiérrez</t>
  </si>
  <si>
    <t>Sin asignar</t>
  </si>
  <si>
    <t>Mauricio Paba</t>
  </si>
  <si>
    <t>EEFF junio: ingresos operacionales netos (Servicio software - devoluciones)</t>
  </si>
  <si>
    <t>EEFF junio: salidas totales netas de ingresos no operacionales (para conciliar utilidad oficial)</t>
  </si>
  <si>
    <t>EEFF junio: utilidad neta oficial</t>
  </si>
  <si>
    <t>EEFF junio: resultado/utilidad operativa (base EBITDA)</t>
  </si>
  <si>
    <t>EEFF junio: Clientes (Nota 5 / Balance) — cifra oficial</t>
  </si>
  <si>
    <t>Fuente: informe (no disponible en notas EEFF junio)</t>
  </si>
  <si>
    <t>Meta &lt;45 | Fuente: informe (no disponible en notas EEFF junio)</t>
  </si>
  <si>
    <t>Meta &lt;5% | Fuente: informe (no disponible en notas EEFF junio)</t>
  </si>
  <si>
    <t>Meta &lt;12% | Fuente: informe (no disponible en notas EEFF junio)</t>
  </si>
  <si>
    <t>Meta &lt;15% | Fuente: informe (no disponible en notas EEFF junio)</t>
  </si>
  <si>
    <t>Meta &lt;1% | Fuente: informe (no disponible en notas EEFF junio)</t>
  </si>
  <si>
    <t>Coopsana</t>
  </si>
  <si>
    <t>Promotora</t>
  </si>
  <si>
    <t>San Juan de Dios Rionegro</t>
  </si>
  <si>
    <t>Santa fe de Antioquia</t>
  </si>
  <si>
    <t>Genezen</t>
  </si>
  <si>
    <t>P&amp;G ejecutivo oficial (estados financieros mensuales)</t>
  </si>
  <si>
    <t>EE.UU.</t>
  </si>
  <si>
    <t>Coco LLC</t>
  </si>
  <si>
    <t>Consolidación USD</t>
  </si>
  <si>
    <t>Consolidación subsidiarias (USD). Colombia derivado del P&amp;G oficial / TRM del mes.</t>
  </si>
  <si>
    <t>Perú</t>
  </si>
  <si>
    <t>Coco Perú</t>
  </si>
  <si>
    <t>Costa Rica</t>
  </si>
  <si>
    <t>Coco Costa Rica</t>
  </si>
  <si>
    <t>Consolidado</t>
  </si>
  <si>
    <t>Coco Consolidado</t>
  </si>
  <si>
    <t>Consolidado = suma de EE.UU.+Perú+Costa Rica+Colombia (USD).</t>
  </si>
  <si>
    <t>Ingresos de 137.010 USD reversados: no corresponden a junio (entran después). Balance de la filial no registra ingresos.</t>
  </si>
  <si>
    <t>PROINNOVATE</t>
  </si>
  <si>
    <t>Programa PROINNOVATE Perú (no incluido en consolidado P&amp;G)</t>
  </si>
  <si>
    <t>Presupuesto combinado 2026 · versión aplicada: Original 4.5M · TRM plan 4.000</t>
  </si>
  <si>
    <t>Original enero</t>
  </si>
  <si>
    <t>Presupuesto original aprobado en enero 2026 · TRM plan 4.000 · meta anual USD 4.5M</t>
  </si>
  <si>
    <t>Revisado mayo</t>
  </si>
  <si>
    <t>Presupuesto revisado en mayo 2026 · TRM plan 3.690 · meta anual USD 4.0M</t>
  </si>
  <si>
    <t>Presupuesto combinado 2026 · versión aplicada: Revisado 4.0M · TRM plan 3.690</t>
  </si>
  <si>
    <t>2026-08</t>
  </si>
  <si>
    <t>2026-09</t>
  </si>
  <si>
    <t>2026-10</t>
  </si>
  <si>
    <t>2026-11</t>
  </si>
  <si>
    <t>2026-12</t>
  </si>
  <si>
    <t>Acumulado H1 2026</t>
  </si>
  <si>
    <t>P&amp;G Consolidado Oficial · Acumulado 1-ene al 30-jun-2026 (H1) · USD · sin balance general. Tasas promedio jun-2026: Perú 3.4050 PEN/USD · Colombia 3,505.2683 COP/USD.</t>
  </si>
  <si>
    <t>Semestral</t>
  </si>
  <si>
    <t>Estado de Resultados Combinado por País · acumulado a junio 2026 (versión definitiva, incluye reclasificación de honorarios de Perú pagados por EE.UU.).</t>
  </si>
  <si>
    <t>pyg_reclasif_honorarios_peru</t>
  </si>
  <si>
    <t>EEFF julio 2026: julio mensual derivado de acumulado oficial COCO Colombia menos enero-junio COP local ya cargado. Fuente: EF Julio COCO 2026.pdf.</t>
  </si>
  <si>
    <t>Consolidado estructurado julio 2026: Colombia convertido desde COP a USD con TRM 3505.2683.</t>
  </si>
  <si>
    <t>Moneda origen</t>
  </si>
  <si>
    <t>Consolidado estructurado julio 2026: julio mensual derivado por diferencia entre acumulado julio y acumulado junio.</t>
  </si>
  <si>
    <t>PEN</t>
  </si>
  <si>
    <t>Moneda origen PEN - operación ordinaria</t>
  </si>
  <si>
    <t>Perú julio 2026: movimientos ordinarios de Mov_Mensuales; PEN/USD 3.405 y USD/PEN 0.293686 provisionales. Otros ingresos acumulados del proyecto especial excluidos.</t>
  </si>
  <si>
    <t>Consolidado COCO</t>
  </si>
  <si>
    <t>Consolidado julio 2026 recalculado con Perú ordinario; proyecto especial excluido.</t>
  </si>
  <si>
    <t>Julio 2026 CR.xlsx ? movimiento mensual del auxiliar: ingresos por cr?ditos y gastos por d?bitos; moneda fuente USD.</t>
  </si>
  <si>
    <t>P&amp;G Ejecutivo Mensual — Coco Colombia 2026 (COP)</t>
  </si>
  <si>
    <t>Fuente: estados financieros oficiales. Julio 2026 derivado desde acumulado oficial a julio menos enero-junio.</t>
  </si>
  <si>
    <t>Concepto</t>
  </si>
  <si>
    <t>Ene</t>
  </si>
  <si>
    <t>Feb</t>
  </si>
  <si>
    <t>Mar</t>
  </si>
  <si>
    <t>Abr</t>
  </si>
  <si>
    <t>May</t>
  </si>
  <si>
    <t>Jun</t>
  </si>
  <si>
    <t>Jul</t>
  </si>
  <si>
    <t>Servicio de software</t>
  </si>
  <si>
    <t>(-) Devoluciones</t>
  </si>
  <si>
    <t>(-) Costo de ventas</t>
  </si>
  <si>
    <t>(-) Gastos de administración</t>
  </si>
  <si>
    <t>(-) Gastos operación / proyectos</t>
  </si>
  <si>
    <t>(-) Gastos de ventas</t>
  </si>
  <si>
    <t>(+) Ingresos no operacionales</t>
  </si>
  <si>
    <t>(-) Gastos financieros</t>
  </si>
  <si>
    <t>Estado de Resultados Subsidiarias y Consolidado ? 2026 (USD de presentaci?n; Perú convertido desde PEN)</t>
  </si>
  <si>
    <t>Julio 2026 actualizado con COCO Colombia, EE.UU., Per? y Costa Rica; cifras en USD de presentaci?n.</t>
  </si>
  <si>
    <t>rubro</t>
  </si>
  <si>
    <t>Ingresos Ordinarios</t>
  </si>
  <si>
    <t>Otros Ingresos</t>
  </si>
  <si>
    <t>Costo del servicio</t>
  </si>
  <si>
    <t>Operación</t>
  </si>
  <si>
    <t>Gastos financieros</t>
  </si>
  <si>
    <t>Utilidad</t>
  </si>
  <si>
    <t>PROINNOVATE Ingresos</t>
  </si>
  <si>
    <t>PROINNOVATE Gastos</t>
  </si>
  <si>
    <t>PROINNOVATE Resultado</t>
  </si>
  <si>
    <t>Administraci?n</t>
  </si>
  <si>
    <t>Operaci?n</t>
  </si>
  <si>
    <t>Utilidad bruta</t>
  </si>
  <si>
    <t>Utilidad operativa</t>
  </si>
  <si>
    <t>P&amp;G Oficial y Consolidación — vista de solo lectura</t>
  </si>
  <si>
    <t>Regenerada con EEFF julio 2026 el 2026-08-12 ? Colombia julio derivado del acumulado oficial.</t>
  </si>
  <si>
    <t>Finanzas — vista de solo lectura</t>
  </si>
  <si>
    <t>Regenerada desde BD_Indicadores el 2026-07-13 · 186 filas · Editar en BD_Indicadores.</t>
  </si>
  <si>
    <t>Contabilidad — vista de solo lectura</t>
  </si>
  <si>
    <t>Regenerada desde BD_Indicadores el 2026-07-13 · 1030 filas · Editar en BD_Indicadores.</t>
  </si>
  <si>
    <t>SaaS / Revenue — vista de solo lectura</t>
  </si>
  <si>
    <t>Regenerada desde BD_Indicadores el 2026-07-13 · 2 filas · Editar en BD_Indicadores.</t>
  </si>
  <si>
    <t>Ventas — vista de solo lectura</t>
  </si>
  <si>
    <t>Regenerada desde BD_Indicadores el 2026-07-13 · 60 filas · Editar en BD_Indicadores.</t>
  </si>
  <si>
    <t>Marketing — vista de solo lectura</t>
  </si>
  <si>
    <t>Regenerada desde BD_Indicadores el 2026-07-13 · 51 filas · Editar en BD_Indicadores.</t>
  </si>
  <si>
    <t>Customer Success — vista de solo lectura</t>
  </si>
  <si>
    <t>Regenerada desde BD_Indicadores el 2026-07-13 · 8 filas · Editar en BD_Indicadores.</t>
  </si>
  <si>
    <t>TRM mensual (COP por USD) — derivada de ingresos COP / ingresos USD</t>
  </si>
  <si>
    <t>El dashboard convierte a USD dividiendo el valor COP entre la TRM del periodo. Editable.</t>
  </si>
  <si>
    <t>trm_cop_usd</t>
  </si>
  <si>
    <t>fuente</t>
  </si>
  <si>
    <t>trm_promedio_mercado</t>
  </si>
  <si>
    <t>Ingresos COP/USD</t>
  </si>
  <si>
    <t>2023-07</t>
  </si>
  <si>
    <t>TRM promedio mensual (mercado)</t>
  </si>
  <si>
    <t>2023-08</t>
  </si>
  <si>
    <t>2023-09</t>
  </si>
  <si>
    <t>2023-10</t>
  </si>
  <si>
    <t>2023-11</t>
  </si>
  <si>
    <t>Base previa/impl?cita para convertir Colombia julio</t>
  </si>
  <si>
    <t>Tasa de cambio Perú — promedio mensual 2026 (S/ por US$)</t>
  </si>
  <si>
    <t>Fuente: BCRP (promedio del periodo). Julio = promedio del mes hasta la fecha (días hábiles 1–9 jul, provisional).</t>
  </si>
  <si>
    <t>par</t>
  </si>
  <si>
    <t>tc_pen_usd</t>
  </si>
  <si>
    <t>factor_usd_pen</t>
  </si>
  <si>
    <t>PEN/USD</t>
  </si>
  <si>
    <t>BCRP promedio mensual</t>
  </si>
  <si>
    <t>2026-07*</t>
  </si>
  <si>
    <t>Promedio hasta 9-jul (provisional)</t>
  </si>
  <si>
    <t>LTV financiero (margen bruto + churn de ingresos TTM)</t>
  </si>
  <si>
    <t>Cambia solo la celda amarilla (margen bruto) y LTV / payback / LTV:CAC se recalculan. Ventana TTM jun-2025 a may-2026.</t>
  </si>
  <si>
    <t>Margen bruto (EDITABLE)</t>
  </si>
  <si>
    <t>Source: Contabilidad, may-2026</t>
  </si>
  <si>
    <t>ARPA mensual prom. (TTM)</t>
  </si>
  <si>
    <t>Prom. ARPU mercadeo TTM</t>
  </si>
  <si>
    <t>Churn de ingresos mensual (TTM)</t>
  </si>
  <si>
    <t>Σchurned / Σmrr_inicio (MRR bridge)</t>
  </si>
  <si>
    <t>Churn de clientes mensual (TTM)</t>
  </si>
  <si>
    <t>Account Churn mercadeo (comparativo)</t>
  </si>
  <si>
    <t>CAC prom. trimestral (TTM)</t>
  </si>
  <si>
    <t>Prom. CAC mercadeo en la ventana</t>
  </si>
  <si>
    <t>RESULTADOS</t>
  </si>
  <si>
    <t>LTV financiero (COP)</t>
  </si>
  <si>
    <t>Payback financiero (meses)</t>
  </si>
  <si>
    <t>LTV:CAC financiero (veces)</t>
  </si>
  <si>
    <t>Análisis de Churn — Informe Contabilidad mayo 2026</t>
  </si>
  <si>
    <t>Valor de churn en USD. Definición de la cifra (MRR perdido vs. valor de contrato) a confirmar. Total churn = 40.131 USD.</t>
  </si>
  <si>
    <t>1. Churn por razón de retiro</t>
  </si>
  <si>
    <t>Razón</t>
  </si>
  <si>
    <t>Valor USD</t>
  </si>
  <si>
    <t>% del total</t>
  </si>
  <si>
    <t>Cambio de gerente</t>
  </si>
  <si>
    <t>Interoperabilidad</t>
  </si>
  <si>
    <t>No agrega valor</t>
  </si>
  <si>
    <t>Piloto no exitoso</t>
  </si>
  <si>
    <t>Total</t>
  </si>
  <si>
    <t>2. Churn por factor</t>
  </si>
  <si>
    <t>Factor</t>
  </si>
  <si>
    <t>Externo</t>
  </si>
  <si>
    <t>Interno</t>
  </si>
  <si>
    <t>3. Churn por tamaño de cliente</t>
  </si>
  <si>
    <t>Tamaño</t>
  </si>
  <si>
    <t>Comparativo 'Enero'</t>
  </si>
  <si>
    <t>Grande</t>
  </si>
  <si>
    <t>Mediano</t>
  </si>
  <si>
    <t>Pequeño</t>
  </si>
  <si>
    <t>4. Notas y hallazgos (CS)</t>
  </si>
  <si>
    <t>•  Salud Total representa el 40% del churn.</t>
  </si>
  <si>
    <t>•  No gastar esfuerzo comercial en clientes con &lt; 3.000 citas mensuales o consultorios particulares.</t>
  </si>
  <si>
    <t>•  El churn de B2C debe medirse aparte del agendamiento.</t>
  </si>
  <si>
    <t>•  Producto: estabilización del bot en Q1.</t>
  </si>
  <si>
    <t>•  Campañas y mejoras para Q3.</t>
  </si>
  <si>
    <t>Facturación Contable vs Ejecutada — mayo 2026 (S2)</t>
  </si>
  <si>
    <t>Contable (COP)</t>
  </si>
  <si>
    <t>Ejecutada (COP)</t>
  </si>
  <si>
    <t>Contable (USD)</t>
  </si>
  <si>
    <t>Ejecutada (USD)</t>
  </si>
  <si>
    <t>Ingresos operativos</t>
  </si>
  <si>
    <t>Otros ingresos</t>
  </si>
  <si>
    <t>Egresos</t>
  </si>
  <si>
    <t>paises</t>
  </si>
  <si>
    <t>escenarios</t>
  </si>
  <si>
    <t>monedas</t>
  </si>
  <si>
    <t>companias</t>
  </si>
  <si>
    <t>Modelo</t>
  </si>
  <si>
    <t>Ingresos_MRR</t>
  </si>
  <si>
    <t>Comercial_Ventas</t>
  </si>
  <si>
    <t>Customer_Success</t>
  </si>
  <si>
    <t>Cartera_Liquidez</t>
  </si>
  <si>
    <t>Costos_Gastos</t>
  </si>
  <si>
    <t>timestamp</t>
  </si>
  <si>
    <t>usuario</t>
  </si>
  <si>
    <t>accion</t>
  </si>
  <si>
    <t>hoja</t>
  </si>
  <si>
    <t>filas_afectadas</t>
  </si>
  <si>
    <t>2026-08-12T14:53:01</t>
  </si>
  <si>
    <t>Codex</t>
  </si>
  <si>
    <t>actualizacion_bd_local</t>
  </si>
  <si>
    <t>BD_MAESTRA_COCO</t>
  </si>
  <si>
    <t>EEFF julio 2026: soporte contable, P&amp;G Colombia mensual, bloque internacional y candidatos intercompa??a.</t>
  </si>
  <si>
    <t>2026-08-12T14:55:03</t>
  </si>
  <si>
    <t>correccion_actualizacion_bd_local</t>
  </si>
  <si>
    <t>Correcci?n: julio Colombia derivado solo con filas COP locales, excluyendo conversiones USD.</t>
  </si>
  <si>
    <t>Actualizaci?n final julio 2026</t>
  </si>
  <si>
    <t>Base maestra actualizada con Colombia, EE.UU., Per? y Costa Rica julio; consolidado USD recalculado; CR julio agregado desde Julio 2026 CR.xlsx.</t>
  </si>
  <si>
    <t>2026-08-12T17:09</t>
  </si>
  <si>
    <t>organizacion_base_datos</t>
  </si>
  <si>
    <t>Finanzas/BI</t>
  </si>
  <si>
    <t>Se agregan capas BD_PYG_OFICIAL, BD_GASTOS_HOMOLOGADOS, MAP_DASHBOARD_GASTOS, BD_GASTOS_DASHBOARD_BRIDGE y DB_CHECKS_ORGANIZACION.</t>
  </si>
  <si>
    <t>2026-08-12T17:11</t>
  </si>
  <si>
    <t>ajuste_organizacion_base</t>
  </si>
  <si>
    <t>Se agrega BD_GASTOS_RESUMEN_MENSUAL y se corrigen checks normalizados de cobertura julio.</t>
  </si>
  <si>
    <t>cliente</t>
  </si>
  <si>
    <t>comercial</t>
  </si>
  <si>
    <t>tipo</t>
  </si>
  <si>
    <t>prob</t>
  </si>
  <si>
    <t>mes</t>
  </si>
  <si>
    <t>mrr_cop</t>
  </si>
  <si>
    <t>impl_cop</t>
  </si>
  <si>
    <t>citas</t>
  </si>
  <si>
    <t>valor_cop</t>
  </si>
  <si>
    <t>ponderado_cop</t>
  </si>
  <si>
    <t>Consolidado financiero estructurado COCO 2026</t>
  </si>
  <si>
    <t>Resumen ejecutivo de COCO Colombia y sus subsidiarias. Colombia conciliada contra el PDF oficial acumulado a julio de 2026.</t>
  </si>
  <si>
    <t>ESTADO DE VALIDACIÓN</t>
  </si>
  <si>
    <t>CORTE OFICIAL COLOMBIA</t>
  </si>
  <si>
    <t>TRAZABILIDAD</t>
  </si>
  <si>
    <t>COCO COLOMBIA VALIDADO</t>
  </si>
  <si>
    <t>2026-01-01 a 2026-07-31</t>
  </si>
  <si>
    <t>Archivos fuente</t>
  </si>
  <si>
    <t>Registros base</t>
  </si>
  <si>
    <t>Fuente</t>
  </si>
  <si>
    <t>EF Julio COCO 2026.pdf</t>
  </si>
  <si>
    <t>Reglas de mapeo</t>
  </si>
  <si>
    <t>Cobertura</t>
  </si>
  <si>
    <t>Cobertura julio</t>
  </si>
  <si>
    <t>COCO + EE.UU. + Per? + CR</t>
  </si>
  <si>
    <t>INDICADORES OFICIALES - COCO COLOMBIA (COP)</t>
  </si>
  <si>
    <t>TOTAL ACTIVOS</t>
  </si>
  <si>
    <t>TOTAL PASIVOS</t>
  </si>
  <si>
    <t>TOTAL PATRIMONIO</t>
  </si>
  <si>
    <t>INGRESOS ORDINARIOS</t>
  </si>
  <si>
    <t>RESULTADO OPERACIONAL</t>
  </si>
  <si>
    <t>UTILIDAD DEL EJERCICIO</t>
  </si>
  <si>
    <t>LECTURA DEL ARCHIVO</t>
  </si>
  <si>
    <t>Todas las cifras oficiales acumuladas a julio coinciden; el balance cuadra y los subtotales están definidos por bloque.</t>
  </si>
  <si>
    <t>Conciliaciones PDF</t>
  </si>
  <si>
    <t>Se documentan por separado 7 diferencias internas de COP 1-2; no se asignaron a cuentas incorrectas.</t>
  </si>
  <si>
    <t>Subsidiarias</t>
  </si>
  <si>
    <t>USA, Perú y Costa Rica permanecen separadas en su moneda de origen; no se suman monedas diferentes.</t>
  </si>
  <si>
    <t>Grupo</t>
  </si>
  <si>
    <t>Pendiente definir tasas de cambio y registrar eliminaciones intercompañía.</t>
  </si>
  <si>
    <t>PENDIENTES PARA CONSOLIDAR EL GRUPO</t>
  </si>
  <si>
    <t>ESTRUCTURA DEL ARCHIVO</t>
  </si>
  <si>
    <t>Definir moneda de presentación y tasas de cierre/promedio.</t>
  </si>
  <si>
    <t>COCO_Oficial_COP</t>
  </si>
  <si>
    <t>Validación exclusiva de Colombia contra el PDF oficial acumulado, en COP.</t>
  </si>
  <si>
    <t>Conciliar y eliminar saldos y transacciones intercompañía.</t>
  </si>
  <si>
    <t>Balance_Comun</t>
  </si>
  <si>
    <t>Balance comparativo por rubro común y entidad.</t>
  </si>
  <si>
    <t>Incorporar julio 2026 de Costa Rica.</t>
  </si>
  <si>
    <t>Resultados_YTD</t>
  </si>
  <si>
    <t>Resultados acumulados por rubro común y entidad.</t>
  </si>
  <si>
    <t>Resolver las alertas de signo y clasificación material.</t>
  </si>
  <si>
    <t>Mov_Mensuales</t>
  </si>
  <si>
    <t>Movimientos mensuales de auxiliares.</t>
  </si>
  <si>
    <t>Base_Homologada</t>
  </si>
  <si>
    <t>Detalle trazable, sin niveles duplicados.</t>
  </si>
  <si>
    <t>Homologacion</t>
  </si>
  <si>
    <t>Catálogo editable de cuentas fuente a rubros comunes.</t>
  </si>
  <si>
    <t>Intercompanias</t>
  </si>
  <si>
    <t>Candidatos para conciliación y eliminación.</t>
  </si>
  <si>
    <t>Alertas</t>
  </si>
  <si>
    <t>Hallazgos de clasificación, signos, continuidad y cobertura.</t>
  </si>
  <si>
    <t>Checks</t>
  </si>
  <si>
    <t>Controles de roll-up, balance y fuente PDF.</t>
  </si>
  <si>
    <t>Notas_COCO</t>
  </si>
  <si>
    <t>Detalle validado del PDF de Colombia.</t>
  </si>
  <si>
    <t>Fuentes</t>
  </si>
  <si>
    <t>Inventario de los 21 archivos.</t>
  </si>
  <si>
    <t>Versión 3.1 | Preparado 2026-08-12 | Subtotales definidos | Colombia en COP; subsidiarias en moneda de origen</t>
  </si>
  <si>
    <t>COCO Colombia - validación contra estados oficiales</t>
  </si>
  <si>
    <t>Acumulado del 1 de enero al 31 de julio de 2026. Cifras exclusivamente de Colombia, expresadas en pesos colombianos (COP).</t>
  </si>
  <si>
    <t>Entidad</t>
  </si>
  <si>
    <t>COCO INVERSIONES TECNOLOGICAS S.A.S</t>
  </si>
  <si>
    <t>2026-01-01 al 2026-07-31</t>
  </si>
  <si>
    <t>EF Julio COCO 2026.pdf - estados principales, páginas 1 y 2</t>
  </si>
  <si>
    <t>ESTADO DE SITUACIÓN FINANCIERA</t>
  </si>
  <si>
    <t>Nota</t>
  </si>
  <si>
    <t>PDF oficial</t>
  </si>
  <si>
    <t>Homologado</t>
  </si>
  <si>
    <t>Diferencia</t>
  </si>
  <si>
    <t>Estado</t>
  </si>
  <si>
    <t>Efectivo y equivalentes</t>
  </si>
  <si>
    <t>OK</t>
  </si>
  <si>
    <t>Inversiones</t>
  </si>
  <si>
    <t>Cuentas comerciales y otras cuentas por cobrar</t>
  </si>
  <si>
    <t>Total activos corrientes</t>
  </si>
  <si>
    <t>Total activos no corrientes</t>
  </si>
  <si>
    <t>TOTAL ACTIVO</t>
  </si>
  <si>
    <t>Total pasivo corriente</t>
  </si>
  <si>
    <t>Total pasivo no corriente</t>
  </si>
  <si>
    <t>TOTAL PASIVO</t>
  </si>
  <si>
    <t>Patrimonio atribuible a los accionistas</t>
  </si>
  <si>
    <t>Prima en colocación de acciones</t>
  </si>
  <si>
    <t>Utilidades acumuladas</t>
  </si>
  <si>
    <t>Utilidad del ejercicio</t>
  </si>
  <si>
    <t>Total patrimonio</t>
  </si>
  <si>
    <t>TOTAL PASIVO Y PATRIMONIO</t>
  </si>
  <si>
    <t>ESTADO DE RESULTADOS INTEGRAL - ACUMULADO</t>
  </si>
  <si>
    <t>Servicios de software de agendamiento</t>
  </si>
  <si>
    <t>Devoluciones</t>
  </si>
  <si>
    <t>Costo de ventas</t>
  </si>
  <si>
    <t>TOTAL INGRESOS ORDINARIOS</t>
  </si>
  <si>
    <t>Gastos de administración</t>
  </si>
  <si>
    <t>Gastos de ventas</t>
  </si>
  <si>
    <t>Gastos operacionales</t>
  </si>
  <si>
    <t>GASTOS DE OPERACIÓN Y PROYECTOS</t>
  </si>
  <si>
    <t>RESULTADO DE LA OPERACIÓN</t>
  </si>
  <si>
    <t>Ingreso no operacional</t>
  </si>
  <si>
    <t>CONCILIACIONES DOCUMENTADAS DEL PDF</t>
  </si>
  <si>
    <t>Diferencia COP</t>
  </si>
  <si>
    <t>Tratamiento</t>
  </si>
  <si>
    <t>Referencia</t>
  </si>
  <si>
    <t>Activos no corrientes</t>
  </si>
  <si>
    <t>Conciliación separada; prevalece el total oficial.</t>
  </si>
  <si>
    <t>Pág. 1 vs Nota 6</t>
  </si>
  <si>
    <t>Pasivo corriente</t>
  </si>
  <si>
    <t>Pág. 1 vs Nota 7</t>
  </si>
  <si>
    <t>Total ingresos ordinarios</t>
  </si>
  <si>
    <t>Conciliación separada; prevalece el subtotal oficial.</t>
  </si>
  <si>
    <t>Pág. 2</t>
  </si>
  <si>
    <t>Gastos de operación y proyectos</t>
  </si>
  <si>
    <t>Se usa COP 40.108.353 del estado principal.</t>
  </si>
  <si>
    <t>Pág. 2 vs Nota 13</t>
  </si>
  <si>
    <t>Conciliación separada; prevalece la utilidad oficial.</t>
  </si>
  <si>
    <t>Total pasivo y patrimonio</t>
  </si>
  <si>
    <t>Conciliación separada; prevalece el total oficial publicado.</t>
  </si>
  <si>
    <t>Pág. 1</t>
  </si>
  <si>
    <t>Estado de situación financiera homologado</t>
  </si>
  <si>
    <t>Comparativo por entidad en moneda de origen. Para auxiliares, el resultado YTD abierto se incorpora como línea de patrimonio para que el balance cuadre.</t>
  </si>
  <si>
    <t>USA</t>
  </si>
  <si>
    <t>PERU</t>
  </si>
  <si>
    <t>CR</t>
  </si>
  <si>
    <t>Código</t>
  </si>
  <si>
    <t>Rubro común</t>
  </si>
  <si>
    <t>ACTIVOS CORRIENTES</t>
  </si>
  <si>
    <t>BS-A-010</t>
  </si>
  <si>
    <t>BS-A-020</t>
  </si>
  <si>
    <t>Inversiones corrientes</t>
  </si>
  <si>
    <t>BS-A-030</t>
  </si>
  <si>
    <t>Cuentas comerciales por cobrar</t>
  </si>
  <si>
    <t>BS-A-040</t>
  </si>
  <si>
    <t>Anticipos y otras cuentas por cobrar</t>
  </si>
  <si>
    <t>BS-A-050</t>
  </si>
  <si>
    <t>Activos por impuestos corrientes</t>
  </si>
  <si>
    <t>BS-A-060</t>
  </si>
  <si>
    <t>Otras cuentas por cobrar</t>
  </si>
  <si>
    <t>SUBTOTAL_RECEIVABLES</t>
  </si>
  <si>
    <t>Subtotal cuentas por cobrar, anticipos e impuestos</t>
  </si>
  <si>
    <t>TOTAL_CA</t>
  </si>
  <si>
    <t>ACTIVOS NO CORRIENTES</t>
  </si>
  <si>
    <t>BS-A-110</t>
  </si>
  <si>
    <t>Propiedad, planta y equipo</t>
  </si>
  <si>
    <t>BS-A-120</t>
  </si>
  <si>
    <t>Depreciación acumulada</t>
  </si>
  <si>
    <t>BS-A-130</t>
  </si>
  <si>
    <t>Activos intangibles</t>
  </si>
  <si>
    <t>BS-A-140</t>
  </si>
  <si>
    <t>Conciliación estado oficial vs notas</t>
  </si>
  <si>
    <t>TOTAL_NCA</t>
  </si>
  <si>
    <t>TOTAL_ASSETS</t>
  </si>
  <si>
    <t>PASIVOS CORRIENTES</t>
  </si>
  <si>
    <t>BS-L-010</t>
  </si>
  <si>
    <t>Obligaciones financieras</t>
  </si>
  <si>
    <t>BS-L-020</t>
  </si>
  <si>
    <t>Cuentas comerciales por pagar</t>
  </si>
  <si>
    <t>BS-L-030</t>
  </si>
  <si>
    <t>Otras cuentas por pagar</t>
  </si>
  <si>
    <t>BS-L-040</t>
  </si>
  <si>
    <t>Impuestos por pagar</t>
  </si>
  <si>
    <t>BS-L-050</t>
  </si>
  <si>
    <t>Obligaciones laborales</t>
  </si>
  <si>
    <t>BS-L-060</t>
  </si>
  <si>
    <t>Pasivos por contratos y anticipos</t>
  </si>
  <si>
    <t>BS-L-070</t>
  </si>
  <si>
    <t>TOTAL_CL</t>
  </si>
  <si>
    <t>Total pasivos corrientes / sin plazo</t>
  </si>
  <si>
    <t>PASIVOS NO CORRIENTES</t>
  </si>
  <si>
    <t>BS-L-110</t>
  </si>
  <si>
    <t>Cuentas por pagar a vinculadas</t>
  </si>
  <si>
    <t>TOTAL_NCL</t>
  </si>
  <si>
    <t>Total pasivos no corrientes</t>
  </si>
  <si>
    <t>TOTAL_LIAB</t>
  </si>
  <si>
    <t>PATRIMONIO</t>
  </si>
  <si>
    <t>BS-E-010</t>
  </si>
  <si>
    <t>Capital social</t>
  </si>
  <si>
    <t>BS-E-020</t>
  </si>
  <si>
    <t>BS-E-030</t>
  </si>
  <si>
    <t>Resultados acumulados</t>
  </si>
  <si>
    <t>BS-E-040</t>
  </si>
  <si>
    <t>Resultado registrado en libros</t>
  </si>
  <si>
    <t>BS-E-050</t>
  </si>
  <si>
    <t>Resultado del periodo reportado - COCO</t>
  </si>
  <si>
    <t>OPEN_PNL</t>
  </si>
  <si>
    <t>Resultado YTD abierto - subsidiarias</t>
  </si>
  <si>
    <t>TOTAL_EQUITY</t>
  </si>
  <si>
    <t>BS-C-900</t>
  </si>
  <si>
    <t>Conciliación del total oficial pasivo y patrimonio</t>
  </si>
  <si>
    <t>TOTAL_LE</t>
  </si>
  <si>
    <t>BALANCE_CHECK</t>
  </si>
  <si>
    <t>DIFERENCIA DE BALANCE</t>
  </si>
  <si>
    <t>Estado de resultados homologado - YTD</t>
  </si>
  <si>
    <t>Comparativo por entidad en moneda de origen. Los periodos se muestran en el encabezado; no se suman monedas diferentes.</t>
  </si>
  <si>
    <t>INGRESOS OPERACIONALES</t>
  </si>
  <si>
    <t>PL-R-010</t>
  </si>
  <si>
    <t>Ingresos por servicios</t>
  </si>
  <si>
    <t>PL-R-020</t>
  </si>
  <si>
    <t>TOTAL_REV</t>
  </si>
  <si>
    <t>Ingresos operacionales netos</t>
  </si>
  <si>
    <t>COSTO DE VENTAS</t>
  </si>
  <si>
    <t>PL-C-010</t>
  </si>
  <si>
    <t>Costo de ventas / desarrollo</t>
  </si>
  <si>
    <t>PL-G-900</t>
  </si>
  <si>
    <t>Conciliación del total oficial de ingresos ordinarios</t>
  </si>
  <si>
    <t>GROSS</t>
  </si>
  <si>
    <t>GASTOS DE ADMINISTRACIÓN</t>
  </si>
  <si>
    <t>PL-O-010</t>
  </si>
  <si>
    <t>Gastos de personal</t>
  </si>
  <si>
    <t>PL-O-020</t>
  </si>
  <si>
    <t>Honorarios y servicios profesionales</t>
  </si>
  <si>
    <t>PL-O-030</t>
  </si>
  <si>
    <t>Impuestos y contribuciones</t>
  </si>
  <si>
    <t>PL-O-040</t>
  </si>
  <si>
    <t>Arrendamientos</t>
  </si>
  <si>
    <t>PL-O-050</t>
  </si>
  <si>
    <t>PL-O-060</t>
  </si>
  <si>
    <t>Tecnología y procesamiento de datos</t>
  </si>
  <si>
    <t>PL-O-070</t>
  </si>
  <si>
    <t>Telecomunicaciones</t>
  </si>
  <si>
    <t>PL-O-080</t>
  </si>
  <si>
    <t>Correo y mensajería</t>
  </si>
  <si>
    <t>PL-O-090</t>
  </si>
  <si>
    <t>Viajes y representación</t>
  </si>
  <si>
    <t>PL-O-100</t>
  </si>
  <si>
    <t>Otros servicios administrativos</t>
  </si>
  <si>
    <t>PL-O-110</t>
  </si>
  <si>
    <t>Suministros y oficina</t>
  </si>
  <si>
    <t>PL-O-120</t>
  </si>
  <si>
    <t>Alimentación y restaurante</t>
  </si>
  <si>
    <t>PL-O-130</t>
  </si>
  <si>
    <t>Transporte local y parqueaderos</t>
  </si>
  <si>
    <t>PL-O-200</t>
  </si>
  <si>
    <t>Gastos de administración - COCO</t>
  </si>
  <si>
    <t>TOTAL_ADMIN</t>
  </si>
  <si>
    <t>Subtotal gastos de administración</t>
  </si>
  <si>
    <t>OTROS GASTOS OPERACIONALES</t>
  </si>
  <si>
    <t>PL-O-210</t>
  </si>
  <si>
    <t>Gastos operacionales - COCO</t>
  </si>
  <si>
    <t>TOTAL_OTHER_OPEX</t>
  </si>
  <si>
    <t>Subtotal otros gastos operacionales</t>
  </si>
  <si>
    <t>GASTOS DE VENTAS</t>
  </si>
  <si>
    <t>PL-S-010</t>
  </si>
  <si>
    <t>Honorarios comerciales y técnicos</t>
  </si>
  <si>
    <t>PL-S-020</t>
  </si>
  <si>
    <t>Mercadeo y publicidad</t>
  </si>
  <si>
    <t>PL-S-030</t>
  </si>
  <si>
    <t>Otros servicios comerciales</t>
  </si>
  <si>
    <t>PL-S-040</t>
  </si>
  <si>
    <t>Viajes comerciales</t>
  </si>
  <si>
    <t>PL-S-050</t>
  </si>
  <si>
    <t>Transporte comercial</t>
  </si>
  <si>
    <t>PL-S-060</t>
  </si>
  <si>
    <t>Otros gastos comerciales</t>
  </si>
  <si>
    <t>PL-S-200</t>
  </si>
  <si>
    <t>Gastos de ventas - COCO</t>
  </si>
  <si>
    <t>TOTAL_SELLING</t>
  </si>
  <si>
    <t>Subtotal gastos de ventas</t>
  </si>
  <si>
    <t>PL-O-900</t>
  </si>
  <si>
    <t>Conciliación del total oficial de gastos operacionales</t>
  </si>
  <si>
    <t>TOTAL_OPEX</t>
  </si>
  <si>
    <t>Total gastos operacionales</t>
  </si>
  <si>
    <t>OPERATING_RESULT</t>
  </si>
  <si>
    <t>Resultado operacional</t>
  </si>
  <si>
    <t>NO OPERACIONALES E IMPUESTOS</t>
  </si>
  <si>
    <t>PL-NO-010</t>
  </si>
  <si>
    <t>Ingresos financieros</t>
  </si>
  <si>
    <t>PL-NO-020</t>
  </si>
  <si>
    <t>TOTAL_NONOP_INCOME</t>
  </si>
  <si>
    <t>Subtotal ingresos no operacionales</t>
  </si>
  <si>
    <t>PL-F-010</t>
  </si>
  <si>
    <t>PL-T-010</t>
  </si>
  <si>
    <t>Impuesto de renta</t>
  </si>
  <si>
    <t>TOTAL_FIN_TAX</t>
  </si>
  <si>
    <t>Subtotal gastos financieros e impuestos</t>
  </si>
  <si>
    <t>PL-N-900</t>
  </si>
  <si>
    <t>Conciliación de la utilidad oficial</t>
  </si>
  <si>
    <t>NET_RESULT</t>
  </si>
  <si>
    <t>Resultado neto calculado</t>
  </si>
  <si>
    <t>Movimientos mensuales homologados</t>
  </si>
  <si>
    <t>Saldos y movimientos de los auxiliares por rubro común. COCO no se incluye porque el PDF solo contiene estados acumulados.</t>
  </si>
  <si>
    <t>Código común</t>
  </si>
  <si>
    <t>Saldo inicial fuente</t>
  </si>
  <si>
    <t>Débitos</t>
  </si>
  <si>
    <t>Créditos</t>
  </si>
  <si>
    <t>Saldo final fuente</t>
  </si>
  <si>
    <t>Saldo presentación</t>
  </si>
  <si>
    <t>Base homologada de cuentas</t>
  </si>
  <si>
    <t>Solo contiene cuentas de detalle para evitar doble conteo. Los rubros se consultan desde Homologacion y conservan la trazabilidad a archivo y fila/página.</t>
  </si>
  <si>
    <t>Archivo fuente</t>
  </si>
  <si>
    <t>Fin periodo</t>
  </si>
  <si>
    <t>Estado fuente</t>
  </si>
  <si>
    <t>Código fuente</t>
  </si>
  <si>
    <t>Cuenta fuente</t>
  </si>
  <si>
    <t>Detalle / tercero</t>
  </si>
  <si>
    <t>Saldo inicial</t>
  </si>
  <si>
    <t>Clave mapeo</t>
  </si>
  <si>
    <t>Estado común</t>
  </si>
  <si>
    <t>Subrubro</t>
  </si>
  <si>
    <t>Naturaleza</t>
  </si>
  <si>
    <t>Factor signo</t>
  </si>
  <si>
    <t>Confianza</t>
  </si>
  <si>
    <t>Revisar</t>
  </si>
  <si>
    <t>Fundamento</t>
  </si>
  <si>
    <t>Abril 2026 CR.xlsx</t>
  </si>
  <si>
    <t>Fila 6</t>
  </si>
  <si>
    <t>Auxiliar contable</t>
  </si>
  <si>
    <t>MONEDA NACIONAL</t>
  </si>
  <si>
    <t>AUX|111005</t>
  </si>
  <si>
    <t>Balance</t>
  </si>
  <si>
    <t>Activos corrientes</t>
  </si>
  <si>
    <t>Bancos - cuenta corriente</t>
  </si>
  <si>
    <t>Deudora</t>
  </si>
  <si>
    <t>Alta</t>
  </si>
  <si>
    <t>NO</t>
  </si>
  <si>
    <t>Cuenta bancaria disponible</t>
  </si>
  <si>
    <t>Fila 11</t>
  </si>
  <si>
    <t>CTAS CTE COMERCIALES</t>
  </si>
  <si>
    <t>NEXUS HEALTH STRATEGIES</t>
  </si>
  <si>
    <t>AUX|230505</t>
  </si>
  <si>
    <t>Pasivos corrientes</t>
  </si>
  <si>
    <t>Cuentas corrientes comerciales</t>
  </si>
  <si>
    <t>Acreedora</t>
  </si>
  <si>
    <t>Cuenta comercial por pagar</t>
  </si>
  <si>
    <t>Fila 16</t>
  </si>
  <si>
    <t>CAPITAL AUTORIZADO</t>
  </si>
  <si>
    <t>COCO TECH AI COSTA RICA SOCIEDAD ANONIMA</t>
  </si>
  <si>
    <t>AUX|310505</t>
  </si>
  <si>
    <t>Patrimonio</t>
  </si>
  <si>
    <t>Capital autorizado/pagado</t>
  </si>
  <si>
    <t>Fila 19</t>
  </si>
  <si>
    <t>CUOTAS O PARTES DE INTERES SOCIAL</t>
  </si>
  <si>
    <t>AUX|311505</t>
  </si>
  <si>
    <t>Aportes sociales</t>
  </si>
  <si>
    <t>Aportes de socios</t>
  </si>
  <si>
    <t>Fila 23</t>
  </si>
  <si>
    <t>PERDIDA DEL EJERCICIO</t>
  </si>
  <si>
    <t>AUX|361005</t>
  </si>
  <si>
    <t>Pérdida registrada</t>
  </si>
  <si>
    <t>Media</t>
  </si>
  <si>
    <t>SI</t>
  </si>
  <si>
    <t>No concilia con el resultado YTD de cuentas 4 y 5; revisar signo y cierre</t>
  </si>
  <si>
    <t>Fila 28</t>
  </si>
  <si>
    <t>SUELDOS</t>
  </si>
  <si>
    <t>NARANJO BUSTOS MARIAM</t>
  </si>
  <si>
    <t>AUX|510506</t>
  </si>
  <si>
    <t>Resultados</t>
  </si>
  <si>
    <t>Sueldos</t>
  </si>
  <si>
    <t>Remuneración laboral</t>
  </si>
  <si>
    <t>Fila 30</t>
  </si>
  <si>
    <t>VIATICOS</t>
  </si>
  <si>
    <t>AUX|510521</t>
  </si>
  <si>
    <t>Viáticos</t>
  </si>
  <si>
    <t>Viáticos administrativos</t>
  </si>
  <si>
    <t>Fila 32</t>
  </si>
  <si>
    <t>PRESTACIONES SOCIALES</t>
  </si>
  <si>
    <t>AUX|510531</t>
  </si>
  <si>
    <t>Prestaciones sociales</t>
  </si>
  <si>
    <t>Prestaciones laborales</t>
  </si>
  <si>
    <t>Fila 35</t>
  </si>
  <si>
    <t>ASESORIA JURIDICA</t>
  </si>
  <si>
    <t>MUÑOZ CHACON FRANCISCO JAVIER</t>
  </si>
  <si>
    <t>AUX|511025</t>
  </si>
  <si>
    <t>Asesoría jurídica</t>
  </si>
  <si>
    <t>Servicio profesional jurídico</t>
  </si>
  <si>
    <t>Fila 38</t>
  </si>
  <si>
    <t>INDUSTRIA Y COMERCIO</t>
  </si>
  <si>
    <t>MINISTERIO DE HACIENDA</t>
  </si>
  <si>
    <t>AUX|511505</t>
  </si>
  <si>
    <t>Industria, comercio y otros</t>
  </si>
  <si>
    <t>Impuestos no asociados a renta</t>
  </si>
  <si>
    <t>Fila 39</t>
  </si>
  <si>
    <t>Fila 42</t>
  </si>
  <si>
    <t>CONTRIBUCIONES</t>
  </si>
  <si>
    <t>MINISTERIO DE SALUD</t>
  </si>
  <si>
    <t>AUX|512505</t>
  </si>
  <si>
    <t>Contribuciones y afiliaciones</t>
  </si>
  <si>
    <t>Contribuciones</t>
  </si>
  <si>
    <t>Fila 45</t>
  </si>
  <si>
    <t>OTROS</t>
  </si>
  <si>
    <t>RADIOGRAFICA COSTARRICENSE SA</t>
  </si>
  <si>
    <t>AUX|513095</t>
  </si>
  <si>
    <t>Otros seguros</t>
  </si>
  <si>
    <t>Cuenta fuente de seguros con descripción genérica</t>
  </si>
  <si>
    <t>Fila 46</t>
  </si>
  <si>
    <t>SEGUROS INS</t>
  </si>
  <si>
    <t>Fila 49</t>
  </si>
  <si>
    <t>PROCESAMIENTO ELECTRONICO DE DATOS</t>
  </si>
  <si>
    <t>CAJA COSTARRICENSE DE SEGURO SOCIAL</t>
  </si>
  <si>
    <t>AUX|513520</t>
  </si>
  <si>
    <t>Plataformas y software</t>
  </si>
  <si>
    <t>Revisar proveedores de telecomunicaciones registrados aquí</t>
  </si>
  <si>
    <t>Fila 52</t>
  </si>
  <si>
    <t>UTILES, PAPELERIA Y FOTOCOPIAS</t>
  </si>
  <si>
    <t>FERRETERIA EPA S.A.</t>
  </si>
  <si>
    <t>AUX|519530</t>
  </si>
  <si>
    <t>Útiles, papelería y fotocopias</t>
  </si>
  <si>
    <t>Suministros de oficina</t>
  </si>
  <si>
    <t>Fila 53</t>
  </si>
  <si>
    <t>ISTORE SAN PEDRO</t>
  </si>
  <si>
    <t>Fila 54</t>
  </si>
  <si>
    <t>MUNDO TECNOLOGIA</t>
  </si>
  <si>
    <t>Fila 55</t>
  </si>
  <si>
    <t>REGISTRO NACIONAL REPUBLICA DE COSTA RICA</t>
  </si>
  <si>
    <t>Fila 59</t>
  </si>
  <si>
    <t>GASTOS BANCARIOS</t>
  </si>
  <si>
    <t>BAC CREDOMATIC</t>
  </si>
  <si>
    <t>AUX|530505</t>
  </si>
  <si>
    <t>Gastos bancarios</t>
  </si>
  <si>
    <t>Costo financiero bancario</t>
  </si>
  <si>
    <t>Abril 2026 PERU.xlsx</t>
  </si>
  <si>
    <t>Fila 5</t>
  </si>
  <si>
    <t>Peru</t>
  </si>
  <si>
    <t>BANCO CTE</t>
  </si>
  <si>
    <t>Fila 8</t>
  </si>
  <si>
    <t>BANCOS</t>
  </si>
  <si>
    <t>BANCO AHORRO</t>
  </si>
  <si>
    <t>AUX|112005</t>
  </si>
  <si>
    <t>Bancos - cuenta de ahorro</t>
  </si>
  <si>
    <t>Cuenta de ahorro disponible</t>
  </si>
  <si>
    <t>NACIONALES</t>
  </si>
  <si>
    <t>CLIENTES NACIONALES</t>
  </si>
  <si>
    <t>AUX|130505</t>
  </si>
  <si>
    <t>Clientes</t>
  </si>
  <si>
    <t>Cuenta de clientes nacionales</t>
  </si>
  <si>
    <t>Fila 14</t>
  </si>
  <si>
    <t>RETENCION EN LA FUENTE</t>
  </si>
  <si>
    <t>DETRACCION EN VENTA</t>
  </si>
  <si>
    <t>AUX|135515</t>
  </si>
  <si>
    <t>Retenciones y detracciones</t>
  </si>
  <si>
    <t>Anticipos de impuesto y retenciones</t>
  </si>
  <si>
    <t>Fila 17</t>
  </si>
  <si>
    <t>EQUIPOS DE PROCESAMIENTO DE DATOS</t>
  </si>
  <si>
    <t>EQUIPO DE COMPUTACION Y TELECOMUNICA</t>
  </si>
  <si>
    <t>AUX|152805</t>
  </si>
  <si>
    <t>Equipo de cómputo y comunicación</t>
  </si>
  <si>
    <t>Activo fijo identificable</t>
  </si>
  <si>
    <t>Fila 21</t>
  </si>
  <si>
    <t>PROVEEDORES NACIONALES</t>
  </si>
  <si>
    <t>AUX|220505</t>
  </si>
  <si>
    <t>Proveedores nacionales</t>
  </si>
  <si>
    <t>Fila 22</t>
  </si>
  <si>
    <t>Fila 26</t>
  </si>
  <si>
    <t>IMPUESTOS GENERADOS POR VENTAS</t>
  </si>
  <si>
    <t>IGV - IMPUESTO GUBERNAMENTAL VOLUMEN 18%</t>
  </si>
  <si>
    <t>AUX|240801</t>
  </si>
  <si>
    <t>Impuestos generados</t>
  </si>
  <si>
    <t>Impuesto generado por ventas</t>
  </si>
  <si>
    <t>IMPUESTOS DESCONTABLES</t>
  </si>
  <si>
    <t>IGV - COMPRAS 18%</t>
  </si>
  <si>
    <t>AUX|240802</t>
  </si>
  <si>
    <t>IVA/IGV descontable</t>
  </si>
  <si>
    <t>Reclasificado desde pasivos: el impuesto descontable tiene naturaleza débito</t>
  </si>
  <si>
    <t>Fila 29</t>
  </si>
  <si>
    <t>Fila 34</t>
  </si>
  <si>
    <t>CAPITAL PAGADO</t>
  </si>
  <si>
    <t>Fila 37</t>
  </si>
  <si>
    <t>UTILIDADES O EXCEDENTES ACUMULADOS</t>
  </si>
  <si>
    <t>UTILIDADES ACUMULADAS</t>
  </si>
  <si>
    <t>AUX|370505</t>
  </si>
  <si>
    <t>Resultados de ejercicios anteriores</t>
  </si>
  <si>
    <t>Fila 41</t>
  </si>
  <si>
    <t>SERVICIO DE SOFTWARE</t>
  </si>
  <si>
    <t>IMPLEMENTACION- EXCLUIDA</t>
  </si>
  <si>
    <t>AUX|417001</t>
  </si>
  <si>
    <t>Ingresos operacionales</t>
  </si>
  <si>
    <t>Software y agendamiento</t>
  </si>
  <si>
    <t>Ingreso operacional principal</t>
  </si>
  <si>
    <t>AGENDAMIENTO EN LA NUBE</t>
  </si>
  <si>
    <t>OTROS INGRESOS</t>
  </si>
  <si>
    <t>AUX|429588</t>
  </si>
  <si>
    <t>Ingresos no operacionales</t>
  </si>
  <si>
    <t>Cuenta genérica y material en Perú; validar naturaleza</t>
  </si>
  <si>
    <t>HONORARIOS ASESORIA JURIDICA</t>
  </si>
  <si>
    <t>Fila 51</t>
  </si>
  <si>
    <t>ASESORIA FINANCIERA</t>
  </si>
  <si>
    <t>HONORARIOS ASESORIA FINANCIERA</t>
  </si>
  <si>
    <t>AUX|511030</t>
  </si>
  <si>
    <t>Asesoría financiera</t>
  </si>
  <si>
    <t>Servicio profesional financiero</t>
  </si>
  <si>
    <t>HONORARIOS OTROS CONCEPTOS</t>
  </si>
  <si>
    <t>AUX|521095</t>
  </si>
  <si>
    <t>Otros honorarios</t>
  </si>
  <si>
    <t>Cuenta genérica de honorarios de ventas</t>
  </si>
  <si>
    <t>Fila 57</t>
  </si>
  <si>
    <t>PROPAGANDA Y PUBLICIDAD</t>
  </si>
  <si>
    <t>AUX|523560</t>
  </si>
  <si>
    <t>Propaganda y publicidad</t>
  </si>
  <si>
    <t>Gasto comercial de publicidad</t>
  </si>
  <si>
    <t>Fila 60</t>
  </si>
  <si>
    <t>ALOJAMIENTO Y MANUTENCION</t>
  </si>
  <si>
    <t>SERVICIO ALOJAMIENTO</t>
  </si>
  <si>
    <t>AUX|525505</t>
  </si>
  <si>
    <t>Alojamiento y manutención</t>
  </si>
  <si>
    <t>Viajes y alimentación comercial</t>
  </si>
  <si>
    <t>Fila 61</t>
  </si>
  <si>
    <t>SERVICIO DE RESTAURANTE</t>
  </si>
  <si>
    <t>Fila 62</t>
  </si>
  <si>
    <t>Fila 63</t>
  </si>
  <si>
    <t>Fila 64</t>
  </si>
  <si>
    <t>Fila 65</t>
  </si>
  <si>
    <t>Fila 66</t>
  </si>
  <si>
    <t>Fila 67</t>
  </si>
  <si>
    <t>Fila 68</t>
  </si>
  <si>
    <t>Fila 69</t>
  </si>
  <si>
    <t>Fila 70</t>
  </si>
  <si>
    <t>Fila 73</t>
  </si>
  <si>
    <t>TAXIS Y BUSES</t>
  </si>
  <si>
    <t>AUX|529545</t>
  </si>
  <si>
    <t>Taxis y buses</t>
  </si>
  <si>
    <t>Transporte local comercial</t>
  </si>
  <si>
    <t>Fila 75</t>
  </si>
  <si>
    <t>MEDICAMENTOS</t>
  </si>
  <si>
    <t>AUX|529595</t>
  </si>
  <si>
    <t>Cuenta genérica de ventas</t>
  </si>
  <si>
    <t>Fila 78</t>
  </si>
  <si>
    <t>Fila 79</t>
  </si>
  <si>
    <t>Fila 80</t>
  </si>
  <si>
    <t>CUOTA MANEJO</t>
  </si>
  <si>
    <t>Abril 2026 USA.xlsx</t>
  </si>
  <si>
    <t>Estados Unidos</t>
  </si>
  <si>
    <t>Fila 7</t>
  </si>
  <si>
    <t>Fila 12</t>
  </si>
  <si>
    <t>PRESTADORA DE SERVICIOS DE SALUD PREVENTIS SA</t>
  </si>
  <si>
    <t>Fila 13</t>
  </si>
  <si>
    <t>SERVICIOS HOSPITALARIOS BRISAS SA</t>
  </si>
  <si>
    <t>ACOSTA BORBON ALEJANDRO</t>
  </si>
  <si>
    <t>Fila 15</t>
  </si>
  <si>
    <t>Emmely Esther Coronado Peguero</t>
  </si>
  <si>
    <t>Fundacion para la Confianza</t>
  </si>
  <si>
    <t>AUX|133095</t>
  </si>
  <si>
    <t>Anticipos y avances</t>
  </si>
  <si>
    <t>La cuenta fuente es genérica; revisar partidas materiales</t>
  </si>
  <si>
    <t>CUENTAS POR COBRAR TERCEROS</t>
  </si>
  <si>
    <t>COCO TECH AI PERU S.A.C.</t>
  </si>
  <si>
    <t>AUX|138020</t>
  </si>
  <si>
    <t>Terceros y vinculadas</t>
  </si>
  <si>
    <t>Incluye saldos intercompañía; requiere eliminación de consolidación</t>
  </si>
  <si>
    <t>Fila 24</t>
  </si>
  <si>
    <t>Coco Inversiones Tecnologicas SAS</t>
  </si>
  <si>
    <t>Fila 31</t>
  </si>
  <si>
    <t>EQUIPO DE COMPUTACION Y COMUNICACION</t>
  </si>
  <si>
    <t>AUX|159220</t>
  </si>
  <si>
    <t>Contra-activo</t>
  </si>
  <si>
    <t>Contra-activo; conserva saldo negativo</t>
  </si>
  <si>
    <t>Fila 36</t>
  </si>
  <si>
    <t>PAGARES</t>
  </si>
  <si>
    <t>Mestiza Cafe</t>
  </si>
  <si>
    <t>AUX|210510</t>
  </si>
  <si>
    <t>Pasivos sin clasificación de plazo</t>
  </si>
  <si>
    <t>Pagarés</t>
  </si>
  <si>
    <t>No hay vencimiento disponible para separar corriente/no corriente</t>
  </si>
  <si>
    <t>Ross Dress for Less</t>
  </si>
  <si>
    <t>MERCURY LLC</t>
  </si>
  <si>
    <t>DE CLIENTES</t>
  </si>
  <si>
    <t>VENTURES COMFAMA SAS</t>
  </si>
  <si>
    <t>AUX|280505</t>
  </si>
  <si>
    <t>Anticipos de clientes</t>
  </si>
  <si>
    <t>Anticipos recibidos de clientes</t>
  </si>
  <si>
    <t>Fila 47</t>
  </si>
  <si>
    <t>AUX|360505</t>
  </si>
  <si>
    <t>Utilidad registrada</t>
  </si>
  <si>
    <t>No concilia con el resultado YTD de cuentas 4 y 5; revisar cierre</t>
  </si>
  <si>
    <t>INTERESES</t>
  </si>
  <si>
    <t>AUX|421005</t>
  </si>
  <si>
    <t>Intereses</t>
  </si>
  <si>
    <t>Ingreso financiero</t>
  </si>
  <si>
    <t>Fila 74</t>
  </si>
  <si>
    <t>Parada Zuluaga Robert Andres</t>
  </si>
  <si>
    <t>Fila 76</t>
  </si>
  <si>
    <t>Lyft</t>
  </si>
  <si>
    <t>Fila 77</t>
  </si>
  <si>
    <t>Chapola Cafe</t>
  </si>
  <si>
    <t>Fila 81</t>
  </si>
  <si>
    <t>AUXILIOS</t>
  </si>
  <si>
    <t>CAPOTE &amp; CAPOTE PA</t>
  </si>
  <si>
    <t>AUX|510545</t>
  </si>
  <si>
    <t>Auxilios</t>
  </si>
  <si>
    <t>Algunos terceros no parecen auxilios laborales; revisar soporte</t>
  </si>
  <si>
    <t>Fila 83</t>
  </si>
  <si>
    <t>DOTACION Y SUMINISTRO A TRABAJADORES</t>
  </si>
  <si>
    <t>BEST BUY</t>
  </si>
  <si>
    <t>AUX|510551</t>
  </si>
  <si>
    <t>Dotación y suministros a trabajadores</t>
  </si>
  <si>
    <t>Beneficios y dotación de personal</t>
  </si>
  <si>
    <t>Fila 84</t>
  </si>
  <si>
    <t>Fila 85</t>
  </si>
  <si>
    <t>Office Depot</t>
  </si>
  <si>
    <t>Fila 86</t>
  </si>
  <si>
    <t>Amazon Comp INC</t>
  </si>
  <si>
    <t>Fila 88</t>
  </si>
  <si>
    <t>GASTOS MEDICOS Y DROGAS</t>
  </si>
  <si>
    <t>Oscar Insurance Company</t>
  </si>
  <si>
    <t>AUX|510584</t>
  </si>
  <si>
    <t>Gastos médicos</t>
  </si>
  <si>
    <t>Beneficios de salud</t>
  </si>
  <si>
    <t>Fila 90</t>
  </si>
  <si>
    <t>AUX|510595</t>
  </si>
  <si>
    <t>Otros gastos de personal</t>
  </si>
  <si>
    <t>Cuenta genérica de personal</t>
  </si>
  <si>
    <t>Fila 93</t>
  </si>
  <si>
    <t>Tenant Evaluation LLC</t>
  </si>
  <si>
    <t>Fila 96</t>
  </si>
  <si>
    <t>IRS IMPUESTO FEDERALES</t>
  </si>
  <si>
    <t>Fila 99</t>
  </si>
  <si>
    <t>WIX INC</t>
  </si>
  <si>
    <t>Fila 100</t>
  </si>
  <si>
    <t>Ahaslides</t>
  </si>
  <si>
    <t>Fila 101</t>
  </si>
  <si>
    <t>T-Mobile</t>
  </si>
  <si>
    <t>Fila 102</t>
  </si>
  <si>
    <t>Open AI</t>
  </si>
  <si>
    <t>Fila 103</t>
  </si>
  <si>
    <t>Inverdoral 131 LLC</t>
  </si>
  <si>
    <t>Fila 105</t>
  </si>
  <si>
    <t>CORREO PORTES Y TELEGRAMAS</t>
  </si>
  <si>
    <t>Anytime Mailbox</t>
  </si>
  <si>
    <t>AUX|513540</t>
  </si>
  <si>
    <t>Correo, portes y telegramas</t>
  </si>
  <si>
    <t>Mensajería y correo</t>
  </si>
  <si>
    <t>Fila 107</t>
  </si>
  <si>
    <t>AT&amp;T</t>
  </si>
  <si>
    <t>AUX|513595</t>
  </si>
  <si>
    <t>Cuenta genérica; revisar partidas materiales</t>
  </si>
  <si>
    <t>Fila 110</t>
  </si>
  <si>
    <t>ELEMENTOS DE ASEO Y LIMPIEZA</t>
  </si>
  <si>
    <t>AUX|519525</t>
  </si>
  <si>
    <t>Aseo y limpieza</t>
  </si>
  <si>
    <t>Se detectaron comercios de alimentos; revisar clasificación</t>
  </si>
  <si>
    <t>Fila 111</t>
  </si>
  <si>
    <t>Latin Cafe</t>
  </si>
  <si>
    <t>Fila 113</t>
  </si>
  <si>
    <t>CASINO Y RESTAURANTE</t>
  </si>
  <si>
    <t>Pollos &amp; Jarras</t>
  </si>
  <si>
    <t>AUX|519560</t>
  </si>
  <si>
    <t>Casino y restaurante</t>
  </si>
  <si>
    <t>Se detectó un comercio minorista; revisar esa partida</t>
  </si>
  <si>
    <t>Fila 114</t>
  </si>
  <si>
    <t>Rice House Of Kabob</t>
  </si>
  <si>
    <t>Fila 115</t>
  </si>
  <si>
    <t>Fila 116</t>
  </si>
  <si>
    <t>Fila 117</t>
  </si>
  <si>
    <t>Milanezza Kitchen Bar &amp; Market</t>
  </si>
  <si>
    <t>Fila 118</t>
  </si>
  <si>
    <t>Sushi Club</t>
  </si>
  <si>
    <t>Fila 119</t>
  </si>
  <si>
    <t>The Cheesecake Factory</t>
  </si>
  <si>
    <t>Fila 120</t>
  </si>
  <si>
    <t>Ai Tallarin</t>
  </si>
  <si>
    <t>Fila 121</t>
  </si>
  <si>
    <t>AGO Miami</t>
  </si>
  <si>
    <t>Fila 122</t>
  </si>
  <si>
    <t>North Italia</t>
  </si>
  <si>
    <t>Fila 123</t>
  </si>
  <si>
    <t>Fogo de Chão</t>
  </si>
  <si>
    <t>Fila 124</t>
  </si>
  <si>
    <t>Crepes &amp; Waffles</t>
  </si>
  <si>
    <t>Fila 125</t>
  </si>
  <si>
    <t>Sunny Side- Miami</t>
  </si>
  <si>
    <t>Fila 126</t>
  </si>
  <si>
    <t>La Carretera</t>
  </si>
  <si>
    <t>Fila 127</t>
  </si>
  <si>
    <t>Fiorito</t>
  </si>
  <si>
    <t>Fila 128</t>
  </si>
  <si>
    <t>Door Dash</t>
  </si>
  <si>
    <t>Fila 129</t>
  </si>
  <si>
    <t>Estadero y Asados Dona</t>
  </si>
  <si>
    <t>Fila 131</t>
  </si>
  <si>
    <t>PARQUEADEROS</t>
  </si>
  <si>
    <t>LAZ Parking</t>
  </si>
  <si>
    <t>AUX|519565</t>
  </si>
  <si>
    <t>Parqueaderos</t>
  </si>
  <si>
    <t>Fila 132</t>
  </si>
  <si>
    <t>Southern Parking</t>
  </si>
  <si>
    <t>Fila 136</t>
  </si>
  <si>
    <t>REVISORIA FISCAL</t>
  </si>
  <si>
    <t>Paba Serje Mauricio</t>
  </si>
  <si>
    <t>AUX|521010</t>
  </si>
  <si>
    <t>Revisoría fiscal</t>
  </si>
  <si>
    <t>Reclasificado desde ventas por su naturaleza administrativa</t>
  </si>
  <si>
    <t>Fila 137</t>
  </si>
  <si>
    <t>Fila 140</t>
  </si>
  <si>
    <t>Magnimindin</t>
  </si>
  <si>
    <t>Fila 142</t>
  </si>
  <si>
    <t>Tech + Startups Community</t>
  </si>
  <si>
    <t>AUX|523595</t>
  </si>
  <si>
    <t>Cuenta genérica de servicios comerciales</t>
  </si>
  <si>
    <t>Fila 146</t>
  </si>
  <si>
    <t>BANK OF AMERICA NA</t>
  </si>
  <si>
    <t>Fila 147</t>
  </si>
  <si>
    <t>Fila 149</t>
  </si>
  <si>
    <t>COMISIONES</t>
  </si>
  <si>
    <t>STRIPE</t>
  </si>
  <si>
    <t>AUX|530515</t>
  </si>
  <si>
    <t>Comisiones</t>
  </si>
  <si>
    <t>Comisiones financieras</t>
  </si>
  <si>
    <t>Fila 150</t>
  </si>
  <si>
    <t>Fila 151</t>
  </si>
  <si>
    <t>ADP</t>
  </si>
  <si>
    <t>Fila 152</t>
  </si>
  <si>
    <t>Enero 2026 CR.xlsx</t>
  </si>
  <si>
    <t>Fila 43</t>
  </si>
  <si>
    <t>Enero 2026 PERU.xlsx</t>
  </si>
  <si>
    <t>Fila 18</t>
  </si>
  <si>
    <t>Fila 27</t>
  </si>
  <si>
    <t>Enero 2026 USA.xlsx</t>
  </si>
  <si>
    <t>Fila 20</t>
  </si>
  <si>
    <t>Fila 25</t>
  </si>
  <si>
    <t>Fila 33</t>
  </si>
  <si>
    <t>Fila 40</t>
  </si>
  <si>
    <t>Apple INC</t>
  </si>
  <si>
    <t>Fila 58</t>
  </si>
  <si>
    <t>Fila 71</t>
  </si>
  <si>
    <t>Fila 72</t>
  </si>
  <si>
    <t>Fila 87</t>
  </si>
  <si>
    <t>Fila 89</t>
  </si>
  <si>
    <t>Fila 92</t>
  </si>
  <si>
    <t>Fila 94</t>
  </si>
  <si>
    <t>Fila 95</t>
  </si>
  <si>
    <t>Fila 108</t>
  </si>
  <si>
    <t>Febrero 2026 CR.xlsx</t>
  </si>
  <si>
    <t>Fila 48</t>
  </si>
  <si>
    <t>Fila 50</t>
  </si>
  <si>
    <t>Febrero 2026 PERU.xlsx</t>
  </si>
  <si>
    <t>Fila 56</t>
  </si>
  <si>
    <t>Febrero 2026 USA.xlsx</t>
  </si>
  <si>
    <t>Fila 91</t>
  </si>
  <si>
    <t>Fila 98</t>
  </si>
  <si>
    <t>Fila 104</t>
  </si>
  <si>
    <t>Fila 112</t>
  </si>
  <si>
    <t>Julio 2026 PERU.xlsx</t>
  </si>
  <si>
    <t>Fila 44</t>
  </si>
  <si>
    <t>ASESORIA TECNICA</t>
  </si>
  <si>
    <t>HONORARIOS ASESORIA</t>
  </si>
  <si>
    <t>AUX|521035</t>
  </si>
  <si>
    <t>Asesoría técnica</t>
  </si>
  <si>
    <t>Confirmar si el servicio apoya ventas o administración</t>
  </si>
  <si>
    <t>Fila 82</t>
  </si>
  <si>
    <t>PASAJES AEREOS</t>
  </si>
  <si>
    <t>PASAJE AEREO</t>
  </si>
  <si>
    <t>AUX|525515</t>
  </si>
  <si>
    <t>Pasajes aéreos</t>
  </si>
  <si>
    <t>PROPINA</t>
  </si>
  <si>
    <t>AUX|525595</t>
  </si>
  <si>
    <t>Otros viajes</t>
  </si>
  <si>
    <t>Otros gastos de viaje</t>
  </si>
  <si>
    <t>SUMINISTROS</t>
  </si>
  <si>
    <t>Fila 97</t>
  </si>
  <si>
    <t>FERIAS Y EVENTOS</t>
  </si>
  <si>
    <t>COMISIONES BANCARIAS</t>
  </si>
  <si>
    <t>Julio 2026 USA.xlsx</t>
  </si>
  <si>
    <t>PULGARIN MUÑOZ JONNATHAN</t>
  </si>
  <si>
    <t>Georgia Tech Online</t>
  </si>
  <si>
    <t>INFORMA</t>
  </si>
  <si>
    <t>HILTON HOLDING INC</t>
  </si>
  <si>
    <t>ADIDAS AMERICA INC</t>
  </si>
  <si>
    <t>LAZO FINTECH INC.</t>
  </si>
  <si>
    <t>JUAN FIORITO</t>
  </si>
  <si>
    <t>AUX|511035</t>
  </si>
  <si>
    <t>Servicio profesional técnico</t>
  </si>
  <si>
    <t>Fila 106</t>
  </si>
  <si>
    <t>Fila 109</t>
  </si>
  <si>
    <t>WeWork</t>
  </si>
  <si>
    <t>AUX|512095</t>
  </si>
  <si>
    <t>Otros arrendamientos</t>
  </si>
  <si>
    <t>Arrendamientos y espacios de trabajo</t>
  </si>
  <si>
    <t>VITALLY INC</t>
  </si>
  <si>
    <t>TELEFONO</t>
  </si>
  <si>
    <t>AUX|513535</t>
  </si>
  <si>
    <t>Telefonía</t>
  </si>
  <si>
    <t>Servicio telefónico</t>
  </si>
  <si>
    <t>Fila 130</t>
  </si>
  <si>
    <t>Fila 133</t>
  </si>
  <si>
    <t>Fila 134</t>
  </si>
  <si>
    <t>Fila 135</t>
  </si>
  <si>
    <t>Fila 138</t>
  </si>
  <si>
    <t>Fila 139</t>
  </si>
  <si>
    <t>Fila 141</t>
  </si>
  <si>
    <t>Fila 143</t>
  </si>
  <si>
    <t>Fila 144</t>
  </si>
  <si>
    <t>Casa Tua Cucina</t>
  </si>
  <si>
    <t>Fila 145</t>
  </si>
  <si>
    <t>Fila 148</t>
  </si>
  <si>
    <t>Bistro Cafe</t>
  </si>
  <si>
    <t>El Turco Turkish</t>
  </si>
  <si>
    <t>Novecento</t>
  </si>
  <si>
    <t>Fila 153</t>
  </si>
  <si>
    <t>Fila 154</t>
  </si>
  <si>
    <t>Fila 155</t>
  </si>
  <si>
    <t>Miami Beach Parking Garage</t>
  </si>
  <si>
    <t>Fila 159</t>
  </si>
  <si>
    <t>Fila 160</t>
  </si>
  <si>
    <t>Fila 161</t>
  </si>
  <si>
    <t>Fila 164</t>
  </si>
  <si>
    <t>Fila 166</t>
  </si>
  <si>
    <t>Emerge Americas LLC</t>
  </si>
  <si>
    <t>Fila 167</t>
  </si>
  <si>
    <t>Fila 171</t>
  </si>
  <si>
    <t>Fila 172</t>
  </si>
  <si>
    <t>Fila 174</t>
  </si>
  <si>
    <t>Fila 175</t>
  </si>
  <si>
    <t>Fila 176</t>
  </si>
  <si>
    <t>Fila 177</t>
  </si>
  <si>
    <t>Junio 2026 CR.xlsx</t>
  </si>
  <si>
    <t>GTI SA</t>
  </si>
  <si>
    <t>ELECTRONICA STEREN DE COSTARICA SA</t>
  </si>
  <si>
    <t>Junio 2026 PERU.xlsx</t>
  </si>
  <si>
    <t>Junio 2026 USA.xlsx</t>
  </si>
  <si>
    <t>Fila 156</t>
  </si>
  <si>
    <t>Fila 157</t>
  </si>
  <si>
    <t>Fila 162</t>
  </si>
  <si>
    <t>Fila 163</t>
  </si>
  <si>
    <t>Fila 168</t>
  </si>
  <si>
    <t>Fila 170</t>
  </si>
  <si>
    <t>Fila 173</t>
  </si>
  <si>
    <t>Marzo 2026 CR.xlsx</t>
  </si>
  <si>
    <t>Marzo 2026 PERU.xlsx</t>
  </si>
  <si>
    <t>Marzo 2026 USA.xlsx</t>
  </si>
  <si>
    <t>Mayo 2026 CR.xlsx</t>
  </si>
  <si>
    <t>Mayo 2026 PERU.xlsx</t>
  </si>
  <si>
    <t>Mayo 2026 USA.xlsx</t>
  </si>
  <si>
    <t>Fila 165</t>
  </si>
  <si>
    <t>Pág. 4 - Nota 3</t>
  </si>
  <si>
    <t>Estado de situación / notas</t>
  </si>
  <si>
    <t>CASH</t>
  </si>
  <si>
    <t>Efectivo</t>
  </si>
  <si>
    <t>PDF|CASH</t>
  </si>
  <si>
    <t>Efectivo y bancos</t>
  </si>
  <si>
    <t>Detalle de Nota 3</t>
  </si>
  <si>
    <t>Bancolombia cuenta de ahorros</t>
  </si>
  <si>
    <t>Transferencias Epayco</t>
  </si>
  <si>
    <t>Pág. 4 - Nota 4</t>
  </si>
  <si>
    <t>INVESTMENTS</t>
  </si>
  <si>
    <t>Fiducuenta No. 9405</t>
  </si>
  <si>
    <t>PDF|INVESTMENTS</t>
  </si>
  <si>
    <t>Fiducuenta</t>
  </si>
  <si>
    <t>Detalle de Nota 4</t>
  </si>
  <si>
    <t>Pág. 4 - Nota 5</t>
  </si>
  <si>
    <t>TRADE_AR</t>
  </si>
  <si>
    <t>PDF|TRADE_AR</t>
  </si>
  <si>
    <t>Detalle de Nota 5</t>
  </si>
  <si>
    <t>ADVANCES</t>
  </si>
  <si>
    <t>Anticipo a proveedores</t>
  </si>
  <si>
    <t>PDF|ADVANCES</t>
  </si>
  <si>
    <t>Proveedores y empleados</t>
  </si>
  <si>
    <t>Anticipos a empleados</t>
  </si>
  <si>
    <t>OTHER_AR</t>
  </si>
  <si>
    <t>Inversiones de terceros</t>
  </si>
  <si>
    <t>PDF|OTHER_AR</t>
  </si>
  <si>
    <t>Terceros</t>
  </si>
  <si>
    <t>Detalle de Nota 5; validar naturaleza de inversiones de terceros</t>
  </si>
  <si>
    <t>TAX_ASSET</t>
  </si>
  <si>
    <t>Anticipo de impuestos</t>
  </si>
  <si>
    <t>PDF|TAX_ASSET</t>
  </si>
  <si>
    <t>Anticipos de impuestos</t>
  </si>
  <si>
    <t>Cuentas con terceros</t>
  </si>
  <si>
    <t>Pág. 5 - Nota 6</t>
  </si>
  <si>
    <t>PPE</t>
  </si>
  <si>
    <t>Terreno</t>
  </si>
  <si>
    <t>PDF|PPE</t>
  </si>
  <si>
    <t>Detalle de Nota 6</t>
  </si>
  <si>
    <t>Equipo de oficina</t>
  </si>
  <si>
    <t>Equipo de computación y comunicación</t>
  </si>
  <si>
    <t>ACC_DEP</t>
  </si>
  <si>
    <t>PDF|ACC_DEP</t>
  </si>
  <si>
    <t>INTANGIBLE</t>
  </si>
  <si>
    <t>Derechos intangibles (software)</t>
  </si>
  <si>
    <t>PDF|INTANGIBLE</t>
  </si>
  <si>
    <t>Software</t>
  </si>
  <si>
    <t>Pág. 1 - conciliación</t>
  </si>
  <si>
    <t>ASSET_RECON</t>
  </si>
  <si>
    <t>Diferencia total activos no corrientes: estado oficial vs notas</t>
  </si>
  <si>
    <t>PDF|ASSET_RECON</t>
  </si>
  <si>
    <t>Diferencia de redondeo publicada</t>
  </si>
  <si>
    <t>Conciliación</t>
  </si>
  <si>
    <t>Ajuste explícito de COP 1 para respetar el total oficial de la página 1</t>
  </si>
  <si>
    <t>Pág. 5 - Nota 7</t>
  </si>
  <si>
    <t>Estado de resultados / notas</t>
  </si>
  <si>
    <t>FIN_OBL</t>
  </si>
  <si>
    <t>Entidades financieras (tarjetas)</t>
  </si>
  <si>
    <t>PDF|FIN_OBL</t>
  </si>
  <si>
    <t>Tarjetas</t>
  </si>
  <si>
    <t>Detalle de Nota 7</t>
  </si>
  <si>
    <t>TAX_PAYABLE</t>
  </si>
  <si>
    <t>Impuestos</t>
  </si>
  <si>
    <t>PDF|TAX_PAYABLE</t>
  </si>
  <si>
    <t>LABOR</t>
  </si>
  <si>
    <t>PDF|LABOR</t>
  </si>
  <si>
    <t>Pasivos laborales</t>
  </si>
  <si>
    <t>RELATED_AP</t>
  </si>
  <si>
    <t>Obligaciones con terceros / socios</t>
  </si>
  <si>
    <t>PDF|RELATED_AP</t>
  </si>
  <si>
    <t>Pasivos no corrientes</t>
  </si>
  <si>
    <t>Socios / terceros relacionados</t>
  </si>
  <si>
    <t>El estado indica socios y la nota indica terceros; confirmar contraparte</t>
  </si>
  <si>
    <t>TRADE_AP</t>
  </si>
  <si>
    <t>PDF|TRADE_AP</t>
  </si>
  <si>
    <t>OTHER_AP</t>
  </si>
  <si>
    <t>Cuentas por pagar a terceros</t>
  </si>
  <si>
    <t>PDF|OTHER_AP</t>
  </si>
  <si>
    <t>LIAB_RECON</t>
  </si>
  <si>
    <t>Diferencia total pasivo corriente: estado oficial vs notas</t>
  </si>
  <si>
    <t>PDF|LIAB_RECON</t>
  </si>
  <si>
    <t>Pág. 6 - Nota 8</t>
  </si>
  <si>
    <t>CAPITAL</t>
  </si>
  <si>
    <t>PDF|CAPITAL</t>
  </si>
  <si>
    <t>Patrimonio atribuible a accionistas</t>
  </si>
  <si>
    <t>Estado de situación financiera</t>
  </si>
  <si>
    <t>PREMIUM</t>
  </si>
  <si>
    <t>PDF|PREMIUM</t>
  </si>
  <si>
    <t>Prima en colocación</t>
  </si>
  <si>
    <t>RETAINED</t>
  </si>
  <si>
    <t>PDF|RETAINED</t>
  </si>
  <si>
    <t>CURRENT_PROFIT</t>
  </si>
  <si>
    <t>PDF|CURRENT_PROFIT</t>
  </si>
  <si>
    <t>Resultado del periodo reportado</t>
  </si>
  <si>
    <t>LE_RECON</t>
  </si>
  <si>
    <t>Diferencia pasivo más patrimonio vs total oficial publicado</t>
  </si>
  <si>
    <t>PDF|LE_RECON</t>
  </si>
  <si>
    <t>Conciliaciones de balance</t>
  </si>
  <si>
    <t>Conciliación total pasivo y patrimonio</t>
  </si>
  <si>
    <t>Diferencia aritmética del estado principal</t>
  </si>
  <si>
    <t>Diferencia explícita de COP -1 entre pasivo más patrimonio y el total oficial publicado</t>
  </si>
  <si>
    <t>Pág. 2 / Nota 9</t>
  </si>
  <si>
    <t>OPERATING_REV</t>
  </si>
  <si>
    <t>PDF|OPERATING_REV</t>
  </si>
  <si>
    <t>Software de agendamiento</t>
  </si>
  <si>
    <t>Estado de resultados y Nota 9</t>
  </si>
  <si>
    <t>RETURNS</t>
  </si>
  <si>
    <t>PDF|RETURNS</t>
  </si>
  <si>
    <t>Deducciones de ingresos</t>
  </si>
  <si>
    <t>Contra-ingreso</t>
  </si>
  <si>
    <t>Pág. 2 / Nota 10</t>
  </si>
  <si>
    <t>COGS</t>
  </si>
  <si>
    <t>Costo de ventas / desarrollo de software</t>
  </si>
  <si>
    <t>PDF|COGS</t>
  </si>
  <si>
    <t>Desarrollo de software</t>
  </si>
  <si>
    <t>Estado de resultados y Nota 10</t>
  </si>
  <si>
    <t>Pág. 2 - conciliación</t>
  </si>
  <si>
    <t>COGS_RECON</t>
  </si>
  <si>
    <t>Diferencia total ingresos ordinarios: estado oficial vs detalle</t>
  </si>
  <si>
    <t>PDF|COGS_RECON</t>
  </si>
  <si>
    <t>Conciliaciones de resultados</t>
  </si>
  <si>
    <t>Conciliación utilidad bruta oficial</t>
  </si>
  <si>
    <t>Diferencia estado principal vs detalle</t>
  </si>
  <si>
    <t>Diferencia explícita de COP -1 para igualar el total oficial de ingresos ordinarios</t>
  </si>
  <si>
    <t>Pág. 2 / Nota 11</t>
  </si>
  <si>
    <t>ADMIN_EXP</t>
  </si>
  <si>
    <t>PDF|ADMIN_EXP</t>
  </si>
  <si>
    <t>Total administración</t>
  </si>
  <si>
    <t>Estado de resultados y Nota 11</t>
  </si>
  <si>
    <t>SELLING_EXP</t>
  </si>
  <si>
    <t>PDF|SELLING_EXP</t>
  </si>
  <si>
    <t>Total ventas</t>
  </si>
  <si>
    <t>OPERATING_EXP</t>
  </si>
  <si>
    <t>PDF|OPERATING_EXP</t>
  </si>
  <si>
    <t>Otros gastos operacionales</t>
  </si>
  <si>
    <t>Total operativo</t>
  </si>
  <si>
    <t>ADMIN_RECON</t>
  </si>
  <si>
    <t>Diferencia total gastos de operación: estado oficial vs detalle</t>
  </si>
  <si>
    <t>PDF|ADMIN_RECON</t>
  </si>
  <si>
    <t>Conciliación gastos operacionales</t>
  </si>
  <si>
    <t>Diferencia explícita de COP 1 para igualar el total oficial de gastos de operación</t>
  </si>
  <si>
    <t>Pág. 2 / Nota 12</t>
  </si>
  <si>
    <t>FIN_INCOME</t>
  </si>
  <si>
    <t>Ingreso no operacional - financiero</t>
  </si>
  <si>
    <t>PDF|FIN_INCOME</t>
  </si>
  <si>
    <t>Estado de resultados y Nota 12</t>
  </si>
  <si>
    <t>Pág. 2 / Nota 13</t>
  </si>
  <si>
    <t>FIN_EXP</t>
  </si>
  <si>
    <t>Gastos financieros - total del estado</t>
  </si>
  <si>
    <t>PDF|FIN_EXP</t>
  </si>
  <si>
    <t>Total gastos financieros</t>
  </si>
  <si>
    <t>El estado y la nota difieren por COP 1; se usa el estado</t>
  </si>
  <si>
    <t>TAX_EXP</t>
  </si>
  <si>
    <t>PDF|TAX_EXP</t>
  </si>
  <si>
    <t>Impuesto a las ganancias</t>
  </si>
  <si>
    <t>Estado de resultados</t>
  </si>
  <si>
    <t>FIN_RESULT_RECON</t>
  </si>
  <si>
    <t>Diferencia resultado calculado vs utilidad oficial</t>
  </si>
  <si>
    <t>PDF|FIN_RESULT_RECON</t>
  </si>
  <si>
    <t>Conciliación resultado oficial</t>
  </si>
  <si>
    <t>Diferencia explícita de COP 1 para igualar la utilidad oficial publicada</t>
  </si>
  <si>
    <t>Julio 2026 CR.xlsx</t>
  </si>
  <si>
    <t>Fila 10</t>
  </si>
  <si>
    <t>Catálogo de homologación contable</t>
  </si>
  <si>
    <t>Las columnas azules son editables. La base usa estas reglas para asignar cada cuenta a un rubro común.</t>
  </si>
  <si>
    <t>Orden</t>
  </si>
  <si>
    <t>Auxiliar</t>
  </si>
  <si>
    <t>PDF</t>
  </si>
  <si>
    <t>Candidatos intercompañía</t>
  </si>
  <si>
    <t>Partidas del último periodo cuyo tercero contiene el nombre COCO. No se eliminan automáticamente porque faltan conciliación, contraparte y tasas.</t>
  </si>
  <si>
    <t>Contraparte inferida</t>
  </si>
  <si>
    <t>Tercero / detalle</t>
  </si>
  <si>
    <t>Rubro</t>
  </si>
  <si>
    <t>Saldo fuente</t>
  </si>
  <si>
    <t>Acción</t>
  </si>
  <si>
    <t>Pendiente</t>
  </si>
  <si>
    <t>Confirmar contraparte, moneda, tasa y eliminación recíproca</t>
  </si>
  <si>
    <t>Alertas de calidad y clasificación</t>
  </si>
  <si>
    <t>Hallazgos que requieren soporte o decisión contable. No se realizaron reclasificaciones inciertas ni ajustes ocultos.</t>
  </si>
  <si>
    <t>Severidad</t>
  </si>
  <si>
    <t>Hallazgo</t>
  </si>
  <si>
    <t>Riesgo</t>
  </si>
  <si>
    <t>Acción recomendada</t>
  </si>
  <si>
    <t>Consolidación</t>
  </si>
  <si>
    <t>No se suministraron tasas de cambio ni política de conversión.</t>
  </si>
  <si>
    <t>Impide obtener un total de grupo en una sola moneda.</t>
  </si>
  <si>
    <t>Definir moneda funcional/presentación y tasas de cierre/promedio.</t>
  </si>
  <si>
    <t>No se practicaron eliminaciones intercompañía.</t>
  </si>
  <si>
    <t>Los saldos entre compañías pueden inflar activos, pasivos, ingresos y gastos.</t>
  </si>
  <si>
    <t>Conciliar las partidas de Intercompanias y registrar eliminaciones.</t>
  </si>
  <si>
    <t>Costa Rica solo tiene información hasta junio de 2026.</t>
  </si>
  <si>
    <t>La comparación con COCO, USA y PERU a julio mezcla periodos.</t>
  </si>
  <si>
    <t>Incorporar Julio 2026 CR antes del cierre consolidado.</t>
  </si>
  <si>
    <t>Fuente PDF</t>
  </si>
  <si>
    <t>El estado principal y sus notas contienen diferencias aritméticas de COP 1 a COP 2.</t>
  </si>
  <si>
    <t>Las notas no suman exactamente algunos totales publicados.</t>
  </si>
  <si>
    <t>Se documentaron conciliaciones separadas y, para Colombia, prevalecen las cifras del estado oficial.</t>
  </si>
  <si>
    <t>Signo contable</t>
  </si>
  <si>
    <t>24080201 IMPUESTOS DESCONTABLES: saldo de signo contrario (PEN -984.16).</t>
  </si>
  <si>
    <t>Puede requerir reclasificación o corresponder a reversión/nota crédito.</t>
  </si>
  <si>
    <t>Revisar Julio 2026 PERU.xlsx, Fila 32, IGV - COMPRAS 18%.</t>
  </si>
  <si>
    <t>53051501 COMISIONES: saldo de signo contrario (PEN -4.29).</t>
  </si>
  <si>
    <t>Revisar Julio 2026 PERU.xlsx, Fila 108, COMISIONES BANCARIAS.</t>
  </si>
  <si>
    <t>13050501 NACIONALES: saldo de signo contrario (USD -217.00).</t>
  </si>
  <si>
    <t>Revisar Julio 2026 USA.xlsx, Fila 13, SERVICIOS HOSPITALARIOS BRISAS SA.</t>
  </si>
  <si>
    <t>51055101 DOTACION Y SUMINISTRO A TRABAJADORES: saldo de signo contrario (USD -540.92).</t>
  </si>
  <si>
    <t>Revisar Julio 2026 USA.xlsx, Fila 91, MERCURY LLC.</t>
  </si>
  <si>
    <t>Clasificación</t>
  </si>
  <si>
    <t>Proveedor posiblemente profesional registrado en auxilios: CAPOTE &amp; CAPOTE PA (USD 7600.00).</t>
  </si>
  <si>
    <t>La naturaleza del tercero no coincide claramente con la cuenta fuente.</t>
  </si>
  <si>
    <t>Validar soporte en Julio 2026 USA.xlsx, Fila 84.</t>
  </si>
  <si>
    <t>Telecomunicaciones registradas en procesamiento de datos: T-Mobile (USD 32.10).</t>
  </si>
  <si>
    <t>Validar soporte en Julio 2026 USA.xlsx, Fila 114.</t>
  </si>
  <si>
    <t>Telecomunicaciones registradas en otros servicios: AT&amp;T (USD 773.99).</t>
  </si>
  <si>
    <t>Validar soporte en Julio 2026 USA.xlsx, Fila 124.</t>
  </si>
  <si>
    <t>Comercio de alimentos registrado en aseo y limpieza: Chapola Cafe (USD 35.10).</t>
  </si>
  <si>
    <t>Validar soporte en Julio 2026 USA.xlsx, Fila 127.</t>
  </si>
  <si>
    <t>Comercio de alimentos registrado en aseo y limpieza: Latin Cafe (USD 82.58).</t>
  </si>
  <si>
    <t>Validar soporte en Julio 2026 USA.xlsx, Fila 128.</t>
  </si>
  <si>
    <t>Comercio minorista registrado en restaurante: Ross Dress for Less (USD 145.96).</t>
  </si>
  <si>
    <t>Validar soporte en Julio 2026 USA.xlsx, Fila 133.</t>
  </si>
  <si>
    <t>Otros ingresos acumula PEN 64960.94 a julio.</t>
  </si>
  <si>
    <t>Es una proporción material del ingreso y la descripción es genérica.</t>
  </si>
  <si>
    <t>Confirmar si corresponde a ingreso operacional, financiero o extraordinario.</t>
  </si>
  <si>
    <t>Continuidad</t>
  </si>
  <si>
    <t>2026-02 a 2026-03: 16 cuentas cambiaron su saldo inicial; máximo 4798.87 PEN.</t>
  </si>
  <si>
    <t>El total sigue cuadrando, lo que sugiere reclasificaciones o reexpresión de saldos anteriores.</t>
  </si>
  <si>
    <t>Documentar los ajustes de apertura antes de comparar movimientos mensuales.</t>
  </si>
  <si>
    <t>2026-03 a 2026-04: 15 cuentas cambiaron su saldo inicial; máximo 3358.30 PEN.</t>
  </si>
  <si>
    <t>2026-06 a 2026-07: 21 cuentas cambiaron su saldo inicial; máximo 7305.25 PEN.</t>
  </si>
  <si>
    <t>2026-01 a 2026-02: 7 cuentas cambiaron su saldo inicial; máximo 1520.00 USD.</t>
  </si>
  <si>
    <t>2026-02 a 2026-03: 12 cuentas cambiaron su saldo inicial; máximo 2300.00 USD.</t>
  </si>
  <si>
    <t>Cierre contable</t>
  </si>
  <si>
    <t>Resultado YTD calculado USD -48547.93 vs. resultado registrado 13042.50.</t>
  </si>
  <si>
    <t>Las cuentas 36 no representan el resultado YTD abierto en cuentas 4 y 5.</t>
  </si>
  <si>
    <t>Revisar cierre y traslado de resultados; el balance común muestra ambos por separado.</t>
  </si>
  <si>
    <t>Resultado YTD calculado PEN 25372.37 vs. resultado registrado 0.00.</t>
  </si>
  <si>
    <t>Resultado YTD calculado USD 109,028.68 vs. resultado registrado -22,674.27.</t>
  </si>
  <si>
    <t>Revisar cierre y traslado de resultados; el balance com?n muestra ambos por separado.</t>
  </si>
  <si>
    <t>Controles de integridad</t>
  </si>
  <si>
    <t>Los controles verifican que COCO Colombia coincida exactamente con los estados oficiales; las diferencias internas de las notas se documentan aparte.</t>
  </si>
  <si>
    <t>Tolerancia</t>
  </si>
  <si>
    <t>Ubicación / nota</t>
  </si>
  <si>
    <t>MAP-001</t>
  </si>
  <si>
    <t>Mapeo</t>
  </si>
  <si>
    <t>Registros sin homologar</t>
  </si>
  <si>
    <t>COCO-SCOPE</t>
  </si>
  <si>
    <t>Registros COCO: solo Colombia, COP y PDF oficial</t>
  </si>
  <si>
    <t>ROLL-2</t>
  </si>
  <si>
    <t>Roll-up</t>
  </si>
  <si>
    <t>Abril 2026 CR.xlsx - ACTIVO: detalle = nivel 1</t>
  </si>
  <si>
    <t>ROLL-3</t>
  </si>
  <si>
    <t>Abril 2026 CR.xlsx - GASTOS: detalle = nivel 1</t>
  </si>
  <si>
    <t>ROLL-4</t>
  </si>
  <si>
    <t>Abril 2026 CR.xlsx - PASIVO: detalle = nivel 1</t>
  </si>
  <si>
    <t>ROLL-5</t>
  </si>
  <si>
    <t>Abril 2026 CR.xlsx - PATRIMONIO: detalle = nivel 1</t>
  </si>
  <si>
    <t>TB-6</t>
  </si>
  <si>
    <t>Balance de prueba</t>
  </si>
  <si>
    <t>Abril 2026 CR.xlsx: suma de cuentas detalle = 0</t>
  </si>
  <si>
    <t>ROLL-7</t>
  </si>
  <si>
    <t>Abril 2026 PERU.xlsx - ACTIVO: detalle = nivel 1</t>
  </si>
  <si>
    <t>ROLL-8</t>
  </si>
  <si>
    <t>Abril 2026 PERU.xlsx - GASTOS: detalle = nivel 1</t>
  </si>
  <si>
    <t>ROLL-9</t>
  </si>
  <si>
    <t>Abril 2026 PERU.xlsx - INGRESOS: detalle = nivel 1</t>
  </si>
  <si>
    <t>ROLL-10</t>
  </si>
  <si>
    <t>Abril 2026 PERU.xlsx - PASIVO: detalle = nivel 1</t>
  </si>
  <si>
    <t>ROLL-11</t>
  </si>
  <si>
    <t>Abril 2026 PERU.xlsx - PATRIMONIO: detalle = nivel 1</t>
  </si>
  <si>
    <t>TB-12</t>
  </si>
  <si>
    <t>Abril 2026 PERU.xlsx: suma de cuentas detalle = 0</t>
  </si>
  <si>
    <t>ROLL-13</t>
  </si>
  <si>
    <t>Abril 2026 USA.xlsx - ACTIVO: detalle = nivel 1</t>
  </si>
  <si>
    <t>ROLL-14</t>
  </si>
  <si>
    <t>Abril 2026 USA.xlsx - GASTOS: detalle = nivel 1</t>
  </si>
  <si>
    <t>ROLL-15</t>
  </si>
  <si>
    <t>Abril 2026 USA.xlsx - INGRESOS: detalle = nivel 1</t>
  </si>
  <si>
    <t>ROLL-16</t>
  </si>
  <si>
    <t>Abril 2026 USA.xlsx - PASIVO: detalle = nivel 1</t>
  </si>
  <si>
    <t>ROLL-17</t>
  </si>
  <si>
    <t>Abril 2026 USA.xlsx - PATRIMONIO: detalle = nivel 1</t>
  </si>
  <si>
    <t>TB-18</t>
  </si>
  <si>
    <t>Abril 2026 USA.xlsx: suma de cuentas detalle = 0</t>
  </si>
  <si>
    <t>ROLL-19</t>
  </si>
  <si>
    <t>Enero 2026 CR.xlsx - ACTIVO: detalle = nivel 1</t>
  </si>
  <si>
    <t>ROLL-20</t>
  </si>
  <si>
    <t>Enero 2026 CR.xlsx - GASTOS: detalle = nivel 1</t>
  </si>
  <si>
    <t>ROLL-21</t>
  </si>
  <si>
    <t>Enero 2026 CR.xlsx - PASIVO: detalle = nivel 1</t>
  </si>
  <si>
    <t>ROLL-22</t>
  </si>
  <si>
    <t>Enero 2026 CR.xlsx - PATRIMONIO: detalle = nivel 1</t>
  </si>
  <si>
    <t>TB-23</t>
  </si>
  <si>
    <t>Enero 2026 CR.xlsx: suma de cuentas detalle = 0</t>
  </si>
  <si>
    <t>ROLL-24</t>
  </si>
  <si>
    <t>Enero 2026 PERU.xlsx - ACTIVO: detalle = nivel 1</t>
  </si>
  <si>
    <t>ROLL-25</t>
  </si>
  <si>
    <t>Enero 2026 PERU.xlsx - GASTOS: detalle = nivel 1</t>
  </si>
  <si>
    <t>ROLL-26</t>
  </si>
  <si>
    <t>Enero 2026 PERU.xlsx - PASIVO: detalle = nivel 1</t>
  </si>
  <si>
    <t>ROLL-27</t>
  </si>
  <si>
    <t>Enero 2026 PERU.xlsx - PATRIMONIO: detalle = nivel 1</t>
  </si>
  <si>
    <t>TB-28</t>
  </si>
  <si>
    <t>Enero 2026 PERU.xlsx: suma de cuentas detalle = 0</t>
  </si>
  <si>
    <t>ROLL-29</t>
  </si>
  <si>
    <t>Enero 2026 USA.xlsx - ACTIVO: detalle = nivel 1</t>
  </si>
  <si>
    <t>ROLL-30</t>
  </si>
  <si>
    <t>Enero 2026 USA.xlsx - GASTOS: detalle = nivel 1</t>
  </si>
  <si>
    <t>ROLL-31</t>
  </si>
  <si>
    <t>Enero 2026 USA.xlsx - INGRESOS: detalle = nivel 1</t>
  </si>
  <si>
    <t>ROLL-32</t>
  </si>
  <si>
    <t>Enero 2026 USA.xlsx - PASIVO: detalle = nivel 1</t>
  </si>
  <si>
    <t>ROLL-33</t>
  </si>
  <si>
    <t>Enero 2026 USA.xlsx - PATRIMONIO: detalle = nivel 1</t>
  </si>
  <si>
    <t>TB-34</t>
  </si>
  <si>
    <t>Enero 2026 USA.xlsx: suma de cuentas detalle = 0</t>
  </si>
  <si>
    <t>ROLL-35</t>
  </si>
  <si>
    <t>Febrero 2026 CR.xlsx - ACTIVO: detalle = nivel 1</t>
  </si>
  <si>
    <t>ROLL-36</t>
  </si>
  <si>
    <t>Febrero 2026 CR.xlsx - GASTOS: detalle = nivel 1</t>
  </si>
  <si>
    <t>ROLL-37</t>
  </si>
  <si>
    <t>Febrero 2026 CR.xlsx - PASIVO: detalle = nivel 1</t>
  </si>
  <si>
    <t>ROLL-38</t>
  </si>
  <si>
    <t>Febrero 2026 CR.xlsx - PATRIMONIO: detalle = nivel 1</t>
  </si>
  <si>
    <t>TB-39</t>
  </si>
  <si>
    <t>Febrero 2026 CR.xlsx: suma de cuentas detalle = 0</t>
  </si>
  <si>
    <t>ROLL-40</t>
  </si>
  <si>
    <t>Febrero 2026 PERU.xlsx - ACTIVO: detalle = nivel 1</t>
  </si>
  <si>
    <t>ROLL-41</t>
  </si>
  <si>
    <t>Febrero 2026 PERU.xlsx - GASTOS: detalle = nivel 1</t>
  </si>
  <si>
    <t>ROLL-42</t>
  </si>
  <si>
    <t>Febrero 2026 PERU.xlsx - INGRESOS: detalle = nivel 1</t>
  </si>
  <si>
    <t>ROLL-43</t>
  </si>
  <si>
    <t>Febrero 2026 PERU.xlsx - PASIVO: detalle = nivel 1</t>
  </si>
  <si>
    <t>ROLL-44</t>
  </si>
  <si>
    <t>Febrero 2026 PERU.xlsx - PATRIMONIO: detalle = nivel 1</t>
  </si>
  <si>
    <t>TB-45</t>
  </si>
  <si>
    <t>Febrero 2026 PERU.xlsx: suma de cuentas detalle = 0</t>
  </si>
  <si>
    <t>ROLL-46</t>
  </si>
  <si>
    <t>Febrero 2026 USA.xlsx - ACTIVO: detalle = nivel 1</t>
  </si>
  <si>
    <t>ROLL-47</t>
  </si>
  <si>
    <t>Febrero 2026 USA.xlsx - GASTOS: detalle = nivel 1</t>
  </si>
  <si>
    <t>ROLL-48</t>
  </si>
  <si>
    <t>Febrero 2026 USA.xlsx - INGRESOS: detalle = nivel 1</t>
  </si>
  <si>
    <t>ROLL-49</t>
  </si>
  <si>
    <t>Febrero 2026 USA.xlsx - PASIVO: detalle = nivel 1</t>
  </si>
  <si>
    <t>ROLL-50</t>
  </si>
  <si>
    <t>Febrero 2026 USA.xlsx - PATRIMONIO: detalle = nivel 1</t>
  </si>
  <si>
    <t>TB-51</t>
  </si>
  <si>
    <t>Febrero 2026 USA.xlsx: suma de cuentas detalle = 0</t>
  </si>
  <si>
    <t>ROLL-52</t>
  </si>
  <si>
    <t>Julio 2026 PERU.xlsx - ACTIVO: detalle = nivel 1</t>
  </si>
  <si>
    <t>ROLL-53</t>
  </si>
  <si>
    <t>Julio 2026 PERU.xlsx - GASTOS: detalle = nivel 1</t>
  </si>
  <si>
    <t>ROLL-54</t>
  </si>
  <si>
    <t>Julio 2026 PERU.xlsx - INGRESOS: detalle = nivel 1</t>
  </si>
  <si>
    <t>ROLL-55</t>
  </si>
  <si>
    <t>Julio 2026 PERU.xlsx - PASIVO: detalle = nivel 1</t>
  </si>
  <si>
    <t>ROLL-56</t>
  </si>
  <si>
    <t>Julio 2026 PERU.xlsx - PATRIMONIO: detalle = nivel 1</t>
  </si>
  <si>
    <t>TB-57</t>
  </si>
  <si>
    <t>Julio 2026 PERU.xlsx: suma de cuentas detalle = 0</t>
  </si>
  <si>
    <t>ROLL-58</t>
  </si>
  <si>
    <t>Julio 2026 USA.xlsx - ACTIVO: detalle = nivel 1</t>
  </si>
  <si>
    <t>ROLL-59</t>
  </si>
  <si>
    <t>Julio 2026 USA.xlsx - GASTOS: detalle = nivel 1</t>
  </si>
  <si>
    <t>ROLL-60</t>
  </si>
  <si>
    <t>Julio 2026 USA.xlsx - INGRESOS: detalle = nivel 1</t>
  </si>
  <si>
    <t>ROLL-61</t>
  </si>
  <si>
    <t>Julio 2026 USA.xlsx - PASIVO: detalle = nivel 1</t>
  </si>
  <si>
    <t>ROLL-62</t>
  </si>
  <si>
    <t>Julio 2026 USA.xlsx - PATRIMONIO: detalle = nivel 1</t>
  </si>
  <si>
    <t>TB-63</t>
  </si>
  <si>
    <t>Julio 2026 USA.xlsx: suma de cuentas detalle = 0</t>
  </si>
  <si>
    <t>ROLL-64</t>
  </si>
  <si>
    <t>Junio 2026 CR.xlsx - ACTIVO: detalle = nivel 1</t>
  </si>
  <si>
    <t>ROLL-65</t>
  </si>
  <si>
    <t>Junio 2026 CR.xlsx - GASTOS: detalle = nivel 1</t>
  </si>
  <si>
    <t>ROLL-66</t>
  </si>
  <si>
    <t>Junio 2026 CR.xlsx - PASIVO: detalle = nivel 1</t>
  </si>
  <si>
    <t>ROLL-67</t>
  </si>
  <si>
    <t>Junio 2026 CR.xlsx - PATRIMONIO: detalle = nivel 1</t>
  </si>
  <si>
    <t>TB-68</t>
  </si>
  <si>
    <t>Junio 2026 CR.xlsx: suma de cuentas detalle = 0</t>
  </si>
  <si>
    <t>ROLL-69</t>
  </si>
  <si>
    <t>Junio 2026 PERU.xlsx - ACTIVO: detalle = nivel 1</t>
  </si>
  <si>
    <t>ROLL-70</t>
  </si>
  <si>
    <t>Junio 2026 PERU.xlsx - GASTOS: detalle = nivel 1</t>
  </si>
  <si>
    <t>ROLL-71</t>
  </si>
  <si>
    <t>Junio 2026 PERU.xlsx - INGRESOS: detalle = nivel 1</t>
  </si>
  <si>
    <t>ROLL-72</t>
  </si>
  <si>
    <t>Junio 2026 PERU.xlsx - PASIVO: detalle = nivel 1</t>
  </si>
  <si>
    <t>ROLL-73</t>
  </si>
  <si>
    <t>Junio 2026 PERU.xlsx - PATRIMONIO: detalle = nivel 1</t>
  </si>
  <si>
    <t>TB-74</t>
  </si>
  <si>
    <t>Junio 2026 PERU.xlsx: suma de cuentas detalle = 0</t>
  </si>
  <si>
    <t>ROLL-75</t>
  </si>
  <si>
    <t>Junio 2026 USA.xlsx - ACTIVO: detalle = nivel 1</t>
  </si>
  <si>
    <t>ROLL-76</t>
  </si>
  <si>
    <t>Junio 2026 USA.xlsx - GASTOS: detalle = nivel 1</t>
  </si>
  <si>
    <t>ROLL-77</t>
  </si>
  <si>
    <t>Junio 2026 USA.xlsx - INGRESOS: detalle = nivel 1</t>
  </si>
  <si>
    <t>ROLL-78</t>
  </si>
  <si>
    <t>Junio 2026 USA.xlsx - PASIVO: detalle = nivel 1</t>
  </si>
  <si>
    <t>ROLL-79</t>
  </si>
  <si>
    <t>Junio 2026 USA.xlsx - PATRIMONIO: detalle = nivel 1</t>
  </si>
  <si>
    <t>TB-80</t>
  </si>
  <si>
    <t>Junio 2026 USA.xlsx: suma de cuentas detalle = 0</t>
  </si>
  <si>
    <t>ROLL-81</t>
  </si>
  <si>
    <t>Marzo 2026 CR.xlsx - ACTIVO: detalle = nivel 1</t>
  </si>
  <si>
    <t>ROLL-82</t>
  </si>
  <si>
    <t>Marzo 2026 CR.xlsx - GASTOS: detalle = nivel 1</t>
  </si>
  <si>
    <t>ROLL-83</t>
  </si>
  <si>
    <t>Marzo 2026 CR.xlsx - PASIVO: detalle = nivel 1</t>
  </si>
  <si>
    <t>ROLL-84</t>
  </si>
  <si>
    <t>Marzo 2026 CR.xlsx - PATRIMONIO: detalle = nivel 1</t>
  </si>
  <si>
    <t>TB-85</t>
  </si>
  <si>
    <t>Marzo 2026 CR.xlsx: suma de cuentas detalle = 0</t>
  </si>
  <si>
    <t>ROLL-86</t>
  </si>
  <si>
    <t>Marzo 2026 PERU.xlsx - ACTIVO: detalle = nivel 1</t>
  </si>
  <si>
    <t>ROLL-87</t>
  </si>
  <si>
    <t>Marzo 2026 PERU.xlsx - GASTOS: detalle = nivel 1</t>
  </si>
  <si>
    <t>ROLL-88</t>
  </si>
  <si>
    <t>Marzo 2026 PERU.xlsx - INGRESOS: detalle = nivel 1</t>
  </si>
  <si>
    <t>ROLL-89</t>
  </si>
  <si>
    <t>Marzo 2026 PERU.xlsx - PASIVO: detalle = nivel 1</t>
  </si>
  <si>
    <t>ROLL-90</t>
  </si>
  <si>
    <t>Marzo 2026 PERU.xlsx - PATRIMONIO: detalle = nivel 1</t>
  </si>
  <si>
    <t>TB-91</t>
  </si>
  <si>
    <t>Marzo 2026 PERU.xlsx: suma de cuentas detalle = 0</t>
  </si>
  <si>
    <t>ROLL-92</t>
  </si>
  <si>
    <t>Marzo 2026 USA.xlsx - ACTIVO: detalle = nivel 1</t>
  </si>
  <si>
    <t>ROLL-93</t>
  </si>
  <si>
    <t>Marzo 2026 USA.xlsx - GASTOS: detalle = nivel 1</t>
  </si>
  <si>
    <t>ROLL-94</t>
  </si>
  <si>
    <t>Marzo 2026 USA.xlsx - INGRESOS: detalle = nivel 1</t>
  </si>
  <si>
    <t>ROLL-95</t>
  </si>
  <si>
    <t>Marzo 2026 USA.xlsx - PASIVO: detalle = nivel 1</t>
  </si>
  <si>
    <t>ROLL-96</t>
  </si>
  <si>
    <t>Marzo 2026 USA.xlsx - PATRIMONIO: detalle = nivel 1</t>
  </si>
  <si>
    <t>TB-97</t>
  </si>
  <si>
    <t>Marzo 2026 USA.xlsx: suma de cuentas detalle = 0</t>
  </si>
  <si>
    <t>ROLL-98</t>
  </si>
  <si>
    <t>Mayo 2026 CR.xlsx - ACTIVO: detalle = nivel 1</t>
  </si>
  <si>
    <t>ROLL-99</t>
  </si>
  <si>
    <t>Mayo 2026 CR.xlsx - GASTOS: detalle = nivel 1</t>
  </si>
  <si>
    <t>ROLL-100</t>
  </si>
  <si>
    <t>Mayo 2026 CR.xlsx - PASIVO: detalle = nivel 1</t>
  </si>
  <si>
    <t>ROLL-101</t>
  </si>
  <si>
    <t>Mayo 2026 CR.xlsx - PATRIMONIO: detalle = nivel 1</t>
  </si>
  <si>
    <t>TB-102</t>
  </si>
  <si>
    <t>Mayo 2026 CR.xlsx: suma de cuentas detalle = 0</t>
  </si>
  <si>
    <t>ROLL-103</t>
  </si>
  <si>
    <t>Mayo 2026 PERU.xlsx - ACTIVO: detalle = nivel 1</t>
  </si>
  <si>
    <t>ROLL-104</t>
  </si>
  <si>
    <t>Mayo 2026 PERU.xlsx - GASTOS: detalle = nivel 1</t>
  </si>
  <si>
    <t>ROLL-105</t>
  </si>
  <si>
    <t>Mayo 2026 PERU.xlsx - INGRESOS: detalle = nivel 1</t>
  </si>
  <si>
    <t>ROLL-106</t>
  </si>
  <si>
    <t>Mayo 2026 PERU.xlsx - PASIVO: detalle = nivel 1</t>
  </si>
  <si>
    <t>ROLL-107</t>
  </si>
  <si>
    <t>Mayo 2026 PERU.xlsx - PATRIMONIO: detalle = nivel 1</t>
  </si>
  <si>
    <t>TB-108</t>
  </si>
  <si>
    <t>Mayo 2026 PERU.xlsx: suma de cuentas detalle = 0</t>
  </si>
  <si>
    <t>ROLL-109</t>
  </si>
  <si>
    <t>Mayo 2026 USA.xlsx - ACTIVO: detalle = nivel 1</t>
  </si>
  <si>
    <t>ROLL-110</t>
  </si>
  <si>
    <t>Mayo 2026 USA.xlsx - GASTOS: detalle = nivel 1</t>
  </si>
  <si>
    <t>ROLL-111</t>
  </si>
  <si>
    <t>Mayo 2026 USA.xlsx - INGRESOS: detalle = nivel 1</t>
  </si>
  <si>
    <t>ROLL-112</t>
  </si>
  <si>
    <t>Mayo 2026 USA.xlsx - PASIVO: detalle = nivel 1</t>
  </si>
  <si>
    <t>ROLL-113</t>
  </si>
  <si>
    <t>Mayo 2026 USA.xlsx - PATRIMONIO: detalle = nivel 1</t>
  </si>
  <si>
    <t>TB-114</t>
  </si>
  <si>
    <t>Mayo 2026 USA.xlsx: suma de cuentas detalle = 0</t>
  </si>
  <si>
    <t>PDF-AR</t>
  </si>
  <si>
    <t>Cuentas por cobrar homologadas = estado oficial</t>
  </si>
  <si>
    <t>PDF-PPE</t>
  </si>
  <si>
    <t>Activos no corrientes homologados = total oficial</t>
  </si>
  <si>
    <t>PDF-CL</t>
  </si>
  <si>
    <t>Pasivo corriente homologado = total oficial</t>
  </si>
  <si>
    <t>PDF-EQ</t>
  </si>
  <si>
    <t>Patrimonio homologado = total oficial</t>
  </si>
  <si>
    <t>PDF-REV</t>
  </si>
  <si>
    <t>Ingresos ordinarios homologados = subtotal oficial</t>
  </si>
  <si>
    <t>PDF-OPEX</t>
  </si>
  <si>
    <t>Gastos operacionales homologados = subtotal oficial</t>
  </si>
  <si>
    <t>PDF-FIN</t>
  </si>
  <si>
    <t>Gastos financieros homologados = estado oficial</t>
  </si>
  <si>
    <t>PDF-NI</t>
  </si>
  <si>
    <t>Utilidad homologada = utilidad oficial</t>
  </si>
  <si>
    <t>BS-COCO</t>
  </si>
  <si>
    <t>Activos = pasivos + patrimonio</t>
  </si>
  <si>
    <t>BS-USA</t>
  </si>
  <si>
    <t>BS-PERU</t>
  </si>
  <si>
    <t>BS-CR</t>
  </si>
  <si>
    <t>CR-JUL-SRC</t>
  </si>
  <si>
    <t>Julio 2026 CR.xlsx incorporado</t>
  </si>
  <si>
    <t>EEFF_Fuentes</t>
  </si>
  <si>
    <t>CR-JUL-TB</t>
  </si>
  <si>
    <t>Julio 2026 CR.xlsx: suma de cuentas detalle = 0</t>
  </si>
  <si>
    <t>Julio 2026 CR.xlsx ? 25 cuentas detalle homologadas</t>
  </si>
  <si>
    <t>CR-JUL-PYG</t>
  </si>
  <si>
    <t>P&amp;G</t>
  </si>
  <si>
    <t>Movimiento julio: ingresos - gastos = utilidad neta mensual</t>
  </si>
  <si>
    <t>BD_Indicadores 2026-07 Costa Rica</t>
  </si>
  <si>
    <t>COCO Colombia - detalle validado del PDF</t>
  </si>
  <si>
    <t>Detalle del 1 de enero al 31 de julio de 2026 en COP. Las conciliaciones explícitas permiten respetar los totales del estado oficial sin cambiar las cuentas de las notas.</t>
  </si>
  <si>
    <t>Línea</t>
  </si>
  <si>
    <t>Valor COP</t>
  </si>
  <si>
    <t>Observación</t>
  </si>
  <si>
    <t>Fuentes y cobertura</t>
  </si>
  <si>
    <t>Inventario de archivos incluidos en el consolidado, con periodo y número de registros extraídos.</t>
  </si>
  <si>
    <t>Archivo</t>
  </si>
  <si>
    <t>Registros origen</t>
  </si>
  <si>
    <t>Excel</t>
  </si>
  <si>
    <t>Incluido</t>
  </si>
  <si>
    <t>Texto tabulado</t>
  </si>
  <si>
    <t>Incluido - validado</t>
  </si>
  <si>
    <t>Elemento</t>
  </si>
  <si>
    <t>Descripci?n</t>
  </si>
  <si>
    <t>Prop?sito</t>
  </si>
  <si>
    <t>Base organizada para operar el dashboard financiero COCO con trazabilidad y capas separadas.</t>
  </si>
  <si>
    <t>Capa 1 - BD_Indicadores</t>
  </si>
  <si>
    <t>Hechos consumidos actualmente por el dashboard. Mantiene compatibilidad con la versi?n existente.</t>
  </si>
  <si>
    <t>Capa 2 - BD_PYG_OFICIAL</t>
  </si>
  <si>
    <t>P&amp;G mensual/YTD oficial normalizado por pa?s, segmento, moneda e indicador.</t>
  </si>
  <si>
    <t>Capa 3 - BD_GASTOS_HOMOLOGADOS</t>
  </si>
  <si>
    <t>Detalle contable homologado de gastos/costos por cuenta, tercero, rubro com?n y subrubro.</t>
  </si>
  <si>
    <t>Capa 4 - MAP_DASHBOARD_GASTOS</t>
  </si>
  <si>
    <t>Reglas expl?citas para llevar c?digos PL-* a categor?as del dashboard. No inventa distribuci?n.</t>
  </si>
  <si>
    <t>Capa 5 - BD_GASTOS_DASHBOARD_BRIDGE</t>
  </si>
  <si>
    <t>Tabla puente propuesta para redise?ar Costos &amp; Gastos sin usar indicadores viejos incompletos.</t>
  </si>
  <si>
    <t>Regla de oro</t>
  </si>
  <si>
    <t>Los estados oficiales prevalecen para P&amp;G; el detalle homologado sirve para an?lisis y drill-down cuando la fuente existe.</t>
  </si>
  <si>
    <t>Limitaci?n</t>
  </si>
  <si>
    <t>COCO Colombia viene del PDF oficial acumulado a julio; no trae desglose mensual operativo por ?rea.</t>
  </si>
  <si>
    <t>Actualizado</t>
  </si>
  <si>
    <t>2026-08-12 17:09</t>
  </si>
  <si>
    <t>codigo_comun</t>
  </si>
  <si>
    <t>rubro_comun</t>
  </si>
  <si>
    <t>categoria_comun</t>
  </si>
  <si>
    <t>indicador_dashboard</t>
  </si>
  <si>
    <t>detalle_dashboard</t>
  </si>
  <si>
    <t>area_dashboard</t>
  </si>
  <si>
    <t>usar_en_grafica</t>
  </si>
  <si>
    <t>criterio</t>
  </si>
  <si>
    <t>estado_mapeo</t>
  </si>
  <si>
    <t>Gastos de administraci?n</t>
  </si>
  <si>
    <t>Administracion</t>
  </si>
  <si>
    <t>Administracion: personal, n?mina y beneficios</t>
  </si>
  <si>
    <t>Aprobado</t>
  </si>
  <si>
    <t>Servicios profesionales administrativos</t>
  </si>
  <si>
    <t>Impuestos administrativos no financieros</t>
  </si>
  <si>
    <t>Arrendamientos administrativos</t>
  </si>
  <si>
    <t>P?lizas y seguros</t>
  </si>
  <si>
    <t>Tecnolog?a y procesamiento de datos</t>
  </si>
  <si>
    <t>Servicios tecnol?gicos administrativos</t>
  </si>
  <si>
    <t>Telecomunicaciones y conectividad</t>
  </si>
  <si>
    <t>Correo y mensajer?a</t>
  </si>
  <si>
    <t>Mensajer?a y correo</t>
  </si>
  <si>
    <t>Viajes y representaci?n</t>
  </si>
  <si>
    <t>Servicios administrativos no clasificados</t>
  </si>
  <si>
    <t>Suministros/oficina</t>
  </si>
  <si>
    <t>Alimentaci?n y restaurante</t>
  </si>
  <si>
    <t>Alimentaci?n/restaurante</t>
  </si>
  <si>
    <t>Transporte local/parqueaderos</t>
  </si>
  <si>
    <t>Honorarios comerciales y t?cnicos</t>
  </si>
  <si>
    <t>Gastos de ventas / comercial</t>
  </si>
  <si>
    <t>Marketing/comercial</t>
  </si>
  <si>
    <t>Servicios comerciales</t>
  </si>
  <si>
    <t>Costos financieros separados</t>
  </si>
  <si>
    <t>BD_Indicadores</t>
  </si>
  <si>
    <t>entidad</t>
  </si>
  <si>
    <t>categoria</t>
  </si>
  <si>
    <t>subrubro</t>
  </si>
  <si>
    <t>tercero_detalle</t>
  </si>
  <si>
    <t>saldo_inicial</t>
  </si>
  <si>
    <t>debitos</t>
  </si>
  <si>
    <t>creditos</t>
  </si>
  <si>
    <t>saldo_final_fuente</t>
  </si>
  <si>
    <t>saldo_presentacion_ytd</t>
  </si>
  <si>
    <t>movimiento_mes</t>
  </si>
  <si>
    <t>fuente_archivo</t>
  </si>
  <si>
    <t>referencia</t>
  </si>
  <si>
    <t>confianza</t>
  </si>
  <si>
    <t>revisar</t>
  </si>
  <si>
    <t>fundamento</t>
  </si>
  <si>
    <t>valor_mes</t>
  </si>
  <si>
    <t>valor_ytd</t>
  </si>
  <si>
    <t>calidad_mapeo</t>
  </si>
  <si>
    <t>nota</t>
  </si>
  <si>
    <t>Puente para redise?ar vistas de Costos &amp; Gastos; no reemplaza P&amp;G oficial.</t>
  </si>
  <si>
    <t>id</t>
  </si>
  <si>
    <t>objeto</t>
  </si>
  <si>
    <t>delta</t>
  </si>
  <si>
    <t>estado</t>
  </si>
  <si>
    <t>PYG_JULIO_Colombia</t>
  </si>
  <si>
    <t>Cobertura P&amp;G julio</t>
  </si>
  <si>
    <t>PYG_JULIO_EE.UU.</t>
  </si>
  <si>
    <t>PYG_JULIO_Peru</t>
  </si>
  <si>
    <t>PYG_JULIO_Costa Rica</t>
  </si>
  <si>
    <t>PYG_JULIO_Consolidado</t>
  </si>
  <si>
    <t>OLD_gasto_area</t>
  </si>
  <si>
    <t>Indicador legacy dashboard</t>
  </si>
  <si>
    <t>INFO</t>
  </si>
  <si>
    <t>Historico conservado; nuevas vistas deben usar BD_GASTOS_RESUMEN_MENSUAL / BRIDGE</t>
  </si>
  <si>
    <t>OLD_gasto_admin</t>
  </si>
  <si>
    <t>OLD_gasto_comercial</t>
  </si>
  <si>
    <t>OLD_gasto_desarrollo</t>
  </si>
  <si>
    <t>OLD_costo_operacion</t>
  </si>
  <si>
    <t>OLD_costo_proveedor</t>
  </si>
  <si>
    <t>BRIDGE_ROWS</t>
  </si>
  <si>
    <t>Puente gastos dashboard</t>
  </si>
  <si>
    <t>BD_GASTOS_DASHBOARD_BRIDGE</t>
  </si>
  <si>
    <t>Filas trazables para rediseno de Costos &amp; Gastos</t>
  </si>
  <si>
    <t>SUMMARY_ROWS</t>
  </si>
  <si>
    <t>Resumen mensual gastos</t>
  </si>
  <si>
    <t>BD_GASTOS_RESUMEN_MENSUAL</t>
  </si>
  <si>
    <t>Agregado mensual listo para dashboard</t>
  </si>
  <si>
    <t>DETAIL_ROWS</t>
  </si>
  <si>
    <t>Detalle gastos homologados</t>
  </si>
  <si>
    <t>BD_GASTOS_HOMOLOGADOS</t>
  </si>
  <si>
    <t>Detalle contable por cuenta/tercero</t>
  </si>
  <si>
    <t>filas_fuente</t>
  </si>
  <si>
    <t>Agregado desde BD_GASTOS_DASHBOARD_BRIDGE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</si>
</sst>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0.000"/>
    <numFmt numFmtId="167" formatCode="0.000000"/>
  </numFmts>
  <fonts count="19" x14ac:knownFonts="1">
    <font>
      <sz val="11"/>
      <color theme="1"/>
      <name val="Calibri"/>
    </font>
    <font>
      <i/>
      <sz val="9"/>
      <color rgb="FF9AA7A0"/>
      <name val="Arial"/>
    </font>
    <font>
      <b/>
      <sz val="10"/>
      <color rgb="FF39FF88"/>
      <name val="Arial"/>
    </font>
    <font>
      <sz val="9"/>
      <color rgb="FF222222"/>
      <name val="Arial"/>
    </font>
    <font>
      <i/>
      <sz val="8"/>
      <color rgb="FF9AA7A0"/>
      <name val="Arial"/>
    </font>
    <font>
      <b/>
      <sz val="10"/>
      <color rgb="FF222222"/>
      <name val="Arial"/>
    </font>
    <font>
      <b/>
      <sz val="10"/>
      <color rgb="FF0000FF"/>
      <name val="Arial"/>
    </font>
    <font>
      <sz val="8"/>
      <color rgb="FF9AA7A0"/>
      <name val="Arial"/>
    </font>
    <font>
      <sz val="10"/>
      <color rgb="FF222222"/>
      <name val="Arial"/>
    </font>
    <font>
      <b/>
      <sz val="10"/>
      <color rgb="FF006400"/>
      <name val="Arial"/>
    </font>
    <font>
      <sz val="9"/>
      <color rgb="FF9AA7A0"/>
      <name val="Arial"/>
    </font>
    <font>
      <b/>
      <sz val="9"/>
      <color rgb="FFFFFFFF"/>
      <name val="Arial"/>
    </font>
    <font>
      <b/>
      <sz val="9"/>
      <color rgb="FF222222"/>
      <name val="Arial"/>
    </font>
    <font>
      <i/>
      <sz val="9"/>
      <color rgb="FF808080"/>
      <name val="Calibri"/>
    </font>
    <font>
      <b/>
      <sz val="11"/>
      <name val="Calibri"/>
    </font>
    <font>
      <b/>
      <sz val="12"/>
      <color rgb="FF1F3864"/>
      <name val="Calibri"/>
    </font>
    <font>
      <b/>
      <sz val="10"/>
      <color rgb="FFFFFFFF"/>
      <name val="Calibri"/>
    </font>
    <font>
      <b/>
      <sz val="14"/>
      <color rgb="FF1F4E78"/>
      <name val="Calibri"/>
    </font>
    <font>
      <b/>
      <sz val="11"/>
      <color rgb="FFFFFF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E1A14"/>
      </patternFill>
    </fill>
    <fill>
      <patternFill patternType="solid">
        <fgColor rgb="FF16271E"/>
      </patternFill>
    </fill>
    <fill>
      <patternFill patternType="solid">
        <fgColor rgb="FFFFFFFF"/>
      </patternFill>
    </fill>
    <fill>
      <patternFill patternType="solid">
        <fgColor rgb="FFF4F8F5"/>
      </patternFill>
    </fill>
    <fill>
      <patternFill patternType="solid">
        <fgColor rgb="FFFFF4CC"/>
      </patternFill>
    </fill>
    <fill>
      <patternFill patternType="solid">
        <fgColor rgb="FFFFFF00"/>
      </patternFill>
    </fill>
    <fill>
      <patternFill patternType="solid">
        <fgColor rgb="FF305496"/>
      </patternFill>
    </fill>
    <fill>
      <patternFill patternType="solid">
        <fgColor rgb="FFD9E1F2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6DEDA"/>
      </left>
      <right style="thin">
        <color rgb="FFD6DEDA"/>
      </right>
      <top style="thin">
        <color rgb="FFD6DEDA"/>
      </top>
      <bottom style="thin">
        <color rgb="FFD6DEDA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165" fontId="6" fillId="7" borderId="1" xfId="0" applyNumberFormat="1" applyFont="1" applyFill="1" applyBorder="1" applyAlignment="1">
      <alignment horizontal="right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3" fontId="8" fillId="0" borderId="1" xfId="0" applyNumberFormat="1" applyFont="1" applyBorder="1" applyAlignment="1">
      <alignment horizontal="right"/>
    </xf>
    <xf numFmtId="10" fontId="8" fillId="0" borderId="1" xfId="0" applyNumberFormat="1" applyFont="1" applyBorder="1" applyAlignment="1">
      <alignment horizontal="right"/>
    </xf>
    <xf numFmtId="3" fontId="9" fillId="0" borderId="1" xfId="0" applyNumberFormat="1" applyFont="1" applyBorder="1" applyAlignment="1">
      <alignment horizontal="right"/>
    </xf>
    <xf numFmtId="164" fontId="9" fillId="0" borderId="1" xfId="0" applyNumberFormat="1" applyFont="1" applyBorder="1" applyAlignment="1">
      <alignment horizontal="right"/>
    </xf>
    <xf numFmtId="2" fontId="9" fillId="0" borderId="1" xfId="0" applyNumberFormat="1" applyFont="1" applyBorder="1" applyAlignment="1">
      <alignment horizontal="right"/>
    </xf>
    <xf numFmtId="0" fontId="2" fillId="3" borderId="1" xfId="0" applyFont="1" applyFill="1" applyBorder="1" applyAlignment="1">
      <alignment horizontal="left"/>
    </xf>
    <xf numFmtId="0" fontId="10" fillId="4" borderId="1" xfId="0" applyFont="1" applyFill="1" applyBorder="1" applyAlignment="1">
      <alignment horizontal="left"/>
    </xf>
    <xf numFmtId="3" fontId="3" fillId="5" borderId="1" xfId="0" applyNumberFormat="1" applyFont="1" applyFill="1" applyBorder="1" applyAlignment="1">
      <alignment horizontal="left"/>
    </xf>
    <xf numFmtId="0" fontId="10" fillId="5" borderId="1" xfId="0" applyFont="1" applyFill="1" applyBorder="1" applyAlignment="1">
      <alignment horizontal="left"/>
    </xf>
    <xf numFmtId="0" fontId="11" fillId="3" borderId="1" xfId="0" applyFont="1" applyFill="1" applyBorder="1" applyAlignment="1">
      <alignment horizontal="left"/>
    </xf>
    <xf numFmtId="165" fontId="3" fillId="4" borderId="1" xfId="0" applyNumberFormat="1" applyFont="1" applyFill="1" applyBorder="1" applyAlignment="1">
      <alignment horizontal="left"/>
    </xf>
    <xf numFmtId="165" fontId="3" fillId="5" borderId="1" xfId="0" applyNumberFormat="1" applyFont="1" applyFill="1" applyBorder="1" applyAlignment="1">
      <alignment horizontal="left"/>
    </xf>
    <xf numFmtId="0" fontId="12" fillId="5" borderId="1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/>
    <xf numFmtId="0" fontId="14" fillId="0" borderId="0" xfId="0" applyFont="1"/>
    <xf numFmtId="3" fontId="14" fillId="0" borderId="0" xfId="0" applyNumberFormat="1" applyFont="1"/>
    <xf numFmtId="0" fontId="14" fillId="9" borderId="0" xfId="0" applyFont="1" applyFill="1"/>
    <xf numFmtId="3" fontId="14" fillId="9" borderId="0" xfId="0" applyNumberFormat="1" applyFont="1" applyFill="1"/>
    <xf numFmtId="0" fontId="16" fillId="8" borderId="1" xfId="0" applyFont="1" applyFill="1" applyBorder="1" applyAlignment="1">
      <alignment horizontal="center" vertical="center"/>
    </xf>
    <xf numFmtId="0" fontId="16" fillId="8" borderId="0" xfId="0" applyFont="1" applyFill="1" applyAlignment="1">
      <alignment horizontal="center" vertical="center"/>
    </xf>
    <xf numFmtId="164" fontId="0" fillId="0" borderId="0" xfId="0" applyNumberFormat="1"/>
    <xf numFmtId="0" fontId="15" fillId="0" borderId="0" xfId="0" applyFont="1"/>
    <xf numFmtId="1" fontId="0" fillId="0" borderId="0" xfId="0" applyNumberFormat="1"/>
    <xf numFmtId="2" fontId="0" fillId="0" borderId="0" xfId="0" applyNumberFormat="1"/>
    <xf numFmtId="4" fontId="3" fillId="4" borderId="1" xfId="0" applyNumberFormat="1" applyFont="1" applyFill="1" applyBorder="1" applyAlignment="1">
      <alignment horizontal="left"/>
    </xf>
    <xf numFmtId="4" fontId="0" fillId="0" borderId="0" xfId="0" applyNumberFormat="1"/>
    <xf numFmtId="4" fontId="3" fillId="5" borderId="1" xfId="0" applyNumberFormat="1" applyFont="1" applyFill="1" applyBorder="1" applyAlignment="1">
      <alignment horizontal="left"/>
    </xf>
    <xf numFmtId="4" fontId="3" fillId="0" borderId="0" xfId="0" applyNumberFormat="1" applyFont="1" applyAlignment="1">
      <alignment horizontal="left"/>
    </xf>
    <xf numFmtId="0" fontId="16" fillId="8" borderId="0" xfId="0" applyFont="1" applyFill="1" applyAlignment="1">
      <alignment horizontal="center"/>
    </xf>
    <xf numFmtId="166" fontId="0" fillId="0" borderId="0" xfId="0" applyNumberFormat="1"/>
    <xf numFmtId="167" fontId="0" fillId="0" borderId="0" xfId="0" applyNumberFormat="1"/>
    <xf numFmtId="0" fontId="18" fillId="10" borderId="1" xfId="0" applyFont="1" applyFill="1" applyBorder="1" applyAlignment="1">
      <alignment horizontal="center"/>
    </xf>
    <xf numFmtId="0" fontId="18" fillId="10" borderId="0" xfId="0" applyFont="1" applyFill="1" applyAlignment="1">
      <alignment horizontal="center"/>
    </xf>
    <xf numFmtId="0" fontId="17" fillId="0" borderId="0" xfId="0" applyFont="1"/>
    <xf numFmtId="0" fontId="18" fillId="10" borderId="2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0" fillId="0" borderId="0" xfId="0"/>
    <xf numFmtId="0" fontId="15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/>
    </xf>
    <xf numFmtId="0" fontId="2" fillId="3" borderId="0" xfId="0" applyFont="1" applyFill="1" applyAlignment="1">
      <alignment horizontal="left"/>
    </xf>
    <xf numFmtId="0" fontId="3" fillId="0" borderId="0" xfId="0" applyFont="1" applyAlignment="1">
      <alignment horizontal="left" wrapText="1"/>
    </xf>
    <xf numFmtId="0" fontId="2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400"/>
      <rgbColor rgb="FFC0C0C0"/>
      <rgbColor rgb="FF808080"/>
      <rgbColor rgb="FF9999FF"/>
      <rgbColor rgb="FF993366"/>
      <rgbColor rgb="FFFFF4CC"/>
      <rgbColor rgb="FFF4F8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DEDA"/>
      <rgbColor rgb="FFFFFF99"/>
      <rgbColor rgb="FF99CCFF"/>
      <rgbColor rgb="FFFF99CC"/>
      <rgbColor rgb="FFCC99FF"/>
      <rgbColor rgb="FFFFCC99"/>
      <rgbColor rgb="FF3366FF"/>
      <rgbColor rgb="FF39FF88"/>
      <rgbColor rgb="FF99CC00"/>
      <rgbColor rgb="FFFFCC00"/>
      <rgbColor rgb="FFFF9900"/>
      <rgbColor rgb="FFFF6600"/>
      <rgbColor rgb="FF6E6E6E"/>
      <rgbColor rgb="FF9AA7A0"/>
      <rgbColor rgb="FF0E1A14"/>
      <rgbColor rgb="FF339966"/>
      <rgbColor rgb="FF16271E"/>
      <rgbColor rgb="FF222222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Diccionario" displayName="tbl_Diccionario" ref="A3:N109">
  <autoFilter ref="A3:N109" xr:uid="{00000000-0009-0000-0100-000001000000}"/>
  <tableColumns count="14">
    <tableColumn id="1" xr3:uid="{00000000-0010-0000-0000-000001000000}" name="ID"/>
    <tableColumn id="2" xr3:uid="{00000000-0010-0000-0000-000002000000}" name="Categoría"/>
    <tableColumn id="3" xr3:uid="{00000000-0010-0000-0000-000003000000}" name="Código indicador"/>
    <tableColumn id="4" xr3:uid="{00000000-0010-0000-0000-000004000000}" name="Nombre visible"/>
    <tableColumn id="5" xr3:uid="{00000000-0010-0000-0000-000005000000}" name="Tipo"/>
    <tableColumn id="6" xr3:uid="{00000000-0010-0000-0000-000006000000}" name="Fórmula / regla de cálculo"/>
    <tableColumn id="7" xr3:uid="{00000000-0010-0000-0000-000007000000}" name="Unidad"/>
    <tableColumn id="8" xr3:uid="{00000000-0010-0000-0000-000008000000}" name="Responsable carga"/>
    <tableColumn id="9" xr3:uid="{00000000-0010-0000-0000-000009000000}" name="Fuente sugerida"/>
    <tableColumn id="10" xr3:uid="{00000000-0010-0000-0000-00000A000000}" name="Frecuencia"/>
    <tableColumn id="11" xr3:uid="{00000000-0010-0000-0000-00000B000000}" name="Desglose (segmento / detalle)"/>
    <tableColumn id="12" xr3:uid="{00000000-0010-0000-0000-00000C000000}" name="Origen"/>
    <tableColumn id="13" xr3:uid="{00000000-0010-0000-0000-00000D000000}" name="Comentario"/>
    <tableColumn id="14" xr3:uid="{00000000-0010-0000-0000-00000E000000}" name="periodic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BD_Indicadores" displayName="tbl_BD_Indicadores" ref="A3:N1615">
  <autoFilter ref="A3:N1615" xr:uid="{00000000-0009-0000-0100-000002000000}"/>
  <tableColumns count="14">
    <tableColumn id="1" xr3:uid="{00000000-0010-0000-0100-000001000000}" name="periodo"/>
    <tableColumn id="2" xr3:uid="{00000000-0010-0000-0100-000002000000}" name="pais"/>
    <tableColumn id="3" xr3:uid="{00000000-0010-0000-0100-000003000000}" name="compania"/>
    <tableColumn id="4" xr3:uid="{00000000-0010-0000-0100-000004000000}" name="moneda"/>
    <tableColumn id="5" xr3:uid="{00000000-0010-0000-0100-000005000000}" name="escenario"/>
    <tableColumn id="6" xr3:uid="{00000000-0010-0000-0100-000006000000}" name="codigo_indicador"/>
    <tableColumn id="7" xr3:uid="{00000000-0010-0000-0100-000007000000}" name="segmento"/>
    <tableColumn id="8" xr3:uid="{00000000-0010-0000-0100-000008000000}" name="detalle"/>
    <tableColumn id="9" xr3:uid="{00000000-0010-0000-0100-000009000000}" name="valor"/>
    <tableColumn id="10" xr3:uid="{00000000-0010-0000-0100-00000A000000}" name="unidad"/>
    <tableColumn id="11" xr3:uid="{00000000-0010-0000-0100-00000B000000}" name="comentario"/>
    <tableColumn id="12" xr3:uid="{00000000-0010-0000-0100-00000C000000}" name="area"/>
    <tableColumn id="13" xr3:uid="{00000000-0010-0000-0100-00000D000000}" name="area_responsable"/>
    <tableColumn id="14" xr3:uid="{00000000-0010-0000-0100-00000E000000}" name="periodicid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PyG_Mensual" displayName="tbl_PyG_Mensual" ref="A4:G16">
  <autoFilter ref="A4:G16" xr:uid="{00000000-0009-0000-0100-000003000000}"/>
  <tableColumns count="7">
    <tableColumn id="1" xr3:uid="{00000000-0010-0000-0200-000001000000}" name="Concepto"/>
    <tableColumn id="2" xr3:uid="{00000000-0010-0000-0200-000002000000}" name="Ene"/>
    <tableColumn id="3" xr3:uid="{00000000-0010-0000-0200-000003000000}" name="Feb"/>
    <tableColumn id="4" xr3:uid="{00000000-0010-0000-0200-000004000000}" name="Mar"/>
    <tableColumn id="5" xr3:uid="{00000000-0010-0000-0200-000005000000}" name="Abr"/>
    <tableColumn id="6" xr3:uid="{00000000-0010-0000-0200-000006000000}" name="May"/>
    <tableColumn id="7" xr3:uid="{00000000-0010-0000-0200-000007000000}" name="Ju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Subsidiarias" displayName="tbl_Subsidiarias" ref="A4:G133">
  <autoFilter ref="A4:G133" xr:uid="{00000000-0009-0000-0100-000004000000}"/>
  <tableColumns count="7">
    <tableColumn id="1" xr3:uid="{00000000-0010-0000-0300-000001000000}" name="periodo"/>
    <tableColumn id="2" xr3:uid="{00000000-0010-0000-0300-000002000000}" name="pais"/>
    <tableColumn id="3" xr3:uid="{00000000-0010-0000-0300-000003000000}" name="compania"/>
    <tableColumn id="4" xr3:uid="{00000000-0010-0000-0300-000004000000}" name="rubro"/>
    <tableColumn id="5" xr3:uid="{00000000-0010-0000-0300-000005000000}" name="codigo_indicador"/>
    <tableColumn id="6" xr3:uid="{00000000-0010-0000-0300-000006000000}" name="moneda"/>
    <tableColumn id="7" xr3:uid="{00000000-0010-0000-0300-000007000000}" name="valo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PyG_Oficial" displayName="tbl_PyG_Oficial" ref="A4:M205">
  <autoFilter ref="A4:M205" xr:uid="{00000000-0009-0000-0100-000005000000}"/>
  <tableColumns count="13">
    <tableColumn id="1" xr3:uid="{00000000-0010-0000-0400-000001000000}" name="periodo"/>
    <tableColumn id="2" xr3:uid="{00000000-0010-0000-0400-000002000000}" name="pais"/>
    <tableColumn id="3" xr3:uid="{00000000-0010-0000-0400-000003000000}" name="compania"/>
    <tableColumn id="4" xr3:uid="{00000000-0010-0000-0400-000004000000}" name="moneda"/>
    <tableColumn id="5" xr3:uid="{00000000-0010-0000-0400-000005000000}" name="escenario"/>
    <tableColumn id="6" xr3:uid="{00000000-0010-0000-0400-000006000000}" name="codigo_indicador"/>
    <tableColumn id="7" xr3:uid="{00000000-0010-0000-0400-000007000000}" name="segmento"/>
    <tableColumn id="8" xr3:uid="{00000000-0010-0000-0400-000008000000}" name="detalle"/>
    <tableColumn id="9" xr3:uid="{00000000-0010-0000-0400-000009000000}" name="valor"/>
    <tableColumn id="10" xr3:uid="{00000000-0010-0000-0400-00000A000000}" name="unidad"/>
    <tableColumn id="11" xr3:uid="{00000000-0010-0000-0400-00000B000000}" name="comentario"/>
    <tableColumn id="12" xr3:uid="{00000000-0010-0000-0400-00000C000000}" name="area_responsable"/>
    <tableColumn id="13" xr3:uid="{00000000-0010-0000-0400-00000D000000}" name="periodicida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Finanzas" displayName="tbl_Finanzas" ref="A4:M190">
  <autoFilter ref="A4:M190" xr:uid="{00000000-0009-0000-0100-000006000000}"/>
  <tableColumns count="13">
    <tableColumn id="1" xr3:uid="{00000000-0010-0000-0500-000001000000}" name="periodo"/>
    <tableColumn id="2" xr3:uid="{00000000-0010-0000-0500-000002000000}" name="pais"/>
    <tableColumn id="3" xr3:uid="{00000000-0010-0000-0500-000003000000}" name="compania"/>
    <tableColumn id="4" xr3:uid="{00000000-0010-0000-0500-000004000000}" name="moneda"/>
    <tableColumn id="5" xr3:uid="{00000000-0010-0000-0500-000005000000}" name="escenario"/>
    <tableColumn id="6" xr3:uid="{00000000-0010-0000-0500-000006000000}" name="codigo_indicador"/>
    <tableColumn id="7" xr3:uid="{00000000-0010-0000-0500-000007000000}" name="segmento"/>
    <tableColumn id="8" xr3:uid="{00000000-0010-0000-0500-000008000000}" name="detalle"/>
    <tableColumn id="9" xr3:uid="{00000000-0010-0000-0500-000009000000}" name="valor"/>
    <tableColumn id="10" xr3:uid="{00000000-0010-0000-0500-00000A000000}" name="unidad"/>
    <tableColumn id="11" xr3:uid="{00000000-0010-0000-0500-00000B000000}" name="comentario"/>
    <tableColumn id="12" xr3:uid="{00000000-0010-0000-0500-00000C000000}" name="area_responsable"/>
    <tableColumn id="13" xr3:uid="{00000000-0010-0000-0500-00000D000000}" name="periodicida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Contabilidad" displayName="tbl_Contabilidad" ref="A4:M1034">
  <autoFilter ref="A4:M1034" xr:uid="{00000000-0009-0000-0100-000007000000}"/>
  <tableColumns count="13">
    <tableColumn id="1" xr3:uid="{00000000-0010-0000-0600-000001000000}" name="periodo"/>
    <tableColumn id="2" xr3:uid="{00000000-0010-0000-0600-000002000000}" name="pais"/>
    <tableColumn id="3" xr3:uid="{00000000-0010-0000-0600-000003000000}" name="compania"/>
    <tableColumn id="4" xr3:uid="{00000000-0010-0000-0600-000004000000}" name="moneda"/>
    <tableColumn id="5" xr3:uid="{00000000-0010-0000-0600-000005000000}" name="escenario"/>
    <tableColumn id="6" xr3:uid="{00000000-0010-0000-0600-000006000000}" name="codigo_indicador"/>
    <tableColumn id="7" xr3:uid="{00000000-0010-0000-0600-000007000000}" name="segmento"/>
    <tableColumn id="8" xr3:uid="{00000000-0010-0000-0600-000008000000}" name="detalle"/>
    <tableColumn id="9" xr3:uid="{00000000-0010-0000-0600-000009000000}" name="valor"/>
    <tableColumn id="10" xr3:uid="{00000000-0010-0000-0600-00000A000000}" name="unidad"/>
    <tableColumn id="11" xr3:uid="{00000000-0010-0000-0600-00000B000000}" name="comentario"/>
    <tableColumn id="12" xr3:uid="{00000000-0010-0000-0600-00000C000000}" name="area_responsable"/>
    <tableColumn id="13" xr3:uid="{00000000-0010-0000-0600-00000D000000}" name="periodicida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SaaS_Revenue" displayName="tbl_SaaS_Revenue" ref="A4:M6">
  <autoFilter ref="A4:M6" xr:uid="{00000000-0009-0000-0100-000008000000}"/>
  <tableColumns count="13">
    <tableColumn id="1" xr3:uid="{00000000-0010-0000-0700-000001000000}" name="periodo"/>
    <tableColumn id="2" xr3:uid="{00000000-0010-0000-0700-000002000000}" name="pais"/>
    <tableColumn id="3" xr3:uid="{00000000-0010-0000-0700-000003000000}" name="compania"/>
    <tableColumn id="4" xr3:uid="{00000000-0010-0000-0700-000004000000}" name="moneda"/>
    <tableColumn id="5" xr3:uid="{00000000-0010-0000-0700-000005000000}" name="escenario"/>
    <tableColumn id="6" xr3:uid="{00000000-0010-0000-0700-000006000000}" name="codigo_indicador"/>
    <tableColumn id="7" xr3:uid="{00000000-0010-0000-0700-000007000000}" name="segmento"/>
    <tableColumn id="8" xr3:uid="{00000000-0010-0000-0700-000008000000}" name="detalle"/>
    <tableColumn id="9" xr3:uid="{00000000-0010-0000-0700-000009000000}" name="valor"/>
    <tableColumn id="10" xr3:uid="{00000000-0010-0000-0700-00000A000000}" name="unidad"/>
    <tableColumn id="11" xr3:uid="{00000000-0010-0000-0700-00000B000000}" name="comentario"/>
    <tableColumn id="12" xr3:uid="{00000000-0010-0000-0700-00000C000000}" name="area_responsable"/>
    <tableColumn id="13" xr3:uid="{00000000-0010-0000-0700-00000D000000}" name="periodicidad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Ventas" displayName="tbl_Ventas" ref="A4:M64">
  <autoFilter ref="A4:M64" xr:uid="{00000000-0009-0000-0100-000009000000}"/>
  <tableColumns count="13">
    <tableColumn id="1" xr3:uid="{00000000-0010-0000-0800-000001000000}" name="periodo"/>
    <tableColumn id="2" xr3:uid="{00000000-0010-0000-0800-000002000000}" name="pais"/>
    <tableColumn id="3" xr3:uid="{00000000-0010-0000-0800-000003000000}" name="compania"/>
    <tableColumn id="4" xr3:uid="{00000000-0010-0000-0800-000004000000}" name="moneda"/>
    <tableColumn id="5" xr3:uid="{00000000-0010-0000-0800-000005000000}" name="escenario"/>
    <tableColumn id="6" xr3:uid="{00000000-0010-0000-0800-000006000000}" name="codigo_indicador"/>
    <tableColumn id="7" xr3:uid="{00000000-0010-0000-0800-000007000000}" name="segmento"/>
    <tableColumn id="8" xr3:uid="{00000000-0010-0000-0800-000008000000}" name="detalle"/>
    <tableColumn id="9" xr3:uid="{00000000-0010-0000-0800-000009000000}" name="valor"/>
    <tableColumn id="10" xr3:uid="{00000000-0010-0000-0800-00000A000000}" name="unidad"/>
    <tableColumn id="11" xr3:uid="{00000000-0010-0000-0800-00000B000000}" name="comentario"/>
    <tableColumn id="12" xr3:uid="{00000000-0010-0000-0800-00000C000000}" name="area_responsable"/>
    <tableColumn id="13" xr3:uid="{00000000-0010-0000-0800-00000D000000}" name="periodicidad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Marketing" displayName="tbl_Marketing" ref="A4:M55">
  <autoFilter ref="A4:M55" xr:uid="{00000000-0009-0000-0100-00000A000000}"/>
  <tableColumns count="13">
    <tableColumn id="1" xr3:uid="{00000000-0010-0000-0900-000001000000}" name="periodo"/>
    <tableColumn id="2" xr3:uid="{00000000-0010-0000-0900-000002000000}" name="pais"/>
    <tableColumn id="3" xr3:uid="{00000000-0010-0000-0900-000003000000}" name="compania"/>
    <tableColumn id="4" xr3:uid="{00000000-0010-0000-0900-000004000000}" name="moneda"/>
    <tableColumn id="5" xr3:uid="{00000000-0010-0000-0900-000005000000}" name="escenario"/>
    <tableColumn id="6" xr3:uid="{00000000-0010-0000-0900-000006000000}" name="codigo_indicador"/>
    <tableColumn id="7" xr3:uid="{00000000-0010-0000-0900-000007000000}" name="segmento"/>
    <tableColumn id="8" xr3:uid="{00000000-0010-0000-0900-000008000000}" name="detalle"/>
    <tableColumn id="9" xr3:uid="{00000000-0010-0000-0900-000009000000}" name="valor"/>
    <tableColumn id="10" xr3:uid="{00000000-0010-0000-0900-00000A000000}" name="unidad"/>
    <tableColumn id="11" xr3:uid="{00000000-0010-0000-0900-00000B000000}" name="comentario"/>
    <tableColumn id="12" xr3:uid="{00000000-0010-0000-0900-00000C000000}" name="area_responsable"/>
    <tableColumn id="13" xr3:uid="{00000000-0010-0000-0900-00000D000000}" name="periodicida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_Customer_Success" displayName="tbl_Customer_Success" ref="A4:M12">
  <autoFilter ref="A4:M12" xr:uid="{00000000-0009-0000-0100-00000B000000}"/>
  <tableColumns count="13">
    <tableColumn id="1" xr3:uid="{00000000-0010-0000-0A00-000001000000}" name="periodo"/>
    <tableColumn id="2" xr3:uid="{00000000-0010-0000-0A00-000002000000}" name="pais"/>
    <tableColumn id="3" xr3:uid="{00000000-0010-0000-0A00-000003000000}" name="compania"/>
    <tableColumn id="4" xr3:uid="{00000000-0010-0000-0A00-000004000000}" name="moneda"/>
    <tableColumn id="5" xr3:uid="{00000000-0010-0000-0A00-000005000000}" name="escenario"/>
    <tableColumn id="6" xr3:uid="{00000000-0010-0000-0A00-000006000000}" name="codigo_indicador"/>
    <tableColumn id="7" xr3:uid="{00000000-0010-0000-0A00-000007000000}" name="segmento"/>
    <tableColumn id="8" xr3:uid="{00000000-0010-0000-0A00-000008000000}" name="detalle"/>
    <tableColumn id="9" xr3:uid="{00000000-0010-0000-0A00-000009000000}" name="valor"/>
    <tableColumn id="10" xr3:uid="{00000000-0010-0000-0A00-00000A000000}" name="unidad"/>
    <tableColumn id="11" xr3:uid="{00000000-0010-0000-0A00-00000B000000}" name="comentario"/>
    <tableColumn id="12" xr3:uid="{00000000-0010-0000-0A00-00000C000000}" name="area_responsable"/>
    <tableColumn id="13" xr3:uid="{00000000-0010-0000-0A00-00000D000000}" name="periodicida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_TRM" displayName="tbl_TRM" ref="A3:D39">
  <autoFilter ref="A3:D39" xr:uid="{00000000-0009-0000-0100-00000C000000}"/>
  <tableColumns count="4">
    <tableColumn id="1" xr3:uid="{00000000-0010-0000-0B00-000001000000}" name="periodo"/>
    <tableColumn id="2" xr3:uid="{00000000-0010-0000-0B00-000002000000}" name="trm_cop_usd"/>
    <tableColumn id="3" xr3:uid="{00000000-0010-0000-0B00-000003000000}" name="fuente"/>
    <tableColumn id="4" xr3:uid="{00000000-0010-0000-0B00-000004000000}" name="trm_promedio_mercado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_TRM_Peru" displayName="tbl_TRM_Peru" ref="A4:E11">
  <autoFilter ref="A4:E11" xr:uid="{00000000-0009-0000-0100-00000D000000}"/>
  <tableColumns count="5">
    <tableColumn id="1" xr3:uid="{00000000-0010-0000-0C00-000001000000}" name="periodo"/>
    <tableColumn id="2" xr3:uid="{00000000-0010-0000-0C00-000002000000}" name="par"/>
    <tableColumn id="3" xr3:uid="{00000000-0010-0000-0C00-000003000000}" name="tc_pen_usd"/>
    <tableColumn id="4" xr3:uid="{00000000-0010-0000-0C00-000004000000}" name="factor_usd_pen"/>
    <tableColumn id="5" xr3:uid="{00000000-0010-0000-0C00-000005000000}" name="fu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"/>
  <sheetViews>
    <sheetView showGridLines="0" workbookViewId="0">
      <selection sqref="A1:M1"/>
    </sheetView>
  </sheetViews>
  <sheetFormatPr defaultColWidth="8.6640625" defaultRowHeight="14.4" x14ac:dyDescent="0.3"/>
  <cols>
    <col min="1" max="1" width="6" customWidth="1"/>
    <col min="2" max="2" width="16" customWidth="1"/>
    <col min="3" max="4" width="26" customWidth="1"/>
    <col min="5" max="5" width="12" customWidth="1"/>
    <col min="6" max="6" width="40" customWidth="1"/>
    <col min="7" max="7" width="12" customWidth="1"/>
    <col min="8" max="8" width="16" customWidth="1"/>
    <col min="9" max="10" width="18" customWidth="1"/>
    <col min="11" max="11" width="40" customWidth="1"/>
    <col min="12" max="12" width="9" customWidth="1"/>
    <col min="13" max="13" width="34" customWidth="1"/>
  </cols>
  <sheetData>
    <row r="1" spans="1:14" ht="30" customHeight="1" x14ac:dyDescent="0.3">
      <c r="A1" s="53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</row>
    <row r="2" spans="1:14" ht="19.5" customHeight="1" x14ac:dyDescent="0.3">
      <c r="A2" s="51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</row>
    <row r="3" spans="1:14" ht="30" customHeight="1" x14ac:dyDescent="0.3">
      <c r="A3" s="34" t="s">
        <v>2</v>
      </c>
      <c r="B3" s="34" t="s">
        <v>3</v>
      </c>
      <c r="C3" s="34" t="s">
        <v>4</v>
      </c>
      <c r="D3" s="34" t="s">
        <v>5</v>
      </c>
      <c r="E3" s="34" t="s">
        <v>6</v>
      </c>
      <c r="F3" s="34" t="s">
        <v>7</v>
      </c>
      <c r="G3" s="34" t="s">
        <v>8</v>
      </c>
      <c r="H3" s="34" t="s">
        <v>9</v>
      </c>
      <c r="I3" s="34" t="s">
        <v>10</v>
      </c>
      <c r="J3" s="34" t="s">
        <v>11</v>
      </c>
      <c r="K3" s="34" t="s">
        <v>12</v>
      </c>
      <c r="L3" s="34" t="s">
        <v>13</v>
      </c>
      <c r="M3" s="34" t="s">
        <v>14</v>
      </c>
      <c r="N3" s="35" t="s">
        <v>15</v>
      </c>
    </row>
    <row r="4" spans="1:14" ht="14.25" customHeight="1" x14ac:dyDescent="0.3">
      <c r="A4" s="1">
        <v>1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23</v>
      </c>
      <c r="J4" s="1" t="s">
        <v>24</v>
      </c>
      <c r="K4" s="1"/>
      <c r="L4" s="1" t="s">
        <v>25</v>
      </c>
      <c r="M4" s="1" t="s">
        <v>26</v>
      </c>
      <c r="N4" t="s">
        <v>24</v>
      </c>
    </row>
    <row r="5" spans="1:14" ht="14.25" customHeight="1" x14ac:dyDescent="0.3">
      <c r="A5" s="2">
        <v>2</v>
      </c>
      <c r="B5" s="2" t="s">
        <v>16</v>
      </c>
      <c r="C5" s="2" t="s">
        <v>27</v>
      </c>
      <c r="D5" s="2" t="s">
        <v>28</v>
      </c>
      <c r="E5" s="2" t="s">
        <v>19</v>
      </c>
      <c r="F5" s="2" t="s">
        <v>29</v>
      </c>
      <c r="G5" s="2" t="s">
        <v>30</v>
      </c>
      <c r="H5" s="2" t="s">
        <v>22</v>
      </c>
      <c r="I5" s="2" t="s">
        <v>23</v>
      </c>
      <c r="J5" s="2" t="s">
        <v>24</v>
      </c>
      <c r="K5" s="2" t="s">
        <v>31</v>
      </c>
      <c r="L5" s="2" t="s">
        <v>25</v>
      </c>
      <c r="M5" s="2"/>
      <c r="N5" t="s">
        <v>24</v>
      </c>
    </row>
    <row r="6" spans="1:14" ht="14.25" customHeight="1" x14ac:dyDescent="0.3">
      <c r="A6" s="1">
        <v>3</v>
      </c>
      <c r="B6" s="1" t="s">
        <v>16</v>
      </c>
      <c r="C6" s="1" t="s">
        <v>32</v>
      </c>
      <c r="D6" s="1" t="s">
        <v>33</v>
      </c>
      <c r="E6" s="1" t="s">
        <v>19</v>
      </c>
      <c r="F6" s="1" t="s">
        <v>34</v>
      </c>
      <c r="G6" s="1" t="s">
        <v>30</v>
      </c>
      <c r="H6" s="1" t="s">
        <v>35</v>
      </c>
      <c r="I6" s="1" t="s">
        <v>36</v>
      </c>
      <c r="J6" s="1" t="s">
        <v>24</v>
      </c>
      <c r="K6" s="1" t="s">
        <v>37</v>
      </c>
      <c r="L6" s="1" t="s">
        <v>25</v>
      </c>
      <c r="M6" s="1"/>
      <c r="N6" t="s">
        <v>24</v>
      </c>
    </row>
    <row r="7" spans="1:14" ht="14.25" customHeight="1" x14ac:dyDescent="0.3">
      <c r="A7" s="2">
        <v>4</v>
      </c>
      <c r="B7" s="2" t="s">
        <v>16</v>
      </c>
      <c r="C7" s="2" t="s">
        <v>38</v>
      </c>
      <c r="D7" s="2" t="s">
        <v>39</v>
      </c>
      <c r="E7" s="2" t="s">
        <v>19</v>
      </c>
      <c r="F7" s="2" t="s">
        <v>40</v>
      </c>
      <c r="G7" s="2" t="s">
        <v>41</v>
      </c>
      <c r="H7" s="2" t="s">
        <v>22</v>
      </c>
      <c r="I7" s="2" t="s">
        <v>23</v>
      </c>
      <c r="J7" s="2" t="s">
        <v>24</v>
      </c>
      <c r="K7" s="2" t="s">
        <v>42</v>
      </c>
      <c r="L7" s="2" t="s">
        <v>25</v>
      </c>
      <c r="M7" s="2" t="s">
        <v>43</v>
      </c>
      <c r="N7" t="s">
        <v>24</v>
      </c>
    </row>
    <row r="8" spans="1:14" ht="14.25" customHeight="1" x14ac:dyDescent="0.3">
      <c r="A8" s="1">
        <v>5</v>
      </c>
      <c r="B8" s="1" t="s">
        <v>16</v>
      </c>
      <c r="C8" s="1" t="s">
        <v>44</v>
      </c>
      <c r="D8" s="1" t="s">
        <v>45</v>
      </c>
      <c r="E8" s="1" t="s">
        <v>19</v>
      </c>
      <c r="F8" s="1" t="s">
        <v>46</v>
      </c>
      <c r="G8" s="1" t="s">
        <v>30</v>
      </c>
      <c r="H8" s="1" t="s">
        <v>35</v>
      </c>
      <c r="I8" s="1" t="s">
        <v>23</v>
      </c>
      <c r="J8" s="1" t="s">
        <v>24</v>
      </c>
      <c r="K8" s="1" t="s">
        <v>47</v>
      </c>
      <c r="L8" s="1" t="s">
        <v>25</v>
      </c>
      <c r="M8" s="1" t="s">
        <v>48</v>
      </c>
      <c r="N8" t="s">
        <v>24</v>
      </c>
    </row>
    <row r="9" spans="1:14" ht="22.5" customHeight="1" x14ac:dyDescent="0.3">
      <c r="A9" s="2">
        <v>7</v>
      </c>
      <c r="B9" s="2" t="s">
        <v>35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41</v>
      </c>
      <c r="H9" s="2" t="s">
        <v>53</v>
      </c>
      <c r="I9" s="2" t="s">
        <v>54</v>
      </c>
      <c r="J9" s="2" t="s">
        <v>24</v>
      </c>
      <c r="K9" s="2" t="s">
        <v>55</v>
      </c>
      <c r="L9" s="2" t="s">
        <v>25</v>
      </c>
      <c r="M9" s="2" t="s">
        <v>56</v>
      </c>
      <c r="N9" t="s">
        <v>24</v>
      </c>
    </row>
    <row r="10" spans="1:14" ht="14.25" customHeight="1" x14ac:dyDescent="0.3">
      <c r="A10" s="1">
        <v>10</v>
      </c>
      <c r="B10" s="1" t="s">
        <v>35</v>
      </c>
      <c r="C10" s="1" t="s">
        <v>57</v>
      </c>
      <c r="D10" s="1" t="s">
        <v>58</v>
      </c>
      <c r="E10" s="1" t="s">
        <v>59</v>
      </c>
      <c r="F10" s="1" t="s">
        <v>60</v>
      </c>
      <c r="G10" s="1" t="s">
        <v>41</v>
      </c>
      <c r="H10" s="1" t="s">
        <v>35</v>
      </c>
      <c r="I10" s="1" t="s">
        <v>36</v>
      </c>
      <c r="J10" s="1" t="s">
        <v>24</v>
      </c>
      <c r="K10" s="1"/>
      <c r="L10" s="1" t="s">
        <v>25</v>
      </c>
      <c r="M10" s="1" t="s">
        <v>61</v>
      </c>
      <c r="N10" t="s">
        <v>24</v>
      </c>
    </row>
    <row r="11" spans="1:14" ht="14.25" customHeight="1" x14ac:dyDescent="0.3">
      <c r="A11" s="2">
        <v>11</v>
      </c>
      <c r="B11" s="2" t="s">
        <v>35</v>
      </c>
      <c r="C11" s="2" t="s">
        <v>62</v>
      </c>
      <c r="D11" s="2" t="s">
        <v>63</v>
      </c>
      <c r="E11" s="2" t="s">
        <v>59</v>
      </c>
      <c r="F11" s="2" t="s">
        <v>64</v>
      </c>
      <c r="G11" s="2" t="s">
        <v>65</v>
      </c>
      <c r="H11" s="2" t="s">
        <v>35</v>
      </c>
      <c r="I11" s="2" t="s">
        <v>36</v>
      </c>
      <c r="J11" s="2" t="s">
        <v>24</v>
      </c>
      <c r="K11" s="2"/>
      <c r="L11" s="2" t="s">
        <v>25</v>
      </c>
      <c r="M11" s="2" t="s">
        <v>66</v>
      </c>
      <c r="N11" t="s">
        <v>24</v>
      </c>
    </row>
    <row r="12" spans="1:14" ht="22.5" customHeight="1" x14ac:dyDescent="0.3">
      <c r="A12" s="1">
        <v>12</v>
      </c>
      <c r="B12" s="1" t="s">
        <v>35</v>
      </c>
      <c r="C12" s="1" t="s">
        <v>67</v>
      </c>
      <c r="D12" s="1" t="s">
        <v>68</v>
      </c>
      <c r="E12" s="1" t="s">
        <v>69</v>
      </c>
      <c r="F12" s="1" t="s">
        <v>70</v>
      </c>
      <c r="G12" s="1" t="s">
        <v>41</v>
      </c>
      <c r="H12" s="1" t="s">
        <v>35</v>
      </c>
      <c r="I12" s="1" t="s">
        <v>36</v>
      </c>
      <c r="J12" s="1" t="s">
        <v>24</v>
      </c>
      <c r="K12" s="1"/>
      <c r="L12" s="1" t="s">
        <v>25</v>
      </c>
      <c r="M12" s="1" t="s">
        <v>71</v>
      </c>
      <c r="N12" t="s">
        <v>24</v>
      </c>
    </row>
    <row r="13" spans="1:14" ht="22.5" customHeight="1" x14ac:dyDescent="0.3">
      <c r="A13" s="2">
        <v>15</v>
      </c>
      <c r="B13" s="2" t="s">
        <v>35</v>
      </c>
      <c r="C13" s="2" t="s">
        <v>72</v>
      </c>
      <c r="D13" s="2" t="s">
        <v>73</v>
      </c>
      <c r="E13" s="2" t="s">
        <v>69</v>
      </c>
      <c r="F13" s="2" t="s">
        <v>74</v>
      </c>
      <c r="G13" s="2" t="s">
        <v>41</v>
      </c>
      <c r="H13" s="2" t="s">
        <v>35</v>
      </c>
      <c r="I13" s="2" t="s">
        <v>36</v>
      </c>
      <c r="J13" s="2" t="s">
        <v>24</v>
      </c>
      <c r="K13" s="2"/>
      <c r="L13" s="2" t="s">
        <v>25</v>
      </c>
      <c r="M13" s="2" t="s">
        <v>75</v>
      </c>
      <c r="N13" t="s">
        <v>24</v>
      </c>
    </row>
    <row r="14" spans="1:14" ht="14.25" customHeight="1" x14ac:dyDescent="0.3">
      <c r="A14" s="1">
        <v>17</v>
      </c>
      <c r="B14" s="1" t="s">
        <v>35</v>
      </c>
      <c r="C14" s="1" t="s">
        <v>76</v>
      </c>
      <c r="D14" s="1" t="s">
        <v>77</v>
      </c>
      <c r="E14" s="1" t="s">
        <v>59</v>
      </c>
      <c r="F14" s="1" t="s">
        <v>78</v>
      </c>
      <c r="G14" s="1" t="s">
        <v>41</v>
      </c>
      <c r="H14" s="1" t="s">
        <v>35</v>
      </c>
      <c r="I14" s="1" t="s">
        <v>36</v>
      </c>
      <c r="J14" s="1" t="s">
        <v>24</v>
      </c>
      <c r="K14" s="1"/>
      <c r="L14" s="1" t="s">
        <v>25</v>
      </c>
      <c r="M14" s="1" t="s">
        <v>79</v>
      </c>
      <c r="N14" t="s">
        <v>24</v>
      </c>
    </row>
    <row r="15" spans="1:14" ht="14.25" customHeight="1" x14ac:dyDescent="0.3">
      <c r="A15" s="2">
        <v>13</v>
      </c>
      <c r="B15" s="2" t="s">
        <v>35</v>
      </c>
      <c r="C15" s="2" t="s">
        <v>80</v>
      </c>
      <c r="D15" s="2" t="s">
        <v>81</v>
      </c>
      <c r="E15" s="2" t="s">
        <v>59</v>
      </c>
      <c r="F15" s="2" t="s">
        <v>82</v>
      </c>
      <c r="G15" s="2" t="s">
        <v>41</v>
      </c>
      <c r="H15" s="2" t="s">
        <v>35</v>
      </c>
      <c r="I15" s="2" t="s">
        <v>36</v>
      </c>
      <c r="J15" s="2" t="s">
        <v>24</v>
      </c>
      <c r="K15" s="2"/>
      <c r="L15" s="2" t="s">
        <v>25</v>
      </c>
      <c r="M15" s="2" t="s">
        <v>83</v>
      </c>
      <c r="N15" t="s">
        <v>24</v>
      </c>
    </row>
    <row r="16" spans="1:14" ht="14.25" customHeight="1" x14ac:dyDescent="0.3">
      <c r="A16" s="1">
        <v>14</v>
      </c>
      <c r="B16" s="1" t="s">
        <v>35</v>
      </c>
      <c r="C16" s="1" t="s">
        <v>84</v>
      </c>
      <c r="D16" s="1" t="s">
        <v>85</v>
      </c>
      <c r="E16" s="1" t="s">
        <v>59</v>
      </c>
      <c r="F16" s="1" t="s">
        <v>86</v>
      </c>
      <c r="G16" s="1" t="s">
        <v>65</v>
      </c>
      <c r="H16" s="1" t="s">
        <v>35</v>
      </c>
      <c r="I16" s="1" t="s">
        <v>36</v>
      </c>
      <c r="J16" s="1" t="s">
        <v>24</v>
      </c>
      <c r="K16" s="1"/>
      <c r="L16" s="1" t="s">
        <v>25</v>
      </c>
      <c r="M16" s="1" t="s">
        <v>87</v>
      </c>
      <c r="N16" t="s">
        <v>24</v>
      </c>
    </row>
    <row r="17" spans="1:14" ht="14.25" customHeight="1" x14ac:dyDescent="0.3">
      <c r="A17" s="2">
        <v>16</v>
      </c>
      <c r="B17" s="2" t="s">
        <v>35</v>
      </c>
      <c r="C17" s="2" t="s">
        <v>88</v>
      </c>
      <c r="D17" s="2" t="s">
        <v>89</v>
      </c>
      <c r="E17" s="2" t="s">
        <v>51</v>
      </c>
      <c r="F17" s="2" t="s">
        <v>90</v>
      </c>
      <c r="G17" s="2" t="s">
        <v>41</v>
      </c>
      <c r="H17" s="2" t="s">
        <v>91</v>
      </c>
      <c r="I17" s="2" t="s">
        <v>92</v>
      </c>
      <c r="J17" s="2" t="s">
        <v>24</v>
      </c>
      <c r="K17" s="2"/>
      <c r="L17" s="2" t="s">
        <v>25</v>
      </c>
      <c r="M17" s="2" t="s">
        <v>93</v>
      </c>
      <c r="N17" t="s">
        <v>24</v>
      </c>
    </row>
    <row r="18" spans="1:14" ht="14.25" customHeight="1" x14ac:dyDescent="0.3">
      <c r="A18" s="1">
        <v>18</v>
      </c>
      <c r="B18" s="1" t="s">
        <v>35</v>
      </c>
      <c r="C18" s="1" t="s">
        <v>94</v>
      </c>
      <c r="D18" s="1" t="s">
        <v>95</v>
      </c>
      <c r="E18" s="1" t="s">
        <v>59</v>
      </c>
      <c r="F18" s="1" t="s">
        <v>96</v>
      </c>
      <c r="G18" s="1" t="s">
        <v>41</v>
      </c>
      <c r="H18" s="1" t="s">
        <v>35</v>
      </c>
      <c r="I18" s="1" t="s">
        <v>91</v>
      </c>
      <c r="J18" s="1" t="s">
        <v>24</v>
      </c>
      <c r="K18" s="1"/>
      <c r="L18" s="1" t="s">
        <v>25</v>
      </c>
      <c r="M18" s="1" t="s">
        <v>97</v>
      </c>
      <c r="N18" t="s">
        <v>24</v>
      </c>
    </row>
    <row r="19" spans="1:14" ht="14.25" customHeight="1" x14ac:dyDescent="0.3">
      <c r="A19" s="2">
        <v>19</v>
      </c>
      <c r="B19" s="2" t="s">
        <v>35</v>
      </c>
      <c r="C19" s="2" t="s">
        <v>98</v>
      </c>
      <c r="D19" s="2" t="s">
        <v>99</v>
      </c>
      <c r="E19" s="2" t="s">
        <v>59</v>
      </c>
      <c r="F19" s="2" t="s">
        <v>100</v>
      </c>
      <c r="G19" s="2" t="s">
        <v>101</v>
      </c>
      <c r="H19" s="2" t="s">
        <v>35</v>
      </c>
      <c r="I19" s="2" t="s">
        <v>91</v>
      </c>
      <c r="J19" s="2" t="s">
        <v>24</v>
      </c>
      <c r="K19" s="2"/>
      <c r="L19" s="2" t="s">
        <v>25</v>
      </c>
      <c r="M19" s="2" t="s">
        <v>102</v>
      </c>
      <c r="N19" t="s">
        <v>24</v>
      </c>
    </row>
    <row r="20" spans="1:14" ht="22.5" customHeight="1" x14ac:dyDescent="0.3">
      <c r="A20" s="1">
        <v>21</v>
      </c>
      <c r="B20" s="1" t="s">
        <v>35</v>
      </c>
      <c r="C20" s="1" t="s">
        <v>103</v>
      </c>
      <c r="D20" s="1" t="s">
        <v>104</v>
      </c>
      <c r="E20" s="1" t="s">
        <v>59</v>
      </c>
      <c r="F20" s="1" t="s">
        <v>105</v>
      </c>
      <c r="G20" s="1" t="s">
        <v>65</v>
      </c>
      <c r="H20" s="1" t="s">
        <v>35</v>
      </c>
      <c r="I20" s="1" t="s">
        <v>106</v>
      </c>
      <c r="J20" s="1" t="s">
        <v>24</v>
      </c>
      <c r="K20" s="1"/>
      <c r="L20" s="1" t="s">
        <v>25</v>
      </c>
      <c r="M20" s="1" t="s">
        <v>107</v>
      </c>
      <c r="N20" t="s">
        <v>24</v>
      </c>
    </row>
    <row r="21" spans="1:14" ht="14.25" customHeight="1" x14ac:dyDescent="0.3">
      <c r="A21" s="2">
        <v>22</v>
      </c>
      <c r="B21" s="2" t="s">
        <v>35</v>
      </c>
      <c r="C21" s="2" t="s">
        <v>108</v>
      </c>
      <c r="D21" s="2" t="s">
        <v>109</v>
      </c>
      <c r="E21" s="2" t="s">
        <v>59</v>
      </c>
      <c r="F21" s="2" t="s">
        <v>110</v>
      </c>
      <c r="G21" s="2" t="s">
        <v>65</v>
      </c>
      <c r="H21" s="2" t="s">
        <v>35</v>
      </c>
      <c r="I21" s="2" t="s">
        <v>106</v>
      </c>
      <c r="J21" s="2" t="s">
        <v>24</v>
      </c>
      <c r="K21" s="2"/>
      <c r="L21" s="2" t="s">
        <v>25</v>
      </c>
      <c r="M21" s="2" t="s">
        <v>107</v>
      </c>
      <c r="N21" t="s">
        <v>24</v>
      </c>
    </row>
    <row r="22" spans="1:14" ht="14.25" customHeight="1" x14ac:dyDescent="0.3">
      <c r="A22" s="1">
        <v>29</v>
      </c>
      <c r="B22" s="1" t="s">
        <v>111</v>
      </c>
      <c r="C22" s="1" t="s">
        <v>112</v>
      </c>
      <c r="D22" s="1" t="s">
        <v>113</v>
      </c>
      <c r="E22" s="1" t="s">
        <v>59</v>
      </c>
      <c r="F22" s="1" t="s">
        <v>114</v>
      </c>
      <c r="G22" s="1" t="s">
        <v>41</v>
      </c>
      <c r="H22" s="1" t="s">
        <v>35</v>
      </c>
      <c r="I22" s="1" t="s">
        <v>35</v>
      </c>
      <c r="J22" s="1" t="s">
        <v>24</v>
      </c>
      <c r="K22" s="1"/>
      <c r="L22" s="1" t="s">
        <v>25</v>
      </c>
      <c r="M22" s="1" t="s">
        <v>115</v>
      </c>
      <c r="N22" t="s">
        <v>24</v>
      </c>
    </row>
    <row r="23" spans="1:14" ht="22.5" customHeight="1" x14ac:dyDescent="0.3">
      <c r="A23" s="2">
        <v>32</v>
      </c>
      <c r="B23" s="2" t="s">
        <v>111</v>
      </c>
      <c r="C23" s="2" t="s">
        <v>116</v>
      </c>
      <c r="D23" s="2" t="s">
        <v>117</v>
      </c>
      <c r="E23" s="2" t="s">
        <v>59</v>
      </c>
      <c r="F23" s="2" t="s">
        <v>118</v>
      </c>
      <c r="G23" s="2" t="s">
        <v>65</v>
      </c>
      <c r="H23" s="2" t="s">
        <v>35</v>
      </c>
      <c r="I23" s="2" t="s">
        <v>119</v>
      </c>
      <c r="J23" s="2" t="s">
        <v>24</v>
      </c>
      <c r="K23" s="2"/>
      <c r="L23" s="2" t="s">
        <v>25</v>
      </c>
      <c r="M23" s="2" t="s">
        <v>120</v>
      </c>
      <c r="N23" t="s">
        <v>24</v>
      </c>
    </row>
    <row r="24" spans="1:14" ht="14.25" customHeight="1" x14ac:dyDescent="0.3">
      <c r="A24" s="1">
        <v>34</v>
      </c>
      <c r="B24" s="1" t="s">
        <v>111</v>
      </c>
      <c r="C24" s="1" t="s">
        <v>121</v>
      </c>
      <c r="D24" s="1" t="s">
        <v>122</v>
      </c>
      <c r="E24" s="1" t="s">
        <v>59</v>
      </c>
      <c r="F24" s="1" t="s">
        <v>123</v>
      </c>
      <c r="G24" s="1" t="s">
        <v>41</v>
      </c>
      <c r="H24" s="1" t="s">
        <v>35</v>
      </c>
      <c r="I24" s="1" t="s">
        <v>124</v>
      </c>
      <c r="J24" s="1" t="s">
        <v>24</v>
      </c>
      <c r="K24" s="1"/>
      <c r="L24" s="1" t="s">
        <v>25</v>
      </c>
      <c r="M24" s="1" t="s">
        <v>125</v>
      </c>
      <c r="N24" t="s">
        <v>24</v>
      </c>
    </row>
    <row r="25" spans="1:14" ht="14.25" customHeight="1" x14ac:dyDescent="0.3">
      <c r="A25" s="2">
        <v>35</v>
      </c>
      <c r="B25" s="2" t="s">
        <v>53</v>
      </c>
      <c r="C25" s="2" t="s">
        <v>126</v>
      </c>
      <c r="D25" s="2" t="s">
        <v>127</v>
      </c>
      <c r="E25" s="2" t="s">
        <v>51</v>
      </c>
      <c r="F25" s="2" t="s">
        <v>128</v>
      </c>
      <c r="G25" s="2" t="s">
        <v>41</v>
      </c>
      <c r="H25" s="2" t="s">
        <v>53</v>
      </c>
      <c r="I25" s="2" t="s">
        <v>129</v>
      </c>
      <c r="J25" s="2" t="s">
        <v>130</v>
      </c>
      <c r="K25" s="2"/>
      <c r="L25" s="2" t="s">
        <v>25</v>
      </c>
      <c r="M25" s="2" t="s">
        <v>131</v>
      </c>
      <c r="N25" t="s">
        <v>24</v>
      </c>
    </row>
    <row r="26" spans="1:14" ht="14.25" customHeight="1" x14ac:dyDescent="0.3">
      <c r="A26" s="1">
        <v>36</v>
      </c>
      <c r="B26" s="1" t="s">
        <v>53</v>
      </c>
      <c r="C26" s="1" t="s">
        <v>132</v>
      </c>
      <c r="D26" s="1" t="s">
        <v>133</v>
      </c>
      <c r="E26" s="1" t="s">
        <v>59</v>
      </c>
      <c r="F26" s="1" t="s">
        <v>134</v>
      </c>
      <c r="G26" s="1" t="s">
        <v>41</v>
      </c>
      <c r="H26" s="1" t="s">
        <v>53</v>
      </c>
      <c r="I26" s="1" t="s">
        <v>129</v>
      </c>
      <c r="J26" s="1" t="s">
        <v>130</v>
      </c>
      <c r="K26" s="1"/>
      <c r="L26" s="1" t="s">
        <v>25</v>
      </c>
      <c r="M26" s="1" t="s">
        <v>135</v>
      </c>
      <c r="N26" t="s">
        <v>24</v>
      </c>
    </row>
    <row r="27" spans="1:14" ht="14.25" customHeight="1" x14ac:dyDescent="0.3">
      <c r="A27" s="2">
        <v>37</v>
      </c>
      <c r="B27" s="2" t="s">
        <v>53</v>
      </c>
      <c r="C27" s="2" t="s">
        <v>136</v>
      </c>
      <c r="D27" s="2" t="s">
        <v>137</v>
      </c>
      <c r="E27" s="2" t="s">
        <v>51</v>
      </c>
      <c r="F27" s="2" t="s">
        <v>138</v>
      </c>
      <c r="G27" s="2" t="s">
        <v>41</v>
      </c>
      <c r="H27" s="2" t="s">
        <v>53</v>
      </c>
      <c r="I27" s="2" t="s">
        <v>139</v>
      </c>
      <c r="J27" s="2" t="s">
        <v>24</v>
      </c>
      <c r="K27" s="2" t="s">
        <v>140</v>
      </c>
      <c r="L27" s="2" t="s">
        <v>25</v>
      </c>
      <c r="M27" s="2" t="s">
        <v>141</v>
      </c>
      <c r="N27" t="s">
        <v>24</v>
      </c>
    </row>
    <row r="28" spans="1:14" ht="14.25" customHeight="1" x14ac:dyDescent="0.3">
      <c r="A28" s="1">
        <v>41</v>
      </c>
      <c r="B28" s="1" t="s">
        <v>53</v>
      </c>
      <c r="C28" s="1" t="s">
        <v>142</v>
      </c>
      <c r="D28" s="1" t="s">
        <v>143</v>
      </c>
      <c r="E28" s="1" t="s">
        <v>59</v>
      </c>
      <c r="F28" s="1" t="s">
        <v>144</v>
      </c>
      <c r="G28" s="1" t="s">
        <v>41</v>
      </c>
      <c r="H28" s="1" t="s">
        <v>53</v>
      </c>
      <c r="I28" s="1" t="s">
        <v>139</v>
      </c>
      <c r="J28" s="1" t="s">
        <v>24</v>
      </c>
      <c r="K28" s="1"/>
      <c r="L28" s="1" t="s">
        <v>25</v>
      </c>
      <c r="M28" s="1" t="s">
        <v>145</v>
      </c>
      <c r="N28" t="s">
        <v>24</v>
      </c>
    </row>
    <row r="29" spans="1:14" ht="14.25" customHeight="1" x14ac:dyDescent="0.3">
      <c r="A29" s="2">
        <v>42</v>
      </c>
      <c r="B29" s="2" t="s">
        <v>53</v>
      </c>
      <c r="C29" s="2" t="s">
        <v>146</v>
      </c>
      <c r="D29" s="2" t="s">
        <v>147</v>
      </c>
      <c r="E29" s="2" t="s">
        <v>69</v>
      </c>
      <c r="F29" s="2" t="s">
        <v>148</v>
      </c>
      <c r="G29" s="2" t="s">
        <v>41</v>
      </c>
      <c r="H29" s="2" t="s">
        <v>53</v>
      </c>
      <c r="I29" s="2" t="s">
        <v>129</v>
      </c>
      <c r="J29" s="2" t="s">
        <v>130</v>
      </c>
      <c r="K29" s="2"/>
      <c r="L29" s="2" t="s">
        <v>25</v>
      </c>
      <c r="M29" s="2" t="s">
        <v>149</v>
      </c>
      <c r="N29" t="s">
        <v>24</v>
      </c>
    </row>
    <row r="30" spans="1:14" ht="14.25" customHeight="1" x14ac:dyDescent="0.3">
      <c r="A30" s="1">
        <v>43</v>
      </c>
      <c r="B30" s="1" t="s">
        <v>150</v>
      </c>
      <c r="C30" s="1" t="s">
        <v>151</v>
      </c>
      <c r="D30" s="1" t="s">
        <v>152</v>
      </c>
      <c r="E30" s="1" t="s">
        <v>51</v>
      </c>
      <c r="F30" s="1" t="s">
        <v>153</v>
      </c>
      <c r="G30" s="1" t="s">
        <v>41</v>
      </c>
      <c r="H30" s="1" t="s">
        <v>150</v>
      </c>
      <c r="I30" s="1" t="s">
        <v>150</v>
      </c>
      <c r="J30" s="1" t="s">
        <v>24</v>
      </c>
      <c r="K30" s="1"/>
      <c r="L30" s="1" t="s">
        <v>25</v>
      </c>
      <c r="M30" s="1" t="s">
        <v>154</v>
      </c>
      <c r="N30" t="s">
        <v>24</v>
      </c>
    </row>
    <row r="31" spans="1:14" ht="14.25" customHeight="1" x14ac:dyDescent="0.3">
      <c r="A31" s="2">
        <v>44</v>
      </c>
      <c r="B31" s="2" t="s">
        <v>150</v>
      </c>
      <c r="C31" s="2" t="s">
        <v>155</v>
      </c>
      <c r="D31" s="2" t="s">
        <v>156</v>
      </c>
      <c r="E31" s="2" t="s">
        <v>51</v>
      </c>
      <c r="F31" s="2" t="s">
        <v>157</v>
      </c>
      <c r="G31" s="2" t="s">
        <v>158</v>
      </c>
      <c r="H31" s="2" t="s">
        <v>150</v>
      </c>
      <c r="I31" s="2" t="s">
        <v>159</v>
      </c>
      <c r="J31" s="2" t="s">
        <v>24</v>
      </c>
      <c r="K31" s="2" t="s">
        <v>160</v>
      </c>
      <c r="L31" s="2" t="s">
        <v>25</v>
      </c>
      <c r="M31" s="2" t="s">
        <v>161</v>
      </c>
      <c r="N31" t="s">
        <v>24</v>
      </c>
    </row>
    <row r="32" spans="1:14" ht="22.5" customHeight="1" x14ac:dyDescent="0.3">
      <c r="A32" s="1">
        <v>49</v>
      </c>
      <c r="B32" s="1" t="s">
        <v>150</v>
      </c>
      <c r="C32" s="1" t="s">
        <v>162</v>
      </c>
      <c r="D32" s="1" t="s">
        <v>163</v>
      </c>
      <c r="E32" s="1" t="s">
        <v>59</v>
      </c>
      <c r="F32" s="1" t="s">
        <v>164</v>
      </c>
      <c r="G32" s="1" t="s">
        <v>41</v>
      </c>
      <c r="H32" s="1" t="s">
        <v>165</v>
      </c>
      <c r="I32" s="1" t="s">
        <v>166</v>
      </c>
      <c r="J32" s="1" t="s">
        <v>167</v>
      </c>
      <c r="K32" s="1"/>
      <c r="L32" s="1" t="s">
        <v>25</v>
      </c>
      <c r="M32" s="1" t="s">
        <v>168</v>
      </c>
      <c r="N32" t="s">
        <v>167</v>
      </c>
    </row>
    <row r="33" spans="1:14" ht="22.5" customHeight="1" x14ac:dyDescent="0.3">
      <c r="A33" s="2">
        <v>50</v>
      </c>
      <c r="B33" s="2" t="s">
        <v>150</v>
      </c>
      <c r="C33" s="2" t="s">
        <v>169</v>
      </c>
      <c r="D33" s="2" t="s">
        <v>170</v>
      </c>
      <c r="E33" s="2" t="s">
        <v>59</v>
      </c>
      <c r="F33" s="2" t="s">
        <v>171</v>
      </c>
      <c r="G33" s="2" t="s">
        <v>41</v>
      </c>
      <c r="H33" s="2" t="s">
        <v>165</v>
      </c>
      <c r="I33" s="2" t="s">
        <v>124</v>
      </c>
      <c r="J33" s="2" t="s">
        <v>167</v>
      </c>
      <c r="K33" s="2" t="s">
        <v>172</v>
      </c>
      <c r="L33" s="2" t="s">
        <v>25</v>
      </c>
      <c r="M33" s="2" t="s">
        <v>173</v>
      </c>
      <c r="N33" t="s">
        <v>167</v>
      </c>
    </row>
    <row r="34" spans="1:14" ht="22.5" customHeight="1" x14ac:dyDescent="0.3">
      <c r="A34" s="1">
        <v>51</v>
      </c>
      <c r="B34" s="1" t="s">
        <v>150</v>
      </c>
      <c r="C34" s="1" t="s">
        <v>174</v>
      </c>
      <c r="D34" s="1" t="s">
        <v>175</v>
      </c>
      <c r="E34" s="1" t="s">
        <v>59</v>
      </c>
      <c r="F34" s="1" t="s">
        <v>176</v>
      </c>
      <c r="G34" s="1" t="s">
        <v>177</v>
      </c>
      <c r="H34" s="1" t="s">
        <v>165</v>
      </c>
      <c r="I34" s="1" t="s">
        <v>178</v>
      </c>
      <c r="J34" s="1" t="s">
        <v>167</v>
      </c>
      <c r="K34" s="1" t="s">
        <v>179</v>
      </c>
      <c r="L34" s="1" t="s">
        <v>25</v>
      </c>
      <c r="M34" s="1" t="s">
        <v>180</v>
      </c>
      <c r="N34" t="s">
        <v>167</v>
      </c>
    </row>
    <row r="35" spans="1:14" ht="22.5" customHeight="1" x14ac:dyDescent="0.3">
      <c r="A35" s="2">
        <v>52</v>
      </c>
      <c r="B35" s="2" t="s">
        <v>150</v>
      </c>
      <c r="C35" s="2" t="s">
        <v>181</v>
      </c>
      <c r="D35" s="2" t="s">
        <v>182</v>
      </c>
      <c r="E35" s="2" t="s">
        <v>59</v>
      </c>
      <c r="F35" s="2" t="s">
        <v>183</v>
      </c>
      <c r="G35" s="2" t="s">
        <v>101</v>
      </c>
      <c r="H35" s="2" t="s">
        <v>165</v>
      </c>
      <c r="I35" s="2" t="s">
        <v>178</v>
      </c>
      <c r="J35" s="2" t="s">
        <v>167</v>
      </c>
      <c r="K35" s="2" t="s">
        <v>184</v>
      </c>
      <c r="L35" s="2" t="s">
        <v>25</v>
      </c>
      <c r="M35" s="2" t="s">
        <v>185</v>
      </c>
      <c r="N35" t="s">
        <v>167</v>
      </c>
    </row>
    <row r="36" spans="1:14" ht="22.5" customHeight="1" x14ac:dyDescent="0.3">
      <c r="A36" s="1">
        <v>53</v>
      </c>
      <c r="B36" s="1" t="s">
        <v>186</v>
      </c>
      <c r="C36" s="1" t="s">
        <v>187</v>
      </c>
      <c r="D36" s="1" t="s">
        <v>188</v>
      </c>
      <c r="E36" s="1" t="s">
        <v>51</v>
      </c>
      <c r="F36" s="1" t="s">
        <v>189</v>
      </c>
      <c r="G36" s="1" t="s">
        <v>158</v>
      </c>
      <c r="H36" s="1" t="s">
        <v>190</v>
      </c>
      <c r="I36" s="1" t="s">
        <v>119</v>
      </c>
      <c r="J36" s="1" t="s">
        <v>24</v>
      </c>
      <c r="K36" s="1"/>
      <c r="L36" s="1" t="s">
        <v>25</v>
      </c>
      <c r="M36" s="1" t="s">
        <v>191</v>
      </c>
      <c r="N36" t="s">
        <v>24</v>
      </c>
    </row>
    <row r="37" spans="1:14" ht="22.5" customHeight="1" x14ac:dyDescent="0.3">
      <c r="A37" s="2">
        <v>54</v>
      </c>
      <c r="B37" s="2" t="s">
        <v>186</v>
      </c>
      <c r="C37" s="2" t="s">
        <v>192</v>
      </c>
      <c r="D37" s="2" t="s">
        <v>193</v>
      </c>
      <c r="E37" s="2" t="s">
        <v>51</v>
      </c>
      <c r="F37" s="2" t="s">
        <v>194</v>
      </c>
      <c r="G37" s="2" t="s">
        <v>158</v>
      </c>
      <c r="H37" s="2" t="s">
        <v>190</v>
      </c>
      <c r="I37" s="2" t="s">
        <v>129</v>
      </c>
      <c r="J37" s="2" t="s">
        <v>24</v>
      </c>
      <c r="K37" s="2"/>
      <c r="L37" s="2" t="s">
        <v>25</v>
      </c>
      <c r="M37" s="2" t="s">
        <v>195</v>
      </c>
      <c r="N37" t="s">
        <v>24</v>
      </c>
    </row>
    <row r="38" spans="1:14" ht="22.5" customHeight="1" x14ac:dyDescent="0.3">
      <c r="A38" s="1">
        <v>56</v>
      </c>
      <c r="B38" s="1" t="s">
        <v>186</v>
      </c>
      <c r="C38" s="1" t="s">
        <v>196</v>
      </c>
      <c r="D38" s="1" t="s">
        <v>197</v>
      </c>
      <c r="E38" s="1" t="s">
        <v>59</v>
      </c>
      <c r="F38" s="1" t="s">
        <v>198</v>
      </c>
      <c r="G38" s="1" t="s">
        <v>158</v>
      </c>
      <c r="H38" s="1" t="s">
        <v>190</v>
      </c>
      <c r="I38" s="1" t="s">
        <v>129</v>
      </c>
      <c r="J38" s="1" t="s">
        <v>24</v>
      </c>
      <c r="K38" s="1"/>
      <c r="L38" s="1" t="s">
        <v>25</v>
      </c>
      <c r="M38" s="1" t="s">
        <v>199</v>
      </c>
      <c r="N38" t="s">
        <v>24</v>
      </c>
    </row>
    <row r="39" spans="1:14" ht="22.5" customHeight="1" x14ac:dyDescent="0.3">
      <c r="A39" s="2">
        <v>57</v>
      </c>
      <c r="B39" s="2" t="s">
        <v>186</v>
      </c>
      <c r="C39" s="2" t="s">
        <v>200</v>
      </c>
      <c r="D39" s="2" t="s">
        <v>201</v>
      </c>
      <c r="E39" s="2" t="s">
        <v>59</v>
      </c>
      <c r="F39" s="2" t="s">
        <v>202</v>
      </c>
      <c r="G39" s="2" t="s">
        <v>65</v>
      </c>
      <c r="H39" s="2" t="s">
        <v>190</v>
      </c>
      <c r="I39" s="2" t="s">
        <v>129</v>
      </c>
      <c r="J39" s="2" t="s">
        <v>24</v>
      </c>
      <c r="K39" s="2"/>
      <c r="L39" s="2" t="s">
        <v>25</v>
      </c>
      <c r="M39" s="2" t="s">
        <v>203</v>
      </c>
      <c r="N39" t="s">
        <v>24</v>
      </c>
    </row>
    <row r="40" spans="1:14" ht="22.5" customHeight="1" x14ac:dyDescent="0.3">
      <c r="A40" s="1">
        <v>58</v>
      </c>
      <c r="B40" s="1" t="s">
        <v>186</v>
      </c>
      <c r="C40" s="1" t="s">
        <v>204</v>
      </c>
      <c r="D40" s="1" t="s">
        <v>205</v>
      </c>
      <c r="E40" s="1" t="s">
        <v>51</v>
      </c>
      <c r="F40" s="1" t="s">
        <v>206</v>
      </c>
      <c r="G40" s="1" t="s">
        <v>158</v>
      </c>
      <c r="H40" s="1" t="s">
        <v>190</v>
      </c>
      <c r="I40" s="1" t="s">
        <v>207</v>
      </c>
      <c r="J40" s="1" t="s">
        <v>24</v>
      </c>
      <c r="K40" s="1"/>
      <c r="L40" s="1" t="s">
        <v>25</v>
      </c>
      <c r="M40" s="1" t="s">
        <v>208</v>
      </c>
      <c r="N40" t="s">
        <v>24</v>
      </c>
    </row>
    <row r="41" spans="1:14" ht="22.5" customHeight="1" x14ac:dyDescent="0.3">
      <c r="A41" s="2">
        <v>59</v>
      </c>
      <c r="B41" s="2" t="s">
        <v>186</v>
      </c>
      <c r="C41" s="2" t="s">
        <v>209</v>
      </c>
      <c r="D41" s="2" t="s">
        <v>210</v>
      </c>
      <c r="E41" s="2" t="s">
        <v>59</v>
      </c>
      <c r="F41" s="2" t="s">
        <v>211</v>
      </c>
      <c r="G41" s="2" t="s">
        <v>65</v>
      </c>
      <c r="H41" s="2" t="s">
        <v>190</v>
      </c>
      <c r="I41" s="2" t="s">
        <v>129</v>
      </c>
      <c r="J41" s="2" t="s">
        <v>24</v>
      </c>
      <c r="K41" s="2"/>
      <c r="L41" s="2" t="s">
        <v>25</v>
      </c>
      <c r="M41" s="2" t="s">
        <v>212</v>
      </c>
      <c r="N41" t="s">
        <v>24</v>
      </c>
    </row>
    <row r="42" spans="1:14" ht="22.5" customHeight="1" x14ac:dyDescent="0.3">
      <c r="A42" s="1">
        <v>60</v>
      </c>
      <c r="B42" s="1" t="s">
        <v>186</v>
      </c>
      <c r="C42" s="1" t="s">
        <v>213</v>
      </c>
      <c r="D42" s="1" t="s">
        <v>214</v>
      </c>
      <c r="E42" s="1" t="s">
        <v>51</v>
      </c>
      <c r="F42" s="1" t="s">
        <v>215</v>
      </c>
      <c r="G42" s="1" t="s">
        <v>65</v>
      </c>
      <c r="H42" s="1" t="s">
        <v>216</v>
      </c>
      <c r="I42" s="1" t="s">
        <v>217</v>
      </c>
      <c r="J42" s="1" t="s">
        <v>218</v>
      </c>
      <c r="K42" s="1" t="s">
        <v>219</v>
      </c>
      <c r="L42" s="1" t="s">
        <v>25</v>
      </c>
      <c r="M42" s="1" t="s">
        <v>220</v>
      </c>
      <c r="N42" t="s">
        <v>24</v>
      </c>
    </row>
    <row r="43" spans="1:14" ht="14.25" customHeight="1" x14ac:dyDescent="0.3">
      <c r="A43" s="2">
        <v>67</v>
      </c>
      <c r="B43" s="2" t="s">
        <v>221</v>
      </c>
      <c r="C43" s="2" t="s">
        <v>222</v>
      </c>
      <c r="D43" s="2" t="s">
        <v>223</v>
      </c>
      <c r="E43" s="2" t="s">
        <v>59</v>
      </c>
      <c r="F43" s="2" t="s">
        <v>224</v>
      </c>
      <c r="G43" s="2" t="s">
        <v>41</v>
      </c>
      <c r="H43" s="2" t="s">
        <v>35</v>
      </c>
      <c r="I43" s="2" t="s">
        <v>225</v>
      </c>
      <c r="J43" s="2" t="s">
        <v>24</v>
      </c>
      <c r="K43" s="2" t="s">
        <v>226</v>
      </c>
      <c r="L43" s="2" t="s">
        <v>25</v>
      </c>
      <c r="M43" s="2" t="s">
        <v>227</v>
      </c>
      <c r="N43" t="s">
        <v>24</v>
      </c>
    </row>
    <row r="44" spans="1:14" ht="14.25" customHeight="1" x14ac:dyDescent="0.3">
      <c r="A44" s="1">
        <v>68</v>
      </c>
      <c r="B44" s="1" t="s">
        <v>221</v>
      </c>
      <c r="C44" s="1" t="s">
        <v>228</v>
      </c>
      <c r="D44" s="1" t="s">
        <v>229</v>
      </c>
      <c r="E44" s="1" t="s">
        <v>59</v>
      </c>
      <c r="F44" s="1" t="s">
        <v>230</v>
      </c>
      <c r="G44" s="1" t="s">
        <v>41</v>
      </c>
      <c r="H44" s="1" t="s">
        <v>231</v>
      </c>
      <c r="I44" s="1" t="s">
        <v>124</v>
      </c>
      <c r="J44" s="1" t="s">
        <v>24</v>
      </c>
      <c r="K44" s="1" t="s">
        <v>226</v>
      </c>
      <c r="L44" s="1" t="s">
        <v>25</v>
      </c>
      <c r="M44" s="1"/>
      <c r="N44" t="s">
        <v>24</v>
      </c>
    </row>
    <row r="45" spans="1:14" ht="14.25" customHeight="1" x14ac:dyDescent="0.3">
      <c r="A45" s="2">
        <v>69</v>
      </c>
      <c r="B45" s="2" t="s">
        <v>221</v>
      </c>
      <c r="C45" s="2" t="s">
        <v>232</v>
      </c>
      <c r="D45" s="2" t="s">
        <v>233</v>
      </c>
      <c r="E45" s="2" t="s">
        <v>59</v>
      </c>
      <c r="F45" s="2" t="s">
        <v>234</v>
      </c>
      <c r="G45" s="2" t="s">
        <v>41</v>
      </c>
      <c r="H45" s="2" t="s">
        <v>235</v>
      </c>
      <c r="I45" s="2" t="s">
        <v>129</v>
      </c>
      <c r="J45" s="2" t="s">
        <v>130</v>
      </c>
      <c r="K45" s="2" t="s">
        <v>226</v>
      </c>
      <c r="L45" s="2" t="s">
        <v>25</v>
      </c>
      <c r="M45" s="2" t="s">
        <v>236</v>
      </c>
      <c r="N45" t="s">
        <v>24</v>
      </c>
    </row>
    <row r="46" spans="1:14" ht="14.25" customHeight="1" x14ac:dyDescent="0.3">
      <c r="A46" s="1">
        <v>70</v>
      </c>
      <c r="B46" s="1" t="s">
        <v>221</v>
      </c>
      <c r="C46" s="1" t="s">
        <v>237</v>
      </c>
      <c r="D46" s="1" t="s">
        <v>238</v>
      </c>
      <c r="E46" s="1" t="s">
        <v>59</v>
      </c>
      <c r="F46" s="1" t="s">
        <v>239</v>
      </c>
      <c r="G46" s="1" t="s">
        <v>158</v>
      </c>
      <c r="H46" s="1" t="s">
        <v>240</v>
      </c>
      <c r="I46" s="1" t="s">
        <v>119</v>
      </c>
      <c r="J46" s="1" t="s">
        <v>24</v>
      </c>
      <c r="K46" s="1" t="s">
        <v>226</v>
      </c>
      <c r="L46" s="1" t="s">
        <v>25</v>
      </c>
      <c r="M46" s="1"/>
      <c r="N46" t="s">
        <v>24</v>
      </c>
    </row>
    <row r="47" spans="1:14" ht="14.25" customHeight="1" x14ac:dyDescent="0.3">
      <c r="A47" s="2">
        <v>101</v>
      </c>
      <c r="B47" s="2" t="s">
        <v>36</v>
      </c>
      <c r="C47" s="2" t="s">
        <v>241</v>
      </c>
      <c r="D47" s="2" t="s">
        <v>242</v>
      </c>
      <c r="E47" s="2" t="s">
        <v>51</v>
      </c>
      <c r="F47" s="2" t="s">
        <v>243</v>
      </c>
      <c r="G47" s="2" t="s">
        <v>41</v>
      </c>
      <c r="H47" s="2" t="s">
        <v>36</v>
      </c>
      <c r="I47" s="2" t="s">
        <v>36</v>
      </c>
      <c r="J47" s="2" t="s">
        <v>244</v>
      </c>
      <c r="K47" s="2"/>
      <c r="L47" s="2" t="s">
        <v>25</v>
      </c>
      <c r="M47" s="2" t="s">
        <v>245</v>
      </c>
      <c r="N47" t="s">
        <v>24</v>
      </c>
    </row>
    <row r="48" spans="1:14" ht="14.25" customHeight="1" x14ac:dyDescent="0.3">
      <c r="A48" s="1">
        <v>102</v>
      </c>
      <c r="B48" s="1" t="s">
        <v>36</v>
      </c>
      <c r="C48" s="1" t="s">
        <v>246</v>
      </c>
      <c r="D48" s="1" t="s">
        <v>247</v>
      </c>
      <c r="E48" s="1" t="s">
        <v>51</v>
      </c>
      <c r="F48" s="1" t="s">
        <v>248</v>
      </c>
      <c r="G48" s="1" t="s">
        <v>41</v>
      </c>
      <c r="H48" s="1" t="s">
        <v>36</v>
      </c>
      <c r="I48" s="1" t="s">
        <v>36</v>
      </c>
      <c r="J48" s="1" t="s">
        <v>244</v>
      </c>
      <c r="K48" s="1"/>
      <c r="L48" s="1" t="s">
        <v>25</v>
      </c>
      <c r="M48" s="1" t="s">
        <v>245</v>
      </c>
      <c r="N48" t="s">
        <v>24</v>
      </c>
    </row>
    <row r="49" spans="1:14" ht="14.25" customHeight="1" x14ac:dyDescent="0.3">
      <c r="A49" s="2">
        <v>103</v>
      </c>
      <c r="B49" s="2" t="s">
        <v>36</v>
      </c>
      <c r="C49" s="2" t="s">
        <v>249</v>
      </c>
      <c r="D49" s="2" t="s">
        <v>250</v>
      </c>
      <c r="E49" s="2" t="s">
        <v>51</v>
      </c>
      <c r="F49" s="2" t="s">
        <v>251</v>
      </c>
      <c r="G49" s="2" t="s">
        <v>41</v>
      </c>
      <c r="H49" s="2" t="s">
        <v>36</v>
      </c>
      <c r="I49" s="2" t="s">
        <v>36</v>
      </c>
      <c r="J49" s="2" t="s">
        <v>244</v>
      </c>
      <c r="K49" s="2"/>
      <c r="L49" s="2" t="s">
        <v>25</v>
      </c>
      <c r="M49" s="2" t="s">
        <v>245</v>
      </c>
      <c r="N49" t="s">
        <v>24</v>
      </c>
    </row>
    <row r="50" spans="1:14" ht="14.25" customHeight="1" x14ac:dyDescent="0.3">
      <c r="A50" s="1">
        <v>104</v>
      </c>
      <c r="B50" s="1" t="s">
        <v>36</v>
      </c>
      <c r="C50" s="1" t="s">
        <v>252</v>
      </c>
      <c r="D50" s="1" t="s">
        <v>253</v>
      </c>
      <c r="E50" s="1" t="s">
        <v>51</v>
      </c>
      <c r="F50" s="1" t="s">
        <v>254</v>
      </c>
      <c r="G50" s="1" t="s">
        <v>41</v>
      </c>
      <c r="H50" s="1" t="s">
        <v>36</v>
      </c>
      <c r="I50" s="1" t="s">
        <v>36</v>
      </c>
      <c r="J50" s="1" t="s">
        <v>244</v>
      </c>
      <c r="K50" s="1"/>
      <c r="L50" s="1" t="s">
        <v>25</v>
      </c>
      <c r="M50" s="1" t="s">
        <v>245</v>
      </c>
      <c r="N50" t="s">
        <v>24</v>
      </c>
    </row>
    <row r="51" spans="1:14" ht="14.25" customHeight="1" x14ac:dyDescent="0.3">
      <c r="A51" s="2">
        <v>105</v>
      </c>
      <c r="B51" s="2" t="s">
        <v>36</v>
      </c>
      <c r="C51" s="2" t="s">
        <v>255</v>
      </c>
      <c r="D51" s="2" t="s">
        <v>256</v>
      </c>
      <c r="E51" s="2" t="s">
        <v>51</v>
      </c>
      <c r="F51" s="2" t="s">
        <v>257</v>
      </c>
      <c r="G51" s="2" t="s">
        <v>41</v>
      </c>
      <c r="H51" s="2" t="s">
        <v>36</v>
      </c>
      <c r="I51" s="2" t="s">
        <v>36</v>
      </c>
      <c r="J51" s="2" t="s">
        <v>244</v>
      </c>
      <c r="K51" s="2"/>
      <c r="L51" s="2" t="s">
        <v>25</v>
      </c>
      <c r="M51" s="2" t="s">
        <v>245</v>
      </c>
      <c r="N51" t="s">
        <v>24</v>
      </c>
    </row>
    <row r="52" spans="1:14" ht="14.25" customHeight="1" x14ac:dyDescent="0.3">
      <c r="A52" s="1">
        <v>106</v>
      </c>
      <c r="B52" s="1" t="s">
        <v>36</v>
      </c>
      <c r="C52" s="1" t="s">
        <v>258</v>
      </c>
      <c r="D52" s="1" t="s">
        <v>259</v>
      </c>
      <c r="E52" s="1" t="s">
        <v>51</v>
      </c>
      <c r="F52" s="1" t="s">
        <v>260</v>
      </c>
      <c r="G52" s="1" t="s">
        <v>41</v>
      </c>
      <c r="H52" s="1" t="s">
        <v>36</v>
      </c>
      <c r="I52" s="1" t="s">
        <v>36</v>
      </c>
      <c r="J52" s="1" t="s">
        <v>244</v>
      </c>
      <c r="K52" s="1"/>
      <c r="L52" s="1" t="s">
        <v>25</v>
      </c>
      <c r="M52" s="1" t="s">
        <v>245</v>
      </c>
      <c r="N52" t="s">
        <v>24</v>
      </c>
    </row>
    <row r="53" spans="1:14" ht="14.25" customHeight="1" x14ac:dyDescent="0.3">
      <c r="A53" s="2">
        <v>107</v>
      </c>
      <c r="B53" s="2" t="s">
        <v>36</v>
      </c>
      <c r="C53" s="2" t="s">
        <v>261</v>
      </c>
      <c r="D53" s="2" t="s">
        <v>262</v>
      </c>
      <c r="E53" s="2" t="s">
        <v>59</v>
      </c>
      <c r="F53" s="2" t="s">
        <v>263</v>
      </c>
      <c r="G53" s="2" t="s">
        <v>65</v>
      </c>
      <c r="H53" s="2" t="s">
        <v>36</v>
      </c>
      <c r="I53" s="2" t="s">
        <v>36</v>
      </c>
      <c r="J53" s="2" t="s">
        <v>244</v>
      </c>
      <c r="K53" s="2"/>
      <c r="L53" s="2" t="s">
        <v>25</v>
      </c>
      <c r="M53" s="2" t="s">
        <v>264</v>
      </c>
      <c r="N53" t="s">
        <v>24</v>
      </c>
    </row>
    <row r="54" spans="1:14" ht="22.5" customHeight="1" x14ac:dyDescent="0.3">
      <c r="A54" s="1">
        <v>108</v>
      </c>
      <c r="B54" s="1" t="s">
        <v>186</v>
      </c>
      <c r="C54" s="1" t="s">
        <v>265</v>
      </c>
      <c r="D54" s="1" t="s">
        <v>266</v>
      </c>
      <c r="E54" s="1" t="s">
        <v>51</v>
      </c>
      <c r="F54" s="1" t="s">
        <v>267</v>
      </c>
      <c r="G54" s="1" t="s">
        <v>158</v>
      </c>
      <c r="H54" s="1" t="s">
        <v>190</v>
      </c>
      <c r="I54" s="1" t="s">
        <v>129</v>
      </c>
      <c r="J54" s="1" t="s">
        <v>24</v>
      </c>
      <c r="K54" s="1"/>
      <c r="L54" s="1" t="s">
        <v>25</v>
      </c>
      <c r="M54" s="1" t="s">
        <v>268</v>
      </c>
      <c r="N54" t="s">
        <v>24</v>
      </c>
    </row>
    <row r="55" spans="1:14" ht="22.5" customHeight="1" x14ac:dyDescent="0.3">
      <c r="A55" s="2">
        <v>120</v>
      </c>
      <c r="B55" s="2" t="s">
        <v>36</v>
      </c>
      <c r="C55" s="2" t="s">
        <v>269</v>
      </c>
      <c r="D55" s="2" t="s">
        <v>270</v>
      </c>
      <c r="E55" s="2" t="s">
        <v>51</v>
      </c>
      <c r="F55" s="2" t="s">
        <v>271</v>
      </c>
      <c r="G55" s="2" t="s">
        <v>41</v>
      </c>
      <c r="H55" s="2" t="s">
        <v>36</v>
      </c>
      <c r="I55" s="2" t="s">
        <v>36</v>
      </c>
      <c r="J55" s="2" t="s">
        <v>272</v>
      </c>
      <c r="K55" s="2"/>
      <c r="L55" s="2" t="s">
        <v>25</v>
      </c>
      <c r="M55" s="2"/>
      <c r="N55" t="s">
        <v>24</v>
      </c>
    </row>
    <row r="56" spans="1:14" ht="22.5" customHeight="1" x14ac:dyDescent="0.3">
      <c r="A56" s="1">
        <v>121</v>
      </c>
      <c r="B56" s="1" t="s">
        <v>36</v>
      </c>
      <c r="C56" s="1" t="s">
        <v>273</v>
      </c>
      <c r="D56" s="1" t="s">
        <v>274</v>
      </c>
      <c r="E56" s="1" t="s">
        <v>51</v>
      </c>
      <c r="F56" s="1" t="s">
        <v>275</v>
      </c>
      <c r="G56" s="1" t="s">
        <v>41</v>
      </c>
      <c r="H56" s="1" t="s">
        <v>36</v>
      </c>
      <c r="I56" s="1" t="s">
        <v>36</v>
      </c>
      <c r="J56" s="1" t="s">
        <v>272</v>
      </c>
      <c r="K56" s="1"/>
      <c r="L56" s="1" t="s">
        <v>25</v>
      </c>
      <c r="M56" s="1"/>
      <c r="N56" t="s">
        <v>24</v>
      </c>
    </row>
    <row r="57" spans="1:14" ht="22.5" customHeight="1" x14ac:dyDescent="0.3">
      <c r="A57" s="2">
        <v>122</v>
      </c>
      <c r="B57" s="2" t="s">
        <v>36</v>
      </c>
      <c r="C57" s="2" t="s">
        <v>276</v>
      </c>
      <c r="D57" s="2" t="s">
        <v>277</v>
      </c>
      <c r="E57" s="2" t="s">
        <v>59</v>
      </c>
      <c r="F57" s="2" t="s">
        <v>278</v>
      </c>
      <c r="G57" s="2" t="s">
        <v>41</v>
      </c>
      <c r="H57" s="2" t="s">
        <v>36</v>
      </c>
      <c r="I57" s="2" t="s">
        <v>36</v>
      </c>
      <c r="J57" s="2" t="s">
        <v>272</v>
      </c>
      <c r="K57" s="2"/>
      <c r="L57" s="2" t="s">
        <v>25</v>
      </c>
      <c r="M57" s="2"/>
      <c r="N57" t="s">
        <v>24</v>
      </c>
    </row>
    <row r="58" spans="1:14" ht="14.25" customHeight="1" x14ac:dyDescent="0.3">
      <c r="A58" s="1">
        <v>123</v>
      </c>
      <c r="B58" s="1" t="s">
        <v>36</v>
      </c>
      <c r="C58" s="1" t="s">
        <v>279</v>
      </c>
      <c r="D58" s="1" t="s">
        <v>280</v>
      </c>
      <c r="E58" s="1" t="s">
        <v>51</v>
      </c>
      <c r="F58" s="1" t="s">
        <v>281</v>
      </c>
      <c r="G58" s="1" t="s">
        <v>41</v>
      </c>
      <c r="H58" s="1" t="s">
        <v>36</v>
      </c>
      <c r="I58" s="1" t="s">
        <v>36</v>
      </c>
      <c r="J58" s="1" t="s">
        <v>24</v>
      </c>
      <c r="K58" s="1" t="s">
        <v>282</v>
      </c>
      <c r="L58" s="1" t="s">
        <v>25</v>
      </c>
      <c r="M58" s="1" t="s">
        <v>283</v>
      </c>
      <c r="N58" t="s">
        <v>24</v>
      </c>
    </row>
    <row r="59" spans="1:14" ht="14.25" customHeight="1" x14ac:dyDescent="0.3">
      <c r="A59" s="2">
        <v>124</v>
      </c>
      <c r="B59" s="2" t="s">
        <v>36</v>
      </c>
      <c r="C59" s="2" t="s">
        <v>284</v>
      </c>
      <c r="D59" s="2" t="s">
        <v>285</v>
      </c>
      <c r="E59" s="2" t="s">
        <v>51</v>
      </c>
      <c r="F59" s="2" t="s">
        <v>286</v>
      </c>
      <c r="G59" s="2" t="s">
        <v>41</v>
      </c>
      <c r="H59" s="2" t="s">
        <v>91</v>
      </c>
      <c r="I59" s="2" t="s">
        <v>287</v>
      </c>
      <c r="J59" s="2" t="s">
        <v>24</v>
      </c>
      <c r="K59" s="2" t="s">
        <v>288</v>
      </c>
      <c r="L59" s="2" t="s">
        <v>25</v>
      </c>
      <c r="M59" s="2" t="s">
        <v>289</v>
      </c>
      <c r="N59" t="s">
        <v>24</v>
      </c>
    </row>
    <row r="60" spans="1:14" ht="22.5" customHeight="1" x14ac:dyDescent="0.3">
      <c r="A60" s="1">
        <v>130</v>
      </c>
      <c r="B60" s="1" t="s">
        <v>36</v>
      </c>
      <c r="C60" s="1" t="s">
        <v>290</v>
      </c>
      <c r="D60" s="1" t="s">
        <v>291</v>
      </c>
      <c r="E60" s="1" t="s">
        <v>59</v>
      </c>
      <c r="F60" s="1" t="s">
        <v>292</v>
      </c>
      <c r="G60" s="1" t="s">
        <v>293</v>
      </c>
      <c r="H60" s="1" t="s">
        <v>36</v>
      </c>
      <c r="I60" s="1" t="s">
        <v>36</v>
      </c>
      <c r="J60" s="1" t="s">
        <v>294</v>
      </c>
      <c r="K60" s="1"/>
      <c r="L60" s="1" t="s">
        <v>25</v>
      </c>
      <c r="M60" s="1" t="s">
        <v>295</v>
      </c>
      <c r="N60" t="s">
        <v>24</v>
      </c>
    </row>
    <row r="61" spans="1:14" ht="22.5" customHeight="1" x14ac:dyDescent="0.3">
      <c r="A61" s="2">
        <v>131</v>
      </c>
      <c r="B61" s="2" t="s">
        <v>36</v>
      </c>
      <c r="C61" s="2" t="s">
        <v>296</v>
      </c>
      <c r="D61" s="2" t="s">
        <v>297</v>
      </c>
      <c r="E61" s="2" t="s">
        <v>59</v>
      </c>
      <c r="F61" s="2" t="s">
        <v>298</v>
      </c>
      <c r="G61" s="2" t="s">
        <v>293</v>
      </c>
      <c r="H61" s="2" t="s">
        <v>36</v>
      </c>
      <c r="I61" s="2" t="s">
        <v>36</v>
      </c>
      <c r="J61" s="2" t="s">
        <v>294</v>
      </c>
      <c r="K61" s="2"/>
      <c r="L61" s="2" t="s">
        <v>25</v>
      </c>
      <c r="M61" s="2" t="s">
        <v>299</v>
      </c>
      <c r="N61" t="s">
        <v>24</v>
      </c>
    </row>
    <row r="62" spans="1:14" ht="22.5" customHeight="1" x14ac:dyDescent="0.3">
      <c r="A62" s="1">
        <v>132</v>
      </c>
      <c r="B62" s="1" t="s">
        <v>36</v>
      </c>
      <c r="C62" s="1" t="s">
        <v>300</v>
      </c>
      <c r="D62" s="1" t="s">
        <v>301</v>
      </c>
      <c r="E62" s="1" t="s">
        <v>59</v>
      </c>
      <c r="F62" s="1" t="s">
        <v>302</v>
      </c>
      <c r="G62" s="1" t="s">
        <v>293</v>
      </c>
      <c r="H62" s="1" t="s">
        <v>36</v>
      </c>
      <c r="I62" s="1" t="s">
        <v>36</v>
      </c>
      <c r="J62" s="1" t="s">
        <v>294</v>
      </c>
      <c r="K62" s="1"/>
      <c r="L62" s="1" t="s">
        <v>25</v>
      </c>
      <c r="M62" s="1" t="s">
        <v>303</v>
      </c>
      <c r="N62" t="s">
        <v>24</v>
      </c>
    </row>
    <row r="63" spans="1:14" ht="22.5" customHeight="1" x14ac:dyDescent="0.3">
      <c r="A63" s="2">
        <v>140</v>
      </c>
      <c r="B63" s="2" t="s">
        <v>36</v>
      </c>
      <c r="C63" s="2" t="s">
        <v>304</v>
      </c>
      <c r="D63" s="2" t="s">
        <v>305</v>
      </c>
      <c r="E63" s="2" t="s">
        <v>51</v>
      </c>
      <c r="F63" s="2" t="s">
        <v>306</v>
      </c>
      <c r="G63" s="2" t="s">
        <v>41</v>
      </c>
      <c r="H63" s="2" t="s">
        <v>36</v>
      </c>
      <c r="I63" s="2" t="s">
        <v>36</v>
      </c>
      <c r="J63" s="2" t="s">
        <v>244</v>
      </c>
      <c r="K63" s="2" t="s">
        <v>307</v>
      </c>
      <c r="L63" s="2" t="s">
        <v>25</v>
      </c>
      <c r="M63" s="2" t="s">
        <v>308</v>
      </c>
      <c r="N63" t="s">
        <v>24</v>
      </c>
    </row>
    <row r="64" spans="1:14" ht="22.5" customHeight="1" x14ac:dyDescent="0.3">
      <c r="A64" s="1">
        <v>141</v>
      </c>
      <c r="B64" s="1" t="s">
        <v>36</v>
      </c>
      <c r="C64" s="1" t="s">
        <v>309</v>
      </c>
      <c r="D64" s="1" t="s">
        <v>310</v>
      </c>
      <c r="E64" s="1" t="s">
        <v>51</v>
      </c>
      <c r="F64" s="1" t="s">
        <v>311</v>
      </c>
      <c r="G64" s="1" t="s">
        <v>41</v>
      </c>
      <c r="H64" s="1" t="s">
        <v>36</v>
      </c>
      <c r="I64" s="1" t="s">
        <v>36</v>
      </c>
      <c r="J64" s="1" t="s">
        <v>244</v>
      </c>
      <c r="K64" s="1" t="s">
        <v>312</v>
      </c>
      <c r="L64" s="1" t="s">
        <v>25</v>
      </c>
      <c r="M64" s="1" t="s">
        <v>313</v>
      </c>
      <c r="N64" t="s">
        <v>24</v>
      </c>
    </row>
    <row r="65" spans="1:14" ht="22.5" customHeight="1" x14ac:dyDescent="0.3">
      <c r="A65" s="2">
        <v>142</v>
      </c>
      <c r="B65" s="2" t="s">
        <v>36</v>
      </c>
      <c r="C65" s="2" t="s">
        <v>314</v>
      </c>
      <c r="D65" s="2" t="s">
        <v>315</v>
      </c>
      <c r="E65" s="2" t="s">
        <v>51</v>
      </c>
      <c r="F65" s="2" t="s">
        <v>316</v>
      </c>
      <c r="G65" s="2" t="s">
        <v>41</v>
      </c>
      <c r="H65" s="2" t="s">
        <v>36</v>
      </c>
      <c r="I65" s="2" t="s">
        <v>36</v>
      </c>
      <c r="J65" s="2" t="s">
        <v>244</v>
      </c>
      <c r="K65" s="2" t="s">
        <v>317</v>
      </c>
      <c r="L65" s="2" t="s">
        <v>25</v>
      </c>
      <c r="M65" s="2" t="s">
        <v>313</v>
      </c>
      <c r="N65" t="s">
        <v>24</v>
      </c>
    </row>
    <row r="66" spans="1:14" ht="22.5" customHeight="1" x14ac:dyDescent="0.3">
      <c r="A66" s="1">
        <v>143</v>
      </c>
      <c r="B66" s="1" t="s">
        <v>36</v>
      </c>
      <c r="C66" s="1" t="s">
        <v>318</v>
      </c>
      <c r="D66" s="1" t="s">
        <v>319</v>
      </c>
      <c r="E66" s="1" t="s">
        <v>51</v>
      </c>
      <c r="F66" s="1" t="s">
        <v>320</v>
      </c>
      <c r="G66" s="1" t="s">
        <v>41</v>
      </c>
      <c r="H66" s="1" t="s">
        <v>36</v>
      </c>
      <c r="I66" s="1" t="s">
        <v>36</v>
      </c>
      <c r="J66" s="1" t="s">
        <v>244</v>
      </c>
      <c r="K66" s="1" t="s">
        <v>321</v>
      </c>
      <c r="L66" s="1" t="s">
        <v>25</v>
      </c>
      <c r="M66" s="1" t="s">
        <v>322</v>
      </c>
      <c r="N66" t="s">
        <v>24</v>
      </c>
    </row>
    <row r="67" spans="1:14" ht="22.5" customHeight="1" x14ac:dyDescent="0.3">
      <c r="A67" s="2">
        <v>144</v>
      </c>
      <c r="B67" s="2" t="s">
        <v>36</v>
      </c>
      <c r="C67" s="2" t="s">
        <v>323</v>
      </c>
      <c r="D67" s="2" t="s">
        <v>324</v>
      </c>
      <c r="E67" s="2" t="s">
        <v>59</v>
      </c>
      <c r="F67" s="2" t="s">
        <v>325</v>
      </c>
      <c r="G67" s="2" t="s">
        <v>65</v>
      </c>
      <c r="H67" s="2" t="s">
        <v>36</v>
      </c>
      <c r="I67" s="2" t="s">
        <v>36</v>
      </c>
      <c r="J67" s="2" t="s">
        <v>244</v>
      </c>
      <c r="K67" s="2"/>
      <c r="L67" s="2" t="s">
        <v>25</v>
      </c>
      <c r="M67" s="2"/>
      <c r="N67" t="s">
        <v>24</v>
      </c>
    </row>
    <row r="68" spans="1:14" ht="22.5" customHeight="1" x14ac:dyDescent="0.3">
      <c r="A68" s="1">
        <v>145</v>
      </c>
      <c r="B68" s="1" t="s">
        <v>36</v>
      </c>
      <c r="C68" s="1" t="s">
        <v>326</v>
      </c>
      <c r="D68" s="1" t="s">
        <v>327</v>
      </c>
      <c r="E68" s="1" t="s">
        <v>59</v>
      </c>
      <c r="F68" s="1" t="s">
        <v>328</v>
      </c>
      <c r="G68" s="1" t="s">
        <v>65</v>
      </c>
      <c r="H68" s="1" t="s">
        <v>36</v>
      </c>
      <c r="I68" s="1" t="s">
        <v>36</v>
      </c>
      <c r="J68" s="1" t="s">
        <v>329</v>
      </c>
      <c r="K68" s="1" t="s">
        <v>330</v>
      </c>
      <c r="L68" s="1" t="s">
        <v>25</v>
      </c>
      <c r="M68" s="1" t="s">
        <v>331</v>
      </c>
      <c r="N68" t="s">
        <v>24</v>
      </c>
    </row>
    <row r="69" spans="1:14" ht="14.25" customHeight="1" x14ac:dyDescent="0.3">
      <c r="A69" s="2">
        <v>150</v>
      </c>
      <c r="B69" s="2" t="s">
        <v>36</v>
      </c>
      <c r="C69" s="2" t="s">
        <v>332</v>
      </c>
      <c r="D69" s="2" t="s">
        <v>333</v>
      </c>
      <c r="E69" s="2" t="s">
        <v>69</v>
      </c>
      <c r="F69" s="2" t="s">
        <v>334</v>
      </c>
      <c r="G69" s="2" t="s">
        <v>335</v>
      </c>
      <c r="H69" s="2" t="s">
        <v>190</v>
      </c>
      <c r="I69" s="2" t="s">
        <v>119</v>
      </c>
      <c r="J69" s="2" t="s">
        <v>24</v>
      </c>
      <c r="K69" s="2" t="s">
        <v>336</v>
      </c>
      <c r="L69" s="2" t="s">
        <v>25</v>
      </c>
      <c r="M69" s="2"/>
      <c r="N69" t="s">
        <v>24</v>
      </c>
    </row>
    <row r="70" spans="1:14" ht="22.5" customHeight="1" x14ac:dyDescent="0.3">
      <c r="A70" s="1">
        <v>160</v>
      </c>
      <c r="B70" s="1" t="s">
        <v>337</v>
      </c>
      <c r="C70" s="1" t="s">
        <v>338</v>
      </c>
      <c r="D70" s="1" t="s">
        <v>339</v>
      </c>
      <c r="E70" s="1" t="s">
        <v>59</v>
      </c>
      <c r="F70" s="1" t="s">
        <v>340</v>
      </c>
      <c r="G70" s="1" t="s">
        <v>41</v>
      </c>
      <c r="H70" s="1" t="s">
        <v>35</v>
      </c>
      <c r="I70" s="1" t="s">
        <v>341</v>
      </c>
      <c r="J70" s="1" t="s">
        <v>24</v>
      </c>
      <c r="K70" s="1" t="s">
        <v>342</v>
      </c>
      <c r="L70" s="1" t="s">
        <v>25</v>
      </c>
      <c r="M70" s="1" t="s">
        <v>343</v>
      </c>
      <c r="N70" t="s">
        <v>24</v>
      </c>
    </row>
    <row r="71" spans="1:14" ht="14.25" customHeight="1" x14ac:dyDescent="0.3">
      <c r="A71" s="2">
        <v>125</v>
      </c>
      <c r="B71" s="2" t="s">
        <v>36</v>
      </c>
      <c r="C71" s="2" t="s">
        <v>344</v>
      </c>
      <c r="D71" s="2" t="s">
        <v>345</v>
      </c>
      <c r="E71" s="2" t="s">
        <v>51</v>
      </c>
      <c r="F71" s="2" t="s">
        <v>346</v>
      </c>
      <c r="G71" s="2" t="s">
        <v>41</v>
      </c>
      <c r="H71" s="2" t="s">
        <v>36</v>
      </c>
      <c r="I71" s="2" t="s">
        <v>36</v>
      </c>
      <c r="J71" s="2" t="s">
        <v>24</v>
      </c>
      <c r="K71" s="2"/>
      <c r="L71" s="2" t="s">
        <v>25</v>
      </c>
      <c r="M71" s="2" t="s">
        <v>347</v>
      </c>
      <c r="N71" t="s">
        <v>24</v>
      </c>
    </row>
    <row r="72" spans="1:14" ht="14.25" customHeight="1" x14ac:dyDescent="0.3">
      <c r="A72" s="1">
        <v>133</v>
      </c>
      <c r="B72" s="1" t="s">
        <v>36</v>
      </c>
      <c r="C72" s="1" t="s">
        <v>348</v>
      </c>
      <c r="D72" s="1" t="s">
        <v>349</v>
      </c>
      <c r="E72" s="1" t="s">
        <v>59</v>
      </c>
      <c r="F72" s="1" t="s">
        <v>350</v>
      </c>
      <c r="G72" s="1" t="s">
        <v>65</v>
      </c>
      <c r="H72" s="1" t="s">
        <v>36</v>
      </c>
      <c r="I72" s="1" t="s">
        <v>36</v>
      </c>
      <c r="J72" s="1" t="s">
        <v>24</v>
      </c>
      <c r="K72" s="1"/>
      <c r="L72" s="1" t="s">
        <v>25</v>
      </c>
      <c r="M72" s="1" t="s">
        <v>351</v>
      </c>
      <c r="N72" t="s">
        <v>24</v>
      </c>
    </row>
    <row r="73" spans="1:14" ht="14.25" customHeight="1" x14ac:dyDescent="0.3">
      <c r="A73" s="2">
        <v>134</v>
      </c>
      <c r="B73" s="2" t="s">
        <v>36</v>
      </c>
      <c r="C73" s="2" t="s">
        <v>352</v>
      </c>
      <c r="D73" s="2" t="s">
        <v>353</v>
      </c>
      <c r="E73" s="2" t="s">
        <v>59</v>
      </c>
      <c r="F73" s="2" t="s">
        <v>354</v>
      </c>
      <c r="G73" s="2" t="s">
        <v>65</v>
      </c>
      <c r="H73" s="2" t="s">
        <v>36</v>
      </c>
      <c r="I73" s="2" t="s">
        <v>36</v>
      </c>
      <c r="J73" s="2" t="s">
        <v>24</v>
      </c>
      <c r="K73" s="2"/>
      <c r="L73" s="2" t="s">
        <v>25</v>
      </c>
      <c r="M73" s="2" t="s">
        <v>351</v>
      </c>
      <c r="N73" t="s">
        <v>24</v>
      </c>
    </row>
    <row r="74" spans="1:14" ht="14.25" customHeight="1" x14ac:dyDescent="0.3">
      <c r="A74" s="1">
        <v>135</v>
      </c>
      <c r="B74" s="1" t="s">
        <v>36</v>
      </c>
      <c r="C74" s="1" t="s">
        <v>355</v>
      </c>
      <c r="D74" s="1" t="s">
        <v>356</v>
      </c>
      <c r="E74" s="1" t="s">
        <v>59</v>
      </c>
      <c r="F74" s="1" t="s">
        <v>357</v>
      </c>
      <c r="G74" s="1" t="s">
        <v>65</v>
      </c>
      <c r="H74" s="1" t="s">
        <v>36</v>
      </c>
      <c r="I74" s="1" t="s">
        <v>36</v>
      </c>
      <c r="J74" s="1" t="s">
        <v>24</v>
      </c>
      <c r="K74" s="1"/>
      <c r="L74" s="1" t="s">
        <v>25</v>
      </c>
      <c r="M74" s="1" t="s">
        <v>358</v>
      </c>
      <c r="N74" t="s">
        <v>24</v>
      </c>
    </row>
    <row r="75" spans="1:14" ht="14.25" customHeight="1" x14ac:dyDescent="0.3">
      <c r="A75" s="2">
        <v>136</v>
      </c>
      <c r="B75" s="2" t="s">
        <v>36</v>
      </c>
      <c r="C75" s="2" t="s">
        <v>359</v>
      </c>
      <c r="D75" s="2" t="s">
        <v>360</v>
      </c>
      <c r="E75" s="2" t="s">
        <v>59</v>
      </c>
      <c r="F75" s="2" t="s">
        <v>361</v>
      </c>
      <c r="G75" s="2" t="s">
        <v>65</v>
      </c>
      <c r="H75" s="2" t="s">
        <v>36</v>
      </c>
      <c r="I75" s="2" t="s">
        <v>36</v>
      </c>
      <c r="J75" s="2" t="s">
        <v>24</v>
      </c>
      <c r="K75" s="2"/>
      <c r="L75" s="2" t="s">
        <v>25</v>
      </c>
      <c r="M75" s="2" t="s">
        <v>362</v>
      </c>
      <c r="N75" t="s">
        <v>24</v>
      </c>
    </row>
    <row r="76" spans="1:14" ht="14.25" customHeight="1" x14ac:dyDescent="0.3">
      <c r="A76" s="1">
        <v>137</v>
      </c>
      <c r="B76" s="1" t="s">
        <v>36</v>
      </c>
      <c r="C76" s="1" t="s">
        <v>363</v>
      </c>
      <c r="D76" s="1" t="s">
        <v>364</v>
      </c>
      <c r="E76" s="1" t="s">
        <v>59</v>
      </c>
      <c r="F76" s="1" t="s">
        <v>365</v>
      </c>
      <c r="G76" s="1" t="s">
        <v>65</v>
      </c>
      <c r="H76" s="1" t="s">
        <v>36</v>
      </c>
      <c r="I76" s="1" t="s">
        <v>36</v>
      </c>
      <c r="J76" s="1" t="s">
        <v>24</v>
      </c>
      <c r="K76" s="1"/>
      <c r="L76" s="1" t="s">
        <v>25</v>
      </c>
      <c r="M76" s="1" t="s">
        <v>366</v>
      </c>
      <c r="N76" t="s">
        <v>24</v>
      </c>
    </row>
    <row r="77" spans="1:14" ht="14.25" customHeight="1" x14ac:dyDescent="0.3">
      <c r="A77" s="2">
        <v>8</v>
      </c>
      <c r="B77" s="2" t="s">
        <v>35</v>
      </c>
      <c r="C77" s="2" t="s">
        <v>367</v>
      </c>
      <c r="D77" s="2" t="s">
        <v>368</v>
      </c>
      <c r="E77" s="2" t="s">
        <v>51</v>
      </c>
      <c r="F77" s="2" t="s">
        <v>369</v>
      </c>
      <c r="G77" s="2" t="s">
        <v>41</v>
      </c>
      <c r="H77" s="2" t="s">
        <v>35</v>
      </c>
      <c r="I77" s="2" t="s">
        <v>225</v>
      </c>
      <c r="J77" s="2" t="s">
        <v>24</v>
      </c>
      <c r="K77" s="2"/>
      <c r="L77" s="2" t="s">
        <v>25</v>
      </c>
      <c r="M77" s="2" t="s">
        <v>370</v>
      </c>
      <c r="N77" t="s">
        <v>24</v>
      </c>
    </row>
    <row r="78" spans="1:14" ht="14.25" customHeight="1" x14ac:dyDescent="0.3">
      <c r="A78" s="1">
        <v>146</v>
      </c>
      <c r="B78" s="1" t="s">
        <v>36</v>
      </c>
      <c r="C78" s="1" t="s">
        <v>371</v>
      </c>
      <c r="D78" s="1" t="s">
        <v>372</v>
      </c>
      <c r="E78" s="1" t="s">
        <v>51</v>
      </c>
      <c r="F78" s="1" t="s">
        <v>373</v>
      </c>
      <c r="G78" s="1" t="s">
        <v>41</v>
      </c>
      <c r="H78" s="1" t="s">
        <v>36</v>
      </c>
      <c r="I78" s="1" t="s">
        <v>36</v>
      </c>
      <c r="J78" s="1" t="s">
        <v>374</v>
      </c>
      <c r="K78" s="1" t="s">
        <v>375</v>
      </c>
      <c r="L78" s="1" t="s">
        <v>25</v>
      </c>
      <c r="M78" s="1" t="s">
        <v>376</v>
      </c>
      <c r="N78" t="s">
        <v>24</v>
      </c>
    </row>
    <row r="79" spans="1:14" ht="22.5" customHeight="1" x14ac:dyDescent="0.3">
      <c r="A79" s="2">
        <v>147</v>
      </c>
      <c r="B79" s="2" t="s">
        <v>36</v>
      </c>
      <c r="C79" s="2" t="s">
        <v>377</v>
      </c>
      <c r="D79" s="2" t="s">
        <v>378</v>
      </c>
      <c r="E79" s="2" t="s">
        <v>51</v>
      </c>
      <c r="F79" s="2" t="s">
        <v>379</v>
      </c>
      <c r="G79" s="2" t="s">
        <v>41</v>
      </c>
      <c r="H79" s="2" t="s">
        <v>36</v>
      </c>
      <c r="I79" s="2" t="s">
        <v>36</v>
      </c>
      <c r="J79" s="2" t="s">
        <v>374</v>
      </c>
      <c r="K79" s="2" t="s">
        <v>380</v>
      </c>
      <c r="L79" s="2" t="s">
        <v>25</v>
      </c>
      <c r="M79" s="2" t="s">
        <v>381</v>
      </c>
      <c r="N79" t="s">
        <v>24</v>
      </c>
    </row>
    <row r="80" spans="1:14" ht="22.5" customHeight="1" x14ac:dyDescent="0.3">
      <c r="A80" s="1">
        <v>170</v>
      </c>
      <c r="B80" s="1" t="s">
        <v>53</v>
      </c>
      <c r="C80" s="1" t="s">
        <v>382</v>
      </c>
      <c r="D80" s="1" t="s">
        <v>383</v>
      </c>
      <c r="E80" s="1" t="s">
        <v>59</v>
      </c>
      <c r="F80" s="1" t="s">
        <v>384</v>
      </c>
      <c r="G80" s="1" t="s">
        <v>65</v>
      </c>
      <c r="H80" s="1" t="s">
        <v>190</v>
      </c>
      <c r="I80" s="1" t="s">
        <v>119</v>
      </c>
      <c r="J80" s="1" t="s">
        <v>374</v>
      </c>
      <c r="K80" s="1" t="s">
        <v>385</v>
      </c>
      <c r="L80" s="1" t="s">
        <v>25</v>
      </c>
      <c r="M80" s="1" t="s">
        <v>386</v>
      </c>
      <c r="N80" t="s">
        <v>24</v>
      </c>
    </row>
    <row r="81" spans="1:14" ht="22.5" customHeight="1" x14ac:dyDescent="0.3">
      <c r="A81" s="2">
        <v>171</v>
      </c>
      <c r="B81" s="2" t="s">
        <v>35</v>
      </c>
      <c r="C81" s="2" t="s">
        <v>387</v>
      </c>
      <c r="D81" s="2" t="s">
        <v>388</v>
      </c>
      <c r="E81" s="2" t="s">
        <v>59</v>
      </c>
      <c r="F81" s="2" t="s">
        <v>389</v>
      </c>
      <c r="G81" s="2" t="s">
        <v>65</v>
      </c>
      <c r="H81" s="2" t="s">
        <v>35</v>
      </c>
      <c r="I81" s="2" t="s">
        <v>36</v>
      </c>
      <c r="J81" s="2" t="s">
        <v>390</v>
      </c>
      <c r="K81" s="2" t="s">
        <v>391</v>
      </c>
      <c r="L81" s="2" t="s">
        <v>25</v>
      </c>
      <c r="M81" s="2" t="s">
        <v>392</v>
      </c>
      <c r="N81" t="s">
        <v>24</v>
      </c>
    </row>
    <row r="82" spans="1:14" ht="14.25" customHeight="1" x14ac:dyDescent="0.3">
      <c r="A82" s="3">
        <v>201</v>
      </c>
      <c r="B82" s="3" t="s">
        <v>35</v>
      </c>
      <c r="C82" s="3" t="s">
        <v>393</v>
      </c>
      <c r="D82" s="3" t="s">
        <v>394</v>
      </c>
      <c r="E82" s="3" t="s">
        <v>51</v>
      </c>
      <c r="F82" s="3" t="s">
        <v>395</v>
      </c>
      <c r="G82" s="3" t="s">
        <v>41</v>
      </c>
      <c r="H82" s="3" t="s">
        <v>35</v>
      </c>
      <c r="I82" s="3" t="s">
        <v>124</v>
      </c>
      <c r="J82" s="3" t="s">
        <v>24</v>
      </c>
      <c r="K82" s="3"/>
      <c r="L82" s="3" t="s">
        <v>396</v>
      </c>
      <c r="M82" s="3" t="s">
        <v>397</v>
      </c>
      <c r="N82" t="s">
        <v>24</v>
      </c>
    </row>
    <row r="83" spans="1:14" ht="14.25" customHeight="1" x14ac:dyDescent="0.3">
      <c r="A83" s="3">
        <v>202</v>
      </c>
      <c r="B83" s="3" t="s">
        <v>35</v>
      </c>
      <c r="C83" s="3" t="s">
        <v>398</v>
      </c>
      <c r="D83" s="3" t="s">
        <v>399</v>
      </c>
      <c r="E83" s="3" t="s">
        <v>51</v>
      </c>
      <c r="F83" s="3" t="s">
        <v>400</v>
      </c>
      <c r="G83" s="3" t="s">
        <v>41</v>
      </c>
      <c r="H83" s="3" t="s">
        <v>35</v>
      </c>
      <c r="I83" s="3" t="s">
        <v>124</v>
      </c>
      <c r="J83" s="3" t="s">
        <v>24</v>
      </c>
      <c r="K83" s="3"/>
      <c r="L83" s="3" t="s">
        <v>396</v>
      </c>
      <c r="M83" s="3" t="s">
        <v>401</v>
      </c>
      <c r="N83" t="s">
        <v>24</v>
      </c>
    </row>
    <row r="84" spans="1:14" ht="14.25" customHeight="1" x14ac:dyDescent="0.3">
      <c r="A84" s="3">
        <v>203</v>
      </c>
      <c r="B84" s="3" t="s">
        <v>35</v>
      </c>
      <c r="C84" s="3" t="s">
        <v>402</v>
      </c>
      <c r="D84" s="3" t="s">
        <v>403</v>
      </c>
      <c r="E84" s="3" t="s">
        <v>51</v>
      </c>
      <c r="F84" s="3" t="s">
        <v>404</v>
      </c>
      <c r="G84" s="3" t="s">
        <v>41</v>
      </c>
      <c r="H84" s="3" t="s">
        <v>35</v>
      </c>
      <c r="I84" s="3" t="s">
        <v>225</v>
      </c>
      <c r="J84" s="3" t="s">
        <v>24</v>
      </c>
      <c r="K84" s="3"/>
      <c r="L84" s="3" t="s">
        <v>396</v>
      </c>
      <c r="M84" s="3" t="s">
        <v>405</v>
      </c>
      <c r="N84" t="s">
        <v>24</v>
      </c>
    </row>
    <row r="85" spans="1:14" ht="14.25" customHeight="1" x14ac:dyDescent="0.3">
      <c r="A85" s="3">
        <v>204</v>
      </c>
      <c r="B85" s="3" t="s">
        <v>35</v>
      </c>
      <c r="C85" s="3" t="s">
        <v>406</v>
      </c>
      <c r="D85" s="3" t="s">
        <v>407</v>
      </c>
      <c r="E85" s="3" t="s">
        <v>59</v>
      </c>
      <c r="F85" s="3" t="s">
        <v>408</v>
      </c>
      <c r="G85" s="3" t="s">
        <v>41</v>
      </c>
      <c r="H85" s="3" t="s">
        <v>35</v>
      </c>
      <c r="I85" s="3" t="s">
        <v>36</v>
      </c>
      <c r="J85" s="3" t="s">
        <v>24</v>
      </c>
      <c r="K85" s="3"/>
      <c r="L85" s="3" t="s">
        <v>396</v>
      </c>
      <c r="M85" s="3" t="s">
        <v>409</v>
      </c>
      <c r="N85" t="s">
        <v>24</v>
      </c>
    </row>
    <row r="86" spans="1:14" ht="14.25" customHeight="1" x14ac:dyDescent="0.3">
      <c r="A86" s="3">
        <v>205</v>
      </c>
      <c r="B86" s="3" t="s">
        <v>35</v>
      </c>
      <c r="C86" s="3" t="s">
        <v>410</v>
      </c>
      <c r="D86" s="3" t="s">
        <v>411</v>
      </c>
      <c r="E86" s="3" t="s">
        <v>51</v>
      </c>
      <c r="F86" s="3" t="s">
        <v>412</v>
      </c>
      <c r="G86" s="3" t="s">
        <v>41</v>
      </c>
      <c r="H86" s="3" t="s">
        <v>35</v>
      </c>
      <c r="I86" s="3" t="s">
        <v>36</v>
      </c>
      <c r="J86" s="3" t="s">
        <v>24</v>
      </c>
      <c r="K86" s="3"/>
      <c r="L86" s="3" t="s">
        <v>396</v>
      </c>
      <c r="M86" s="3" t="s">
        <v>413</v>
      </c>
      <c r="N86" t="s">
        <v>24</v>
      </c>
    </row>
    <row r="87" spans="1:14" ht="14.25" customHeight="1" x14ac:dyDescent="0.3">
      <c r="A87" s="3">
        <v>206</v>
      </c>
      <c r="B87" s="3" t="s">
        <v>35</v>
      </c>
      <c r="C87" s="3" t="s">
        <v>414</v>
      </c>
      <c r="D87" s="3" t="s">
        <v>415</v>
      </c>
      <c r="E87" s="3" t="s">
        <v>51</v>
      </c>
      <c r="F87" s="3" t="s">
        <v>416</v>
      </c>
      <c r="G87" s="3" t="s">
        <v>41</v>
      </c>
      <c r="H87" s="3" t="s">
        <v>91</v>
      </c>
      <c r="I87" s="3" t="s">
        <v>287</v>
      </c>
      <c r="J87" s="3" t="s">
        <v>24</v>
      </c>
      <c r="K87" s="3"/>
      <c r="L87" s="3" t="s">
        <v>396</v>
      </c>
      <c r="M87" s="3" t="s">
        <v>417</v>
      </c>
      <c r="N87" t="s">
        <v>24</v>
      </c>
    </row>
    <row r="88" spans="1:14" ht="14.25" customHeight="1" x14ac:dyDescent="0.3">
      <c r="A88" s="3">
        <v>207</v>
      </c>
      <c r="B88" s="3" t="s">
        <v>35</v>
      </c>
      <c r="C88" s="3" t="s">
        <v>418</v>
      </c>
      <c r="D88" s="3" t="s">
        <v>419</v>
      </c>
      <c r="E88" s="3" t="s">
        <v>51</v>
      </c>
      <c r="F88" s="3" t="s">
        <v>420</v>
      </c>
      <c r="G88" s="3" t="s">
        <v>41</v>
      </c>
      <c r="H88" s="3" t="s">
        <v>91</v>
      </c>
      <c r="I88" s="3" t="s">
        <v>287</v>
      </c>
      <c r="J88" s="3" t="s">
        <v>24</v>
      </c>
      <c r="K88" s="3"/>
      <c r="L88" s="3" t="s">
        <v>396</v>
      </c>
      <c r="M88" s="3" t="s">
        <v>421</v>
      </c>
      <c r="N88" t="s">
        <v>24</v>
      </c>
    </row>
    <row r="89" spans="1:14" ht="14.25" customHeight="1" x14ac:dyDescent="0.3">
      <c r="A89" s="3">
        <v>208</v>
      </c>
      <c r="B89" s="3" t="s">
        <v>35</v>
      </c>
      <c r="C89" s="3" t="s">
        <v>422</v>
      </c>
      <c r="D89" s="3" t="s">
        <v>423</v>
      </c>
      <c r="E89" s="3" t="s">
        <v>51</v>
      </c>
      <c r="F89" s="3" t="s">
        <v>424</v>
      </c>
      <c r="G89" s="3" t="s">
        <v>41</v>
      </c>
      <c r="H89" s="3" t="s">
        <v>225</v>
      </c>
      <c r="I89" s="3" t="s">
        <v>225</v>
      </c>
      <c r="J89" s="3" t="s">
        <v>24</v>
      </c>
      <c r="K89" s="3"/>
      <c r="L89" s="3" t="s">
        <v>396</v>
      </c>
      <c r="M89" s="3" t="s">
        <v>425</v>
      </c>
      <c r="N89" t="s">
        <v>24</v>
      </c>
    </row>
    <row r="90" spans="1:14" ht="22.5" customHeight="1" x14ac:dyDescent="0.3">
      <c r="A90" s="3">
        <v>209</v>
      </c>
      <c r="B90" s="3" t="s">
        <v>186</v>
      </c>
      <c r="C90" s="3" t="s">
        <v>426</v>
      </c>
      <c r="D90" s="3" t="s">
        <v>427</v>
      </c>
      <c r="E90" s="3" t="s">
        <v>51</v>
      </c>
      <c r="F90" s="3" t="s">
        <v>428</v>
      </c>
      <c r="G90" s="3" t="s">
        <v>158</v>
      </c>
      <c r="H90" s="3" t="s">
        <v>190</v>
      </c>
      <c r="I90" s="3" t="s">
        <v>129</v>
      </c>
      <c r="J90" s="3" t="s">
        <v>24</v>
      </c>
      <c r="K90" s="3"/>
      <c r="L90" s="3" t="s">
        <v>396</v>
      </c>
      <c r="M90" s="3" t="s">
        <v>429</v>
      </c>
      <c r="N90" t="s">
        <v>24</v>
      </c>
    </row>
    <row r="91" spans="1:14" ht="14.25" customHeight="1" x14ac:dyDescent="0.3">
      <c r="A91" s="3">
        <v>210</v>
      </c>
      <c r="B91" s="3" t="s">
        <v>53</v>
      </c>
      <c r="C91" s="3" t="s">
        <v>430</v>
      </c>
      <c r="D91" s="3" t="s">
        <v>431</v>
      </c>
      <c r="E91" s="3" t="s">
        <v>51</v>
      </c>
      <c r="F91" s="3" t="s">
        <v>432</v>
      </c>
      <c r="G91" s="3" t="s">
        <v>158</v>
      </c>
      <c r="H91" s="3" t="s">
        <v>53</v>
      </c>
      <c r="I91" s="3" t="s">
        <v>129</v>
      </c>
      <c r="J91" s="3" t="s">
        <v>24</v>
      </c>
      <c r="K91" s="3"/>
      <c r="L91" s="3" t="s">
        <v>396</v>
      </c>
      <c r="M91" s="3" t="s">
        <v>433</v>
      </c>
      <c r="N91" t="s">
        <v>24</v>
      </c>
    </row>
    <row r="92" spans="1:14" ht="14.25" customHeight="1" x14ac:dyDescent="0.3">
      <c r="A92" s="3">
        <v>211</v>
      </c>
      <c r="B92" s="3" t="s">
        <v>53</v>
      </c>
      <c r="C92" s="3" t="s">
        <v>434</v>
      </c>
      <c r="D92" s="3" t="s">
        <v>435</v>
      </c>
      <c r="E92" s="3" t="s">
        <v>51</v>
      </c>
      <c r="F92" s="3" t="s">
        <v>436</v>
      </c>
      <c r="G92" s="3" t="s">
        <v>41</v>
      </c>
      <c r="H92" s="3" t="s">
        <v>190</v>
      </c>
      <c r="I92" s="3" t="s">
        <v>36</v>
      </c>
      <c r="J92" s="3" t="s">
        <v>24</v>
      </c>
      <c r="K92" s="3"/>
      <c r="L92" s="3" t="s">
        <v>396</v>
      </c>
      <c r="M92" s="3" t="s">
        <v>437</v>
      </c>
      <c r="N92" t="s">
        <v>24</v>
      </c>
    </row>
    <row r="93" spans="1:14" ht="14.25" customHeight="1" x14ac:dyDescent="0.3">
      <c r="A93" s="3">
        <v>212</v>
      </c>
      <c r="B93" s="3" t="s">
        <v>111</v>
      </c>
      <c r="C93" s="3" t="s">
        <v>438</v>
      </c>
      <c r="D93" s="3" t="s">
        <v>439</v>
      </c>
      <c r="E93" s="3" t="s">
        <v>59</v>
      </c>
      <c r="F93" s="3" t="s">
        <v>263</v>
      </c>
      <c r="G93" s="3" t="s">
        <v>65</v>
      </c>
      <c r="H93" s="3" t="s">
        <v>35</v>
      </c>
      <c r="I93" s="3" t="s">
        <v>36</v>
      </c>
      <c r="J93" s="3" t="s">
        <v>24</v>
      </c>
      <c r="K93" s="3"/>
      <c r="L93" s="3" t="s">
        <v>396</v>
      </c>
      <c r="M93" s="3" t="s">
        <v>440</v>
      </c>
      <c r="N93" t="s">
        <v>24</v>
      </c>
    </row>
    <row r="94" spans="1:14" x14ac:dyDescent="0.3">
      <c r="A94">
        <v>213</v>
      </c>
      <c r="B94" t="s">
        <v>441</v>
      </c>
      <c r="C94" t="s">
        <v>442</v>
      </c>
      <c r="D94" t="s">
        <v>443</v>
      </c>
      <c r="E94" t="s">
        <v>51</v>
      </c>
      <c r="F94" t="s">
        <v>444</v>
      </c>
      <c r="G94" t="s">
        <v>41</v>
      </c>
      <c r="H94" t="s">
        <v>35</v>
      </c>
      <c r="I94" t="s">
        <v>445</v>
      </c>
      <c r="J94" t="s">
        <v>24</v>
      </c>
      <c r="K94" t="s">
        <v>446</v>
      </c>
      <c r="L94" t="s">
        <v>25</v>
      </c>
      <c r="M94" t="s">
        <v>447</v>
      </c>
      <c r="N94" t="s">
        <v>24</v>
      </c>
    </row>
    <row r="95" spans="1:14" x14ac:dyDescent="0.3">
      <c r="A95">
        <v>214</v>
      </c>
      <c r="B95" t="s">
        <v>441</v>
      </c>
      <c r="C95" t="s">
        <v>448</v>
      </c>
      <c r="D95" t="s">
        <v>449</v>
      </c>
      <c r="E95" t="s">
        <v>51</v>
      </c>
      <c r="F95" t="s">
        <v>450</v>
      </c>
      <c r="G95" t="s">
        <v>451</v>
      </c>
      <c r="H95" t="s">
        <v>35</v>
      </c>
      <c r="I95" t="s">
        <v>445</v>
      </c>
      <c r="J95" t="s">
        <v>24</v>
      </c>
      <c r="K95" t="s">
        <v>446</v>
      </c>
      <c r="L95" t="s">
        <v>25</v>
      </c>
      <c r="M95" t="s">
        <v>452</v>
      </c>
      <c r="N95" t="s">
        <v>24</v>
      </c>
    </row>
    <row r="96" spans="1:14" x14ac:dyDescent="0.3">
      <c r="A96">
        <v>215</v>
      </c>
      <c r="B96" t="s">
        <v>441</v>
      </c>
      <c r="C96" t="s">
        <v>453</v>
      </c>
      <c r="D96" t="s">
        <v>454</v>
      </c>
      <c r="E96" t="s">
        <v>51</v>
      </c>
      <c r="F96" t="s">
        <v>455</v>
      </c>
      <c r="G96" t="s">
        <v>451</v>
      </c>
      <c r="H96" t="s">
        <v>35</v>
      </c>
      <c r="I96" t="s">
        <v>445</v>
      </c>
      <c r="J96" t="s">
        <v>24</v>
      </c>
      <c r="K96" t="s">
        <v>446</v>
      </c>
      <c r="L96" t="s">
        <v>25</v>
      </c>
      <c r="M96" t="s">
        <v>456</v>
      </c>
      <c r="N96" t="s">
        <v>24</v>
      </c>
    </row>
    <row r="97" spans="1:14" x14ac:dyDescent="0.3">
      <c r="A97">
        <v>216</v>
      </c>
      <c r="B97" t="s">
        <v>441</v>
      </c>
      <c r="C97" t="s">
        <v>457</v>
      </c>
      <c r="D97" t="s">
        <v>458</v>
      </c>
      <c r="E97" t="s">
        <v>51</v>
      </c>
      <c r="F97" t="s">
        <v>459</v>
      </c>
      <c r="G97" t="s">
        <v>41</v>
      </c>
      <c r="H97" t="s">
        <v>35</v>
      </c>
      <c r="I97" t="s">
        <v>445</v>
      </c>
      <c r="J97" t="s">
        <v>24</v>
      </c>
      <c r="K97" t="s">
        <v>446</v>
      </c>
      <c r="L97" t="s">
        <v>25</v>
      </c>
      <c r="M97" t="s">
        <v>460</v>
      </c>
      <c r="N97" t="s">
        <v>24</v>
      </c>
    </row>
    <row r="98" spans="1:14" x14ac:dyDescent="0.3">
      <c r="A98">
        <v>217</v>
      </c>
      <c r="B98" t="s">
        <v>441</v>
      </c>
      <c r="C98" t="s">
        <v>461</v>
      </c>
      <c r="D98" t="s">
        <v>462</v>
      </c>
      <c r="E98" t="s">
        <v>59</v>
      </c>
      <c r="F98" t="s">
        <v>463</v>
      </c>
      <c r="G98" t="s">
        <v>451</v>
      </c>
      <c r="H98" t="s">
        <v>35</v>
      </c>
      <c r="I98" t="s">
        <v>445</v>
      </c>
      <c r="J98" t="s">
        <v>24</v>
      </c>
      <c r="K98" t="s">
        <v>446</v>
      </c>
      <c r="L98" t="s">
        <v>25</v>
      </c>
      <c r="M98" t="s">
        <v>464</v>
      </c>
      <c r="N98" t="s">
        <v>24</v>
      </c>
    </row>
    <row r="99" spans="1:14" x14ac:dyDescent="0.3">
      <c r="A99">
        <v>218</v>
      </c>
      <c r="B99" t="s">
        <v>441</v>
      </c>
      <c r="C99" t="s">
        <v>465</v>
      </c>
      <c r="D99" t="s">
        <v>466</v>
      </c>
      <c r="E99" t="s">
        <v>51</v>
      </c>
      <c r="F99" t="s">
        <v>467</v>
      </c>
      <c r="G99" t="s">
        <v>41</v>
      </c>
      <c r="H99" t="s">
        <v>35</v>
      </c>
      <c r="I99" t="s">
        <v>445</v>
      </c>
      <c r="J99" t="s">
        <v>24</v>
      </c>
      <c r="K99" t="s">
        <v>446</v>
      </c>
      <c r="L99" t="s">
        <v>25</v>
      </c>
      <c r="M99" t="s">
        <v>468</v>
      </c>
      <c r="N99" t="s">
        <v>24</v>
      </c>
    </row>
    <row r="100" spans="1:14" x14ac:dyDescent="0.3">
      <c r="A100">
        <v>219</v>
      </c>
      <c r="B100" t="s">
        <v>441</v>
      </c>
      <c r="C100" t="s">
        <v>469</v>
      </c>
      <c r="D100" t="s">
        <v>470</v>
      </c>
      <c r="E100" t="s">
        <v>51</v>
      </c>
      <c r="F100" t="s">
        <v>471</v>
      </c>
      <c r="G100" t="s">
        <v>41</v>
      </c>
      <c r="H100" t="s">
        <v>35</v>
      </c>
      <c r="I100" t="s">
        <v>445</v>
      </c>
      <c r="J100" t="s">
        <v>24</v>
      </c>
      <c r="K100" t="s">
        <v>446</v>
      </c>
      <c r="L100" t="s">
        <v>25</v>
      </c>
      <c r="M100" t="s">
        <v>468</v>
      </c>
      <c r="N100" t="s">
        <v>24</v>
      </c>
    </row>
    <row r="101" spans="1:14" x14ac:dyDescent="0.3">
      <c r="A101">
        <v>220</v>
      </c>
      <c r="B101" t="s">
        <v>441</v>
      </c>
      <c r="C101" t="s">
        <v>472</v>
      </c>
      <c r="D101" t="s">
        <v>473</v>
      </c>
      <c r="E101" t="s">
        <v>51</v>
      </c>
      <c r="F101" t="s">
        <v>474</v>
      </c>
      <c r="G101" t="s">
        <v>41</v>
      </c>
      <c r="H101" t="s">
        <v>35</v>
      </c>
      <c r="I101" t="s">
        <v>445</v>
      </c>
      <c r="J101" t="s">
        <v>24</v>
      </c>
      <c r="K101" t="s">
        <v>446</v>
      </c>
      <c r="L101" t="s">
        <v>25</v>
      </c>
      <c r="M101" t="s">
        <v>468</v>
      </c>
      <c r="N101" t="s">
        <v>24</v>
      </c>
    </row>
    <row r="102" spans="1:14" x14ac:dyDescent="0.3">
      <c r="A102">
        <v>221</v>
      </c>
      <c r="B102" t="s">
        <v>441</v>
      </c>
      <c r="C102" t="s">
        <v>475</v>
      </c>
      <c r="D102" t="s">
        <v>476</v>
      </c>
      <c r="E102" t="s">
        <v>59</v>
      </c>
      <c r="F102" t="s">
        <v>477</v>
      </c>
      <c r="G102" t="s">
        <v>451</v>
      </c>
      <c r="H102" t="s">
        <v>35</v>
      </c>
      <c r="I102" t="s">
        <v>445</v>
      </c>
      <c r="J102" t="s">
        <v>24</v>
      </c>
      <c r="K102" t="s">
        <v>446</v>
      </c>
      <c r="L102" t="s">
        <v>25</v>
      </c>
      <c r="M102" t="s">
        <v>478</v>
      </c>
      <c r="N102" t="s">
        <v>24</v>
      </c>
    </row>
    <row r="103" spans="1:14" x14ac:dyDescent="0.3">
      <c r="A103">
        <v>222</v>
      </c>
      <c r="B103" t="s">
        <v>441</v>
      </c>
      <c r="C103" t="s">
        <v>479</v>
      </c>
      <c r="D103" t="s">
        <v>480</v>
      </c>
      <c r="E103" t="s">
        <v>51</v>
      </c>
      <c r="F103" t="s">
        <v>481</v>
      </c>
      <c r="G103" t="s">
        <v>41</v>
      </c>
      <c r="H103" t="s">
        <v>35</v>
      </c>
      <c r="I103" t="s">
        <v>445</v>
      </c>
      <c r="J103" t="s">
        <v>24</v>
      </c>
      <c r="K103" t="s">
        <v>446</v>
      </c>
      <c r="L103" t="s">
        <v>25</v>
      </c>
      <c r="M103" t="s">
        <v>468</v>
      </c>
      <c r="N103" t="s">
        <v>24</v>
      </c>
    </row>
    <row r="104" spans="1:14" x14ac:dyDescent="0.3">
      <c r="A104">
        <v>223</v>
      </c>
      <c r="B104" t="s">
        <v>441</v>
      </c>
      <c r="C104" t="s">
        <v>482</v>
      </c>
      <c r="D104" t="s">
        <v>483</v>
      </c>
      <c r="E104" t="s">
        <v>51</v>
      </c>
      <c r="F104" t="s">
        <v>484</v>
      </c>
      <c r="G104" t="s">
        <v>41</v>
      </c>
      <c r="H104" t="s">
        <v>35</v>
      </c>
      <c r="I104" t="s">
        <v>445</v>
      </c>
      <c r="J104" t="s">
        <v>24</v>
      </c>
      <c r="K104" t="s">
        <v>446</v>
      </c>
      <c r="L104" t="s">
        <v>25</v>
      </c>
      <c r="M104" t="s">
        <v>468</v>
      </c>
      <c r="N104" t="s">
        <v>24</v>
      </c>
    </row>
    <row r="105" spans="1:14" x14ac:dyDescent="0.3">
      <c r="A105">
        <v>224</v>
      </c>
      <c r="B105" t="s">
        <v>441</v>
      </c>
      <c r="C105" t="s">
        <v>485</v>
      </c>
      <c r="D105" t="s">
        <v>486</v>
      </c>
      <c r="E105" t="s">
        <v>59</v>
      </c>
      <c r="F105" t="s">
        <v>487</v>
      </c>
      <c r="G105" t="s">
        <v>41</v>
      </c>
      <c r="H105" t="s">
        <v>35</v>
      </c>
      <c r="I105" t="s">
        <v>445</v>
      </c>
      <c r="J105" t="s">
        <v>24</v>
      </c>
      <c r="K105" t="s">
        <v>446</v>
      </c>
      <c r="L105" t="s">
        <v>25</v>
      </c>
      <c r="M105" t="s">
        <v>488</v>
      </c>
      <c r="N105" t="s">
        <v>24</v>
      </c>
    </row>
    <row r="106" spans="1:14" x14ac:dyDescent="0.3">
      <c r="B106" t="s">
        <v>221</v>
      </c>
      <c r="C106" t="s">
        <v>489</v>
      </c>
      <c r="D106" t="s">
        <v>490</v>
      </c>
      <c r="F106" t="s">
        <v>491</v>
      </c>
      <c r="L106" t="s">
        <v>25</v>
      </c>
      <c r="M106" t="s">
        <v>492</v>
      </c>
    </row>
    <row r="107" spans="1:14" x14ac:dyDescent="0.3">
      <c r="A107">
        <v>225</v>
      </c>
      <c r="B107" t="s">
        <v>441</v>
      </c>
      <c r="C107" t="s">
        <v>493</v>
      </c>
      <c r="D107" t="s">
        <v>494</v>
      </c>
      <c r="E107" t="s">
        <v>51</v>
      </c>
      <c r="F107" t="s">
        <v>495</v>
      </c>
      <c r="G107" t="s">
        <v>496</v>
      </c>
      <c r="H107" t="s">
        <v>35</v>
      </c>
      <c r="I107" t="s">
        <v>497</v>
      </c>
      <c r="J107" t="s">
        <v>24</v>
      </c>
      <c r="K107" t="s">
        <v>498</v>
      </c>
      <c r="L107" t="s">
        <v>25</v>
      </c>
      <c r="M107" t="s">
        <v>499</v>
      </c>
      <c r="N107" t="s">
        <v>24</v>
      </c>
    </row>
    <row r="108" spans="1:14" x14ac:dyDescent="0.3">
      <c r="A108">
        <v>226</v>
      </c>
      <c r="B108" t="s">
        <v>441</v>
      </c>
      <c r="C108" t="s">
        <v>500</v>
      </c>
      <c r="D108" t="s">
        <v>501</v>
      </c>
      <c r="E108" t="s">
        <v>51</v>
      </c>
      <c r="F108" t="s">
        <v>495</v>
      </c>
      <c r="G108" t="s">
        <v>496</v>
      </c>
      <c r="H108" t="s">
        <v>35</v>
      </c>
      <c r="I108" t="s">
        <v>497</v>
      </c>
      <c r="J108" t="s">
        <v>24</v>
      </c>
      <c r="K108" t="s">
        <v>498</v>
      </c>
      <c r="L108" t="s">
        <v>25</v>
      </c>
      <c r="M108" t="s">
        <v>499</v>
      </c>
      <c r="N108" t="s">
        <v>24</v>
      </c>
    </row>
    <row r="109" spans="1:14" x14ac:dyDescent="0.3">
      <c r="A109">
        <v>227</v>
      </c>
      <c r="B109" t="s">
        <v>441</v>
      </c>
      <c r="C109" t="s">
        <v>502</v>
      </c>
      <c r="D109" t="s">
        <v>503</v>
      </c>
      <c r="E109" t="s">
        <v>51</v>
      </c>
      <c r="F109" t="s">
        <v>495</v>
      </c>
      <c r="G109" t="s">
        <v>496</v>
      </c>
      <c r="H109" t="s">
        <v>35</v>
      </c>
      <c r="I109" t="s">
        <v>497</v>
      </c>
      <c r="J109" t="s">
        <v>24</v>
      </c>
      <c r="K109" t="s">
        <v>498</v>
      </c>
      <c r="L109" t="s">
        <v>25</v>
      </c>
      <c r="M109" t="s">
        <v>504</v>
      </c>
      <c r="N109" t="s">
        <v>24</v>
      </c>
    </row>
  </sheetData>
  <mergeCells count="2">
    <mergeCell ref="A2:M2"/>
    <mergeCell ref="A1:M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711"/>
  <sheetViews>
    <sheetView showGridLines="0" workbookViewId="0">
      <selection sqref="A1:K1"/>
    </sheetView>
  </sheetViews>
  <sheetFormatPr defaultColWidth="8.6640625" defaultRowHeight="14.4" x14ac:dyDescent="0.3"/>
  <cols>
    <col min="1" max="2" width="12" customWidth="1"/>
    <col min="3" max="3" width="14" customWidth="1"/>
    <col min="4" max="5" width="12" customWidth="1"/>
    <col min="6" max="6" width="26" customWidth="1"/>
    <col min="7" max="7" width="12" customWidth="1"/>
    <col min="8" max="8" width="20" customWidth="1"/>
    <col min="9" max="9" width="16" customWidth="1"/>
    <col min="10" max="10" width="12" customWidth="1"/>
    <col min="11" max="11" width="30" customWidth="1"/>
    <col min="12" max="12" width="14" customWidth="1"/>
    <col min="13" max="13" width="16" customWidth="1"/>
    <col min="14" max="14" width="12" customWidth="1"/>
  </cols>
  <sheetData>
    <row r="1" spans="1:14" ht="25.5" customHeight="1" x14ac:dyDescent="0.3">
      <c r="A1" s="53" t="s">
        <v>505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spans="1:14" ht="14.25" customHeight="1" x14ac:dyDescent="0.3">
      <c r="A2" s="4" t="s">
        <v>21</v>
      </c>
      <c r="B2" s="4" t="s">
        <v>506</v>
      </c>
      <c r="C2" s="4" t="s">
        <v>506</v>
      </c>
      <c r="D2" s="4" t="s">
        <v>506</v>
      </c>
      <c r="E2" s="4" t="s">
        <v>506</v>
      </c>
      <c r="F2" s="4" t="s">
        <v>507</v>
      </c>
      <c r="G2" s="4" t="s">
        <v>508</v>
      </c>
      <c r="H2" s="4" t="s">
        <v>509</v>
      </c>
      <c r="I2" s="4" t="s">
        <v>510</v>
      </c>
      <c r="J2" s="4" t="s">
        <v>511</v>
      </c>
      <c r="K2" s="4" t="s">
        <v>512</v>
      </c>
      <c r="L2" t="s">
        <v>507</v>
      </c>
    </row>
    <row r="3" spans="1:14" ht="24" customHeight="1" x14ac:dyDescent="0.3">
      <c r="A3" s="47" t="s">
        <v>17</v>
      </c>
      <c r="B3" s="47" t="s">
        <v>27</v>
      </c>
      <c r="C3" s="47" t="s">
        <v>32</v>
      </c>
      <c r="D3" s="47" t="s">
        <v>38</v>
      </c>
      <c r="E3" s="47" t="s">
        <v>44</v>
      </c>
      <c r="F3" s="47" t="s">
        <v>513</v>
      </c>
      <c r="G3" s="47" t="s">
        <v>514</v>
      </c>
      <c r="H3" s="47" t="s">
        <v>515</v>
      </c>
      <c r="I3" s="47" t="s">
        <v>516</v>
      </c>
      <c r="J3" s="47" t="s">
        <v>517</v>
      </c>
      <c r="K3" s="47" t="s">
        <v>518</v>
      </c>
      <c r="L3" s="48" t="s">
        <v>519</v>
      </c>
      <c r="M3" s="48" t="s">
        <v>520</v>
      </c>
      <c r="N3" s="48" t="s">
        <v>15</v>
      </c>
    </row>
    <row r="4" spans="1:14" ht="14.25" customHeight="1" x14ac:dyDescent="0.3">
      <c r="A4" t="s">
        <v>521</v>
      </c>
      <c r="B4" t="s">
        <v>522</v>
      </c>
      <c r="C4" t="s">
        <v>523</v>
      </c>
      <c r="D4" t="s">
        <v>451</v>
      </c>
      <c r="E4" t="s">
        <v>524</v>
      </c>
      <c r="F4" t="s">
        <v>406</v>
      </c>
      <c r="I4">
        <v>430000000</v>
      </c>
      <c r="J4" t="s">
        <v>451</v>
      </c>
      <c r="L4" t="str">
        <f>IFERROR(INDEX(Diccionario!$B:$B,MATCH(F4,Diccionario!$C:$C,0)),"")</f>
        <v>Finanzas</v>
      </c>
      <c r="M4" t="str">
        <f>IFERROR(INDEX(Diccionario!$H:$H,MATCH(F4,Diccionario!$C:$C,0)),"")</f>
        <v>Finanzas</v>
      </c>
      <c r="N4" t="str">
        <f>IFERROR(INDEX(Diccionario!$N:$N,MATCH(F4,Diccionario!$C:$C,0)),"")</f>
        <v>Mensual</v>
      </c>
    </row>
    <row r="5" spans="1:14" ht="14.25" customHeight="1" x14ac:dyDescent="0.3">
      <c r="A5" t="s">
        <v>521</v>
      </c>
      <c r="B5" t="s">
        <v>522</v>
      </c>
      <c r="C5" t="s">
        <v>523</v>
      </c>
      <c r="D5" t="s">
        <v>451</v>
      </c>
      <c r="E5" t="s">
        <v>524</v>
      </c>
      <c r="F5" t="s">
        <v>72</v>
      </c>
      <c r="I5">
        <v>547000000</v>
      </c>
      <c r="J5" t="s">
        <v>451</v>
      </c>
      <c r="L5" t="str">
        <f>IFERROR(INDEX(Diccionario!$B:$B,MATCH(F5,Diccionario!$C:$C,0)),"")</f>
        <v>Finanzas</v>
      </c>
      <c r="M5" t="str">
        <f>IFERROR(INDEX(Diccionario!$H:$H,MATCH(F5,Diccionario!$C:$C,0)),"")</f>
        <v>Finanzas</v>
      </c>
      <c r="N5" t="str">
        <f>IFERROR(INDEX(Diccionario!$N:$N,MATCH(F5,Diccionario!$C:$C,0)),"")</f>
        <v>Mensual</v>
      </c>
    </row>
    <row r="6" spans="1:14" ht="14.25" customHeight="1" x14ac:dyDescent="0.3">
      <c r="A6" t="s">
        <v>521</v>
      </c>
      <c r="B6" t="s">
        <v>522</v>
      </c>
      <c r="C6" t="s">
        <v>523</v>
      </c>
      <c r="D6" t="s">
        <v>451</v>
      </c>
      <c r="E6" t="s">
        <v>524</v>
      </c>
      <c r="F6" t="s">
        <v>76</v>
      </c>
      <c r="I6">
        <v>-117000000</v>
      </c>
      <c r="J6" t="s">
        <v>451</v>
      </c>
      <c r="K6" t="s">
        <v>525</v>
      </c>
      <c r="L6" t="str">
        <f>IFERROR(INDEX(Diccionario!$B:$B,MATCH(F6,Diccionario!$C:$C,0)),"")</f>
        <v>Finanzas</v>
      </c>
      <c r="M6" t="str">
        <f>IFERROR(INDEX(Diccionario!$H:$H,MATCH(F6,Diccionario!$C:$C,0)),"")</f>
        <v>Finanzas</v>
      </c>
      <c r="N6" t="str">
        <f>IFERROR(INDEX(Diccionario!$N:$N,MATCH(F6,Diccionario!$C:$C,0)),"")</f>
        <v>Mensual</v>
      </c>
    </row>
    <row r="7" spans="1:14" ht="14.25" customHeight="1" x14ac:dyDescent="0.3">
      <c r="A7" t="s">
        <v>526</v>
      </c>
      <c r="B7" t="s">
        <v>522</v>
      </c>
      <c r="C7" t="s">
        <v>523</v>
      </c>
      <c r="D7" t="s">
        <v>451</v>
      </c>
      <c r="E7" t="s">
        <v>524</v>
      </c>
      <c r="F7" t="s">
        <v>406</v>
      </c>
      <c r="I7">
        <v>692000000</v>
      </c>
      <c r="J7" t="s">
        <v>451</v>
      </c>
      <c r="L7" t="str">
        <f>IFERROR(INDEX(Diccionario!$B:$B,MATCH(F7,Diccionario!$C:$C,0)),"")</f>
        <v>Finanzas</v>
      </c>
      <c r="M7" t="str">
        <f>IFERROR(INDEX(Diccionario!$H:$H,MATCH(F7,Diccionario!$C:$C,0)),"")</f>
        <v>Finanzas</v>
      </c>
      <c r="N7" t="str">
        <f>IFERROR(INDEX(Diccionario!$N:$N,MATCH(F7,Diccionario!$C:$C,0)),"")</f>
        <v>Mensual</v>
      </c>
    </row>
    <row r="8" spans="1:14" ht="14.25" customHeight="1" x14ac:dyDescent="0.3">
      <c r="A8" t="s">
        <v>526</v>
      </c>
      <c r="B8" t="s">
        <v>522</v>
      </c>
      <c r="C8" t="s">
        <v>523</v>
      </c>
      <c r="D8" t="s">
        <v>451</v>
      </c>
      <c r="E8" t="s">
        <v>524</v>
      </c>
      <c r="F8" t="s">
        <v>72</v>
      </c>
      <c r="I8">
        <v>515000000</v>
      </c>
      <c r="J8" t="s">
        <v>451</v>
      </c>
      <c r="L8" t="str">
        <f>IFERROR(INDEX(Diccionario!$B:$B,MATCH(F8,Diccionario!$C:$C,0)),"")</f>
        <v>Finanzas</v>
      </c>
      <c r="M8" t="str">
        <f>IFERROR(INDEX(Diccionario!$H:$H,MATCH(F8,Diccionario!$C:$C,0)),"")</f>
        <v>Finanzas</v>
      </c>
      <c r="N8" t="str">
        <f>IFERROR(INDEX(Diccionario!$N:$N,MATCH(F8,Diccionario!$C:$C,0)),"")</f>
        <v>Mensual</v>
      </c>
    </row>
    <row r="9" spans="1:14" ht="14.25" customHeight="1" x14ac:dyDescent="0.3">
      <c r="A9" t="s">
        <v>526</v>
      </c>
      <c r="B9" t="s">
        <v>522</v>
      </c>
      <c r="C9" t="s">
        <v>523</v>
      </c>
      <c r="D9" t="s">
        <v>451</v>
      </c>
      <c r="E9" t="s">
        <v>524</v>
      </c>
      <c r="F9" t="s">
        <v>76</v>
      </c>
      <c r="I9">
        <v>177000000</v>
      </c>
      <c r="J9" t="s">
        <v>451</v>
      </c>
      <c r="K9" t="s">
        <v>525</v>
      </c>
      <c r="L9" t="str">
        <f>IFERROR(INDEX(Diccionario!$B:$B,MATCH(F9,Diccionario!$C:$C,0)),"")</f>
        <v>Finanzas</v>
      </c>
      <c r="M9" t="str">
        <f>IFERROR(INDEX(Diccionario!$H:$H,MATCH(F9,Diccionario!$C:$C,0)),"")</f>
        <v>Finanzas</v>
      </c>
      <c r="N9" t="str">
        <f>IFERROR(INDEX(Diccionario!$N:$N,MATCH(F9,Diccionario!$C:$C,0)),"")</f>
        <v>Mensual</v>
      </c>
    </row>
    <row r="10" spans="1:14" ht="14.25" customHeight="1" x14ac:dyDescent="0.3">
      <c r="A10" t="s">
        <v>527</v>
      </c>
      <c r="B10" t="s">
        <v>522</v>
      </c>
      <c r="C10" t="s">
        <v>523</v>
      </c>
      <c r="D10" t="s">
        <v>451</v>
      </c>
      <c r="E10" t="s">
        <v>524</v>
      </c>
      <c r="F10" t="s">
        <v>406</v>
      </c>
      <c r="I10">
        <v>582000000</v>
      </c>
      <c r="J10" t="s">
        <v>451</v>
      </c>
      <c r="L10" t="str">
        <f>IFERROR(INDEX(Diccionario!$B:$B,MATCH(F10,Diccionario!$C:$C,0)),"")</f>
        <v>Finanzas</v>
      </c>
      <c r="M10" t="str">
        <f>IFERROR(INDEX(Diccionario!$H:$H,MATCH(F10,Diccionario!$C:$C,0)),"")</f>
        <v>Finanzas</v>
      </c>
      <c r="N10" t="str">
        <f>IFERROR(INDEX(Diccionario!$N:$N,MATCH(F10,Diccionario!$C:$C,0)),"")</f>
        <v>Mensual</v>
      </c>
    </row>
    <row r="11" spans="1:14" ht="14.25" customHeight="1" x14ac:dyDescent="0.3">
      <c r="A11" t="s">
        <v>527</v>
      </c>
      <c r="B11" t="s">
        <v>522</v>
      </c>
      <c r="C11" t="s">
        <v>523</v>
      </c>
      <c r="D11" t="s">
        <v>451</v>
      </c>
      <c r="E11" t="s">
        <v>524</v>
      </c>
      <c r="F11" t="s">
        <v>72</v>
      </c>
      <c r="I11">
        <v>571000000</v>
      </c>
      <c r="J11" t="s">
        <v>451</v>
      </c>
      <c r="L11" t="str">
        <f>IFERROR(INDEX(Diccionario!$B:$B,MATCH(F11,Diccionario!$C:$C,0)),"")</f>
        <v>Finanzas</v>
      </c>
      <c r="M11" t="str">
        <f>IFERROR(INDEX(Diccionario!$H:$H,MATCH(F11,Diccionario!$C:$C,0)),"")</f>
        <v>Finanzas</v>
      </c>
      <c r="N11" t="str">
        <f>IFERROR(INDEX(Diccionario!$N:$N,MATCH(F11,Diccionario!$C:$C,0)),"")</f>
        <v>Mensual</v>
      </c>
    </row>
    <row r="12" spans="1:14" ht="14.25" customHeight="1" x14ac:dyDescent="0.3">
      <c r="A12" t="s">
        <v>527</v>
      </c>
      <c r="B12" t="s">
        <v>522</v>
      </c>
      <c r="C12" t="s">
        <v>523</v>
      </c>
      <c r="D12" t="s">
        <v>451</v>
      </c>
      <c r="E12" t="s">
        <v>524</v>
      </c>
      <c r="F12" t="s">
        <v>76</v>
      </c>
      <c r="I12">
        <v>11000000</v>
      </c>
      <c r="J12" t="s">
        <v>451</v>
      </c>
      <c r="K12" t="s">
        <v>525</v>
      </c>
      <c r="L12" t="str">
        <f>IFERROR(INDEX(Diccionario!$B:$B,MATCH(F12,Diccionario!$C:$C,0)),"")</f>
        <v>Finanzas</v>
      </c>
      <c r="M12" t="str">
        <f>IFERROR(INDEX(Diccionario!$H:$H,MATCH(F12,Diccionario!$C:$C,0)),"")</f>
        <v>Finanzas</v>
      </c>
      <c r="N12" t="str">
        <f>IFERROR(INDEX(Diccionario!$N:$N,MATCH(F12,Diccionario!$C:$C,0)),"")</f>
        <v>Mensual</v>
      </c>
    </row>
    <row r="13" spans="1:14" ht="14.25" customHeight="1" x14ac:dyDescent="0.3">
      <c r="A13" t="s">
        <v>528</v>
      </c>
      <c r="B13" t="s">
        <v>522</v>
      </c>
      <c r="C13" t="s">
        <v>523</v>
      </c>
      <c r="D13" t="s">
        <v>451</v>
      </c>
      <c r="E13" t="s">
        <v>524</v>
      </c>
      <c r="F13" t="s">
        <v>406</v>
      </c>
      <c r="I13">
        <v>578000000</v>
      </c>
      <c r="J13" t="s">
        <v>451</v>
      </c>
      <c r="L13" t="str">
        <f>IFERROR(INDEX(Diccionario!$B:$B,MATCH(F13,Diccionario!$C:$C,0)),"")</f>
        <v>Finanzas</v>
      </c>
      <c r="M13" t="str">
        <f>IFERROR(INDEX(Diccionario!$H:$H,MATCH(F13,Diccionario!$C:$C,0)),"")</f>
        <v>Finanzas</v>
      </c>
      <c r="N13" t="str">
        <f>IFERROR(INDEX(Diccionario!$N:$N,MATCH(F13,Diccionario!$C:$C,0)),"")</f>
        <v>Mensual</v>
      </c>
    </row>
    <row r="14" spans="1:14" ht="14.25" customHeight="1" x14ac:dyDescent="0.3">
      <c r="A14" t="s">
        <v>528</v>
      </c>
      <c r="B14" t="s">
        <v>522</v>
      </c>
      <c r="C14" t="s">
        <v>523</v>
      </c>
      <c r="D14" t="s">
        <v>451</v>
      </c>
      <c r="E14" t="s">
        <v>524</v>
      </c>
      <c r="F14" t="s">
        <v>72</v>
      </c>
      <c r="I14">
        <v>573000000</v>
      </c>
      <c r="J14" t="s">
        <v>451</v>
      </c>
      <c r="L14" t="str">
        <f>IFERROR(INDEX(Diccionario!$B:$B,MATCH(F14,Diccionario!$C:$C,0)),"")</f>
        <v>Finanzas</v>
      </c>
      <c r="M14" t="str">
        <f>IFERROR(INDEX(Diccionario!$H:$H,MATCH(F14,Diccionario!$C:$C,0)),"")</f>
        <v>Finanzas</v>
      </c>
      <c r="N14" t="str">
        <f>IFERROR(INDEX(Diccionario!$N:$N,MATCH(F14,Diccionario!$C:$C,0)),"")</f>
        <v>Mensual</v>
      </c>
    </row>
    <row r="15" spans="1:14" ht="14.25" customHeight="1" x14ac:dyDescent="0.3">
      <c r="A15" t="s">
        <v>528</v>
      </c>
      <c r="B15" t="s">
        <v>522</v>
      </c>
      <c r="C15" t="s">
        <v>523</v>
      </c>
      <c r="D15" t="s">
        <v>451</v>
      </c>
      <c r="E15" t="s">
        <v>524</v>
      </c>
      <c r="F15" t="s">
        <v>76</v>
      </c>
      <c r="I15">
        <v>5000000</v>
      </c>
      <c r="J15" t="s">
        <v>451</v>
      </c>
      <c r="K15" t="s">
        <v>525</v>
      </c>
      <c r="L15" t="str">
        <f>IFERROR(INDEX(Diccionario!$B:$B,MATCH(F15,Diccionario!$C:$C,0)),"")</f>
        <v>Finanzas</v>
      </c>
      <c r="M15" t="str">
        <f>IFERROR(INDEX(Diccionario!$H:$H,MATCH(F15,Diccionario!$C:$C,0)),"")</f>
        <v>Finanzas</v>
      </c>
      <c r="N15" t="str">
        <f>IFERROR(INDEX(Diccionario!$N:$N,MATCH(F15,Diccionario!$C:$C,0)),"")</f>
        <v>Mensual</v>
      </c>
    </row>
    <row r="16" spans="1:14" ht="14.25" customHeight="1" x14ac:dyDescent="0.3">
      <c r="A16" t="s">
        <v>529</v>
      </c>
      <c r="B16" t="s">
        <v>522</v>
      </c>
      <c r="C16" t="s">
        <v>523</v>
      </c>
      <c r="D16" t="s">
        <v>451</v>
      </c>
      <c r="E16" t="s">
        <v>524</v>
      </c>
      <c r="F16" t="s">
        <v>406</v>
      </c>
      <c r="I16">
        <v>679000000</v>
      </c>
      <c r="J16" t="s">
        <v>451</v>
      </c>
      <c r="L16" t="str">
        <f>IFERROR(INDEX(Diccionario!$B:$B,MATCH(F16,Diccionario!$C:$C,0)),"")</f>
        <v>Finanzas</v>
      </c>
      <c r="M16" t="str">
        <f>IFERROR(INDEX(Diccionario!$H:$H,MATCH(F16,Diccionario!$C:$C,0)),"")</f>
        <v>Finanzas</v>
      </c>
      <c r="N16" t="str">
        <f>IFERROR(INDEX(Diccionario!$N:$N,MATCH(F16,Diccionario!$C:$C,0)),"")</f>
        <v>Mensual</v>
      </c>
    </row>
    <row r="17" spans="1:14" ht="14.25" customHeight="1" x14ac:dyDescent="0.3">
      <c r="A17" t="s">
        <v>529</v>
      </c>
      <c r="B17" t="s">
        <v>522</v>
      </c>
      <c r="C17" t="s">
        <v>523</v>
      </c>
      <c r="D17" t="s">
        <v>451</v>
      </c>
      <c r="E17" t="s">
        <v>524</v>
      </c>
      <c r="F17" t="s">
        <v>72</v>
      </c>
      <c r="I17">
        <v>574000000</v>
      </c>
      <c r="J17" t="s">
        <v>451</v>
      </c>
      <c r="L17" t="str">
        <f>IFERROR(INDEX(Diccionario!$B:$B,MATCH(F17,Diccionario!$C:$C,0)),"")</f>
        <v>Finanzas</v>
      </c>
      <c r="M17" t="str">
        <f>IFERROR(INDEX(Diccionario!$H:$H,MATCH(F17,Diccionario!$C:$C,0)),"")</f>
        <v>Finanzas</v>
      </c>
      <c r="N17" t="str">
        <f>IFERROR(INDEX(Diccionario!$N:$N,MATCH(F17,Diccionario!$C:$C,0)),"")</f>
        <v>Mensual</v>
      </c>
    </row>
    <row r="18" spans="1:14" ht="14.25" customHeight="1" x14ac:dyDescent="0.3">
      <c r="A18" t="s">
        <v>529</v>
      </c>
      <c r="B18" t="s">
        <v>522</v>
      </c>
      <c r="C18" t="s">
        <v>523</v>
      </c>
      <c r="D18" t="s">
        <v>451</v>
      </c>
      <c r="E18" t="s">
        <v>524</v>
      </c>
      <c r="F18" t="s">
        <v>76</v>
      </c>
      <c r="I18">
        <v>105000000</v>
      </c>
      <c r="J18" t="s">
        <v>451</v>
      </c>
      <c r="K18" t="s">
        <v>525</v>
      </c>
      <c r="L18" t="str">
        <f>IFERROR(INDEX(Diccionario!$B:$B,MATCH(F18,Diccionario!$C:$C,0)),"")</f>
        <v>Finanzas</v>
      </c>
      <c r="M18" t="str">
        <f>IFERROR(INDEX(Diccionario!$H:$H,MATCH(F18,Diccionario!$C:$C,0)),"")</f>
        <v>Finanzas</v>
      </c>
      <c r="N18" t="str">
        <f>IFERROR(INDEX(Diccionario!$N:$N,MATCH(F18,Diccionario!$C:$C,0)),"")</f>
        <v>Mensual</v>
      </c>
    </row>
    <row r="19" spans="1:14" ht="14.25" customHeight="1" x14ac:dyDescent="0.3">
      <c r="A19" t="s">
        <v>530</v>
      </c>
      <c r="B19" t="s">
        <v>522</v>
      </c>
      <c r="C19" t="s">
        <v>523</v>
      </c>
      <c r="D19" t="s">
        <v>451</v>
      </c>
      <c r="E19" t="s">
        <v>524</v>
      </c>
      <c r="F19" t="s">
        <v>406</v>
      </c>
      <c r="I19">
        <v>684000000</v>
      </c>
      <c r="J19" t="s">
        <v>451</v>
      </c>
      <c r="L19" t="str">
        <f>IFERROR(INDEX(Diccionario!$B:$B,MATCH(F19,Diccionario!$C:$C,0)),"")</f>
        <v>Finanzas</v>
      </c>
      <c r="M19" t="str">
        <f>IFERROR(INDEX(Diccionario!$H:$H,MATCH(F19,Diccionario!$C:$C,0)),"")</f>
        <v>Finanzas</v>
      </c>
      <c r="N19" t="str">
        <f>IFERROR(INDEX(Diccionario!$N:$N,MATCH(F19,Diccionario!$C:$C,0)),"")</f>
        <v>Mensual</v>
      </c>
    </row>
    <row r="20" spans="1:14" ht="14.25" customHeight="1" x14ac:dyDescent="0.3">
      <c r="A20" t="s">
        <v>530</v>
      </c>
      <c r="B20" t="s">
        <v>522</v>
      </c>
      <c r="C20" t="s">
        <v>523</v>
      </c>
      <c r="D20" t="s">
        <v>451</v>
      </c>
      <c r="E20" t="s">
        <v>524</v>
      </c>
      <c r="F20" t="s">
        <v>72</v>
      </c>
      <c r="I20">
        <v>611000000</v>
      </c>
      <c r="J20" t="s">
        <v>451</v>
      </c>
      <c r="L20" t="str">
        <f>IFERROR(INDEX(Diccionario!$B:$B,MATCH(F20,Diccionario!$C:$C,0)),"")</f>
        <v>Finanzas</v>
      </c>
      <c r="M20" t="str">
        <f>IFERROR(INDEX(Diccionario!$H:$H,MATCH(F20,Diccionario!$C:$C,0)),"")</f>
        <v>Finanzas</v>
      </c>
      <c r="N20" t="str">
        <f>IFERROR(INDEX(Diccionario!$N:$N,MATCH(F20,Diccionario!$C:$C,0)),"")</f>
        <v>Mensual</v>
      </c>
    </row>
    <row r="21" spans="1:14" ht="14.25" customHeight="1" x14ac:dyDescent="0.3">
      <c r="A21" t="s">
        <v>530</v>
      </c>
      <c r="B21" t="s">
        <v>522</v>
      </c>
      <c r="C21" t="s">
        <v>523</v>
      </c>
      <c r="D21" t="s">
        <v>451</v>
      </c>
      <c r="E21" t="s">
        <v>524</v>
      </c>
      <c r="F21" t="s">
        <v>76</v>
      </c>
      <c r="I21">
        <v>73000000</v>
      </c>
      <c r="J21" t="s">
        <v>451</v>
      </c>
      <c r="K21" t="s">
        <v>525</v>
      </c>
      <c r="L21" t="str">
        <f>IFERROR(INDEX(Diccionario!$B:$B,MATCH(F21,Diccionario!$C:$C,0)),"")</f>
        <v>Finanzas</v>
      </c>
      <c r="M21" t="str">
        <f>IFERROR(INDEX(Diccionario!$H:$H,MATCH(F21,Diccionario!$C:$C,0)),"")</f>
        <v>Finanzas</v>
      </c>
      <c r="N21" t="str">
        <f>IFERROR(INDEX(Diccionario!$N:$N,MATCH(F21,Diccionario!$C:$C,0)),"")</f>
        <v>Mensual</v>
      </c>
    </row>
    <row r="22" spans="1:14" ht="14.25" customHeight="1" x14ac:dyDescent="0.3">
      <c r="A22" t="s">
        <v>531</v>
      </c>
      <c r="B22" t="s">
        <v>522</v>
      </c>
      <c r="C22" t="s">
        <v>523</v>
      </c>
      <c r="D22" t="s">
        <v>451</v>
      </c>
      <c r="E22" t="s">
        <v>524</v>
      </c>
      <c r="F22" t="s">
        <v>406</v>
      </c>
      <c r="I22">
        <v>642000000</v>
      </c>
      <c r="J22" t="s">
        <v>451</v>
      </c>
      <c r="L22" t="str">
        <f>IFERROR(INDEX(Diccionario!$B:$B,MATCH(F22,Diccionario!$C:$C,0)),"")</f>
        <v>Finanzas</v>
      </c>
      <c r="M22" t="str">
        <f>IFERROR(INDEX(Diccionario!$H:$H,MATCH(F22,Diccionario!$C:$C,0)),"")</f>
        <v>Finanzas</v>
      </c>
      <c r="N22" t="str">
        <f>IFERROR(INDEX(Diccionario!$N:$N,MATCH(F22,Diccionario!$C:$C,0)),"")</f>
        <v>Mensual</v>
      </c>
    </row>
    <row r="23" spans="1:14" ht="14.25" customHeight="1" x14ac:dyDescent="0.3">
      <c r="A23" t="s">
        <v>531</v>
      </c>
      <c r="B23" t="s">
        <v>522</v>
      </c>
      <c r="C23" t="s">
        <v>523</v>
      </c>
      <c r="D23" t="s">
        <v>451</v>
      </c>
      <c r="E23" t="s">
        <v>524</v>
      </c>
      <c r="F23" t="s">
        <v>72</v>
      </c>
      <c r="I23">
        <v>555000000</v>
      </c>
      <c r="J23" t="s">
        <v>451</v>
      </c>
      <c r="L23" t="str">
        <f>IFERROR(INDEX(Diccionario!$B:$B,MATCH(F23,Diccionario!$C:$C,0)),"")</f>
        <v>Finanzas</v>
      </c>
      <c r="M23" t="str">
        <f>IFERROR(INDEX(Diccionario!$H:$H,MATCH(F23,Diccionario!$C:$C,0)),"")</f>
        <v>Finanzas</v>
      </c>
      <c r="N23" t="str">
        <f>IFERROR(INDEX(Diccionario!$N:$N,MATCH(F23,Diccionario!$C:$C,0)),"")</f>
        <v>Mensual</v>
      </c>
    </row>
    <row r="24" spans="1:14" ht="14.25" customHeight="1" x14ac:dyDescent="0.3">
      <c r="A24" t="s">
        <v>531</v>
      </c>
      <c r="B24" t="s">
        <v>522</v>
      </c>
      <c r="C24" t="s">
        <v>523</v>
      </c>
      <c r="D24" t="s">
        <v>451</v>
      </c>
      <c r="E24" t="s">
        <v>524</v>
      </c>
      <c r="F24" t="s">
        <v>76</v>
      </c>
      <c r="I24">
        <v>87000000</v>
      </c>
      <c r="J24" t="s">
        <v>451</v>
      </c>
      <c r="K24" t="s">
        <v>525</v>
      </c>
      <c r="L24" t="str">
        <f>IFERROR(INDEX(Diccionario!$B:$B,MATCH(F24,Diccionario!$C:$C,0)),"")</f>
        <v>Finanzas</v>
      </c>
      <c r="M24" t="str">
        <f>IFERROR(INDEX(Diccionario!$H:$H,MATCH(F24,Diccionario!$C:$C,0)),"")</f>
        <v>Finanzas</v>
      </c>
      <c r="N24" t="str">
        <f>IFERROR(INDEX(Diccionario!$N:$N,MATCH(F24,Diccionario!$C:$C,0)),"")</f>
        <v>Mensual</v>
      </c>
    </row>
    <row r="25" spans="1:14" ht="14.25" customHeight="1" x14ac:dyDescent="0.3">
      <c r="A25" t="s">
        <v>532</v>
      </c>
      <c r="B25" t="s">
        <v>522</v>
      </c>
      <c r="C25" t="s">
        <v>523</v>
      </c>
      <c r="D25" t="s">
        <v>451</v>
      </c>
      <c r="E25" t="s">
        <v>524</v>
      </c>
      <c r="F25" t="s">
        <v>406</v>
      </c>
      <c r="I25">
        <v>675000000</v>
      </c>
      <c r="J25" t="s">
        <v>451</v>
      </c>
      <c r="L25" t="str">
        <f>IFERROR(INDEX(Diccionario!$B:$B,MATCH(F25,Diccionario!$C:$C,0)),"")</f>
        <v>Finanzas</v>
      </c>
      <c r="M25" t="str">
        <f>IFERROR(INDEX(Diccionario!$H:$H,MATCH(F25,Diccionario!$C:$C,0)),"")</f>
        <v>Finanzas</v>
      </c>
      <c r="N25" t="str">
        <f>IFERROR(INDEX(Diccionario!$N:$N,MATCH(F25,Diccionario!$C:$C,0)),"")</f>
        <v>Mensual</v>
      </c>
    </row>
    <row r="26" spans="1:14" ht="14.25" customHeight="1" x14ac:dyDescent="0.3">
      <c r="A26" t="s">
        <v>532</v>
      </c>
      <c r="B26" t="s">
        <v>522</v>
      </c>
      <c r="C26" t="s">
        <v>523</v>
      </c>
      <c r="D26" t="s">
        <v>451</v>
      </c>
      <c r="E26" t="s">
        <v>524</v>
      </c>
      <c r="F26" t="s">
        <v>72</v>
      </c>
      <c r="I26">
        <v>638000000</v>
      </c>
      <c r="J26" t="s">
        <v>451</v>
      </c>
      <c r="L26" t="str">
        <f>IFERROR(INDEX(Diccionario!$B:$B,MATCH(F26,Diccionario!$C:$C,0)),"")</f>
        <v>Finanzas</v>
      </c>
      <c r="M26" t="str">
        <f>IFERROR(INDEX(Diccionario!$H:$H,MATCH(F26,Diccionario!$C:$C,0)),"")</f>
        <v>Finanzas</v>
      </c>
      <c r="N26" t="str">
        <f>IFERROR(INDEX(Diccionario!$N:$N,MATCH(F26,Diccionario!$C:$C,0)),"")</f>
        <v>Mensual</v>
      </c>
    </row>
    <row r="27" spans="1:14" ht="14.25" customHeight="1" x14ac:dyDescent="0.3">
      <c r="A27" t="s">
        <v>532</v>
      </c>
      <c r="B27" t="s">
        <v>522</v>
      </c>
      <c r="C27" t="s">
        <v>523</v>
      </c>
      <c r="D27" t="s">
        <v>451</v>
      </c>
      <c r="E27" t="s">
        <v>524</v>
      </c>
      <c r="F27" t="s">
        <v>76</v>
      </c>
      <c r="I27">
        <v>37000000</v>
      </c>
      <c r="J27" t="s">
        <v>451</v>
      </c>
      <c r="K27" t="s">
        <v>525</v>
      </c>
      <c r="L27" t="str">
        <f>IFERROR(INDEX(Diccionario!$B:$B,MATCH(F27,Diccionario!$C:$C,0)),"")</f>
        <v>Finanzas</v>
      </c>
      <c r="M27" t="str">
        <f>IFERROR(INDEX(Diccionario!$H:$H,MATCH(F27,Diccionario!$C:$C,0)),"")</f>
        <v>Finanzas</v>
      </c>
      <c r="N27" t="str">
        <f>IFERROR(INDEX(Diccionario!$N:$N,MATCH(F27,Diccionario!$C:$C,0)),"")</f>
        <v>Mensual</v>
      </c>
    </row>
    <row r="28" spans="1:14" ht="14.25" customHeight="1" x14ac:dyDescent="0.3">
      <c r="A28" t="s">
        <v>533</v>
      </c>
      <c r="B28" t="s">
        <v>522</v>
      </c>
      <c r="C28" t="s">
        <v>523</v>
      </c>
      <c r="D28" t="s">
        <v>451</v>
      </c>
      <c r="E28" t="s">
        <v>524</v>
      </c>
      <c r="F28" t="s">
        <v>406</v>
      </c>
      <c r="I28">
        <v>663000000</v>
      </c>
      <c r="J28" t="s">
        <v>451</v>
      </c>
      <c r="L28" t="str">
        <f>IFERROR(INDEX(Diccionario!$B:$B,MATCH(F28,Diccionario!$C:$C,0)),"")</f>
        <v>Finanzas</v>
      </c>
      <c r="M28" t="str">
        <f>IFERROR(INDEX(Diccionario!$H:$H,MATCH(F28,Diccionario!$C:$C,0)),"")</f>
        <v>Finanzas</v>
      </c>
      <c r="N28" t="str">
        <f>IFERROR(INDEX(Diccionario!$N:$N,MATCH(F28,Diccionario!$C:$C,0)),"")</f>
        <v>Mensual</v>
      </c>
    </row>
    <row r="29" spans="1:14" ht="14.25" customHeight="1" x14ac:dyDescent="0.3">
      <c r="A29" t="s">
        <v>533</v>
      </c>
      <c r="B29" t="s">
        <v>522</v>
      </c>
      <c r="C29" t="s">
        <v>523</v>
      </c>
      <c r="D29" t="s">
        <v>451</v>
      </c>
      <c r="E29" t="s">
        <v>524</v>
      </c>
      <c r="F29" t="s">
        <v>72</v>
      </c>
      <c r="I29">
        <v>679000000</v>
      </c>
      <c r="J29" t="s">
        <v>451</v>
      </c>
      <c r="L29" t="str">
        <f>IFERROR(INDEX(Diccionario!$B:$B,MATCH(F29,Diccionario!$C:$C,0)),"")</f>
        <v>Finanzas</v>
      </c>
      <c r="M29" t="str">
        <f>IFERROR(INDEX(Diccionario!$H:$H,MATCH(F29,Diccionario!$C:$C,0)),"")</f>
        <v>Finanzas</v>
      </c>
      <c r="N29" t="str">
        <f>IFERROR(INDEX(Diccionario!$N:$N,MATCH(F29,Diccionario!$C:$C,0)),"")</f>
        <v>Mensual</v>
      </c>
    </row>
    <row r="30" spans="1:14" ht="14.25" customHeight="1" x14ac:dyDescent="0.3">
      <c r="A30" t="s">
        <v>533</v>
      </c>
      <c r="B30" t="s">
        <v>522</v>
      </c>
      <c r="C30" t="s">
        <v>523</v>
      </c>
      <c r="D30" t="s">
        <v>451</v>
      </c>
      <c r="E30" t="s">
        <v>524</v>
      </c>
      <c r="F30" t="s">
        <v>76</v>
      </c>
      <c r="I30">
        <v>-16000000</v>
      </c>
      <c r="J30" t="s">
        <v>451</v>
      </c>
      <c r="K30" t="s">
        <v>525</v>
      </c>
      <c r="L30" t="str">
        <f>IFERROR(INDEX(Diccionario!$B:$B,MATCH(F30,Diccionario!$C:$C,0)),"")</f>
        <v>Finanzas</v>
      </c>
      <c r="M30" t="str">
        <f>IFERROR(INDEX(Diccionario!$H:$H,MATCH(F30,Diccionario!$C:$C,0)),"")</f>
        <v>Finanzas</v>
      </c>
      <c r="N30" t="str">
        <f>IFERROR(INDEX(Diccionario!$N:$N,MATCH(F30,Diccionario!$C:$C,0)),"")</f>
        <v>Mensual</v>
      </c>
    </row>
    <row r="31" spans="1:14" ht="14.25" customHeight="1" x14ac:dyDescent="0.3">
      <c r="A31" t="s">
        <v>534</v>
      </c>
      <c r="B31" t="s">
        <v>522</v>
      </c>
      <c r="C31" t="s">
        <v>523</v>
      </c>
      <c r="D31" t="s">
        <v>451</v>
      </c>
      <c r="E31" t="s">
        <v>524</v>
      </c>
      <c r="F31" t="s">
        <v>406</v>
      </c>
      <c r="I31">
        <v>672000000</v>
      </c>
      <c r="J31" t="s">
        <v>451</v>
      </c>
      <c r="L31" t="str">
        <f>IFERROR(INDEX(Diccionario!$B:$B,MATCH(F31,Diccionario!$C:$C,0)),"")</f>
        <v>Finanzas</v>
      </c>
      <c r="M31" t="str">
        <f>IFERROR(INDEX(Diccionario!$H:$H,MATCH(F31,Diccionario!$C:$C,0)),"")</f>
        <v>Finanzas</v>
      </c>
      <c r="N31" t="str">
        <f>IFERROR(INDEX(Diccionario!$N:$N,MATCH(F31,Diccionario!$C:$C,0)),"")</f>
        <v>Mensual</v>
      </c>
    </row>
    <row r="32" spans="1:14" ht="14.25" customHeight="1" x14ac:dyDescent="0.3">
      <c r="A32" t="s">
        <v>534</v>
      </c>
      <c r="B32" t="s">
        <v>522</v>
      </c>
      <c r="C32" t="s">
        <v>523</v>
      </c>
      <c r="D32" t="s">
        <v>451</v>
      </c>
      <c r="E32" t="s">
        <v>524</v>
      </c>
      <c r="F32" t="s">
        <v>72</v>
      </c>
      <c r="I32">
        <v>716000000</v>
      </c>
      <c r="J32" t="s">
        <v>451</v>
      </c>
      <c r="L32" t="str">
        <f>IFERROR(INDEX(Diccionario!$B:$B,MATCH(F32,Diccionario!$C:$C,0)),"")</f>
        <v>Finanzas</v>
      </c>
      <c r="M32" t="str">
        <f>IFERROR(INDEX(Diccionario!$H:$H,MATCH(F32,Diccionario!$C:$C,0)),"")</f>
        <v>Finanzas</v>
      </c>
      <c r="N32" t="str">
        <f>IFERROR(INDEX(Diccionario!$N:$N,MATCH(F32,Diccionario!$C:$C,0)),"")</f>
        <v>Mensual</v>
      </c>
    </row>
    <row r="33" spans="1:14" ht="14.25" customHeight="1" x14ac:dyDescent="0.3">
      <c r="A33" t="s">
        <v>534</v>
      </c>
      <c r="B33" t="s">
        <v>522</v>
      </c>
      <c r="C33" t="s">
        <v>523</v>
      </c>
      <c r="D33" t="s">
        <v>451</v>
      </c>
      <c r="E33" t="s">
        <v>524</v>
      </c>
      <c r="F33" t="s">
        <v>76</v>
      </c>
      <c r="I33">
        <v>-44000000</v>
      </c>
      <c r="J33" t="s">
        <v>451</v>
      </c>
      <c r="K33" t="s">
        <v>525</v>
      </c>
      <c r="L33" t="str">
        <f>IFERROR(INDEX(Diccionario!$B:$B,MATCH(F33,Diccionario!$C:$C,0)),"")</f>
        <v>Finanzas</v>
      </c>
      <c r="M33" t="str">
        <f>IFERROR(INDEX(Diccionario!$H:$H,MATCH(F33,Diccionario!$C:$C,0)),"")</f>
        <v>Finanzas</v>
      </c>
      <c r="N33" t="str">
        <f>IFERROR(INDEX(Diccionario!$N:$N,MATCH(F33,Diccionario!$C:$C,0)),"")</f>
        <v>Mensual</v>
      </c>
    </row>
    <row r="34" spans="1:14" ht="14.25" customHeight="1" x14ac:dyDescent="0.3">
      <c r="A34" t="s">
        <v>535</v>
      </c>
      <c r="B34" t="s">
        <v>522</v>
      </c>
      <c r="C34" t="s">
        <v>523</v>
      </c>
      <c r="D34" t="s">
        <v>451</v>
      </c>
      <c r="E34" t="s">
        <v>524</v>
      </c>
      <c r="F34" t="s">
        <v>406</v>
      </c>
      <c r="I34">
        <v>761000000</v>
      </c>
      <c r="J34" t="s">
        <v>451</v>
      </c>
      <c r="L34" t="str">
        <f>IFERROR(INDEX(Diccionario!$B:$B,MATCH(F34,Diccionario!$C:$C,0)),"")</f>
        <v>Finanzas</v>
      </c>
      <c r="M34" t="str">
        <f>IFERROR(INDEX(Diccionario!$H:$H,MATCH(F34,Diccionario!$C:$C,0)),"")</f>
        <v>Finanzas</v>
      </c>
      <c r="N34" t="str">
        <f>IFERROR(INDEX(Diccionario!$N:$N,MATCH(F34,Diccionario!$C:$C,0)),"")</f>
        <v>Mensual</v>
      </c>
    </row>
    <row r="35" spans="1:14" ht="14.25" customHeight="1" x14ac:dyDescent="0.3">
      <c r="A35" t="s">
        <v>535</v>
      </c>
      <c r="B35" t="s">
        <v>522</v>
      </c>
      <c r="C35" t="s">
        <v>523</v>
      </c>
      <c r="D35" t="s">
        <v>451</v>
      </c>
      <c r="E35" t="s">
        <v>524</v>
      </c>
      <c r="F35" t="s">
        <v>72</v>
      </c>
      <c r="I35">
        <v>740000000</v>
      </c>
      <c r="J35" t="s">
        <v>451</v>
      </c>
      <c r="L35" t="str">
        <f>IFERROR(INDEX(Diccionario!$B:$B,MATCH(F35,Diccionario!$C:$C,0)),"")</f>
        <v>Finanzas</v>
      </c>
      <c r="M35" t="str">
        <f>IFERROR(INDEX(Diccionario!$H:$H,MATCH(F35,Diccionario!$C:$C,0)),"")</f>
        <v>Finanzas</v>
      </c>
      <c r="N35" t="str">
        <f>IFERROR(INDEX(Diccionario!$N:$N,MATCH(F35,Diccionario!$C:$C,0)),"")</f>
        <v>Mensual</v>
      </c>
    </row>
    <row r="36" spans="1:14" ht="14.25" customHeight="1" x14ac:dyDescent="0.3">
      <c r="A36" t="s">
        <v>535</v>
      </c>
      <c r="B36" t="s">
        <v>522</v>
      </c>
      <c r="C36" t="s">
        <v>523</v>
      </c>
      <c r="D36" t="s">
        <v>451</v>
      </c>
      <c r="E36" t="s">
        <v>524</v>
      </c>
      <c r="F36" t="s">
        <v>76</v>
      </c>
      <c r="I36">
        <v>21000000</v>
      </c>
      <c r="J36" t="s">
        <v>451</v>
      </c>
      <c r="K36" t="s">
        <v>525</v>
      </c>
      <c r="L36" t="str">
        <f>IFERROR(INDEX(Diccionario!$B:$B,MATCH(F36,Diccionario!$C:$C,0)),"")</f>
        <v>Finanzas</v>
      </c>
      <c r="M36" t="str">
        <f>IFERROR(INDEX(Diccionario!$H:$H,MATCH(F36,Diccionario!$C:$C,0)),"")</f>
        <v>Finanzas</v>
      </c>
      <c r="N36" t="str">
        <f>IFERROR(INDEX(Diccionario!$N:$N,MATCH(F36,Diccionario!$C:$C,0)),"")</f>
        <v>Mensual</v>
      </c>
    </row>
    <row r="37" spans="1:14" ht="14.25" customHeight="1" x14ac:dyDescent="0.3">
      <c r="A37" t="s">
        <v>536</v>
      </c>
      <c r="B37" t="s">
        <v>522</v>
      </c>
      <c r="C37" t="s">
        <v>523</v>
      </c>
      <c r="D37" t="s">
        <v>451</v>
      </c>
      <c r="E37" t="s">
        <v>524</v>
      </c>
      <c r="F37" t="s">
        <v>406</v>
      </c>
      <c r="I37">
        <v>1279000000</v>
      </c>
      <c r="J37" t="s">
        <v>451</v>
      </c>
      <c r="L37" t="str">
        <f>IFERROR(INDEX(Diccionario!$B:$B,MATCH(F37,Diccionario!$C:$C,0)),"")</f>
        <v>Finanzas</v>
      </c>
      <c r="M37" t="str">
        <f>IFERROR(INDEX(Diccionario!$H:$H,MATCH(F37,Diccionario!$C:$C,0)),"")</f>
        <v>Finanzas</v>
      </c>
      <c r="N37" t="str">
        <f>IFERROR(INDEX(Diccionario!$N:$N,MATCH(F37,Diccionario!$C:$C,0)),"")</f>
        <v>Mensual</v>
      </c>
    </row>
    <row r="38" spans="1:14" ht="14.25" customHeight="1" x14ac:dyDescent="0.3">
      <c r="A38" t="s">
        <v>536</v>
      </c>
      <c r="B38" t="s">
        <v>522</v>
      </c>
      <c r="C38" t="s">
        <v>523</v>
      </c>
      <c r="D38" t="s">
        <v>451</v>
      </c>
      <c r="E38" t="s">
        <v>524</v>
      </c>
      <c r="F38" t="s">
        <v>72</v>
      </c>
      <c r="I38">
        <v>810000000</v>
      </c>
      <c r="J38" t="s">
        <v>451</v>
      </c>
      <c r="L38" t="str">
        <f>IFERROR(INDEX(Diccionario!$B:$B,MATCH(F38,Diccionario!$C:$C,0)),"")</f>
        <v>Finanzas</v>
      </c>
      <c r="M38" t="str">
        <f>IFERROR(INDEX(Diccionario!$H:$H,MATCH(F38,Diccionario!$C:$C,0)),"")</f>
        <v>Finanzas</v>
      </c>
      <c r="N38" t="str">
        <f>IFERROR(INDEX(Diccionario!$N:$N,MATCH(F38,Diccionario!$C:$C,0)),"")</f>
        <v>Mensual</v>
      </c>
    </row>
    <row r="39" spans="1:14" ht="14.25" customHeight="1" x14ac:dyDescent="0.3">
      <c r="A39" t="s">
        <v>536</v>
      </c>
      <c r="B39" t="s">
        <v>522</v>
      </c>
      <c r="C39" t="s">
        <v>523</v>
      </c>
      <c r="D39" t="s">
        <v>451</v>
      </c>
      <c r="E39" t="s">
        <v>524</v>
      </c>
      <c r="F39" t="s">
        <v>76</v>
      </c>
      <c r="I39">
        <v>469000000</v>
      </c>
      <c r="J39" t="s">
        <v>451</v>
      </c>
      <c r="K39" t="s">
        <v>525</v>
      </c>
      <c r="L39" t="str">
        <f>IFERROR(INDEX(Diccionario!$B:$B,MATCH(F39,Diccionario!$C:$C,0)),"")</f>
        <v>Finanzas</v>
      </c>
      <c r="M39" t="str">
        <f>IFERROR(INDEX(Diccionario!$H:$H,MATCH(F39,Diccionario!$C:$C,0)),"")</f>
        <v>Finanzas</v>
      </c>
      <c r="N39" t="str">
        <f>IFERROR(INDEX(Diccionario!$N:$N,MATCH(F39,Diccionario!$C:$C,0)),"")</f>
        <v>Mensual</v>
      </c>
    </row>
    <row r="40" spans="1:14" ht="14.25" customHeight="1" x14ac:dyDescent="0.3">
      <c r="A40" t="s">
        <v>537</v>
      </c>
      <c r="B40" t="s">
        <v>522</v>
      </c>
      <c r="C40" t="s">
        <v>523</v>
      </c>
      <c r="D40" t="s">
        <v>451</v>
      </c>
      <c r="E40" t="s">
        <v>524</v>
      </c>
      <c r="F40" t="s">
        <v>406</v>
      </c>
      <c r="I40">
        <v>504000000</v>
      </c>
      <c r="J40" t="s">
        <v>451</v>
      </c>
      <c r="L40" t="str">
        <f>IFERROR(INDEX(Diccionario!$B:$B,MATCH(F40,Diccionario!$C:$C,0)),"")</f>
        <v>Finanzas</v>
      </c>
      <c r="M40" t="str">
        <f>IFERROR(INDEX(Diccionario!$H:$H,MATCH(F40,Diccionario!$C:$C,0)),"")</f>
        <v>Finanzas</v>
      </c>
      <c r="N40" t="str">
        <f>IFERROR(INDEX(Diccionario!$N:$N,MATCH(F40,Diccionario!$C:$C,0)),"")</f>
        <v>Mensual</v>
      </c>
    </row>
    <row r="41" spans="1:14" ht="14.25" customHeight="1" x14ac:dyDescent="0.3">
      <c r="A41" t="s">
        <v>537</v>
      </c>
      <c r="B41" t="s">
        <v>522</v>
      </c>
      <c r="C41" t="s">
        <v>523</v>
      </c>
      <c r="D41" t="s">
        <v>451</v>
      </c>
      <c r="E41" t="s">
        <v>524</v>
      </c>
      <c r="F41" t="s">
        <v>72</v>
      </c>
      <c r="I41">
        <v>694000000</v>
      </c>
      <c r="J41" t="s">
        <v>451</v>
      </c>
      <c r="L41" t="str">
        <f>IFERROR(INDEX(Diccionario!$B:$B,MATCH(F41,Diccionario!$C:$C,0)),"")</f>
        <v>Finanzas</v>
      </c>
      <c r="M41" t="str">
        <f>IFERROR(INDEX(Diccionario!$H:$H,MATCH(F41,Diccionario!$C:$C,0)),"")</f>
        <v>Finanzas</v>
      </c>
      <c r="N41" t="str">
        <f>IFERROR(INDEX(Diccionario!$N:$N,MATCH(F41,Diccionario!$C:$C,0)),"")</f>
        <v>Mensual</v>
      </c>
    </row>
    <row r="42" spans="1:14" ht="14.25" customHeight="1" x14ac:dyDescent="0.3">
      <c r="A42" t="s">
        <v>537</v>
      </c>
      <c r="B42" t="s">
        <v>522</v>
      </c>
      <c r="C42" t="s">
        <v>523</v>
      </c>
      <c r="D42" t="s">
        <v>451</v>
      </c>
      <c r="E42" t="s">
        <v>524</v>
      </c>
      <c r="F42" t="s">
        <v>76</v>
      </c>
      <c r="I42">
        <v>-190000000</v>
      </c>
      <c r="J42" t="s">
        <v>451</v>
      </c>
      <c r="K42" t="s">
        <v>525</v>
      </c>
      <c r="L42" t="str">
        <f>IFERROR(INDEX(Diccionario!$B:$B,MATCH(F42,Diccionario!$C:$C,0)),"")</f>
        <v>Finanzas</v>
      </c>
      <c r="M42" t="str">
        <f>IFERROR(INDEX(Diccionario!$H:$H,MATCH(F42,Diccionario!$C:$C,0)),"")</f>
        <v>Finanzas</v>
      </c>
      <c r="N42" t="str">
        <f>IFERROR(INDEX(Diccionario!$N:$N,MATCH(F42,Diccionario!$C:$C,0)),"")</f>
        <v>Mensual</v>
      </c>
    </row>
    <row r="43" spans="1:14" ht="14.25" customHeight="1" x14ac:dyDescent="0.3">
      <c r="A43" t="s">
        <v>538</v>
      </c>
      <c r="B43" t="s">
        <v>522</v>
      </c>
      <c r="C43" t="s">
        <v>523</v>
      </c>
      <c r="D43" t="s">
        <v>451</v>
      </c>
      <c r="E43" t="s">
        <v>524</v>
      </c>
      <c r="F43" t="s">
        <v>406</v>
      </c>
      <c r="I43">
        <v>564000000</v>
      </c>
      <c r="J43" t="s">
        <v>451</v>
      </c>
      <c r="L43" t="str">
        <f>IFERROR(INDEX(Diccionario!$B:$B,MATCH(F43,Diccionario!$C:$C,0)),"")</f>
        <v>Finanzas</v>
      </c>
      <c r="M43" t="str">
        <f>IFERROR(INDEX(Diccionario!$H:$H,MATCH(F43,Diccionario!$C:$C,0)),"")</f>
        <v>Finanzas</v>
      </c>
      <c r="N43" t="str">
        <f>IFERROR(INDEX(Diccionario!$N:$N,MATCH(F43,Diccionario!$C:$C,0)),"")</f>
        <v>Mensual</v>
      </c>
    </row>
    <row r="44" spans="1:14" ht="14.25" customHeight="1" x14ac:dyDescent="0.3">
      <c r="A44" t="s">
        <v>538</v>
      </c>
      <c r="B44" t="s">
        <v>522</v>
      </c>
      <c r="C44" t="s">
        <v>523</v>
      </c>
      <c r="D44" t="s">
        <v>451</v>
      </c>
      <c r="E44" t="s">
        <v>524</v>
      </c>
      <c r="F44" t="s">
        <v>72</v>
      </c>
      <c r="I44">
        <v>688000000</v>
      </c>
      <c r="J44" t="s">
        <v>451</v>
      </c>
      <c r="L44" t="str">
        <f>IFERROR(INDEX(Diccionario!$B:$B,MATCH(F44,Diccionario!$C:$C,0)),"")</f>
        <v>Finanzas</v>
      </c>
      <c r="M44" t="str">
        <f>IFERROR(INDEX(Diccionario!$H:$H,MATCH(F44,Diccionario!$C:$C,0)),"")</f>
        <v>Finanzas</v>
      </c>
      <c r="N44" t="str">
        <f>IFERROR(INDEX(Diccionario!$N:$N,MATCH(F44,Diccionario!$C:$C,0)),"")</f>
        <v>Mensual</v>
      </c>
    </row>
    <row r="45" spans="1:14" ht="14.25" customHeight="1" x14ac:dyDescent="0.3">
      <c r="A45" t="s">
        <v>538</v>
      </c>
      <c r="B45" t="s">
        <v>522</v>
      </c>
      <c r="C45" t="s">
        <v>523</v>
      </c>
      <c r="D45" t="s">
        <v>451</v>
      </c>
      <c r="E45" t="s">
        <v>524</v>
      </c>
      <c r="F45" t="s">
        <v>76</v>
      </c>
      <c r="I45">
        <v>-124000000</v>
      </c>
      <c r="J45" t="s">
        <v>451</v>
      </c>
      <c r="K45" t="s">
        <v>525</v>
      </c>
      <c r="L45" t="str">
        <f>IFERROR(INDEX(Diccionario!$B:$B,MATCH(F45,Diccionario!$C:$C,0)),"")</f>
        <v>Finanzas</v>
      </c>
      <c r="M45" t="str">
        <f>IFERROR(INDEX(Diccionario!$H:$H,MATCH(F45,Diccionario!$C:$C,0)),"")</f>
        <v>Finanzas</v>
      </c>
      <c r="N45" t="str">
        <f>IFERROR(INDEX(Diccionario!$N:$N,MATCH(F45,Diccionario!$C:$C,0)),"")</f>
        <v>Mensual</v>
      </c>
    </row>
    <row r="46" spans="1:14" ht="14.25" customHeight="1" x14ac:dyDescent="0.3">
      <c r="A46" t="s">
        <v>539</v>
      </c>
      <c r="B46" t="s">
        <v>522</v>
      </c>
      <c r="C46" t="s">
        <v>523</v>
      </c>
      <c r="D46" t="s">
        <v>451</v>
      </c>
      <c r="E46" t="s">
        <v>524</v>
      </c>
      <c r="F46" t="s">
        <v>406</v>
      </c>
      <c r="I46">
        <v>695000000</v>
      </c>
      <c r="J46" t="s">
        <v>451</v>
      </c>
      <c r="L46" t="str">
        <f>IFERROR(INDEX(Diccionario!$B:$B,MATCH(F46,Diccionario!$C:$C,0)),"")</f>
        <v>Finanzas</v>
      </c>
      <c r="M46" t="str">
        <f>IFERROR(INDEX(Diccionario!$H:$H,MATCH(F46,Diccionario!$C:$C,0)),"")</f>
        <v>Finanzas</v>
      </c>
      <c r="N46" t="str">
        <f>IFERROR(INDEX(Diccionario!$N:$N,MATCH(F46,Diccionario!$C:$C,0)),"")</f>
        <v>Mensual</v>
      </c>
    </row>
    <row r="47" spans="1:14" ht="14.25" customHeight="1" x14ac:dyDescent="0.3">
      <c r="A47" t="s">
        <v>539</v>
      </c>
      <c r="B47" t="s">
        <v>522</v>
      </c>
      <c r="C47" t="s">
        <v>523</v>
      </c>
      <c r="D47" t="s">
        <v>451</v>
      </c>
      <c r="E47" t="s">
        <v>524</v>
      </c>
      <c r="F47" t="s">
        <v>72</v>
      </c>
      <c r="I47">
        <v>809000000</v>
      </c>
      <c r="J47" t="s">
        <v>451</v>
      </c>
      <c r="L47" t="str">
        <f>IFERROR(INDEX(Diccionario!$B:$B,MATCH(F47,Diccionario!$C:$C,0)),"")</f>
        <v>Finanzas</v>
      </c>
      <c r="M47" t="str">
        <f>IFERROR(INDEX(Diccionario!$H:$H,MATCH(F47,Diccionario!$C:$C,0)),"")</f>
        <v>Finanzas</v>
      </c>
      <c r="N47" t="str">
        <f>IFERROR(INDEX(Diccionario!$N:$N,MATCH(F47,Diccionario!$C:$C,0)),"")</f>
        <v>Mensual</v>
      </c>
    </row>
    <row r="48" spans="1:14" ht="14.25" customHeight="1" x14ac:dyDescent="0.3">
      <c r="A48" t="s">
        <v>539</v>
      </c>
      <c r="B48" t="s">
        <v>522</v>
      </c>
      <c r="C48" t="s">
        <v>523</v>
      </c>
      <c r="D48" t="s">
        <v>451</v>
      </c>
      <c r="E48" t="s">
        <v>524</v>
      </c>
      <c r="F48" t="s">
        <v>76</v>
      </c>
      <c r="I48">
        <v>-114000000</v>
      </c>
      <c r="J48" t="s">
        <v>451</v>
      </c>
      <c r="K48" t="s">
        <v>525</v>
      </c>
      <c r="L48" t="str">
        <f>IFERROR(INDEX(Diccionario!$B:$B,MATCH(F48,Diccionario!$C:$C,0)),"")</f>
        <v>Finanzas</v>
      </c>
      <c r="M48" t="str">
        <f>IFERROR(INDEX(Diccionario!$H:$H,MATCH(F48,Diccionario!$C:$C,0)),"")</f>
        <v>Finanzas</v>
      </c>
      <c r="N48" t="str">
        <f>IFERROR(INDEX(Diccionario!$N:$N,MATCH(F48,Diccionario!$C:$C,0)),"")</f>
        <v>Mensual</v>
      </c>
    </row>
    <row r="49" spans="1:14" ht="14.25" customHeight="1" x14ac:dyDescent="0.3">
      <c r="A49" t="s">
        <v>540</v>
      </c>
      <c r="B49" t="s">
        <v>522</v>
      </c>
      <c r="C49" t="s">
        <v>523</v>
      </c>
      <c r="D49" t="s">
        <v>451</v>
      </c>
      <c r="E49" t="s">
        <v>524</v>
      </c>
      <c r="F49" t="s">
        <v>406</v>
      </c>
      <c r="I49">
        <v>578000000</v>
      </c>
      <c r="J49" t="s">
        <v>451</v>
      </c>
      <c r="L49" t="str">
        <f>IFERROR(INDEX(Diccionario!$B:$B,MATCH(F49,Diccionario!$C:$C,0)),"")</f>
        <v>Finanzas</v>
      </c>
      <c r="M49" t="str">
        <f>IFERROR(INDEX(Diccionario!$H:$H,MATCH(F49,Diccionario!$C:$C,0)),"")</f>
        <v>Finanzas</v>
      </c>
      <c r="N49" t="str">
        <f>IFERROR(INDEX(Diccionario!$N:$N,MATCH(F49,Diccionario!$C:$C,0)),"")</f>
        <v>Mensual</v>
      </c>
    </row>
    <row r="50" spans="1:14" ht="14.25" customHeight="1" x14ac:dyDescent="0.3">
      <c r="A50" t="s">
        <v>540</v>
      </c>
      <c r="B50" t="s">
        <v>522</v>
      </c>
      <c r="C50" t="s">
        <v>523</v>
      </c>
      <c r="D50" t="s">
        <v>451</v>
      </c>
      <c r="E50" t="s">
        <v>524</v>
      </c>
      <c r="F50" t="s">
        <v>72</v>
      </c>
      <c r="I50">
        <v>766600000</v>
      </c>
      <c r="J50" t="s">
        <v>451</v>
      </c>
      <c r="L50" t="str">
        <f>IFERROR(INDEX(Diccionario!$B:$B,MATCH(F50,Diccionario!$C:$C,0)),"")</f>
        <v>Finanzas</v>
      </c>
      <c r="M50" t="str">
        <f>IFERROR(INDEX(Diccionario!$H:$H,MATCH(F50,Diccionario!$C:$C,0)),"")</f>
        <v>Finanzas</v>
      </c>
      <c r="N50" t="str">
        <f>IFERROR(INDEX(Diccionario!$N:$N,MATCH(F50,Diccionario!$C:$C,0)),"")</f>
        <v>Mensual</v>
      </c>
    </row>
    <row r="51" spans="1:14" ht="14.25" customHeight="1" x14ac:dyDescent="0.3">
      <c r="A51" t="s">
        <v>540</v>
      </c>
      <c r="B51" t="s">
        <v>522</v>
      </c>
      <c r="C51" t="s">
        <v>523</v>
      </c>
      <c r="D51" t="s">
        <v>451</v>
      </c>
      <c r="E51" t="s">
        <v>524</v>
      </c>
      <c r="F51" t="s">
        <v>76</v>
      </c>
      <c r="I51">
        <v>-188600000</v>
      </c>
      <c r="J51" t="s">
        <v>451</v>
      </c>
      <c r="K51" t="s">
        <v>525</v>
      </c>
      <c r="L51" t="str">
        <f>IFERROR(INDEX(Diccionario!$B:$B,MATCH(F51,Diccionario!$C:$C,0)),"")</f>
        <v>Finanzas</v>
      </c>
      <c r="M51" t="str">
        <f>IFERROR(INDEX(Diccionario!$H:$H,MATCH(F51,Diccionario!$C:$C,0)),"")</f>
        <v>Finanzas</v>
      </c>
      <c r="N51" t="str">
        <f>IFERROR(INDEX(Diccionario!$N:$N,MATCH(F51,Diccionario!$C:$C,0)),"")</f>
        <v>Mensual</v>
      </c>
    </row>
    <row r="52" spans="1:14" ht="14.25" customHeight="1" x14ac:dyDescent="0.3">
      <c r="A52" t="s">
        <v>541</v>
      </c>
      <c r="B52" t="s">
        <v>522</v>
      </c>
      <c r="C52" t="s">
        <v>523</v>
      </c>
      <c r="D52" t="s">
        <v>451</v>
      </c>
      <c r="E52" t="s">
        <v>524</v>
      </c>
      <c r="F52" t="s">
        <v>406</v>
      </c>
      <c r="I52">
        <v>716000000</v>
      </c>
      <c r="J52" t="s">
        <v>451</v>
      </c>
      <c r="L52" t="str">
        <f>IFERROR(INDEX(Diccionario!$B:$B,MATCH(F52,Diccionario!$C:$C,0)),"")</f>
        <v>Finanzas</v>
      </c>
      <c r="M52" t="str">
        <f>IFERROR(INDEX(Diccionario!$H:$H,MATCH(F52,Diccionario!$C:$C,0)),"")</f>
        <v>Finanzas</v>
      </c>
      <c r="N52" t="str">
        <f>IFERROR(INDEX(Diccionario!$N:$N,MATCH(F52,Diccionario!$C:$C,0)),"")</f>
        <v>Mensual</v>
      </c>
    </row>
    <row r="53" spans="1:14" ht="14.25" customHeight="1" x14ac:dyDescent="0.3">
      <c r="A53" t="s">
        <v>541</v>
      </c>
      <c r="B53" t="s">
        <v>522</v>
      </c>
      <c r="C53" t="s">
        <v>523</v>
      </c>
      <c r="D53" t="s">
        <v>451</v>
      </c>
      <c r="E53" t="s">
        <v>524</v>
      </c>
      <c r="F53" t="s">
        <v>72</v>
      </c>
      <c r="I53">
        <v>729000000</v>
      </c>
      <c r="J53" t="s">
        <v>451</v>
      </c>
      <c r="L53" t="str">
        <f>IFERROR(INDEX(Diccionario!$B:$B,MATCH(F53,Diccionario!$C:$C,0)),"")</f>
        <v>Finanzas</v>
      </c>
      <c r="M53" t="str">
        <f>IFERROR(INDEX(Diccionario!$H:$H,MATCH(F53,Diccionario!$C:$C,0)),"")</f>
        <v>Finanzas</v>
      </c>
      <c r="N53" t="str">
        <f>IFERROR(INDEX(Diccionario!$N:$N,MATCH(F53,Diccionario!$C:$C,0)),"")</f>
        <v>Mensual</v>
      </c>
    </row>
    <row r="54" spans="1:14" ht="14.25" customHeight="1" x14ac:dyDescent="0.3">
      <c r="A54" t="s">
        <v>541</v>
      </c>
      <c r="B54" t="s">
        <v>522</v>
      </c>
      <c r="C54" t="s">
        <v>523</v>
      </c>
      <c r="D54" t="s">
        <v>451</v>
      </c>
      <c r="E54" t="s">
        <v>524</v>
      </c>
      <c r="F54" t="s">
        <v>76</v>
      </c>
      <c r="I54">
        <v>-13000000</v>
      </c>
      <c r="J54" t="s">
        <v>451</v>
      </c>
      <c r="K54" t="s">
        <v>525</v>
      </c>
      <c r="L54" t="str">
        <f>IFERROR(INDEX(Diccionario!$B:$B,MATCH(F54,Diccionario!$C:$C,0)),"")</f>
        <v>Finanzas</v>
      </c>
      <c r="M54" t="str">
        <f>IFERROR(INDEX(Diccionario!$H:$H,MATCH(F54,Diccionario!$C:$C,0)),"")</f>
        <v>Finanzas</v>
      </c>
      <c r="N54" t="str">
        <f>IFERROR(INDEX(Diccionario!$N:$N,MATCH(F54,Diccionario!$C:$C,0)),"")</f>
        <v>Mensual</v>
      </c>
    </row>
    <row r="55" spans="1:14" ht="14.25" customHeight="1" x14ac:dyDescent="0.3">
      <c r="A55" t="s">
        <v>542</v>
      </c>
      <c r="B55" t="s">
        <v>522</v>
      </c>
      <c r="C55" t="s">
        <v>523</v>
      </c>
      <c r="D55" t="s">
        <v>451</v>
      </c>
      <c r="E55" t="s">
        <v>524</v>
      </c>
      <c r="F55" t="s">
        <v>406</v>
      </c>
      <c r="I55">
        <v>610000000</v>
      </c>
      <c r="J55" t="s">
        <v>451</v>
      </c>
      <c r="L55" t="str">
        <f>IFERROR(INDEX(Diccionario!$B:$B,MATCH(F55,Diccionario!$C:$C,0)),"")</f>
        <v>Finanzas</v>
      </c>
      <c r="M55" t="str">
        <f>IFERROR(INDEX(Diccionario!$H:$H,MATCH(F55,Diccionario!$C:$C,0)),"")</f>
        <v>Finanzas</v>
      </c>
      <c r="N55" t="str">
        <f>IFERROR(INDEX(Diccionario!$N:$N,MATCH(F55,Diccionario!$C:$C,0)),"")</f>
        <v>Mensual</v>
      </c>
    </row>
    <row r="56" spans="1:14" ht="14.25" customHeight="1" x14ac:dyDescent="0.3">
      <c r="A56" t="s">
        <v>542</v>
      </c>
      <c r="B56" t="s">
        <v>522</v>
      </c>
      <c r="C56" t="s">
        <v>523</v>
      </c>
      <c r="D56" t="s">
        <v>451</v>
      </c>
      <c r="E56" t="s">
        <v>524</v>
      </c>
      <c r="F56" t="s">
        <v>72</v>
      </c>
      <c r="I56">
        <v>636000000</v>
      </c>
      <c r="J56" t="s">
        <v>451</v>
      </c>
      <c r="L56" t="str">
        <f>IFERROR(INDEX(Diccionario!$B:$B,MATCH(F56,Diccionario!$C:$C,0)),"")</f>
        <v>Finanzas</v>
      </c>
      <c r="M56" t="str">
        <f>IFERROR(INDEX(Diccionario!$H:$H,MATCH(F56,Diccionario!$C:$C,0)),"")</f>
        <v>Finanzas</v>
      </c>
      <c r="N56" t="str">
        <f>IFERROR(INDEX(Diccionario!$N:$N,MATCH(F56,Diccionario!$C:$C,0)),"")</f>
        <v>Mensual</v>
      </c>
    </row>
    <row r="57" spans="1:14" ht="14.25" customHeight="1" x14ac:dyDescent="0.3">
      <c r="A57" t="s">
        <v>542</v>
      </c>
      <c r="B57" t="s">
        <v>522</v>
      </c>
      <c r="C57" t="s">
        <v>523</v>
      </c>
      <c r="D57" t="s">
        <v>451</v>
      </c>
      <c r="E57" t="s">
        <v>524</v>
      </c>
      <c r="F57" t="s">
        <v>76</v>
      </c>
      <c r="I57">
        <v>-26000000</v>
      </c>
      <c r="J57" t="s">
        <v>451</v>
      </c>
      <c r="K57" t="s">
        <v>525</v>
      </c>
      <c r="L57" t="str">
        <f>IFERROR(INDEX(Diccionario!$B:$B,MATCH(F57,Diccionario!$C:$C,0)),"")</f>
        <v>Finanzas</v>
      </c>
      <c r="M57" t="str">
        <f>IFERROR(INDEX(Diccionario!$H:$H,MATCH(F57,Diccionario!$C:$C,0)),"")</f>
        <v>Finanzas</v>
      </c>
      <c r="N57" t="str">
        <f>IFERROR(INDEX(Diccionario!$N:$N,MATCH(F57,Diccionario!$C:$C,0)),"")</f>
        <v>Mensual</v>
      </c>
    </row>
    <row r="58" spans="1:14" ht="14.25" customHeight="1" x14ac:dyDescent="0.3">
      <c r="A58" t="s">
        <v>543</v>
      </c>
      <c r="B58" t="s">
        <v>522</v>
      </c>
      <c r="C58" t="s">
        <v>523</v>
      </c>
      <c r="D58" t="s">
        <v>451</v>
      </c>
      <c r="E58" t="s">
        <v>524</v>
      </c>
      <c r="F58" t="s">
        <v>406</v>
      </c>
      <c r="I58">
        <v>648000000</v>
      </c>
      <c r="J58" t="s">
        <v>451</v>
      </c>
      <c r="L58" t="str">
        <f>IFERROR(INDEX(Diccionario!$B:$B,MATCH(F58,Diccionario!$C:$C,0)),"")</f>
        <v>Finanzas</v>
      </c>
      <c r="M58" t="str">
        <f>IFERROR(INDEX(Diccionario!$H:$H,MATCH(F58,Diccionario!$C:$C,0)),"")</f>
        <v>Finanzas</v>
      </c>
      <c r="N58" t="str">
        <f>IFERROR(INDEX(Diccionario!$N:$N,MATCH(F58,Diccionario!$C:$C,0)),"")</f>
        <v>Mensual</v>
      </c>
    </row>
    <row r="59" spans="1:14" ht="14.25" customHeight="1" x14ac:dyDescent="0.3">
      <c r="A59" t="s">
        <v>543</v>
      </c>
      <c r="B59" t="s">
        <v>522</v>
      </c>
      <c r="C59" t="s">
        <v>523</v>
      </c>
      <c r="D59" t="s">
        <v>451</v>
      </c>
      <c r="E59" t="s">
        <v>524</v>
      </c>
      <c r="F59" t="s">
        <v>72</v>
      </c>
      <c r="I59">
        <v>884000000</v>
      </c>
      <c r="J59" t="s">
        <v>451</v>
      </c>
      <c r="L59" t="str">
        <f>IFERROR(INDEX(Diccionario!$B:$B,MATCH(F59,Diccionario!$C:$C,0)),"")</f>
        <v>Finanzas</v>
      </c>
      <c r="M59" t="str">
        <f>IFERROR(INDEX(Diccionario!$H:$H,MATCH(F59,Diccionario!$C:$C,0)),"")</f>
        <v>Finanzas</v>
      </c>
      <c r="N59" t="str">
        <f>IFERROR(INDEX(Diccionario!$N:$N,MATCH(F59,Diccionario!$C:$C,0)),"")</f>
        <v>Mensual</v>
      </c>
    </row>
    <row r="60" spans="1:14" ht="14.25" customHeight="1" x14ac:dyDescent="0.3">
      <c r="A60" t="s">
        <v>543</v>
      </c>
      <c r="B60" t="s">
        <v>522</v>
      </c>
      <c r="C60" t="s">
        <v>523</v>
      </c>
      <c r="D60" t="s">
        <v>451</v>
      </c>
      <c r="E60" t="s">
        <v>524</v>
      </c>
      <c r="F60" t="s">
        <v>76</v>
      </c>
      <c r="I60">
        <v>-236000000</v>
      </c>
      <c r="J60" t="s">
        <v>451</v>
      </c>
      <c r="K60" t="s">
        <v>525</v>
      </c>
      <c r="L60" t="str">
        <f>IFERROR(INDEX(Diccionario!$B:$B,MATCH(F60,Diccionario!$C:$C,0)),"")</f>
        <v>Finanzas</v>
      </c>
      <c r="M60" t="str">
        <f>IFERROR(INDEX(Diccionario!$H:$H,MATCH(F60,Diccionario!$C:$C,0)),"")</f>
        <v>Finanzas</v>
      </c>
      <c r="N60" t="str">
        <f>IFERROR(INDEX(Diccionario!$N:$N,MATCH(F60,Diccionario!$C:$C,0)),"")</f>
        <v>Mensual</v>
      </c>
    </row>
    <row r="61" spans="1:14" ht="14.25" customHeight="1" x14ac:dyDescent="0.3">
      <c r="A61" t="s">
        <v>544</v>
      </c>
      <c r="B61" t="s">
        <v>522</v>
      </c>
      <c r="C61" t="s">
        <v>523</v>
      </c>
      <c r="D61" t="s">
        <v>451</v>
      </c>
      <c r="E61" t="s">
        <v>524</v>
      </c>
      <c r="F61" t="s">
        <v>406</v>
      </c>
      <c r="I61">
        <v>634000000</v>
      </c>
      <c r="J61" t="s">
        <v>451</v>
      </c>
      <c r="L61" t="str">
        <f>IFERROR(INDEX(Diccionario!$B:$B,MATCH(F61,Diccionario!$C:$C,0)),"")</f>
        <v>Finanzas</v>
      </c>
      <c r="M61" t="str">
        <f>IFERROR(INDEX(Diccionario!$H:$H,MATCH(F61,Diccionario!$C:$C,0)),"")</f>
        <v>Finanzas</v>
      </c>
      <c r="N61" t="str">
        <f>IFERROR(INDEX(Diccionario!$N:$N,MATCH(F61,Diccionario!$C:$C,0)),"")</f>
        <v>Mensual</v>
      </c>
    </row>
    <row r="62" spans="1:14" ht="14.25" customHeight="1" x14ac:dyDescent="0.3">
      <c r="A62" t="s">
        <v>544</v>
      </c>
      <c r="B62" t="s">
        <v>522</v>
      </c>
      <c r="C62" t="s">
        <v>523</v>
      </c>
      <c r="D62" t="s">
        <v>451</v>
      </c>
      <c r="E62" t="s">
        <v>524</v>
      </c>
      <c r="F62" t="s">
        <v>72</v>
      </c>
      <c r="I62">
        <v>673000000</v>
      </c>
      <c r="J62" t="s">
        <v>451</v>
      </c>
      <c r="L62" t="str">
        <f>IFERROR(INDEX(Diccionario!$B:$B,MATCH(F62,Diccionario!$C:$C,0)),"")</f>
        <v>Finanzas</v>
      </c>
      <c r="M62" t="str">
        <f>IFERROR(INDEX(Diccionario!$H:$H,MATCH(F62,Diccionario!$C:$C,0)),"")</f>
        <v>Finanzas</v>
      </c>
      <c r="N62" t="str">
        <f>IFERROR(INDEX(Diccionario!$N:$N,MATCH(F62,Diccionario!$C:$C,0)),"")</f>
        <v>Mensual</v>
      </c>
    </row>
    <row r="63" spans="1:14" ht="14.25" customHeight="1" x14ac:dyDescent="0.3">
      <c r="A63" t="s">
        <v>544</v>
      </c>
      <c r="B63" t="s">
        <v>522</v>
      </c>
      <c r="C63" t="s">
        <v>523</v>
      </c>
      <c r="D63" t="s">
        <v>451</v>
      </c>
      <c r="E63" t="s">
        <v>524</v>
      </c>
      <c r="F63" t="s">
        <v>76</v>
      </c>
      <c r="I63">
        <v>-39000000</v>
      </c>
      <c r="J63" t="s">
        <v>451</v>
      </c>
      <c r="K63" t="s">
        <v>525</v>
      </c>
      <c r="L63" t="str">
        <f>IFERROR(INDEX(Diccionario!$B:$B,MATCH(F63,Diccionario!$C:$C,0)),"")</f>
        <v>Finanzas</v>
      </c>
      <c r="M63" t="str">
        <f>IFERROR(INDEX(Diccionario!$H:$H,MATCH(F63,Diccionario!$C:$C,0)),"")</f>
        <v>Finanzas</v>
      </c>
      <c r="N63" t="str">
        <f>IFERROR(INDEX(Diccionario!$N:$N,MATCH(F63,Diccionario!$C:$C,0)),"")</f>
        <v>Mensual</v>
      </c>
    </row>
    <row r="64" spans="1:14" ht="14.25" customHeight="1" x14ac:dyDescent="0.3">
      <c r="A64" t="s">
        <v>545</v>
      </c>
      <c r="B64" t="s">
        <v>522</v>
      </c>
      <c r="C64" t="s">
        <v>523</v>
      </c>
      <c r="D64" t="s">
        <v>451</v>
      </c>
      <c r="E64" t="s">
        <v>524</v>
      </c>
      <c r="F64" t="s">
        <v>406</v>
      </c>
      <c r="I64">
        <v>758000000</v>
      </c>
      <c r="J64" t="s">
        <v>451</v>
      </c>
      <c r="L64" t="str">
        <f>IFERROR(INDEX(Diccionario!$B:$B,MATCH(F64,Diccionario!$C:$C,0)),"")</f>
        <v>Finanzas</v>
      </c>
      <c r="M64" t="str">
        <f>IFERROR(INDEX(Diccionario!$H:$H,MATCH(F64,Diccionario!$C:$C,0)),"")</f>
        <v>Finanzas</v>
      </c>
      <c r="N64" t="str">
        <f>IFERROR(INDEX(Diccionario!$N:$N,MATCH(F64,Diccionario!$C:$C,0)),"")</f>
        <v>Mensual</v>
      </c>
    </row>
    <row r="65" spans="1:14" ht="14.25" customHeight="1" x14ac:dyDescent="0.3">
      <c r="A65" t="s">
        <v>545</v>
      </c>
      <c r="B65" t="s">
        <v>522</v>
      </c>
      <c r="C65" t="s">
        <v>523</v>
      </c>
      <c r="D65" t="s">
        <v>451</v>
      </c>
      <c r="E65" t="s">
        <v>524</v>
      </c>
      <c r="F65" t="s">
        <v>72</v>
      </c>
      <c r="I65">
        <v>708000000</v>
      </c>
      <c r="J65" t="s">
        <v>451</v>
      </c>
      <c r="L65" t="str">
        <f>IFERROR(INDEX(Diccionario!$B:$B,MATCH(F65,Diccionario!$C:$C,0)),"")</f>
        <v>Finanzas</v>
      </c>
      <c r="M65" t="str">
        <f>IFERROR(INDEX(Diccionario!$H:$H,MATCH(F65,Diccionario!$C:$C,0)),"")</f>
        <v>Finanzas</v>
      </c>
      <c r="N65" t="str">
        <f>IFERROR(INDEX(Diccionario!$N:$N,MATCH(F65,Diccionario!$C:$C,0)),"")</f>
        <v>Mensual</v>
      </c>
    </row>
    <row r="66" spans="1:14" ht="14.25" customHeight="1" x14ac:dyDescent="0.3">
      <c r="A66" t="s">
        <v>545</v>
      </c>
      <c r="B66" t="s">
        <v>522</v>
      </c>
      <c r="C66" t="s">
        <v>523</v>
      </c>
      <c r="D66" t="s">
        <v>451</v>
      </c>
      <c r="E66" t="s">
        <v>524</v>
      </c>
      <c r="F66" t="s">
        <v>76</v>
      </c>
      <c r="I66">
        <v>50000000</v>
      </c>
      <c r="J66" t="s">
        <v>451</v>
      </c>
      <c r="K66" t="s">
        <v>525</v>
      </c>
      <c r="L66" t="str">
        <f>IFERROR(INDEX(Diccionario!$B:$B,MATCH(F66,Diccionario!$C:$C,0)),"")</f>
        <v>Finanzas</v>
      </c>
      <c r="M66" t="str">
        <f>IFERROR(INDEX(Diccionario!$H:$H,MATCH(F66,Diccionario!$C:$C,0)),"")</f>
        <v>Finanzas</v>
      </c>
      <c r="N66" t="str">
        <f>IFERROR(INDEX(Diccionario!$N:$N,MATCH(F66,Diccionario!$C:$C,0)),"")</f>
        <v>Mensual</v>
      </c>
    </row>
    <row r="67" spans="1:14" ht="14.25" customHeight="1" x14ac:dyDescent="0.3">
      <c r="A67" t="s">
        <v>546</v>
      </c>
      <c r="B67" t="s">
        <v>522</v>
      </c>
      <c r="C67" t="s">
        <v>523</v>
      </c>
      <c r="D67" t="s">
        <v>451</v>
      </c>
      <c r="E67" t="s">
        <v>524</v>
      </c>
      <c r="F67" t="s">
        <v>406</v>
      </c>
      <c r="I67">
        <v>691000000</v>
      </c>
      <c r="J67" t="s">
        <v>451</v>
      </c>
      <c r="L67" t="str">
        <f>IFERROR(INDEX(Diccionario!$B:$B,MATCH(F67,Diccionario!$C:$C,0)),"")</f>
        <v>Finanzas</v>
      </c>
      <c r="M67" t="str">
        <f>IFERROR(INDEX(Diccionario!$H:$H,MATCH(F67,Diccionario!$C:$C,0)),"")</f>
        <v>Finanzas</v>
      </c>
      <c r="N67" t="str">
        <f>IFERROR(INDEX(Diccionario!$N:$N,MATCH(F67,Diccionario!$C:$C,0)),"")</f>
        <v>Mensual</v>
      </c>
    </row>
    <row r="68" spans="1:14" ht="14.25" customHeight="1" x14ac:dyDescent="0.3">
      <c r="A68" t="s">
        <v>546</v>
      </c>
      <c r="B68" t="s">
        <v>522</v>
      </c>
      <c r="C68" t="s">
        <v>523</v>
      </c>
      <c r="D68" t="s">
        <v>451</v>
      </c>
      <c r="E68" t="s">
        <v>524</v>
      </c>
      <c r="F68" t="s">
        <v>72</v>
      </c>
      <c r="I68">
        <v>778000000</v>
      </c>
      <c r="J68" t="s">
        <v>451</v>
      </c>
      <c r="L68" t="str">
        <f>IFERROR(INDEX(Diccionario!$B:$B,MATCH(F68,Diccionario!$C:$C,0)),"")</f>
        <v>Finanzas</v>
      </c>
      <c r="M68" t="str">
        <f>IFERROR(INDEX(Diccionario!$H:$H,MATCH(F68,Diccionario!$C:$C,0)),"")</f>
        <v>Finanzas</v>
      </c>
      <c r="N68" t="str">
        <f>IFERROR(INDEX(Diccionario!$N:$N,MATCH(F68,Diccionario!$C:$C,0)),"")</f>
        <v>Mensual</v>
      </c>
    </row>
    <row r="69" spans="1:14" ht="14.25" customHeight="1" x14ac:dyDescent="0.3">
      <c r="A69" t="s">
        <v>546</v>
      </c>
      <c r="B69" t="s">
        <v>522</v>
      </c>
      <c r="C69" t="s">
        <v>523</v>
      </c>
      <c r="D69" t="s">
        <v>451</v>
      </c>
      <c r="E69" t="s">
        <v>524</v>
      </c>
      <c r="F69" t="s">
        <v>76</v>
      </c>
      <c r="I69">
        <v>-87000000</v>
      </c>
      <c r="J69" t="s">
        <v>451</v>
      </c>
      <c r="K69" t="s">
        <v>525</v>
      </c>
      <c r="L69" t="str">
        <f>IFERROR(INDEX(Diccionario!$B:$B,MATCH(F69,Diccionario!$C:$C,0)),"")</f>
        <v>Finanzas</v>
      </c>
      <c r="M69" t="str">
        <f>IFERROR(INDEX(Diccionario!$H:$H,MATCH(F69,Diccionario!$C:$C,0)),"")</f>
        <v>Finanzas</v>
      </c>
      <c r="N69" t="str">
        <f>IFERROR(INDEX(Diccionario!$N:$N,MATCH(F69,Diccionario!$C:$C,0)),"")</f>
        <v>Mensual</v>
      </c>
    </row>
    <row r="70" spans="1:14" ht="14.25" customHeight="1" x14ac:dyDescent="0.3">
      <c r="A70" t="s">
        <v>547</v>
      </c>
      <c r="B70" t="s">
        <v>522</v>
      </c>
      <c r="C70" t="s">
        <v>523</v>
      </c>
      <c r="D70" t="s">
        <v>451</v>
      </c>
      <c r="E70" t="s">
        <v>524</v>
      </c>
      <c r="F70" t="s">
        <v>406</v>
      </c>
      <c r="I70">
        <v>700000000</v>
      </c>
      <c r="J70" t="s">
        <v>451</v>
      </c>
      <c r="L70" t="str">
        <f>IFERROR(INDEX(Diccionario!$B:$B,MATCH(F70,Diccionario!$C:$C,0)),"")</f>
        <v>Finanzas</v>
      </c>
      <c r="M70" t="str">
        <f>IFERROR(INDEX(Diccionario!$H:$H,MATCH(F70,Diccionario!$C:$C,0)),"")</f>
        <v>Finanzas</v>
      </c>
      <c r="N70" t="str">
        <f>IFERROR(INDEX(Diccionario!$N:$N,MATCH(F70,Diccionario!$C:$C,0)),"")</f>
        <v>Mensual</v>
      </c>
    </row>
    <row r="71" spans="1:14" ht="14.25" customHeight="1" x14ac:dyDescent="0.3">
      <c r="A71" t="s">
        <v>547</v>
      </c>
      <c r="B71" t="s">
        <v>522</v>
      </c>
      <c r="C71" t="s">
        <v>523</v>
      </c>
      <c r="D71" t="s">
        <v>451</v>
      </c>
      <c r="E71" t="s">
        <v>524</v>
      </c>
      <c r="F71" t="s">
        <v>72</v>
      </c>
      <c r="I71">
        <v>739000000</v>
      </c>
      <c r="J71" t="s">
        <v>451</v>
      </c>
      <c r="L71" t="str">
        <f>IFERROR(INDEX(Diccionario!$B:$B,MATCH(F71,Diccionario!$C:$C,0)),"")</f>
        <v>Finanzas</v>
      </c>
      <c r="M71" t="str">
        <f>IFERROR(INDEX(Diccionario!$H:$H,MATCH(F71,Diccionario!$C:$C,0)),"")</f>
        <v>Finanzas</v>
      </c>
      <c r="N71" t="str">
        <f>IFERROR(INDEX(Diccionario!$N:$N,MATCH(F71,Diccionario!$C:$C,0)),"")</f>
        <v>Mensual</v>
      </c>
    </row>
    <row r="72" spans="1:14" ht="14.25" customHeight="1" x14ac:dyDescent="0.3">
      <c r="A72" t="s">
        <v>547</v>
      </c>
      <c r="B72" t="s">
        <v>522</v>
      </c>
      <c r="C72" t="s">
        <v>523</v>
      </c>
      <c r="D72" t="s">
        <v>451</v>
      </c>
      <c r="E72" t="s">
        <v>524</v>
      </c>
      <c r="F72" t="s">
        <v>76</v>
      </c>
      <c r="I72">
        <v>-39000000</v>
      </c>
      <c r="J72" t="s">
        <v>451</v>
      </c>
      <c r="K72" t="s">
        <v>525</v>
      </c>
      <c r="L72" t="str">
        <f>IFERROR(INDEX(Diccionario!$B:$B,MATCH(F72,Diccionario!$C:$C,0)),"")</f>
        <v>Finanzas</v>
      </c>
      <c r="M72" t="str">
        <f>IFERROR(INDEX(Diccionario!$H:$H,MATCH(F72,Diccionario!$C:$C,0)),"")</f>
        <v>Finanzas</v>
      </c>
      <c r="N72" t="str">
        <f>IFERROR(INDEX(Diccionario!$N:$N,MATCH(F72,Diccionario!$C:$C,0)),"")</f>
        <v>Mensual</v>
      </c>
    </row>
    <row r="73" spans="1:14" ht="14.25" customHeight="1" x14ac:dyDescent="0.3">
      <c r="A73" t="s">
        <v>548</v>
      </c>
      <c r="B73" t="s">
        <v>522</v>
      </c>
      <c r="C73" t="s">
        <v>523</v>
      </c>
      <c r="D73" t="s">
        <v>451</v>
      </c>
      <c r="E73" t="s">
        <v>524</v>
      </c>
      <c r="F73" t="s">
        <v>406</v>
      </c>
      <c r="I73">
        <v>765000000</v>
      </c>
      <c r="J73" t="s">
        <v>451</v>
      </c>
      <c r="L73" t="str">
        <f>IFERROR(INDEX(Diccionario!$B:$B,MATCH(F73,Diccionario!$C:$C,0)),"")</f>
        <v>Finanzas</v>
      </c>
      <c r="M73" t="str">
        <f>IFERROR(INDEX(Diccionario!$H:$H,MATCH(F73,Diccionario!$C:$C,0)),"")</f>
        <v>Finanzas</v>
      </c>
      <c r="N73" t="str">
        <f>IFERROR(INDEX(Diccionario!$N:$N,MATCH(F73,Diccionario!$C:$C,0)),"")</f>
        <v>Mensual</v>
      </c>
    </row>
    <row r="74" spans="1:14" ht="14.25" customHeight="1" x14ac:dyDescent="0.3">
      <c r="A74" t="s">
        <v>548</v>
      </c>
      <c r="B74" t="s">
        <v>522</v>
      </c>
      <c r="C74" t="s">
        <v>523</v>
      </c>
      <c r="D74" t="s">
        <v>451</v>
      </c>
      <c r="E74" t="s">
        <v>524</v>
      </c>
      <c r="F74" t="s">
        <v>72</v>
      </c>
      <c r="I74">
        <v>718000000</v>
      </c>
      <c r="J74" t="s">
        <v>451</v>
      </c>
      <c r="L74" t="str">
        <f>IFERROR(INDEX(Diccionario!$B:$B,MATCH(F74,Diccionario!$C:$C,0)),"")</f>
        <v>Finanzas</v>
      </c>
      <c r="M74" t="str">
        <f>IFERROR(INDEX(Diccionario!$H:$H,MATCH(F74,Diccionario!$C:$C,0)),"")</f>
        <v>Finanzas</v>
      </c>
      <c r="N74" t="str">
        <f>IFERROR(INDEX(Diccionario!$N:$N,MATCH(F74,Diccionario!$C:$C,0)),"")</f>
        <v>Mensual</v>
      </c>
    </row>
    <row r="75" spans="1:14" ht="14.25" customHeight="1" x14ac:dyDescent="0.3">
      <c r="A75" t="s">
        <v>548</v>
      </c>
      <c r="B75" t="s">
        <v>522</v>
      </c>
      <c r="C75" t="s">
        <v>523</v>
      </c>
      <c r="D75" t="s">
        <v>451</v>
      </c>
      <c r="E75" t="s">
        <v>524</v>
      </c>
      <c r="F75" t="s">
        <v>76</v>
      </c>
      <c r="I75">
        <v>47000000</v>
      </c>
      <c r="J75" t="s">
        <v>451</v>
      </c>
      <c r="K75" t="s">
        <v>525</v>
      </c>
      <c r="L75" t="str">
        <f>IFERROR(INDEX(Diccionario!$B:$B,MATCH(F75,Diccionario!$C:$C,0)),"")</f>
        <v>Finanzas</v>
      </c>
      <c r="M75" t="str">
        <f>IFERROR(INDEX(Diccionario!$H:$H,MATCH(F75,Diccionario!$C:$C,0)),"")</f>
        <v>Finanzas</v>
      </c>
      <c r="N75" t="str">
        <f>IFERROR(INDEX(Diccionario!$N:$N,MATCH(F75,Diccionario!$C:$C,0)),"")</f>
        <v>Mensual</v>
      </c>
    </row>
    <row r="76" spans="1:14" ht="14.25" customHeight="1" x14ac:dyDescent="0.3">
      <c r="A76" t="s">
        <v>549</v>
      </c>
      <c r="B76" t="s">
        <v>522</v>
      </c>
      <c r="C76" t="s">
        <v>523</v>
      </c>
      <c r="D76" t="s">
        <v>451</v>
      </c>
      <c r="E76" t="s">
        <v>524</v>
      </c>
      <c r="F76" t="s">
        <v>406</v>
      </c>
      <c r="I76">
        <v>612247701</v>
      </c>
      <c r="J76" t="s">
        <v>451</v>
      </c>
      <c r="K76" t="s">
        <v>550</v>
      </c>
      <c r="L76" t="str">
        <f>IFERROR(INDEX(Diccionario!$B:$B,MATCH(F76,Diccionario!$C:$C,0)),"")</f>
        <v>Finanzas</v>
      </c>
      <c r="M76" t="str">
        <f>IFERROR(INDEX(Diccionario!$H:$H,MATCH(F76,Diccionario!$C:$C,0)),"")</f>
        <v>Finanzas</v>
      </c>
      <c r="N76" t="str">
        <f>IFERROR(INDEX(Diccionario!$N:$N,MATCH(F76,Diccionario!$C:$C,0)),"")</f>
        <v>Mensual</v>
      </c>
    </row>
    <row r="77" spans="1:14" ht="14.25" customHeight="1" x14ac:dyDescent="0.3">
      <c r="A77" t="s">
        <v>549</v>
      </c>
      <c r="B77" t="s">
        <v>522</v>
      </c>
      <c r="C77" t="s">
        <v>523</v>
      </c>
      <c r="D77" t="s">
        <v>451</v>
      </c>
      <c r="E77" t="s">
        <v>524</v>
      </c>
      <c r="F77" t="s">
        <v>72</v>
      </c>
      <c r="I77">
        <v>542000000</v>
      </c>
      <c r="J77" t="s">
        <v>451</v>
      </c>
      <c r="L77" t="str">
        <f>IFERROR(INDEX(Diccionario!$B:$B,MATCH(F77,Diccionario!$C:$C,0)),"")</f>
        <v>Finanzas</v>
      </c>
      <c r="M77" t="str">
        <f>IFERROR(INDEX(Diccionario!$H:$H,MATCH(F77,Diccionario!$C:$C,0)),"")</f>
        <v>Finanzas</v>
      </c>
      <c r="N77" t="str">
        <f>IFERROR(INDEX(Diccionario!$N:$N,MATCH(F77,Diccionario!$C:$C,0)),"")</f>
        <v>Mensual</v>
      </c>
    </row>
    <row r="78" spans="1:14" ht="14.25" customHeight="1" x14ac:dyDescent="0.3">
      <c r="A78" t="s">
        <v>549</v>
      </c>
      <c r="B78" t="s">
        <v>522</v>
      </c>
      <c r="C78" t="s">
        <v>523</v>
      </c>
      <c r="D78" t="s">
        <v>451</v>
      </c>
      <c r="E78" t="s">
        <v>524</v>
      </c>
      <c r="F78" t="s">
        <v>76</v>
      </c>
      <c r="I78">
        <v>91000000</v>
      </c>
      <c r="J78" t="s">
        <v>451</v>
      </c>
      <c r="K78" t="s">
        <v>525</v>
      </c>
      <c r="L78" t="str">
        <f>IFERROR(INDEX(Diccionario!$B:$B,MATCH(F78,Diccionario!$C:$C,0)),"")</f>
        <v>Finanzas</v>
      </c>
      <c r="M78" t="str">
        <f>IFERROR(INDEX(Diccionario!$H:$H,MATCH(F78,Diccionario!$C:$C,0)),"")</f>
        <v>Finanzas</v>
      </c>
      <c r="N78" t="str">
        <f>IFERROR(INDEX(Diccionario!$N:$N,MATCH(F78,Diccionario!$C:$C,0)),"")</f>
        <v>Mensual</v>
      </c>
    </row>
    <row r="79" spans="1:14" ht="14.25" customHeight="1" x14ac:dyDescent="0.3">
      <c r="A79" t="s">
        <v>551</v>
      </c>
      <c r="B79" t="s">
        <v>522</v>
      </c>
      <c r="C79" t="s">
        <v>523</v>
      </c>
      <c r="D79" t="s">
        <v>451</v>
      </c>
      <c r="E79" t="s">
        <v>524</v>
      </c>
      <c r="F79" t="s">
        <v>406</v>
      </c>
      <c r="I79">
        <v>744218137</v>
      </c>
      <c r="J79" t="s">
        <v>451</v>
      </c>
      <c r="K79" t="s">
        <v>550</v>
      </c>
      <c r="L79" t="str">
        <f>IFERROR(INDEX(Diccionario!$B:$B,MATCH(F79,Diccionario!$C:$C,0)),"")</f>
        <v>Finanzas</v>
      </c>
      <c r="M79" t="str">
        <f>IFERROR(INDEX(Diccionario!$H:$H,MATCH(F79,Diccionario!$C:$C,0)),"")</f>
        <v>Finanzas</v>
      </c>
      <c r="N79" t="str">
        <f>IFERROR(INDEX(Diccionario!$N:$N,MATCH(F79,Diccionario!$C:$C,0)),"")</f>
        <v>Mensual</v>
      </c>
    </row>
    <row r="80" spans="1:14" ht="14.25" customHeight="1" x14ac:dyDescent="0.3">
      <c r="A80" t="s">
        <v>551</v>
      </c>
      <c r="B80" t="s">
        <v>522</v>
      </c>
      <c r="C80" t="s">
        <v>523</v>
      </c>
      <c r="D80" t="s">
        <v>451</v>
      </c>
      <c r="E80" t="s">
        <v>524</v>
      </c>
      <c r="F80" t="s">
        <v>72</v>
      </c>
      <c r="I80">
        <v>684000000</v>
      </c>
      <c r="J80" t="s">
        <v>451</v>
      </c>
      <c r="L80" t="str">
        <f>IFERROR(INDEX(Diccionario!$B:$B,MATCH(F80,Diccionario!$C:$C,0)),"")</f>
        <v>Finanzas</v>
      </c>
      <c r="M80" t="str">
        <f>IFERROR(INDEX(Diccionario!$H:$H,MATCH(F80,Diccionario!$C:$C,0)),"")</f>
        <v>Finanzas</v>
      </c>
      <c r="N80" t="str">
        <f>IFERROR(INDEX(Diccionario!$N:$N,MATCH(F80,Diccionario!$C:$C,0)),"")</f>
        <v>Mensual</v>
      </c>
    </row>
    <row r="81" spans="1:14" ht="14.25" customHeight="1" x14ac:dyDescent="0.3">
      <c r="A81" t="s">
        <v>551</v>
      </c>
      <c r="B81" t="s">
        <v>522</v>
      </c>
      <c r="C81" t="s">
        <v>523</v>
      </c>
      <c r="D81" t="s">
        <v>451</v>
      </c>
      <c r="E81" t="s">
        <v>524</v>
      </c>
      <c r="F81" t="s">
        <v>76</v>
      </c>
      <c r="I81">
        <v>60000000</v>
      </c>
      <c r="J81" t="s">
        <v>451</v>
      </c>
      <c r="K81" t="s">
        <v>525</v>
      </c>
      <c r="L81" t="str">
        <f>IFERROR(INDEX(Diccionario!$B:$B,MATCH(F81,Diccionario!$C:$C,0)),"")</f>
        <v>Finanzas</v>
      </c>
      <c r="M81" t="str">
        <f>IFERROR(INDEX(Diccionario!$H:$H,MATCH(F81,Diccionario!$C:$C,0)),"")</f>
        <v>Finanzas</v>
      </c>
      <c r="N81" t="str">
        <f>IFERROR(INDEX(Diccionario!$N:$N,MATCH(F81,Diccionario!$C:$C,0)),"")</f>
        <v>Mensual</v>
      </c>
    </row>
    <row r="82" spans="1:14" ht="14.25" customHeight="1" x14ac:dyDescent="0.3">
      <c r="A82" t="s">
        <v>552</v>
      </c>
      <c r="B82" t="s">
        <v>522</v>
      </c>
      <c r="C82" t="s">
        <v>523</v>
      </c>
      <c r="D82" t="s">
        <v>451</v>
      </c>
      <c r="E82" t="s">
        <v>524</v>
      </c>
      <c r="F82" t="s">
        <v>406</v>
      </c>
      <c r="I82">
        <v>787041187</v>
      </c>
      <c r="J82" t="s">
        <v>451</v>
      </c>
      <c r="K82" t="s">
        <v>550</v>
      </c>
      <c r="L82" t="str">
        <f>IFERROR(INDEX(Diccionario!$B:$B,MATCH(F82,Diccionario!$C:$C,0)),"")</f>
        <v>Finanzas</v>
      </c>
      <c r="M82" t="str">
        <f>IFERROR(INDEX(Diccionario!$H:$H,MATCH(F82,Diccionario!$C:$C,0)),"")</f>
        <v>Finanzas</v>
      </c>
      <c r="N82" t="str">
        <f>IFERROR(INDEX(Diccionario!$N:$N,MATCH(F82,Diccionario!$C:$C,0)),"")</f>
        <v>Mensual</v>
      </c>
    </row>
    <row r="83" spans="1:14" ht="14.25" customHeight="1" x14ac:dyDescent="0.3">
      <c r="A83" t="s">
        <v>552</v>
      </c>
      <c r="B83" t="s">
        <v>522</v>
      </c>
      <c r="C83" t="s">
        <v>523</v>
      </c>
      <c r="D83" t="s">
        <v>451</v>
      </c>
      <c r="E83" t="s">
        <v>524</v>
      </c>
      <c r="F83" t="s">
        <v>72</v>
      </c>
      <c r="I83">
        <v>806000000</v>
      </c>
      <c r="J83" t="s">
        <v>451</v>
      </c>
      <c r="L83" t="str">
        <f>IFERROR(INDEX(Diccionario!$B:$B,MATCH(F83,Diccionario!$C:$C,0)),"")</f>
        <v>Finanzas</v>
      </c>
      <c r="M83" t="str">
        <f>IFERROR(INDEX(Diccionario!$H:$H,MATCH(F83,Diccionario!$C:$C,0)),"")</f>
        <v>Finanzas</v>
      </c>
      <c r="N83" t="str">
        <f>IFERROR(INDEX(Diccionario!$N:$N,MATCH(F83,Diccionario!$C:$C,0)),"")</f>
        <v>Mensual</v>
      </c>
    </row>
    <row r="84" spans="1:14" ht="14.25" customHeight="1" x14ac:dyDescent="0.3">
      <c r="A84" t="s">
        <v>552</v>
      </c>
      <c r="B84" t="s">
        <v>522</v>
      </c>
      <c r="C84" t="s">
        <v>523</v>
      </c>
      <c r="D84" t="s">
        <v>451</v>
      </c>
      <c r="E84" t="s">
        <v>524</v>
      </c>
      <c r="F84" t="s">
        <v>76</v>
      </c>
      <c r="I84">
        <v>-37000000</v>
      </c>
      <c r="J84" t="s">
        <v>451</v>
      </c>
      <c r="K84" t="s">
        <v>525</v>
      </c>
      <c r="L84" t="str">
        <f>IFERROR(INDEX(Diccionario!$B:$B,MATCH(F84,Diccionario!$C:$C,0)),"")</f>
        <v>Finanzas</v>
      </c>
      <c r="M84" t="str">
        <f>IFERROR(INDEX(Diccionario!$H:$H,MATCH(F84,Diccionario!$C:$C,0)),"")</f>
        <v>Finanzas</v>
      </c>
      <c r="N84" t="str">
        <f>IFERROR(INDEX(Diccionario!$N:$N,MATCH(F84,Diccionario!$C:$C,0)),"")</f>
        <v>Mensual</v>
      </c>
    </row>
    <row r="85" spans="1:14" ht="14.25" customHeight="1" x14ac:dyDescent="0.3">
      <c r="A85" t="s">
        <v>553</v>
      </c>
      <c r="B85" t="s">
        <v>522</v>
      </c>
      <c r="C85" t="s">
        <v>523</v>
      </c>
      <c r="D85" t="s">
        <v>451</v>
      </c>
      <c r="E85" t="s">
        <v>524</v>
      </c>
      <c r="F85" t="s">
        <v>406</v>
      </c>
      <c r="I85">
        <v>750867662</v>
      </c>
      <c r="J85" t="s">
        <v>451</v>
      </c>
      <c r="K85" t="s">
        <v>550</v>
      </c>
      <c r="L85" t="str">
        <f>IFERROR(INDEX(Diccionario!$B:$B,MATCH(F85,Diccionario!$C:$C,0)),"")</f>
        <v>Finanzas</v>
      </c>
      <c r="M85" t="str">
        <f>IFERROR(INDEX(Diccionario!$H:$H,MATCH(F85,Diccionario!$C:$C,0)),"")</f>
        <v>Finanzas</v>
      </c>
      <c r="N85" t="str">
        <f>IFERROR(INDEX(Diccionario!$N:$N,MATCH(F85,Diccionario!$C:$C,0)),"")</f>
        <v>Mensual</v>
      </c>
    </row>
    <row r="86" spans="1:14" ht="14.25" customHeight="1" x14ac:dyDescent="0.3">
      <c r="A86" t="s">
        <v>553</v>
      </c>
      <c r="B86" t="s">
        <v>522</v>
      </c>
      <c r="C86" t="s">
        <v>523</v>
      </c>
      <c r="D86" t="s">
        <v>451</v>
      </c>
      <c r="E86" t="s">
        <v>524</v>
      </c>
      <c r="F86" t="s">
        <v>72</v>
      </c>
      <c r="I86">
        <v>755000000</v>
      </c>
      <c r="J86" t="s">
        <v>451</v>
      </c>
      <c r="L86" t="str">
        <f>IFERROR(INDEX(Diccionario!$B:$B,MATCH(F86,Diccionario!$C:$C,0)),"")</f>
        <v>Finanzas</v>
      </c>
      <c r="M86" t="str">
        <f>IFERROR(INDEX(Diccionario!$H:$H,MATCH(F86,Diccionario!$C:$C,0)),"")</f>
        <v>Finanzas</v>
      </c>
      <c r="N86" t="str">
        <f>IFERROR(INDEX(Diccionario!$N:$N,MATCH(F86,Diccionario!$C:$C,0)),"")</f>
        <v>Mensual</v>
      </c>
    </row>
    <row r="87" spans="1:14" ht="14.25" customHeight="1" x14ac:dyDescent="0.3">
      <c r="A87" t="s">
        <v>553</v>
      </c>
      <c r="B87" t="s">
        <v>522</v>
      </c>
      <c r="C87" t="s">
        <v>523</v>
      </c>
      <c r="D87" t="s">
        <v>451</v>
      </c>
      <c r="E87" t="s">
        <v>524</v>
      </c>
      <c r="F87" t="s">
        <v>76</v>
      </c>
      <c r="I87">
        <v>-1000000</v>
      </c>
      <c r="J87" t="s">
        <v>451</v>
      </c>
      <c r="K87" t="s">
        <v>525</v>
      </c>
      <c r="L87" t="str">
        <f>IFERROR(INDEX(Diccionario!$B:$B,MATCH(F87,Diccionario!$C:$C,0)),"")</f>
        <v>Finanzas</v>
      </c>
      <c r="M87" t="str">
        <f>IFERROR(INDEX(Diccionario!$H:$H,MATCH(F87,Diccionario!$C:$C,0)),"")</f>
        <v>Finanzas</v>
      </c>
      <c r="N87" t="str">
        <f>IFERROR(INDEX(Diccionario!$N:$N,MATCH(F87,Diccionario!$C:$C,0)),"")</f>
        <v>Mensual</v>
      </c>
    </row>
    <row r="88" spans="1:14" ht="14.25" customHeight="1" x14ac:dyDescent="0.3">
      <c r="A88" t="s">
        <v>554</v>
      </c>
      <c r="B88" t="s">
        <v>522</v>
      </c>
      <c r="C88" t="s">
        <v>523</v>
      </c>
      <c r="D88" t="s">
        <v>451</v>
      </c>
      <c r="E88" t="s">
        <v>524</v>
      </c>
      <c r="F88" t="s">
        <v>406</v>
      </c>
      <c r="I88">
        <v>826514746</v>
      </c>
      <c r="J88" t="s">
        <v>451</v>
      </c>
      <c r="K88" t="s">
        <v>550</v>
      </c>
      <c r="L88" t="str">
        <f>IFERROR(INDEX(Diccionario!$B:$B,MATCH(F88,Diccionario!$C:$C,0)),"")</f>
        <v>Finanzas</v>
      </c>
      <c r="M88" t="str">
        <f>IFERROR(INDEX(Diccionario!$H:$H,MATCH(F88,Diccionario!$C:$C,0)),"")</f>
        <v>Finanzas</v>
      </c>
      <c r="N88" t="str">
        <f>IFERROR(INDEX(Diccionario!$N:$N,MATCH(F88,Diccionario!$C:$C,0)),"")</f>
        <v>Mensual</v>
      </c>
    </row>
    <row r="89" spans="1:14" ht="14.25" customHeight="1" x14ac:dyDescent="0.3">
      <c r="A89" t="s">
        <v>554</v>
      </c>
      <c r="B89" t="s">
        <v>522</v>
      </c>
      <c r="C89" t="s">
        <v>523</v>
      </c>
      <c r="D89" t="s">
        <v>451</v>
      </c>
      <c r="E89" t="s">
        <v>524</v>
      </c>
      <c r="F89" t="s">
        <v>72</v>
      </c>
      <c r="I89">
        <v>720000000</v>
      </c>
      <c r="J89" t="s">
        <v>451</v>
      </c>
      <c r="L89" t="str">
        <f>IFERROR(INDEX(Diccionario!$B:$B,MATCH(F89,Diccionario!$C:$C,0)),"")</f>
        <v>Finanzas</v>
      </c>
      <c r="M89" t="str">
        <f>IFERROR(INDEX(Diccionario!$H:$H,MATCH(F89,Diccionario!$C:$C,0)),"")</f>
        <v>Finanzas</v>
      </c>
      <c r="N89" t="str">
        <f>IFERROR(INDEX(Diccionario!$N:$N,MATCH(F89,Diccionario!$C:$C,0)),"")</f>
        <v>Mensual</v>
      </c>
    </row>
    <row r="90" spans="1:14" ht="14.25" customHeight="1" x14ac:dyDescent="0.3">
      <c r="A90" t="s">
        <v>554</v>
      </c>
      <c r="B90" t="s">
        <v>522</v>
      </c>
      <c r="C90" t="s">
        <v>523</v>
      </c>
      <c r="D90" t="s">
        <v>451</v>
      </c>
      <c r="E90" t="s">
        <v>524</v>
      </c>
      <c r="F90" t="s">
        <v>76</v>
      </c>
      <c r="I90">
        <v>92000000</v>
      </c>
      <c r="J90" t="s">
        <v>451</v>
      </c>
      <c r="K90" t="s">
        <v>525</v>
      </c>
      <c r="L90" t="str">
        <f>IFERROR(INDEX(Diccionario!$B:$B,MATCH(F90,Diccionario!$C:$C,0)),"")</f>
        <v>Finanzas</v>
      </c>
      <c r="M90" t="str">
        <f>IFERROR(INDEX(Diccionario!$H:$H,MATCH(F90,Diccionario!$C:$C,0)),"")</f>
        <v>Finanzas</v>
      </c>
      <c r="N90" t="str">
        <f>IFERROR(INDEX(Diccionario!$N:$N,MATCH(F90,Diccionario!$C:$C,0)),"")</f>
        <v>Mensual</v>
      </c>
    </row>
    <row r="91" spans="1:14" ht="14.25" customHeight="1" x14ac:dyDescent="0.3">
      <c r="A91" t="s">
        <v>542</v>
      </c>
      <c r="B91" t="s">
        <v>522</v>
      </c>
      <c r="C91" t="s">
        <v>523</v>
      </c>
      <c r="D91" t="s">
        <v>451</v>
      </c>
      <c r="E91" t="s">
        <v>524</v>
      </c>
      <c r="F91" t="s">
        <v>80</v>
      </c>
      <c r="I91">
        <v>154028000</v>
      </c>
      <c r="J91" t="s">
        <v>451</v>
      </c>
      <c r="L91" t="str">
        <f>IFERROR(INDEX(Diccionario!$B:$B,MATCH(F91,Diccionario!$C:$C,0)),"")</f>
        <v>Finanzas</v>
      </c>
      <c r="M91" t="str">
        <f>IFERROR(INDEX(Diccionario!$H:$H,MATCH(F91,Diccionario!$C:$C,0)),"")</f>
        <v>Finanzas</v>
      </c>
      <c r="N91" t="str">
        <f>IFERROR(INDEX(Diccionario!$N:$N,MATCH(F91,Diccionario!$C:$C,0)),"")</f>
        <v>Mensual</v>
      </c>
    </row>
    <row r="92" spans="1:14" ht="14.25" customHeight="1" x14ac:dyDescent="0.3">
      <c r="A92" t="s">
        <v>543</v>
      </c>
      <c r="B92" t="s">
        <v>522</v>
      </c>
      <c r="C92" t="s">
        <v>523</v>
      </c>
      <c r="D92" t="s">
        <v>451</v>
      </c>
      <c r="E92" t="s">
        <v>524</v>
      </c>
      <c r="F92" t="s">
        <v>80</v>
      </c>
      <c r="I92">
        <v>210623000</v>
      </c>
      <c r="J92" t="s">
        <v>451</v>
      </c>
      <c r="L92" t="str">
        <f>IFERROR(INDEX(Diccionario!$B:$B,MATCH(F92,Diccionario!$C:$C,0)),"")</f>
        <v>Finanzas</v>
      </c>
      <c r="M92" t="str">
        <f>IFERROR(INDEX(Diccionario!$H:$H,MATCH(F92,Diccionario!$C:$C,0)),"")</f>
        <v>Finanzas</v>
      </c>
      <c r="N92" t="str">
        <f>IFERROR(INDEX(Diccionario!$N:$N,MATCH(F92,Diccionario!$C:$C,0)),"")</f>
        <v>Mensual</v>
      </c>
    </row>
    <row r="93" spans="1:14" ht="14.25" customHeight="1" x14ac:dyDescent="0.3">
      <c r="A93" t="s">
        <v>544</v>
      </c>
      <c r="B93" t="s">
        <v>522</v>
      </c>
      <c r="C93" t="s">
        <v>523</v>
      </c>
      <c r="D93" t="s">
        <v>451</v>
      </c>
      <c r="E93" t="s">
        <v>524</v>
      </c>
      <c r="F93" t="s">
        <v>80</v>
      </c>
      <c r="I93">
        <v>219976000</v>
      </c>
      <c r="J93" t="s">
        <v>451</v>
      </c>
      <c r="L93" t="str">
        <f>IFERROR(INDEX(Diccionario!$B:$B,MATCH(F93,Diccionario!$C:$C,0)),"")</f>
        <v>Finanzas</v>
      </c>
      <c r="M93" t="str">
        <f>IFERROR(INDEX(Diccionario!$H:$H,MATCH(F93,Diccionario!$C:$C,0)),"")</f>
        <v>Finanzas</v>
      </c>
      <c r="N93" t="str">
        <f>IFERROR(INDEX(Diccionario!$N:$N,MATCH(F93,Diccionario!$C:$C,0)),"")</f>
        <v>Mensual</v>
      </c>
    </row>
    <row r="94" spans="1:14" ht="14.25" customHeight="1" x14ac:dyDescent="0.3">
      <c r="A94" t="s">
        <v>545</v>
      </c>
      <c r="B94" t="s">
        <v>522</v>
      </c>
      <c r="C94" t="s">
        <v>523</v>
      </c>
      <c r="D94" t="s">
        <v>451</v>
      </c>
      <c r="E94" t="s">
        <v>524</v>
      </c>
      <c r="F94" t="s">
        <v>80</v>
      </c>
      <c r="I94">
        <v>207986000</v>
      </c>
      <c r="J94" t="s">
        <v>451</v>
      </c>
      <c r="L94" t="str">
        <f>IFERROR(INDEX(Diccionario!$B:$B,MATCH(F94,Diccionario!$C:$C,0)),"")</f>
        <v>Finanzas</v>
      </c>
      <c r="M94" t="str">
        <f>IFERROR(INDEX(Diccionario!$H:$H,MATCH(F94,Diccionario!$C:$C,0)),"")</f>
        <v>Finanzas</v>
      </c>
      <c r="N94" t="str">
        <f>IFERROR(INDEX(Diccionario!$N:$N,MATCH(F94,Diccionario!$C:$C,0)),"")</f>
        <v>Mensual</v>
      </c>
    </row>
    <row r="95" spans="1:14" ht="14.25" customHeight="1" x14ac:dyDescent="0.3">
      <c r="A95" t="s">
        <v>546</v>
      </c>
      <c r="B95" t="s">
        <v>522</v>
      </c>
      <c r="C95" t="s">
        <v>523</v>
      </c>
      <c r="D95" t="s">
        <v>451</v>
      </c>
      <c r="E95" t="s">
        <v>524</v>
      </c>
      <c r="F95" t="s">
        <v>80</v>
      </c>
      <c r="I95">
        <v>230467000</v>
      </c>
      <c r="J95" t="s">
        <v>451</v>
      </c>
      <c r="L95" t="str">
        <f>IFERROR(INDEX(Diccionario!$B:$B,MATCH(F95,Diccionario!$C:$C,0)),"")</f>
        <v>Finanzas</v>
      </c>
      <c r="M95" t="str">
        <f>IFERROR(INDEX(Diccionario!$H:$H,MATCH(F95,Diccionario!$C:$C,0)),"")</f>
        <v>Finanzas</v>
      </c>
      <c r="N95" t="str">
        <f>IFERROR(INDEX(Diccionario!$N:$N,MATCH(F95,Diccionario!$C:$C,0)),"")</f>
        <v>Mensual</v>
      </c>
    </row>
    <row r="96" spans="1:14" ht="14.25" customHeight="1" x14ac:dyDescent="0.3">
      <c r="A96" t="s">
        <v>547</v>
      </c>
      <c r="B96" t="s">
        <v>522</v>
      </c>
      <c r="C96" t="s">
        <v>523</v>
      </c>
      <c r="D96" t="s">
        <v>451</v>
      </c>
      <c r="E96" t="s">
        <v>524</v>
      </c>
      <c r="F96" t="s">
        <v>80</v>
      </c>
      <c r="I96">
        <v>240545000</v>
      </c>
      <c r="J96" t="s">
        <v>451</v>
      </c>
      <c r="L96" t="str">
        <f>IFERROR(INDEX(Diccionario!$B:$B,MATCH(F96,Diccionario!$C:$C,0)),"")</f>
        <v>Finanzas</v>
      </c>
      <c r="M96" t="str">
        <f>IFERROR(INDEX(Diccionario!$H:$H,MATCH(F96,Diccionario!$C:$C,0)),"")</f>
        <v>Finanzas</v>
      </c>
      <c r="N96" t="str">
        <f>IFERROR(INDEX(Diccionario!$N:$N,MATCH(F96,Diccionario!$C:$C,0)),"")</f>
        <v>Mensual</v>
      </c>
    </row>
    <row r="97" spans="1:14" ht="14.25" customHeight="1" x14ac:dyDescent="0.3">
      <c r="A97" t="s">
        <v>548</v>
      </c>
      <c r="B97" t="s">
        <v>522</v>
      </c>
      <c r="C97" t="s">
        <v>523</v>
      </c>
      <c r="D97" t="s">
        <v>451</v>
      </c>
      <c r="E97" t="s">
        <v>524</v>
      </c>
      <c r="F97" t="s">
        <v>80</v>
      </c>
      <c r="I97">
        <v>231501000</v>
      </c>
      <c r="J97" t="s">
        <v>451</v>
      </c>
      <c r="L97" t="str">
        <f>IFERROR(INDEX(Diccionario!$B:$B,MATCH(F97,Diccionario!$C:$C,0)),"")</f>
        <v>Finanzas</v>
      </c>
      <c r="M97" t="str">
        <f>IFERROR(INDEX(Diccionario!$H:$H,MATCH(F97,Diccionario!$C:$C,0)),"")</f>
        <v>Finanzas</v>
      </c>
      <c r="N97" t="str">
        <f>IFERROR(INDEX(Diccionario!$N:$N,MATCH(F97,Diccionario!$C:$C,0)),"")</f>
        <v>Mensual</v>
      </c>
    </row>
    <row r="98" spans="1:14" ht="14.25" customHeight="1" x14ac:dyDescent="0.3">
      <c r="A98" t="s">
        <v>549</v>
      </c>
      <c r="B98" t="s">
        <v>522</v>
      </c>
      <c r="C98" t="s">
        <v>523</v>
      </c>
      <c r="D98" t="s">
        <v>451</v>
      </c>
      <c r="E98" t="s">
        <v>524</v>
      </c>
      <c r="F98" t="s">
        <v>80</v>
      </c>
      <c r="I98">
        <v>207987000</v>
      </c>
      <c r="J98" t="s">
        <v>451</v>
      </c>
      <c r="L98" t="str">
        <f>IFERROR(INDEX(Diccionario!$B:$B,MATCH(F98,Diccionario!$C:$C,0)),"")</f>
        <v>Finanzas</v>
      </c>
      <c r="M98" t="str">
        <f>IFERROR(INDEX(Diccionario!$H:$H,MATCH(F98,Diccionario!$C:$C,0)),"")</f>
        <v>Finanzas</v>
      </c>
      <c r="N98" t="str">
        <f>IFERROR(INDEX(Diccionario!$N:$N,MATCH(F98,Diccionario!$C:$C,0)),"")</f>
        <v>Mensual</v>
      </c>
    </row>
    <row r="99" spans="1:14" ht="14.25" customHeight="1" x14ac:dyDescent="0.3">
      <c r="A99" t="s">
        <v>551</v>
      </c>
      <c r="B99" t="s">
        <v>522</v>
      </c>
      <c r="C99" t="s">
        <v>523</v>
      </c>
      <c r="D99" t="s">
        <v>451</v>
      </c>
      <c r="E99" t="s">
        <v>524</v>
      </c>
      <c r="F99" t="s">
        <v>80</v>
      </c>
      <c r="I99">
        <v>191717000</v>
      </c>
      <c r="J99" t="s">
        <v>451</v>
      </c>
      <c r="L99" t="str">
        <f>IFERROR(INDEX(Diccionario!$B:$B,MATCH(F99,Diccionario!$C:$C,0)),"")</f>
        <v>Finanzas</v>
      </c>
      <c r="M99" t="str">
        <f>IFERROR(INDEX(Diccionario!$H:$H,MATCH(F99,Diccionario!$C:$C,0)),"")</f>
        <v>Finanzas</v>
      </c>
      <c r="N99" t="str">
        <f>IFERROR(INDEX(Diccionario!$N:$N,MATCH(F99,Diccionario!$C:$C,0)),"")</f>
        <v>Mensual</v>
      </c>
    </row>
    <row r="100" spans="1:14" ht="14.25" customHeight="1" x14ac:dyDescent="0.3">
      <c r="A100" t="s">
        <v>552</v>
      </c>
      <c r="B100" t="s">
        <v>522</v>
      </c>
      <c r="C100" t="s">
        <v>523</v>
      </c>
      <c r="D100" t="s">
        <v>451</v>
      </c>
      <c r="E100" t="s">
        <v>524</v>
      </c>
      <c r="F100" t="s">
        <v>80</v>
      </c>
      <c r="I100">
        <v>201750000</v>
      </c>
      <c r="J100" t="s">
        <v>451</v>
      </c>
      <c r="L100" t="str">
        <f>IFERROR(INDEX(Diccionario!$B:$B,MATCH(F100,Diccionario!$C:$C,0)),"")</f>
        <v>Finanzas</v>
      </c>
      <c r="M100" t="str">
        <f>IFERROR(INDEX(Diccionario!$H:$H,MATCH(F100,Diccionario!$C:$C,0)),"")</f>
        <v>Finanzas</v>
      </c>
      <c r="N100" t="str">
        <f>IFERROR(INDEX(Diccionario!$N:$N,MATCH(F100,Diccionario!$C:$C,0)),"")</f>
        <v>Mensual</v>
      </c>
    </row>
    <row r="101" spans="1:14" ht="14.25" customHeight="1" x14ac:dyDescent="0.3">
      <c r="A101" t="s">
        <v>553</v>
      </c>
      <c r="B101" t="s">
        <v>522</v>
      </c>
      <c r="C101" t="s">
        <v>523</v>
      </c>
      <c r="D101" t="s">
        <v>451</v>
      </c>
      <c r="E101" t="s">
        <v>524</v>
      </c>
      <c r="F101" t="s">
        <v>80</v>
      </c>
      <c r="I101">
        <v>202016000</v>
      </c>
      <c r="J101" t="s">
        <v>451</v>
      </c>
      <c r="L101" t="str">
        <f>IFERROR(INDEX(Diccionario!$B:$B,MATCH(F101,Diccionario!$C:$C,0)),"")</f>
        <v>Finanzas</v>
      </c>
      <c r="M101" t="str">
        <f>IFERROR(INDEX(Diccionario!$H:$H,MATCH(F101,Diccionario!$C:$C,0)),"")</f>
        <v>Finanzas</v>
      </c>
      <c r="N101" t="str">
        <f>IFERROR(INDEX(Diccionario!$N:$N,MATCH(F101,Diccionario!$C:$C,0)),"")</f>
        <v>Mensual</v>
      </c>
    </row>
    <row r="102" spans="1:14" ht="14.25" customHeight="1" x14ac:dyDescent="0.3">
      <c r="A102" t="s">
        <v>554</v>
      </c>
      <c r="B102" t="s">
        <v>522</v>
      </c>
      <c r="C102" t="s">
        <v>523</v>
      </c>
      <c r="D102" t="s">
        <v>451</v>
      </c>
      <c r="E102" t="s">
        <v>524</v>
      </c>
      <c r="F102" t="s">
        <v>80</v>
      </c>
      <c r="I102">
        <v>177548000</v>
      </c>
      <c r="J102" t="s">
        <v>451</v>
      </c>
      <c r="L102" t="str">
        <f>IFERROR(INDEX(Diccionario!$B:$B,MATCH(F102,Diccionario!$C:$C,0)),"")</f>
        <v>Finanzas</v>
      </c>
      <c r="M102" t="str">
        <f>IFERROR(INDEX(Diccionario!$H:$H,MATCH(F102,Diccionario!$C:$C,0)),"")</f>
        <v>Finanzas</v>
      </c>
      <c r="N102" t="str">
        <f>IFERROR(INDEX(Diccionario!$N:$N,MATCH(F102,Diccionario!$C:$C,0)),"")</f>
        <v>Mensual</v>
      </c>
    </row>
    <row r="103" spans="1:14" ht="14.25" customHeight="1" x14ac:dyDescent="0.3">
      <c r="A103" t="s">
        <v>554</v>
      </c>
      <c r="B103" t="s">
        <v>522</v>
      </c>
      <c r="C103" t="s">
        <v>523</v>
      </c>
      <c r="D103" t="s">
        <v>451</v>
      </c>
      <c r="E103" t="s">
        <v>524</v>
      </c>
      <c r="F103" t="s">
        <v>112</v>
      </c>
      <c r="I103">
        <v>3706946282</v>
      </c>
      <c r="J103" t="s">
        <v>451</v>
      </c>
      <c r="K103" t="s">
        <v>555</v>
      </c>
      <c r="L103" t="str">
        <f>IFERROR(INDEX(Diccionario!$B:$B,MATCH(F103,Diccionario!$C:$C,0)),"")</f>
        <v>SaaS / Revenue</v>
      </c>
      <c r="M103" t="str">
        <f>IFERROR(INDEX(Diccionario!$H:$H,MATCH(F103,Diccionario!$C:$C,0)),"")</f>
        <v>Finanzas</v>
      </c>
      <c r="N103" t="str">
        <f>IFERROR(INDEX(Diccionario!$N:$N,MATCH(F103,Diccionario!$C:$C,0)),"")</f>
        <v>Mensual</v>
      </c>
    </row>
    <row r="104" spans="1:14" ht="14.25" customHeight="1" x14ac:dyDescent="0.3">
      <c r="A104" t="s">
        <v>554</v>
      </c>
      <c r="B104" t="s">
        <v>522</v>
      </c>
      <c r="C104" t="s">
        <v>523</v>
      </c>
      <c r="D104" t="s">
        <v>451</v>
      </c>
      <c r="E104" t="s">
        <v>524</v>
      </c>
      <c r="F104" t="s">
        <v>269</v>
      </c>
      <c r="I104">
        <v>1681540719.4300001</v>
      </c>
      <c r="J104" t="s">
        <v>451</v>
      </c>
      <c r="L104" t="str">
        <f>IFERROR(INDEX(Diccionario!$B:$B,MATCH(F104,Diccionario!$C:$C,0)),"")</f>
        <v>Contabilidad</v>
      </c>
      <c r="M104" t="str">
        <f>IFERROR(INDEX(Diccionario!$H:$H,MATCH(F104,Diccionario!$C:$C,0)),"")</f>
        <v>Contabilidad</v>
      </c>
      <c r="N104" t="str">
        <f>IFERROR(INDEX(Diccionario!$N:$N,MATCH(F104,Diccionario!$C:$C,0)),"")</f>
        <v>Mensual</v>
      </c>
    </row>
    <row r="105" spans="1:14" ht="14.25" customHeight="1" x14ac:dyDescent="0.3">
      <c r="A105" t="s">
        <v>554</v>
      </c>
      <c r="B105" t="s">
        <v>522</v>
      </c>
      <c r="C105" t="s">
        <v>523</v>
      </c>
      <c r="D105" t="s">
        <v>451</v>
      </c>
      <c r="E105" t="s">
        <v>524</v>
      </c>
      <c r="F105" t="s">
        <v>273</v>
      </c>
      <c r="I105">
        <v>583774629.79999995</v>
      </c>
      <c r="J105" t="s">
        <v>451</v>
      </c>
      <c r="L105" t="str">
        <f>IFERROR(INDEX(Diccionario!$B:$B,MATCH(F105,Diccionario!$C:$C,0)),"")</f>
        <v>Contabilidad</v>
      </c>
      <c r="M105" t="str">
        <f>IFERROR(INDEX(Diccionario!$H:$H,MATCH(F105,Diccionario!$C:$C,0)),"")</f>
        <v>Contabilidad</v>
      </c>
      <c r="N105" t="str">
        <f>IFERROR(INDEX(Diccionario!$N:$N,MATCH(F105,Diccionario!$C:$C,0)),"")</f>
        <v>Mensual</v>
      </c>
    </row>
    <row r="106" spans="1:14" ht="14.25" customHeight="1" x14ac:dyDescent="0.3">
      <c r="A106" t="s">
        <v>554</v>
      </c>
      <c r="B106" t="s">
        <v>522</v>
      </c>
      <c r="C106" t="s">
        <v>523</v>
      </c>
      <c r="D106" t="s">
        <v>451</v>
      </c>
      <c r="E106" t="s">
        <v>524</v>
      </c>
      <c r="F106" t="s">
        <v>276</v>
      </c>
      <c r="I106">
        <v>1097766089.6300001</v>
      </c>
      <c r="J106" t="s">
        <v>451</v>
      </c>
      <c r="L106" t="str">
        <f>IFERROR(INDEX(Diccionario!$B:$B,MATCH(F106,Diccionario!$C:$C,0)),"")</f>
        <v>Contabilidad</v>
      </c>
      <c r="M106" t="str">
        <f>IFERROR(INDEX(Diccionario!$H:$H,MATCH(F106,Diccionario!$C:$C,0)),"")</f>
        <v>Contabilidad</v>
      </c>
      <c r="N106" t="str">
        <f>IFERROR(INDEX(Diccionario!$N:$N,MATCH(F106,Diccionario!$C:$C,0)),"")</f>
        <v>Mensual</v>
      </c>
    </row>
    <row r="107" spans="1:14" ht="14.25" customHeight="1" x14ac:dyDescent="0.3">
      <c r="A107" t="s">
        <v>554</v>
      </c>
      <c r="B107" t="s">
        <v>522</v>
      </c>
      <c r="C107" t="s">
        <v>523</v>
      </c>
      <c r="D107" t="s">
        <v>451</v>
      </c>
      <c r="E107" t="s">
        <v>524</v>
      </c>
      <c r="F107" t="s">
        <v>344</v>
      </c>
      <c r="I107">
        <v>9726509</v>
      </c>
      <c r="J107" t="s">
        <v>451</v>
      </c>
      <c r="L107" t="str">
        <f>IFERROR(INDEX(Diccionario!$B:$B,MATCH(F107,Diccionario!$C:$C,0)),"")</f>
        <v>Contabilidad</v>
      </c>
      <c r="M107" t="str">
        <f>IFERROR(INDEX(Diccionario!$H:$H,MATCH(F107,Diccionario!$C:$C,0)),"")</f>
        <v>Contabilidad</v>
      </c>
      <c r="N107" t="str">
        <f>IFERROR(INDEX(Diccionario!$N:$N,MATCH(F107,Diccionario!$C:$C,0)),"")</f>
        <v>Mensual</v>
      </c>
    </row>
    <row r="108" spans="1:14" ht="14.25" customHeight="1" x14ac:dyDescent="0.3">
      <c r="A108" t="s">
        <v>554</v>
      </c>
      <c r="B108" t="s">
        <v>522</v>
      </c>
      <c r="C108" t="s">
        <v>523</v>
      </c>
      <c r="D108" t="s">
        <v>451</v>
      </c>
      <c r="E108" t="s">
        <v>524</v>
      </c>
      <c r="F108" t="s">
        <v>290</v>
      </c>
      <c r="I108">
        <v>71</v>
      </c>
      <c r="J108" t="s">
        <v>293</v>
      </c>
      <c r="K108" t="s">
        <v>556</v>
      </c>
      <c r="L108" t="str">
        <f>IFERROR(INDEX(Diccionario!$B:$B,MATCH(F108,Diccionario!$C:$C,0)),"")</f>
        <v>Contabilidad</v>
      </c>
      <c r="M108" t="str">
        <f>IFERROR(INDEX(Diccionario!$H:$H,MATCH(F108,Diccionario!$C:$C,0)),"")</f>
        <v>Contabilidad</v>
      </c>
      <c r="N108" t="str">
        <f>IFERROR(INDEX(Diccionario!$N:$N,MATCH(F108,Diccionario!$C:$C,0)),"")</f>
        <v>Mensual</v>
      </c>
    </row>
    <row r="109" spans="1:14" ht="14.25" customHeight="1" x14ac:dyDescent="0.3">
      <c r="A109" t="s">
        <v>554</v>
      </c>
      <c r="B109" t="s">
        <v>522</v>
      </c>
      <c r="C109" t="s">
        <v>523</v>
      </c>
      <c r="D109" t="s">
        <v>451</v>
      </c>
      <c r="E109" t="s">
        <v>524</v>
      </c>
      <c r="F109" t="s">
        <v>348</v>
      </c>
      <c r="I109">
        <v>10.5</v>
      </c>
      <c r="J109" t="s">
        <v>65</v>
      </c>
      <c r="K109" t="s">
        <v>557</v>
      </c>
      <c r="L109" t="str">
        <f>IFERROR(INDEX(Diccionario!$B:$B,MATCH(F109,Diccionario!$C:$C,0)),"")</f>
        <v>Contabilidad</v>
      </c>
      <c r="M109" t="str">
        <f>IFERROR(INDEX(Diccionario!$H:$H,MATCH(F109,Diccionario!$C:$C,0)),"")</f>
        <v>Contabilidad</v>
      </c>
      <c r="N109" t="str">
        <f>IFERROR(INDEX(Diccionario!$N:$N,MATCH(F109,Diccionario!$C:$C,0)),"")</f>
        <v>Mensual</v>
      </c>
    </row>
    <row r="110" spans="1:14" ht="14.25" customHeight="1" x14ac:dyDescent="0.3">
      <c r="A110" t="s">
        <v>554</v>
      </c>
      <c r="B110" t="s">
        <v>522</v>
      </c>
      <c r="C110" t="s">
        <v>523</v>
      </c>
      <c r="D110" t="s">
        <v>451</v>
      </c>
      <c r="E110" t="s">
        <v>524</v>
      </c>
      <c r="F110" t="s">
        <v>352</v>
      </c>
      <c r="I110">
        <v>37.9</v>
      </c>
      <c r="J110" t="s">
        <v>65</v>
      </c>
      <c r="K110" t="s">
        <v>557</v>
      </c>
      <c r="L110" t="str">
        <f>IFERROR(INDEX(Diccionario!$B:$B,MATCH(F110,Diccionario!$C:$C,0)),"")</f>
        <v>Contabilidad</v>
      </c>
      <c r="M110" t="str">
        <f>IFERROR(INDEX(Diccionario!$H:$H,MATCH(F110,Diccionario!$C:$C,0)),"")</f>
        <v>Contabilidad</v>
      </c>
      <c r="N110" t="str">
        <f>IFERROR(INDEX(Diccionario!$N:$N,MATCH(F110,Diccionario!$C:$C,0)),"")</f>
        <v>Mensual</v>
      </c>
    </row>
    <row r="111" spans="1:14" ht="14.25" customHeight="1" x14ac:dyDescent="0.3">
      <c r="A111" t="s">
        <v>554</v>
      </c>
      <c r="B111" t="s">
        <v>522</v>
      </c>
      <c r="C111" t="s">
        <v>523</v>
      </c>
      <c r="D111" t="s">
        <v>451</v>
      </c>
      <c r="E111" t="s">
        <v>524</v>
      </c>
      <c r="F111" t="s">
        <v>355</v>
      </c>
      <c r="I111">
        <v>45.36</v>
      </c>
      <c r="J111" t="s">
        <v>65</v>
      </c>
      <c r="K111" t="s">
        <v>558</v>
      </c>
      <c r="L111" t="str">
        <f>IFERROR(INDEX(Diccionario!$B:$B,MATCH(F111,Diccionario!$C:$C,0)),"")</f>
        <v>Contabilidad</v>
      </c>
      <c r="M111" t="str">
        <f>IFERROR(INDEX(Diccionario!$H:$H,MATCH(F111,Diccionario!$C:$C,0)),"")</f>
        <v>Contabilidad</v>
      </c>
      <c r="N111" t="str">
        <f>IFERROR(INDEX(Diccionario!$N:$N,MATCH(F111,Diccionario!$C:$C,0)),"")</f>
        <v>Mensual</v>
      </c>
    </row>
    <row r="112" spans="1:14" ht="14.25" customHeight="1" x14ac:dyDescent="0.3">
      <c r="A112" t="s">
        <v>554</v>
      </c>
      <c r="B112" t="s">
        <v>522</v>
      </c>
      <c r="C112" t="s">
        <v>523</v>
      </c>
      <c r="D112" t="s">
        <v>451</v>
      </c>
      <c r="E112" t="s">
        <v>524</v>
      </c>
      <c r="F112" t="s">
        <v>359</v>
      </c>
      <c r="I112">
        <v>17.100000000000001</v>
      </c>
      <c r="J112" t="s">
        <v>65</v>
      </c>
      <c r="K112" t="s">
        <v>559</v>
      </c>
      <c r="L112" t="str">
        <f>IFERROR(INDEX(Diccionario!$B:$B,MATCH(F112,Diccionario!$C:$C,0)),"")</f>
        <v>Contabilidad</v>
      </c>
      <c r="M112" t="str">
        <f>IFERROR(INDEX(Diccionario!$H:$H,MATCH(F112,Diccionario!$C:$C,0)),"")</f>
        <v>Contabilidad</v>
      </c>
      <c r="N112" t="str">
        <f>IFERROR(INDEX(Diccionario!$N:$N,MATCH(F112,Diccionario!$C:$C,0)),"")</f>
        <v>Mensual</v>
      </c>
    </row>
    <row r="113" spans="1:14" ht="14.25" customHeight="1" x14ac:dyDescent="0.3">
      <c r="A113" t="s">
        <v>554</v>
      </c>
      <c r="B113" t="s">
        <v>522</v>
      </c>
      <c r="C113" t="s">
        <v>523</v>
      </c>
      <c r="D113" t="s">
        <v>451</v>
      </c>
      <c r="E113" t="s">
        <v>524</v>
      </c>
      <c r="F113" t="s">
        <v>363</v>
      </c>
      <c r="I113">
        <v>0.57999999999999996</v>
      </c>
      <c r="J113" t="s">
        <v>65</v>
      </c>
      <c r="K113" t="s">
        <v>560</v>
      </c>
      <c r="L113" t="str">
        <f>IFERROR(INDEX(Diccionario!$B:$B,MATCH(F113,Diccionario!$C:$C,0)),"")</f>
        <v>Contabilidad</v>
      </c>
      <c r="M113" t="str">
        <f>IFERROR(INDEX(Diccionario!$H:$H,MATCH(F113,Diccionario!$C:$C,0)),"")</f>
        <v>Contabilidad</v>
      </c>
      <c r="N113" t="str">
        <f>IFERROR(INDEX(Diccionario!$N:$N,MATCH(F113,Diccionario!$C:$C,0)),"")</f>
        <v>Mensual</v>
      </c>
    </row>
    <row r="114" spans="1:14" ht="14.25" customHeight="1" x14ac:dyDescent="0.3">
      <c r="A114" t="s">
        <v>521</v>
      </c>
      <c r="B114" t="s">
        <v>522</v>
      </c>
      <c r="C114" t="s">
        <v>523</v>
      </c>
      <c r="D114" t="s">
        <v>451</v>
      </c>
      <c r="E114" t="s">
        <v>524</v>
      </c>
      <c r="F114" t="s">
        <v>304</v>
      </c>
      <c r="H114" t="s">
        <v>561</v>
      </c>
      <c r="I114">
        <v>3000000</v>
      </c>
      <c r="J114" t="s">
        <v>451</v>
      </c>
      <c r="L114" t="str">
        <f>IFERROR(INDEX(Diccionario!$B:$B,MATCH(F114,Diccionario!$C:$C,0)),"")</f>
        <v>Contabilidad</v>
      </c>
      <c r="M114" t="str">
        <f>IFERROR(INDEX(Diccionario!$H:$H,MATCH(F114,Diccionario!$C:$C,0)),"")</f>
        <v>Contabilidad</v>
      </c>
      <c r="N114" t="str">
        <f>IFERROR(INDEX(Diccionario!$N:$N,MATCH(F114,Diccionario!$C:$C,0)),"")</f>
        <v>Mensual</v>
      </c>
    </row>
    <row r="115" spans="1:14" ht="14.25" customHeight="1" x14ac:dyDescent="0.3">
      <c r="A115" t="s">
        <v>521</v>
      </c>
      <c r="B115" t="s">
        <v>522</v>
      </c>
      <c r="C115" t="s">
        <v>523</v>
      </c>
      <c r="D115" t="s">
        <v>451</v>
      </c>
      <c r="E115" t="s">
        <v>524</v>
      </c>
      <c r="F115" t="s">
        <v>304</v>
      </c>
      <c r="H115" t="s">
        <v>562</v>
      </c>
      <c r="I115">
        <v>175000000</v>
      </c>
      <c r="J115" t="s">
        <v>451</v>
      </c>
      <c r="L115" t="str">
        <f>IFERROR(INDEX(Diccionario!$B:$B,MATCH(F115,Diccionario!$C:$C,0)),"")</f>
        <v>Contabilidad</v>
      </c>
      <c r="M115" t="str">
        <f>IFERROR(INDEX(Diccionario!$H:$H,MATCH(F115,Diccionario!$C:$C,0)),"")</f>
        <v>Contabilidad</v>
      </c>
      <c r="N115" t="str">
        <f>IFERROR(INDEX(Diccionario!$N:$N,MATCH(F115,Diccionario!$C:$C,0)),"")</f>
        <v>Mensual</v>
      </c>
    </row>
    <row r="116" spans="1:14" ht="14.25" customHeight="1" x14ac:dyDescent="0.3">
      <c r="A116" t="s">
        <v>521</v>
      </c>
      <c r="B116" t="s">
        <v>522</v>
      </c>
      <c r="C116" t="s">
        <v>523</v>
      </c>
      <c r="D116" t="s">
        <v>451</v>
      </c>
      <c r="E116" t="s">
        <v>524</v>
      </c>
      <c r="F116" t="s">
        <v>304</v>
      </c>
      <c r="H116" t="s">
        <v>563</v>
      </c>
      <c r="I116">
        <v>133000000</v>
      </c>
      <c r="J116" t="s">
        <v>451</v>
      </c>
      <c r="L116" t="str">
        <f>IFERROR(INDEX(Diccionario!$B:$B,MATCH(F116,Diccionario!$C:$C,0)),"")</f>
        <v>Contabilidad</v>
      </c>
      <c r="M116" t="str">
        <f>IFERROR(INDEX(Diccionario!$H:$H,MATCH(F116,Diccionario!$C:$C,0)),"")</f>
        <v>Contabilidad</v>
      </c>
      <c r="N116" t="str">
        <f>IFERROR(INDEX(Diccionario!$N:$N,MATCH(F116,Diccionario!$C:$C,0)),"")</f>
        <v>Mensual</v>
      </c>
    </row>
    <row r="117" spans="1:14" ht="14.25" customHeight="1" x14ac:dyDescent="0.3">
      <c r="A117" t="s">
        <v>521</v>
      </c>
      <c r="B117" t="s">
        <v>522</v>
      </c>
      <c r="C117" t="s">
        <v>523</v>
      </c>
      <c r="D117" t="s">
        <v>451</v>
      </c>
      <c r="E117" t="s">
        <v>524</v>
      </c>
      <c r="F117" t="s">
        <v>304</v>
      </c>
      <c r="H117" t="s">
        <v>190</v>
      </c>
      <c r="I117">
        <v>125000000</v>
      </c>
      <c r="J117" t="s">
        <v>451</v>
      </c>
      <c r="L117" t="str">
        <f>IFERROR(INDEX(Diccionario!$B:$B,MATCH(F117,Diccionario!$C:$C,0)),"")</f>
        <v>Contabilidad</v>
      </c>
      <c r="M117" t="str">
        <f>IFERROR(INDEX(Diccionario!$H:$H,MATCH(F117,Diccionario!$C:$C,0)),"")</f>
        <v>Contabilidad</v>
      </c>
      <c r="N117" t="str">
        <f>IFERROR(INDEX(Diccionario!$N:$N,MATCH(F117,Diccionario!$C:$C,0)),"")</f>
        <v>Mensual</v>
      </c>
    </row>
    <row r="118" spans="1:14" ht="14.25" customHeight="1" x14ac:dyDescent="0.3">
      <c r="A118" t="s">
        <v>521</v>
      </c>
      <c r="B118" t="s">
        <v>522</v>
      </c>
      <c r="C118" t="s">
        <v>523</v>
      </c>
      <c r="D118" t="s">
        <v>451</v>
      </c>
      <c r="E118" t="s">
        <v>524</v>
      </c>
      <c r="F118" t="s">
        <v>304</v>
      </c>
      <c r="H118" t="s">
        <v>564</v>
      </c>
      <c r="I118">
        <v>109000000</v>
      </c>
      <c r="J118" t="s">
        <v>451</v>
      </c>
      <c r="L118" t="str">
        <f>IFERROR(INDEX(Diccionario!$B:$B,MATCH(F118,Diccionario!$C:$C,0)),"")</f>
        <v>Contabilidad</v>
      </c>
      <c r="M118" t="str">
        <f>IFERROR(INDEX(Diccionario!$H:$H,MATCH(F118,Diccionario!$C:$C,0)),"")</f>
        <v>Contabilidad</v>
      </c>
      <c r="N118" t="str">
        <f>IFERROR(INDEX(Diccionario!$N:$N,MATCH(F118,Diccionario!$C:$C,0)),"")</f>
        <v>Mensual</v>
      </c>
    </row>
    <row r="119" spans="1:14" ht="14.25" customHeight="1" x14ac:dyDescent="0.3">
      <c r="A119" t="s">
        <v>526</v>
      </c>
      <c r="B119" t="s">
        <v>522</v>
      </c>
      <c r="C119" t="s">
        <v>523</v>
      </c>
      <c r="D119" t="s">
        <v>451</v>
      </c>
      <c r="E119" t="s">
        <v>524</v>
      </c>
      <c r="F119" t="s">
        <v>304</v>
      </c>
      <c r="H119" t="s">
        <v>561</v>
      </c>
      <c r="I119">
        <v>3000000</v>
      </c>
      <c r="J119" t="s">
        <v>451</v>
      </c>
      <c r="L119" t="str">
        <f>IFERROR(INDEX(Diccionario!$B:$B,MATCH(F119,Diccionario!$C:$C,0)),"")</f>
        <v>Contabilidad</v>
      </c>
      <c r="M119" t="str">
        <f>IFERROR(INDEX(Diccionario!$H:$H,MATCH(F119,Diccionario!$C:$C,0)),"")</f>
        <v>Contabilidad</v>
      </c>
      <c r="N119" t="str">
        <f>IFERROR(INDEX(Diccionario!$N:$N,MATCH(F119,Diccionario!$C:$C,0)),"")</f>
        <v>Mensual</v>
      </c>
    </row>
    <row r="120" spans="1:14" ht="14.25" customHeight="1" x14ac:dyDescent="0.3">
      <c r="A120" t="s">
        <v>526</v>
      </c>
      <c r="B120" t="s">
        <v>522</v>
      </c>
      <c r="C120" t="s">
        <v>523</v>
      </c>
      <c r="D120" t="s">
        <v>451</v>
      </c>
      <c r="E120" t="s">
        <v>524</v>
      </c>
      <c r="F120" t="s">
        <v>304</v>
      </c>
      <c r="H120" t="s">
        <v>562</v>
      </c>
      <c r="I120">
        <v>161000000</v>
      </c>
      <c r="J120" t="s">
        <v>451</v>
      </c>
      <c r="L120" t="str">
        <f>IFERROR(INDEX(Diccionario!$B:$B,MATCH(F120,Diccionario!$C:$C,0)),"")</f>
        <v>Contabilidad</v>
      </c>
      <c r="M120" t="str">
        <f>IFERROR(INDEX(Diccionario!$H:$H,MATCH(F120,Diccionario!$C:$C,0)),"")</f>
        <v>Contabilidad</v>
      </c>
      <c r="N120" t="str">
        <f>IFERROR(INDEX(Diccionario!$N:$N,MATCH(F120,Diccionario!$C:$C,0)),"")</f>
        <v>Mensual</v>
      </c>
    </row>
    <row r="121" spans="1:14" ht="14.25" customHeight="1" x14ac:dyDescent="0.3">
      <c r="A121" t="s">
        <v>526</v>
      </c>
      <c r="B121" t="s">
        <v>522</v>
      </c>
      <c r="C121" t="s">
        <v>523</v>
      </c>
      <c r="D121" t="s">
        <v>451</v>
      </c>
      <c r="E121" t="s">
        <v>524</v>
      </c>
      <c r="F121" t="s">
        <v>304</v>
      </c>
      <c r="H121" t="s">
        <v>563</v>
      </c>
      <c r="I121">
        <v>115000000</v>
      </c>
      <c r="J121" t="s">
        <v>451</v>
      </c>
      <c r="L121" t="str">
        <f>IFERROR(INDEX(Diccionario!$B:$B,MATCH(F121,Diccionario!$C:$C,0)),"")</f>
        <v>Contabilidad</v>
      </c>
      <c r="M121" t="str">
        <f>IFERROR(INDEX(Diccionario!$H:$H,MATCH(F121,Diccionario!$C:$C,0)),"")</f>
        <v>Contabilidad</v>
      </c>
      <c r="N121" t="str">
        <f>IFERROR(INDEX(Diccionario!$N:$N,MATCH(F121,Diccionario!$C:$C,0)),"")</f>
        <v>Mensual</v>
      </c>
    </row>
    <row r="122" spans="1:14" ht="14.25" customHeight="1" x14ac:dyDescent="0.3">
      <c r="A122" t="s">
        <v>526</v>
      </c>
      <c r="B122" t="s">
        <v>522</v>
      </c>
      <c r="C122" t="s">
        <v>523</v>
      </c>
      <c r="D122" t="s">
        <v>451</v>
      </c>
      <c r="E122" t="s">
        <v>524</v>
      </c>
      <c r="F122" t="s">
        <v>304</v>
      </c>
      <c r="H122" t="s">
        <v>190</v>
      </c>
      <c r="I122">
        <v>112000000</v>
      </c>
      <c r="J122" t="s">
        <v>451</v>
      </c>
      <c r="L122" t="str">
        <f>IFERROR(INDEX(Diccionario!$B:$B,MATCH(F122,Diccionario!$C:$C,0)),"")</f>
        <v>Contabilidad</v>
      </c>
      <c r="M122" t="str">
        <f>IFERROR(INDEX(Diccionario!$H:$H,MATCH(F122,Diccionario!$C:$C,0)),"")</f>
        <v>Contabilidad</v>
      </c>
      <c r="N122" t="str">
        <f>IFERROR(INDEX(Diccionario!$N:$N,MATCH(F122,Diccionario!$C:$C,0)),"")</f>
        <v>Mensual</v>
      </c>
    </row>
    <row r="123" spans="1:14" ht="14.25" customHeight="1" x14ac:dyDescent="0.3">
      <c r="A123" t="s">
        <v>526</v>
      </c>
      <c r="B123" t="s">
        <v>522</v>
      </c>
      <c r="C123" t="s">
        <v>523</v>
      </c>
      <c r="D123" t="s">
        <v>451</v>
      </c>
      <c r="E123" t="s">
        <v>524</v>
      </c>
      <c r="F123" t="s">
        <v>304</v>
      </c>
      <c r="H123" t="s">
        <v>564</v>
      </c>
      <c r="I123">
        <v>124000000</v>
      </c>
      <c r="J123" t="s">
        <v>451</v>
      </c>
      <c r="L123" t="str">
        <f>IFERROR(INDEX(Diccionario!$B:$B,MATCH(F123,Diccionario!$C:$C,0)),"")</f>
        <v>Contabilidad</v>
      </c>
      <c r="M123" t="str">
        <f>IFERROR(INDEX(Diccionario!$H:$H,MATCH(F123,Diccionario!$C:$C,0)),"")</f>
        <v>Contabilidad</v>
      </c>
      <c r="N123" t="str">
        <f>IFERROR(INDEX(Diccionario!$N:$N,MATCH(F123,Diccionario!$C:$C,0)),"")</f>
        <v>Mensual</v>
      </c>
    </row>
    <row r="124" spans="1:14" ht="14.25" customHeight="1" x14ac:dyDescent="0.3">
      <c r="A124" t="s">
        <v>527</v>
      </c>
      <c r="B124" t="s">
        <v>522</v>
      </c>
      <c r="C124" t="s">
        <v>523</v>
      </c>
      <c r="D124" t="s">
        <v>451</v>
      </c>
      <c r="E124" t="s">
        <v>524</v>
      </c>
      <c r="F124" t="s">
        <v>304</v>
      </c>
      <c r="H124" t="s">
        <v>561</v>
      </c>
      <c r="I124">
        <v>3000000</v>
      </c>
      <c r="J124" t="s">
        <v>451</v>
      </c>
      <c r="L124" t="str">
        <f>IFERROR(INDEX(Diccionario!$B:$B,MATCH(F124,Diccionario!$C:$C,0)),"")</f>
        <v>Contabilidad</v>
      </c>
      <c r="M124" t="str">
        <f>IFERROR(INDEX(Diccionario!$H:$H,MATCH(F124,Diccionario!$C:$C,0)),"")</f>
        <v>Contabilidad</v>
      </c>
      <c r="N124" t="str">
        <f>IFERROR(INDEX(Diccionario!$N:$N,MATCH(F124,Diccionario!$C:$C,0)),"")</f>
        <v>Mensual</v>
      </c>
    </row>
    <row r="125" spans="1:14" ht="14.25" customHeight="1" x14ac:dyDescent="0.3">
      <c r="A125" t="s">
        <v>527</v>
      </c>
      <c r="B125" t="s">
        <v>522</v>
      </c>
      <c r="C125" t="s">
        <v>523</v>
      </c>
      <c r="D125" t="s">
        <v>451</v>
      </c>
      <c r="E125" t="s">
        <v>524</v>
      </c>
      <c r="F125" t="s">
        <v>304</v>
      </c>
      <c r="H125" t="s">
        <v>562</v>
      </c>
      <c r="I125">
        <v>175000000</v>
      </c>
      <c r="J125" t="s">
        <v>451</v>
      </c>
      <c r="L125" t="str">
        <f>IFERROR(INDEX(Diccionario!$B:$B,MATCH(F125,Diccionario!$C:$C,0)),"")</f>
        <v>Contabilidad</v>
      </c>
      <c r="M125" t="str">
        <f>IFERROR(INDEX(Diccionario!$H:$H,MATCH(F125,Diccionario!$C:$C,0)),"")</f>
        <v>Contabilidad</v>
      </c>
      <c r="N125" t="str">
        <f>IFERROR(INDEX(Diccionario!$N:$N,MATCH(F125,Diccionario!$C:$C,0)),"")</f>
        <v>Mensual</v>
      </c>
    </row>
    <row r="126" spans="1:14" ht="14.25" customHeight="1" x14ac:dyDescent="0.3">
      <c r="A126" t="s">
        <v>527</v>
      </c>
      <c r="B126" t="s">
        <v>522</v>
      </c>
      <c r="C126" t="s">
        <v>523</v>
      </c>
      <c r="D126" t="s">
        <v>451</v>
      </c>
      <c r="E126" t="s">
        <v>524</v>
      </c>
      <c r="F126" t="s">
        <v>304</v>
      </c>
      <c r="H126" t="s">
        <v>563</v>
      </c>
      <c r="I126">
        <v>130000000</v>
      </c>
      <c r="J126" t="s">
        <v>451</v>
      </c>
      <c r="L126" t="str">
        <f>IFERROR(INDEX(Diccionario!$B:$B,MATCH(F126,Diccionario!$C:$C,0)),"")</f>
        <v>Contabilidad</v>
      </c>
      <c r="M126" t="str">
        <f>IFERROR(INDEX(Diccionario!$H:$H,MATCH(F126,Diccionario!$C:$C,0)),"")</f>
        <v>Contabilidad</v>
      </c>
      <c r="N126" t="str">
        <f>IFERROR(INDEX(Diccionario!$N:$N,MATCH(F126,Diccionario!$C:$C,0)),"")</f>
        <v>Mensual</v>
      </c>
    </row>
    <row r="127" spans="1:14" ht="14.25" customHeight="1" x14ac:dyDescent="0.3">
      <c r="A127" t="s">
        <v>527</v>
      </c>
      <c r="B127" t="s">
        <v>522</v>
      </c>
      <c r="C127" t="s">
        <v>523</v>
      </c>
      <c r="D127" t="s">
        <v>451</v>
      </c>
      <c r="E127" t="s">
        <v>524</v>
      </c>
      <c r="F127" t="s">
        <v>304</v>
      </c>
      <c r="H127" t="s">
        <v>190</v>
      </c>
      <c r="I127">
        <v>132000000</v>
      </c>
      <c r="J127" t="s">
        <v>451</v>
      </c>
      <c r="L127" t="str">
        <f>IFERROR(INDEX(Diccionario!$B:$B,MATCH(F127,Diccionario!$C:$C,0)),"")</f>
        <v>Contabilidad</v>
      </c>
      <c r="M127" t="str">
        <f>IFERROR(INDEX(Diccionario!$H:$H,MATCH(F127,Diccionario!$C:$C,0)),"")</f>
        <v>Contabilidad</v>
      </c>
      <c r="N127" t="str">
        <f>IFERROR(INDEX(Diccionario!$N:$N,MATCH(F127,Diccionario!$C:$C,0)),"")</f>
        <v>Mensual</v>
      </c>
    </row>
    <row r="128" spans="1:14" ht="14.25" customHeight="1" x14ac:dyDescent="0.3">
      <c r="A128" t="s">
        <v>527</v>
      </c>
      <c r="B128" t="s">
        <v>522</v>
      </c>
      <c r="C128" t="s">
        <v>523</v>
      </c>
      <c r="D128" t="s">
        <v>451</v>
      </c>
      <c r="E128" t="s">
        <v>524</v>
      </c>
      <c r="F128" t="s">
        <v>304</v>
      </c>
      <c r="H128" t="s">
        <v>564</v>
      </c>
      <c r="I128">
        <v>125000000</v>
      </c>
      <c r="J128" t="s">
        <v>451</v>
      </c>
      <c r="L128" t="str">
        <f>IFERROR(INDEX(Diccionario!$B:$B,MATCH(F128,Diccionario!$C:$C,0)),"")</f>
        <v>Contabilidad</v>
      </c>
      <c r="M128" t="str">
        <f>IFERROR(INDEX(Diccionario!$H:$H,MATCH(F128,Diccionario!$C:$C,0)),"")</f>
        <v>Contabilidad</v>
      </c>
      <c r="N128" t="str">
        <f>IFERROR(INDEX(Diccionario!$N:$N,MATCH(F128,Diccionario!$C:$C,0)),"")</f>
        <v>Mensual</v>
      </c>
    </row>
    <row r="129" spans="1:14" ht="14.25" customHeight="1" x14ac:dyDescent="0.3">
      <c r="A129" t="s">
        <v>528</v>
      </c>
      <c r="B129" t="s">
        <v>522</v>
      </c>
      <c r="C129" t="s">
        <v>523</v>
      </c>
      <c r="D129" t="s">
        <v>451</v>
      </c>
      <c r="E129" t="s">
        <v>524</v>
      </c>
      <c r="F129" t="s">
        <v>304</v>
      </c>
      <c r="H129" t="s">
        <v>561</v>
      </c>
      <c r="I129">
        <v>6000000</v>
      </c>
      <c r="J129" t="s">
        <v>451</v>
      </c>
      <c r="L129" t="str">
        <f>IFERROR(INDEX(Diccionario!$B:$B,MATCH(F129,Diccionario!$C:$C,0)),"")</f>
        <v>Contabilidad</v>
      </c>
      <c r="M129" t="str">
        <f>IFERROR(INDEX(Diccionario!$H:$H,MATCH(F129,Diccionario!$C:$C,0)),"")</f>
        <v>Contabilidad</v>
      </c>
      <c r="N129" t="str">
        <f>IFERROR(INDEX(Diccionario!$N:$N,MATCH(F129,Diccionario!$C:$C,0)),"")</f>
        <v>Mensual</v>
      </c>
    </row>
    <row r="130" spans="1:14" ht="14.25" customHeight="1" x14ac:dyDescent="0.3">
      <c r="A130" t="s">
        <v>528</v>
      </c>
      <c r="B130" t="s">
        <v>522</v>
      </c>
      <c r="C130" t="s">
        <v>523</v>
      </c>
      <c r="D130" t="s">
        <v>451</v>
      </c>
      <c r="E130" t="s">
        <v>524</v>
      </c>
      <c r="F130" t="s">
        <v>304</v>
      </c>
      <c r="H130" t="s">
        <v>562</v>
      </c>
      <c r="I130">
        <v>195000000</v>
      </c>
      <c r="J130" t="s">
        <v>451</v>
      </c>
      <c r="L130" t="str">
        <f>IFERROR(INDEX(Diccionario!$B:$B,MATCH(F130,Diccionario!$C:$C,0)),"")</f>
        <v>Contabilidad</v>
      </c>
      <c r="M130" t="str">
        <f>IFERROR(INDEX(Diccionario!$H:$H,MATCH(F130,Diccionario!$C:$C,0)),"")</f>
        <v>Contabilidad</v>
      </c>
      <c r="N130" t="str">
        <f>IFERROR(INDEX(Diccionario!$N:$N,MATCH(F130,Diccionario!$C:$C,0)),"")</f>
        <v>Mensual</v>
      </c>
    </row>
    <row r="131" spans="1:14" ht="14.25" customHeight="1" x14ac:dyDescent="0.3">
      <c r="A131" t="s">
        <v>528</v>
      </c>
      <c r="B131" t="s">
        <v>522</v>
      </c>
      <c r="C131" t="s">
        <v>523</v>
      </c>
      <c r="D131" t="s">
        <v>451</v>
      </c>
      <c r="E131" t="s">
        <v>524</v>
      </c>
      <c r="F131" t="s">
        <v>304</v>
      </c>
      <c r="H131" t="s">
        <v>563</v>
      </c>
      <c r="I131">
        <v>130000000</v>
      </c>
      <c r="J131" t="s">
        <v>451</v>
      </c>
      <c r="L131" t="str">
        <f>IFERROR(INDEX(Diccionario!$B:$B,MATCH(F131,Diccionario!$C:$C,0)),"")</f>
        <v>Contabilidad</v>
      </c>
      <c r="M131" t="str">
        <f>IFERROR(INDEX(Diccionario!$H:$H,MATCH(F131,Diccionario!$C:$C,0)),"")</f>
        <v>Contabilidad</v>
      </c>
      <c r="N131" t="str">
        <f>IFERROR(INDEX(Diccionario!$N:$N,MATCH(F131,Diccionario!$C:$C,0)),"")</f>
        <v>Mensual</v>
      </c>
    </row>
    <row r="132" spans="1:14" ht="14.25" customHeight="1" x14ac:dyDescent="0.3">
      <c r="A132" t="s">
        <v>528</v>
      </c>
      <c r="B132" t="s">
        <v>522</v>
      </c>
      <c r="C132" t="s">
        <v>523</v>
      </c>
      <c r="D132" t="s">
        <v>451</v>
      </c>
      <c r="E132" t="s">
        <v>524</v>
      </c>
      <c r="F132" t="s">
        <v>304</v>
      </c>
      <c r="H132" t="s">
        <v>190</v>
      </c>
      <c r="I132">
        <v>147000000</v>
      </c>
      <c r="J132" t="s">
        <v>451</v>
      </c>
      <c r="L132" t="str">
        <f>IFERROR(INDEX(Diccionario!$B:$B,MATCH(F132,Diccionario!$C:$C,0)),"")</f>
        <v>Contabilidad</v>
      </c>
      <c r="M132" t="str">
        <f>IFERROR(INDEX(Diccionario!$H:$H,MATCH(F132,Diccionario!$C:$C,0)),"")</f>
        <v>Contabilidad</v>
      </c>
      <c r="N132" t="str">
        <f>IFERROR(INDEX(Diccionario!$N:$N,MATCH(F132,Diccionario!$C:$C,0)),"")</f>
        <v>Mensual</v>
      </c>
    </row>
    <row r="133" spans="1:14" ht="14.25" customHeight="1" x14ac:dyDescent="0.3">
      <c r="A133" t="s">
        <v>528</v>
      </c>
      <c r="B133" t="s">
        <v>522</v>
      </c>
      <c r="C133" t="s">
        <v>523</v>
      </c>
      <c r="D133" t="s">
        <v>451</v>
      </c>
      <c r="E133" t="s">
        <v>524</v>
      </c>
      <c r="F133" t="s">
        <v>304</v>
      </c>
      <c r="H133" t="s">
        <v>564</v>
      </c>
      <c r="I133">
        <v>94000000</v>
      </c>
      <c r="J133" t="s">
        <v>451</v>
      </c>
      <c r="L133" t="str">
        <f>IFERROR(INDEX(Diccionario!$B:$B,MATCH(F133,Diccionario!$C:$C,0)),"")</f>
        <v>Contabilidad</v>
      </c>
      <c r="M133" t="str">
        <f>IFERROR(INDEX(Diccionario!$H:$H,MATCH(F133,Diccionario!$C:$C,0)),"")</f>
        <v>Contabilidad</v>
      </c>
      <c r="N133" t="str">
        <f>IFERROR(INDEX(Diccionario!$N:$N,MATCH(F133,Diccionario!$C:$C,0)),"")</f>
        <v>Mensual</v>
      </c>
    </row>
    <row r="134" spans="1:14" ht="14.25" customHeight="1" x14ac:dyDescent="0.3">
      <c r="A134" t="s">
        <v>530</v>
      </c>
      <c r="B134" t="s">
        <v>522</v>
      </c>
      <c r="C134" t="s">
        <v>523</v>
      </c>
      <c r="D134" t="s">
        <v>451</v>
      </c>
      <c r="E134" t="s">
        <v>524</v>
      </c>
      <c r="F134" t="s">
        <v>304</v>
      </c>
      <c r="H134" t="s">
        <v>561</v>
      </c>
      <c r="I134">
        <v>10000000</v>
      </c>
      <c r="J134" t="s">
        <v>451</v>
      </c>
      <c r="L134" t="str">
        <f>IFERROR(INDEX(Diccionario!$B:$B,MATCH(F134,Diccionario!$C:$C,0)),"")</f>
        <v>Contabilidad</v>
      </c>
      <c r="M134" t="str">
        <f>IFERROR(INDEX(Diccionario!$H:$H,MATCH(F134,Diccionario!$C:$C,0)),"")</f>
        <v>Contabilidad</v>
      </c>
      <c r="N134" t="str">
        <f>IFERROR(INDEX(Diccionario!$N:$N,MATCH(F134,Diccionario!$C:$C,0)),"")</f>
        <v>Mensual</v>
      </c>
    </row>
    <row r="135" spans="1:14" ht="14.25" customHeight="1" x14ac:dyDescent="0.3">
      <c r="A135" t="s">
        <v>530</v>
      </c>
      <c r="B135" t="s">
        <v>522</v>
      </c>
      <c r="C135" t="s">
        <v>523</v>
      </c>
      <c r="D135" t="s">
        <v>451</v>
      </c>
      <c r="E135" t="s">
        <v>524</v>
      </c>
      <c r="F135" t="s">
        <v>304</v>
      </c>
      <c r="H135" t="s">
        <v>562</v>
      </c>
      <c r="I135">
        <v>177000000</v>
      </c>
      <c r="J135" t="s">
        <v>451</v>
      </c>
      <c r="L135" t="str">
        <f>IFERROR(INDEX(Diccionario!$B:$B,MATCH(F135,Diccionario!$C:$C,0)),"")</f>
        <v>Contabilidad</v>
      </c>
      <c r="M135" t="str">
        <f>IFERROR(INDEX(Diccionario!$H:$H,MATCH(F135,Diccionario!$C:$C,0)),"")</f>
        <v>Contabilidad</v>
      </c>
      <c r="N135" t="str">
        <f>IFERROR(INDEX(Diccionario!$N:$N,MATCH(F135,Diccionario!$C:$C,0)),"")</f>
        <v>Mensual</v>
      </c>
    </row>
    <row r="136" spans="1:14" ht="14.25" customHeight="1" x14ac:dyDescent="0.3">
      <c r="A136" t="s">
        <v>530</v>
      </c>
      <c r="B136" t="s">
        <v>522</v>
      </c>
      <c r="C136" t="s">
        <v>523</v>
      </c>
      <c r="D136" t="s">
        <v>451</v>
      </c>
      <c r="E136" t="s">
        <v>524</v>
      </c>
      <c r="F136" t="s">
        <v>304</v>
      </c>
      <c r="H136" t="s">
        <v>563</v>
      </c>
      <c r="I136">
        <v>167000000</v>
      </c>
      <c r="J136" t="s">
        <v>451</v>
      </c>
      <c r="L136" t="str">
        <f>IFERROR(INDEX(Diccionario!$B:$B,MATCH(F136,Diccionario!$C:$C,0)),"")</f>
        <v>Contabilidad</v>
      </c>
      <c r="M136" t="str">
        <f>IFERROR(INDEX(Diccionario!$H:$H,MATCH(F136,Diccionario!$C:$C,0)),"")</f>
        <v>Contabilidad</v>
      </c>
      <c r="N136" t="str">
        <f>IFERROR(INDEX(Diccionario!$N:$N,MATCH(F136,Diccionario!$C:$C,0)),"")</f>
        <v>Mensual</v>
      </c>
    </row>
    <row r="137" spans="1:14" ht="14.25" customHeight="1" x14ac:dyDescent="0.3">
      <c r="A137" t="s">
        <v>530</v>
      </c>
      <c r="B137" t="s">
        <v>522</v>
      </c>
      <c r="C137" t="s">
        <v>523</v>
      </c>
      <c r="D137" t="s">
        <v>451</v>
      </c>
      <c r="E137" t="s">
        <v>524</v>
      </c>
      <c r="F137" t="s">
        <v>304</v>
      </c>
      <c r="H137" t="s">
        <v>190</v>
      </c>
      <c r="I137">
        <v>157000000</v>
      </c>
      <c r="J137" t="s">
        <v>451</v>
      </c>
      <c r="L137" t="str">
        <f>IFERROR(INDEX(Diccionario!$B:$B,MATCH(F137,Diccionario!$C:$C,0)),"")</f>
        <v>Contabilidad</v>
      </c>
      <c r="M137" t="str">
        <f>IFERROR(INDEX(Diccionario!$H:$H,MATCH(F137,Diccionario!$C:$C,0)),"")</f>
        <v>Contabilidad</v>
      </c>
      <c r="N137" t="str">
        <f>IFERROR(INDEX(Diccionario!$N:$N,MATCH(F137,Diccionario!$C:$C,0)),"")</f>
        <v>Mensual</v>
      </c>
    </row>
    <row r="138" spans="1:14" ht="14.25" customHeight="1" x14ac:dyDescent="0.3">
      <c r="A138" t="s">
        <v>530</v>
      </c>
      <c r="B138" t="s">
        <v>522</v>
      </c>
      <c r="C138" t="s">
        <v>523</v>
      </c>
      <c r="D138" t="s">
        <v>451</v>
      </c>
      <c r="E138" t="s">
        <v>524</v>
      </c>
      <c r="F138" t="s">
        <v>304</v>
      </c>
      <c r="H138" t="s">
        <v>564</v>
      </c>
      <c r="I138">
        <v>99000000</v>
      </c>
      <c r="J138" t="s">
        <v>451</v>
      </c>
      <c r="L138" t="str">
        <f>IFERROR(INDEX(Diccionario!$B:$B,MATCH(F138,Diccionario!$C:$C,0)),"")</f>
        <v>Contabilidad</v>
      </c>
      <c r="M138" t="str">
        <f>IFERROR(INDEX(Diccionario!$H:$H,MATCH(F138,Diccionario!$C:$C,0)),"")</f>
        <v>Contabilidad</v>
      </c>
      <c r="N138" t="str">
        <f>IFERROR(INDEX(Diccionario!$N:$N,MATCH(F138,Diccionario!$C:$C,0)),"")</f>
        <v>Mensual</v>
      </c>
    </row>
    <row r="139" spans="1:14" ht="14.25" customHeight="1" x14ac:dyDescent="0.3">
      <c r="A139" t="s">
        <v>531</v>
      </c>
      <c r="B139" t="s">
        <v>522</v>
      </c>
      <c r="C139" t="s">
        <v>523</v>
      </c>
      <c r="D139" t="s">
        <v>451</v>
      </c>
      <c r="E139" t="s">
        <v>524</v>
      </c>
      <c r="F139" t="s">
        <v>304</v>
      </c>
      <c r="H139" t="s">
        <v>561</v>
      </c>
      <c r="I139">
        <v>4000000</v>
      </c>
      <c r="J139" t="s">
        <v>451</v>
      </c>
      <c r="L139" t="str">
        <f>IFERROR(INDEX(Diccionario!$B:$B,MATCH(F139,Diccionario!$C:$C,0)),"")</f>
        <v>Contabilidad</v>
      </c>
      <c r="M139" t="str">
        <f>IFERROR(INDEX(Diccionario!$H:$H,MATCH(F139,Diccionario!$C:$C,0)),"")</f>
        <v>Contabilidad</v>
      </c>
      <c r="N139" t="str">
        <f>IFERROR(INDEX(Diccionario!$N:$N,MATCH(F139,Diccionario!$C:$C,0)),"")</f>
        <v>Mensual</v>
      </c>
    </row>
    <row r="140" spans="1:14" ht="14.25" customHeight="1" x14ac:dyDescent="0.3">
      <c r="A140" t="s">
        <v>531</v>
      </c>
      <c r="B140" t="s">
        <v>522</v>
      </c>
      <c r="C140" t="s">
        <v>523</v>
      </c>
      <c r="D140" t="s">
        <v>451</v>
      </c>
      <c r="E140" t="s">
        <v>524</v>
      </c>
      <c r="F140" t="s">
        <v>304</v>
      </c>
      <c r="H140" t="s">
        <v>562</v>
      </c>
      <c r="I140">
        <v>199000000</v>
      </c>
      <c r="J140" t="s">
        <v>451</v>
      </c>
      <c r="L140" t="str">
        <f>IFERROR(INDEX(Diccionario!$B:$B,MATCH(F140,Diccionario!$C:$C,0)),"")</f>
        <v>Contabilidad</v>
      </c>
      <c r="M140" t="str">
        <f>IFERROR(INDEX(Diccionario!$H:$H,MATCH(F140,Diccionario!$C:$C,0)),"")</f>
        <v>Contabilidad</v>
      </c>
      <c r="N140" t="str">
        <f>IFERROR(INDEX(Diccionario!$N:$N,MATCH(F140,Diccionario!$C:$C,0)),"")</f>
        <v>Mensual</v>
      </c>
    </row>
    <row r="141" spans="1:14" ht="14.25" customHeight="1" x14ac:dyDescent="0.3">
      <c r="A141" t="s">
        <v>531</v>
      </c>
      <c r="B141" t="s">
        <v>522</v>
      </c>
      <c r="C141" t="s">
        <v>523</v>
      </c>
      <c r="D141" t="s">
        <v>451</v>
      </c>
      <c r="E141" t="s">
        <v>524</v>
      </c>
      <c r="F141" t="s">
        <v>304</v>
      </c>
      <c r="H141" t="s">
        <v>563</v>
      </c>
      <c r="I141">
        <v>84000000</v>
      </c>
      <c r="J141" t="s">
        <v>451</v>
      </c>
      <c r="L141" t="str">
        <f>IFERROR(INDEX(Diccionario!$B:$B,MATCH(F141,Diccionario!$C:$C,0)),"")</f>
        <v>Contabilidad</v>
      </c>
      <c r="M141" t="str">
        <f>IFERROR(INDEX(Diccionario!$H:$H,MATCH(F141,Diccionario!$C:$C,0)),"")</f>
        <v>Contabilidad</v>
      </c>
      <c r="N141" t="str">
        <f>IFERROR(INDEX(Diccionario!$N:$N,MATCH(F141,Diccionario!$C:$C,0)),"")</f>
        <v>Mensual</v>
      </c>
    </row>
    <row r="142" spans="1:14" ht="14.25" customHeight="1" x14ac:dyDescent="0.3">
      <c r="A142" t="s">
        <v>531</v>
      </c>
      <c r="B142" t="s">
        <v>522</v>
      </c>
      <c r="C142" t="s">
        <v>523</v>
      </c>
      <c r="D142" t="s">
        <v>451</v>
      </c>
      <c r="E142" t="s">
        <v>524</v>
      </c>
      <c r="F142" t="s">
        <v>304</v>
      </c>
      <c r="H142" t="s">
        <v>190</v>
      </c>
      <c r="I142">
        <v>162000000</v>
      </c>
      <c r="J142" t="s">
        <v>451</v>
      </c>
      <c r="L142" t="str">
        <f>IFERROR(INDEX(Diccionario!$B:$B,MATCH(F142,Diccionario!$C:$C,0)),"")</f>
        <v>Contabilidad</v>
      </c>
      <c r="M142" t="str">
        <f>IFERROR(INDEX(Diccionario!$H:$H,MATCH(F142,Diccionario!$C:$C,0)),"")</f>
        <v>Contabilidad</v>
      </c>
      <c r="N142" t="str">
        <f>IFERROR(INDEX(Diccionario!$N:$N,MATCH(F142,Diccionario!$C:$C,0)),"")</f>
        <v>Mensual</v>
      </c>
    </row>
    <row r="143" spans="1:14" ht="14.25" customHeight="1" x14ac:dyDescent="0.3">
      <c r="A143" t="s">
        <v>531</v>
      </c>
      <c r="B143" t="s">
        <v>522</v>
      </c>
      <c r="C143" t="s">
        <v>523</v>
      </c>
      <c r="D143" t="s">
        <v>451</v>
      </c>
      <c r="E143" t="s">
        <v>524</v>
      </c>
      <c r="F143" t="s">
        <v>304</v>
      </c>
      <c r="H143" t="s">
        <v>564</v>
      </c>
      <c r="I143">
        <v>107000000</v>
      </c>
      <c r="J143" t="s">
        <v>451</v>
      </c>
      <c r="L143" t="str">
        <f>IFERROR(INDEX(Diccionario!$B:$B,MATCH(F143,Diccionario!$C:$C,0)),"")</f>
        <v>Contabilidad</v>
      </c>
      <c r="M143" t="str">
        <f>IFERROR(INDEX(Diccionario!$H:$H,MATCH(F143,Diccionario!$C:$C,0)),"")</f>
        <v>Contabilidad</v>
      </c>
      <c r="N143" t="str">
        <f>IFERROR(INDEX(Diccionario!$N:$N,MATCH(F143,Diccionario!$C:$C,0)),"")</f>
        <v>Mensual</v>
      </c>
    </row>
    <row r="144" spans="1:14" ht="14.25" customHeight="1" x14ac:dyDescent="0.3">
      <c r="A144" t="s">
        <v>532</v>
      </c>
      <c r="B144" t="s">
        <v>522</v>
      </c>
      <c r="C144" t="s">
        <v>523</v>
      </c>
      <c r="D144" t="s">
        <v>451</v>
      </c>
      <c r="E144" t="s">
        <v>524</v>
      </c>
      <c r="F144" t="s">
        <v>304</v>
      </c>
      <c r="H144" t="s">
        <v>561</v>
      </c>
      <c r="I144">
        <v>3000000</v>
      </c>
      <c r="J144" t="s">
        <v>451</v>
      </c>
      <c r="L144" t="str">
        <f>IFERROR(INDEX(Diccionario!$B:$B,MATCH(F144,Diccionario!$C:$C,0)),"")</f>
        <v>Contabilidad</v>
      </c>
      <c r="M144" t="str">
        <f>IFERROR(INDEX(Diccionario!$H:$H,MATCH(F144,Diccionario!$C:$C,0)),"")</f>
        <v>Contabilidad</v>
      </c>
      <c r="N144" t="str">
        <f>IFERROR(INDEX(Diccionario!$N:$N,MATCH(F144,Diccionario!$C:$C,0)),"")</f>
        <v>Mensual</v>
      </c>
    </row>
    <row r="145" spans="1:14" ht="14.25" customHeight="1" x14ac:dyDescent="0.3">
      <c r="A145" t="s">
        <v>532</v>
      </c>
      <c r="B145" t="s">
        <v>522</v>
      </c>
      <c r="C145" t="s">
        <v>523</v>
      </c>
      <c r="D145" t="s">
        <v>451</v>
      </c>
      <c r="E145" t="s">
        <v>524</v>
      </c>
      <c r="F145" t="s">
        <v>304</v>
      </c>
      <c r="H145" t="s">
        <v>562</v>
      </c>
      <c r="I145">
        <v>205000000</v>
      </c>
      <c r="J145" t="s">
        <v>451</v>
      </c>
      <c r="L145" t="str">
        <f>IFERROR(INDEX(Diccionario!$B:$B,MATCH(F145,Diccionario!$C:$C,0)),"")</f>
        <v>Contabilidad</v>
      </c>
      <c r="M145" t="str">
        <f>IFERROR(INDEX(Diccionario!$H:$H,MATCH(F145,Diccionario!$C:$C,0)),"")</f>
        <v>Contabilidad</v>
      </c>
      <c r="N145" t="str">
        <f>IFERROR(INDEX(Diccionario!$N:$N,MATCH(F145,Diccionario!$C:$C,0)),"")</f>
        <v>Mensual</v>
      </c>
    </row>
    <row r="146" spans="1:14" ht="14.25" customHeight="1" x14ac:dyDescent="0.3">
      <c r="A146" t="s">
        <v>532</v>
      </c>
      <c r="B146" t="s">
        <v>522</v>
      </c>
      <c r="C146" t="s">
        <v>523</v>
      </c>
      <c r="D146" t="s">
        <v>451</v>
      </c>
      <c r="E146" t="s">
        <v>524</v>
      </c>
      <c r="F146" t="s">
        <v>304</v>
      </c>
      <c r="H146" t="s">
        <v>563</v>
      </c>
      <c r="I146">
        <v>176000000</v>
      </c>
      <c r="J146" t="s">
        <v>451</v>
      </c>
      <c r="L146" t="str">
        <f>IFERROR(INDEX(Diccionario!$B:$B,MATCH(F146,Diccionario!$C:$C,0)),"")</f>
        <v>Contabilidad</v>
      </c>
      <c r="M146" t="str">
        <f>IFERROR(INDEX(Diccionario!$H:$H,MATCH(F146,Diccionario!$C:$C,0)),"")</f>
        <v>Contabilidad</v>
      </c>
      <c r="N146" t="str">
        <f>IFERROR(INDEX(Diccionario!$N:$N,MATCH(F146,Diccionario!$C:$C,0)),"")</f>
        <v>Mensual</v>
      </c>
    </row>
    <row r="147" spans="1:14" ht="14.25" customHeight="1" x14ac:dyDescent="0.3">
      <c r="A147" t="s">
        <v>532</v>
      </c>
      <c r="B147" t="s">
        <v>522</v>
      </c>
      <c r="C147" t="s">
        <v>523</v>
      </c>
      <c r="D147" t="s">
        <v>451</v>
      </c>
      <c r="E147" t="s">
        <v>524</v>
      </c>
      <c r="F147" t="s">
        <v>304</v>
      </c>
      <c r="H147" t="s">
        <v>190</v>
      </c>
      <c r="I147">
        <v>121000000</v>
      </c>
      <c r="J147" t="s">
        <v>451</v>
      </c>
      <c r="L147" t="str">
        <f>IFERROR(INDEX(Diccionario!$B:$B,MATCH(F147,Diccionario!$C:$C,0)),"")</f>
        <v>Contabilidad</v>
      </c>
      <c r="M147" t="str">
        <f>IFERROR(INDEX(Diccionario!$H:$H,MATCH(F147,Diccionario!$C:$C,0)),"")</f>
        <v>Contabilidad</v>
      </c>
      <c r="N147" t="str">
        <f>IFERROR(INDEX(Diccionario!$N:$N,MATCH(F147,Diccionario!$C:$C,0)),"")</f>
        <v>Mensual</v>
      </c>
    </row>
    <row r="148" spans="1:14" ht="14.25" customHeight="1" x14ac:dyDescent="0.3">
      <c r="A148" t="s">
        <v>532</v>
      </c>
      <c r="B148" t="s">
        <v>522</v>
      </c>
      <c r="C148" t="s">
        <v>523</v>
      </c>
      <c r="D148" t="s">
        <v>451</v>
      </c>
      <c r="E148" t="s">
        <v>524</v>
      </c>
      <c r="F148" t="s">
        <v>304</v>
      </c>
      <c r="H148" t="s">
        <v>564</v>
      </c>
      <c r="I148">
        <v>133000000</v>
      </c>
      <c r="J148" t="s">
        <v>451</v>
      </c>
      <c r="L148" t="str">
        <f>IFERROR(INDEX(Diccionario!$B:$B,MATCH(F148,Diccionario!$C:$C,0)),"")</f>
        <v>Contabilidad</v>
      </c>
      <c r="M148" t="str">
        <f>IFERROR(INDEX(Diccionario!$H:$H,MATCH(F148,Diccionario!$C:$C,0)),"")</f>
        <v>Contabilidad</v>
      </c>
      <c r="N148" t="str">
        <f>IFERROR(INDEX(Diccionario!$N:$N,MATCH(F148,Diccionario!$C:$C,0)),"")</f>
        <v>Mensual</v>
      </c>
    </row>
    <row r="149" spans="1:14" ht="14.25" customHeight="1" x14ac:dyDescent="0.3">
      <c r="A149" t="s">
        <v>533</v>
      </c>
      <c r="B149" t="s">
        <v>522</v>
      </c>
      <c r="C149" t="s">
        <v>523</v>
      </c>
      <c r="D149" t="s">
        <v>451</v>
      </c>
      <c r="E149" t="s">
        <v>524</v>
      </c>
      <c r="F149" t="s">
        <v>304</v>
      </c>
      <c r="H149" t="s">
        <v>561</v>
      </c>
      <c r="I149">
        <v>4000000</v>
      </c>
      <c r="J149" t="s">
        <v>451</v>
      </c>
      <c r="L149" t="str">
        <f>IFERROR(INDEX(Diccionario!$B:$B,MATCH(F149,Diccionario!$C:$C,0)),"")</f>
        <v>Contabilidad</v>
      </c>
      <c r="M149" t="str">
        <f>IFERROR(INDEX(Diccionario!$H:$H,MATCH(F149,Diccionario!$C:$C,0)),"")</f>
        <v>Contabilidad</v>
      </c>
      <c r="N149" t="str">
        <f>IFERROR(INDEX(Diccionario!$N:$N,MATCH(F149,Diccionario!$C:$C,0)),"")</f>
        <v>Mensual</v>
      </c>
    </row>
    <row r="150" spans="1:14" ht="14.25" customHeight="1" x14ac:dyDescent="0.3">
      <c r="A150" t="s">
        <v>533</v>
      </c>
      <c r="B150" t="s">
        <v>522</v>
      </c>
      <c r="C150" t="s">
        <v>523</v>
      </c>
      <c r="D150" t="s">
        <v>451</v>
      </c>
      <c r="E150" t="s">
        <v>524</v>
      </c>
      <c r="F150" t="s">
        <v>304</v>
      </c>
      <c r="H150" t="s">
        <v>562</v>
      </c>
      <c r="I150">
        <v>184000000</v>
      </c>
      <c r="J150" t="s">
        <v>451</v>
      </c>
      <c r="L150" t="str">
        <f>IFERROR(INDEX(Diccionario!$B:$B,MATCH(F150,Diccionario!$C:$C,0)),"")</f>
        <v>Contabilidad</v>
      </c>
      <c r="M150" t="str">
        <f>IFERROR(INDEX(Diccionario!$H:$H,MATCH(F150,Diccionario!$C:$C,0)),"")</f>
        <v>Contabilidad</v>
      </c>
      <c r="N150" t="str">
        <f>IFERROR(INDEX(Diccionario!$N:$N,MATCH(F150,Diccionario!$C:$C,0)),"")</f>
        <v>Mensual</v>
      </c>
    </row>
    <row r="151" spans="1:14" ht="14.25" customHeight="1" x14ac:dyDescent="0.3">
      <c r="A151" t="s">
        <v>533</v>
      </c>
      <c r="B151" t="s">
        <v>522</v>
      </c>
      <c r="C151" t="s">
        <v>523</v>
      </c>
      <c r="D151" t="s">
        <v>451</v>
      </c>
      <c r="E151" t="s">
        <v>524</v>
      </c>
      <c r="F151" t="s">
        <v>304</v>
      </c>
      <c r="H151" t="s">
        <v>563</v>
      </c>
      <c r="I151">
        <v>169000000</v>
      </c>
      <c r="J151" t="s">
        <v>451</v>
      </c>
      <c r="L151" t="str">
        <f>IFERROR(INDEX(Diccionario!$B:$B,MATCH(F151,Diccionario!$C:$C,0)),"")</f>
        <v>Contabilidad</v>
      </c>
      <c r="M151" t="str">
        <f>IFERROR(INDEX(Diccionario!$H:$H,MATCH(F151,Diccionario!$C:$C,0)),"")</f>
        <v>Contabilidad</v>
      </c>
      <c r="N151" t="str">
        <f>IFERROR(INDEX(Diccionario!$N:$N,MATCH(F151,Diccionario!$C:$C,0)),"")</f>
        <v>Mensual</v>
      </c>
    </row>
    <row r="152" spans="1:14" ht="14.25" customHeight="1" x14ac:dyDescent="0.3">
      <c r="A152" t="s">
        <v>533</v>
      </c>
      <c r="B152" t="s">
        <v>522</v>
      </c>
      <c r="C152" t="s">
        <v>523</v>
      </c>
      <c r="D152" t="s">
        <v>451</v>
      </c>
      <c r="E152" t="s">
        <v>524</v>
      </c>
      <c r="F152" t="s">
        <v>304</v>
      </c>
      <c r="H152" t="s">
        <v>190</v>
      </c>
      <c r="I152">
        <v>169000000</v>
      </c>
      <c r="J152" t="s">
        <v>451</v>
      </c>
      <c r="L152" t="str">
        <f>IFERROR(INDEX(Diccionario!$B:$B,MATCH(F152,Diccionario!$C:$C,0)),"")</f>
        <v>Contabilidad</v>
      </c>
      <c r="M152" t="str">
        <f>IFERROR(INDEX(Diccionario!$H:$H,MATCH(F152,Diccionario!$C:$C,0)),"")</f>
        <v>Contabilidad</v>
      </c>
      <c r="N152" t="str">
        <f>IFERROR(INDEX(Diccionario!$N:$N,MATCH(F152,Diccionario!$C:$C,0)),"")</f>
        <v>Mensual</v>
      </c>
    </row>
    <row r="153" spans="1:14" ht="14.25" customHeight="1" x14ac:dyDescent="0.3">
      <c r="A153" t="s">
        <v>533</v>
      </c>
      <c r="B153" t="s">
        <v>522</v>
      </c>
      <c r="C153" t="s">
        <v>523</v>
      </c>
      <c r="D153" t="s">
        <v>451</v>
      </c>
      <c r="E153" t="s">
        <v>524</v>
      </c>
      <c r="F153" t="s">
        <v>304</v>
      </c>
      <c r="H153" t="s">
        <v>564</v>
      </c>
      <c r="I153">
        <v>152000000</v>
      </c>
      <c r="J153" t="s">
        <v>451</v>
      </c>
      <c r="L153" t="str">
        <f>IFERROR(INDEX(Diccionario!$B:$B,MATCH(F153,Diccionario!$C:$C,0)),"")</f>
        <v>Contabilidad</v>
      </c>
      <c r="M153" t="str">
        <f>IFERROR(INDEX(Diccionario!$H:$H,MATCH(F153,Diccionario!$C:$C,0)),"")</f>
        <v>Contabilidad</v>
      </c>
      <c r="N153" t="str">
        <f>IFERROR(INDEX(Diccionario!$N:$N,MATCH(F153,Diccionario!$C:$C,0)),"")</f>
        <v>Mensual</v>
      </c>
    </row>
    <row r="154" spans="1:14" ht="14.25" customHeight="1" x14ac:dyDescent="0.3">
      <c r="A154" t="s">
        <v>534</v>
      </c>
      <c r="B154" t="s">
        <v>522</v>
      </c>
      <c r="C154" t="s">
        <v>523</v>
      </c>
      <c r="D154" t="s">
        <v>451</v>
      </c>
      <c r="E154" t="s">
        <v>524</v>
      </c>
      <c r="F154" t="s">
        <v>304</v>
      </c>
      <c r="H154" t="s">
        <v>561</v>
      </c>
      <c r="I154">
        <v>5000000</v>
      </c>
      <c r="J154" t="s">
        <v>451</v>
      </c>
      <c r="L154" t="str">
        <f>IFERROR(INDEX(Diccionario!$B:$B,MATCH(F154,Diccionario!$C:$C,0)),"")</f>
        <v>Contabilidad</v>
      </c>
      <c r="M154" t="str">
        <f>IFERROR(INDEX(Diccionario!$H:$H,MATCH(F154,Diccionario!$C:$C,0)),"")</f>
        <v>Contabilidad</v>
      </c>
      <c r="N154" t="str">
        <f>IFERROR(INDEX(Diccionario!$N:$N,MATCH(F154,Diccionario!$C:$C,0)),"")</f>
        <v>Mensual</v>
      </c>
    </row>
    <row r="155" spans="1:14" ht="14.25" customHeight="1" x14ac:dyDescent="0.3">
      <c r="A155" t="s">
        <v>534</v>
      </c>
      <c r="B155" t="s">
        <v>522</v>
      </c>
      <c r="C155" t="s">
        <v>523</v>
      </c>
      <c r="D155" t="s">
        <v>451</v>
      </c>
      <c r="E155" t="s">
        <v>524</v>
      </c>
      <c r="F155" t="s">
        <v>304</v>
      </c>
      <c r="H155" t="s">
        <v>562</v>
      </c>
      <c r="I155">
        <v>195000000</v>
      </c>
      <c r="J155" t="s">
        <v>451</v>
      </c>
      <c r="L155" t="str">
        <f>IFERROR(INDEX(Diccionario!$B:$B,MATCH(F155,Diccionario!$C:$C,0)),"")</f>
        <v>Contabilidad</v>
      </c>
      <c r="M155" t="str">
        <f>IFERROR(INDEX(Diccionario!$H:$H,MATCH(F155,Diccionario!$C:$C,0)),"")</f>
        <v>Contabilidad</v>
      </c>
      <c r="N155" t="str">
        <f>IFERROR(INDEX(Diccionario!$N:$N,MATCH(F155,Diccionario!$C:$C,0)),"")</f>
        <v>Mensual</v>
      </c>
    </row>
    <row r="156" spans="1:14" ht="14.25" customHeight="1" x14ac:dyDescent="0.3">
      <c r="A156" t="s">
        <v>534</v>
      </c>
      <c r="B156" t="s">
        <v>522</v>
      </c>
      <c r="C156" t="s">
        <v>523</v>
      </c>
      <c r="D156" t="s">
        <v>451</v>
      </c>
      <c r="E156" t="s">
        <v>524</v>
      </c>
      <c r="F156" t="s">
        <v>304</v>
      </c>
      <c r="H156" t="s">
        <v>563</v>
      </c>
      <c r="I156">
        <v>205000000</v>
      </c>
      <c r="J156" t="s">
        <v>451</v>
      </c>
      <c r="L156" t="str">
        <f>IFERROR(INDEX(Diccionario!$B:$B,MATCH(F156,Diccionario!$C:$C,0)),"")</f>
        <v>Contabilidad</v>
      </c>
      <c r="M156" t="str">
        <f>IFERROR(INDEX(Diccionario!$H:$H,MATCH(F156,Diccionario!$C:$C,0)),"")</f>
        <v>Contabilidad</v>
      </c>
      <c r="N156" t="str">
        <f>IFERROR(INDEX(Diccionario!$N:$N,MATCH(F156,Diccionario!$C:$C,0)),"")</f>
        <v>Mensual</v>
      </c>
    </row>
    <row r="157" spans="1:14" ht="14.25" customHeight="1" x14ac:dyDescent="0.3">
      <c r="A157" t="s">
        <v>534</v>
      </c>
      <c r="B157" t="s">
        <v>522</v>
      </c>
      <c r="C157" t="s">
        <v>523</v>
      </c>
      <c r="D157" t="s">
        <v>451</v>
      </c>
      <c r="E157" t="s">
        <v>524</v>
      </c>
      <c r="F157" t="s">
        <v>304</v>
      </c>
      <c r="H157" t="s">
        <v>190</v>
      </c>
      <c r="I157">
        <v>176000000</v>
      </c>
      <c r="J157" t="s">
        <v>451</v>
      </c>
      <c r="L157" t="str">
        <f>IFERROR(INDEX(Diccionario!$B:$B,MATCH(F157,Diccionario!$C:$C,0)),"")</f>
        <v>Contabilidad</v>
      </c>
      <c r="M157" t="str">
        <f>IFERROR(INDEX(Diccionario!$H:$H,MATCH(F157,Diccionario!$C:$C,0)),"")</f>
        <v>Contabilidad</v>
      </c>
      <c r="N157" t="str">
        <f>IFERROR(INDEX(Diccionario!$N:$N,MATCH(F157,Diccionario!$C:$C,0)),"")</f>
        <v>Mensual</v>
      </c>
    </row>
    <row r="158" spans="1:14" ht="14.25" customHeight="1" x14ac:dyDescent="0.3">
      <c r="A158" t="s">
        <v>534</v>
      </c>
      <c r="B158" t="s">
        <v>522</v>
      </c>
      <c r="C158" t="s">
        <v>523</v>
      </c>
      <c r="D158" t="s">
        <v>451</v>
      </c>
      <c r="E158" t="s">
        <v>524</v>
      </c>
      <c r="F158" t="s">
        <v>304</v>
      </c>
      <c r="H158" t="s">
        <v>564</v>
      </c>
      <c r="I158">
        <v>134000000</v>
      </c>
      <c r="J158" t="s">
        <v>451</v>
      </c>
      <c r="L158" t="str">
        <f>IFERROR(INDEX(Diccionario!$B:$B,MATCH(F158,Diccionario!$C:$C,0)),"")</f>
        <v>Contabilidad</v>
      </c>
      <c r="M158" t="str">
        <f>IFERROR(INDEX(Diccionario!$H:$H,MATCH(F158,Diccionario!$C:$C,0)),"")</f>
        <v>Contabilidad</v>
      </c>
      <c r="N158" t="str">
        <f>IFERROR(INDEX(Diccionario!$N:$N,MATCH(F158,Diccionario!$C:$C,0)),"")</f>
        <v>Mensual</v>
      </c>
    </row>
    <row r="159" spans="1:14" ht="14.25" customHeight="1" x14ac:dyDescent="0.3">
      <c r="A159" t="s">
        <v>535</v>
      </c>
      <c r="B159" t="s">
        <v>522</v>
      </c>
      <c r="C159" t="s">
        <v>523</v>
      </c>
      <c r="D159" t="s">
        <v>451</v>
      </c>
      <c r="E159" t="s">
        <v>524</v>
      </c>
      <c r="F159" t="s">
        <v>304</v>
      </c>
      <c r="H159" t="s">
        <v>561</v>
      </c>
      <c r="I159">
        <v>5000000</v>
      </c>
      <c r="J159" t="s">
        <v>451</v>
      </c>
      <c r="L159" t="str">
        <f>IFERROR(INDEX(Diccionario!$B:$B,MATCH(F159,Diccionario!$C:$C,0)),"")</f>
        <v>Contabilidad</v>
      </c>
      <c r="M159" t="str">
        <f>IFERROR(INDEX(Diccionario!$H:$H,MATCH(F159,Diccionario!$C:$C,0)),"")</f>
        <v>Contabilidad</v>
      </c>
      <c r="N159" t="str">
        <f>IFERROR(INDEX(Diccionario!$N:$N,MATCH(F159,Diccionario!$C:$C,0)),"")</f>
        <v>Mensual</v>
      </c>
    </row>
    <row r="160" spans="1:14" ht="14.25" customHeight="1" x14ac:dyDescent="0.3">
      <c r="A160" t="s">
        <v>535</v>
      </c>
      <c r="B160" t="s">
        <v>522</v>
      </c>
      <c r="C160" t="s">
        <v>523</v>
      </c>
      <c r="D160" t="s">
        <v>451</v>
      </c>
      <c r="E160" t="s">
        <v>524</v>
      </c>
      <c r="F160" t="s">
        <v>304</v>
      </c>
      <c r="H160" t="s">
        <v>562</v>
      </c>
      <c r="I160">
        <v>230000000</v>
      </c>
      <c r="J160" t="s">
        <v>451</v>
      </c>
      <c r="L160" t="str">
        <f>IFERROR(INDEX(Diccionario!$B:$B,MATCH(F160,Diccionario!$C:$C,0)),"")</f>
        <v>Contabilidad</v>
      </c>
      <c r="M160" t="str">
        <f>IFERROR(INDEX(Diccionario!$H:$H,MATCH(F160,Diccionario!$C:$C,0)),"")</f>
        <v>Contabilidad</v>
      </c>
      <c r="N160" t="str">
        <f>IFERROR(INDEX(Diccionario!$N:$N,MATCH(F160,Diccionario!$C:$C,0)),"")</f>
        <v>Mensual</v>
      </c>
    </row>
    <row r="161" spans="1:14" ht="14.25" customHeight="1" x14ac:dyDescent="0.3">
      <c r="A161" t="s">
        <v>535</v>
      </c>
      <c r="B161" t="s">
        <v>522</v>
      </c>
      <c r="C161" t="s">
        <v>523</v>
      </c>
      <c r="D161" t="s">
        <v>451</v>
      </c>
      <c r="E161" t="s">
        <v>524</v>
      </c>
      <c r="F161" t="s">
        <v>304</v>
      </c>
      <c r="H161" t="s">
        <v>563</v>
      </c>
      <c r="I161">
        <v>178000000</v>
      </c>
      <c r="J161" t="s">
        <v>451</v>
      </c>
      <c r="L161" t="str">
        <f>IFERROR(INDEX(Diccionario!$B:$B,MATCH(F161,Diccionario!$C:$C,0)),"")</f>
        <v>Contabilidad</v>
      </c>
      <c r="M161" t="str">
        <f>IFERROR(INDEX(Diccionario!$H:$H,MATCH(F161,Diccionario!$C:$C,0)),"")</f>
        <v>Contabilidad</v>
      </c>
      <c r="N161" t="str">
        <f>IFERROR(INDEX(Diccionario!$N:$N,MATCH(F161,Diccionario!$C:$C,0)),"")</f>
        <v>Mensual</v>
      </c>
    </row>
    <row r="162" spans="1:14" ht="14.25" customHeight="1" x14ac:dyDescent="0.3">
      <c r="A162" t="s">
        <v>535</v>
      </c>
      <c r="B162" t="s">
        <v>522</v>
      </c>
      <c r="C162" t="s">
        <v>523</v>
      </c>
      <c r="D162" t="s">
        <v>451</v>
      </c>
      <c r="E162" t="s">
        <v>524</v>
      </c>
      <c r="F162" t="s">
        <v>304</v>
      </c>
      <c r="H162" t="s">
        <v>190</v>
      </c>
      <c r="I162">
        <v>169000000</v>
      </c>
      <c r="J162" t="s">
        <v>451</v>
      </c>
      <c r="L162" t="str">
        <f>IFERROR(INDEX(Diccionario!$B:$B,MATCH(F162,Diccionario!$C:$C,0)),"")</f>
        <v>Contabilidad</v>
      </c>
      <c r="M162" t="str">
        <f>IFERROR(INDEX(Diccionario!$H:$H,MATCH(F162,Diccionario!$C:$C,0)),"")</f>
        <v>Contabilidad</v>
      </c>
      <c r="N162" t="str">
        <f>IFERROR(INDEX(Diccionario!$N:$N,MATCH(F162,Diccionario!$C:$C,0)),"")</f>
        <v>Mensual</v>
      </c>
    </row>
    <row r="163" spans="1:14" ht="14.25" customHeight="1" x14ac:dyDescent="0.3">
      <c r="A163" t="s">
        <v>535</v>
      </c>
      <c r="B163" t="s">
        <v>522</v>
      </c>
      <c r="C163" t="s">
        <v>523</v>
      </c>
      <c r="D163" t="s">
        <v>451</v>
      </c>
      <c r="E163" t="s">
        <v>524</v>
      </c>
      <c r="F163" t="s">
        <v>304</v>
      </c>
      <c r="H163" t="s">
        <v>564</v>
      </c>
      <c r="I163">
        <v>158000000</v>
      </c>
      <c r="J163" t="s">
        <v>451</v>
      </c>
      <c r="L163" t="str">
        <f>IFERROR(INDEX(Diccionario!$B:$B,MATCH(F163,Diccionario!$C:$C,0)),"")</f>
        <v>Contabilidad</v>
      </c>
      <c r="M163" t="str">
        <f>IFERROR(INDEX(Diccionario!$H:$H,MATCH(F163,Diccionario!$C:$C,0)),"")</f>
        <v>Contabilidad</v>
      </c>
      <c r="N163" t="str">
        <f>IFERROR(INDEX(Diccionario!$N:$N,MATCH(F163,Diccionario!$C:$C,0)),"")</f>
        <v>Mensual</v>
      </c>
    </row>
    <row r="164" spans="1:14" ht="14.25" customHeight="1" x14ac:dyDescent="0.3">
      <c r="A164" t="s">
        <v>536</v>
      </c>
      <c r="B164" t="s">
        <v>522</v>
      </c>
      <c r="C164" t="s">
        <v>523</v>
      </c>
      <c r="D164" t="s">
        <v>451</v>
      </c>
      <c r="E164" t="s">
        <v>524</v>
      </c>
      <c r="F164" t="s">
        <v>304</v>
      </c>
      <c r="H164" t="s">
        <v>561</v>
      </c>
      <c r="I164">
        <v>6500000</v>
      </c>
      <c r="J164" t="s">
        <v>451</v>
      </c>
      <c r="L164" t="str">
        <f>IFERROR(INDEX(Diccionario!$B:$B,MATCH(F164,Diccionario!$C:$C,0)),"")</f>
        <v>Contabilidad</v>
      </c>
      <c r="M164" t="str">
        <f>IFERROR(INDEX(Diccionario!$H:$H,MATCH(F164,Diccionario!$C:$C,0)),"")</f>
        <v>Contabilidad</v>
      </c>
      <c r="N164" t="str">
        <f>IFERROR(INDEX(Diccionario!$N:$N,MATCH(F164,Diccionario!$C:$C,0)),"")</f>
        <v>Mensual</v>
      </c>
    </row>
    <row r="165" spans="1:14" ht="14.25" customHeight="1" x14ac:dyDescent="0.3">
      <c r="A165" t="s">
        <v>536</v>
      </c>
      <c r="B165" t="s">
        <v>522</v>
      </c>
      <c r="C165" t="s">
        <v>523</v>
      </c>
      <c r="D165" t="s">
        <v>451</v>
      </c>
      <c r="E165" t="s">
        <v>524</v>
      </c>
      <c r="F165" t="s">
        <v>304</v>
      </c>
      <c r="H165" t="s">
        <v>562</v>
      </c>
      <c r="I165">
        <v>216000000</v>
      </c>
      <c r="J165" t="s">
        <v>451</v>
      </c>
      <c r="L165" t="str">
        <f>IFERROR(INDEX(Diccionario!$B:$B,MATCH(F165,Diccionario!$C:$C,0)),"")</f>
        <v>Contabilidad</v>
      </c>
      <c r="M165" t="str">
        <f>IFERROR(INDEX(Diccionario!$H:$H,MATCH(F165,Diccionario!$C:$C,0)),"")</f>
        <v>Contabilidad</v>
      </c>
      <c r="N165" t="str">
        <f>IFERROR(INDEX(Diccionario!$N:$N,MATCH(F165,Diccionario!$C:$C,0)),"")</f>
        <v>Mensual</v>
      </c>
    </row>
    <row r="166" spans="1:14" ht="14.25" customHeight="1" x14ac:dyDescent="0.3">
      <c r="A166" t="s">
        <v>536</v>
      </c>
      <c r="B166" t="s">
        <v>522</v>
      </c>
      <c r="C166" t="s">
        <v>523</v>
      </c>
      <c r="D166" t="s">
        <v>451</v>
      </c>
      <c r="E166" t="s">
        <v>524</v>
      </c>
      <c r="F166" t="s">
        <v>304</v>
      </c>
      <c r="H166" t="s">
        <v>563</v>
      </c>
      <c r="I166">
        <v>182000000</v>
      </c>
      <c r="J166" t="s">
        <v>451</v>
      </c>
      <c r="L166" t="str">
        <f>IFERROR(INDEX(Diccionario!$B:$B,MATCH(F166,Diccionario!$C:$C,0)),"")</f>
        <v>Contabilidad</v>
      </c>
      <c r="M166" t="str">
        <f>IFERROR(INDEX(Diccionario!$H:$H,MATCH(F166,Diccionario!$C:$C,0)),"")</f>
        <v>Contabilidad</v>
      </c>
      <c r="N166" t="str">
        <f>IFERROR(INDEX(Diccionario!$N:$N,MATCH(F166,Diccionario!$C:$C,0)),"")</f>
        <v>Mensual</v>
      </c>
    </row>
    <row r="167" spans="1:14" ht="14.25" customHeight="1" x14ac:dyDescent="0.3">
      <c r="A167" t="s">
        <v>536</v>
      </c>
      <c r="B167" t="s">
        <v>522</v>
      </c>
      <c r="C167" t="s">
        <v>523</v>
      </c>
      <c r="D167" t="s">
        <v>451</v>
      </c>
      <c r="E167" t="s">
        <v>524</v>
      </c>
      <c r="F167" t="s">
        <v>304</v>
      </c>
      <c r="H167" t="s">
        <v>190</v>
      </c>
      <c r="I167">
        <v>175000000</v>
      </c>
      <c r="J167" t="s">
        <v>451</v>
      </c>
      <c r="L167" t="str">
        <f>IFERROR(INDEX(Diccionario!$B:$B,MATCH(F167,Diccionario!$C:$C,0)),"")</f>
        <v>Contabilidad</v>
      </c>
      <c r="M167" t="str">
        <f>IFERROR(INDEX(Diccionario!$H:$H,MATCH(F167,Diccionario!$C:$C,0)),"")</f>
        <v>Contabilidad</v>
      </c>
      <c r="N167" t="str">
        <f>IFERROR(INDEX(Diccionario!$N:$N,MATCH(F167,Diccionario!$C:$C,0)),"")</f>
        <v>Mensual</v>
      </c>
    </row>
    <row r="168" spans="1:14" ht="14.25" customHeight="1" x14ac:dyDescent="0.3">
      <c r="A168" t="s">
        <v>536</v>
      </c>
      <c r="B168" t="s">
        <v>522</v>
      </c>
      <c r="C168" t="s">
        <v>523</v>
      </c>
      <c r="D168" t="s">
        <v>451</v>
      </c>
      <c r="E168" t="s">
        <v>524</v>
      </c>
      <c r="F168" t="s">
        <v>304</v>
      </c>
      <c r="H168" t="s">
        <v>564</v>
      </c>
      <c r="I168">
        <v>231000000</v>
      </c>
      <c r="J168" t="s">
        <v>451</v>
      </c>
      <c r="L168" t="str">
        <f>IFERROR(INDEX(Diccionario!$B:$B,MATCH(F168,Diccionario!$C:$C,0)),"")</f>
        <v>Contabilidad</v>
      </c>
      <c r="M168" t="str">
        <f>IFERROR(INDEX(Diccionario!$H:$H,MATCH(F168,Diccionario!$C:$C,0)),"")</f>
        <v>Contabilidad</v>
      </c>
      <c r="N168" t="str">
        <f>IFERROR(INDEX(Diccionario!$N:$N,MATCH(F168,Diccionario!$C:$C,0)),"")</f>
        <v>Mensual</v>
      </c>
    </row>
    <row r="169" spans="1:14" ht="14.25" customHeight="1" x14ac:dyDescent="0.3">
      <c r="A169" t="s">
        <v>537</v>
      </c>
      <c r="B169" t="s">
        <v>522</v>
      </c>
      <c r="C169" t="s">
        <v>523</v>
      </c>
      <c r="D169" t="s">
        <v>451</v>
      </c>
      <c r="E169" t="s">
        <v>524</v>
      </c>
      <c r="F169" t="s">
        <v>304</v>
      </c>
      <c r="H169" t="s">
        <v>561</v>
      </c>
      <c r="I169">
        <v>4700000</v>
      </c>
      <c r="J169" t="s">
        <v>451</v>
      </c>
      <c r="L169" t="str">
        <f>IFERROR(INDEX(Diccionario!$B:$B,MATCH(F169,Diccionario!$C:$C,0)),"")</f>
        <v>Contabilidad</v>
      </c>
      <c r="M169" t="str">
        <f>IFERROR(INDEX(Diccionario!$H:$H,MATCH(F169,Diccionario!$C:$C,0)),"")</f>
        <v>Contabilidad</v>
      </c>
      <c r="N169" t="str">
        <f>IFERROR(INDEX(Diccionario!$N:$N,MATCH(F169,Diccionario!$C:$C,0)),"")</f>
        <v>Mensual</v>
      </c>
    </row>
    <row r="170" spans="1:14" ht="14.25" customHeight="1" x14ac:dyDescent="0.3">
      <c r="A170" t="s">
        <v>537</v>
      </c>
      <c r="B170" t="s">
        <v>522</v>
      </c>
      <c r="C170" t="s">
        <v>523</v>
      </c>
      <c r="D170" t="s">
        <v>451</v>
      </c>
      <c r="E170" t="s">
        <v>524</v>
      </c>
      <c r="F170" t="s">
        <v>304</v>
      </c>
      <c r="H170" t="s">
        <v>562</v>
      </c>
      <c r="I170">
        <v>238000000</v>
      </c>
      <c r="J170" t="s">
        <v>451</v>
      </c>
      <c r="L170" t="str">
        <f>IFERROR(INDEX(Diccionario!$B:$B,MATCH(F170,Diccionario!$C:$C,0)),"")</f>
        <v>Contabilidad</v>
      </c>
      <c r="M170" t="str">
        <f>IFERROR(INDEX(Diccionario!$H:$H,MATCH(F170,Diccionario!$C:$C,0)),"")</f>
        <v>Contabilidad</v>
      </c>
      <c r="N170" t="str">
        <f>IFERROR(INDEX(Diccionario!$N:$N,MATCH(F170,Diccionario!$C:$C,0)),"")</f>
        <v>Mensual</v>
      </c>
    </row>
    <row r="171" spans="1:14" ht="14.25" customHeight="1" x14ac:dyDescent="0.3">
      <c r="A171" t="s">
        <v>537</v>
      </c>
      <c r="B171" t="s">
        <v>522</v>
      </c>
      <c r="C171" t="s">
        <v>523</v>
      </c>
      <c r="D171" t="s">
        <v>451</v>
      </c>
      <c r="E171" t="s">
        <v>524</v>
      </c>
      <c r="F171" t="s">
        <v>304</v>
      </c>
      <c r="H171" t="s">
        <v>563</v>
      </c>
      <c r="I171">
        <v>130000000</v>
      </c>
      <c r="J171" t="s">
        <v>451</v>
      </c>
      <c r="L171" t="str">
        <f>IFERROR(INDEX(Diccionario!$B:$B,MATCH(F171,Diccionario!$C:$C,0)),"")</f>
        <v>Contabilidad</v>
      </c>
      <c r="M171" t="str">
        <f>IFERROR(INDEX(Diccionario!$H:$H,MATCH(F171,Diccionario!$C:$C,0)),"")</f>
        <v>Contabilidad</v>
      </c>
      <c r="N171" t="str">
        <f>IFERROR(INDEX(Diccionario!$N:$N,MATCH(F171,Diccionario!$C:$C,0)),"")</f>
        <v>Mensual</v>
      </c>
    </row>
    <row r="172" spans="1:14" ht="14.25" customHeight="1" x14ac:dyDescent="0.3">
      <c r="A172" t="s">
        <v>537</v>
      </c>
      <c r="B172" t="s">
        <v>522</v>
      </c>
      <c r="C172" t="s">
        <v>523</v>
      </c>
      <c r="D172" t="s">
        <v>451</v>
      </c>
      <c r="E172" t="s">
        <v>524</v>
      </c>
      <c r="F172" t="s">
        <v>304</v>
      </c>
      <c r="H172" t="s">
        <v>190</v>
      </c>
      <c r="I172">
        <v>163000000</v>
      </c>
      <c r="J172" t="s">
        <v>451</v>
      </c>
      <c r="L172" t="str">
        <f>IFERROR(INDEX(Diccionario!$B:$B,MATCH(F172,Diccionario!$C:$C,0)),"")</f>
        <v>Contabilidad</v>
      </c>
      <c r="M172" t="str">
        <f>IFERROR(INDEX(Diccionario!$H:$H,MATCH(F172,Diccionario!$C:$C,0)),"")</f>
        <v>Contabilidad</v>
      </c>
      <c r="N172" t="str">
        <f>IFERROR(INDEX(Diccionario!$N:$N,MATCH(F172,Diccionario!$C:$C,0)),"")</f>
        <v>Mensual</v>
      </c>
    </row>
    <row r="173" spans="1:14" ht="14.25" customHeight="1" x14ac:dyDescent="0.3">
      <c r="A173" t="s">
        <v>537</v>
      </c>
      <c r="B173" t="s">
        <v>522</v>
      </c>
      <c r="C173" t="s">
        <v>523</v>
      </c>
      <c r="D173" t="s">
        <v>451</v>
      </c>
      <c r="E173" t="s">
        <v>524</v>
      </c>
      <c r="F173" t="s">
        <v>304</v>
      </c>
      <c r="H173" t="s">
        <v>564</v>
      </c>
      <c r="I173">
        <v>158000000</v>
      </c>
      <c r="J173" t="s">
        <v>451</v>
      </c>
      <c r="L173" t="str">
        <f>IFERROR(INDEX(Diccionario!$B:$B,MATCH(F173,Diccionario!$C:$C,0)),"")</f>
        <v>Contabilidad</v>
      </c>
      <c r="M173" t="str">
        <f>IFERROR(INDEX(Diccionario!$H:$H,MATCH(F173,Diccionario!$C:$C,0)),"")</f>
        <v>Contabilidad</v>
      </c>
      <c r="N173" t="str">
        <f>IFERROR(INDEX(Diccionario!$N:$N,MATCH(F173,Diccionario!$C:$C,0)),"")</f>
        <v>Mensual</v>
      </c>
    </row>
    <row r="174" spans="1:14" ht="14.25" customHeight="1" x14ac:dyDescent="0.3">
      <c r="A174" t="s">
        <v>538</v>
      </c>
      <c r="B174" t="s">
        <v>522</v>
      </c>
      <c r="C174" t="s">
        <v>523</v>
      </c>
      <c r="D174" t="s">
        <v>451</v>
      </c>
      <c r="E174" t="s">
        <v>524</v>
      </c>
      <c r="F174" t="s">
        <v>304</v>
      </c>
      <c r="H174" t="s">
        <v>561</v>
      </c>
      <c r="I174">
        <v>3800000</v>
      </c>
      <c r="J174" t="s">
        <v>451</v>
      </c>
      <c r="L174" t="str">
        <f>IFERROR(INDEX(Diccionario!$B:$B,MATCH(F174,Diccionario!$C:$C,0)),"")</f>
        <v>Contabilidad</v>
      </c>
      <c r="M174" t="str">
        <f>IFERROR(INDEX(Diccionario!$H:$H,MATCH(F174,Diccionario!$C:$C,0)),"")</f>
        <v>Contabilidad</v>
      </c>
      <c r="N174" t="str">
        <f>IFERROR(INDEX(Diccionario!$N:$N,MATCH(F174,Diccionario!$C:$C,0)),"")</f>
        <v>Mensual</v>
      </c>
    </row>
    <row r="175" spans="1:14" ht="14.25" customHeight="1" x14ac:dyDescent="0.3">
      <c r="A175" t="s">
        <v>538</v>
      </c>
      <c r="B175" t="s">
        <v>522</v>
      </c>
      <c r="C175" t="s">
        <v>523</v>
      </c>
      <c r="D175" t="s">
        <v>451</v>
      </c>
      <c r="E175" t="s">
        <v>524</v>
      </c>
      <c r="F175" t="s">
        <v>304</v>
      </c>
      <c r="H175" t="s">
        <v>562</v>
      </c>
      <c r="I175">
        <v>263000000</v>
      </c>
      <c r="J175" t="s">
        <v>451</v>
      </c>
      <c r="L175" t="str">
        <f>IFERROR(INDEX(Diccionario!$B:$B,MATCH(F175,Diccionario!$C:$C,0)),"")</f>
        <v>Contabilidad</v>
      </c>
      <c r="M175" t="str">
        <f>IFERROR(INDEX(Diccionario!$H:$H,MATCH(F175,Diccionario!$C:$C,0)),"")</f>
        <v>Contabilidad</v>
      </c>
      <c r="N175" t="str">
        <f>IFERROR(INDEX(Diccionario!$N:$N,MATCH(F175,Diccionario!$C:$C,0)),"")</f>
        <v>Mensual</v>
      </c>
    </row>
    <row r="176" spans="1:14" ht="14.25" customHeight="1" x14ac:dyDescent="0.3">
      <c r="A176" t="s">
        <v>538</v>
      </c>
      <c r="B176" t="s">
        <v>522</v>
      </c>
      <c r="C176" t="s">
        <v>523</v>
      </c>
      <c r="D176" t="s">
        <v>451</v>
      </c>
      <c r="E176" t="s">
        <v>524</v>
      </c>
      <c r="F176" t="s">
        <v>304</v>
      </c>
      <c r="H176" t="s">
        <v>563</v>
      </c>
      <c r="I176">
        <v>47000000</v>
      </c>
      <c r="J176" t="s">
        <v>451</v>
      </c>
      <c r="L176" t="str">
        <f>IFERROR(INDEX(Diccionario!$B:$B,MATCH(F176,Diccionario!$C:$C,0)),"")</f>
        <v>Contabilidad</v>
      </c>
      <c r="M176" t="str">
        <f>IFERROR(INDEX(Diccionario!$H:$H,MATCH(F176,Diccionario!$C:$C,0)),"")</f>
        <v>Contabilidad</v>
      </c>
      <c r="N176" t="str">
        <f>IFERROR(INDEX(Diccionario!$N:$N,MATCH(F176,Diccionario!$C:$C,0)),"")</f>
        <v>Mensual</v>
      </c>
    </row>
    <row r="177" spans="1:14" ht="14.25" customHeight="1" x14ac:dyDescent="0.3">
      <c r="A177" t="s">
        <v>538</v>
      </c>
      <c r="B177" t="s">
        <v>522</v>
      </c>
      <c r="C177" t="s">
        <v>523</v>
      </c>
      <c r="D177" t="s">
        <v>451</v>
      </c>
      <c r="E177" t="s">
        <v>524</v>
      </c>
      <c r="F177" t="s">
        <v>304</v>
      </c>
      <c r="H177" t="s">
        <v>190</v>
      </c>
      <c r="I177">
        <v>233000000</v>
      </c>
      <c r="J177" t="s">
        <v>451</v>
      </c>
      <c r="L177" t="str">
        <f>IFERROR(INDEX(Diccionario!$B:$B,MATCH(F177,Diccionario!$C:$C,0)),"")</f>
        <v>Contabilidad</v>
      </c>
      <c r="M177" t="str">
        <f>IFERROR(INDEX(Diccionario!$H:$H,MATCH(F177,Diccionario!$C:$C,0)),"")</f>
        <v>Contabilidad</v>
      </c>
      <c r="N177" t="str">
        <f>IFERROR(INDEX(Diccionario!$N:$N,MATCH(F177,Diccionario!$C:$C,0)),"")</f>
        <v>Mensual</v>
      </c>
    </row>
    <row r="178" spans="1:14" ht="14.25" customHeight="1" x14ac:dyDescent="0.3">
      <c r="A178" t="s">
        <v>538</v>
      </c>
      <c r="B178" t="s">
        <v>522</v>
      </c>
      <c r="C178" t="s">
        <v>523</v>
      </c>
      <c r="D178" t="s">
        <v>451</v>
      </c>
      <c r="E178" t="s">
        <v>524</v>
      </c>
      <c r="F178" t="s">
        <v>304</v>
      </c>
      <c r="H178" t="s">
        <v>564</v>
      </c>
      <c r="I178">
        <v>140000000</v>
      </c>
      <c r="J178" t="s">
        <v>451</v>
      </c>
      <c r="L178" t="str">
        <f>IFERROR(INDEX(Diccionario!$B:$B,MATCH(F178,Diccionario!$C:$C,0)),"")</f>
        <v>Contabilidad</v>
      </c>
      <c r="M178" t="str">
        <f>IFERROR(INDEX(Diccionario!$H:$H,MATCH(F178,Diccionario!$C:$C,0)),"")</f>
        <v>Contabilidad</v>
      </c>
      <c r="N178" t="str">
        <f>IFERROR(INDEX(Diccionario!$N:$N,MATCH(F178,Diccionario!$C:$C,0)),"")</f>
        <v>Mensual</v>
      </c>
    </row>
    <row r="179" spans="1:14" ht="14.25" customHeight="1" x14ac:dyDescent="0.3">
      <c r="A179" t="s">
        <v>539</v>
      </c>
      <c r="B179" t="s">
        <v>522</v>
      </c>
      <c r="C179" t="s">
        <v>523</v>
      </c>
      <c r="D179" t="s">
        <v>451</v>
      </c>
      <c r="E179" t="s">
        <v>524</v>
      </c>
      <c r="F179" t="s">
        <v>304</v>
      </c>
      <c r="H179" t="s">
        <v>561</v>
      </c>
      <c r="I179">
        <v>4700000</v>
      </c>
      <c r="J179" t="s">
        <v>451</v>
      </c>
      <c r="L179" t="str">
        <f>IFERROR(INDEX(Diccionario!$B:$B,MATCH(F179,Diccionario!$C:$C,0)),"")</f>
        <v>Contabilidad</v>
      </c>
      <c r="M179" t="str">
        <f>IFERROR(INDEX(Diccionario!$H:$H,MATCH(F179,Diccionario!$C:$C,0)),"")</f>
        <v>Contabilidad</v>
      </c>
      <c r="N179" t="str">
        <f>IFERROR(INDEX(Diccionario!$N:$N,MATCH(F179,Diccionario!$C:$C,0)),"")</f>
        <v>Mensual</v>
      </c>
    </row>
    <row r="180" spans="1:14" ht="14.25" customHeight="1" x14ac:dyDescent="0.3">
      <c r="A180" t="s">
        <v>539</v>
      </c>
      <c r="B180" t="s">
        <v>522</v>
      </c>
      <c r="C180" t="s">
        <v>523</v>
      </c>
      <c r="D180" t="s">
        <v>451</v>
      </c>
      <c r="E180" t="s">
        <v>524</v>
      </c>
      <c r="F180" t="s">
        <v>304</v>
      </c>
      <c r="H180" t="s">
        <v>562</v>
      </c>
      <c r="I180">
        <v>231000000</v>
      </c>
      <c r="J180" t="s">
        <v>451</v>
      </c>
      <c r="L180" t="str">
        <f>IFERROR(INDEX(Diccionario!$B:$B,MATCH(F180,Diccionario!$C:$C,0)),"")</f>
        <v>Contabilidad</v>
      </c>
      <c r="M180" t="str">
        <f>IFERROR(INDEX(Diccionario!$H:$H,MATCH(F180,Diccionario!$C:$C,0)),"")</f>
        <v>Contabilidad</v>
      </c>
      <c r="N180" t="str">
        <f>IFERROR(INDEX(Diccionario!$N:$N,MATCH(F180,Diccionario!$C:$C,0)),"")</f>
        <v>Mensual</v>
      </c>
    </row>
    <row r="181" spans="1:14" ht="14.25" customHeight="1" x14ac:dyDescent="0.3">
      <c r="A181" t="s">
        <v>539</v>
      </c>
      <c r="B181" t="s">
        <v>522</v>
      </c>
      <c r="C181" t="s">
        <v>523</v>
      </c>
      <c r="D181" t="s">
        <v>451</v>
      </c>
      <c r="E181" t="s">
        <v>524</v>
      </c>
      <c r="F181" t="s">
        <v>304</v>
      </c>
      <c r="H181" t="s">
        <v>563</v>
      </c>
      <c r="I181">
        <v>208000000</v>
      </c>
      <c r="J181" t="s">
        <v>451</v>
      </c>
      <c r="L181" t="str">
        <f>IFERROR(INDEX(Diccionario!$B:$B,MATCH(F181,Diccionario!$C:$C,0)),"")</f>
        <v>Contabilidad</v>
      </c>
      <c r="M181" t="str">
        <f>IFERROR(INDEX(Diccionario!$H:$H,MATCH(F181,Diccionario!$C:$C,0)),"")</f>
        <v>Contabilidad</v>
      </c>
      <c r="N181" t="str">
        <f>IFERROR(INDEX(Diccionario!$N:$N,MATCH(F181,Diccionario!$C:$C,0)),"")</f>
        <v>Mensual</v>
      </c>
    </row>
    <row r="182" spans="1:14" ht="14.25" customHeight="1" x14ac:dyDescent="0.3">
      <c r="A182" t="s">
        <v>539</v>
      </c>
      <c r="B182" t="s">
        <v>522</v>
      </c>
      <c r="C182" t="s">
        <v>523</v>
      </c>
      <c r="D182" t="s">
        <v>451</v>
      </c>
      <c r="E182" t="s">
        <v>524</v>
      </c>
      <c r="F182" t="s">
        <v>304</v>
      </c>
      <c r="H182" t="s">
        <v>190</v>
      </c>
      <c r="I182">
        <v>227600000</v>
      </c>
      <c r="J182" t="s">
        <v>451</v>
      </c>
      <c r="L182" t="str">
        <f>IFERROR(INDEX(Diccionario!$B:$B,MATCH(F182,Diccionario!$C:$C,0)),"")</f>
        <v>Contabilidad</v>
      </c>
      <c r="M182" t="str">
        <f>IFERROR(INDEX(Diccionario!$H:$H,MATCH(F182,Diccionario!$C:$C,0)),"")</f>
        <v>Contabilidad</v>
      </c>
      <c r="N182" t="str">
        <f>IFERROR(INDEX(Diccionario!$N:$N,MATCH(F182,Diccionario!$C:$C,0)),"")</f>
        <v>Mensual</v>
      </c>
    </row>
    <row r="183" spans="1:14" ht="14.25" customHeight="1" x14ac:dyDescent="0.3">
      <c r="A183" t="s">
        <v>539</v>
      </c>
      <c r="B183" t="s">
        <v>522</v>
      </c>
      <c r="C183" t="s">
        <v>523</v>
      </c>
      <c r="D183" t="s">
        <v>451</v>
      </c>
      <c r="E183" t="s">
        <v>524</v>
      </c>
      <c r="F183" t="s">
        <v>304</v>
      </c>
      <c r="H183" t="s">
        <v>564</v>
      </c>
      <c r="I183">
        <v>141000000</v>
      </c>
      <c r="J183" t="s">
        <v>451</v>
      </c>
      <c r="L183" t="str">
        <f>IFERROR(INDEX(Diccionario!$B:$B,MATCH(F183,Diccionario!$C:$C,0)),"")</f>
        <v>Contabilidad</v>
      </c>
      <c r="M183" t="str">
        <f>IFERROR(INDEX(Diccionario!$H:$H,MATCH(F183,Diccionario!$C:$C,0)),"")</f>
        <v>Contabilidad</v>
      </c>
      <c r="N183" t="str">
        <f>IFERROR(INDEX(Diccionario!$N:$N,MATCH(F183,Diccionario!$C:$C,0)),"")</f>
        <v>Mensual</v>
      </c>
    </row>
    <row r="184" spans="1:14" ht="14.25" customHeight="1" x14ac:dyDescent="0.3">
      <c r="A184" t="s">
        <v>540</v>
      </c>
      <c r="B184" t="s">
        <v>522</v>
      </c>
      <c r="C184" t="s">
        <v>523</v>
      </c>
      <c r="D184" t="s">
        <v>451</v>
      </c>
      <c r="E184" t="s">
        <v>524</v>
      </c>
      <c r="F184" t="s">
        <v>304</v>
      </c>
      <c r="H184" t="s">
        <v>561</v>
      </c>
      <c r="I184">
        <v>5000000</v>
      </c>
      <c r="J184" t="s">
        <v>451</v>
      </c>
      <c r="L184" t="str">
        <f>IFERROR(INDEX(Diccionario!$B:$B,MATCH(F184,Diccionario!$C:$C,0)),"")</f>
        <v>Contabilidad</v>
      </c>
      <c r="M184" t="str">
        <f>IFERROR(INDEX(Diccionario!$H:$H,MATCH(F184,Diccionario!$C:$C,0)),"")</f>
        <v>Contabilidad</v>
      </c>
      <c r="N184" t="str">
        <f>IFERROR(INDEX(Diccionario!$N:$N,MATCH(F184,Diccionario!$C:$C,0)),"")</f>
        <v>Mensual</v>
      </c>
    </row>
    <row r="185" spans="1:14" ht="14.25" customHeight="1" x14ac:dyDescent="0.3">
      <c r="A185" t="s">
        <v>540</v>
      </c>
      <c r="B185" t="s">
        <v>522</v>
      </c>
      <c r="C185" t="s">
        <v>523</v>
      </c>
      <c r="D185" t="s">
        <v>451</v>
      </c>
      <c r="E185" t="s">
        <v>524</v>
      </c>
      <c r="F185" t="s">
        <v>304</v>
      </c>
      <c r="H185" t="s">
        <v>562</v>
      </c>
      <c r="I185">
        <v>253000000</v>
      </c>
      <c r="J185" t="s">
        <v>451</v>
      </c>
      <c r="L185" t="str">
        <f>IFERROR(INDEX(Diccionario!$B:$B,MATCH(F185,Diccionario!$C:$C,0)),"")</f>
        <v>Contabilidad</v>
      </c>
      <c r="M185" t="str">
        <f>IFERROR(INDEX(Diccionario!$H:$H,MATCH(F185,Diccionario!$C:$C,0)),"")</f>
        <v>Contabilidad</v>
      </c>
      <c r="N185" t="str">
        <f>IFERROR(INDEX(Diccionario!$N:$N,MATCH(F185,Diccionario!$C:$C,0)),"")</f>
        <v>Mensual</v>
      </c>
    </row>
    <row r="186" spans="1:14" ht="14.25" customHeight="1" x14ac:dyDescent="0.3">
      <c r="A186" t="s">
        <v>540</v>
      </c>
      <c r="B186" t="s">
        <v>522</v>
      </c>
      <c r="C186" t="s">
        <v>523</v>
      </c>
      <c r="D186" t="s">
        <v>451</v>
      </c>
      <c r="E186" t="s">
        <v>524</v>
      </c>
      <c r="F186" t="s">
        <v>304</v>
      </c>
      <c r="H186" t="s">
        <v>563</v>
      </c>
      <c r="I186">
        <v>156000000</v>
      </c>
      <c r="J186" t="s">
        <v>451</v>
      </c>
      <c r="L186" t="str">
        <f>IFERROR(INDEX(Diccionario!$B:$B,MATCH(F186,Diccionario!$C:$C,0)),"")</f>
        <v>Contabilidad</v>
      </c>
      <c r="M186" t="str">
        <f>IFERROR(INDEX(Diccionario!$H:$H,MATCH(F186,Diccionario!$C:$C,0)),"")</f>
        <v>Contabilidad</v>
      </c>
      <c r="N186" t="str">
        <f>IFERROR(INDEX(Diccionario!$N:$N,MATCH(F186,Diccionario!$C:$C,0)),"")</f>
        <v>Mensual</v>
      </c>
    </row>
    <row r="187" spans="1:14" ht="14.25" customHeight="1" x14ac:dyDescent="0.3">
      <c r="A187" t="s">
        <v>540</v>
      </c>
      <c r="B187" t="s">
        <v>522</v>
      </c>
      <c r="C187" t="s">
        <v>523</v>
      </c>
      <c r="D187" t="s">
        <v>451</v>
      </c>
      <c r="E187" t="s">
        <v>524</v>
      </c>
      <c r="F187" t="s">
        <v>304</v>
      </c>
      <c r="H187" t="s">
        <v>190</v>
      </c>
      <c r="I187">
        <v>222000000</v>
      </c>
      <c r="J187" t="s">
        <v>451</v>
      </c>
      <c r="L187" t="str">
        <f>IFERROR(INDEX(Diccionario!$B:$B,MATCH(F187,Diccionario!$C:$C,0)),"")</f>
        <v>Contabilidad</v>
      </c>
      <c r="M187" t="str">
        <f>IFERROR(INDEX(Diccionario!$H:$H,MATCH(F187,Diccionario!$C:$C,0)),"")</f>
        <v>Contabilidad</v>
      </c>
      <c r="N187" t="str">
        <f>IFERROR(INDEX(Diccionario!$N:$N,MATCH(F187,Diccionario!$C:$C,0)),"")</f>
        <v>Mensual</v>
      </c>
    </row>
    <row r="188" spans="1:14" ht="14.25" customHeight="1" x14ac:dyDescent="0.3">
      <c r="A188" t="s">
        <v>540</v>
      </c>
      <c r="B188" t="s">
        <v>522</v>
      </c>
      <c r="C188" t="s">
        <v>523</v>
      </c>
      <c r="D188" t="s">
        <v>451</v>
      </c>
      <c r="E188" t="s">
        <v>524</v>
      </c>
      <c r="F188" t="s">
        <v>304</v>
      </c>
      <c r="H188" t="s">
        <v>564</v>
      </c>
      <c r="I188">
        <v>118000000</v>
      </c>
      <c r="J188" t="s">
        <v>451</v>
      </c>
      <c r="L188" t="str">
        <f>IFERROR(INDEX(Diccionario!$B:$B,MATCH(F188,Diccionario!$C:$C,0)),"")</f>
        <v>Contabilidad</v>
      </c>
      <c r="M188" t="str">
        <f>IFERROR(INDEX(Diccionario!$H:$H,MATCH(F188,Diccionario!$C:$C,0)),"")</f>
        <v>Contabilidad</v>
      </c>
      <c r="N188" t="str">
        <f>IFERROR(INDEX(Diccionario!$N:$N,MATCH(F188,Diccionario!$C:$C,0)),"")</f>
        <v>Mensual</v>
      </c>
    </row>
    <row r="189" spans="1:14" ht="14.25" customHeight="1" x14ac:dyDescent="0.3">
      <c r="A189" t="s">
        <v>541</v>
      </c>
      <c r="B189" t="s">
        <v>522</v>
      </c>
      <c r="C189" t="s">
        <v>523</v>
      </c>
      <c r="D189" t="s">
        <v>451</v>
      </c>
      <c r="E189" t="s">
        <v>524</v>
      </c>
      <c r="F189" t="s">
        <v>304</v>
      </c>
      <c r="H189" t="s">
        <v>561</v>
      </c>
      <c r="I189">
        <v>200000</v>
      </c>
      <c r="J189" t="s">
        <v>451</v>
      </c>
      <c r="L189" t="str">
        <f>IFERROR(INDEX(Diccionario!$B:$B,MATCH(F189,Diccionario!$C:$C,0)),"")</f>
        <v>Contabilidad</v>
      </c>
      <c r="M189" t="str">
        <f>IFERROR(INDEX(Diccionario!$H:$H,MATCH(F189,Diccionario!$C:$C,0)),"")</f>
        <v>Contabilidad</v>
      </c>
      <c r="N189" t="str">
        <f>IFERROR(INDEX(Diccionario!$N:$N,MATCH(F189,Diccionario!$C:$C,0)),"")</f>
        <v>Mensual</v>
      </c>
    </row>
    <row r="190" spans="1:14" ht="14.25" customHeight="1" x14ac:dyDescent="0.3">
      <c r="A190" t="s">
        <v>541</v>
      </c>
      <c r="B190" t="s">
        <v>522</v>
      </c>
      <c r="C190" t="s">
        <v>523</v>
      </c>
      <c r="D190" t="s">
        <v>451</v>
      </c>
      <c r="E190" t="s">
        <v>524</v>
      </c>
      <c r="F190" t="s">
        <v>304</v>
      </c>
      <c r="H190" t="s">
        <v>562</v>
      </c>
      <c r="I190">
        <v>255000000</v>
      </c>
      <c r="J190" t="s">
        <v>451</v>
      </c>
      <c r="L190" t="str">
        <f>IFERROR(INDEX(Diccionario!$B:$B,MATCH(F190,Diccionario!$C:$C,0)),"")</f>
        <v>Contabilidad</v>
      </c>
      <c r="M190" t="str">
        <f>IFERROR(INDEX(Diccionario!$H:$H,MATCH(F190,Diccionario!$C:$C,0)),"")</f>
        <v>Contabilidad</v>
      </c>
      <c r="N190" t="str">
        <f>IFERROR(INDEX(Diccionario!$N:$N,MATCH(F190,Diccionario!$C:$C,0)),"")</f>
        <v>Mensual</v>
      </c>
    </row>
    <row r="191" spans="1:14" ht="14.25" customHeight="1" x14ac:dyDescent="0.3">
      <c r="A191" t="s">
        <v>541</v>
      </c>
      <c r="B191" t="s">
        <v>522</v>
      </c>
      <c r="C191" t="s">
        <v>523</v>
      </c>
      <c r="D191" t="s">
        <v>451</v>
      </c>
      <c r="E191" t="s">
        <v>524</v>
      </c>
      <c r="F191" t="s">
        <v>304</v>
      </c>
      <c r="H191" t="s">
        <v>563</v>
      </c>
      <c r="I191">
        <v>157000000</v>
      </c>
      <c r="J191" t="s">
        <v>451</v>
      </c>
      <c r="L191" t="str">
        <f>IFERROR(INDEX(Diccionario!$B:$B,MATCH(F191,Diccionario!$C:$C,0)),"")</f>
        <v>Contabilidad</v>
      </c>
      <c r="M191" t="str">
        <f>IFERROR(INDEX(Diccionario!$H:$H,MATCH(F191,Diccionario!$C:$C,0)),"")</f>
        <v>Contabilidad</v>
      </c>
      <c r="N191" t="str">
        <f>IFERROR(INDEX(Diccionario!$N:$N,MATCH(F191,Diccionario!$C:$C,0)),"")</f>
        <v>Mensual</v>
      </c>
    </row>
    <row r="192" spans="1:14" ht="14.25" customHeight="1" x14ac:dyDescent="0.3">
      <c r="A192" t="s">
        <v>541</v>
      </c>
      <c r="B192" t="s">
        <v>522</v>
      </c>
      <c r="C192" t="s">
        <v>523</v>
      </c>
      <c r="D192" t="s">
        <v>451</v>
      </c>
      <c r="E192" t="s">
        <v>524</v>
      </c>
      <c r="F192" t="s">
        <v>304</v>
      </c>
      <c r="H192" t="s">
        <v>190</v>
      </c>
      <c r="I192">
        <v>194000000</v>
      </c>
      <c r="J192" t="s">
        <v>451</v>
      </c>
      <c r="L192" t="str">
        <f>IFERROR(INDEX(Diccionario!$B:$B,MATCH(F192,Diccionario!$C:$C,0)),"")</f>
        <v>Contabilidad</v>
      </c>
      <c r="M192" t="str">
        <f>IFERROR(INDEX(Diccionario!$H:$H,MATCH(F192,Diccionario!$C:$C,0)),"")</f>
        <v>Contabilidad</v>
      </c>
      <c r="N192" t="str">
        <f>IFERROR(INDEX(Diccionario!$N:$N,MATCH(F192,Diccionario!$C:$C,0)),"")</f>
        <v>Mensual</v>
      </c>
    </row>
    <row r="193" spans="1:14" ht="14.25" customHeight="1" x14ac:dyDescent="0.3">
      <c r="A193" t="s">
        <v>541</v>
      </c>
      <c r="B193" t="s">
        <v>522</v>
      </c>
      <c r="C193" t="s">
        <v>523</v>
      </c>
      <c r="D193" t="s">
        <v>451</v>
      </c>
      <c r="E193" t="s">
        <v>524</v>
      </c>
      <c r="F193" t="s">
        <v>304</v>
      </c>
      <c r="H193" t="s">
        <v>564</v>
      </c>
      <c r="I193">
        <v>121900000</v>
      </c>
      <c r="J193" t="s">
        <v>451</v>
      </c>
      <c r="L193" t="str">
        <f>IFERROR(INDEX(Diccionario!$B:$B,MATCH(F193,Diccionario!$C:$C,0)),"")</f>
        <v>Contabilidad</v>
      </c>
      <c r="M193" t="str">
        <f>IFERROR(INDEX(Diccionario!$H:$H,MATCH(F193,Diccionario!$C:$C,0)),"")</f>
        <v>Contabilidad</v>
      </c>
      <c r="N193" t="str">
        <f>IFERROR(INDEX(Diccionario!$N:$N,MATCH(F193,Diccionario!$C:$C,0)),"")</f>
        <v>Mensual</v>
      </c>
    </row>
    <row r="194" spans="1:14" ht="14.25" customHeight="1" x14ac:dyDescent="0.3">
      <c r="A194" t="s">
        <v>542</v>
      </c>
      <c r="B194" t="s">
        <v>522</v>
      </c>
      <c r="C194" t="s">
        <v>523</v>
      </c>
      <c r="D194" t="s">
        <v>451</v>
      </c>
      <c r="E194" t="s">
        <v>524</v>
      </c>
      <c r="F194" t="s">
        <v>304</v>
      </c>
      <c r="H194" t="s">
        <v>561</v>
      </c>
      <c r="I194">
        <v>600000</v>
      </c>
      <c r="J194" t="s">
        <v>451</v>
      </c>
      <c r="L194" t="str">
        <f>IFERROR(INDEX(Diccionario!$B:$B,MATCH(F194,Diccionario!$C:$C,0)),"")</f>
        <v>Contabilidad</v>
      </c>
      <c r="M194" t="str">
        <f>IFERROR(INDEX(Diccionario!$H:$H,MATCH(F194,Diccionario!$C:$C,0)),"")</f>
        <v>Contabilidad</v>
      </c>
      <c r="N194" t="str">
        <f>IFERROR(INDEX(Diccionario!$N:$N,MATCH(F194,Diccionario!$C:$C,0)),"")</f>
        <v>Mensual</v>
      </c>
    </row>
    <row r="195" spans="1:14" ht="14.25" customHeight="1" x14ac:dyDescent="0.3">
      <c r="A195" t="s">
        <v>542</v>
      </c>
      <c r="B195" t="s">
        <v>522</v>
      </c>
      <c r="C195" t="s">
        <v>523</v>
      </c>
      <c r="D195" t="s">
        <v>451</v>
      </c>
      <c r="E195" t="s">
        <v>524</v>
      </c>
      <c r="F195" t="s">
        <v>304</v>
      </c>
      <c r="H195" t="s">
        <v>562</v>
      </c>
      <c r="I195">
        <v>260000000</v>
      </c>
      <c r="J195" t="s">
        <v>451</v>
      </c>
      <c r="L195" t="str">
        <f>IFERROR(INDEX(Diccionario!$B:$B,MATCH(F195,Diccionario!$C:$C,0)),"")</f>
        <v>Contabilidad</v>
      </c>
      <c r="M195" t="str">
        <f>IFERROR(INDEX(Diccionario!$H:$H,MATCH(F195,Diccionario!$C:$C,0)),"")</f>
        <v>Contabilidad</v>
      </c>
      <c r="N195" t="str">
        <f>IFERROR(INDEX(Diccionario!$N:$N,MATCH(F195,Diccionario!$C:$C,0)),"")</f>
        <v>Mensual</v>
      </c>
    </row>
    <row r="196" spans="1:14" ht="14.25" customHeight="1" x14ac:dyDescent="0.3">
      <c r="A196" t="s">
        <v>542</v>
      </c>
      <c r="B196" t="s">
        <v>522</v>
      </c>
      <c r="C196" t="s">
        <v>523</v>
      </c>
      <c r="D196" t="s">
        <v>451</v>
      </c>
      <c r="E196" t="s">
        <v>524</v>
      </c>
      <c r="F196" t="s">
        <v>304</v>
      </c>
      <c r="H196" t="s">
        <v>563</v>
      </c>
      <c r="I196">
        <v>119000000</v>
      </c>
      <c r="J196" t="s">
        <v>451</v>
      </c>
      <c r="L196" t="str">
        <f>IFERROR(INDEX(Diccionario!$B:$B,MATCH(F196,Diccionario!$C:$C,0)),"")</f>
        <v>Contabilidad</v>
      </c>
      <c r="M196" t="str">
        <f>IFERROR(INDEX(Diccionario!$H:$H,MATCH(F196,Diccionario!$C:$C,0)),"")</f>
        <v>Contabilidad</v>
      </c>
      <c r="N196" t="str">
        <f>IFERROR(INDEX(Diccionario!$N:$N,MATCH(F196,Diccionario!$C:$C,0)),"")</f>
        <v>Mensual</v>
      </c>
    </row>
    <row r="197" spans="1:14" ht="14.25" customHeight="1" x14ac:dyDescent="0.3">
      <c r="A197" t="s">
        <v>542</v>
      </c>
      <c r="B197" t="s">
        <v>522</v>
      </c>
      <c r="C197" t="s">
        <v>523</v>
      </c>
      <c r="D197" t="s">
        <v>451</v>
      </c>
      <c r="E197" t="s">
        <v>524</v>
      </c>
      <c r="F197" t="s">
        <v>304</v>
      </c>
      <c r="H197" t="s">
        <v>190</v>
      </c>
      <c r="I197">
        <v>226000000</v>
      </c>
      <c r="J197" t="s">
        <v>451</v>
      </c>
      <c r="L197" t="str">
        <f>IFERROR(INDEX(Diccionario!$B:$B,MATCH(F197,Diccionario!$C:$C,0)),"")</f>
        <v>Contabilidad</v>
      </c>
      <c r="M197" t="str">
        <f>IFERROR(INDEX(Diccionario!$H:$H,MATCH(F197,Diccionario!$C:$C,0)),"")</f>
        <v>Contabilidad</v>
      </c>
      <c r="N197" t="str">
        <f>IFERROR(INDEX(Diccionario!$N:$N,MATCH(F197,Diccionario!$C:$C,0)),"")</f>
        <v>Mensual</v>
      </c>
    </row>
    <row r="198" spans="1:14" ht="14.25" customHeight="1" x14ac:dyDescent="0.3">
      <c r="A198" t="s">
        <v>542</v>
      </c>
      <c r="B198" t="s">
        <v>522</v>
      </c>
      <c r="C198" t="s">
        <v>523</v>
      </c>
      <c r="D198" t="s">
        <v>451</v>
      </c>
      <c r="E198" t="s">
        <v>524</v>
      </c>
      <c r="F198" t="s">
        <v>304</v>
      </c>
      <c r="H198" t="s">
        <v>564</v>
      </c>
      <c r="I198">
        <v>105000000</v>
      </c>
      <c r="J198" t="s">
        <v>451</v>
      </c>
      <c r="L198" t="str">
        <f>IFERROR(INDEX(Diccionario!$B:$B,MATCH(F198,Diccionario!$C:$C,0)),"")</f>
        <v>Contabilidad</v>
      </c>
      <c r="M198" t="str">
        <f>IFERROR(INDEX(Diccionario!$H:$H,MATCH(F198,Diccionario!$C:$C,0)),"")</f>
        <v>Contabilidad</v>
      </c>
      <c r="N198" t="str">
        <f>IFERROR(INDEX(Diccionario!$N:$N,MATCH(F198,Diccionario!$C:$C,0)),"")</f>
        <v>Mensual</v>
      </c>
    </row>
    <row r="199" spans="1:14" ht="14.25" customHeight="1" x14ac:dyDescent="0.3">
      <c r="A199" t="s">
        <v>543</v>
      </c>
      <c r="B199" t="s">
        <v>522</v>
      </c>
      <c r="C199" t="s">
        <v>523</v>
      </c>
      <c r="D199" t="s">
        <v>451</v>
      </c>
      <c r="E199" t="s">
        <v>524</v>
      </c>
      <c r="F199" t="s">
        <v>304</v>
      </c>
      <c r="H199" t="s">
        <v>561</v>
      </c>
      <c r="I199">
        <v>1800000</v>
      </c>
      <c r="J199" t="s">
        <v>451</v>
      </c>
      <c r="L199" t="str">
        <f>IFERROR(INDEX(Diccionario!$B:$B,MATCH(F199,Diccionario!$C:$C,0)),"")</f>
        <v>Contabilidad</v>
      </c>
      <c r="M199" t="str">
        <f>IFERROR(INDEX(Diccionario!$H:$H,MATCH(F199,Diccionario!$C:$C,0)),"")</f>
        <v>Contabilidad</v>
      </c>
      <c r="N199" t="str">
        <f>IFERROR(INDEX(Diccionario!$N:$N,MATCH(F199,Diccionario!$C:$C,0)),"")</f>
        <v>Mensual</v>
      </c>
    </row>
    <row r="200" spans="1:14" ht="14.25" customHeight="1" x14ac:dyDescent="0.3">
      <c r="A200" t="s">
        <v>543</v>
      </c>
      <c r="B200" t="s">
        <v>522</v>
      </c>
      <c r="C200" t="s">
        <v>523</v>
      </c>
      <c r="D200" t="s">
        <v>451</v>
      </c>
      <c r="E200" t="s">
        <v>524</v>
      </c>
      <c r="F200" t="s">
        <v>304</v>
      </c>
      <c r="H200" t="s">
        <v>562</v>
      </c>
      <c r="I200">
        <v>230000000</v>
      </c>
      <c r="J200" t="s">
        <v>451</v>
      </c>
      <c r="L200" t="str">
        <f>IFERROR(INDEX(Diccionario!$B:$B,MATCH(F200,Diccionario!$C:$C,0)),"")</f>
        <v>Contabilidad</v>
      </c>
      <c r="M200" t="str">
        <f>IFERROR(INDEX(Diccionario!$H:$H,MATCH(F200,Diccionario!$C:$C,0)),"")</f>
        <v>Contabilidad</v>
      </c>
      <c r="N200" t="str">
        <f>IFERROR(INDEX(Diccionario!$N:$N,MATCH(F200,Diccionario!$C:$C,0)),"")</f>
        <v>Mensual</v>
      </c>
    </row>
    <row r="201" spans="1:14" ht="14.25" customHeight="1" x14ac:dyDescent="0.3">
      <c r="A201" t="s">
        <v>543</v>
      </c>
      <c r="B201" t="s">
        <v>522</v>
      </c>
      <c r="C201" t="s">
        <v>523</v>
      </c>
      <c r="D201" t="s">
        <v>451</v>
      </c>
      <c r="E201" t="s">
        <v>524</v>
      </c>
      <c r="F201" t="s">
        <v>304</v>
      </c>
      <c r="H201" t="s">
        <v>563</v>
      </c>
      <c r="I201">
        <v>302000000</v>
      </c>
      <c r="J201" t="s">
        <v>451</v>
      </c>
      <c r="L201" t="str">
        <f>IFERROR(INDEX(Diccionario!$B:$B,MATCH(F201,Diccionario!$C:$C,0)),"")</f>
        <v>Contabilidad</v>
      </c>
      <c r="M201" t="str">
        <f>IFERROR(INDEX(Diccionario!$H:$H,MATCH(F201,Diccionario!$C:$C,0)),"")</f>
        <v>Contabilidad</v>
      </c>
      <c r="N201" t="str">
        <f>IFERROR(INDEX(Diccionario!$N:$N,MATCH(F201,Diccionario!$C:$C,0)),"")</f>
        <v>Mensual</v>
      </c>
    </row>
    <row r="202" spans="1:14" ht="14.25" customHeight="1" x14ac:dyDescent="0.3">
      <c r="A202" t="s">
        <v>543</v>
      </c>
      <c r="B202" t="s">
        <v>522</v>
      </c>
      <c r="C202" t="s">
        <v>523</v>
      </c>
      <c r="D202" t="s">
        <v>451</v>
      </c>
      <c r="E202" t="s">
        <v>524</v>
      </c>
      <c r="F202" t="s">
        <v>304</v>
      </c>
      <c r="H202" t="s">
        <v>190</v>
      </c>
      <c r="I202">
        <v>227000000</v>
      </c>
      <c r="J202" t="s">
        <v>451</v>
      </c>
      <c r="L202" t="str">
        <f>IFERROR(INDEX(Diccionario!$B:$B,MATCH(F202,Diccionario!$C:$C,0)),"")</f>
        <v>Contabilidad</v>
      </c>
      <c r="M202" t="str">
        <f>IFERROR(INDEX(Diccionario!$H:$H,MATCH(F202,Diccionario!$C:$C,0)),"")</f>
        <v>Contabilidad</v>
      </c>
      <c r="N202" t="str">
        <f>IFERROR(INDEX(Diccionario!$N:$N,MATCH(F202,Diccionario!$C:$C,0)),"")</f>
        <v>Mensual</v>
      </c>
    </row>
    <row r="203" spans="1:14" ht="14.25" customHeight="1" x14ac:dyDescent="0.3">
      <c r="A203" t="s">
        <v>543</v>
      </c>
      <c r="B203" t="s">
        <v>522</v>
      </c>
      <c r="C203" t="s">
        <v>523</v>
      </c>
      <c r="D203" t="s">
        <v>451</v>
      </c>
      <c r="E203" t="s">
        <v>524</v>
      </c>
      <c r="F203" t="s">
        <v>304</v>
      </c>
      <c r="H203" t="s">
        <v>564</v>
      </c>
      <c r="I203">
        <v>122700000</v>
      </c>
      <c r="J203" t="s">
        <v>451</v>
      </c>
      <c r="L203" t="str">
        <f>IFERROR(INDEX(Diccionario!$B:$B,MATCH(F203,Diccionario!$C:$C,0)),"")</f>
        <v>Contabilidad</v>
      </c>
      <c r="M203" t="str">
        <f>IFERROR(INDEX(Diccionario!$H:$H,MATCH(F203,Diccionario!$C:$C,0)),"")</f>
        <v>Contabilidad</v>
      </c>
      <c r="N203" t="str">
        <f>IFERROR(INDEX(Diccionario!$N:$N,MATCH(F203,Diccionario!$C:$C,0)),"")</f>
        <v>Mensual</v>
      </c>
    </row>
    <row r="204" spans="1:14" ht="14.25" customHeight="1" x14ac:dyDescent="0.3">
      <c r="A204" t="s">
        <v>544</v>
      </c>
      <c r="B204" t="s">
        <v>522</v>
      </c>
      <c r="C204" t="s">
        <v>523</v>
      </c>
      <c r="D204" t="s">
        <v>451</v>
      </c>
      <c r="E204" t="s">
        <v>524</v>
      </c>
      <c r="F204" t="s">
        <v>304</v>
      </c>
      <c r="H204" t="s">
        <v>561</v>
      </c>
      <c r="I204">
        <v>1400000</v>
      </c>
      <c r="J204" t="s">
        <v>451</v>
      </c>
      <c r="L204" t="str">
        <f>IFERROR(INDEX(Diccionario!$B:$B,MATCH(F204,Diccionario!$C:$C,0)),"")</f>
        <v>Contabilidad</v>
      </c>
      <c r="M204" t="str">
        <f>IFERROR(INDEX(Diccionario!$H:$H,MATCH(F204,Diccionario!$C:$C,0)),"")</f>
        <v>Contabilidad</v>
      </c>
      <c r="N204" t="str">
        <f>IFERROR(INDEX(Diccionario!$N:$N,MATCH(F204,Diccionario!$C:$C,0)),"")</f>
        <v>Mensual</v>
      </c>
    </row>
    <row r="205" spans="1:14" ht="14.25" customHeight="1" x14ac:dyDescent="0.3">
      <c r="A205" t="s">
        <v>544</v>
      </c>
      <c r="B205" t="s">
        <v>522</v>
      </c>
      <c r="C205" t="s">
        <v>523</v>
      </c>
      <c r="D205" t="s">
        <v>451</v>
      </c>
      <c r="E205" t="s">
        <v>524</v>
      </c>
      <c r="F205" t="s">
        <v>304</v>
      </c>
      <c r="H205" t="s">
        <v>562</v>
      </c>
      <c r="I205">
        <v>332000000</v>
      </c>
      <c r="J205" t="s">
        <v>451</v>
      </c>
      <c r="L205" t="str">
        <f>IFERROR(INDEX(Diccionario!$B:$B,MATCH(F205,Diccionario!$C:$C,0)),"")</f>
        <v>Contabilidad</v>
      </c>
      <c r="M205" t="str">
        <f>IFERROR(INDEX(Diccionario!$H:$H,MATCH(F205,Diccionario!$C:$C,0)),"")</f>
        <v>Contabilidad</v>
      </c>
      <c r="N205" t="str">
        <f>IFERROR(INDEX(Diccionario!$N:$N,MATCH(F205,Diccionario!$C:$C,0)),"")</f>
        <v>Mensual</v>
      </c>
    </row>
    <row r="206" spans="1:14" ht="14.25" customHeight="1" x14ac:dyDescent="0.3">
      <c r="A206" t="s">
        <v>544</v>
      </c>
      <c r="B206" t="s">
        <v>522</v>
      </c>
      <c r="C206" t="s">
        <v>523</v>
      </c>
      <c r="D206" t="s">
        <v>451</v>
      </c>
      <c r="E206" t="s">
        <v>524</v>
      </c>
      <c r="F206" t="s">
        <v>304</v>
      </c>
      <c r="H206" t="s">
        <v>563</v>
      </c>
      <c r="I206">
        <v>102000000</v>
      </c>
      <c r="J206" t="s">
        <v>451</v>
      </c>
      <c r="L206" t="str">
        <f>IFERROR(INDEX(Diccionario!$B:$B,MATCH(F206,Diccionario!$C:$C,0)),"")</f>
        <v>Contabilidad</v>
      </c>
      <c r="M206" t="str">
        <f>IFERROR(INDEX(Diccionario!$H:$H,MATCH(F206,Diccionario!$C:$C,0)),"")</f>
        <v>Contabilidad</v>
      </c>
      <c r="N206" t="str">
        <f>IFERROR(INDEX(Diccionario!$N:$N,MATCH(F206,Diccionario!$C:$C,0)),"")</f>
        <v>Mensual</v>
      </c>
    </row>
    <row r="207" spans="1:14" ht="14.25" customHeight="1" x14ac:dyDescent="0.3">
      <c r="A207" t="s">
        <v>544</v>
      </c>
      <c r="B207" t="s">
        <v>522</v>
      </c>
      <c r="C207" t="s">
        <v>523</v>
      </c>
      <c r="D207" t="s">
        <v>451</v>
      </c>
      <c r="E207" t="s">
        <v>524</v>
      </c>
      <c r="F207" t="s">
        <v>304</v>
      </c>
      <c r="H207" t="s">
        <v>190</v>
      </c>
      <c r="I207">
        <v>169000000</v>
      </c>
      <c r="J207" t="s">
        <v>451</v>
      </c>
      <c r="L207" t="str">
        <f>IFERROR(INDEX(Diccionario!$B:$B,MATCH(F207,Diccionario!$C:$C,0)),"")</f>
        <v>Contabilidad</v>
      </c>
      <c r="M207" t="str">
        <f>IFERROR(INDEX(Diccionario!$H:$H,MATCH(F207,Diccionario!$C:$C,0)),"")</f>
        <v>Contabilidad</v>
      </c>
      <c r="N207" t="str">
        <f>IFERROR(INDEX(Diccionario!$N:$N,MATCH(F207,Diccionario!$C:$C,0)),"")</f>
        <v>Mensual</v>
      </c>
    </row>
    <row r="208" spans="1:14" ht="14.25" customHeight="1" x14ac:dyDescent="0.3">
      <c r="A208" t="s">
        <v>544</v>
      </c>
      <c r="B208" t="s">
        <v>522</v>
      </c>
      <c r="C208" t="s">
        <v>523</v>
      </c>
      <c r="D208" t="s">
        <v>451</v>
      </c>
      <c r="E208" t="s">
        <v>524</v>
      </c>
      <c r="F208" t="s">
        <v>304</v>
      </c>
      <c r="H208" t="s">
        <v>564</v>
      </c>
      <c r="I208">
        <v>121000000</v>
      </c>
      <c r="J208" t="s">
        <v>451</v>
      </c>
      <c r="L208" t="str">
        <f>IFERROR(INDEX(Diccionario!$B:$B,MATCH(F208,Diccionario!$C:$C,0)),"")</f>
        <v>Contabilidad</v>
      </c>
      <c r="M208" t="str">
        <f>IFERROR(INDEX(Diccionario!$H:$H,MATCH(F208,Diccionario!$C:$C,0)),"")</f>
        <v>Contabilidad</v>
      </c>
      <c r="N208" t="str">
        <f>IFERROR(INDEX(Diccionario!$N:$N,MATCH(F208,Diccionario!$C:$C,0)),"")</f>
        <v>Mensual</v>
      </c>
    </row>
    <row r="209" spans="1:14" ht="14.25" customHeight="1" x14ac:dyDescent="0.3">
      <c r="A209" t="s">
        <v>545</v>
      </c>
      <c r="B209" t="s">
        <v>522</v>
      </c>
      <c r="C209" t="s">
        <v>523</v>
      </c>
      <c r="D209" t="s">
        <v>451</v>
      </c>
      <c r="E209" t="s">
        <v>524</v>
      </c>
      <c r="F209" t="s">
        <v>304</v>
      </c>
      <c r="H209" t="s">
        <v>561</v>
      </c>
      <c r="I209">
        <v>10600000</v>
      </c>
      <c r="J209" t="s">
        <v>451</v>
      </c>
      <c r="L209" t="str">
        <f>IFERROR(INDEX(Diccionario!$B:$B,MATCH(F209,Diccionario!$C:$C,0)),"")</f>
        <v>Contabilidad</v>
      </c>
      <c r="M209" t="str">
        <f>IFERROR(INDEX(Diccionario!$H:$H,MATCH(F209,Diccionario!$C:$C,0)),"")</f>
        <v>Contabilidad</v>
      </c>
      <c r="N209" t="str">
        <f>IFERROR(INDEX(Diccionario!$N:$N,MATCH(F209,Diccionario!$C:$C,0)),"")</f>
        <v>Mensual</v>
      </c>
    </row>
    <row r="210" spans="1:14" ht="14.25" customHeight="1" x14ac:dyDescent="0.3">
      <c r="A210" t="s">
        <v>545</v>
      </c>
      <c r="B210" t="s">
        <v>522</v>
      </c>
      <c r="C210" t="s">
        <v>523</v>
      </c>
      <c r="D210" t="s">
        <v>451</v>
      </c>
      <c r="E210" t="s">
        <v>524</v>
      </c>
      <c r="F210" t="s">
        <v>304</v>
      </c>
      <c r="H210" t="s">
        <v>562</v>
      </c>
      <c r="I210">
        <v>269000000</v>
      </c>
      <c r="J210" t="s">
        <v>451</v>
      </c>
      <c r="L210" t="str">
        <f>IFERROR(INDEX(Diccionario!$B:$B,MATCH(F210,Diccionario!$C:$C,0)),"")</f>
        <v>Contabilidad</v>
      </c>
      <c r="M210" t="str">
        <f>IFERROR(INDEX(Diccionario!$H:$H,MATCH(F210,Diccionario!$C:$C,0)),"")</f>
        <v>Contabilidad</v>
      </c>
      <c r="N210" t="str">
        <f>IFERROR(INDEX(Diccionario!$N:$N,MATCH(F210,Diccionario!$C:$C,0)),"")</f>
        <v>Mensual</v>
      </c>
    </row>
    <row r="211" spans="1:14" ht="14.25" customHeight="1" x14ac:dyDescent="0.3">
      <c r="A211" t="s">
        <v>545</v>
      </c>
      <c r="B211" t="s">
        <v>522</v>
      </c>
      <c r="C211" t="s">
        <v>523</v>
      </c>
      <c r="D211" t="s">
        <v>451</v>
      </c>
      <c r="E211" t="s">
        <v>524</v>
      </c>
      <c r="F211" t="s">
        <v>304</v>
      </c>
      <c r="H211" t="s">
        <v>563</v>
      </c>
      <c r="I211">
        <v>101000000</v>
      </c>
      <c r="J211" t="s">
        <v>451</v>
      </c>
      <c r="L211" t="str">
        <f>IFERROR(INDEX(Diccionario!$B:$B,MATCH(F211,Diccionario!$C:$C,0)),"")</f>
        <v>Contabilidad</v>
      </c>
      <c r="M211" t="str">
        <f>IFERROR(INDEX(Diccionario!$H:$H,MATCH(F211,Diccionario!$C:$C,0)),"")</f>
        <v>Contabilidad</v>
      </c>
      <c r="N211" t="str">
        <f>IFERROR(INDEX(Diccionario!$N:$N,MATCH(F211,Diccionario!$C:$C,0)),"")</f>
        <v>Mensual</v>
      </c>
    </row>
    <row r="212" spans="1:14" ht="14.25" customHeight="1" x14ac:dyDescent="0.3">
      <c r="A212" t="s">
        <v>545</v>
      </c>
      <c r="B212" t="s">
        <v>522</v>
      </c>
      <c r="C212" t="s">
        <v>523</v>
      </c>
      <c r="D212" t="s">
        <v>451</v>
      </c>
      <c r="E212" t="s">
        <v>524</v>
      </c>
      <c r="F212" t="s">
        <v>304</v>
      </c>
      <c r="H212" t="s">
        <v>190</v>
      </c>
      <c r="I212">
        <v>184000000</v>
      </c>
      <c r="J212" t="s">
        <v>451</v>
      </c>
      <c r="L212" t="str">
        <f>IFERROR(INDEX(Diccionario!$B:$B,MATCH(F212,Diccionario!$C:$C,0)),"")</f>
        <v>Contabilidad</v>
      </c>
      <c r="M212" t="str">
        <f>IFERROR(INDEX(Diccionario!$H:$H,MATCH(F212,Diccionario!$C:$C,0)),"")</f>
        <v>Contabilidad</v>
      </c>
      <c r="N212" t="str">
        <f>IFERROR(INDEX(Diccionario!$N:$N,MATCH(F212,Diccionario!$C:$C,0)),"")</f>
        <v>Mensual</v>
      </c>
    </row>
    <row r="213" spans="1:14" ht="14.25" customHeight="1" x14ac:dyDescent="0.3">
      <c r="A213" t="s">
        <v>545</v>
      </c>
      <c r="B213" t="s">
        <v>522</v>
      </c>
      <c r="C213" t="s">
        <v>523</v>
      </c>
      <c r="D213" t="s">
        <v>451</v>
      </c>
      <c r="E213" t="s">
        <v>524</v>
      </c>
      <c r="F213" t="s">
        <v>304</v>
      </c>
      <c r="H213" t="s">
        <v>564</v>
      </c>
      <c r="I213">
        <v>138000000</v>
      </c>
      <c r="J213" t="s">
        <v>451</v>
      </c>
      <c r="L213" t="str">
        <f>IFERROR(INDEX(Diccionario!$B:$B,MATCH(F213,Diccionario!$C:$C,0)),"")</f>
        <v>Contabilidad</v>
      </c>
      <c r="M213" t="str">
        <f>IFERROR(INDEX(Diccionario!$H:$H,MATCH(F213,Diccionario!$C:$C,0)),"")</f>
        <v>Contabilidad</v>
      </c>
      <c r="N213" t="str">
        <f>IFERROR(INDEX(Diccionario!$N:$N,MATCH(F213,Diccionario!$C:$C,0)),"")</f>
        <v>Mensual</v>
      </c>
    </row>
    <row r="214" spans="1:14" ht="14.25" customHeight="1" x14ac:dyDescent="0.3">
      <c r="A214" t="s">
        <v>546</v>
      </c>
      <c r="B214" t="s">
        <v>522</v>
      </c>
      <c r="C214" t="s">
        <v>523</v>
      </c>
      <c r="D214" t="s">
        <v>451</v>
      </c>
      <c r="E214" t="s">
        <v>524</v>
      </c>
      <c r="F214" t="s">
        <v>304</v>
      </c>
      <c r="H214" t="s">
        <v>561</v>
      </c>
      <c r="I214">
        <v>10300000</v>
      </c>
      <c r="J214" t="s">
        <v>451</v>
      </c>
      <c r="L214" t="str">
        <f>IFERROR(INDEX(Diccionario!$B:$B,MATCH(F214,Diccionario!$C:$C,0)),"")</f>
        <v>Contabilidad</v>
      </c>
      <c r="M214" t="str">
        <f>IFERROR(INDEX(Diccionario!$H:$H,MATCH(F214,Diccionario!$C:$C,0)),"")</f>
        <v>Contabilidad</v>
      </c>
      <c r="N214" t="str">
        <f>IFERROR(INDEX(Diccionario!$N:$N,MATCH(F214,Diccionario!$C:$C,0)),"")</f>
        <v>Mensual</v>
      </c>
    </row>
    <row r="215" spans="1:14" ht="14.25" customHeight="1" x14ac:dyDescent="0.3">
      <c r="A215" t="s">
        <v>546</v>
      </c>
      <c r="B215" t="s">
        <v>522</v>
      </c>
      <c r="C215" t="s">
        <v>523</v>
      </c>
      <c r="D215" t="s">
        <v>451</v>
      </c>
      <c r="E215" t="s">
        <v>524</v>
      </c>
      <c r="F215" t="s">
        <v>304</v>
      </c>
      <c r="H215" t="s">
        <v>562</v>
      </c>
      <c r="I215">
        <v>301900000</v>
      </c>
      <c r="J215" t="s">
        <v>451</v>
      </c>
      <c r="L215" t="str">
        <f>IFERROR(INDEX(Diccionario!$B:$B,MATCH(F215,Diccionario!$C:$C,0)),"")</f>
        <v>Contabilidad</v>
      </c>
      <c r="M215" t="str">
        <f>IFERROR(INDEX(Diccionario!$H:$H,MATCH(F215,Diccionario!$C:$C,0)),"")</f>
        <v>Contabilidad</v>
      </c>
      <c r="N215" t="str">
        <f>IFERROR(INDEX(Diccionario!$N:$N,MATCH(F215,Diccionario!$C:$C,0)),"")</f>
        <v>Mensual</v>
      </c>
    </row>
    <row r="216" spans="1:14" ht="14.25" customHeight="1" x14ac:dyDescent="0.3">
      <c r="A216" t="s">
        <v>546</v>
      </c>
      <c r="B216" t="s">
        <v>522</v>
      </c>
      <c r="C216" t="s">
        <v>523</v>
      </c>
      <c r="D216" t="s">
        <v>451</v>
      </c>
      <c r="E216" t="s">
        <v>524</v>
      </c>
      <c r="F216" t="s">
        <v>304</v>
      </c>
      <c r="H216" t="s">
        <v>563</v>
      </c>
      <c r="I216">
        <v>173000000</v>
      </c>
      <c r="J216" t="s">
        <v>451</v>
      </c>
      <c r="L216" t="str">
        <f>IFERROR(INDEX(Diccionario!$B:$B,MATCH(F216,Diccionario!$C:$C,0)),"")</f>
        <v>Contabilidad</v>
      </c>
      <c r="M216" t="str">
        <f>IFERROR(INDEX(Diccionario!$H:$H,MATCH(F216,Diccionario!$C:$C,0)),"")</f>
        <v>Contabilidad</v>
      </c>
      <c r="N216" t="str">
        <f>IFERROR(INDEX(Diccionario!$N:$N,MATCH(F216,Diccionario!$C:$C,0)),"")</f>
        <v>Mensual</v>
      </c>
    </row>
    <row r="217" spans="1:14" ht="14.25" customHeight="1" x14ac:dyDescent="0.3">
      <c r="A217" t="s">
        <v>546</v>
      </c>
      <c r="B217" t="s">
        <v>522</v>
      </c>
      <c r="C217" t="s">
        <v>523</v>
      </c>
      <c r="D217" t="s">
        <v>451</v>
      </c>
      <c r="E217" t="s">
        <v>524</v>
      </c>
      <c r="F217" t="s">
        <v>304</v>
      </c>
      <c r="H217" t="s">
        <v>190</v>
      </c>
      <c r="I217">
        <v>165000000</v>
      </c>
      <c r="J217" t="s">
        <v>451</v>
      </c>
      <c r="L217" t="str">
        <f>IFERROR(INDEX(Diccionario!$B:$B,MATCH(F217,Diccionario!$C:$C,0)),"")</f>
        <v>Contabilidad</v>
      </c>
      <c r="M217" t="str">
        <f>IFERROR(INDEX(Diccionario!$H:$H,MATCH(F217,Diccionario!$C:$C,0)),"")</f>
        <v>Contabilidad</v>
      </c>
      <c r="N217" t="str">
        <f>IFERROR(INDEX(Diccionario!$N:$N,MATCH(F217,Diccionario!$C:$C,0)),"")</f>
        <v>Mensual</v>
      </c>
    </row>
    <row r="218" spans="1:14" ht="14.25" customHeight="1" x14ac:dyDescent="0.3">
      <c r="A218" t="s">
        <v>546</v>
      </c>
      <c r="B218" t="s">
        <v>522</v>
      </c>
      <c r="C218" t="s">
        <v>523</v>
      </c>
      <c r="D218" t="s">
        <v>451</v>
      </c>
      <c r="E218" t="s">
        <v>524</v>
      </c>
      <c r="F218" t="s">
        <v>304</v>
      </c>
      <c r="H218" t="s">
        <v>564</v>
      </c>
      <c r="I218">
        <v>127900000</v>
      </c>
      <c r="J218" t="s">
        <v>451</v>
      </c>
      <c r="L218" t="str">
        <f>IFERROR(INDEX(Diccionario!$B:$B,MATCH(F218,Diccionario!$C:$C,0)),"")</f>
        <v>Contabilidad</v>
      </c>
      <c r="M218" t="str">
        <f>IFERROR(INDEX(Diccionario!$H:$H,MATCH(F218,Diccionario!$C:$C,0)),"")</f>
        <v>Contabilidad</v>
      </c>
      <c r="N218" t="str">
        <f>IFERROR(INDEX(Diccionario!$N:$N,MATCH(F218,Diccionario!$C:$C,0)),"")</f>
        <v>Mensual</v>
      </c>
    </row>
    <row r="219" spans="1:14" ht="14.25" customHeight="1" x14ac:dyDescent="0.3">
      <c r="A219" t="s">
        <v>547</v>
      </c>
      <c r="B219" t="s">
        <v>522</v>
      </c>
      <c r="C219" t="s">
        <v>523</v>
      </c>
      <c r="D219" t="s">
        <v>451</v>
      </c>
      <c r="E219" t="s">
        <v>524</v>
      </c>
      <c r="F219" t="s">
        <v>304</v>
      </c>
      <c r="H219" t="s">
        <v>561</v>
      </c>
      <c r="I219">
        <v>8200000</v>
      </c>
      <c r="J219" t="s">
        <v>451</v>
      </c>
      <c r="L219" t="str">
        <f>IFERROR(INDEX(Diccionario!$B:$B,MATCH(F219,Diccionario!$C:$C,0)),"")</f>
        <v>Contabilidad</v>
      </c>
      <c r="M219" t="str">
        <f>IFERROR(INDEX(Diccionario!$H:$H,MATCH(F219,Diccionario!$C:$C,0)),"")</f>
        <v>Contabilidad</v>
      </c>
      <c r="N219" t="str">
        <f>IFERROR(INDEX(Diccionario!$N:$N,MATCH(F219,Diccionario!$C:$C,0)),"")</f>
        <v>Mensual</v>
      </c>
    </row>
    <row r="220" spans="1:14" ht="14.25" customHeight="1" x14ac:dyDescent="0.3">
      <c r="A220" t="s">
        <v>547</v>
      </c>
      <c r="B220" t="s">
        <v>522</v>
      </c>
      <c r="C220" t="s">
        <v>523</v>
      </c>
      <c r="D220" t="s">
        <v>451</v>
      </c>
      <c r="E220" t="s">
        <v>524</v>
      </c>
      <c r="F220" t="s">
        <v>304</v>
      </c>
      <c r="H220" t="s">
        <v>562</v>
      </c>
      <c r="I220">
        <v>261900000</v>
      </c>
      <c r="J220" t="s">
        <v>451</v>
      </c>
      <c r="L220" t="str">
        <f>IFERROR(INDEX(Diccionario!$B:$B,MATCH(F220,Diccionario!$C:$C,0)),"")</f>
        <v>Contabilidad</v>
      </c>
      <c r="M220" t="str">
        <f>IFERROR(INDEX(Diccionario!$H:$H,MATCH(F220,Diccionario!$C:$C,0)),"")</f>
        <v>Contabilidad</v>
      </c>
      <c r="N220" t="str">
        <f>IFERROR(INDEX(Diccionario!$N:$N,MATCH(F220,Diccionario!$C:$C,0)),"")</f>
        <v>Mensual</v>
      </c>
    </row>
    <row r="221" spans="1:14" ht="14.25" customHeight="1" x14ac:dyDescent="0.3">
      <c r="A221" t="s">
        <v>547</v>
      </c>
      <c r="B221" t="s">
        <v>522</v>
      </c>
      <c r="C221" t="s">
        <v>523</v>
      </c>
      <c r="D221" t="s">
        <v>451</v>
      </c>
      <c r="E221" t="s">
        <v>524</v>
      </c>
      <c r="F221" t="s">
        <v>304</v>
      </c>
      <c r="H221" t="s">
        <v>563</v>
      </c>
      <c r="I221">
        <v>277900000</v>
      </c>
      <c r="J221" t="s">
        <v>451</v>
      </c>
      <c r="L221" t="str">
        <f>IFERROR(INDEX(Diccionario!$B:$B,MATCH(F221,Diccionario!$C:$C,0)),"")</f>
        <v>Contabilidad</v>
      </c>
      <c r="M221" t="str">
        <f>IFERROR(INDEX(Diccionario!$H:$H,MATCH(F221,Diccionario!$C:$C,0)),"")</f>
        <v>Contabilidad</v>
      </c>
      <c r="N221" t="str">
        <f>IFERROR(INDEX(Diccionario!$N:$N,MATCH(F221,Diccionario!$C:$C,0)),"")</f>
        <v>Mensual</v>
      </c>
    </row>
    <row r="222" spans="1:14" ht="14.25" customHeight="1" x14ac:dyDescent="0.3">
      <c r="A222" t="s">
        <v>547</v>
      </c>
      <c r="B222" t="s">
        <v>522</v>
      </c>
      <c r="C222" t="s">
        <v>523</v>
      </c>
      <c r="D222" t="s">
        <v>451</v>
      </c>
      <c r="E222" t="s">
        <v>524</v>
      </c>
      <c r="F222" t="s">
        <v>304</v>
      </c>
      <c r="H222" t="s">
        <v>190</v>
      </c>
      <c r="I222">
        <v>171300000</v>
      </c>
      <c r="J222" t="s">
        <v>451</v>
      </c>
      <c r="L222" t="str">
        <f>IFERROR(INDEX(Diccionario!$B:$B,MATCH(F222,Diccionario!$C:$C,0)),"")</f>
        <v>Contabilidad</v>
      </c>
      <c r="M222" t="str">
        <f>IFERROR(INDEX(Diccionario!$H:$H,MATCH(F222,Diccionario!$C:$C,0)),"")</f>
        <v>Contabilidad</v>
      </c>
      <c r="N222" t="str">
        <f>IFERROR(INDEX(Diccionario!$N:$N,MATCH(F222,Diccionario!$C:$C,0)),"")</f>
        <v>Mensual</v>
      </c>
    </row>
    <row r="223" spans="1:14" ht="14.25" customHeight="1" x14ac:dyDescent="0.3">
      <c r="A223" t="s">
        <v>547</v>
      </c>
      <c r="B223" t="s">
        <v>522</v>
      </c>
      <c r="C223" t="s">
        <v>523</v>
      </c>
      <c r="D223" t="s">
        <v>451</v>
      </c>
      <c r="E223" t="s">
        <v>524</v>
      </c>
      <c r="F223" t="s">
        <v>304</v>
      </c>
      <c r="H223" t="s">
        <v>564</v>
      </c>
      <c r="I223">
        <v>151500000</v>
      </c>
      <c r="J223" t="s">
        <v>451</v>
      </c>
      <c r="L223" t="str">
        <f>IFERROR(INDEX(Diccionario!$B:$B,MATCH(F223,Diccionario!$C:$C,0)),"")</f>
        <v>Contabilidad</v>
      </c>
      <c r="M223" t="str">
        <f>IFERROR(INDEX(Diccionario!$H:$H,MATCH(F223,Diccionario!$C:$C,0)),"")</f>
        <v>Contabilidad</v>
      </c>
      <c r="N223" t="str">
        <f>IFERROR(INDEX(Diccionario!$N:$N,MATCH(F223,Diccionario!$C:$C,0)),"")</f>
        <v>Mensual</v>
      </c>
    </row>
    <row r="224" spans="1:14" ht="14.25" customHeight="1" x14ac:dyDescent="0.3">
      <c r="A224" t="s">
        <v>548</v>
      </c>
      <c r="B224" t="s">
        <v>522</v>
      </c>
      <c r="C224" t="s">
        <v>523</v>
      </c>
      <c r="D224" t="s">
        <v>451</v>
      </c>
      <c r="E224" t="s">
        <v>524</v>
      </c>
      <c r="F224" t="s">
        <v>304</v>
      </c>
      <c r="H224" t="s">
        <v>561</v>
      </c>
      <c r="I224">
        <v>13100000</v>
      </c>
      <c r="J224" t="s">
        <v>451</v>
      </c>
      <c r="L224" t="str">
        <f>IFERROR(INDEX(Diccionario!$B:$B,MATCH(F224,Diccionario!$C:$C,0)),"")</f>
        <v>Contabilidad</v>
      </c>
      <c r="M224" t="str">
        <f>IFERROR(INDEX(Diccionario!$H:$H,MATCH(F224,Diccionario!$C:$C,0)),"")</f>
        <v>Contabilidad</v>
      </c>
      <c r="N224" t="str">
        <f>IFERROR(INDEX(Diccionario!$N:$N,MATCH(F224,Diccionario!$C:$C,0)),"")</f>
        <v>Mensual</v>
      </c>
    </row>
    <row r="225" spans="1:14" ht="14.25" customHeight="1" x14ac:dyDescent="0.3">
      <c r="A225" t="s">
        <v>548</v>
      </c>
      <c r="B225" t="s">
        <v>522</v>
      </c>
      <c r="C225" t="s">
        <v>523</v>
      </c>
      <c r="D225" t="s">
        <v>451</v>
      </c>
      <c r="E225" t="s">
        <v>524</v>
      </c>
      <c r="F225" t="s">
        <v>304</v>
      </c>
      <c r="H225" t="s">
        <v>562</v>
      </c>
      <c r="I225">
        <v>272200000</v>
      </c>
      <c r="J225" t="s">
        <v>451</v>
      </c>
      <c r="L225" t="str">
        <f>IFERROR(INDEX(Diccionario!$B:$B,MATCH(F225,Diccionario!$C:$C,0)),"")</f>
        <v>Contabilidad</v>
      </c>
      <c r="M225" t="str">
        <f>IFERROR(INDEX(Diccionario!$H:$H,MATCH(F225,Diccionario!$C:$C,0)),"")</f>
        <v>Contabilidad</v>
      </c>
      <c r="N225" t="str">
        <f>IFERROR(INDEX(Diccionario!$N:$N,MATCH(F225,Diccionario!$C:$C,0)),"")</f>
        <v>Mensual</v>
      </c>
    </row>
    <row r="226" spans="1:14" ht="14.25" customHeight="1" x14ac:dyDescent="0.3">
      <c r="A226" t="s">
        <v>548</v>
      </c>
      <c r="B226" t="s">
        <v>522</v>
      </c>
      <c r="C226" t="s">
        <v>523</v>
      </c>
      <c r="D226" t="s">
        <v>451</v>
      </c>
      <c r="E226" t="s">
        <v>524</v>
      </c>
      <c r="F226" t="s">
        <v>304</v>
      </c>
      <c r="H226" t="s">
        <v>563</v>
      </c>
      <c r="I226">
        <v>154700000</v>
      </c>
      <c r="J226" t="s">
        <v>451</v>
      </c>
      <c r="L226" t="str">
        <f>IFERROR(INDEX(Diccionario!$B:$B,MATCH(F226,Diccionario!$C:$C,0)),"")</f>
        <v>Contabilidad</v>
      </c>
      <c r="M226" t="str">
        <f>IFERROR(INDEX(Diccionario!$H:$H,MATCH(F226,Diccionario!$C:$C,0)),"")</f>
        <v>Contabilidad</v>
      </c>
      <c r="N226" t="str">
        <f>IFERROR(INDEX(Diccionario!$N:$N,MATCH(F226,Diccionario!$C:$C,0)),"")</f>
        <v>Mensual</v>
      </c>
    </row>
    <row r="227" spans="1:14" ht="14.25" customHeight="1" x14ac:dyDescent="0.3">
      <c r="A227" t="s">
        <v>548</v>
      </c>
      <c r="B227" t="s">
        <v>522</v>
      </c>
      <c r="C227" t="s">
        <v>523</v>
      </c>
      <c r="D227" t="s">
        <v>451</v>
      </c>
      <c r="E227" t="s">
        <v>524</v>
      </c>
      <c r="F227" t="s">
        <v>304</v>
      </c>
      <c r="H227" t="s">
        <v>190</v>
      </c>
      <c r="I227">
        <v>194800000</v>
      </c>
      <c r="J227" t="s">
        <v>451</v>
      </c>
      <c r="L227" t="str">
        <f>IFERROR(INDEX(Diccionario!$B:$B,MATCH(F227,Diccionario!$C:$C,0)),"")</f>
        <v>Contabilidad</v>
      </c>
      <c r="M227" t="str">
        <f>IFERROR(INDEX(Diccionario!$H:$H,MATCH(F227,Diccionario!$C:$C,0)),"")</f>
        <v>Contabilidad</v>
      </c>
      <c r="N227" t="str">
        <f>IFERROR(INDEX(Diccionario!$N:$N,MATCH(F227,Diccionario!$C:$C,0)),"")</f>
        <v>Mensual</v>
      </c>
    </row>
    <row r="228" spans="1:14" ht="14.25" customHeight="1" x14ac:dyDescent="0.3">
      <c r="A228" t="s">
        <v>548</v>
      </c>
      <c r="B228" t="s">
        <v>522</v>
      </c>
      <c r="C228" t="s">
        <v>523</v>
      </c>
      <c r="D228" t="s">
        <v>451</v>
      </c>
      <c r="E228" t="s">
        <v>524</v>
      </c>
      <c r="F228" t="s">
        <v>304</v>
      </c>
      <c r="H228" t="s">
        <v>564</v>
      </c>
      <c r="I228">
        <v>83100000</v>
      </c>
      <c r="J228" t="s">
        <v>451</v>
      </c>
      <c r="L228" t="str">
        <f>IFERROR(INDEX(Diccionario!$B:$B,MATCH(F228,Diccionario!$C:$C,0)),"")</f>
        <v>Contabilidad</v>
      </c>
      <c r="M228" t="str">
        <f>IFERROR(INDEX(Diccionario!$H:$H,MATCH(F228,Diccionario!$C:$C,0)),"")</f>
        <v>Contabilidad</v>
      </c>
      <c r="N228" t="str">
        <f>IFERROR(INDEX(Diccionario!$N:$N,MATCH(F228,Diccionario!$C:$C,0)),"")</f>
        <v>Mensual</v>
      </c>
    </row>
    <row r="229" spans="1:14" ht="14.25" customHeight="1" x14ac:dyDescent="0.3">
      <c r="A229" t="s">
        <v>549</v>
      </c>
      <c r="B229" t="s">
        <v>522</v>
      </c>
      <c r="C229" t="s">
        <v>523</v>
      </c>
      <c r="D229" t="s">
        <v>451</v>
      </c>
      <c r="E229" t="s">
        <v>524</v>
      </c>
      <c r="F229" t="s">
        <v>304</v>
      </c>
      <c r="H229" t="s">
        <v>561</v>
      </c>
      <c r="I229">
        <v>7000000</v>
      </c>
      <c r="J229" t="s">
        <v>451</v>
      </c>
      <c r="L229" t="str">
        <f>IFERROR(INDEX(Diccionario!$B:$B,MATCH(F229,Diccionario!$C:$C,0)),"")</f>
        <v>Contabilidad</v>
      </c>
      <c r="M229" t="str">
        <f>IFERROR(INDEX(Diccionario!$H:$H,MATCH(F229,Diccionario!$C:$C,0)),"")</f>
        <v>Contabilidad</v>
      </c>
      <c r="N229" t="str">
        <f>IFERROR(INDEX(Diccionario!$N:$N,MATCH(F229,Diccionario!$C:$C,0)),"")</f>
        <v>Mensual</v>
      </c>
    </row>
    <row r="230" spans="1:14" ht="14.25" customHeight="1" x14ac:dyDescent="0.3">
      <c r="A230" t="s">
        <v>549</v>
      </c>
      <c r="B230" t="s">
        <v>522</v>
      </c>
      <c r="C230" t="s">
        <v>523</v>
      </c>
      <c r="D230" t="s">
        <v>451</v>
      </c>
      <c r="E230" t="s">
        <v>524</v>
      </c>
      <c r="F230" t="s">
        <v>304</v>
      </c>
      <c r="H230" t="s">
        <v>562</v>
      </c>
      <c r="I230">
        <v>244900000</v>
      </c>
      <c r="J230" t="s">
        <v>451</v>
      </c>
      <c r="L230" t="str">
        <f>IFERROR(INDEX(Diccionario!$B:$B,MATCH(F230,Diccionario!$C:$C,0)),"")</f>
        <v>Contabilidad</v>
      </c>
      <c r="M230" t="str">
        <f>IFERROR(INDEX(Diccionario!$H:$H,MATCH(F230,Diccionario!$C:$C,0)),"")</f>
        <v>Contabilidad</v>
      </c>
      <c r="N230" t="str">
        <f>IFERROR(INDEX(Diccionario!$N:$N,MATCH(F230,Diccionario!$C:$C,0)),"")</f>
        <v>Mensual</v>
      </c>
    </row>
    <row r="231" spans="1:14" ht="14.25" customHeight="1" x14ac:dyDescent="0.3">
      <c r="A231" t="s">
        <v>549</v>
      </c>
      <c r="B231" t="s">
        <v>522</v>
      </c>
      <c r="C231" t="s">
        <v>523</v>
      </c>
      <c r="D231" t="s">
        <v>451</v>
      </c>
      <c r="E231" t="s">
        <v>524</v>
      </c>
      <c r="F231" t="s">
        <v>304</v>
      </c>
      <c r="H231" t="s">
        <v>563</v>
      </c>
      <c r="I231">
        <v>66900000</v>
      </c>
      <c r="J231" t="s">
        <v>451</v>
      </c>
      <c r="L231" t="str">
        <f>IFERROR(INDEX(Diccionario!$B:$B,MATCH(F231,Diccionario!$C:$C,0)),"")</f>
        <v>Contabilidad</v>
      </c>
      <c r="M231" t="str">
        <f>IFERROR(INDEX(Diccionario!$H:$H,MATCH(F231,Diccionario!$C:$C,0)),"")</f>
        <v>Contabilidad</v>
      </c>
      <c r="N231" t="str">
        <f>IFERROR(INDEX(Diccionario!$N:$N,MATCH(F231,Diccionario!$C:$C,0)),"")</f>
        <v>Mensual</v>
      </c>
    </row>
    <row r="232" spans="1:14" ht="14.25" customHeight="1" x14ac:dyDescent="0.3">
      <c r="A232" t="s">
        <v>549</v>
      </c>
      <c r="B232" t="s">
        <v>522</v>
      </c>
      <c r="C232" t="s">
        <v>523</v>
      </c>
      <c r="D232" t="s">
        <v>451</v>
      </c>
      <c r="E232" t="s">
        <v>524</v>
      </c>
      <c r="F232" t="s">
        <v>304</v>
      </c>
      <c r="H232" t="s">
        <v>190</v>
      </c>
      <c r="I232">
        <v>131600000</v>
      </c>
      <c r="J232" t="s">
        <v>451</v>
      </c>
      <c r="L232" t="str">
        <f>IFERROR(INDEX(Diccionario!$B:$B,MATCH(F232,Diccionario!$C:$C,0)),"")</f>
        <v>Contabilidad</v>
      </c>
      <c r="M232" t="str">
        <f>IFERROR(INDEX(Diccionario!$H:$H,MATCH(F232,Diccionario!$C:$C,0)),"")</f>
        <v>Contabilidad</v>
      </c>
      <c r="N232" t="str">
        <f>IFERROR(INDEX(Diccionario!$N:$N,MATCH(F232,Diccionario!$C:$C,0)),"")</f>
        <v>Mensual</v>
      </c>
    </row>
    <row r="233" spans="1:14" ht="14.25" customHeight="1" x14ac:dyDescent="0.3">
      <c r="A233" t="s">
        <v>549</v>
      </c>
      <c r="B233" t="s">
        <v>522</v>
      </c>
      <c r="C233" t="s">
        <v>523</v>
      </c>
      <c r="D233" t="s">
        <v>451</v>
      </c>
      <c r="E233" t="s">
        <v>524</v>
      </c>
      <c r="F233" t="s">
        <v>304</v>
      </c>
      <c r="H233" t="s">
        <v>564</v>
      </c>
      <c r="I233">
        <v>98700000</v>
      </c>
      <c r="J233" t="s">
        <v>451</v>
      </c>
      <c r="L233" t="str">
        <f>IFERROR(INDEX(Diccionario!$B:$B,MATCH(F233,Diccionario!$C:$C,0)),"")</f>
        <v>Contabilidad</v>
      </c>
      <c r="M233" t="str">
        <f>IFERROR(INDEX(Diccionario!$H:$H,MATCH(F233,Diccionario!$C:$C,0)),"")</f>
        <v>Contabilidad</v>
      </c>
      <c r="N233" t="str">
        <f>IFERROR(INDEX(Diccionario!$N:$N,MATCH(F233,Diccionario!$C:$C,0)),"")</f>
        <v>Mensual</v>
      </c>
    </row>
    <row r="234" spans="1:14" ht="14.25" customHeight="1" x14ac:dyDescent="0.3">
      <c r="A234" t="s">
        <v>551</v>
      </c>
      <c r="B234" t="s">
        <v>522</v>
      </c>
      <c r="C234" t="s">
        <v>523</v>
      </c>
      <c r="D234" t="s">
        <v>451</v>
      </c>
      <c r="E234" t="s">
        <v>524</v>
      </c>
      <c r="F234" t="s">
        <v>304</v>
      </c>
      <c r="H234" t="s">
        <v>561</v>
      </c>
      <c r="I234">
        <v>5500000</v>
      </c>
      <c r="J234" t="s">
        <v>451</v>
      </c>
      <c r="L234" t="str">
        <f>IFERROR(INDEX(Diccionario!$B:$B,MATCH(F234,Diccionario!$C:$C,0)),"")</f>
        <v>Contabilidad</v>
      </c>
      <c r="M234" t="str">
        <f>IFERROR(INDEX(Diccionario!$H:$H,MATCH(F234,Diccionario!$C:$C,0)),"")</f>
        <v>Contabilidad</v>
      </c>
      <c r="N234" t="str">
        <f>IFERROR(INDEX(Diccionario!$N:$N,MATCH(F234,Diccionario!$C:$C,0)),"")</f>
        <v>Mensual</v>
      </c>
    </row>
    <row r="235" spans="1:14" ht="14.25" customHeight="1" x14ac:dyDescent="0.3">
      <c r="A235" t="s">
        <v>551</v>
      </c>
      <c r="B235" t="s">
        <v>522</v>
      </c>
      <c r="C235" t="s">
        <v>523</v>
      </c>
      <c r="D235" t="s">
        <v>451</v>
      </c>
      <c r="E235" t="s">
        <v>524</v>
      </c>
      <c r="F235" t="s">
        <v>304</v>
      </c>
      <c r="H235" t="s">
        <v>562</v>
      </c>
      <c r="I235">
        <v>241100000</v>
      </c>
      <c r="J235" t="s">
        <v>451</v>
      </c>
      <c r="L235" t="str">
        <f>IFERROR(INDEX(Diccionario!$B:$B,MATCH(F235,Diccionario!$C:$C,0)),"")</f>
        <v>Contabilidad</v>
      </c>
      <c r="M235" t="str">
        <f>IFERROR(INDEX(Diccionario!$H:$H,MATCH(F235,Diccionario!$C:$C,0)),"")</f>
        <v>Contabilidad</v>
      </c>
      <c r="N235" t="str">
        <f>IFERROR(INDEX(Diccionario!$N:$N,MATCH(F235,Diccionario!$C:$C,0)),"")</f>
        <v>Mensual</v>
      </c>
    </row>
    <row r="236" spans="1:14" ht="14.25" customHeight="1" x14ac:dyDescent="0.3">
      <c r="A236" t="s">
        <v>551</v>
      </c>
      <c r="B236" t="s">
        <v>522</v>
      </c>
      <c r="C236" t="s">
        <v>523</v>
      </c>
      <c r="D236" t="s">
        <v>451</v>
      </c>
      <c r="E236" t="s">
        <v>524</v>
      </c>
      <c r="F236" t="s">
        <v>304</v>
      </c>
      <c r="H236" t="s">
        <v>563</v>
      </c>
      <c r="I236">
        <v>177700000</v>
      </c>
      <c r="J236" t="s">
        <v>451</v>
      </c>
      <c r="L236" t="str">
        <f>IFERROR(INDEX(Diccionario!$B:$B,MATCH(F236,Diccionario!$C:$C,0)),"")</f>
        <v>Contabilidad</v>
      </c>
      <c r="M236" t="str">
        <f>IFERROR(INDEX(Diccionario!$H:$H,MATCH(F236,Diccionario!$C:$C,0)),"")</f>
        <v>Contabilidad</v>
      </c>
      <c r="N236" t="str">
        <f>IFERROR(INDEX(Diccionario!$N:$N,MATCH(F236,Diccionario!$C:$C,0)),"")</f>
        <v>Mensual</v>
      </c>
    </row>
    <row r="237" spans="1:14" ht="14.25" customHeight="1" x14ac:dyDescent="0.3">
      <c r="A237" t="s">
        <v>551</v>
      </c>
      <c r="B237" t="s">
        <v>522</v>
      </c>
      <c r="C237" t="s">
        <v>523</v>
      </c>
      <c r="D237" t="s">
        <v>451</v>
      </c>
      <c r="E237" t="s">
        <v>524</v>
      </c>
      <c r="F237" t="s">
        <v>304</v>
      </c>
      <c r="H237" t="s">
        <v>190</v>
      </c>
      <c r="I237">
        <v>159500000</v>
      </c>
      <c r="J237" t="s">
        <v>451</v>
      </c>
      <c r="L237" t="str">
        <f>IFERROR(INDEX(Diccionario!$B:$B,MATCH(F237,Diccionario!$C:$C,0)),"")</f>
        <v>Contabilidad</v>
      </c>
      <c r="M237" t="str">
        <f>IFERROR(INDEX(Diccionario!$H:$H,MATCH(F237,Diccionario!$C:$C,0)),"")</f>
        <v>Contabilidad</v>
      </c>
      <c r="N237" t="str">
        <f>IFERROR(INDEX(Diccionario!$N:$N,MATCH(F237,Diccionario!$C:$C,0)),"")</f>
        <v>Mensual</v>
      </c>
    </row>
    <row r="238" spans="1:14" ht="14.25" customHeight="1" x14ac:dyDescent="0.3">
      <c r="A238" t="s">
        <v>551</v>
      </c>
      <c r="B238" t="s">
        <v>522</v>
      </c>
      <c r="C238" t="s">
        <v>523</v>
      </c>
      <c r="D238" t="s">
        <v>451</v>
      </c>
      <c r="E238" t="s">
        <v>524</v>
      </c>
      <c r="F238" t="s">
        <v>304</v>
      </c>
      <c r="H238" t="s">
        <v>564</v>
      </c>
      <c r="I238">
        <v>105600000</v>
      </c>
      <c r="J238" t="s">
        <v>451</v>
      </c>
      <c r="L238" t="str">
        <f>IFERROR(INDEX(Diccionario!$B:$B,MATCH(F238,Diccionario!$C:$C,0)),"")</f>
        <v>Contabilidad</v>
      </c>
      <c r="M238" t="str">
        <f>IFERROR(INDEX(Diccionario!$H:$H,MATCH(F238,Diccionario!$C:$C,0)),"")</f>
        <v>Contabilidad</v>
      </c>
      <c r="N238" t="str">
        <f>IFERROR(INDEX(Diccionario!$N:$N,MATCH(F238,Diccionario!$C:$C,0)),"")</f>
        <v>Mensual</v>
      </c>
    </row>
    <row r="239" spans="1:14" ht="14.25" customHeight="1" x14ac:dyDescent="0.3">
      <c r="A239" t="s">
        <v>552</v>
      </c>
      <c r="B239" t="s">
        <v>522</v>
      </c>
      <c r="C239" t="s">
        <v>523</v>
      </c>
      <c r="D239" t="s">
        <v>451</v>
      </c>
      <c r="E239" t="s">
        <v>524</v>
      </c>
      <c r="F239" t="s">
        <v>304</v>
      </c>
      <c r="H239" t="s">
        <v>561</v>
      </c>
      <c r="I239">
        <v>5400000</v>
      </c>
      <c r="J239" t="s">
        <v>451</v>
      </c>
      <c r="L239" t="str">
        <f>IFERROR(INDEX(Diccionario!$B:$B,MATCH(F239,Diccionario!$C:$C,0)),"")</f>
        <v>Contabilidad</v>
      </c>
      <c r="M239" t="str">
        <f>IFERROR(INDEX(Diccionario!$H:$H,MATCH(F239,Diccionario!$C:$C,0)),"")</f>
        <v>Contabilidad</v>
      </c>
      <c r="N239" t="str">
        <f>IFERROR(INDEX(Diccionario!$N:$N,MATCH(F239,Diccionario!$C:$C,0)),"")</f>
        <v>Mensual</v>
      </c>
    </row>
    <row r="240" spans="1:14" ht="14.25" customHeight="1" x14ac:dyDescent="0.3">
      <c r="A240" t="s">
        <v>552</v>
      </c>
      <c r="B240" t="s">
        <v>522</v>
      </c>
      <c r="C240" t="s">
        <v>523</v>
      </c>
      <c r="D240" t="s">
        <v>451</v>
      </c>
      <c r="E240" t="s">
        <v>524</v>
      </c>
      <c r="F240" t="s">
        <v>304</v>
      </c>
      <c r="H240" t="s">
        <v>562</v>
      </c>
      <c r="I240">
        <v>248000000</v>
      </c>
      <c r="J240" t="s">
        <v>451</v>
      </c>
      <c r="L240" t="str">
        <f>IFERROR(INDEX(Diccionario!$B:$B,MATCH(F240,Diccionario!$C:$C,0)),"")</f>
        <v>Contabilidad</v>
      </c>
      <c r="M240" t="str">
        <f>IFERROR(INDEX(Diccionario!$H:$H,MATCH(F240,Diccionario!$C:$C,0)),"")</f>
        <v>Contabilidad</v>
      </c>
      <c r="N240" t="str">
        <f>IFERROR(INDEX(Diccionario!$N:$N,MATCH(F240,Diccionario!$C:$C,0)),"")</f>
        <v>Mensual</v>
      </c>
    </row>
    <row r="241" spans="1:14" ht="14.25" customHeight="1" x14ac:dyDescent="0.3">
      <c r="A241" t="s">
        <v>552</v>
      </c>
      <c r="B241" t="s">
        <v>522</v>
      </c>
      <c r="C241" t="s">
        <v>523</v>
      </c>
      <c r="D241" t="s">
        <v>451</v>
      </c>
      <c r="E241" t="s">
        <v>524</v>
      </c>
      <c r="F241" t="s">
        <v>304</v>
      </c>
      <c r="H241" t="s">
        <v>563</v>
      </c>
      <c r="I241">
        <v>274600000</v>
      </c>
      <c r="J241" t="s">
        <v>451</v>
      </c>
      <c r="L241" t="str">
        <f>IFERROR(INDEX(Diccionario!$B:$B,MATCH(F241,Diccionario!$C:$C,0)),"")</f>
        <v>Contabilidad</v>
      </c>
      <c r="M241" t="str">
        <f>IFERROR(INDEX(Diccionario!$H:$H,MATCH(F241,Diccionario!$C:$C,0)),"")</f>
        <v>Contabilidad</v>
      </c>
      <c r="N241" t="str">
        <f>IFERROR(INDEX(Diccionario!$N:$N,MATCH(F241,Diccionario!$C:$C,0)),"")</f>
        <v>Mensual</v>
      </c>
    </row>
    <row r="242" spans="1:14" ht="14.25" customHeight="1" x14ac:dyDescent="0.3">
      <c r="A242" t="s">
        <v>552</v>
      </c>
      <c r="B242" t="s">
        <v>522</v>
      </c>
      <c r="C242" t="s">
        <v>523</v>
      </c>
      <c r="D242" t="s">
        <v>451</v>
      </c>
      <c r="E242" t="s">
        <v>524</v>
      </c>
      <c r="F242" t="s">
        <v>304</v>
      </c>
      <c r="H242" t="s">
        <v>190</v>
      </c>
      <c r="I242">
        <v>144000000</v>
      </c>
      <c r="J242" t="s">
        <v>451</v>
      </c>
      <c r="L242" t="str">
        <f>IFERROR(INDEX(Diccionario!$B:$B,MATCH(F242,Diccionario!$C:$C,0)),"")</f>
        <v>Contabilidad</v>
      </c>
      <c r="M242" t="str">
        <f>IFERROR(INDEX(Diccionario!$H:$H,MATCH(F242,Diccionario!$C:$C,0)),"")</f>
        <v>Contabilidad</v>
      </c>
      <c r="N242" t="str">
        <f>IFERROR(INDEX(Diccionario!$N:$N,MATCH(F242,Diccionario!$C:$C,0)),"")</f>
        <v>Mensual</v>
      </c>
    </row>
    <row r="243" spans="1:14" ht="14.25" customHeight="1" x14ac:dyDescent="0.3">
      <c r="A243" t="s">
        <v>552</v>
      </c>
      <c r="B243" t="s">
        <v>522</v>
      </c>
      <c r="C243" t="s">
        <v>523</v>
      </c>
      <c r="D243" t="s">
        <v>451</v>
      </c>
      <c r="E243" t="s">
        <v>524</v>
      </c>
      <c r="F243" t="s">
        <v>304</v>
      </c>
      <c r="H243" t="s">
        <v>564</v>
      </c>
      <c r="I243">
        <v>134400000</v>
      </c>
      <c r="J243" t="s">
        <v>451</v>
      </c>
      <c r="L243" t="str">
        <f>IFERROR(INDEX(Diccionario!$B:$B,MATCH(F243,Diccionario!$C:$C,0)),"")</f>
        <v>Contabilidad</v>
      </c>
      <c r="M243" t="str">
        <f>IFERROR(INDEX(Diccionario!$H:$H,MATCH(F243,Diccionario!$C:$C,0)),"")</f>
        <v>Contabilidad</v>
      </c>
      <c r="N243" t="str">
        <f>IFERROR(INDEX(Diccionario!$N:$N,MATCH(F243,Diccionario!$C:$C,0)),"")</f>
        <v>Mensual</v>
      </c>
    </row>
    <row r="244" spans="1:14" ht="14.25" customHeight="1" x14ac:dyDescent="0.3">
      <c r="A244" t="s">
        <v>553</v>
      </c>
      <c r="B244" t="s">
        <v>522</v>
      </c>
      <c r="C244" t="s">
        <v>523</v>
      </c>
      <c r="D244" t="s">
        <v>451</v>
      </c>
      <c r="E244" t="s">
        <v>524</v>
      </c>
      <c r="F244" t="s">
        <v>304</v>
      </c>
      <c r="H244" t="s">
        <v>561</v>
      </c>
      <c r="I244">
        <v>5000000</v>
      </c>
      <c r="J244" t="s">
        <v>451</v>
      </c>
      <c r="L244" t="str">
        <f>IFERROR(INDEX(Diccionario!$B:$B,MATCH(F244,Diccionario!$C:$C,0)),"")</f>
        <v>Contabilidad</v>
      </c>
      <c r="M244" t="str">
        <f>IFERROR(INDEX(Diccionario!$H:$H,MATCH(F244,Diccionario!$C:$C,0)),"")</f>
        <v>Contabilidad</v>
      </c>
      <c r="N244" t="str">
        <f>IFERROR(INDEX(Diccionario!$N:$N,MATCH(F244,Diccionario!$C:$C,0)),"")</f>
        <v>Mensual</v>
      </c>
    </row>
    <row r="245" spans="1:14" ht="14.25" customHeight="1" x14ac:dyDescent="0.3">
      <c r="A245" t="s">
        <v>553</v>
      </c>
      <c r="B245" t="s">
        <v>522</v>
      </c>
      <c r="C245" t="s">
        <v>523</v>
      </c>
      <c r="D245" t="s">
        <v>451</v>
      </c>
      <c r="E245" t="s">
        <v>524</v>
      </c>
      <c r="F245" t="s">
        <v>304</v>
      </c>
      <c r="H245" t="s">
        <v>562</v>
      </c>
      <c r="I245">
        <v>311400000</v>
      </c>
      <c r="J245" t="s">
        <v>451</v>
      </c>
      <c r="L245" t="str">
        <f>IFERROR(INDEX(Diccionario!$B:$B,MATCH(F245,Diccionario!$C:$C,0)),"")</f>
        <v>Contabilidad</v>
      </c>
      <c r="M245" t="str">
        <f>IFERROR(INDEX(Diccionario!$H:$H,MATCH(F245,Diccionario!$C:$C,0)),"")</f>
        <v>Contabilidad</v>
      </c>
      <c r="N245" t="str">
        <f>IFERROR(INDEX(Diccionario!$N:$N,MATCH(F245,Diccionario!$C:$C,0)),"")</f>
        <v>Mensual</v>
      </c>
    </row>
    <row r="246" spans="1:14" ht="14.25" customHeight="1" x14ac:dyDescent="0.3">
      <c r="A246" t="s">
        <v>553</v>
      </c>
      <c r="B246" t="s">
        <v>522</v>
      </c>
      <c r="C246" t="s">
        <v>523</v>
      </c>
      <c r="D246" t="s">
        <v>451</v>
      </c>
      <c r="E246" t="s">
        <v>524</v>
      </c>
      <c r="F246" t="s">
        <v>304</v>
      </c>
      <c r="H246" t="s">
        <v>563</v>
      </c>
      <c r="I246">
        <v>194000000</v>
      </c>
      <c r="J246" t="s">
        <v>451</v>
      </c>
      <c r="L246" t="str">
        <f>IFERROR(INDEX(Diccionario!$B:$B,MATCH(F246,Diccionario!$C:$C,0)),"")</f>
        <v>Contabilidad</v>
      </c>
      <c r="M246" t="str">
        <f>IFERROR(INDEX(Diccionario!$H:$H,MATCH(F246,Diccionario!$C:$C,0)),"")</f>
        <v>Contabilidad</v>
      </c>
      <c r="N246" t="str">
        <f>IFERROR(INDEX(Diccionario!$N:$N,MATCH(F246,Diccionario!$C:$C,0)),"")</f>
        <v>Mensual</v>
      </c>
    </row>
    <row r="247" spans="1:14" ht="14.25" customHeight="1" x14ac:dyDescent="0.3">
      <c r="A247" t="s">
        <v>553</v>
      </c>
      <c r="B247" t="s">
        <v>522</v>
      </c>
      <c r="C247" t="s">
        <v>523</v>
      </c>
      <c r="D247" t="s">
        <v>451</v>
      </c>
      <c r="E247" t="s">
        <v>524</v>
      </c>
      <c r="F247" t="s">
        <v>304</v>
      </c>
      <c r="H247" t="s">
        <v>190</v>
      </c>
      <c r="I247">
        <v>130200000</v>
      </c>
      <c r="J247" t="s">
        <v>451</v>
      </c>
      <c r="L247" t="str">
        <f>IFERROR(INDEX(Diccionario!$B:$B,MATCH(F247,Diccionario!$C:$C,0)),"")</f>
        <v>Contabilidad</v>
      </c>
      <c r="M247" t="str">
        <f>IFERROR(INDEX(Diccionario!$H:$H,MATCH(F247,Diccionario!$C:$C,0)),"")</f>
        <v>Contabilidad</v>
      </c>
      <c r="N247" t="str">
        <f>IFERROR(INDEX(Diccionario!$N:$N,MATCH(F247,Diccionario!$C:$C,0)),"")</f>
        <v>Mensual</v>
      </c>
    </row>
    <row r="248" spans="1:14" ht="14.25" customHeight="1" x14ac:dyDescent="0.3">
      <c r="A248" t="s">
        <v>553</v>
      </c>
      <c r="B248" t="s">
        <v>522</v>
      </c>
      <c r="C248" t="s">
        <v>523</v>
      </c>
      <c r="D248" t="s">
        <v>451</v>
      </c>
      <c r="E248" t="s">
        <v>524</v>
      </c>
      <c r="F248" t="s">
        <v>304</v>
      </c>
      <c r="H248" t="s">
        <v>564</v>
      </c>
      <c r="I248">
        <v>114200000</v>
      </c>
      <c r="J248" t="s">
        <v>451</v>
      </c>
      <c r="L248" t="str">
        <f>IFERROR(INDEX(Diccionario!$B:$B,MATCH(F248,Diccionario!$C:$C,0)),"")</f>
        <v>Contabilidad</v>
      </c>
      <c r="M248" t="str">
        <f>IFERROR(INDEX(Diccionario!$H:$H,MATCH(F248,Diccionario!$C:$C,0)),"")</f>
        <v>Contabilidad</v>
      </c>
      <c r="N248" t="str">
        <f>IFERROR(INDEX(Diccionario!$N:$N,MATCH(F248,Diccionario!$C:$C,0)),"")</f>
        <v>Mensual</v>
      </c>
    </row>
    <row r="249" spans="1:14" ht="14.25" customHeight="1" x14ac:dyDescent="0.3">
      <c r="A249" t="s">
        <v>554</v>
      </c>
      <c r="B249" t="s">
        <v>522</v>
      </c>
      <c r="C249" t="s">
        <v>523</v>
      </c>
      <c r="D249" t="s">
        <v>451</v>
      </c>
      <c r="E249" t="s">
        <v>524</v>
      </c>
      <c r="F249" t="s">
        <v>304</v>
      </c>
      <c r="H249" t="s">
        <v>561</v>
      </c>
      <c r="I249">
        <v>6000000</v>
      </c>
      <c r="J249" t="s">
        <v>451</v>
      </c>
      <c r="L249" t="str">
        <f>IFERROR(INDEX(Diccionario!$B:$B,MATCH(F249,Diccionario!$C:$C,0)),"")</f>
        <v>Contabilidad</v>
      </c>
      <c r="M249" t="str">
        <f>IFERROR(INDEX(Diccionario!$H:$H,MATCH(F249,Diccionario!$C:$C,0)),"")</f>
        <v>Contabilidad</v>
      </c>
      <c r="N249" t="str">
        <f>IFERROR(INDEX(Diccionario!$N:$N,MATCH(F249,Diccionario!$C:$C,0)),"")</f>
        <v>Mensual</v>
      </c>
    </row>
    <row r="250" spans="1:14" ht="14.25" customHeight="1" x14ac:dyDescent="0.3">
      <c r="A250" t="s">
        <v>554</v>
      </c>
      <c r="B250" t="s">
        <v>522</v>
      </c>
      <c r="C250" t="s">
        <v>523</v>
      </c>
      <c r="D250" t="s">
        <v>451</v>
      </c>
      <c r="E250" t="s">
        <v>524</v>
      </c>
      <c r="F250" t="s">
        <v>304</v>
      </c>
      <c r="H250" t="s">
        <v>562</v>
      </c>
      <c r="I250">
        <v>289900000</v>
      </c>
      <c r="J250" t="s">
        <v>451</v>
      </c>
      <c r="L250" t="str">
        <f>IFERROR(INDEX(Diccionario!$B:$B,MATCH(F250,Diccionario!$C:$C,0)),"")</f>
        <v>Contabilidad</v>
      </c>
      <c r="M250" t="str">
        <f>IFERROR(INDEX(Diccionario!$H:$H,MATCH(F250,Diccionario!$C:$C,0)),"")</f>
        <v>Contabilidad</v>
      </c>
      <c r="N250" t="str">
        <f>IFERROR(INDEX(Diccionario!$N:$N,MATCH(F250,Diccionario!$C:$C,0)),"")</f>
        <v>Mensual</v>
      </c>
    </row>
    <row r="251" spans="1:14" ht="14.25" customHeight="1" x14ac:dyDescent="0.3">
      <c r="A251" t="s">
        <v>554</v>
      </c>
      <c r="B251" t="s">
        <v>522</v>
      </c>
      <c r="C251" t="s">
        <v>523</v>
      </c>
      <c r="D251" t="s">
        <v>451</v>
      </c>
      <c r="E251" t="s">
        <v>524</v>
      </c>
      <c r="F251" t="s">
        <v>304</v>
      </c>
      <c r="H251" t="s">
        <v>563</v>
      </c>
      <c r="I251">
        <v>186500000</v>
      </c>
      <c r="J251" t="s">
        <v>451</v>
      </c>
      <c r="L251" t="str">
        <f>IFERROR(INDEX(Diccionario!$B:$B,MATCH(F251,Diccionario!$C:$C,0)),"")</f>
        <v>Contabilidad</v>
      </c>
      <c r="M251" t="str">
        <f>IFERROR(INDEX(Diccionario!$H:$H,MATCH(F251,Diccionario!$C:$C,0)),"")</f>
        <v>Contabilidad</v>
      </c>
      <c r="N251" t="str">
        <f>IFERROR(INDEX(Diccionario!$N:$N,MATCH(F251,Diccionario!$C:$C,0)),"")</f>
        <v>Mensual</v>
      </c>
    </row>
    <row r="252" spans="1:14" ht="14.25" customHeight="1" x14ac:dyDescent="0.3">
      <c r="A252" t="s">
        <v>554</v>
      </c>
      <c r="B252" t="s">
        <v>522</v>
      </c>
      <c r="C252" t="s">
        <v>523</v>
      </c>
      <c r="D252" t="s">
        <v>451</v>
      </c>
      <c r="E252" t="s">
        <v>524</v>
      </c>
      <c r="F252" t="s">
        <v>304</v>
      </c>
      <c r="H252" t="s">
        <v>190</v>
      </c>
      <c r="I252">
        <v>120200000</v>
      </c>
      <c r="J252" t="s">
        <v>451</v>
      </c>
      <c r="L252" t="str">
        <f>IFERROR(INDEX(Diccionario!$B:$B,MATCH(F252,Diccionario!$C:$C,0)),"")</f>
        <v>Contabilidad</v>
      </c>
      <c r="M252" t="str">
        <f>IFERROR(INDEX(Diccionario!$H:$H,MATCH(F252,Diccionario!$C:$C,0)),"")</f>
        <v>Contabilidad</v>
      </c>
      <c r="N252" t="str">
        <f>IFERROR(INDEX(Diccionario!$N:$N,MATCH(F252,Diccionario!$C:$C,0)),"")</f>
        <v>Mensual</v>
      </c>
    </row>
    <row r="253" spans="1:14" ht="14.25" customHeight="1" x14ac:dyDescent="0.3">
      <c r="A253" t="s">
        <v>554</v>
      </c>
      <c r="B253" t="s">
        <v>522</v>
      </c>
      <c r="C253" t="s">
        <v>523</v>
      </c>
      <c r="D253" t="s">
        <v>451</v>
      </c>
      <c r="E253" t="s">
        <v>524</v>
      </c>
      <c r="F253" t="s">
        <v>304</v>
      </c>
      <c r="H253" t="s">
        <v>564</v>
      </c>
      <c r="I253">
        <v>116800000</v>
      </c>
      <c r="J253" t="s">
        <v>451</v>
      </c>
      <c r="L253" t="str">
        <f>IFERROR(INDEX(Diccionario!$B:$B,MATCH(F253,Diccionario!$C:$C,0)),"")</f>
        <v>Contabilidad</v>
      </c>
      <c r="M253" t="str">
        <f>IFERROR(INDEX(Diccionario!$H:$H,MATCH(F253,Diccionario!$C:$C,0)),"")</f>
        <v>Contabilidad</v>
      </c>
      <c r="N253" t="str">
        <f>IFERROR(INDEX(Diccionario!$N:$N,MATCH(F253,Diccionario!$C:$C,0)),"")</f>
        <v>Mensual</v>
      </c>
    </row>
    <row r="254" spans="1:14" ht="14.25" customHeight="1" x14ac:dyDescent="0.3">
      <c r="A254" t="s">
        <v>521</v>
      </c>
      <c r="B254" t="s">
        <v>522</v>
      </c>
      <c r="C254" t="s">
        <v>523</v>
      </c>
      <c r="D254" t="s">
        <v>451</v>
      </c>
      <c r="E254" t="s">
        <v>524</v>
      </c>
      <c r="F254" t="s">
        <v>309</v>
      </c>
      <c r="H254" t="s">
        <v>565</v>
      </c>
      <c r="I254">
        <v>43000000</v>
      </c>
      <c r="J254" t="s">
        <v>451</v>
      </c>
      <c r="L254" t="str">
        <f>IFERROR(INDEX(Diccionario!$B:$B,MATCH(F254,Diccionario!$C:$C,0)),"")</f>
        <v>Contabilidad</v>
      </c>
      <c r="M254" t="str">
        <f>IFERROR(INDEX(Diccionario!$H:$H,MATCH(F254,Diccionario!$C:$C,0)),"")</f>
        <v>Contabilidad</v>
      </c>
      <c r="N254" t="str">
        <f>IFERROR(INDEX(Diccionario!$N:$N,MATCH(F254,Diccionario!$C:$C,0)),"")</f>
        <v>Mensual</v>
      </c>
    </row>
    <row r="255" spans="1:14" ht="14.25" customHeight="1" x14ac:dyDescent="0.3">
      <c r="A255" t="s">
        <v>521</v>
      </c>
      <c r="B255" t="s">
        <v>522</v>
      </c>
      <c r="C255" t="s">
        <v>523</v>
      </c>
      <c r="D255" t="s">
        <v>451</v>
      </c>
      <c r="E255" t="s">
        <v>524</v>
      </c>
      <c r="F255" t="s">
        <v>309</v>
      </c>
      <c r="H255" t="s">
        <v>566</v>
      </c>
      <c r="I255">
        <v>14000000</v>
      </c>
      <c r="J255" t="s">
        <v>451</v>
      </c>
      <c r="L255" t="str">
        <f>IFERROR(INDEX(Diccionario!$B:$B,MATCH(F255,Diccionario!$C:$C,0)),"")</f>
        <v>Contabilidad</v>
      </c>
      <c r="M255" t="str">
        <f>IFERROR(INDEX(Diccionario!$H:$H,MATCH(F255,Diccionario!$C:$C,0)),"")</f>
        <v>Contabilidad</v>
      </c>
      <c r="N255" t="str">
        <f>IFERROR(INDEX(Diccionario!$N:$N,MATCH(F255,Diccionario!$C:$C,0)),"")</f>
        <v>Mensual</v>
      </c>
    </row>
    <row r="256" spans="1:14" ht="14.25" customHeight="1" x14ac:dyDescent="0.3">
      <c r="A256" t="s">
        <v>521</v>
      </c>
      <c r="B256" t="s">
        <v>522</v>
      </c>
      <c r="C256" t="s">
        <v>523</v>
      </c>
      <c r="D256" t="s">
        <v>451</v>
      </c>
      <c r="E256" t="s">
        <v>524</v>
      </c>
      <c r="F256" t="s">
        <v>309</v>
      </c>
      <c r="H256" t="s">
        <v>567</v>
      </c>
      <c r="I256">
        <v>22000000</v>
      </c>
      <c r="J256" t="s">
        <v>451</v>
      </c>
      <c r="L256" t="str">
        <f>IFERROR(INDEX(Diccionario!$B:$B,MATCH(F256,Diccionario!$C:$C,0)),"")</f>
        <v>Contabilidad</v>
      </c>
      <c r="M256" t="str">
        <f>IFERROR(INDEX(Diccionario!$H:$H,MATCH(F256,Diccionario!$C:$C,0)),"")</f>
        <v>Contabilidad</v>
      </c>
      <c r="N256" t="str">
        <f>IFERROR(INDEX(Diccionario!$N:$N,MATCH(F256,Diccionario!$C:$C,0)),"")</f>
        <v>Mensual</v>
      </c>
    </row>
    <row r="257" spans="1:14" ht="14.25" customHeight="1" x14ac:dyDescent="0.3">
      <c r="A257" t="s">
        <v>521</v>
      </c>
      <c r="B257" t="s">
        <v>522</v>
      </c>
      <c r="C257" t="s">
        <v>523</v>
      </c>
      <c r="D257" t="s">
        <v>451</v>
      </c>
      <c r="E257" t="s">
        <v>524</v>
      </c>
      <c r="F257" t="s">
        <v>309</v>
      </c>
      <c r="H257" t="s">
        <v>568</v>
      </c>
      <c r="I257">
        <v>3000000</v>
      </c>
      <c r="J257" t="s">
        <v>451</v>
      </c>
      <c r="L257" t="str">
        <f>IFERROR(INDEX(Diccionario!$B:$B,MATCH(F257,Diccionario!$C:$C,0)),"")</f>
        <v>Contabilidad</v>
      </c>
      <c r="M257" t="str">
        <f>IFERROR(INDEX(Diccionario!$H:$H,MATCH(F257,Diccionario!$C:$C,0)),"")</f>
        <v>Contabilidad</v>
      </c>
      <c r="N257" t="str">
        <f>IFERROR(INDEX(Diccionario!$N:$N,MATCH(F257,Diccionario!$C:$C,0)),"")</f>
        <v>Mensual</v>
      </c>
    </row>
    <row r="258" spans="1:14" ht="14.25" customHeight="1" x14ac:dyDescent="0.3">
      <c r="A258" t="s">
        <v>521</v>
      </c>
      <c r="B258" t="s">
        <v>522</v>
      </c>
      <c r="C258" t="s">
        <v>523</v>
      </c>
      <c r="D258" t="s">
        <v>451</v>
      </c>
      <c r="E258" t="s">
        <v>524</v>
      </c>
      <c r="F258" t="s">
        <v>309</v>
      </c>
      <c r="H258" t="s">
        <v>569</v>
      </c>
      <c r="I258">
        <v>6000000</v>
      </c>
      <c r="J258" t="s">
        <v>451</v>
      </c>
      <c r="L258" t="str">
        <f>IFERROR(INDEX(Diccionario!$B:$B,MATCH(F258,Diccionario!$C:$C,0)),"")</f>
        <v>Contabilidad</v>
      </c>
      <c r="M258" t="str">
        <f>IFERROR(INDEX(Diccionario!$H:$H,MATCH(F258,Diccionario!$C:$C,0)),"")</f>
        <v>Contabilidad</v>
      </c>
      <c r="N258" t="str">
        <f>IFERROR(INDEX(Diccionario!$N:$N,MATCH(F258,Diccionario!$C:$C,0)),"")</f>
        <v>Mensual</v>
      </c>
    </row>
    <row r="259" spans="1:14" ht="14.25" customHeight="1" x14ac:dyDescent="0.3">
      <c r="A259" t="s">
        <v>521</v>
      </c>
      <c r="B259" t="s">
        <v>522</v>
      </c>
      <c r="C259" t="s">
        <v>523</v>
      </c>
      <c r="D259" t="s">
        <v>451</v>
      </c>
      <c r="E259" t="s">
        <v>524</v>
      </c>
      <c r="F259" t="s">
        <v>309</v>
      </c>
      <c r="H259" t="s">
        <v>570</v>
      </c>
      <c r="I259">
        <v>20000000</v>
      </c>
      <c r="J259" t="s">
        <v>451</v>
      </c>
      <c r="L259" t="str">
        <f>IFERROR(INDEX(Diccionario!$B:$B,MATCH(F259,Diccionario!$C:$C,0)),"")</f>
        <v>Contabilidad</v>
      </c>
      <c r="M259" t="str">
        <f>IFERROR(INDEX(Diccionario!$H:$H,MATCH(F259,Diccionario!$C:$C,0)),"")</f>
        <v>Contabilidad</v>
      </c>
      <c r="N259" t="str">
        <f>IFERROR(INDEX(Diccionario!$N:$N,MATCH(F259,Diccionario!$C:$C,0)),"")</f>
        <v>Mensual</v>
      </c>
    </row>
    <row r="260" spans="1:14" ht="14.25" customHeight="1" x14ac:dyDescent="0.3">
      <c r="A260" t="s">
        <v>521</v>
      </c>
      <c r="B260" t="s">
        <v>522</v>
      </c>
      <c r="C260" t="s">
        <v>523</v>
      </c>
      <c r="D260" t="s">
        <v>451</v>
      </c>
      <c r="E260" t="s">
        <v>524</v>
      </c>
      <c r="F260" t="s">
        <v>309</v>
      </c>
      <c r="H260" t="s">
        <v>571</v>
      </c>
      <c r="I260">
        <v>3000000</v>
      </c>
      <c r="J260" t="s">
        <v>451</v>
      </c>
      <c r="L260" t="str">
        <f>IFERROR(INDEX(Diccionario!$B:$B,MATCH(F260,Diccionario!$C:$C,0)),"")</f>
        <v>Contabilidad</v>
      </c>
      <c r="M260" t="str">
        <f>IFERROR(INDEX(Diccionario!$H:$H,MATCH(F260,Diccionario!$C:$C,0)),"")</f>
        <v>Contabilidad</v>
      </c>
      <c r="N260" t="str">
        <f>IFERROR(INDEX(Diccionario!$N:$N,MATCH(F260,Diccionario!$C:$C,0)),"")</f>
        <v>Mensual</v>
      </c>
    </row>
    <row r="261" spans="1:14" ht="14.25" customHeight="1" x14ac:dyDescent="0.3">
      <c r="A261" t="s">
        <v>526</v>
      </c>
      <c r="B261" t="s">
        <v>522</v>
      </c>
      <c r="C261" t="s">
        <v>523</v>
      </c>
      <c r="D261" t="s">
        <v>451</v>
      </c>
      <c r="E261" t="s">
        <v>524</v>
      </c>
      <c r="F261" t="s">
        <v>309</v>
      </c>
      <c r="H261" t="s">
        <v>565</v>
      </c>
      <c r="I261">
        <v>44000000</v>
      </c>
      <c r="J261" t="s">
        <v>451</v>
      </c>
      <c r="L261" t="str">
        <f>IFERROR(INDEX(Diccionario!$B:$B,MATCH(F261,Diccionario!$C:$C,0)),"")</f>
        <v>Contabilidad</v>
      </c>
      <c r="M261" t="str">
        <f>IFERROR(INDEX(Diccionario!$H:$H,MATCH(F261,Diccionario!$C:$C,0)),"")</f>
        <v>Contabilidad</v>
      </c>
      <c r="N261" t="str">
        <f>IFERROR(INDEX(Diccionario!$N:$N,MATCH(F261,Diccionario!$C:$C,0)),"")</f>
        <v>Mensual</v>
      </c>
    </row>
    <row r="262" spans="1:14" ht="14.25" customHeight="1" x14ac:dyDescent="0.3">
      <c r="A262" t="s">
        <v>526</v>
      </c>
      <c r="B262" t="s">
        <v>522</v>
      </c>
      <c r="C262" t="s">
        <v>523</v>
      </c>
      <c r="D262" t="s">
        <v>451</v>
      </c>
      <c r="E262" t="s">
        <v>524</v>
      </c>
      <c r="F262" t="s">
        <v>309</v>
      </c>
      <c r="H262" t="s">
        <v>566</v>
      </c>
      <c r="I262">
        <v>16000000</v>
      </c>
      <c r="J262" t="s">
        <v>451</v>
      </c>
      <c r="L262" t="str">
        <f>IFERROR(INDEX(Diccionario!$B:$B,MATCH(F262,Diccionario!$C:$C,0)),"")</f>
        <v>Contabilidad</v>
      </c>
      <c r="M262" t="str">
        <f>IFERROR(INDEX(Diccionario!$H:$H,MATCH(F262,Diccionario!$C:$C,0)),"")</f>
        <v>Contabilidad</v>
      </c>
      <c r="N262" t="str">
        <f>IFERROR(INDEX(Diccionario!$N:$N,MATCH(F262,Diccionario!$C:$C,0)),"")</f>
        <v>Mensual</v>
      </c>
    </row>
    <row r="263" spans="1:14" ht="14.25" customHeight="1" x14ac:dyDescent="0.3">
      <c r="A263" t="s">
        <v>526</v>
      </c>
      <c r="B263" t="s">
        <v>522</v>
      </c>
      <c r="C263" t="s">
        <v>523</v>
      </c>
      <c r="D263" t="s">
        <v>451</v>
      </c>
      <c r="E263" t="s">
        <v>524</v>
      </c>
      <c r="F263" t="s">
        <v>309</v>
      </c>
      <c r="H263" t="s">
        <v>567</v>
      </c>
      <c r="I263">
        <v>22000000</v>
      </c>
      <c r="J263" t="s">
        <v>451</v>
      </c>
      <c r="L263" t="str">
        <f>IFERROR(INDEX(Diccionario!$B:$B,MATCH(F263,Diccionario!$C:$C,0)),"")</f>
        <v>Contabilidad</v>
      </c>
      <c r="M263" t="str">
        <f>IFERROR(INDEX(Diccionario!$H:$H,MATCH(F263,Diccionario!$C:$C,0)),"")</f>
        <v>Contabilidad</v>
      </c>
      <c r="N263" t="str">
        <f>IFERROR(INDEX(Diccionario!$N:$N,MATCH(F263,Diccionario!$C:$C,0)),"")</f>
        <v>Mensual</v>
      </c>
    </row>
    <row r="264" spans="1:14" ht="14.25" customHeight="1" x14ac:dyDescent="0.3">
      <c r="A264" t="s">
        <v>526</v>
      </c>
      <c r="B264" t="s">
        <v>522</v>
      </c>
      <c r="C264" t="s">
        <v>523</v>
      </c>
      <c r="D264" t="s">
        <v>451</v>
      </c>
      <c r="E264" t="s">
        <v>524</v>
      </c>
      <c r="F264" t="s">
        <v>309</v>
      </c>
      <c r="H264" t="s">
        <v>568</v>
      </c>
      <c r="I264">
        <v>2000000</v>
      </c>
      <c r="J264" t="s">
        <v>451</v>
      </c>
      <c r="L264" t="str">
        <f>IFERROR(INDEX(Diccionario!$B:$B,MATCH(F264,Diccionario!$C:$C,0)),"")</f>
        <v>Contabilidad</v>
      </c>
      <c r="M264" t="str">
        <f>IFERROR(INDEX(Diccionario!$H:$H,MATCH(F264,Diccionario!$C:$C,0)),"")</f>
        <v>Contabilidad</v>
      </c>
      <c r="N264" t="str">
        <f>IFERROR(INDEX(Diccionario!$N:$N,MATCH(F264,Diccionario!$C:$C,0)),"")</f>
        <v>Mensual</v>
      </c>
    </row>
    <row r="265" spans="1:14" ht="14.25" customHeight="1" x14ac:dyDescent="0.3">
      <c r="A265" t="s">
        <v>526</v>
      </c>
      <c r="B265" t="s">
        <v>522</v>
      </c>
      <c r="C265" t="s">
        <v>523</v>
      </c>
      <c r="D265" t="s">
        <v>451</v>
      </c>
      <c r="E265" t="s">
        <v>524</v>
      </c>
      <c r="F265" t="s">
        <v>309</v>
      </c>
      <c r="H265" t="s">
        <v>569</v>
      </c>
      <c r="I265">
        <v>6000000</v>
      </c>
      <c r="J265" t="s">
        <v>451</v>
      </c>
      <c r="L265" t="str">
        <f>IFERROR(INDEX(Diccionario!$B:$B,MATCH(F265,Diccionario!$C:$C,0)),"")</f>
        <v>Contabilidad</v>
      </c>
      <c r="M265" t="str">
        <f>IFERROR(INDEX(Diccionario!$H:$H,MATCH(F265,Diccionario!$C:$C,0)),"")</f>
        <v>Contabilidad</v>
      </c>
      <c r="N265" t="str">
        <f>IFERROR(INDEX(Diccionario!$N:$N,MATCH(F265,Diccionario!$C:$C,0)),"")</f>
        <v>Mensual</v>
      </c>
    </row>
    <row r="266" spans="1:14" ht="14.25" customHeight="1" x14ac:dyDescent="0.3">
      <c r="A266" t="s">
        <v>526</v>
      </c>
      <c r="B266" t="s">
        <v>522</v>
      </c>
      <c r="C266" t="s">
        <v>523</v>
      </c>
      <c r="D266" t="s">
        <v>451</v>
      </c>
      <c r="E266" t="s">
        <v>524</v>
      </c>
      <c r="F266" t="s">
        <v>309</v>
      </c>
      <c r="H266" t="s">
        <v>570</v>
      </c>
      <c r="I266">
        <v>24000000</v>
      </c>
      <c r="J266" t="s">
        <v>451</v>
      </c>
      <c r="L266" t="str">
        <f>IFERROR(INDEX(Diccionario!$B:$B,MATCH(F266,Diccionario!$C:$C,0)),"")</f>
        <v>Contabilidad</v>
      </c>
      <c r="M266" t="str">
        <f>IFERROR(INDEX(Diccionario!$H:$H,MATCH(F266,Diccionario!$C:$C,0)),"")</f>
        <v>Contabilidad</v>
      </c>
      <c r="N266" t="str">
        <f>IFERROR(INDEX(Diccionario!$N:$N,MATCH(F266,Diccionario!$C:$C,0)),"")</f>
        <v>Mensual</v>
      </c>
    </row>
    <row r="267" spans="1:14" ht="14.25" customHeight="1" x14ac:dyDescent="0.3">
      <c r="A267" t="s">
        <v>526</v>
      </c>
      <c r="B267" t="s">
        <v>522</v>
      </c>
      <c r="C267" t="s">
        <v>523</v>
      </c>
      <c r="D267" t="s">
        <v>451</v>
      </c>
      <c r="E267" t="s">
        <v>524</v>
      </c>
      <c r="F267" t="s">
        <v>309</v>
      </c>
      <c r="H267" t="s">
        <v>571</v>
      </c>
      <c r="I267">
        <v>2000000</v>
      </c>
      <c r="J267" t="s">
        <v>451</v>
      </c>
      <c r="L267" t="str">
        <f>IFERROR(INDEX(Diccionario!$B:$B,MATCH(F267,Diccionario!$C:$C,0)),"")</f>
        <v>Contabilidad</v>
      </c>
      <c r="M267" t="str">
        <f>IFERROR(INDEX(Diccionario!$H:$H,MATCH(F267,Diccionario!$C:$C,0)),"")</f>
        <v>Contabilidad</v>
      </c>
      <c r="N267" t="str">
        <f>IFERROR(INDEX(Diccionario!$N:$N,MATCH(F267,Diccionario!$C:$C,0)),"")</f>
        <v>Mensual</v>
      </c>
    </row>
    <row r="268" spans="1:14" ht="14.25" customHeight="1" x14ac:dyDescent="0.3">
      <c r="A268" t="s">
        <v>527</v>
      </c>
      <c r="B268" t="s">
        <v>522</v>
      </c>
      <c r="C268" t="s">
        <v>523</v>
      </c>
      <c r="D268" t="s">
        <v>451</v>
      </c>
      <c r="E268" t="s">
        <v>524</v>
      </c>
      <c r="F268" t="s">
        <v>309</v>
      </c>
      <c r="H268" t="s">
        <v>565</v>
      </c>
      <c r="I268">
        <v>69000000</v>
      </c>
      <c r="J268" t="s">
        <v>451</v>
      </c>
      <c r="L268" t="str">
        <f>IFERROR(INDEX(Diccionario!$B:$B,MATCH(F268,Diccionario!$C:$C,0)),"")</f>
        <v>Contabilidad</v>
      </c>
      <c r="M268" t="str">
        <f>IFERROR(INDEX(Diccionario!$H:$H,MATCH(F268,Diccionario!$C:$C,0)),"")</f>
        <v>Contabilidad</v>
      </c>
      <c r="N268" t="str">
        <f>IFERROR(INDEX(Diccionario!$N:$N,MATCH(F268,Diccionario!$C:$C,0)),"")</f>
        <v>Mensual</v>
      </c>
    </row>
    <row r="269" spans="1:14" ht="14.25" customHeight="1" x14ac:dyDescent="0.3">
      <c r="A269" t="s">
        <v>527</v>
      </c>
      <c r="B269" t="s">
        <v>522</v>
      </c>
      <c r="C269" t="s">
        <v>523</v>
      </c>
      <c r="D269" t="s">
        <v>451</v>
      </c>
      <c r="E269" t="s">
        <v>524</v>
      </c>
      <c r="F269" t="s">
        <v>309</v>
      </c>
      <c r="H269" t="s">
        <v>566</v>
      </c>
      <c r="I269">
        <v>18000000</v>
      </c>
      <c r="J269" t="s">
        <v>451</v>
      </c>
      <c r="L269" t="str">
        <f>IFERROR(INDEX(Diccionario!$B:$B,MATCH(F269,Diccionario!$C:$C,0)),"")</f>
        <v>Contabilidad</v>
      </c>
      <c r="M269" t="str">
        <f>IFERROR(INDEX(Diccionario!$H:$H,MATCH(F269,Diccionario!$C:$C,0)),"")</f>
        <v>Contabilidad</v>
      </c>
      <c r="N269" t="str">
        <f>IFERROR(INDEX(Diccionario!$N:$N,MATCH(F269,Diccionario!$C:$C,0)),"")</f>
        <v>Mensual</v>
      </c>
    </row>
    <row r="270" spans="1:14" ht="14.25" customHeight="1" x14ac:dyDescent="0.3">
      <c r="A270" t="s">
        <v>527</v>
      </c>
      <c r="B270" t="s">
        <v>522</v>
      </c>
      <c r="C270" t="s">
        <v>523</v>
      </c>
      <c r="D270" t="s">
        <v>451</v>
      </c>
      <c r="E270" t="s">
        <v>524</v>
      </c>
      <c r="F270" t="s">
        <v>309</v>
      </c>
      <c r="H270" t="s">
        <v>567</v>
      </c>
      <c r="I270">
        <v>19000000</v>
      </c>
      <c r="J270" t="s">
        <v>451</v>
      </c>
      <c r="L270" t="str">
        <f>IFERROR(INDEX(Diccionario!$B:$B,MATCH(F270,Diccionario!$C:$C,0)),"")</f>
        <v>Contabilidad</v>
      </c>
      <c r="M270" t="str">
        <f>IFERROR(INDEX(Diccionario!$H:$H,MATCH(F270,Diccionario!$C:$C,0)),"")</f>
        <v>Contabilidad</v>
      </c>
      <c r="N270" t="str">
        <f>IFERROR(INDEX(Diccionario!$N:$N,MATCH(F270,Diccionario!$C:$C,0)),"")</f>
        <v>Mensual</v>
      </c>
    </row>
    <row r="271" spans="1:14" ht="14.25" customHeight="1" x14ac:dyDescent="0.3">
      <c r="A271" t="s">
        <v>527</v>
      </c>
      <c r="B271" t="s">
        <v>522</v>
      </c>
      <c r="C271" t="s">
        <v>523</v>
      </c>
      <c r="D271" t="s">
        <v>451</v>
      </c>
      <c r="E271" t="s">
        <v>524</v>
      </c>
      <c r="F271" t="s">
        <v>309</v>
      </c>
      <c r="H271" t="s">
        <v>568</v>
      </c>
      <c r="I271">
        <v>2000000</v>
      </c>
      <c r="J271" t="s">
        <v>451</v>
      </c>
      <c r="L271" t="str">
        <f>IFERROR(INDEX(Diccionario!$B:$B,MATCH(F271,Diccionario!$C:$C,0)),"")</f>
        <v>Contabilidad</v>
      </c>
      <c r="M271" t="str">
        <f>IFERROR(INDEX(Diccionario!$H:$H,MATCH(F271,Diccionario!$C:$C,0)),"")</f>
        <v>Contabilidad</v>
      </c>
      <c r="N271" t="str">
        <f>IFERROR(INDEX(Diccionario!$N:$N,MATCH(F271,Diccionario!$C:$C,0)),"")</f>
        <v>Mensual</v>
      </c>
    </row>
    <row r="272" spans="1:14" ht="14.25" customHeight="1" x14ac:dyDescent="0.3">
      <c r="A272" t="s">
        <v>527</v>
      </c>
      <c r="B272" t="s">
        <v>522</v>
      </c>
      <c r="C272" t="s">
        <v>523</v>
      </c>
      <c r="D272" t="s">
        <v>451</v>
      </c>
      <c r="E272" t="s">
        <v>524</v>
      </c>
      <c r="F272" t="s">
        <v>309</v>
      </c>
      <c r="H272" t="s">
        <v>569</v>
      </c>
      <c r="I272">
        <v>1000000</v>
      </c>
      <c r="J272" t="s">
        <v>451</v>
      </c>
      <c r="L272" t="str">
        <f>IFERROR(INDEX(Diccionario!$B:$B,MATCH(F272,Diccionario!$C:$C,0)),"")</f>
        <v>Contabilidad</v>
      </c>
      <c r="M272" t="str">
        <f>IFERROR(INDEX(Diccionario!$H:$H,MATCH(F272,Diccionario!$C:$C,0)),"")</f>
        <v>Contabilidad</v>
      </c>
      <c r="N272" t="str">
        <f>IFERROR(INDEX(Diccionario!$N:$N,MATCH(F272,Diccionario!$C:$C,0)),"")</f>
        <v>Mensual</v>
      </c>
    </row>
    <row r="273" spans="1:14" ht="14.25" customHeight="1" x14ac:dyDescent="0.3">
      <c r="A273" t="s">
        <v>527</v>
      </c>
      <c r="B273" t="s">
        <v>522</v>
      </c>
      <c r="C273" t="s">
        <v>523</v>
      </c>
      <c r="D273" t="s">
        <v>451</v>
      </c>
      <c r="E273" t="s">
        <v>524</v>
      </c>
      <c r="F273" t="s">
        <v>309</v>
      </c>
      <c r="H273" t="s">
        <v>570</v>
      </c>
      <c r="I273">
        <v>7000000</v>
      </c>
      <c r="J273" t="s">
        <v>451</v>
      </c>
      <c r="L273" t="str">
        <f>IFERROR(INDEX(Diccionario!$B:$B,MATCH(F273,Diccionario!$C:$C,0)),"")</f>
        <v>Contabilidad</v>
      </c>
      <c r="M273" t="str">
        <f>IFERROR(INDEX(Diccionario!$H:$H,MATCH(F273,Diccionario!$C:$C,0)),"")</f>
        <v>Contabilidad</v>
      </c>
      <c r="N273" t="str">
        <f>IFERROR(INDEX(Diccionario!$N:$N,MATCH(F273,Diccionario!$C:$C,0)),"")</f>
        <v>Mensual</v>
      </c>
    </row>
    <row r="274" spans="1:14" ht="14.25" customHeight="1" x14ac:dyDescent="0.3">
      <c r="A274" t="s">
        <v>527</v>
      </c>
      <c r="B274" t="s">
        <v>522</v>
      </c>
      <c r="C274" t="s">
        <v>523</v>
      </c>
      <c r="D274" t="s">
        <v>451</v>
      </c>
      <c r="E274" t="s">
        <v>524</v>
      </c>
      <c r="F274" t="s">
        <v>309</v>
      </c>
      <c r="H274" t="s">
        <v>571</v>
      </c>
      <c r="I274">
        <v>6000000</v>
      </c>
      <c r="J274" t="s">
        <v>451</v>
      </c>
      <c r="L274" t="str">
        <f>IFERROR(INDEX(Diccionario!$B:$B,MATCH(F274,Diccionario!$C:$C,0)),"")</f>
        <v>Contabilidad</v>
      </c>
      <c r="M274" t="str">
        <f>IFERROR(INDEX(Diccionario!$H:$H,MATCH(F274,Diccionario!$C:$C,0)),"")</f>
        <v>Contabilidad</v>
      </c>
      <c r="N274" t="str">
        <f>IFERROR(INDEX(Diccionario!$N:$N,MATCH(F274,Diccionario!$C:$C,0)),"")</f>
        <v>Mensual</v>
      </c>
    </row>
    <row r="275" spans="1:14" ht="14.25" customHeight="1" x14ac:dyDescent="0.3">
      <c r="A275" t="s">
        <v>528</v>
      </c>
      <c r="B275" t="s">
        <v>522</v>
      </c>
      <c r="C275" t="s">
        <v>523</v>
      </c>
      <c r="D275" t="s">
        <v>451</v>
      </c>
      <c r="E275" t="s">
        <v>524</v>
      </c>
      <c r="F275" t="s">
        <v>309</v>
      </c>
      <c r="H275" t="s">
        <v>565</v>
      </c>
      <c r="I275">
        <v>48000000</v>
      </c>
      <c r="J275" t="s">
        <v>451</v>
      </c>
      <c r="L275" t="str">
        <f>IFERROR(INDEX(Diccionario!$B:$B,MATCH(F275,Diccionario!$C:$C,0)),"")</f>
        <v>Contabilidad</v>
      </c>
      <c r="M275" t="str">
        <f>IFERROR(INDEX(Diccionario!$H:$H,MATCH(F275,Diccionario!$C:$C,0)),"")</f>
        <v>Contabilidad</v>
      </c>
      <c r="N275" t="str">
        <f>IFERROR(INDEX(Diccionario!$N:$N,MATCH(F275,Diccionario!$C:$C,0)),"")</f>
        <v>Mensual</v>
      </c>
    </row>
    <row r="276" spans="1:14" ht="14.25" customHeight="1" x14ac:dyDescent="0.3">
      <c r="A276" t="s">
        <v>528</v>
      </c>
      <c r="B276" t="s">
        <v>522</v>
      </c>
      <c r="C276" t="s">
        <v>523</v>
      </c>
      <c r="D276" t="s">
        <v>451</v>
      </c>
      <c r="E276" t="s">
        <v>524</v>
      </c>
      <c r="F276" t="s">
        <v>309</v>
      </c>
      <c r="H276" t="s">
        <v>566</v>
      </c>
      <c r="I276">
        <v>6000000</v>
      </c>
      <c r="J276" t="s">
        <v>451</v>
      </c>
      <c r="L276" t="str">
        <f>IFERROR(INDEX(Diccionario!$B:$B,MATCH(F276,Diccionario!$C:$C,0)),"")</f>
        <v>Contabilidad</v>
      </c>
      <c r="M276" t="str">
        <f>IFERROR(INDEX(Diccionario!$H:$H,MATCH(F276,Diccionario!$C:$C,0)),"")</f>
        <v>Contabilidad</v>
      </c>
      <c r="N276" t="str">
        <f>IFERROR(INDEX(Diccionario!$N:$N,MATCH(F276,Diccionario!$C:$C,0)),"")</f>
        <v>Mensual</v>
      </c>
    </row>
    <row r="277" spans="1:14" ht="14.25" customHeight="1" x14ac:dyDescent="0.3">
      <c r="A277" t="s">
        <v>528</v>
      </c>
      <c r="B277" t="s">
        <v>522</v>
      </c>
      <c r="C277" t="s">
        <v>523</v>
      </c>
      <c r="D277" t="s">
        <v>451</v>
      </c>
      <c r="E277" t="s">
        <v>524</v>
      </c>
      <c r="F277" t="s">
        <v>309</v>
      </c>
      <c r="H277" t="s">
        <v>567</v>
      </c>
      <c r="I277">
        <v>22000000</v>
      </c>
      <c r="J277" t="s">
        <v>451</v>
      </c>
      <c r="L277" t="str">
        <f>IFERROR(INDEX(Diccionario!$B:$B,MATCH(F277,Diccionario!$C:$C,0)),"")</f>
        <v>Contabilidad</v>
      </c>
      <c r="M277" t="str">
        <f>IFERROR(INDEX(Diccionario!$H:$H,MATCH(F277,Diccionario!$C:$C,0)),"")</f>
        <v>Contabilidad</v>
      </c>
      <c r="N277" t="str">
        <f>IFERROR(INDEX(Diccionario!$N:$N,MATCH(F277,Diccionario!$C:$C,0)),"")</f>
        <v>Mensual</v>
      </c>
    </row>
    <row r="278" spans="1:14" ht="14.25" customHeight="1" x14ac:dyDescent="0.3">
      <c r="A278" t="s">
        <v>528</v>
      </c>
      <c r="B278" t="s">
        <v>522</v>
      </c>
      <c r="C278" t="s">
        <v>523</v>
      </c>
      <c r="D278" t="s">
        <v>451</v>
      </c>
      <c r="E278" t="s">
        <v>524</v>
      </c>
      <c r="F278" t="s">
        <v>309</v>
      </c>
      <c r="H278" t="s">
        <v>568</v>
      </c>
      <c r="I278">
        <v>5000000</v>
      </c>
      <c r="J278" t="s">
        <v>451</v>
      </c>
      <c r="L278" t="str">
        <f>IFERROR(INDEX(Diccionario!$B:$B,MATCH(F278,Diccionario!$C:$C,0)),"")</f>
        <v>Contabilidad</v>
      </c>
      <c r="M278" t="str">
        <f>IFERROR(INDEX(Diccionario!$H:$H,MATCH(F278,Diccionario!$C:$C,0)),"")</f>
        <v>Contabilidad</v>
      </c>
      <c r="N278" t="str">
        <f>IFERROR(INDEX(Diccionario!$N:$N,MATCH(F278,Diccionario!$C:$C,0)),"")</f>
        <v>Mensual</v>
      </c>
    </row>
    <row r="279" spans="1:14" ht="14.25" customHeight="1" x14ac:dyDescent="0.3">
      <c r="A279" t="s">
        <v>528</v>
      </c>
      <c r="B279" t="s">
        <v>522</v>
      </c>
      <c r="C279" t="s">
        <v>523</v>
      </c>
      <c r="D279" t="s">
        <v>451</v>
      </c>
      <c r="E279" t="s">
        <v>524</v>
      </c>
      <c r="F279" t="s">
        <v>309</v>
      </c>
      <c r="H279" t="s">
        <v>569</v>
      </c>
      <c r="I279">
        <v>7000000</v>
      </c>
      <c r="J279" t="s">
        <v>451</v>
      </c>
      <c r="L279" t="str">
        <f>IFERROR(INDEX(Diccionario!$B:$B,MATCH(F279,Diccionario!$C:$C,0)),"")</f>
        <v>Contabilidad</v>
      </c>
      <c r="M279" t="str">
        <f>IFERROR(INDEX(Diccionario!$H:$H,MATCH(F279,Diccionario!$C:$C,0)),"")</f>
        <v>Contabilidad</v>
      </c>
      <c r="N279" t="str">
        <f>IFERROR(INDEX(Diccionario!$N:$N,MATCH(F279,Diccionario!$C:$C,0)),"")</f>
        <v>Mensual</v>
      </c>
    </row>
    <row r="280" spans="1:14" ht="14.25" customHeight="1" x14ac:dyDescent="0.3">
      <c r="A280" t="s">
        <v>528</v>
      </c>
      <c r="B280" t="s">
        <v>522</v>
      </c>
      <c r="C280" t="s">
        <v>523</v>
      </c>
      <c r="D280" t="s">
        <v>451</v>
      </c>
      <c r="E280" t="s">
        <v>524</v>
      </c>
      <c r="F280" t="s">
        <v>309</v>
      </c>
      <c r="H280" t="s">
        <v>570</v>
      </c>
      <c r="I280">
        <v>4000000</v>
      </c>
      <c r="J280" t="s">
        <v>451</v>
      </c>
      <c r="L280" t="str">
        <f>IFERROR(INDEX(Diccionario!$B:$B,MATCH(F280,Diccionario!$C:$C,0)),"")</f>
        <v>Contabilidad</v>
      </c>
      <c r="M280" t="str">
        <f>IFERROR(INDEX(Diccionario!$H:$H,MATCH(F280,Diccionario!$C:$C,0)),"")</f>
        <v>Contabilidad</v>
      </c>
      <c r="N280" t="str">
        <f>IFERROR(INDEX(Diccionario!$N:$N,MATCH(F280,Diccionario!$C:$C,0)),"")</f>
        <v>Mensual</v>
      </c>
    </row>
    <row r="281" spans="1:14" ht="14.25" customHeight="1" x14ac:dyDescent="0.3">
      <c r="A281" t="s">
        <v>528</v>
      </c>
      <c r="B281" t="s">
        <v>522</v>
      </c>
      <c r="C281" t="s">
        <v>523</v>
      </c>
      <c r="D281" t="s">
        <v>451</v>
      </c>
      <c r="E281" t="s">
        <v>524</v>
      </c>
      <c r="F281" t="s">
        <v>309</v>
      </c>
      <c r="H281" t="s">
        <v>571</v>
      </c>
      <c r="I281">
        <v>2000000</v>
      </c>
      <c r="J281" t="s">
        <v>451</v>
      </c>
      <c r="L281" t="str">
        <f>IFERROR(INDEX(Diccionario!$B:$B,MATCH(F281,Diccionario!$C:$C,0)),"")</f>
        <v>Contabilidad</v>
      </c>
      <c r="M281" t="str">
        <f>IFERROR(INDEX(Diccionario!$H:$H,MATCH(F281,Diccionario!$C:$C,0)),"")</f>
        <v>Contabilidad</v>
      </c>
      <c r="N281" t="str">
        <f>IFERROR(INDEX(Diccionario!$N:$N,MATCH(F281,Diccionario!$C:$C,0)),"")</f>
        <v>Mensual</v>
      </c>
    </row>
    <row r="282" spans="1:14" ht="14.25" customHeight="1" x14ac:dyDescent="0.3">
      <c r="A282" t="s">
        <v>529</v>
      </c>
      <c r="B282" t="s">
        <v>522</v>
      </c>
      <c r="C282" t="s">
        <v>523</v>
      </c>
      <c r="D282" t="s">
        <v>451</v>
      </c>
      <c r="E282" t="s">
        <v>524</v>
      </c>
      <c r="F282" t="s">
        <v>309</v>
      </c>
      <c r="H282" t="s">
        <v>565</v>
      </c>
      <c r="I282">
        <v>46000000</v>
      </c>
      <c r="J282" t="s">
        <v>451</v>
      </c>
      <c r="L282" t="str">
        <f>IFERROR(INDEX(Diccionario!$B:$B,MATCH(F282,Diccionario!$C:$C,0)),"")</f>
        <v>Contabilidad</v>
      </c>
      <c r="M282" t="str">
        <f>IFERROR(INDEX(Diccionario!$H:$H,MATCH(F282,Diccionario!$C:$C,0)),"")</f>
        <v>Contabilidad</v>
      </c>
      <c r="N282" t="str">
        <f>IFERROR(INDEX(Diccionario!$N:$N,MATCH(F282,Diccionario!$C:$C,0)),"")</f>
        <v>Mensual</v>
      </c>
    </row>
    <row r="283" spans="1:14" ht="14.25" customHeight="1" x14ac:dyDescent="0.3">
      <c r="A283" t="s">
        <v>529</v>
      </c>
      <c r="B283" t="s">
        <v>522</v>
      </c>
      <c r="C283" t="s">
        <v>523</v>
      </c>
      <c r="D283" t="s">
        <v>451</v>
      </c>
      <c r="E283" t="s">
        <v>524</v>
      </c>
      <c r="F283" t="s">
        <v>309</v>
      </c>
      <c r="H283" t="s">
        <v>566</v>
      </c>
      <c r="I283">
        <v>13000000</v>
      </c>
      <c r="J283" t="s">
        <v>451</v>
      </c>
      <c r="L283" t="str">
        <f>IFERROR(INDEX(Diccionario!$B:$B,MATCH(F283,Diccionario!$C:$C,0)),"")</f>
        <v>Contabilidad</v>
      </c>
      <c r="M283" t="str">
        <f>IFERROR(INDEX(Diccionario!$H:$H,MATCH(F283,Diccionario!$C:$C,0)),"")</f>
        <v>Contabilidad</v>
      </c>
      <c r="N283" t="str">
        <f>IFERROR(INDEX(Diccionario!$N:$N,MATCH(F283,Diccionario!$C:$C,0)),"")</f>
        <v>Mensual</v>
      </c>
    </row>
    <row r="284" spans="1:14" ht="14.25" customHeight="1" x14ac:dyDescent="0.3">
      <c r="A284" t="s">
        <v>529</v>
      </c>
      <c r="B284" t="s">
        <v>522</v>
      </c>
      <c r="C284" t="s">
        <v>523</v>
      </c>
      <c r="D284" t="s">
        <v>451</v>
      </c>
      <c r="E284" t="s">
        <v>524</v>
      </c>
      <c r="F284" t="s">
        <v>309</v>
      </c>
      <c r="H284" t="s">
        <v>567</v>
      </c>
      <c r="I284">
        <v>23000000</v>
      </c>
      <c r="J284" t="s">
        <v>451</v>
      </c>
      <c r="L284" t="str">
        <f>IFERROR(INDEX(Diccionario!$B:$B,MATCH(F284,Diccionario!$C:$C,0)),"")</f>
        <v>Contabilidad</v>
      </c>
      <c r="M284" t="str">
        <f>IFERROR(INDEX(Diccionario!$H:$H,MATCH(F284,Diccionario!$C:$C,0)),"")</f>
        <v>Contabilidad</v>
      </c>
      <c r="N284" t="str">
        <f>IFERROR(INDEX(Diccionario!$N:$N,MATCH(F284,Diccionario!$C:$C,0)),"")</f>
        <v>Mensual</v>
      </c>
    </row>
    <row r="285" spans="1:14" ht="14.25" customHeight="1" x14ac:dyDescent="0.3">
      <c r="A285" t="s">
        <v>529</v>
      </c>
      <c r="B285" t="s">
        <v>522</v>
      </c>
      <c r="C285" t="s">
        <v>523</v>
      </c>
      <c r="D285" t="s">
        <v>451</v>
      </c>
      <c r="E285" t="s">
        <v>524</v>
      </c>
      <c r="F285" t="s">
        <v>309</v>
      </c>
      <c r="H285" t="s">
        <v>568</v>
      </c>
      <c r="I285">
        <v>4000000</v>
      </c>
      <c r="J285" t="s">
        <v>451</v>
      </c>
      <c r="L285" t="str">
        <f>IFERROR(INDEX(Diccionario!$B:$B,MATCH(F285,Diccionario!$C:$C,0)),"")</f>
        <v>Contabilidad</v>
      </c>
      <c r="M285" t="str">
        <f>IFERROR(INDEX(Diccionario!$H:$H,MATCH(F285,Diccionario!$C:$C,0)),"")</f>
        <v>Contabilidad</v>
      </c>
      <c r="N285" t="str">
        <f>IFERROR(INDEX(Diccionario!$N:$N,MATCH(F285,Diccionario!$C:$C,0)),"")</f>
        <v>Mensual</v>
      </c>
    </row>
    <row r="286" spans="1:14" ht="14.25" customHeight="1" x14ac:dyDescent="0.3">
      <c r="A286" t="s">
        <v>529</v>
      </c>
      <c r="B286" t="s">
        <v>522</v>
      </c>
      <c r="C286" t="s">
        <v>523</v>
      </c>
      <c r="D286" t="s">
        <v>451</v>
      </c>
      <c r="E286" t="s">
        <v>524</v>
      </c>
      <c r="F286" t="s">
        <v>309</v>
      </c>
      <c r="H286" t="s">
        <v>569</v>
      </c>
      <c r="I286">
        <v>7000000</v>
      </c>
      <c r="J286" t="s">
        <v>451</v>
      </c>
      <c r="L286" t="str">
        <f>IFERROR(INDEX(Diccionario!$B:$B,MATCH(F286,Diccionario!$C:$C,0)),"")</f>
        <v>Contabilidad</v>
      </c>
      <c r="M286" t="str">
        <f>IFERROR(INDEX(Diccionario!$H:$H,MATCH(F286,Diccionario!$C:$C,0)),"")</f>
        <v>Contabilidad</v>
      </c>
      <c r="N286" t="str">
        <f>IFERROR(INDEX(Diccionario!$N:$N,MATCH(F286,Diccionario!$C:$C,0)),"")</f>
        <v>Mensual</v>
      </c>
    </row>
    <row r="287" spans="1:14" ht="14.25" customHeight="1" x14ac:dyDescent="0.3">
      <c r="A287" t="s">
        <v>529</v>
      </c>
      <c r="B287" t="s">
        <v>522</v>
      </c>
      <c r="C287" t="s">
        <v>523</v>
      </c>
      <c r="D287" t="s">
        <v>451</v>
      </c>
      <c r="E287" t="s">
        <v>524</v>
      </c>
      <c r="F287" t="s">
        <v>309</v>
      </c>
      <c r="H287" t="s">
        <v>570</v>
      </c>
      <c r="I287">
        <v>2000000</v>
      </c>
      <c r="J287" t="s">
        <v>451</v>
      </c>
      <c r="L287" t="str">
        <f>IFERROR(INDEX(Diccionario!$B:$B,MATCH(F287,Diccionario!$C:$C,0)),"")</f>
        <v>Contabilidad</v>
      </c>
      <c r="M287" t="str">
        <f>IFERROR(INDEX(Diccionario!$H:$H,MATCH(F287,Diccionario!$C:$C,0)),"")</f>
        <v>Contabilidad</v>
      </c>
      <c r="N287" t="str">
        <f>IFERROR(INDEX(Diccionario!$N:$N,MATCH(F287,Diccionario!$C:$C,0)),"")</f>
        <v>Mensual</v>
      </c>
    </row>
    <row r="288" spans="1:14" ht="14.25" customHeight="1" x14ac:dyDescent="0.3">
      <c r="A288" t="s">
        <v>529</v>
      </c>
      <c r="B288" t="s">
        <v>522</v>
      </c>
      <c r="C288" t="s">
        <v>523</v>
      </c>
      <c r="D288" t="s">
        <v>451</v>
      </c>
      <c r="E288" t="s">
        <v>524</v>
      </c>
      <c r="F288" t="s">
        <v>309</v>
      </c>
      <c r="H288" t="s">
        <v>571</v>
      </c>
      <c r="I288">
        <v>1000000</v>
      </c>
      <c r="J288" t="s">
        <v>451</v>
      </c>
      <c r="L288" t="str">
        <f>IFERROR(INDEX(Diccionario!$B:$B,MATCH(F288,Diccionario!$C:$C,0)),"")</f>
        <v>Contabilidad</v>
      </c>
      <c r="M288" t="str">
        <f>IFERROR(INDEX(Diccionario!$H:$H,MATCH(F288,Diccionario!$C:$C,0)),"")</f>
        <v>Contabilidad</v>
      </c>
      <c r="N288" t="str">
        <f>IFERROR(INDEX(Diccionario!$N:$N,MATCH(F288,Diccionario!$C:$C,0)),"")</f>
        <v>Mensual</v>
      </c>
    </row>
    <row r="289" spans="1:14" ht="14.25" customHeight="1" x14ac:dyDescent="0.3">
      <c r="A289" t="s">
        <v>530</v>
      </c>
      <c r="B289" t="s">
        <v>522</v>
      </c>
      <c r="C289" t="s">
        <v>523</v>
      </c>
      <c r="D289" t="s">
        <v>451</v>
      </c>
      <c r="E289" t="s">
        <v>524</v>
      </c>
      <c r="F289" t="s">
        <v>309</v>
      </c>
      <c r="H289" t="s">
        <v>565</v>
      </c>
      <c r="I289">
        <v>44000000</v>
      </c>
      <c r="J289" t="s">
        <v>451</v>
      </c>
      <c r="L289" t="str">
        <f>IFERROR(INDEX(Diccionario!$B:$B,MATCH(F289,Diccionario!$C:$C,0)),"")</f>
        <v>Contabilidad</v>
      </c>
      <c r="M289" t="str">
        <f>IFERROR(INDEX(Diccionario!$H:$H,MATCH(F289,Diccionario!$C:$C,0)),"")</f>
        <v>Contabilidad</v>
      </c>
      <c r="N289" t="str">
        <f>IFERROR(INDEX(Diccionario!$N:$N,MATCH(F289,Diccionario!$C:$C,0)),"")</f>
        <v>Mensual</v>
      </c>
    </row>
    <row r="290" spans="1:14" ht="14.25" customHeight="1" x14ac:dyDescent="0.3">
      <c r="A290" t="s">
        <v>530</v>
      </c>
      <c r="B290" t="s">
        <v>522</v>
      </c>
      <c r="C290" t="s">
        <v>523</v>
      </c>
      <c r="D290" t="s">
        <v>451</v>
      </c>
      <c r="E290" t="s">
        <v>524</v>
      </c>
      <c r="F290" t="s">
        <v>309</v>
      </c>
      <c r="H290" t="s">
        <v>566</v>
      </c>
      <c r="I290">
        <v>8000000</v>
      </c>
      <c r="J290" t="s">
        <v>451</v>
      </c>
      <c r="L290" t="str">
        <f>IFERROR(INDEX(Diccionario!$B:$B,MATCH(F290,Diccionario!$C:$C,0)),"")</f>
        <v>Contabilidad</v>
      </c>
      <c r="M290" t="str">
        <f>IFERROR(INDEX(Diccionario!$H:$H,MATCH(F290,Diccionario!$C:$C,0)),"")</f>
        <v>Contabilidad</v>
      </c>
      <c r="N290" t="str">
        <f>IFERROR(INDEX(Diccionario!$N:$N,MATCH(F290,Diccionario!$C:$C,0)),"")</f>
        <v>Mensual</v>
      </c>
    </row>
    <row r="291" spans="1:14" ht="14.25" customHeight="1" x14ac:dyDescent="0.3">
      <c r="A291" t="s">
        <v>530</v>
      </c>
      <c r="B291" t="s">
        <v>522</v>
      </c>
      <c r="C291" t="s">
        <v>523</v>
      </c>
      <c r="D291" t="s">
        <v>451</v>
      </c>
      <c r="E291" t="s">
        <v>524</v>
      </c>
      <c r="F291" t="s">
        <v>309</v>
      </c>
      <c r="H291" t="s">
        <v>567</v>
      </c>
      <c r="I291">
        <v>23000000</v>
      </c>
      <c r="J291" t="s">
        <v>451</v>
      </c>
      <c r="L291" t="str">
        <f>IFERROR(INDEX(Diccionario!$B:$B,MATCH(F291,Diccionario!$C:$C,0)),"")</f>
        <v>Contabilidad</v>
      </c>
      <c r="M291" t="str">
        <f>IFERROR(INDEX(Diccionario!$H:$H,MATCH(F291,Diccionario!$C:$C,0)),"")</f>
        <v>Contabilidad</v>
      </c>
      <c r="N291" t="str">
        <f>IFERROR(INDEX(Diccionario!$N:$N,MATCH(F291,Diccionario!$C:$C,0)),"")</f>
        <v>Mensual</v>
      </c>
    </row>
    <row r="292" spans="1:14" ht="14.25" customHeight="1" x14ac:dyDescent="0.3">
      <c r="A292" t="s">
        <v>530</v>
      </c>
      <c r="B292" t="s">
        <v>522</v>
      </c>
      <c r="C292" t="s">
        <v>523</v>
      </c>
      <c r="D292" t="s">
        <v>451</v>
      </c>
      <c r="E292" t="s">
        <v>524</v>
      </c>
      <c r="F292" t="s">
        <v>309</v>
      </c>
      <c r="H292" t="s">
        <v>568</v>
      </c>
      <c r="I292">
        <v>4000000</v>
      </c>
      <c r="J292" t="s">
        <v>451</v>
      </c>
      <c r="L292" t="str">
        <f>IFERROR(INDEX(Diccionario!$B:$B,MATCH(F292,Diccionario!$C:$C,0)),"")</f>
        <v>Contabilidad</v>
      </c>
      <c r="M292" t="str">
        <f>IFERROR(INDEX(Diccionario!$H:$H,MATCH(F292,Diccionario!$C:$C,0)),"")</f>
        <v>Contabilidad</v>
      </c>
      <c r="N292" t="str">
        <f>IFERROR(INDEX(Diccionario!$N:$N,MATCH(F292,Diccionario!$C:$C,0)),"")</f>
        <v>Mensual</v>
      </c>
    </row>
    <row r="293" spans="1:14" ht="14.25" customHeight="1" x14ac:dyDescent="0.3">
      <c r="A293" t="s">
        <v>530</v>
      </c>
      <c r="B293" t="s">
        <v>522</v>
      </c>
      <c r="C293" t="s">
        <v>523</v>
      </c>
      <c r="D293" t="s">
        <v>451</v>
      </c>
      <c r="E293" t="s">
        <v>524</v>
      </c>
      <c r="F293" t="s">
        <v>309</v>
      </c>
      <c r="H293" t="s">
        <v>569</v>
      </c>
      <c r="I293">
        <v>5000000</v>
      </c>
      <c r="J293" t="s">
        <v>451</v>
      </c>
      <c r="L293" t="str">
        <f>IFERROR(INDEX(Diccionario!$B:$B,MATCH(F293,Diccionario!$C:$C,0)),"")</f>
        <v>Contabilidad</v>
      </c>
      <c r="M293" t="str">
        <f>IFERROR(INDEX(Diccionario!$H:$H,MATCH(F293,Diccionario!$C:$C,0)),"")</f>
        <v>Contabilidad</v>
      </c>
      <c r="N293" t="str">
        <f>IFERROR(INDEX(Diccionario!$N:$N,MATCH(F293,Diccionario!$C:$C,0)),"")</f>
        <v>Mensual</v>
      </c>
    </row>
    <row r="294" spans="1:14" ht="14.25" customHeight="1" x14ac:dyDescent="0.3">
      <c r="A294" t="s">
        <v>530</v>
      </c>
      <c r="B294" t="s">
        <v>522</v>
      </c>
      <c r="C294" t="s">
        <v>523</v>
      </c>
      <c r="D294" t="s">
        <v>451</v>
      </c>
      <c r="E294" t="s">
        <v>524</v>
      </c>
      <c r="F294" t="s">
        <v>309</v>
      </c>
      <c r="H294" t="s">
        <v>570</v>
      </c>
      <c r="I294">
        <v>8000000</v>
      </c>
      <c r="J294" t="s">
        <v>451</v>
      </c>
      <c r="L294" t="str">
        <f>IFERROR(INDEX(Diccionario!$B:$B,MATCH(F294,Diccionario!$C:$C,0)),"")</f>
        <v>Contabilidad</v>
      </c>
      <c r="M294" t="str">
        <f>IFERROR(INDEX(Diccionario!$H:$H,MATCH(F294,Diccionario!$C:$C,0)),"")</f>
        <v>Contabilidad</v>
      </c>
      <c r="N294" t="str">
        <f>IFERROR(INDEX(Diccionario!$N:$N,MATCH(F294,Diccionario!$C:$C,0)),"")</f>
        <v>Mensual</v>
      </c>
    </row>
    <row r="295" spans="1:14" ht="14.25" customHeight="1" x14ac:dyDescent="0.3">
      <c r="A295" t="s">
        <v>530</v>
      </c>
      <c r="B295" t="s">
        <v>522</v>
      </c>
      <c r="C295" t="s">
        <v>523</v>
      </c>
      <c r="D295" t="s">
        <v>451</v>
      </c>
      <c r="E295" t="s">
        <v>524</v>
      </c>
      <c r="F295" t="s">
        <v>309</v>
      </c>
      <c r="H295" t="s">
        <v>571</v>
      </c>
      <c r="I295">
        <v>4000000</v>
      </c>
      <c r="J295" t="s">
        <v>451</v>
      </c>
      <c r="L295" t="str">
        <f>IFERROR(INDEX(Diccionario!$B:$B,MATCH(F295,Diccionario!$C:$C,0)),"")</f>
        <v>Contabilidad</v>
      </c>
      <c r="M295" t="str">
        <f>IFERROR(INDEX(Diccionario!$H:$H,MATCH(F295,Diccionario!$C:$C,0)),"")</f>
        <v>Contabilidad</v>
      </c>
      <c r="N295" t="str">
        <f>IFERROR(INDEX(Diccionario!$N:$N,MATCH(F295,Diccionario!$C:$C,0)),"")</f>
        <v>Mensual</v>
      </c>
    </row>
    <row r="296" spans="1:14" ht="14.25" customHeight="1" x14ac:dyDescent="0.3">
      <c r="A296" t="s">
        <v>531</v>
      </c>
      <c r="B296" t="s">
        <v>522</v>
      </c>
      <c r="C296" t="s">
        <v>523</v>
      </c>
      <c r="D296" t="s">
        <v>451</v>
      </c>
      <c r="E296" t="s">
        <v>524</v>
      </c>
      <c r="F296" t="s">
        <v>309</v>
      </c>
      <c r="H296" t="s">
        <v>565</v>
      </c>
      <c r="I296">
        <v>50000000</v>
      </c>
      <c r="J296" t="s">
        <v>451</v>
      </c>
      <c r="L296" t="str">
        <f>IFERROR(INDEX(Diccionario!$B:$B,MATCH(F296,Diccionario!$C:$C,0)),"")</f>
        <v>Contabilidad</v>
      </c>
      <c r="M296" t="str">
        <f>IFERROR(INDEX(Diccionario!$H:$H,MATCH(F296,Diccionario!$C:$C,0)),"")</f>
        <v>Contabilidad</v>
      </c>
      <c r="N296" t="str">
        <f>IFERROR(INDEX(Diccionario!$N:$N,MATCH(F296,Diccionario!$C:$C,0)),"")</f>
        <v>Mensual</v>
      </c>
    </row>
    <row r="297" spans="1:14" ht="14.25" customHeight="1" x14ac:dyDescent="0.3">
      <c r="A297" t="s">
        <v>531</v>
      </c>
      <c r="B297" t="s">
        <v>522</v>
      </c>
      <c r="C297" t="s">
        <v>523</v>
      </c>
      <c r="D297" t="s">
        <v>451</v>
      </c>
      <c r="E297" t="s">
        <v>524</v>
      </c>
      <c r="F297" t="s">
        <v>309</v>
      </c>
      <c r="H297" t="s">
        <v>566</v>
      </c>
      <c r="I297">
        <v>7000000</v>
      </c>
      <c r="J297" t="s">
        <v>451</v>
      </c>
      <c r="L297" t="str">
        <f>IFERROR(INDEX(Diccionario!$B:$B,MATCH(F297,Diccionario!$C:$C,0)),"")</f>
        <v>Contabilidad</v>
      </c>
      <c r="M297" t="str">
        <f>IFERROR(INDEX(Diccionario!$H:$H,MATCH(F297,Diccionario!$C:$C,0)),"")</f>
        <v>Contabilidad</v>
      </c>
      <c r="N297" t="str">
        <f>IFERROR(INDEX(Diccionario!$N:$N,MATCH(F297,Diccionario!$C:$C,0)),"")</f>
        <v>Mensual</v>
      </c>
    </row>
    <row r="298" spans="1:14" ht="14.25" customHeight="1" x14ac:dyDescent="0.3">
      <c r="A298" t="s">
        <v>531</v>
      </c>
      <c r="B298" t="s">
        <v>522</v>
      </c>
      <c r="C298" t="s">
        <v>523</v>
      </c>
      <c r="D298" t="s">
        <v>451</v>
      </c>
      <c r="E298" t="s">
        <v>524</v>
      </c>
      <c r="F298" t="s">
        <v>309</v>
      </c>
      <c r="H298" t="s">
        <v>567</v>
      </c>
      <c r="I298">
        <v>23000000</v>
      </c>
      <c r="J298" t="s">
        <v>451</v>
      </c>
      <c r="L298" t="str">
        <f>IFERROR(INDEX(Diccionario!$B:$B,MATCH(F298,Diccionario!$C:$C,0)),"")</f>
        <v>Contabilidad</v>
      </c>
      <c r="M298" t="str">
        <f>IFERROR(INDEX(Diccionario!$H:$H,MATCH(F298,Diccionario!$C:$C,0)),"")</f>
        <v>Contabilidad</v>
      </c>
      <c r="N298" t="str">
        <f>IFERROR(INDEX(Diccionario!$N:$N,MATCH(F298,Diccionario!$C:$C,0)),"")</f>
        <v>Mensual</v>
      </c>
    </row>
    <row r="299" spans="1:14" ht="14.25" customHeight="1" x14ac:dyDescent="0.3">
      <c r="A299" t="s">
        <v>531</v>
      </c>
      <c r="B299" t="s">
        <v>522</v>
      </c>
      <c r="C299" t="s">
        <v>523</v>
      </c>
      <c r="D299" t="s">
        <v>451</v>
      </c>
      <c r="E299" t="s">
        <v>524</v>
      </c>
      <c r="F299" t="s">
        <v>309</v>
      </c>
      <c r="H299" t="s">
        <v>568</v>
      </c>
      <c r="I299">
        <v>4000000</v>
      </c>
      <c r="J299" t="s">
        <v>451</v>
      </c>
      <c r="L299" t="str">
        <f>IFERROR(INDEX(Diccionario!$B:$B,MATCH(F299,Diccionario!$C:$C,0)),"")</f>
        <v>Contabilidad</v>
      </c>
      <c r="M299" t="str">
        <f>IFERROR(INDEX(Diccionario!$H:$H,MATCH(F299,Diccionario!$C:$C,0)),"")</f>
        <v>Contabilidad</v>
      </c>
      <c r="N299" t="str">
        <f>IFERROR(INDEX(Diccionario!$N:$N,MATCH(F299,Diccionario!$C:$C,0)),"")</f>
        <v>Mensual</v>
      </c>
    </row>
    <row r="300" spans="1:14" ht="14.25" customHeight="1" x14ac:dyDescent="0.3">
      <c r="A300" t="s">
        <v>531</v>
      </c>
      <c r="B300" t="s">
        <v>522</v>
      </c>
      <c r="C300" t="s">
        <v>523</v>
      </c>
      <c r="D300" t="s">
        <v>451</v>
      </c>
      <c r="E300" t="s">
        <v>524</v>
      </c>
      <c r="F300" t="s">
        <v>309</v>
      </c>
      <c r="H300" t="s">
        <v>569</v>
      </c>
      <c r="I300">
        <v>6000000</v>
      </c>
      <c r="J300" t="s">
        <v>451</v>
      </c>
      <c r="L300" t="str">
        <f>IFERROR(INDEX(Diccionario!$B:$B,MATCH(F300,Diccionario!$C:$C,0)),"")</f>
        <v>Contabilidad</v>
      </c>
      <c r="M300" t="str">
        <f>IFERROR(INDEX(Diccionario!$H:$H,MATCH(F300,Diccionario!$C:$C,0)),"")</f>
        <v>Contabilidad</v>
      </c>
      <c r="N300" t="str">
        <f>IFERROR(INDEX(Diccionario!$N:$N,MATCH(F300,Diccionario!$C:$C,0)),"")</f>
        <v>Mensual</v>
      </c>
    </row>
    <row r="301" spans="1:14" ht="14.25" customHeight="1" x14ac:dyDescent="0.3">
      <c r="A301" t="s">
        <v>531</v>
      </c>
      <c r="B301" t="s">
        <v>522</v>
      </c>
      <c r="C301" t="s">
        <v>523</v>
      </c>
      <c r="D301" t="s">
        <v>451</v>
      </c>
      <c r="E301" t="s">
        <v>524</v>
      </c>
      <c r="F301" t="s">
        <v>309</v>
      </c>
      <c r="H301" t="s">
        <v>570</v>
      </c>
      <c r="I301">
        <v>17000000</v>
      </c>
      <c r="J301" t="s">
        <v>451</v>
      </c>
      <c r="L301" t="str">
        <f>IFERROR(INDEX(Diccionario!$B:$B,MATCH(F301,Diccionario!$C:$C,0)),"")</f>
        <v>Contabilidad</v>
      </c>
      <c r="M301" t="str">
        <f>IFERROR(INDEX(Diccionario!$H:$H,MATCH(F301,Diccionario!$C:$C,0)),"")</f>
        <v>Contabilidad</v>
      </c>
      <c r="N301" t="str">
        <f>IFERROR(INDEX(Diccionario!$N:$N,MATCH(F301,Diccionario!$C:$C,0)),"")</f>
        <v>Mensual</v>
      </c>
    </row>
    <row r="302" spans="1:14" ht="14.25" customHeight="1" x14ac:dyDescent="0.3">
      <c r="A302" t="s">
        <v>531</v>
      </c>
      <c r="B302" t="s">
        <v>522</v>
      </c>
      <c r="C302" t="s">
        <v>523</v>
      </c>
      <c r="D302" t="s">
        <v>451</v>
      </c>
      <c r="E302" t="s">
        <v>524</v>
      </c>
      <c r="F302" t="s">
        <v>309</v>
      </c>
      <c r="H302" t="s">
        <v>571</v>
      </c>
      <c r="I302">
        <v>1000000</v>
      </c>
      <c r="J302" t="s">
        <v>451</v>
      </c>
      <c r="L302" t="str">
        <f>IFERROR(INDEX(Diccionario!$B:$B,MATCH(F302,Diccionario!$C:$C,0)),"")</f>
        <v>Contabilidad</v>
      </c>
      <c r="M302" t="str">
        <f>IFERROR(INDEX(Diccionario!$H:$H,MATCH(F302,Diccionario!$C:$C,0)),"")</f>
        <v>Contabilidad</v>
      </c>
      <c r="N302" t="str">
        <f>IFERROR(INDEX(Diccionario!$N:$N,MATCH(F302,Diccionario!$C:$C,0)),"")</f>
        <v>Mensual</v>
      </c>
    </row>
    <row r="303" spans="1:14" ht="14.25" customHeight="1" x14ac:dyDescent="0.3">
      <c r="A303" t="s">
        <v>532</v>
      </c>
      <c r="B303" t="s">
        <v>522</v>
      </c>
      <c r="C303" t="s">
        <v>523</v>
      </c>
      <c r="D303" t="s">
        <v>451</v>
      </c>
      <c r="E303" t="s">
        <v>524</v>
      </c>
      <c r="F303" t="s">
        <v>309</v>
      </c>
      <c r="H303" t="s">
        <v>565</v>
      </c>
      <c r="I303">
        <v>52000000</v>
      </c>
      <c r="J303" t="s">
        <v>451</v>
      </c>
      <c r="L303" t="str">
        <f>IFERROR(INDEX(Diccionario!$B:$B,MATCH(F303,Diccionario!$C:$C,0)),"")</f>
        <v>Contabilidad</v>
      </c>
      <c r="M303" t="str">
        <f>IFERROR(INDEX(Diccionario!$H:$H,MATCH(F303,Diccionario!$C:$C,0)),"")</f>
        <v>Contabilidad</v>
      </c>
      <c r="N303" t="str">
        <f>IFERROR(INDEX(Diccionario!$N:$N,MATCH(F303,Diccionario!$C:$C,0)),"")</f>
        <v>Mensual</v>
      </c>
    </row>
    <row r="304" spans="1:14" ht="14.25" customHeight="1" x14ac:dyDescent="0.3">
      <c r="A304" t="s">
        <v>532</v>
      </c>
      <c r="B304" t="s">
        <v>522</v>
      </c>
      <c r="C304" t="s">
        <v>523</v>
      </c>
      <c r="D304" t="s">
        <v>451</v>
      </c>
      <c r="E304" t="s">
        <v>524</v>
      </c>
      <c r="F304" t="s">
        <v>309</v>
      </c>
      <c r="H304" t="s">
        <v>566</v>
      </c>
      <c r="I304">
        <v>33000000</v>
      </c>
      <c r="J304" t="s">
        <v>451</v>
      </c>
      <c r="L304" t="str">
        <f>IFERROR(INDEX(Diccionario!$B:$B,MATCH(F304,Diccionario!$C:$C,0)),"")</f>
        <v>Contabilidad</v>
      </c>
      <c r="M304" t="str">
        <f>IFERROR(INDEX(Diccionario!$H:$H,MATCH(F304,Diccionario!$C:$C,0)),"")</f>
        <v>Contabilidad</v>
      </c>
      <c r="N304" t="str">
        <f>IFERROR(INDEX(Diccionario!$N:$N,MATCH(F304,Diccionario!$C:$C,0)),"")</f>
        <v>Mensual</v>
      </c>
    </row>
    <row r="305" spans="1:14" ht="14.25" customHeight="1" x14ac:dyDescent="0.3">
      <c r="A305" t="s">
        <v>532</v>
      </c>
      <c r="B305" t="s">
        <v>522</v>
      </c>
      <c r="C305" t="s">
        <v>523</v>
      </c>
      <c r="D305" t="s">
        <v>451</v>
      </c>
      <c r="E305" t="s">
        <v>524</v>
      </c>
      <c r="F305" t="s">
        <v>309</v>
      </c>
      <c r="H305" t="s">
        <v>567</v>
      </c>
      <c r="I305">
        <v>23000000</v>
      </c>
      <c r="J305" t="s">
        <v>451</v>
      </c>
      <c r="L305" t="str">
        <f>IFERROR(INDEX(Diccionario!$B:$B,MATCH(F305,Diccionario!$C:$C,0)),"")</f>
        <v>Contabilidad</v>
      </c>
      <c r="M305" t="str">
        <f>IFERROR(INDEX(Diccionario!$H:$H,MATCH(F305,Diccionario!$C:$C,0)),"")</f>
        <v>Contabilidad</v>
      </c>
      <c r="N305" t="str">
        <f>IFERROR(INDEX(Diccionario!$N:$N,MATCH(F305,Diccionario!$C:$C,0)),"")</f>
        <v>Mensual</v>
      </c>
    </row>
    <row r="306" spans="1:14" ht="14.25" customHeight="1" x14ac:dyDescent="0.3">
      <c r="A306" t="s">
        <v>532</v>
      </c>
      <c r="B306" t="s">
        <v>522</v>
      </c>
      <c r="C306" t="s">
        <v>523</v>
      </c>
      <c r="D306" t="s">
        <v>451</v>
      </c>
      <c r="E306" t="s">
        <v>524</v>
      </c>
      <c r="F306" t="s">
        <v>309</v>
      </c>
      <c r="H306" t="s">
        <v>568</v>
      </c>
      <c r="I306">
        <v>4000000</v>
      </c>
      <c r="J306" t="s">
        <v>451</v>
      </c>
      <c r="L306" t="str">
        <f>IFERROR(INDEX(Diccionario!$B:$B,MATCH(F306,Diccionario!$C:$C,0)),"")</f>
        <v>Contabilidad</v>
      </c>
      <c r="M306" t="str">
        <f>IFERROR(INDEX(Diccionario!$H:$H,MATCH(F306,Diccionario!$C:$C,0)),"")</f>
        <v>Contabilidad</v>
      </c>
      <c r="N306" t="str">
        <f>IFERROR(INDEX(Diccionario!$N:$N,MATCH(F306,Diccionario!$C:$C,0)),"")</f>
        <v>Mensual</v>
      </c>
    </row>
    <row r="307" spans="1:14" ht="14.25" customHeight="1" x14ac:dyDescent="0.3">
      <c r="A307" t="s">
        <v>532</v>
      </c>
      <c r="B307" t="s">
        <v>522</v>
      </c>
      <c r="C307" t="s">
        <v>523</v>
      </c>
      <c r="D307" t="s">
        <v>451</v>
      </c>
      <c r="E307" t="s">
        <v>524</v>
      </c>
      <c r="F307" t="s">
        <v>309</v>
      </c>
      <c r="H307" t="s">
        <v>569</v>
      </c>
      <c r="I307">
        <v>6000000</v>
      </c>
      <c r="J307" t="s">
        <v>451</v>
      </c>
      <c r="L307" t="str">
        <f>IFERROR(INDEX(Diccionario!$B:$B,MATCH(F307,Diccionario!$C:$C,0)),"")</f>
        <v>Contabilidad</v>
      </c>
      <c r="M307" t="str">
        <f>IFERROR(INDEX(Diccionario!$H:$H,MATCH(F307,Diccionario!$C:$C,0)),"")</f>
        <v>Contabilidad</v>
      </c>
      <c r="N307" t="str">
        <f>IFERROR(INDEX(Diccionario!$N:$N,MATCH(F307,Diccionario!$C:$C,0)),"")</f>
        <v>Mensual</v>
      </c>
    </row>
    <row r="308" spans="1:14" ht="14.25" customHeight="1" x14ac:dyDescent="0.3">
      <c r="A308" t="s">
        <v>532</v>
      </c>
      <c r="B308" t="s">
        <v>522</v>
      </c>
      <c r="C308" t="s">
        <v>523</v>
      </c>
      <c r="D308" t="s">
        <v>451</v>
      </c>
      <c r="E308" t="s">
        <v>524</v>
      </c>
      <c r="F308" t="s">
        <v>309</v>
      </c>
      <c r="H308" t="s">
        <v>570</v>
      </c>
      <c r="I308">
        <v>10000000</v>
      </c>
      <c r="J308" t="s">
        <v>451</v>
      </c>
      <c r="L308" t="str">
        <f>IFERROR(INDEX(Diccionario!$B:$B,MATCH(F308,Diccionario!$C:$C,0)),"")</f>
        <v>Contabilidad</v>
      </c>
      <c r="M308" t="str">
        <f>IFERROR(INDEX(Diccionario!$H:$H,MATCH(F308,Diccionario!$C:$C,0)),"")</f>
        <v>Contabilidad</v>
      </c>
      <c r="N308" t="str">
        <f>IFERROR(INDEX(Diccionario!$N:$N,MATCH(F308,Diccionario!$C:$C,0)),"")</f>
        <v>Mensual</v>
      </c>
    </row>
    <row r="309" spans="1:14" ht="14.25" customHeight="1" x14ac:dyDescent="0.3">
      <c r="A309" t="s">
        <v>532</v>
      </c>
      <c r="B309" t="s">
        <v>522</v>
      </c>
      <c r="C309" t="s">
        <v>523</v>
      </c>
      <c r="D309" t="s">
        <v>451</v>
      </c>
      <c r="E309" t="s">
        <v>524</v>
      </c>
      <c r="F309" t="s">
        <v>309</v>
      </c>
      <c r="H309" t="s">
        <v>571</v>
      </c>
      <c r="I309">
        <v>1000000</v>
      </c>
      <c r="J309" t="s">
        <v>451</v>
      </c>
      <c r="L309" t="str">
        <f>IFERROR(INDEX(Diccionario!$B:$B,MATCH(F309,Diccionario!$C:$C,0)),"")</f>
        <v>Contabilidad</v>
      </c>
      <c r="M309" t="str">
        <f>IFERROR(INDEX(Diccionario!$H:$H,MATCH(F309,Diccionario!$C:$C,0)),"")</f>
        <v>Contabilidad</v>
      </c>
      <c r="N309" t="str">
        <f>IFERROR(INDEX(Diccionario!$N:$N,MATCH(F309,Diccionario!$C:$C,0)),"")</f>
        <v>Mensual</v>
      </c>
    </row>
    <row r="310" spans="1:14" ht="14.25" customHeight="1" x14ac:dyDescent="0.3">
      <c r="A310" t="s">
        <v>533</v>
      </c>
      <c r="B310" t="s">
        <v>522</v>
      </c>
      <c r="C310" t="s">
        <v>523</v>
      </c>
      <c r="D310" t="s">
        <v>451</v>
      </c>
      <c r="E310" t="s">
        <v>524</v>
      </c>
      <c r="F310" t="s">
        <v>309</v>
      </c>
      <c r="H310" t="s">
        <v>565</v>
      </c>
      <c r="I310">
        <v>58000000</v>
      </c>
      <c r="J310" t="s">
        <v>451</v>
      </c>
      <c r="L310" t="str">
        <f>IFERROR(INDEX(Diccionario!$B:$B,MATCH(F310,Diccionario!$C:$C,0)),"")</f>
        <v>Contabilidad</v>
      </c>
      <c r="M310" t="str">
        <f>IFERROR(INDEX(Diccionario!$H:$H,MATCH(F310,Diccionario!$C:$C,0)),"")</f>
        <v>Contabilidad</v>
      </c>
      <c r="N310" t="str">
        <f>IFERROR(INDEX(Diccionario!$N:$N,MATCH(F310,Diccionario!$C:$C,0)),"")</f>
        <v>Mensual</v>
      </c>
    </row>
    <row r="311" spans="1:14" ht="14.25" customHeight="1" x14ac:dyDescent="0.3">
      <c r="A311" t="s">
        <v>533</v>
      </c>
      <c r="B311" t="s">
        <v>522</v>
      </c>
      <c r="C311" t="s">
        <v>523</v>
      </c>
      <c r="D311" t="s">
        <v>451</v>
      </c>
      <c r="E311" t="s">
        <v>524</v>
      </c>
      <c r="F311" t="s">
        <v>309</v>
      </c>
      <c r="H311" t="s">
        <v>566</v>
      </c>
      <c r="I311">
        <v>9000000</v>
      </c>
      <c r="J311" t="s">
        <v>451</v>
      </c>
      <c r="L311" t="str">
        <f>IFERROR(INDEX(Diccionario!$B:$B,MATCH(F311,Diccionario!$C:$C,0)),"")</f>
        <v>Contabilidad</v>
      </c>
      <c r="M311" t="str">
        <f>IFERROR(INDEX(Diccionario!$H:$H,MATCH(F311,Diccionario!$C:$C,0)),"")</f>
        <v>Contabilidad</v>
      </c>
      <c r="N311" t="str">
        <f>IFERROR(INDEX(Diccionario!$N:$N,MATCH(F311,Diccionario!$C:$C,0)),"")</f>
        <v>Mensual</v>
      </c>
    </row>
    <row r="312" spans="1:14" ht="14.25" customHeight="1" x14ac:dyDescent="0.3">
      <c r="A312" t="s">
        <v>533</v>
      </c>
      <c r="B312" t="s">
        <v>522</v>
      </c>
      <c r="C312" t="s">
        <v>523</v>
      </c>
      <c r="D312" t="s">
        <v>451</v>
      </c>
      <c r="E312" t="s">
        <v>524</v>
      </c>
      <c r="F312" t="s">
        <v>309</v>
      </c>
      <c r="H312" t="s">
        <v>567</v>
      </c>
      <c r="I312">
        <v>25000000</v>
      </c>
      <c r="J312" t="s">
        <v>451</v>
      </c>
      <c r="L312" t="str">
        <f>IFERROR(INDEX(Diccionario!$B:$B,MATCH(F312,Diccionario!$C:$C,0)),"")</f>
        <v>Contabilidad</v>
      </c>
      <c r="M312" t="str">
        <f>IFERROR(INDEX(Diccionario!$H:$H,MATCH(F312,Diccionario!$C:$C,0)),"")</f>
        <v>Contabilidad</v>
      </c>
      <c r="N312" t="str">
        <f>IFERROR(INDEX(Diccionario!$N:$N,MATCH(F312,Diccionario!$C:$C,0)),"")</f>
        <v>Mensual</v>
      </c>
    </row>
    <row r="313" spans="1:14" ht="14.25" customHeight="1" x14ac:dyDescent="0.3">
      <c r="A313" t="s">
        <v>533</v>
      </c>
      <c r="B313" t="s">
        <v>522</v>
      </c>
      <c r="C313" t="s">
        <v>523</v>
      </c>
      <c r="D313" t="s">
        <v>451</v>
      </c>
      <c r="E313" t="s">
        <v>524</v>
      </c>
      <c r="F313" t="s">
        <v>309</v>
      </c>
      <c r="H313" t="s">
        <v>568</v>
      </c>
      <c r="I313">
        <v>3000000</v>
      </c>
      <c r="J313" t="s">
        <v>451</v>
      </c>
      <c r="L313" t="str">
        <f>IFERROR(INDEX(Diccionario!$B:$B,MATCH(F313,Diccionario!$C:$C,0)),"")</f>
        <v>Contabilidad</v>
      </c>
      <c r="M313" t="str">
        <f>IFERROR(INDEX(Diccionario!$H:$H,MATCH(F313,Diccionario!$C:$C,0)),"")</f>
        <v>Contabilidad</v>
      </c>
      <c r="N313" t="str">
        <f>IFERROR(INDEX(Diccionario!$N:$N,MATCH(F313,Diccionario!$C:$C,0)),"")</f>
        <v>Mensual</v>
      </c>
    </row>
    <row r="314" spans="1:14" ht="14.25" customHeight="1" x14ac:dyDescent="0.3">
      <c r="A314" t="s">
        <v>533</v>
      </c>
      <c r="B314" t="s">
        <v>522</v>
      </c>
      <c r="C314" t="s">
        <v>523</v>
      </c>
      <c r="D314" t="s">
        <v>451</v>
      </c>
      <c r="E314" t="s">
        <v>524</v>
      </c>
      <c r="F314" t="s">
        <v>309</v>
      </c>
      <c r="H314" t="s">
        <v>569</v>
      </c>
      <c r="I314">
        <v>4000000</v>
      </c>
      <c r="J314" t="s">
        <v>451</v>
      </c>
      <c r="L314" t="str">
        <f>IFERROR(INDEX(Diccionario!$B:$B,MATCH(F314,Diccionario!$C:$C,0)),"")</f>
        <v>Contabilidad</v>
      </c>
      <c r="M314" t="str">
        <f>IFERROR(INDEX(Diccionario!$H:$H,MATCH(F314,Diccionario!$C:$C,0)),"")</f>
        <v>Contabilidad</v>
      </c>
      <c r="N314" t="str">
        <f>IFERROR(INDEX(Diccionario!$N:$N,MATCH(F314,Diccionario!$C:$C,0)),"")</f>
        <v>Mensual</v>
      </c>
    </row>
    <row r="315" spans="1:14" ht="14.25" customHeight="1" x14ac:dyDescent="0.3">
      <c r="A315" t="s">
        <v>533</v>
      </c>
      <c r="B315" t="s">
        <v>522</v>
      </c>
      <c r="C315" t="s">
        <v>523</v>
      </c>
      <c r="D315" t="s">
        <v>451</v>
      </c>
      <c r="E315" t="s">
        <v>524</v>
      </c>
      <c r="F315" t="s">
        <v>309</v>
      </c>
      <c r="H315" t="s">
        <v>570</v>
      </c>
      <c r="I315">
        <v>5000000</v>
      </c>
      <c r="J315" t="s">
        <v>451</v>
      </c>
      <c r="L315" t="str">
        <f>IFERROR(INDEX(Diccionario!$B:$B,MATCH(F315,Diccionario!$C:$C,0)),"")</f>
        <v>Contabilidad</v>
      </c>
      <c r="M315" t="str">
        <f>IFERROR(INDEX(Diccionario!$H:$H,MATCH(F315,Diccionario!$C:$C,0)),"")</f>
        <v>Contabilidad</v>
      </c>
      <c r="N315" t="str">
        <f>IFERROR(INDEX(Diccionario!$N:$N,MATCH(F315,Diccionario!$C:$C,0)),"")</f>
        <v>Mensual</v>
      </c>
    </row>
    <row r="316" spans="1:14" ht="14.25" customHeight="1" x14ac:dyDescent="0.3">
      <c r="A316" t="s">
        <v>533</v>
      </c>
      <c r="B316" t="s">
        <v>522</v>
      </c>
      <c r="C316" t="s">
        <v>523</v>
      </c>
      <c r="D316" t="s">
        <v>451</v>
      </c>
      <c r="E316" t="s">
        <v>524</v>
      </c>
      <c r="F316" t="s">
        <v>309</v>
      </c>
      <c r="H316" t="s">
        <v>571</v>
      </c>
      <c r="I316">
        <v>0</v>
      </c>
      <c r="J316" t="s">
        <v>451</v>
      </c>
      <c r="L316" t="str">
        <f>IFERROR(INDEX(Diccionario!$B:$B,MATCH(F316,Diccionario!$C:$C,0)),"")</f>
        <v>Contabilidad</v>
      </c>
      <c r="M316" t="str">
        <f>IFERROR(INDEX(Diccionario!$H:$H,MATCH(F316,Diccionario!$C:$C,0)),"")</f>
        <v>Contabilidad</v>
      </c>
      <c r="N316" t="str">
        <f>IFERROR(INDEX(Diccionario!$N:$N,MATCH(F316,Diccionario!$C:$C,0)),"")</f>
        <v>Mensual</v>
      </c>
    </row>
    <row r="317" spans="1:14" ht="14.25" customHeight="1" x14ac:dyDescent="0.3">
      <c r="A317" t="s">
        <v>534</v>
      </c>
      <c r="B317" t="s">
        <v>522</v>
      </c>
      <c r="C317" t="s">
        <v>523</v>
      </c>
      <c r="D317" t="s">
        <v>451</v>
      </c>
      <c r="E317" t="s">
        <v>524</v>
      </c>
      <c r="F317" t="s">
        <v>309</v>
      </c>
      <c r="H317" t="s">
        <v>565</v>
      </c>
      <c r="I317">
        <v>64000000</v>
      </c>
      <c r="J317" t="s">
        <v>451</v>
      </c>
      <c r="L317" t="str">
        <f>IFERROR(INDEX(Diccionario!$B:$B,MATCH(F317,Diccionario!$C:$C,0)),"")</f>
        <v>Contabilidad</v>
      </c>
      <c r="M317" t="str">
        <f>IFERROR(INDEX(Diccionario!$H:$H,MATCH(F317,Diccionario!$C:$C,0)),"")</f>
        <v>Contabilidad</v>
      </c>
      <c r="N317" t="str">
        <f>IFERROR(INDEX(Diccionario!$N:$N,MATCH(F317,Diccionario!$C:$C,0)),"")</f>
        <v>Mensual</v>
      </c>
    </row>
    <row r="318" spans="1:14" ht="14.25" customHeight="1" x14ac:dyDescent="0.3">
      <c r="A318" t="s">
        <v>534</v>
      </c>
      <c r="B318" t="s">
        <v>522</v>
      </c>
      <c r="C318" t="s">
        <v>523</v>
      </c>
      <c r="D318" t="s">
        <v>451</v>
      </c>
      <c r="E318" t="s">
        <v>524</v>
      </c>
      <c r="F318" t="s">
        <v>309</v>
      </c>
      <c r="H318" t="s">
        <v>566</v>
      </c>
      <c r="I318">
        <v>16000000</v>
      </c>
      <c r="J318" t="s">
        <v>451</v>
      </c>
      <c r="L318" t="str">
        <f>IFERROR(INDEX(Diccionario!$B:$B,MATCH(F318,Diccionario!$C:$C,0)),"")</f>
        <v>Contabilidad</v>
      </c>
      <c r="M318" t="str">
        <f>IFERROR(INDEX(Diccionario!$H:$H,MATCH(F318,Diccionario!$C:$C,0)),"")</f>
        <v>Contabilidad</v>
      </c>
      <c r="N318" t="str">
        <f>IFERROR(INDEX(Diccionario!$N:$N,MATCH(F318,Diccionario!$C:$C,0)),"")</f>
        <v>Mensual</v>
      </c>
    </row>
    <row r="319" spans="1:14" ht="14.25" customHeight="1" x14ac:dyDescent="0.3">
      <c r="A319" t="s">
        <v>534</v>
      </c>
      <c r="B319" t="s">
        <v>522</v>
      </c>
      <c r="C319" t="s">
        <v>523</v>
      </c>
      <c r="D319" t="s">
        <v>451</v>
      </c>
      <c r="E319" t="s">
        <v>524</v>
      </c>
      <c r="F319" t="s">
        <v>309</v>
      </c>
      <c r="H319" t="s">
        <v>567</v>
      </c>
      <c r="I319">
        <v>25000000</v>
      </c>
      <c r="J319" t="s">
        <v>451</v>
      </c>
      <c r="L319" t="str">
        <f>IFERROR(INDEX(Diccionario!$B:$B,MATCH(F319,Diccionario!$C:$C,0)),"")</f>
        <v>Contabilidad</v>
      </c>
      <c r="M319" t="str">
        <f>IFERROR(INDEX(Diccionario!$H:$H,MATCH(F319,Diccionario!$C:$C,0)),"")</f>
        <v>Contabilidad</v>
      </c>
      <c r="N319" t="str">
        <f>IFERROR(INDEX(Diccionario!$N:$N,MATCH(F319,Diccionario!$C:$C,0)),"")</f>
        <v>Mensual</v>
      </c>
    </row>
    <row r="320" spans="1:14" ht="14.25" customHeight="1" x14ac:dyDescent="0.3">
      <c r="A320" t="s">
        <v>534</v>
      </c>
      <c r="B320" t="s">
        <v>522</v>
      </c>
      <c r="C320" t="s">
        <v>523</v>
      </c>
      <c r="D320" t="s">
        <v>451</v>
      </c>
      <c r="E320" t="s">
        <v>524</v>
      </c>
      <c r="F320" t="s">
        <v>309</v>
      </c>
      <c r="H320" t="s">
        <v>568</v>
      </c>
      <c r="I320">
        <v>2000000</v>
      </c>
      <c r="J320" t="s">
        <v>451</v>
      </c>
      <c r="L320" t="str">
        <f>IFERROR(INDEX(Diccionario!$B:$B,MATCH(F320,Diccionario!$C:$C,0)),"")</f>
        <v>Contabilidad</v>
      </c>
      <c r="M320" t="str">
        <f>IFERROR(INDEX(Diccionario!$H:$H,MATCH(F320,Diccionario!$C:$C,0)),"")</f>
        <v>Contabilidad</v>
      </c>
      <c r="N320" t="str">
        <f>IFERROR(INDEX(Diccionario!$N:$N,MATCH(F320,Diccionario!$C:$C,0)),"")</f>
        <v>Mensual</v>
      </c>
    </row>
    <row r="321" spans="1:14" ht="14.25" customHeight="1" x14ac:dyDescent="0.3">
      <c r="A321" t="s">
        <v>534</v>
      </c>
      <c r="B321" t="s">
        <v>522</v>
      </c>
      <c r="C321" t="s">
        <v>523</v>
      </c>
      <c r="D321" t="s">
        <v>451</v>
      </c>
      <c r="E321" t="s">
        <v>524</v>
      </c>
      <c r="F321" t="s">
        <v>309</v>
      </c>
      <c r="H321" t="s">
        <v>569</v>
      </c>
      <c r="I321">
        <v>6000000</v>
      </c>
      <c r="J321" t="s">
        <v>451</v>
      </c>
      <c r="L321" t="str">
        <f>IFERROR(INDEX(Diccionario!$B:$B,MATCH(F321,Diccionario!$C:$C,0)),"")</f>
        <v>Contabilidad</v>
      </c>
      <c r="M321" t="str">
        <f>IFERROR(INDEX(Diccionario!$H:$H,MATCH(F321,Diccionario!$C:$C,0)),"")</f>
        <v>Contabilidad</v>
      </c>
      <c r="N321" t="str">
        <f>IFERROR(INDEX(Diccionario!$N:$N,MATCH(F321,Diccionario!$C:$C,0)),"")</f>
        <v>Mensual</v>
      </c>
    </row>
    <row r="322" spans="1:14" ht="14.25" customHeight="1" x14ac:dyDescent="0.3">
      <c r="A322" t="s">
        <v>534</v>
      </c>
      <c r="B322" t="s">
        <v>522</v>
      </c>
      <c r="C322" t="s">
        <v>523</v>
      </c>
      <c r="D322" t="s">
        <v>451</v>
      </c>
      <c r="E322" t="s">
        <v>524</v>
      </c>
      <c r="F322" t="s">
        <v>309</v>
      </c>
      <c r="H322" t="s">
        <v>570</v>
      </c>
      <c r="I322">
        <v>15000000</v>
      </c>
      <c r="J322" t="s">
        <v>451</v>
      </c>
      <c r="L322" t="str">
        <f>IFERROR(INDEX(Diccionario!$B:$B,MATCH(F322,Diccionario!$C:$C,0)),"")</f>
        <v>Contabilidad</v>
      </c>
      <c r="M322" t="str">
        <f>IFERROR(INDEX(Diccionario!$H:$H,MATCH(F322,Diccionario!$C:$C,0)),"")</f>
        <v>Contabilidad</v>
      </c>
      <c r="N322" t="str">
        <f>IFERROR(INDEX(Diccionario!$N:$N,MATCH(F322,Diccionario!$C:$C,0)),"")</f>
        <v>Mensual</v>
      </c>
    </row>
    <row r="323" spans="1:14" ht="14.25" customHeight="1" x14ac:dyDescent="0.3">
      <c r="A323" t="s">
        <v>534</v>
      </c>
      <c r="B323" t="s">
        <v>522</v>
      </c>
      <c r="C323" t="s">
        <v>523</v>
      </c>
      <c r="D323" t="s">
        <v>451</v>
      </c>
      <c r="E323" t="s">
        <v>524</v>
      </c>
      <c r="F323" t="s">
        <v>309</v>
      </c>
      <c r="H323" t="s">
        <v>571</v>
      </c>
      <c r="I323">
        <v>1000000</v>
      </c>
      <c r="J323" t="s">
        <v>451</v>
      </c>
      <c r="L323" t="str">
        <f>IFERROR(INDEX(Diccionario!$B:$B,MATCH(F323,Diccionario!$C:$C,0)),"")</f>
        <v>Contabilidad</v>
      </c>
      <c r="M323" t="str">
        <f>IFERROR(INDEX(Diccionario!$H:$H,MATCH(F323,Diccionario!$C:$C,0)),"")</f>
        <v>Contabilidad</v>
      </c>
      <c r="N323" t="str">
        <f>IFERROR(INDEX(Diccionario!$N:$N,MATCH(F323,Diccionario!$C:$C,0)),"")</f>
        <v>Mensual</v>
      </c>
    </row>
    <row r="324" spans="1:14" ht="14.25" customHeight="1" x14ac:dyDescent="0.3">
      <c r="A324" t="s">
        <v>535</v>
      </c>
      <c r="B324" t="s">
        <v>522</v>
      </c>
      <c r="C324" t="s">
        <v>523</v>
      </c>
      <c r="D324" t="s">
        <v>451</v>
      </c>
      <c r="E324" t="s">
        <v>524</v>
      </c>
      <c r="F324" t="s">
        <v>309</v>
      </c>
      <c r="H324" t="s">
        <v>565</v>
      </c>
      <c r="I324">
        <v>73000000</v>
      </c>
      <c r="J324" t="s">
        <v>451</v>
      </c>
      <c r="L324" t="str">
        <f>IFERROR(INDEX(Diccionario!$B:$B,MATCH(F324,Diccionario!$C:$C,0)),"")</f>
        <v>Contabilidad</v>
      </c>
      <c r="M324" t="str">
        <f>IFERROR(INDEX(Diccionario!$H:$H,MATCH(F324,Diccionario!$C:$C,0)),"")</f>
        <v>Contabilidad</v>
      </c>
      <c r="N324" t="str">
        <f>IFERROR(INDEX(Diccionario!$N:$N,MATCH(F324,Diccionario!$C:$C,0)),"")</f>
        <v>Mensual</v>
      </c>
    </row>
    <row r="325" spans="1:14" ht="14.25" customHeight="1" x14ac:dyDescent="0.3">
      <c r="A325" t="s">
        <v>535</v>
      </c>
      <c r="B325" t="s">
        <v>522</v>
      </c>
      <c r="C325" t="s">
        <v>523</v>
      </c>
      <c r="D325" t="s">
        <v>451</v>
      </c>
      <c r="E325" t="s">
        <v>524</v>
      </c>
      <c r="F325" t="s">
        <v>309</v>
      </c>
      <c r="H325" t="s">
        <v>566</v>
      </c>
      <c r="I325">
        <v>8000000</v>
      </c>
      <c r="J325" t="s">
        <v>451</v>
      </c>
      <c r="L325" t="str">
        <f>IFERROR(INDEX(Diccionario!$B:$B,MATCH(F325,Diccionario!$C:$C,0)),"")</f>
        <v>Contabilidad</v>
      </c>
      <c r="M325" t="str">
        <f>IFERROR(INDEX(Diccionario!$H:$H,MATCH(F325,Diccionario!$C:$C,0)),"")</f>
        <v>Contabilidad</v>
      </c>
      <c r="N325" t="str">
        <f>IFERROR(INDEX(Diccionario!$N:$N,MATCH(F325,Diccionario!$C:$C,0)),"")</f>
        <v>Mensual</v>
      </c>
    </row>
    <row r="326" spans="1:14" ht="14.25" customHeight="1" x14ac:dyDescent="0.3">
      <c r="A326" t="s">
        <v>535</v>
      </c>
      <c r="B326" t="s">
        <v>522</v>
      </c>
      <c r="C326" t="s">
        <v>523</v>
      </c>
      <c r="D326" t="s">
        <v>451</v>
      </c>
      <c r="E326" t="s">
        <v>524</v>
      </c>
      <c r="F326" t="s">
        <v>309</v>
      </c>
      <c r="H326" t="s">
        <v>567</v>
      </c>
      <c r="I326">
        <v>25000000</v>
      </c>
      <c r="J326" t="s">
        <v>451</v>
      </c>
      <c r="L326" t="str">
        <f>IFERROR(INDEX(Diccionario!$B:$B,MATCH(F326,Diccionario!$C:$C,0)),"")</f>
        <v>Contabilidad</v>
      </c>
      <c r="M326" t="str">
        <f>IFERROR(INDEX(Diccionario!$H:$H,MATCH(F326,Diccionario!$C:$C,0)),"")</f>
        <v>Contabilidad</v>
      </c>
      <c r="N326" t="str">
        <f>IFERROR(INDEX(Diccionario!$N:$N,MATCH(F326,Diccionario!$C:$C,0)),"")</f>
        <v>Mensual</v>
      </c>
    </row>
    <row r="327" spans="1:14" ht="14.25" customHeight="1" x14ac:dyDescent="0.3">
      <c r="A327" t="s">
        <v>535</v>
      </c>
      <c r="B327" t="s">
        <v>522</v>
      </c>
      <c r="C327" t="s">
        <v>523</v>
      </c>
      <c r="D327" t="s">
        <v>451</v>
      </c>
      <c r="E327" t="s">
        <v>524</v>
      </c>
      <c r="F327" t="s">
        <v>309</v>
      </c>
      <c r="H327" t="s">
        <v>568</v>
      </c>
      <c r="I327">
        <v>4000000</v>
      </c>
      <c r="J327" t="s">
        <v>451</v>
      </c>
      <c r="L327" t="str">
        <f>IFERROR(INDEX(Diccionario!$B:$B,MATCH(F327,Diccionario!$C:$C,0)),"")</f>
        <v>Contabilidad</v>
      </c>
      <c r="M327" t="str">
        <f>IFERROR(INDEX(Diccionario!$H:$H,MATCH(F327,Diccionario!$C:$C,0)),"")</f>
        <v>Contabilidad</v>
      </c>
      <c r="N327" t="str">
        <f>IFERROR(INDEX(Diccionario!$N:$N,MATCH(F327,Diccionario!$C:$C,0)),"")</f>
        <v>Mensual</v>
      </c>
    </row>
    <row r="328" spans="1:14" ht="14.25" customHeight="1" x14ac:dyDescent="0.3">
      <c r="A328" t="s">
        <v>535</v>
      </c>
      <c r="B328" t="s">
        <v>522</v>
      </c>
      <c r="C328" t="s">
        <v>523</v>
      </c>
      <c r="D328" t="s">
        <v>451</v>
      </c>
      <c r="E328" t="s">
        <v>524</v>
      </c>
      <c r="F328" t="s">
        <v>309</v>
      </c>
      <c r="H328" t="s">
        <v>569</v>
      </c>
      <c r="I328">
        <v>6000000</v>
      </c>
      <c r="J328" t="s">
        <v>451</v>
      </c>
      <c r="L328" t="str">
        <f>IFERROR(INDEX(Diccionario!$B:$B,MATCH(F328,Diccionario!$C:$C,0)),"")</f>
        <v>Contabilidad</v>
      </c>
      <c r="M328" t="str">
        <f>IFERROR(INDEX(Diccionario!$H:$H,MATCH(F328,Diccionario!$C:$C,0)),"")</f>
        <v>Contabilidad</v>
      </c>
      <c r="N328" t="str">
        <f>IFERROR(INDEX(Diccionario!$N:$N,MATCH(F328,Diccionario!$C:$C,0)),"")</f>
        <v>Mensual</v>
      </c>
    </row>
    <row r="329" spans="1:14" ht="14.25" customHeight="1" x14ac:dyDescent="0.3">
      <c r="A329" t="s">
        <v>535</v>
      </c>
      <c r="B329" t="s">
        <v>522</v>
      </c>
      <c r="C329" t="s">
        <v>523</v>
      </c>
      <c r="D329" t="s">
        <v>451</v>
      </c>
      <c r="E329" t="s">
        <v>524</v>
      </c>
      <c r="F329" t="s">
        <v>309</v>
      </c>
      <c r="H329" t="s">
        <v>570</v>
      </c>
      <c r="I329">
        <v>28000000</v>
      </c>
      <c r="J329" t="s">
        <v>451</v>
      </c>
      <c r="L329" t="str">
        <f>IFERROR(INDEX(Diccionario!$B:$B,MATCH(F329,Diccionario!$C:$C,0)),"")</f>
        <v>Contabilidad</v>
      </c>
      <c r="M329" t="str">
        <f>IFERROR(INDEX(Diccionario!$H:$H,MATCH(F329,Diccionario!$C:$C,0)),"")</f>
        <v>Contabilidad</v>
      </c>
      <c r="N329" t="str">
        <f>IFERROR(INDEX(Diccionario!$N:$N,MATCH(F329,Diccionario!$C:$C,0)),"")</f>
        <v>Mensual</v>
      </c>
    </row>
    <row r="330" spans="1:14" ht="14.25" customHeight="1" x14ac:dyDescent="0.3">
      <c r="A330" t="s">
        <v>535</v>
      </c>
      <c r="B330" t="s">
        <v>522</v>
      </c>
      <c r="C330" t="s">
        <v>523</v>
      </c>
      <c r="D330" t="s">
        <v>451</v>
      </c>
      <c r="E330" t="s">
        <v>524</v>
      </c>
      <c r="F330" t="s">
        <v>309</v>
      </c>
      <c r="H330" t="s">
        <v>571</v>
      </c>
      <c r="I330">
        <v>0</v>
      </c>
      <c r="J330" t="s">
        <v>451</v>
      </c>
      <c r="L330" t="str">
        <f>IFERROR(INDEX(Diccionario!$B:$B,MATCH(F330,Diccionario!$C:$C,0)),"")</f>
        <v>Contabilidad</v>
      </c>
      <c r="M330" t="str">
        <f>IFERROR(INDEX(Diccionario!$H:$H,MATCH(F330,Diccionario!$C:$C,0)),"")</f>
        <v>Contabilidad</v>
      </c>
      <c r="N330" t="str">
        <f>IFERROR(INDEX(Diccionario!$N:$N,MATCH(F330,Diccionario!$C:$C,0)),"")</f>
        <v>Mensual</v>
      </c>
    </row>
    <row r="331" spans="1:14" ht="14.25" customHeight="1" x14ac:dyDescent="0.3">
      <c r="A331" t="s">
        <v>536</v>
      </c>
      <c r="B331" t="s">
        <v>522</v>
      </c>
      <c r="C331" t="s">
        <v>523</v>
      </c>
      <c r="D331" t="s">
        <v>451</v>
      </c>
      <c r="E331" t="s">
        <v>524</v>
      </c>
      <c r="F331" t="s">
        <v>309</v>
      </c>
      <c r="H331" t="s">
        <v>565</v>
      </c>
      <c r="I331">
        <v>60600000</v>
      </c>
      <c r="J331" t="s">
        <v>451</v>
      </c>
      <c r="L331" t="str">
        <f>IFERROR(INDEX(Diccionario!$B:$B,MATCH(F331,Diccionario!$C:$C,0)),"")</f>
        <v>Contabilidad</v>
      </c>
      <c r="M331" t="str">
        <f>IFERROR(INDEX(Diccionario!$H:$H,MATCH(F331,Diccionario!$C:$C,0)),"")</f>
        <v>Contabilidad</v>
      </c>
      <c r="N331" t="str">
        <f>IFERROR(INDEX(Diccionario!$N:$N,MATCH(F331,Diccionario!$C:$C,0)),"")</f>
        <v>Mensual</v>
      </c>
    </row>
    <row r="332" spans="1:14" ht="14.25" customHeight="1" x14ac:dyDescent="0.3">
      <c r="A332" t="s">
        <v>536</v>
      </c>
      <c r="B332" t="s">
        <v>522</v>
      </c>
      <c r="C332" t="s">
        <v>523</v>
      </c>
      <c r="D332" t="s">
        <v>451</v>
      </c>
      <c r="E332" t="s">
        <v>524</v>
      </c>
      <c r="F332" t="s">
        <v>309</v>
      </c>
      <c r="H332" t="s">
        <v>566</v>
      </c>
      <c r="I332">
        <v>103400000</v>
      </c>
      <c r="J332" t="s">
        <v>451</v>
      </c>
      <c r="L332" t="str">
        <f>IFERROR(INDEX(Diccionario!$B:$B,MATCH(F332,Diccionario!$C:$C,0)),"")</f>
        <v>Contabilidad</v>
      </c>
      <c r="M332" t="str">
        <f>IFERROR(INDEX(Diccionario!$H:$H,MATCH(F332,Diccionario!$C:$C,0)),"")</f>
        <v>Contabilidad</v>
      </c>
      <c r="N332" t="str">
        <f>IFERROR(INDEX(Diccionario!$N:$N,MATCH(F332,Diccionario!$C:$C,0)),"")</f>
        <v>Mensual</v>
      </c>
    </row>
    <row r="333" spans="1:14" ht="14.25" customHeight="1" x14ac:dyDescent="0.3">
      <c r="A333" t="s">
        <v>536</v>
      </c>
      <c r="B333" t="s">
        <v>522</v>
      </c>
      <c r="C333" t="s">
        <v>523</v>
      </c>
      <c r="D333" t="s">
        <v>451</v>
      </c>
      <c r="E333" t="s">
        <v>524</v>
      </c>
      <c r="F333" t="s">
        <v>309</v>
      </c>
      <c r="H333" t="s">
        <v>567</v>
      </c>
      <c r="I333">
        <v>26300000</v>
      </c>
      <c r="J333" t="s">
        <v>451</v>
      </c>
      <c r="L333" t="str">
        <f>IFERROR(INDEX(Diccionario!$B:$B,MATCH(F333,Diccionario!$C:$C,0)),"")</f>
        <v>Contabilidad</v>
      </c>
      <c r="M333" t="str">
        <f>IFERROR(INDEX(Diccionario!$H:$H,MATCH(F333,Diccionario!$C:$C,0)),"")</f>
        <v>Contabilidad</v>
      </c>
      <c r="N333" t="str">
        <f>IFERROR(INDEX(Diccionario!$N:$N,MATCH(F333,Diccionario!$C:$C,0)),"")</f>
        <v>Mensual</v>
      </c>
    </row>
    <row r="334" spans="1:14" ht="14.25" customHeight="1" x14ac:dyDescent="0.3">
      <c r="A334" t="s">
        <v>536</v>
      </c>
      <c r="B334" t="s">
        <v>522</v>
      </c>
      <c r="C334" t="s">
        <v>523</v>
      </c>
      <c r="D334" t="s">
        <v>451</v>
      </c>
      <c r="E334" t="s">
        <v>524</v>
      </c>
      <c r="F334" t="s">
        <v>309</v>
      </c>
      <c r="H334" t="s">
        <v>568</v>
      </c>
      <c r="I334">
        <v>9400000</v>
      </c>
      <c r="J334" t="s">
        <v>451</v>
      </c>
      <c r="L334" t="str">
        <f>IFERROR(INDEX(Diccionario!$B:$B,MATCH(F334,Diccionario!$C:$C,0)),"")</f>
        <v>Contabilidad</v>
      </c>
      <c r="M334" t="str">
        <f>IFERROR(INDEX(Diccionario!$H:$H,MATCH(F334,Diccionario!$C:$C,0)),"")</f>
        <v>Contabilidad</v>
      </c>
      <c r="N334" t="str">
        <f>IFERROR(INDEX(Diccionario!$N:$N,MATCH(F334,Diccionario!$C:$C,0)),"")</f>
        <v>Mensual</v>
      </c>
    </row>
    <row r="335" spans="1:14" ht="14.25" customHeight="1" x14ac:dyDescent="0.3">
      <c r="A335" t="s">
        <v>536</v>
      </c>
      <c r="B335" t="s">
        <v>522</v>
      </c>
      <c r="C335" t="s">
        <v>523</v>
      </c>
      <c r="D335" t="s">
        <v>451</v>
      </c>
      <c r="E335" t="s">
        <v>524</v>
      </c>
      <c r="F335" t="s">
        <v>309</v>
      </c>
      <c r="H335" t="s">
        <v>569</v>
      </c>
      <c r="I335">
        <v>15000000</v>
      </c>
      <c r="J335" t="s">
        <v>451</v>
      </c>
      <c r="L335" t="str">
        <f>IFERROR(INDEX(Diccionario!$B:$B,MATCH(F335,Diccionario!$C:$C,0)),"")</f>
        <v>Contabilidad</v>
      </c>
      <c r="M335" t="str">
        <f>IFERROR(INDEX(Diccionario!$H:$H,MATCH(F335,Diccionario!$C:$C,0)),"")</f>
        <v>Contabilidad</v>
      </c>
      <c r="N335" t="str">
        <f>IFERROR(INDEX(Diccionario!$N:$N,MATCH(F335,Diccionario!$C:$C,0)),"")</f>
        <v>Mensual</v>
      </c>
    </row>
    <row r="336" spans="1:14" ht="14.25" customHeight="1" x14ac:dyDescent="0.3">
      <c r="A336" t="s">
        <v>536</v>
      </c>
      <c r="B336" t="s">
        <v>522</v>
      </c>
      <c r="C336" t="s">
        <v>523</v>
      </c>
      <c r="D336" t="s">
        <v>451</v>
      </c>
      <c r="E336" t="s">
        <v>524</v>
      </c>
      <c r="F336" t="s">
        <v>309</v>
      </c>
      <c r="H336" t="s">
        <v>570</v>
      </c>
      <c r="I336">
        <v>8000000</v>
      </c>
      <c r="J336" t="s">
        <v>451</v>
      </c>
      <c r="L336" t="str">
        <f>IFERROR(INDEX(Diccionario!$B:$B,MATCH(F336,Diccionario!$C:$C,0)),"")</f>
        <v>Contabilidad</v>
      </c>
      <c r="M336" t="str">
        <f>IFERROR(INDEX(Diccionario!$H:$H,MATCH(F336,Diccionario!$C:$C,0)),"")</f>
        <v>Contabilidad</v>
      </c>
      <c r="N336" t="str">
        <f>IFERROR(INDEX(Diccionario!$N:$N,MATCH(F336,Diccionario!$C:$C,0)),"")</f>
        <v>Mensual</v>
      </c>
    </row>
    <row r="337" spans="1:14" ht="14.25" customHeight="1" x14ac:dyDescent="0.3">
      <c r="A337" t="s">
        <v>536</v>
      </c>
      <c r="B337" t="s">
        <v>522</v>
      </c>
      <c r="C337" t="s">
        <v>523</v>
      </c>
      <c r="D337" t="s">
        <v>451</v>
      </c>
      <c r="E337" t="s">
        <v>524</v>
      </c>
      <c r="F337" t="s">
        <v>309</v>
      </c>
      <c r="H337" t="s">
        <v>571</v>
      </c>
      <c r="I337">
        <v>6000000</v>
      </c>
      <c r="J337" t="s">
        <v>451</v>
      </c>
      <c r="L337" t="str">
        <f>IFERROR(INDEX(Diccionario!$B:$B,MATCH(F337,Diccionario!$C:$C,0)),"")</f>
        <v>Contabilidad</v>
      </c>
      <c r="M337" t="str">
        <f>IFERROR(INDEX(Diccionario!$H:$H,MATCH(F337,Diccionario!$C:$C,0)),"")</f>
        <v>Contabilidad</v>
      </c>
      <c r="N337" t="str">
        <f>IFERROR(INDEX(Diccionario!$N:$N,MATCH(F337,Diccionario!$C:$C,0)),"")</f>
        <v>Mensual</v>
      </c>
    </row>
    <row r="338" spans="1:14" ht="14.25" customHeight="1" x14ac:dyDescent="0.3">
      <c r="A338" t="s">
        <v>537</v>
      </c>
      <c r="B338" t="s">
        <v>522</v>
      </c>
      <c r="C338" t="s">
        <v>523</v>
      </c>
      <c r="D338" t="s">
        <v>451</v>
      </c>
      <c r="E338" t="s">
        <v>524</v>
      </c>
      <c r="F338" t="s">
        <v>309</v>
      </c>
      <c r="H338" t="s">
        <v>565</v>
      </c>
      <c r="I338">
        <v>60300000</v>
      </c>
      <c r="J338" t="s">
        <v>451</v>
      </c>
      <c r="L338" t="str">
        <f>IFERROR(INDEX(Diccionario!$B:$B,MATCH(F338,Diccionario!$C:$C,0)),"")</f>
        <v>Contabilidad</v>
      </c>
      <c r="M338" t="str">
        <f>IFERROR(INDEX(Diccionario!$H:$H,MATCH(F338,Diccionario!$C:$C,0)),"")</f>
        <v>Contabilidad</v>
      </c>
      <c r="N338" t="str">
        <f>IFERROR(INDEX(Diccionario!$N:$N,MATCH(F338,Diccionario!$C:$C,0)),"")</f>
        <v>Mensual</v>
      </c>
    </row>
    <row r="339" spans="1:14" ht="14.25" customHeight="1" x14ac:dyDescent="0.3">
      <c r="A339" t="s">
        <v>537</v>
      </c>
      <c r="B339" t="s">
        <v>522</v>
      </c>
      <c r="C339" t="s">
        <v>523</v>
      </c>
      <c r="D339" t="s">
        <v>451</v>
      </c>
      <c r="E339" t="s">
        <v>524</v>
      </c>
      <c r="F339" t="s">
        <v>309</v>
      </c>
      <c r="H339" t="s">
        <v>566</v>
      </c>
      <c r="I339">
        <v>37400000</v>
      </c>
      <c r="J339" t="s">
        <v>451</v>
      </c>
      <c r="L339" t="str">
        <f>IFERROR(INDEX(Diccionario!$B:$B,MATCH(F339,Diccionario!$C:$C,0)),"")</f>
        <v>Contabilidad</v>
      </c>
      <c r="M339" t="str">
        <f>IFERROR(INDEX(Diccionario!$H:$H,MATCH(F339,Diccionario!$C:$C,0)),"")</f>
        <v>Contabilidad</v>
      </c>
      <c r="N339" t="str">
        <f>IFERROR(INDEX(Diccionario!$N:$N,MATCH(F339,Diccionario!$C:$C,0)),"")</f>
        <v>Mensual</v>
      </c>
    </row>
    <row r="340" spans="1:14" ht="14.25" customHeight="1" x14ac:dyDescent="0.3">
      <c r="A340" t="s">
        <v>537</v>
      </c>
      <c r="B340" t="s">
        <v>522</v>
      </c>
      <c r="C340" t="s">
        <v>523</v>
      </c>
      <c r="D340" t="s">
        <v>451</v>
      </c>
      <c r="E340" t="s">
        <v>524</v>
      </c>
      <c r="F340" t="s">
        <v>309</v>
      </c>
      <c r="H340" t="s">
        <v>567</v>
      </c>
      <c r="I340">
        <v>7900000</v>
      </c>
      <c r="J340" t="s">
        <v>451</v>
      </c>
      <c r="L340" t="str">
        <f>IFERROR(INDEX(Diccionario!$B:$B,MATCH(F340,Diccionario!$C:$C,0)),"")</f>
        <v>Contabilidad</v>
      </c>
      <c r="M340" t="str">
        <f>IFERROR(INDEX(Diccionario!$H:$H,MATCH(F340,Diccionario!$C:$C,0)),"")</f>
        <v>Contabilidad</v>
      </c>
      <c r="N340" t="str">
        <f>IFERROR(INDEX(Diccionario!$N:$N,MATCH(F340,Diccionario!$C:$C,0)),"")</f>
        <v>Mensual</v>
      </c>
    </row>
    <row r="341" spans="1:14" ht="14.25" customHeight="1" x14ac:dyDescent="0.3">
      <c r="A341" t="s">
        <v>537</v>
      </c>
      <c r="B341" t="s">
        <v>522</v>
      </c>
      <c r="C341" t="s">
        <v>523</v>
      </c>
      <c r="D341" t="s">
        <v>451</v>
      </c>
      <c r="E341" t="s">
        <v>524</v>
      </c>
      <c r="F341" t="s">
        <v>309</v>
      </c>
      <c r="H341" t="s">
        <v>568</v>
      </c>
      <c r="I341">
        <v>4200000</v>
      </c>
      <c r="J341" t="s">
        <v>451</v>
      </c>
      <c r="L341" t="str">
        <f>IFERROR(INDEX(Diccionario!$B:$B,MATCH(F341,Diccionario!$C:$C,0)),"")</f>
        <v>Contabilidad</v>
      </c>
      <c r="M341" t="str">
        <f>IFERROR(INDEX(Diccionario!$H:$H,MATCH(F341,Diccionario!$C:$C,0)),"")</f>
        <v>Contabilidad</v>
      </c>
      <c r="N341" t="str">
        <f>IFERROR(INDEX(Diccionario!$N:$N,MATCH(F341,Diccionario!$C:$C,0)),"")</f>
        <v>Mensual</v>
      </c>
    </row>
    <row r="342" spans="1:14" ht="14.25" customHeight="1" x14ac:dyDescent="0.3">
      <c r="A342" t="s">
        <v>537</v>
      </c>
      <c r="B342" t="s">
        <v>522</v>
      </c>
      <c r="C342" t="s">
        <v>523</v>
      </c>
      <c r="D342" t="s">
        <v>451</v>
      </c>
      <c r="E342" t="s">
        <v>524</v>
      </c>
      <c r="F342" t="s">
        <v>309</v>
      </c>
      <c r="H342" t="s">
        <v>569</v>
      </c>
      <c r="I342">
        <v>20000000</v>
      </c>
      <c r="J342" t="s">
        <v>451</v>
      </c>
      <c r="L342" t="str">
        <f>IFERROR(INDEX(Diccionario!$B:$B,MATCH(F342,Diccionario!$C:$C,0)),"")</f>
        <v>Contabilidad</v>
      </c>
      <c r="M342" t="str">
        <f>IFERROR(INDEX(Diccionario!$H:$H,MATCH(F342,Diccionario!$C:$C,0)),"")</f>
        <v>Contabilidad</v>
      </c>
      <c r="N342" t="str">
        <f>IFERROR(INDEX(Diccionario!$N:$N,MATCH(F342,Diccionario!$C:$C,0)),"")</f>
        <v>Mensual</v>
      </c>
    </row>
    <row r="343" spans="1:14" ht="14.25" customHeight="1" x14ac:dyDescent="0.3">
      <c r="A343" t="s">
        <v>537</v>
      </c>
      <c r="B343" t="s">
        <v>522</v>
      </c>
      <c r="C343" t="s">
        <v>523</v>
      </c>
      <c r="D343" t="s">
        <v>451</v>
      </c>
      <c r="E343" t="s">
        <v>524</v>
      </c>
      <c r="F343" t="s">
        <v>309</v>
      </c>
      <c r="H343" t="s">
        <v>570</v>
      </c>
      <c r="I343">
        <v>28000000</v>
      </c>
      <c r="J343" t="s">
        <v>451</v>
      </c>
      <c r="L343" t="str">
        <f>IFERROR(INDEX(Diccionario!$B:$B,MATCH(F343,Diccionario!$C:$C,0)),"")</f>
        <v>Contabilidad</v>
      </c>
      <c r="M343" t="str">
        <f>IFERROR(INDEX(Diccionario!$H:$H,MATCH(F343,Diccionario!$C:$C,0)),"")</f>
        <v>Contabilidad</v>
      </c>
      <c r="N343" t="str">
        <f>IFERROR(INDEX(Diccionario!$N:$N,MATCH(F343,Diccionario!$C:$C,0)),"")</f>
        <v>Mensual</v>
      </c>
    </row>
    <row r="344" spans="1:14" ht="14.25" customHeight="1" x14ac:dyDescent="0.3">
      <c r="A344" t="s">
        <v>537</v>
      </c>
      <c r="B344" t="s">
        <v>522</v>
      </c>
      <c r="C344" t="s">
        <v>523</v>
      </c>
      <c r="D344" t="s">
        <v>451</v>
      </c>
      <c r="E344" t="s">
        <v>524</v>
      </c>
      <c r="F344" t="s">
        <v>309</v>
      </c>
      <c r="H344" t="s">
        <v>571</v>
      </c>
      <c r="I344">
        <v>500000</v>
      </c>
      <c r="J344" t="s">
        <v>451</v>
      </c>
      <c r="L344" t="str">
        <f>IFERROR(INDEX(Diccionario!$B:$B,MATCH(F344,Diccionario!$C:$C,0)),"")</f>
        <v>Contabilidad</v>
      </c>
      <c r="M344" t="str">
        <f>IFERROR(INDEX(Diccionario!$H:$H,MATCH(F344,Diccionario!$C:$C,0)),"")</f>
        <v>Contabilidad</v>
      </c>
      <c r="N344" t="str">
        <f>IFERROR(INDEX(Diccionario!$N:$N,MATCH(F344,Diccionario!$C:$C,0)),"")</f>
        <v>Mensual</v>
      </c>
    </row>
    <row r="345" spans="1:14" ht="14.25" customHeight="1" x14ac:dyDescent="0.3">
      <c r="A345" t="s">
        <v>538</v>
      </c>
      <c r="B345" t="s">
        <v>522</v>
      </c>
      <c r="C345" t="s">
        <v>523</v>
      </c>
      <c r="D345" t="s">
        <v>451</v>
      </c>
      <c r="E345" t="s">
        <v>524</v>
      </c>
      <c r="F345" t="s">
        <v>309</v>
      </c>
      <c r="H345" t="s">
        <v>565</v>
      </c>
      <c r="I345">
        <v>81000000</v>
      </c>
      <c r="J345" t="s">
        <v>451</v>
      </c>
      <c r="L345" t="str">
        <f>IFERROR(INDEX(Diccionario!$B:$B,MATCH(F345,Diccionario!$C:$C,0)),"")</f>
        <v>Contabilidad</v>
      </c>
      <c r="M345" t="str">
        <f>IFERROR(INDEX(Diccionario!$H:$H,MATCH(F345,Diccionario!$C:$C,0)),"")</f>
        <v>Contabilidad</v>
      </c>
      <c r="N345" t="str">
        <f>IFERROR(INDEX(Diccionario!$N:$N,MATCH(F345,Diccionario!$C:$C,0)),"")</f>
        <v>Mensual</v>
      </c>
    </row>
    <row r="346" spans="1:14" ht="14.25" customHeight="1" x14ac:dyDescent="0.3">
      <c r="A346" t="s">
        <v>538</v>
      </c>
      <c r="B346" t="s">
        <v>522</v>
      </c>
      <c r="C346" t="s">
        <v>523</v>
      </c>
      <c r="D346" t="s">
        <v>451</v>
      </c>
      <c r="E346" t="s">
        <v>524</v>
      </c>
      <c r="F346" t="s">
        <v>309</v>
      </c>
      <c r="H346" t="s">
        <v>566</v>
      </c>
      <c r="I346">
        <v>4200000</v>
      </c>
      <c r="J346" t="s">
        <v>451</v>
      </c>
      <c r="L346" t="str">
        <f>IFERROR(INDEX(Diccionario!$B:$B,MATCH(F346,Diccionario!$C:$C,0)),"")</f>
        <v>Contabilidad</v>
      </c>
      <c r="M346" t="str">
        <f>IFERROR(INDEX(Diccionario!$H:$H,MATCH(F346,Diccionario!$C:$C,0)),"")</f>
        <v>Contabilidad</v>
      </c>
      <c r="N346" t="str">
        <f>IFERROR(INDEX(Diccionario!$N:$N,MATCH(F346,Diccionario!$C:$C,0)),"")</f>
        <v>Mensual</v>
      </c>
    </row>
    <row r="347" spans="1:14" ht="14.25" customHeight="1" x14ac:dyDescent="0.3">
      <c r="A347" t="s">
        <v>538</v>
      </c>
      <c r="B347" t="s">
        <v>522</v>
      </c>
      <c r="C347" t="s">
        <v>523</v>
      </c>
      <c r="D347" t="s">
        <v>451</v>
      </c>
      <c r="E347" t="s">
        <v>524</v>
      </c>
      <c r="F347" t="s">
        <v>309</v>
      </c>
      <c r="H347" t="s">
        <v>567</v>
      </c>
      <c r="I347">
        <v>9100000</v>
      </c>
      <c r="J347" t="s">
        <v>451</v>
      </c>
      <c r="L347" t="str">
        <f>IFERROR(INDEX(Diccionario!$B:$B,MATCH(F347,Diccionario!$C:$C,0)),"")</f>
        <v>Contabilidad</v>
      </c>
      <c r="M347" t="str">
        <f>IFERROR(INDEX(Diccionario!$H:$H,MATCH(F347,Diccionario!$C:$C,0)),"")</f>
        <v>Contabilidad</v>
      </c>
      <c r="N347" t="str">
        <f>IFERROR(INDEX(Diccionario!$N:$N,MATCH(F347,Diccionario!$C:$C,0)),"")</f>
        <v>Mensual</v>
      </c>
    </row>
    <row r="348" spans="1:14" ht="14.25" customHeight="1" x14ac:dyDescent="0.3">
      <c r="A348" t="s">
        <v>538</v>
      </c>
      <c r="B348" t="s">
        <v>522</v>
      </c>
      <c r="C348" t="s">
        <v>523</v>
      </c>
      <c r="D348" t="s">
        <v>451</v>
      </c>
      <c r="E348" t="s">
        <v>524</v>
      </c>
      <c r="F348" t="s">
        <v>309</v>
      </c>
      <c r="H348" t="s">
        <v>568</v>
      </c>
      <c r="I348">
        <v>3600000</v>
      </c>
      <c r="J348" t="s">
        <v>451</v>
      </c>
      <c r="L348" t="str">
        <f>IFERROR(INDEX(Diccionario!$B:$B,MATCH(F348,Diccionario!$C:$C,0)),"")</f>
        <v>Contabilidad</v>
      </c>
      <c r="M348" t="str">
        <f>IFERROR(INDEX(Diccionario!$H:$H,MATCH(F348,Diccionario!$C:$C,0)),"")</f>
        <v>Contabilidad</v>
      </c>
      <c r="N348" t="str">
        <f>IFERROR(INDEX(Diccionario!$N:$N,MATCH(F348,Diccionario!$C:$C,0)),"")</f>
        <v>Mensual</v>
      </c>
    </row>
    <row r="349" spans="1:14" ht="14.25" customHeight="1" x14ac:dyDescent="0.3">
      <c r="A349" t="s">
        <v>538</v>
      </c>
      <c r="B349" t="s">
        <v>522</v>
      </c>
      <c r="C349" t="s">
        <v>523</v>
      </c>
      <c r="D349" t="s">
        <v>451</v>
      </c>
      <c r="E349" t="s">
        <v>524</v>
      </c>
      <c r="F349" t="s">
        <v>309</v>
      </c>
      <c r="H349" t="s">
        <v>569</v>
      </c>
      <c r="I349">
        <v>11700000</v>
      </c>
      <c r="J349" t="s">
        <v>451</v>
      </c>
      <c r="L349" t="str">
        <f>IFERROR(INDEX(Diccionario!$B:$B,MATCH(F349,Diccionario!$C:$C,0)),"")</f>
        <v>Contabilidad</v>
      </c>
      <c r="M349" t="str">
        <f>IFERROR(INDEX(Diccionario!$H:$H,MATCH(F349,Diccionario!$C:$C,0)),"")</f>
        <v>Contabilidad</v>
      </c>
      <c r="N349" t="str">
        <f>IFERROR(INDEX(Diccionario!$N:$N,MATCH(F349,Diccionario!$C:$C,0)),"")</f>
        <v>Mensual</v>
      </c>
    </row>
    <row r="350" spans="1:14" ht="14.25" customHeight="1" x14ac:dyDescent="0.3">
      <c r="A350" t="s">
        <v>538</v>
      </c>
      <c r="B350" t="s">
        <v>522</v>
      </c>
      <c r="C350" t="s">
        <v>523</v>
      </c>
      <c r="D350" t="s">
        <v>451</v>
      </c>
      <c r="E350" t="s">
        <v>524</v>
      </c>
      <c r="F350" t="s">
        <v>309</v>
      </c>
      <c r="H350" t="s">
        <v>570</v>
      </c>
      <c r="I350">
        <v>30000000</v>
      </c>
      <c r="J350" t="s">
        <v>451</v>
      </c>
      <c r="L350" t="str">
        <f>IFERROR(INDEX(Diccionario!$B:$B,MATCH(F350,Diccionario!$C:$C,0)),"")</f>
        <v>Contabilidad</v>
      </c>
      <c r="M350" t="str">
        <f>IFERROR(INDEX(Diccionario!$H:$H,MATCH(F350,Diccionario!$C:$C,0)),"")</f>
        <v>Contabilidad</v>
      </c>
      <c r="N350" t="str">
        <f>IFERROR(INDEX(Diccionario!$N:$N,MATCH(F350,Diccionario!$C:$C,0)),"")</f>
        <v>Mensual</v>
      </c>
    </row>
    <row r="351" spans="1:14" ht="14.25" customHeight="1" x14ac:dyDescent="0.3">
      <c r="A351" t="s">
        <v>539</v>
      </c>
      <c r="B351" t="s">
        <v>522</v>
      </c>
      <c r="C351" t="s">
        <v>523</v>
      </c>
      <c r="D351" t="s">
        <v>451</v>
      </c>
      <c r="E351" t="s">
        <v>524</v>
      </c>
      <c r="F351" t="s">
        <v>309</v>
      </c>
      <c r="H351" t="s">
        <v>565</v>
      </c>
      <c r="I351">
        <v>58800000</v>
      </c>
      <c r="J351" t="s">
        <v>451</v>
      </c>
      <c r="L351" t="str">
        <f>IFERROR(INDEX(Diccionario!$B:$B,MATCH(F351,Diccionario!$C:$C,0)),"")</f>
        <v>Contabilidad</v>
      </c>
      <c r="M351" t="str">
        <f>IFERROR(INDEX(Diccionario!$H:$H,MATCH(F351,Diccionario!$C:$C,0)),"")</f>
        <v>Contabilidad</v>
      </c>
      <c r="N351" t="str">
        <f>IFERROR(INDEX(Diccionario!$N:$N,MATCH(F351,Diccionario!$C:$C,0)),"")</f>
        <v>Mensual</v>
      </c>
    </row>
    <row r="352" spans="1:14" ht="14.25" customHeight="1" x14ac:dyDescent="0.3">
      <c r="A352" t="s">
        <v>539</v>
      </c>
      <c r="B352" t="s">
        <v>522</v>
      </c>
      <c r="C352" t="s">
        <v>523</v>
      </c>
      <c r="D352" t="s">
        <v>451</v>
      </c>
      <c r="E352" t="s">
        <v>524</v>
      </c>
      <c r="F352" t="s">
        <v>309</v>
      </c>
      <c r="H352" t="s">
        <v>566</v>
      </c>
      <c r="I352">
        <v>9800000</v>
      </c>
      <c r="J352" t="s">
        <v>451</v>
      </c>
      <c r="L352" t="str">
        <f>IFERROR(INDEX(Diccionario!$B:$B,MATCH(F352,Diccionario!$C:$C,0)),"")</f>
        <v>Contabilidad</v>
      </c>
      <c r="M352" t="str">
        <f>IFERROR(INDEX(Diccionario!$H:$H,MATCH(F352,Diccionario!$C:$C,0)),"")</f>
        <v>Contabilidad</v>
      </c>
      <c r="N352" t="str">
        <f>IFERROR(INDEX(Diccionario!$N:$N,MATCH(F352,Diccionario!$C:$C,0)),"")</f>
        <v>Mensual</v>
      </c>
    </row>
    <row r="353" spans="1:14" ht="14.25" customHeight="1" x14ac:dyDescent="0.3">
      <c r="A353" t="s">
        <v>539</v>
      </c>
      <c r="B353" t="s">
        <v>522</v>
      </c>
      <c r="C353" t="s">
        <v>523</v>
      </c>
      <c r="D353" t="s">
        <v>451</v>
      </c>
      <c r="E353" t="s">
        <v>524</v>
      </c>
      <c r="F353" t="s">
        <v>309</v>
      </c>
      <c r="H353" t="s">
        <v>567</v>
      </c>
      <c r="I353">
        <v>7900000</v>
      </c>
      <c r="J353" t="s">
        <v>451</v>
      </c>
      <c r="L353" t="str">
        <f>IFERROR(INDEX(Diccionario!$B:$B,MATCH(F353,Diccionario!$C:$C,0)),"")</f>
        <v>Contabilidad</v>
      </c>
      <c r="M353" t="str">
        <f>IFERROR(INDEX(Diccionario!$H:$H,MATCH(F353,Diccionario!$C:$C,0)),"")</f>
        <v>Contabilidad</v>
      </c>
      <c r="N353" t="str">
        <f>IFERROR(INDEX(Diccionario!$N:$N,MATCH(F353,Diccionario!$C:$C,0)),"")</f>
        <v>Mensual</v>
      </c>
    </row>
    <row r="354" spans="1:14" ht="14.25" customHeight="1" x14ac:dyDescent="0.3">
      <c r="A354" t="s">
        <v>539</v>
      </c>
      <c r="B354" t="s">
        <v>522</v>
      </c>
      <c r="C354" t="s">
        <v>523</v>
      </c>
      <c r="D354" t="s">
        <v>451</v>
      </c>
      <c r="E354" t="s">
        <v>524</v>
      </c>
      <c r="F354" t="s">
        <v>309</v>
      </c>
      <c r="H354" t="s">
        <v>568</v>
      </c>
      <c r="I354">
        <v>2900000</v>
      </c>
      <c r="J354" t="s">
        <v>451</v>
      </c>
      <c r="L354" t="str">
        <f>IFERROR(INDEX(Diccionario!$B:$B,MATCH(F354,Diccionario!$C:$C,0)),"")</f>
        <v>Contabilidad</v>
      </c>
      <c r="M354" t="str">
        <f>IFERROR(INDEX(Diccionario!$H:$H,MATCH(F354,Diccionario!$C:$C,0)),"")</f>
        <v>Contabilidad</v>
      </c>
      <c r="N354" t="str">
        <f>IFERROR(INDEX(Diccionario!$N:$N,MATCH(F354,Diccionario!$C:$C,0)),"")</f>
        <v>Mensual</v>
      </c>
    </row>
    <row r="355" spans="1:14" ht="14.25" customHeight="1" x14ac:dyDescent="0.3">
      <c r="A355" t="s">
        <v>539</v>
      </c>
      <c r="B355" t="s">
        <v>522</v>
      </c>
      <c r="C355" t="s">
        <v>523</v>
      </c>
      <c r="D355" t="s">
        <v>451</v>
      </c>
      <c r="E355" t="s">
        <v>524</v>
      </c>
      <c r="F355" t="s">
        <v>309</v>
      </c>
      <c r="H355" t="s">
        <v>569</v>
      </c>
      <c r="I355">
        <v>20700000</v>
      </c>
      <c r="J355" t="s">
        <v>451</v>
      </c>
      <c r="L355" t="str">
        <f>IFERROR(INDEX(Diccionario!$B:$B,MATCH(F355,Diccionario!$C:$C,0)),"")</f>
        <v>Contabilidad</v>
      </c>
      <c r="M355" t="str">
        <f>IFERROR(INDEX(Diccionario!$H:$H,MATCH(F355,Diccionario!$C:$C,0)),"")</f>
        <v>Contabilidad</v>
      </c>
      <c r="N355" t="str">
        <f>IFERROR(INDEX(Diccionario!$N:$N,MATCH(F355,Diccionario!$C:$C,0)),"")</f>
        <v>Mensual</v>
      </c>
    </row>
    <row r="356" spans="1:14" ht="14.25" customHeight="1" x14ac:dyDescent="0.3">
      <c r="A356" t="s">
        <v>539</v>
      </c>
      <c r="B356" t="s">
        <v>522</v>
      </c>
      <c r="C356" t="s">
        <v>523</v>
      </c>
      <c r="D356" t="s">
        <v>451</v>
      </c>
      <c r="E356" t="s">
        <v>524</v>
      </c>
      <c r="F356" t="s">
        <v>309</v>
      </c>
      <c r="H356" t="s">
        <v>570</v>
      </c>
      <c r="I356">
        <v>33500000</v>
      </c>
      <c r="J356" t="s">
        <v>451</v>
      </c>
      <c r="L356" t="str">
        <f>IFERROR(INDEX(Diccionario!$B:$B,MATCH(F356,Diccionario!$C:$C,0)),"")</f>
        <v>Contabilidad</v>
      </c>
      <c r="M356" t="str">
        <f>IFERROR(INDEX(Diccionario!$H:$H,MATCH(F356,Diccionario!$C:$C,0)),"")</f>
        <v>Contabilidad</v>
      </c>
      <c r="N356" t="str">
        <f>IFERROR(INDEX(Diccionario!$N:$N,MATCH(F356,Diccionario!$C:$C,0)),"")</f>
        <v>Mensual</v>
      </c>
    </row>
    <row r="357" spans="1:14" ht="14.25" customHeight="1" x14ac:dyDescent="0.3">
      <c r="A357" t="s">
        <v>539</v>
      </c>
      <c r="B357" t="s">
        <v>522</v>
      </c>
      <c r="C357" t="s">
        <v>523</v>
      </c>
      <c r="D357" t="s">
        <v>451</v>
      </c>
      <c r="E357" t="s">
        <v>524</v>
      </c>
      <c r="F357" t="s">
        <v>309</v>
      </c>
      <c r="H357" t="s">
        <v>571</v>
      </c>
      <c r="I357">
        <v>7100000</v>
      </c>
      <c r="J357" t="s">
        <v>451</v>
      </c>
      <c r="L357" t="str">
        <f>IFERROR(INDEX(Diccionario!$B:$B,MATCH(F357,Diccionario!$C:$C,0)),"")</f>
        <v>Contabilidad</v>
      </c>
      <c r="M357" t="str">
        <f>IFERROR(INDEX(Diccionario!$H:$H,MATCH(F357,Diccionario!$C:$C,0)),"")</f>
        <v>Contabilidad</v>
      </c>
      <c r="N357" t="str">
        <f>IFERROR(INDEX(Diccionario!$N:$N,MATCH(F357,Diccionario!$C:$C,0)),"")</f>
        <v>Mensual</v>
      </c>
    </row>
    <row r="358" spans="1:14" ht="14.25" customHeight="1" x14ac:dyDescent="0.3">
      <c r="A358" t="s">
        <v>540</v>
      </c>
      <c r="B358" t="s">
        <v>522</v>
      </c>
      <c r="C358" t="s">
        <v>523</v>
      </c>
      <c r="D358" t="s">
        <v>451</v>
      </c>
      <c r="E358" t="s">
        <v>524</v>
      </c>
      <c r="F358" t="s">
        <v>309</v>
      </c>
      <c r="H358" t="s">
        <v>565</v>
      </c>
      <c r="I358">
        <v>58800000</v>
      </c>
      <c r="J358" t="s">
        <v>451</v>
      </c>
      <c r="L358" t="str">
        <f>IFERROR(INDEX(Diccionario!$B:$B,MATCH(F358,Diccionario!$C:$C,0)),"")</f>
        <v>Contabilidad</v>
      </c>
      <c r="M358" t="str">
        <f>IFERROR(INDEX(Diccionario!$H:$H,MATCH(F358,Diccionario!$C:$C,0)),"")</f>
        <v>Contabilidad</v>
      </c>
      <c r="N358" t="str">
        <f>IFERROR(INDEX(Diccionario!$N:$N,MATCH(F358,Diccionario!$C:$C,0)),"")</f>
        <v>Mensual</v>
      </c>
    </row>
    <row r="359" spans="1:14" ht="14.25" customHeight="1" x14ac:dyDescent="0.3">
      <c r="A359" t="s">
        <v>540</v>
      </c>
      <c r="B359" t="s">
        <v>522</v>
      </c>
      <c r="C359" t="s">
        <v>523</v>
      </c>
      <c r="D359" t="s">
        <v>451</v>
      </c>
      <c r="E359" t="s">
        <v>524</v>
      </c>
      <c r="F359" t="s">
        <v>309</v>
      </c>
      <c r="H359" t="s">
        <v>566</v>
      </c>
      <c r="I359">
        <v>6150000</v>
      </c>
      <c r="J359" t="s">
        <v>451</v>
      </c>
      <c r="L359" t="str">
        <f>IFERROR(INDEX(Diccionario!$B:$B,MATCH(F359,Diccionario!$C:$C,0)),"")</f>
        <v>Contabilidad</v>
      </c>
      <c r="M359" t="str">
        <f>IFERROR(INDEX(Diccionario!$H:$H,MATCH(F359,Diccionario!$C:$C,0)),"")</f>
        <v>Contabilidad</v>
      </c>
      <c r="N359" t="str">
        <f>IFERROR(INDEX(Diccionario!$N:$N,MATCH(F359,Diccionario!$C:$C,0)),"")</f>
        <v>Mensual</v>
      </c>
    </row>
    <row r="360" spans="1:14" ht="14.25" customHeight="1" x14ac:dyDescent="0.3">
      <c r="A360" t="s">
        <v>540</v>
      </c>
      <c r="B360" t="s">
        <v>522</v>
      </c>
      <c r="C360" t="s">
        <v>523</v>
      </c>
      <c r="D360" t="s">
        <v>451</v>
      </c>
      <c r="E360" t="s">
        <v>524</v>
      </c>
      <c r="F360" t="s">
        <v>309</v>
      </c>
      <c r="H360" t="s">
        <v>567</v>
      </c>
      <c r="I360">
        <v>9100000</v>
      </c>
      <c r="J360" t="s">
        <v>451</v>
      </c>
      <c r="L360" t="str">
        <f>IFERROR(INDEX(Diccionario!$B:$B,MATCH(F360,Diccionario!$C:$C,0)),"")</f>
        <v>Contabilidad</v>
      </c>
      <c r="M360" t="str">
        <f>IFERROR(INDEX(Diccionario!$H:$H,MATCH(F360,Diccionario!$C:$C,0)),"")</f>
        <v>Contabilidad</v>
      </c>
      <c r="N360" t="str">
        <f>IFERROR(INDEX(Diccionario!$N:$N,MATCH(F360,Diccionario!$C:$C,0)),"")</f>
        <v>Mensual</v>
      </c>
    </row>
    <row r="361" spans="1:14" ht="14.25" customHeight="1" x14ac:dyDescent="0.3">
      <c r="A361" t="s">
        <v>540</v>
      </c>
      <c r="B361" t="s">
        <v>522</v>
      </c>
      <c r="C361" t="s">
        <v>523</v>
      </c>
      <c r="D361" t="s">
        <v>451</v>
      </c>
      <c r="E361" t="s">
        <v>524</v>
      </c>
      <c r="F361" t="s">
        <v>309</v>
      </c>
      <c r="H361" t="s">
        <v>568</v>
      </c>
      <c r="I361">
        <v>3400000</v>
      </c>
      <c r="J361" t="s">
        <v>451</v>
      </c>
      <c r="L361" t="str">
        <f>IFERROR(INDEX(Diccionario!$B:$B,MATCH(F361,Diccionario!$C:$C,0)),"")</f>
        <v>Contabilidad</v>
      </c>
      <c r="M361" t="str">
        <f>IFERROR(INDEX(Diccionario!$H:$H,MATCH(F361,Diccionario!$C:$C,0)),"")</f>
        <v>Contabilidad</v>
      </c>
      <c r="N361" t="str">
        <f>IFERROR(INDEX(Diccionario!$N:$N,MATCH(F361,Diccionario!$C:$C,0)),"")</f>
        <v>Mensual</v>
      </c>
    </row>
    <row r="362" spans="1:14" ht="14.25" customHeight="1" x14ac:dyDescent="0.3">
      <c r="A362" t="s">
        <v>540</v>
      </c>
      <c r="B362" t="s">
        <v>522</v>
      </c>
      <c r="C362" t="s">
        <v>523</v>
      </c>
      <c r="D362" t="s">
        <v>451</v>
      </c>
      <c r="E362" t="s">
        <v>524</v>
      </c>
      <c r="F362" t="s">
        <v>309</v>
      </c>
      <c r="H362" t="s">
        <v>569</v>
      </c>
      <c r="I362">
        <v>6400000</v>
      </c>
      <c r="J362" t="s">
        <v>451</v>
      </c>
      <c r="L362" t="str">
        <f>IFERROR(INDEX(Diccionario!$B:$B,MATCH(F362,Diccionario!$C:$C,0)),"")</f>
        <v>Contabilidad</v>
      </c>
      <c r="M362" t="str">
        <f>IFERROR(INDEX(Diccionario!$H:$H,MATCH(F362,Diccionario!$C:$C,0)),"")</f>
        <v>Contabilidad</v>
      </c>
      <c r="N362" t="str">
        <f>IFERROR(INDEX(Diccionario!$N:$N,MATCH(F362,Diccionario!$C:$C,0)),"")</f>
        <v>Mensual</v>
      </c>
    </row>
    <row r="363" spans="1:14" ht="14.25" customHeight="1" x14ac:dyDescent="0.3">
      <c r="A363" t="s">
        <v>540</v>
      </c>
      <c r="B363" t="s">
        <v>522</v>
      </c>
      <c r="C363" t="s">
        <v>523</v>
      </c>
      <c r="D363" t="s">
        <v>451</v>
      </c>
      <c r="E363" t="s">
        <v>524</v>
      </c>
      <c r="F363" t="s">
        <v>309</v>
      </c>
      <c r="H363" t="s">
        <v>570</v>
      </c>
      <c r="I363">
        <v>31100000</v>
      </c>
      <c r="J363" t="s">
        <v>451</v>
      </c>
      <c r="L363" t="str">
        <f>IFERROR(INDEX(Diccionario!$B:$B,MATCH(F363,Diccionario!$C:$C,0)),"")</f>
        <v>Contabilidad</v>
      </c>
      <c r="M363" t="str">
        <f>IFERROR(INDEX(Diccionario!$H:$H,MATCH(F363,Diccionario!$C:$C,0)),"")</f>
        <v>Contabilidad</v>
      </c>
      <c r="N363" t="str">
        <f>IFERROR(INDEX(Diccionario!$N:$N,MATCH(F363,Diccionario!$C:$C,0)),"")</f>
        <v>Mensual</v>
      </c>
    </row>
    <row r="364" spans="1:14" ht="14.25" customHeight="1" x14ac:dyDescent="0.3">
      <c r="A364" t="s">
        <v>540</v>
      </c>
      <c r="B364" t="s">
        <v>522</v>
      </c>
      <c r="C364" t="s">
        <v>523</v>
      </c>
      <c r="D364" t="s">
        <v>451</v>
      </c>
      <c r="E364" t="s">
        <v>524</v>
      </c>
      <c r="F364" t="s">
        <v>309</v>
      </c>
      <c r="H364" t="s">
        <v>571</v>
      </c>
      <c r="I364">
        <v>2850000</v>
      </c>
      <c r="J364" t="s">
        <v>451</v>
      </c>
      <c r="L364" t="str">
        <f>IFERROR(INDEX(Diccionario!$B:$B,MATCH(F364,Diccionario!$C:$C,0)),"")</f>
        <v>Contabilidad</v>
      </c>
      <c r="M364" t="str">
        <f>IFERROR(INDEX(Diccionario!$H:$H,MATCH(F364,Diccionario!$C:$C,0)),"")</f>
        <v>Contabilidad</v>
      </c>
      <c r="N364" t="str">
        <f>IFERROR(INDEX(Diccionario!$N:$N,MATCH(F364,Diccionario!$C:$C,0)),"")</f>
        <v>Mensual</v>
      </c>
    </row>
    <row r="365" spans="1:14" ht="14.25" customHeight="1" x14ac:dyDescent="0.3">
      <c r="A365" t="s">
        <v>541</v>
      </c>
      <c r="B365" t="s">
        <v>522</v>
      </c>
      <c r="C365" t="s">
        <v>523</v>
      </c>
      <c r="D365" t="s">
        <v>451</v>
      </c>
      <c r="E365" t="s">
        <v>524</v>
      </c>
      <c r="F365" t="s">
        <v>309</v>
      </c>
      <c r="H365" t="s">
        <v>565</v>
      </c>
      <c r="I365">
        <v>60500000</v>
      </c>
      <c r="J365" t="s">
        <v>451</v>
      </c>
      <c r="L365" t="str">
        <f>IFERROR(INDEX(Diccionario!$B:$B,MATCH(F365,Diccionario!$C:$C,0)),"")</f>
        <v>Contabilidad</v>
      </c>
      <c r="M365" t="str">
        <f>IFERROR(INDEX(Diccionario!$H:$H,MATCH(F365,Diccionario!$C:$C,0)),"")</f>
        <v>Contabilidad</v>
      </c>
      <c r="N365" t="str">
        <f>IFERROR(INDEX(Diccionario!$N:$N,MATCH(F365,Diccionario!$C:$C,0)),"")</f>
        <v>Mensual</v>
      </c>
    </row>
    <row r="366" spans="1:14" ht="14.25" customHeight="1" x14ac:dyDescent="0.3">
      <c r="A366" t="s">
        <v>541</v>
      </c>
      <c r="B366" t="s">
        <v>522</v>
      </c>
      <c r="C366" t="s">
        <v>523</v>
      </c>
      <c r="D366" t="s">
        <v>451</v>
      </c>
      <c r="E366" t="s">
        <v>524</v>
      </c>
      <c r="F366" t="s">
        <v>309</v>
      </c>
      <c r="H366" t="s">
        <v>566</v>
      </c>
      <c r="I366">
        <v>16000000</v>
      </c>
      <c r="J366" t="s">
        <v>451</v>
      </c>
      <c r="L366" t="str">
        <f>IFERROR(INDEX(Diccionario!$B:$B,MATCH(F366,Diccionario!$C:$C,0)),"")</f>
        <v>Contabilidad</v>
      </c>
      <c r="M366" t="str">
        <f>IFERROR(INDEX(Diccionario!$H:$H,MATCH(F366,Diccionario!$C:$C,0)),"")</f>
        <v>Contabilidad</v>
      </c>
      <c r="N366" t="str">
        <f>IFERROR(INDEX(Diccionario!$N:$N,MATCH(F366,Diccionario!$C:$C,0)),"")</f>
        <v>Mensual</v>
      </c>
    </row>
    <row r="367" spans="1:14" ht="14.25" customHeight="1" x14ac:dyDescent="0.3">
      <c r="A367" t="s">
        <v>541</v>
      </c>
      <c r="B367" t="s">
        <v>522</v>
      </c>
      <c r="C367" t="s">
        <v>523</v>
      </c>
      <c r="D367" t="s">
        <v>451</v>
      </c>
      <c r="E367" t="s">
        <v>524</v>
      </c>
      <c r="F367" t="s">
        <v>309</v>
      </c>
      <c r="H367" t="s">
        <v>567</v>
      </c>
      <c r="I367">
        <v>17400000</v>
      </c>
      <c r="J367" t="s">
        <v>451</v>
      </c>
      <c r="L367" t="str">
        <f>IFERROR(INDEX(Diccionario!$B:$B,MATCH(F367,Diccionario!$C:$C,0)),"")</f>
        <v>Contabilidad</v>
      </c>
      <c r="M367" t="str">
        <f>IFERROR(INDEX(Diccionario!$H:$H,MATCH(F367,Diccionario!$C:$C,0)),"")</f>
        <v>Contabilidad</v>
      </c>
      <c r="N367" t="str">
        <f>IFERROR(INDEX(Diccionario!$N:$N,MATCH(F367,Diccionario!$C:$C,0)),"")</f>
        <v>Mensual</v>
      </c>
    </row>
    <row r="368" spans="1:14" ht="14.25" customHeight="1" x14ac:dyDescent="0.3">
      <c r="A368" t="s">
        <v>541</v>
      </c>
      <c r="B368" t="s">
        <v>522</v>
      </c>
      <c r="C368" t="s">
        <v>523</v>
      </c>
      <c r="D368" t="s">
        <v>451</v>
      </c>
      <c r="E368" t="s">
        <v>524</v>
      </c>
      <c r="F368" t="s">
        <v>309</v>
      </c>
      <c r="H368" t="s">
        <v>568</v>
      </c>
      <c r="I368">
        <v>3400000</v>
      </c>
      <c r="J368" t="s">
        <v>451</v>
      </c>
      <c r="L368" t="str">
        <f>IFERROR(INDEX(Diccionario!$B:$B,MATCH(F368,Diccionario!$C:$C,0)),"")</f>
        <v>Contabilidad</v>
      </c>
      <c r="M368" t="str">
        <f>IFERROR(INDEX(Diccionario!$H:$H,MATCH(F368,Diccionario!$C:$C,0)),"")</f>
        <v>Contabilidad</v>
      </c>
      <c r="N368" t="str">
        <f>IFERROR(INDEX(Diccionario!$N:$N,MATCH(F368,Diccionario!$C:$C,0)),"")</f>
        <v>Mensual</v>
      </c>
    </row>
    <row r="369" spans="1:14" ht="14.25" customHeight="1" x14ac:dyDescent="0.3">
      <c r="A369" t="s">
        <v>541</v>
      </c>
      <c r="B369" t="s">
        <v>522</v>
      </c>
      <c r="C369" t="s">
        <v>523</v>
      </c>
      <c r="D369" t="s">
        <v>451</v>
      </c>
      <c r="E369" t="s">
        <v>524</v>
      </c>
      <c r="F369" t="s">
        <v>309</v>
      </c>
      <c r="H369" t="s">
        <v>569</v>
      </c>
      <c r="I369">
        <v>2100000</v>
      </c>
      <c r="J369" t="s">
        <v>451</v>
      </c>
      <c r="L369" t="str">
        <f>IFERROR(INDEX(Diccionario!$B:$B,MATCH(F369,Diccionario!$C:$C,0)),"")</f>
        <v>Contabilidad</v>
      </c>
      <c r="M369" t="str">
        <f>IFERROR(INDEX(Diccionario!$H:$H,MATCH(F369,Diccionario!$C:$C,0)),"")</f>
        <v>Contabilidad</v>
      </c>
      <c r="N369" t="str">
        <f>IFERROR(INDEX(Diccionario!$N:$N,MATCH(F369,Diccionario!$C:$C,0)),"")</f>
        <v>Mensual</v>
      </c>
    </row>
    <row r="370" spans="1:14" ht="14.25" customHeight="1" x14ac:dyDescent="0.3">
      <c r="A370" t="s">
        <v>541</v>
      </c>
      <c r="B370" t="s">
        <v>522</v>
      </c>
      <c r="C370" t="s">
        <v>523</v>
      </c>
      <c r="D370" t="s">
        <v>451</v>
      </c>
      <c r="E370" t="s">
        <v>524</v>
      </c>
      <c r="F370" t="s">
        <v>309</v>
      </c>
      <c r="H370" t="s">
        <v>570</v>
      </c>
      <c r="I370">
        <v>20300000</v>
      </c>
      <c r="J370" t="s">
        <v>451</v>
      </c>
      <c r="L370" t="str">
        <f>IFERROR(INDEX(Diccionario!$B:$B,MATCH(F370,Diccionario!$C:$C,0)),"")</f>
        <v>Contabilidad</v>
      </c>
      <c r="M370" t="str">
        <f>IFERROR(INDEX(Diccionario!$H:$H,MATCH(F370,Diccionario!$C:$C,0)),"")</f>
        <v>Contabilidad</v>
      </c>
      <c r="N370" t="str">
        <f>IFERROR(INDEX(Diccionario!$N:$N,MATCH(F370,Diccionario!$C:$C,0)),"")</f>
        <v>Mensual</v>
      </c>
    </row>
    <row r="371" spans="1:14" ht="14.25" customHeight="1" x14ac:dyDescent="0.3">
      <c r="A371" t="s">
        <v>541</v>
      </c>
      <c r="B371" t="s">
        <v>522</v>
      </c>
      <c r="C371" t="s">
        <v>523</v>
      </c>
      <c r="D371" t="s">
        <v>451</v>
      </c>
      <c r="E371" t="s">
        <v>524</v>
      </c>
      <c r="F371" t="s">
        <v>309</v>
      </c>
      <c r="H371" t="s">
        <v>571</v>
      </c>
      <c r="I371">
        <v>1700000</v>
      </c>
      <c r="J371" t="s">
        <v>451</v>
      </c>
      <c r="L371" t="str">
        <f>IFERROR(INDEX(Diccionario!$B:$B,MATCH(F371,Diccionario!$C:$C,0)),"")</f>
        <v>Contabilidad</v>
      </c>
      <c r="M371" t="str">
        <f>IFERROR(INDEX(Diccionario!$H:$H,MATCH(F371,Diccionario!$C:$C,0)),"")</f>
        <v>Contabilidad</v>
      </c>
      <c r="N371" t="str">
        <f>IFERROR(INDEX(Diccionario!$N:$N,MATCH(F371,Diccionario!$C:$C,0)),"")</f>
        <v>Mensual</v>
      </c>
    </row>
    <row r="372" spans="1:14" ht="14.25" customHeight="1" x14ac:dyDescent="0.3">
      <c r="A372" t="s">
        <v>542</v>
      </c>
      <c r="B372" t="s">
        <v>522</v>
      </c>
      <c r="C372" t="s">
        <v>523</v>
      </c>
      <c r="D372" t="s">
        <v>451</v>
      </c>
      <c r="E372" t="s">
        <v>524</v>
      </c>
      <c r="F372" t="s">
        <v>309</v>
      </c>
      <c r="H372" t="s">
        <v>565</v>
      </c>
      <c r="I372">
        <v>60000000</v>
      </c>
      <c r="J372" t="s">
        <v>451</v>
      </c>
      <c r="L372" t="str">
        <f>IFERROR(INDEX(Diccionario!$B:$B,MATCH(F372,Diccionario!$C:$C,0)),"")</f>
        <v>Contabilidad</v>
      </c>
      <c r="M372" t="str">
        <f>IFERROR(INDEX(Diccionario!$H:$H,MATCH(F372,Diccionario!$C:$C,0)),"")</f>
        <v>Contabilidad</v>
      </c>
      <c r="N372" t="str">
        <f>IFERROR(INDEX(Diccionario!$N:$N,MATCH(F372,Diccionario!$C:$C,0)),"")</f>
        <v>Mensual</v>
      </c>
    </row>
    <row r="373" spans="1:14" ht="14.25" customHeight="1" x14ac:dyDescent="0.3">
      <c r="A373" t="s">
        <v>542</v>
      </c>
      <c r="B373" t="s">
        <v>522</v>
      </c>
      <c r="C373" t="s">
        <v>523</v>
      </c>
      <c r="D373" t="s">
        <v>451</v>
      </c>
      <c r="E373" t="s">
        <v>524</v>
      </c>
      <c r="F373" t="s">
        <v>309</v>
      </c>
      <c r="H373" t="s">
        <v>566</v>
      </c>
      <c r="I373">
        <v>9900000</v>
      </c>
      <c r="J373" t="s">
        <v>451</v>
      </c>
      <c r="L373" t="str">
        <f>IFERROR(INDEX(Diccionario!$B:$B,MATCH(F373,Diccionario!$C:$C,0)),"")</f>
        <v>Contabilidad</v>
      </c>
      <c r="M373" t="str">
        <f>IFERROR(INDEX(Diccionario!$H:$H,MATCH(F373,Diccionario!$C:$C,0)),"")</f>
        <v>Contabilidad</v>
      </c>
      <c r="N373" t="str">
        <f>IFERROR(INDEX(Diccionario!$N:$N,MATCH(F373,Diccionario!$C:$C,0)),"")</f>
        <v>Mensual</v>
      </c>
    </row>
    <row r="374" spans="1:14" ht="14.25" customHeight="1" x14ac:dyDescent="0.3">
      <c r="A374" t="s">
        <v>542</v>
      </c>
      <c r="B374" t="s">
        <v>522</v>
      </c>
      <c r="C374" t="s">
        <v>523</v>
      </c>
      <c r="D374" t="s">
        <v>451</v>
      </c>
      <c r="E374" t="s">
        <v>524</v>
      </c>
      <c r="F374" t="s">
        <v>309</v>
      </c>
      <c r="H374" t="s">
        <v>567</v>
      </c>
      <c r="I374">
        <v>1300000</v>
      </c>
      <c r="J374" t="s">
        <v>451</v>
      </c>
      <c r="L374" t="str">
        <f>IFERROR(INDEX(Diccionario!$B:$B,MATCH(F374,Diccionario!$C:$C,0)),"")</f>
        <v>Contabilidad</v>
      </c>
      <c r="M374" t="str">
        <f>IFERROR(INDEX(Diccionario!$H:$H,MATCH(F374,Diccionario!$C:$C,0)),"")</f>
        <v>Contabilidad</v>
      </c>
      <c r="N374" t="str">
        <f>IFERROR(INDEX(Diccionario!$N:$N,MATCH(F374,Diccionario!$C:$C,0)),"")</f>
        <v>Mensual</v>
      </c>
    </row>
    <row r="375" spans="1:14" ht="14.25" customHeight="1" x14ac:dyDescent="0.3">
      <c r="A375" t="s">
        <v>542</v>
      </c>
      <c r="B375" t="s">
        <v>522</v>
      </c>
      <c r="C375" t="s">
        <v>523</v>
      </c>
      <c r="D375" t="s">
        <v>451</v>
      </c>
      <c r="E375" t="s">
        <v>524</v>
      </c>
      <c r="F375" t="s">
        <v>309</v>
      </c>
      <c r="H375" t="s">
        <v>568</v>
      </c>
      <c r="I375">
        <v>4200000</v>
      </c>
      <c r="J375" t="s">
        <v>451</v>
      </c>
      <c r="L375" t="str">
        <f>IFERROR(INDEX(Diccionario!$B:$B,MATCH(F375,Diccionario!$C:$C,0)),"")</f>
        <v>Contabilidad</v>
      </c>
      <c r="M375" t="str">
        <f>IFERROR(INDEX(Diccionario!$H:$H,MATCH(F375,Diccionario!$C:$C,0)),"")</f>
        <v>Contabilidad</v>
      </c>
      <c r="N375" t="str">
        <f>IFERROR(INDEX(Diccionario!$N:$N,MATCH(F375,Diccionario!$C:$C,0)),"")</f>
        <v>Mensual</v>
      </c>
    </row>
    <row r="376" spans="1:14" ht="14.25" customHeight="1" x14ac:dyDescent="0.3">
      <c r="A376" t="s">
        <v>542</v>
      </c>
      <c r="B376" t="s">
        <v>522</v>
      </c>
      <c r="C376" t="s">
        <v>523</v>
      </c>
      <c r="D376" t="s">
        <v>451</v>
      </c>
      <c r="E376" t="s">
        <v>524</v>
      </c>
      <c r="F376" t="s">
        <v>309</v>
      </c>
      <c r="H376" t="s">
        <v>569</v>
      </c>
      <c r="I376">
        <v>17800000</v>
      </c>
      <c r="J376" t="s">
        <v>451</v>
      </c>
      <c r="L376" t="str">
        <f>IFERROR(INDEX(Diccionario!$B:$B,MATCH(F376,Diccionario!$C:$C,0)),"")</f>
        <v>Contabilidad</v>
      </c>
      <c r="M376" t="str">
        <f>IFERROR(INDEX(Diccionario!$H:$H,MATCH(F376,Diccionario!$C:$C,0)),"")</f>
        <v>Contabilidad</v>
      </c>
      <c r="N376" t="str">
        <f>IFERROR(INDEX(Diccionario!$N:$N,MATCH(F376,Diccionario!$C:$C,0)),"")</f>
        <v>Mensual</v>
      </c>
    </row>
    <row r="377" spans="1:14" ht="14.25" customHeight="1" x14ac:dyDescent="0.3">
      <c r="A377" t="s">
        <v>542</v>
      </c>
      <c r="B377" t="s">
        <v>522</v>
      </c>
      <c r="C377" t="s">
        <v>523</v>
      </c>
      <c r="D377" t="s">
        <v>451</v>
      </c>
      <c r="E377" t="s">
        <v>524</v>
      </c>
      <c r="F377" t="s">
        <v>309</v>
      </c>
      <c r="H377" t="s">
        <v>570</v>
      </c>
      <c r="I377">
        <v>1100000</v>
      </c>
      <c r="J377" t="s">
        <v>451</v>
      </c>
      <c r="L377" t="str">
        <f>IFERROR(INDEX(Diccionario!$B:$B,MATCH(F377,Diccionario!$C:$C,0)),"")</f>
        <v>Contabilidad</v>
      </c>
      <c r="M377" t="str">
        <f>IFERROR(INDEX(Diccionario!$H:$H,MATCH(F377,Diccionario!$C:$C,0)),"")</f>
        <v>Contabilidad</v>
      </c>
      <c r="N377" t="str">
        <f>IFERROR(INDEX(Diccionario!$N:$N,MATCH(F377,Diccionario!$C:$C,0)),"")</f>
        <v>Mensual</v>
      </c>
    </row>
    <row r="378" spans="1:14" ht="14.25" customHeight="1" x14ac:dyDescent="0.3">
      <c r="A378" t="s">
        <v>542</v>
      </c>
      <c r="B378" t="s">
        <v>522</v>
      </c>
      <c r="C378" t="s">
        <v>523</v>
      </c>
      <c r="D378" t="s">
        <v>451</v>
      </c>
      <c r="E378" t="s">
        <v>524</v>
      </c>
      <c r="F378" t="s">
        <v>309</v>
      </c>
      <c r="H378" t="s">
        <v>571</v>
      </c>
      <c r="I378">
        <v>2440000</v>
      </c>
      <c r="J378" t="s">
        <v>451</v>
      </c>
      <c r="L378" t="str">
        <f>IFERROR(INDEX(Diccionario!$B:$B,MATCH(F378,Diccionario!$C:$C,0)),"")</f>
        <v>Contabilidad</v>
      </c>
      <c r="M378" t="str">
        <f>IFERROR(INDEX(Diccionario!$H:$H,MATCH(F378,Diccionario!$C:$C,0)),"")</f>
        <v>Contabilidad</v>
      </c>
      <c r="N378" t="str">
        <f>IFERROR(INDEX(Diccionario!$N:$N,MATCH(F378,Diccionario!$C:$C,0)),"")</f>
        <v>Mensual</v>
      </c>
    </row>
    <row r="379" spans="1:14" ht="14.25" customHeight="1" x14ac:dyDescent="0.3">
      <c r="A379" t="s">
        <v>543</v>
      </c>
      <c r="B379" t="s">
        <v>522</v>
      </c>
      <c r="C379" t="s">
        <v>523</v>
      </c>
      <c r="D379" t="s">
        <v>451</v>
      </c>
      <c r="E379" t="s">
        <v>524</v>
      </c>
      <c r="F379" t="s">
        <v>309</v>
      </c>
      <c r="H379" t="s">
        <v>565</v>
      </c>
      <c r="I379">
        <v>60600000</v>
      </c>
      <c r="J379" t="s">
        <v>451</v>
      </c>
      <c r="L379" t="str">
        <f>IFERROR(INDEX(Diccionario!$B:$B,MATCH(F379,Diccionario!$C:$C,0)),"")</f>
        <v>Contabilidad</v>
      </c>
      <c r="M379" t="str">
        <f>IFERROR(INDEX(Diccionario!$H:$H,MATCH(F379,Diccionario!$C:$C,0)),"")</f>
        <v>Contabilidad</v>
      </c>
      <c r="N379" t="str">
        <f>IFERROR(INDEX(Diccionario!$N:$N,MATCH(F379,Diccionario!$C:$C,0)),"")</f>
        <v>Mensual</v>
      </c>
    </row>
    <row r="380" spans="1:14" ht="14.25" customHeight="1" x14ac:dyDescent="0.3">
      <c r="A380" t="s">
        <v>543</v>
      </c>
      <c r="B380" t="s">
        <v>522</v>
      </c>
      <c r="C380" t="s">
        <v>523</v>
      </c>
      <c r="D380" t="s">
        <v>451</v>
      </c>
      <c r="E380" t="s">
        <v>524</v>
      </c>
      <c r="F380" t="s">
        <v>309</v>
      </c>
      <c r="H380" t="s">
        <v>566</v>
      </c>
      <c r="I380">
        <v>16000000</v>
      </c>
      <c r="J380" t="s">
        <v>451</v>
      </c>
      <c r="L380" t="str">
        <f>IFERROR(INDEX(Diccionario!$B:$B,MATCH(F380,Diccionario!$C:$C,0)),"")</f>
        <v>Contabilidad</v>
      </c>
      <c r="M380" t="str">
        <f>IFERROR(INDEX(Diccionario!$H:$H,MATCH(F380,Diccionario!$C:$C,0)),"")</f>
        <v>Contabilidad</v>
      </c>
      <c r="N380" t="str">
        <f>IFERROR(INDEX(Diccionario!$N:$N,MATCH(F380,Diccionario!$C:$C,0)),"")</f>
        <v>Mensual</v>
      </c>
    </row>
    <row r="381" spans="1:14" ht="14.25" customHeight="1" x14ac:dyDescent="0.3">
      <c r="A381" t="s">
        <v>543</v>
      </c>
      <c r="B381" t="s">
        <v>522</v>
      </c>
      <c r="C381" t="s">
        <v>523</v>
      </c>
      <c r="D381" t="s">
        <v>451</v>
      </c>
      <c r="E381" t="s">
        <v>524</v>
      </c>
      <c r="F381" t="s">
        <v>309</v>
      </c>
      <c r="H381" t="s">
        <v>567</v>
      </c>
      <c r="I381">
        <v>16300000</v>
      </c>
      <c r="J381" t="s">
        <v>451</v>
      </c>
      <c r="L381" t="str">
        <f>IFERROR(INDEX(Diccionario!$B:$B,MATCH(F381,Diccionario!$C:$C,0)),"")</f>
        <v>Contabilidad</v>
      </c>
      <c r="M381" t="str">
        <f>IFERROR(INDEX(Diccionario!$H:$H,MATCH(F381,Diccionario!$C:$C,0)),"")</f>
        <v>Contabilidad</v>
      </c>
      <c r="N381" t="str">
        <f>IFERROR(INDEX(Diccionario!$N:$N,MATCH(F381,Diccionario!$C:$C,0)),"")</f>
        <v>Mensual</v>
      </c>
    </row>
    <row r="382" spans="1:14" ht="14.25" customHeight="1" x14ac:dyDescent="0.3">
      <c r="A382" t="s">
        <v>543</v>
      </c>
      <c r="B382" t="s">
        <v>522</v>
      </c>
      <c r="C382" t="s">
        <v>523</v>
      </c>
      <c r="D382" t="s">
        <v>451</v>
      </c>
      <c r="E382" t="s">
        <v>524</v>
      </c>
      <c r="F382" t="s">
        <v>309</v>
      </c>
      <c r="H382" t="s">
        <v>568</v>
      </c>
      <c r="I382">
        <v>3400000</v>
      </c>
      <c r="J382" t="s">
        <v>451</v>
      </c>
      <c r="L382" t="str">
        <f>IFERROR(INDEX(Diccionario!$B:$B,MATCH(F382,Diccionario!$C:$C,0)),"")</f>
        <v>Contabilidad</v>
      </c>
      <c r="M382" t="str">
        <f>IFERROR(INDEX(Diccionario!$H:$H,MATCH(F382,Diccionario!$C:$C,0)),"")</f>
        <v>Contabilidad</v>
      </c>
      <c r="N382" t="str">
        <f>IFERROR(INDEX(Diccionario!$N:$N,MATCH(F382,Diccionario!$C:$C,0)),"")</f>
        <v>Mensual</v>
      </c>
    </row>
    <row r="383" spans="1:14" ht="14.25" customHeight="1" x14ac:dyDescent="0.3">
      <c r="A383" t="s">
        <v>543</v>
      </c>
      <c r="B383" t="s">
        <v>522</v>
      </c>
      <c r="C383" t="s">
        <v>523</v>
      </c>
      <c r="D383" t="s">
        <v>451</v>
      </c>
      <c r="E383" t="s">
        <v>524</v>
      </c>
      <c r="F383" t="s">
        <v>309</v>
      </c>
      <c r="H383" t="s">
        <v>569</v>
      </c>
      <c r="I383">
        <v>9800000</v>
      </c>
      <c r="J383" t="s">
        <v>451</v>
      </c>
      <c r="L383" t="str">
        <f>IFERROR(INDEX(Diccionario!$B:$B,MATCH(F383,Diccionario!$C:$C,0)),"")</f>
        <v>Contabilidad</v>
      </c>
      <c r="M383" t="str">
        <f>IFERROR(INDEX(Diccionario!$H:$H,MATCH(F383,Diccionario!$C:$C,0)),"")</f>
        <v>Contabilidad</v>
      </c>
      <c r="N383" t="str">
        <f>IFERROR(INDEX(Diccionario!$N:$N,MATCH(F383,Diccionario!$C:$C,0)),"")</f>
        <v>Mensual</v>
      </c>
    </row>
    <row r="384" spans="1:14" ht="14.25" customHeight="1" x14ac:dyDescent="0.3">
      <c r="A384" t="s">
        <v>543</v>
      </c>
      <c r="B384" t="s">
        <v>522</v>
      </c>
      <c r="C384" t="s">
        <v>523</v>
      </c>
      <c r="D384" t="s">
        <v>451</v>
      </c>
      <c r="E384" t="s">
        <v>524</v>
      </c>
      <c r="F384" t="s">
        <v>309</v>
      </c>
      <c r="H384" t="s">
        <v>570</v>
      </c>
      <c r="I384">
        <v>3100000</v>
      </c>
      <c r="J384" t="s">
        <v>451</v>
      </c>
      <c r="L384" t="str">
        <f>IFERROR(INDEX(Diccionario!$B:$B,MATCH(F384,Diccionario!$C:$C,0)),"")</f>
        <v>Contabilidad</v>
      </c>
      <c r="M384" t="str">
        <f>IFERROR(INDEX(Diccionario!$H:$H,MATCH(F384,Diccionario!$C:$C,0)),"")</f>
        <v>Contabilidad</v>
      </c>
      <c r="N384" t="str">
        <f>IFERROR(INDEX(Diccionario!$N:$N,MATCH(F384,Diccionario!$C:$C,0)),"")</f>
        <v>Mensual</v>
      </c>
    </row>
    <row r="385" spans="1:14" ht="14.25" customHeight="1" x14ac:dyDescent="0.3">
      <c r="A385" t="s">
        <v>543</v>
      </c>
      <c r="B385" t="s">
        <v>522</v>
      </c>
      <c r="C385" t="s">
        <v>523</v>
      </c>
      <c r="D385" t="s">
        <v>451</v>
      </c>
      <c r="E385" t="s">
        <v>524</v>
      </c>
      <c r="F385" t="s">
        <v>309</v>
      </c>
      <c r="H385" t="s">
        <v>571</v>
      </c>
      <c r="I385">
        <v>8900000</v>
      </c>
      <c r="J385" t="s">
        <v>451</v>
      </c>
      <c r="L385" t="str">
        <f>IFERROR(INDEX(Diccionario!$B:$B,MATCH(F385,Diccionario!$C:$C,0)),"")</f>
        <v>Contabilidad</v>
      </c>
      <c r="M385" t="str">
        <f>IFERROR(INDEX(Diccionario!$H:$H,MATCH(F385,Diccionario!$C:$C,0)),"")</f>
        <v>Contabilidad</v>
      </c>
      <c r="N385" t="str">
        <f>IFERROR(INDEX(Diccionario!$N:$N,MATCH(F385,Diccionario!$C:$C,0)),"")</f>
        <v>Mensual</v>
      </c>
    </row>
    <row r="386" spans="1:14" ht="14.25" customHeight="1" x14ac:dyDescent="0.3">
      <c r="A386" t="s">
        <v>544</v>
      </c>
      <c r="B386" t="s">
        <v>522</v>
      </c>
      <c r="C386" t="s">
        <v>523</v>
      </c>
      <c r="D386" t="s">
        <v>451</v>
      </c>
      <c r="E386" t="s">
        <v>524</v>
      </c>
      <c r="F386" t="s">
        <v>309</v>
      </c>
      <c r="H386" t="s">
        <v>565</v>
      </c>
      <c r="I386">
        <v>62400000</v>
      </c>
      <c r="J386" t="s">
        <v>451</v>
      </c>
      <c r="L386" t="str">
        <f>IFERROR(INDEX(Diccionario!$B:$B,MATCH(F386,Diccionario!$C:$C,0)),"")</f>
        <v>Contabilidad</v>
      </c>
      <c r="M386" t="str">
        <f>IFERROR(INDEX(Diccionario!$H:$H,MATCH(F386,Diccionario!$C:$C,0)),"")</f>
        <v>Contabilidad</v>
      </c>
      <c r="N386" t="str">
        <f>IFERROR(INDEX(Diccionario!$N:$N,MATCH(F386,Diccionario!$C:$C,0)),"")</f>
        <v>Mensual</v>
      </c>
    </row>
    <row r="387" spans="1:14" ht="14.25" customHeight="1" x14ac:dyDescent="0.3">
      <c r="A387" t="s">
        <v>544</v>
      </c>
      <c r="B387" t="s">
        <v>522</v>
      </c>
      <c r="C387" t="s">
        <v>523</v>
      </c>
      <c r="D387" t="s">
        <v>451</v>
      </c>
      <c r="E387" t="s">
        <v>524</v>
      </c>
      <c r="F387" t="s">
        <v>309</v>
      </c>
      <c r="H387" t="s">
        <v>566</v>
      </c>
      <c r="I387">
        <v>6100000</v>
      </c>
      <c r="J387" t="s">
        <v>451</v>
      </c>
      <c r="L387" t="str">
        <f>IFERROR(INDEX(Diccionario!$B:$B,MATCH(F387,Diccionario!$C:$C,0)),"")</f>
        <v>Contabilidad</v>
      </c>
      <c r="M387" t="str">
        <f>IFERROR(INDEX(Diccionario!$H:$H,MATCH(F387,Diccionario!$C:$C,0)),"")</f>
        <v>Contabilidad</v>
      </c>
      <c r="N387" t="str">
        <f>IFERROR(INDEX(Diccionario!$N:$N,MATCH(F387,Diccionario!$C:$C,0)),"")</f>
        <v>Mensual</v>
      </c>
    </row>
    <row r="388" spans="1:14" ht="14.25" customHeight="1" x14ac:dyDescent="0.3">
      <c r="A388" t="s">
        <v>544</v>
      </c>
      <c r="B388" t="s">
        <v>522</v>
      </c>
      <c r="C388" t="s">
        <v>523</v>
      </c>
      <c r="D388" t="s">
        <v>451</v>
      </c>
      <c r="E388" t="s">
        <v>524</v>
      </c>
      <c r="F388" t="s">
        <v>309</v>
      </c>
      <c r="H388" t="s">
        <v>567</v>
      </c>
      <c r="I388">
        <v>16100000</v>
      </c>
      <c r="J388" t="s">
        <v>451</v>
      </c>
      <c r="L388" t="str">
        <f>IFERROR(INDEX(Diccionario!$B:$B,MATCH(F388,Diccionario!$C:$C,0)),"")</f>
        <v>Contabilidad</v>
      </c>
      <c r="M388" t="str">
        <f>IFERROR(INDEX(Diccionario!$H:$H,MATCH(F388,Diccionario!$C:$C,0)),"")</f>
        <v>Contabilidad</v>
      </c>
      <c r="N388" t="str">
        <f>IFERROR(INDEX(Diccionario!$N:$N,MATCH(F388,Diccionario!$C:$C,0)),"")</f>
        <v>Mensual</v>
      </c>
    </row>
    <row r="389" spans="1:14" ht="14.25" customHeight="1" x14ac:dyDescent="0.3">
      <c r="A389" t="s">
        <v>544</v>
      </c>
      <c r="B389" t="s">
        <v>522</v>
      </c>
      <c r="C389" t="s">
        <v>523</v>
      </c>
      <c r="D389" t="s">
        <v>451</v>
      </c>
      <c r="E389" t="s">
        <v>524</v>
      </c>
      <c r="F389" t="s">
        <v>309</v>
      </c>
      <c r="H389" t="s">
        <v>568</v>
      </c>
      <c r="I389">
        <v>1800000</v>
      </c>
      <c r="J389" t="s">
        <v>451</v>
      </c>
      <c r="L389" t="str">
        <f>IFERROR(INDEX(Diccionario!$B:$B,MATCH(F389,Diccionario!$C:$C,0)),"")</f>
        <v>Contabilidad</v>
      </c>
      <c r="M389" t="str">
        <f>IFERROR(INDEX(Diccionario!$H:$H,MATCH(F389,Diccionario!$C:$C,0)),"")</f>
        <v>Contabilidad</v>
      </c>
      <c r="N389" t="str">
        <f>IFERROR(INDEX(Diccionario!$N:$N,MATCH(F389,Diccionario!$C:$C,0)),"")</f>
        <v>Mensual</v>
      </c>
    </row>
    <row r="390" spans="1:14" ht="14.25" customHeight="1" x14ac:dyDescent="0.3">
      <c r="A390" t="s">
        <v>544</v>
      </c>
      <c r="B390" t="s">
        <v>522</v>
      </c>
      <c r="C390" t="s">
        <v>523</v>
      </c>
      <c r="D390" t="s">
        <v>451</v>
      </c>
      <c r="E390" t="s">
        <v>524</v>
      </c>
      <c r="F390" t="s">
        <v>309</v>
      </c>
      <c r="H390" t="s">
        <v>569</v>
      </c>
      <c r="I390">
        <v>3000000</v>
      </c>
      <c r="J390" t="s">
        <v>451</v>
      </c>
      <c r="L390" t="str">
        <f>IFERROR(INDEX(Diccionario!$B:$B,MATCH(F390,Diccionario!$C:$C,0)),"")</f>
        <v>Contabilidad</v>
      </c>
      <c r="M390" t="str">
        <f>IFERROR(INDEX(Diccionario!$H:$H,MATCH(F390,Diccionario!$C:$C,0)),"")</f>
        <v>Contabilidad</v>
      </c>
      <c r="N390" t="str">
        <f>IFERROR(INDEX(Diccionario!$N:$N,MATCH(F390,Diccionario!$C:$C,0)),"")</f>
        <v>Mensual</v>
      </c>
    </row>
    <row r="391" spans="1:14" ht="14.25" customHeight="1" x14ac:dyDescent="0.3">
      <c r="A391" t="s">
        <v>544</v>
      </c>
      <c r="B391" t="s">
        <v>522</v>
      </c>
      <c r="C391" t="s">
        <v>523</v>
      </c>
      <c r="D391" t="s">
        <v>451</v>
      </c>
      <c r="E391" t="s">
        <v>524</v>
      </c>
      <c r="F391" t="s">
        <v>309</v>
      </c>
      <c r="H391" t="s">
        <v>570</v>
      </c>
      <c r="I391">
        <v>4300000</v>
      </c>
      <c r="J391" t="s">
        <v>451</v>
      </c>
      <c r="L391" t="str">
        <f>IFERROR(INDEX(Diccionario!$B:$B,MATCH(F391,Diccionario!$C:$C,0)),"")</f>
        <v>Contabilidad</v>
      </c>
      <c r="M391" t="str">
        <f>IFERROR(INDEX(Diccionario!$H:$H,MATCH(F391,Diccionario!$C:$C,0)),"")</f>
        <v>Contabilidad</v>
      </c>
      <c r="N391" t="str">
        <f>IFERROR(INDEX(Diccionario!$N:$N,MATCH(F391,Diccionario!$C:$C,0)),"")</f>
        <v>Mensual</v>
      </c>
    </row>
    <row r="392" spans="1:14" ht="14.25" customHeight="1" x14ac:dyDescent="0.3">
      <c r="A392" t="s">
        <v>544</v>
      </c>
      <c r="B392" t="s">
        <v>522</v>
      </c>
      <c r="C392" t="s">
        <v>523</v>
      </c>
      <c r="D392" t="s">
        <v>451</v>
      </c>
      <c r="E392" t="s">
        <v>524</v>
      </c>
      <c r="F392" t="s">
        <v>309</v>
      </c>
      <c r="H392" t="s">
        <v>571</v>
      </c>
      <c r="I392">
        <v>27200000</v>
      </c>
      <c r="J392" t="s">
        <v>451</v>
      </c>
      <c r="L392" t="str">
        <f>IFERROR(INDEX(Diccionario!$B:$B,MATCH(F392,Diccionario!$C:$C,0)),"")</f>
        <v>Contabilidad</v>
      </c>
      <c r="M392" t="str">
        <f>IFERROR(INDEX(Diccionario!$H:$H,MATCH(F392,Diccionario!$C:$C,0)),"")</f>
        <v>Contabilidad</v>
      </c>
      <c r="N392" t="str">
        <f>IFERROR(INDEX(Diccionario!$N:$N,MATCH(F392,Diccionario!$C:$C,0)),"")</f>
        <v>Mensual</v>
      </c>
    </row>
    <row r="393" spans="1:14" ht="14.25" customHeight="1" x14ac:dyDescent="0.3">
      <c r="A393" t="s">
        <v>545</v>
      </c>
      <c r="B393" t="s">
        <v>522</v>
      </c>
      <c r="C393" t="s">
        <v>523</v>
      </c>
      <c r="D393" t="s">
        <v>451</v>
      </c>
      <c r="E393" t="s">
        <v>524</v>
      </c>
      <c r="F393" t="s">
        <v>309</v>
      </c>
      <c r="H393" t="s">
        <v>565</v>
      </c>
      <c r="I393">
        <v>66300000</v>
      </c>
      <c r="J393" t="s">
        <v>451</v>
      </c>
      <c r="L393" t="str">
        <f>IFERROR(INDEX(Diccionario!$B:$B,MATCH(F393,Diccionario!$C:$C,0)),"")</f>
        <v>Contabilidad</v>
      </c>
      <c r="M393" t="str">
        <f>IFERROR(INDEX(Diccionario!$H:$H,MATCH(F393,Diccionario!$C:$C,0)),"")</f>
        <v>Contabilidad</v>
      </c>
      <c r="N393" t="str">
        <f>IFERROR(INDEX(Diccionario!$N:$N,MATCH(F393,Diccionario!$C:$C,0)),"")</f>
        <v>Mensual</v>
      </c>
    </row>
    <row r="394" spans="1:14" ht="14.25" customHeight="1" x14ac:dyDescent="0.3">
      <c r="A394" t="s">
        <v>545</v>
      </c>
      <c r="B394" t="s">
        <v>522</v>
      </c>
      <c r="C394" t="s">
        <v>523</v>
      </c>
      <c r="D394" t="s">
        <v>451</v>
      </c>
      <c r="E394" t="s">
        <v>524</v>
      </c>
      <c r="F394" t="s">
        <v>309</v>
      </c>
      <c r="H394" t="s">
        <v>566</v>
      </c>
      <c r="I394">
        <v>20100000</v>
      </c>
      <c r="J394" t="s">
        <v>451</v>
      </c>
      <c r="L394" t="str">
        <f>IFERROR(INDEX(Diccionario!$B:$B,MATCH(F394,Diccionario!$C:$C,0)),"")</f>
        <v>Contabilidad</v>
      </c>
      <c r="M394" t="str">
        <f>IFERROR(INDEX(Diccionario!$H:$H,MATCH(F394,Diccionario!$C:$C,0)),"")</f>
        <v>Contabilidad</v>
      </c>
      <c r="N394" t="str">
        <f>IFERROR(INDEX(Diccionario!$N:$N,MATCH(F394,Diccionario!$C:$C,0)),"")</f>
        <v>Mensual</v>
      </c>
    </row>
    <row r="395" spans="1:14" ht="14.25" customHeight="1" x14ac:dyDescent="0.3">
      <c r="A395" t="s">
        <v>545</v>
      </c>
      <c r="B395" t="s">
        <v>522</v>
      </c>
      <c r="C395" t="s">
        <v>523</v>
      </c>
      <c r="D395" t="s">
        <v>451</v>
      </c>
      <c r="E395" t="s">
        <v>524</v>
      </c>
      <c r="F395" t="s">
        <v>309</v>
      </c>
      <c r="H395" t="s">
        <v>567</v>
      </c>
      <c r="I395">
        <v>12700000</v>
      </c>
      <c r="J395" t="s">
        <v>451</v>
      </c>
      <c r="L395" t="str">
        <f>IFERROR(INDEX(Diccionario!$B:$B,MATCH(F395,Diccionario!$C:$C,0)),"")</f>
        <v>Contabilidad</v>
      </c>
      <c r="M395" t="str">
        <f>IFERROR(INDEX(Diccionario!$H:$H,MATCH(F395,Diccionario!$C:$C,0)),"")</f>
        <v>Contabilidad</v>
      </c>
      <c r="N395" t="str">
        <f>IFERROR(INDEX(Diccionario!$N:$N,MATCH(F395,Diccionario!$C:$C,0)),"")</f>
        <v>Mensual</v>
      </c>
    </row>
    <row r="396" spans="1:14" ht="14.25" customHeight="1" x14ac:dyDescent="0.3">
      <c r="A396" t="s">
        <v>545</v>
      </c>
      <c r="B396" t="s">
        <v>522</v>
      </c>
      <c r="C396" t="s">
        <v>523</v>
      </c>
      <c r="D396" t="s">
        <v>451</v>
      </c>
      <c r="E396" t="s">
        <v>524</v>
      </c>
      <c r="F396" t="s">
        <v>309</v>
      </c>
      <c r="H396" t="s">
        <v>568</v>
      </c>
      <c r="I396">
        <v>5800000</v>
      </c>
      <c r="J396" t="s">
        <v>451</v>
      </c>
      <c r="L396" t="str">
        <f>IFERROR(INDEX(Diccionario!$B:$B,MATCH(F396,Diccionario!$C:$C,0)),"")</f>
        <v>Contabilidad</v>
      </c>
      <c r="M396" t="str">
        <f>IFERROR(INDEX(Diccionario!$H:$H,MATCH(F396,Diccionario!$C:$C,0)),"")</f>
        <v>Contabilidad</v>
      </c>
      <c r="N396" t="str">
        <f>IFERROR(INDEX(Diccionario!$N:$N,MATCH(F396,Diccionario!$C:$C,0)),"")</f>
        <v>Mensual</v>
      </c>
    </row>
    <row r="397" spans="1:14" ht="14.25" customHeight="1" x14ac:dyDescent="0.3">
      <c r="A397" t="s">
        <v>545</v>
      </c>
      <c r="B397" t="s">
        <v>522</v>
      </c>
      <c r="C397" t="s">
        <v>523</v>
      </c>
      <c r="D397" t="s">
        <v>451</v>
      </c>
      <c r="E397" t="s">
        <v>524</v>
      </c>
      <c r="F397" t="s">
        <v>309</v>
      </c>
      <c r="H397" t="s">
        <v>569</v>
      </c>
      <c r="I397">
        <v>6500000</v>
      </c>
      <c r="J397" t="s">
        <v>451</v>
      </c>
      <c r="L397" t="str">
        <f>IFERROR(INDEX(Diccionario!$B:$B,MATCH(F397,Diccionario!$C:$C,0)),"")</f>
        <v>Contabilidad</v>
      </c>
      <c r="M397" t="str">
        <f>IFERROR(INDEX(Diccionario!$H:$H,MATCH(F397,Diccionario!$C:$C,0)),"")</f>
        <v>Contabilidad</v>
      </c>
      <c r="N397" t="str">
        <f>IFERROR(INDEX(Diccionario!$N:$N,MATCH(F397,Diccionario!$C:$C,0)),"")</f>
        <v>Mensual</v>
      </c>
    </row>
    <row r="398" spans="1:14" ht="14.25" customHeight="1" x14ac:dyDescent="0.3">
      <c r="A398" t="s">
        <v>545</v>
      </c>
      <c r="B398" t="s">
        <v>522</v>
      </c>
      <c r="C398" t="s">
        <v>523</v>
      </c>
      <c r="D398" t="s">
        <v>451</v>
      </c>
      <c r="E398" t="s">
        <v>524</v>
      </c>
      <c r="F398" t="s">
        <v>309</v>
      </c>
      <c r="H398" t="s">
        <v>570</v>
      </c>
      <c r="I398">
        <v>15100000</v>
      </c>
      <c r="J398" t="s">
        <v>451</v>
      </c>
      <c r="L398" t="str">
        <f>IFERROR(INDEX(Diccionario!$B:$B,MATCH(F398,Diccionario!$C:$C,0)),"")</f>
        <v>Contabilidad</v>
      </c>
      <c r="M398" t="str">
        <f>IFERROR(INDEX(Diccionario!$H:$H,MATCH(F398,Diccionario!$C:$C,0)),"")</f>
        <v>Contabilidad</v>
      </c>
      <c r="N398" t="str">
        <f>IFERROR(INDEX(Diccionario!$N:$N,MATCH(F398,Diccionario!$C:$C,0)),"")</f>
        <v>Mensual</v>
      </c>
    </row>
    <row r="399" spans="1:14" ht="14.25" customHeight="1" x14ac:dyDescent="0.3">
      <c r="A399" t="s">
        <v>545</v>
      </c>
      <c r="B399" t="s">
        <v>522</v>
      </c>
      <c r="C399" t="s">
        <v>523</v>
      </c>
      <c r="D399" t="s">
        <v>451</v>
      </c>
      <c r="E399" t="s">
        <v>524</v>
      </c>
      <c r="F399" t="s">
        <v>309</v>
      </c>
      <c r="H399" t="s">
        <v>571</v>
      </c>
      <c r="I399">
        <v>8000000</v>
      </c>
      <c r="J399" t="s">
        <v>451</v>
      </c>
      <c r="L399" t="str">
        <f>IFERROR(INDEX(Diccionario!$B:$B,MATCH(F399,Diccionario!$C:$C,0)),"")</f>
        <v>Contabilidad</v>
      </c>
      <c r="M399" t="str">
        <f>IFERROR(INDEX(Diccionario!$H:$H,MATCH(F399,Diccionario!$C:$C,0)),"")</f>
        <v>Contabilidad</v>
      </c>
      <c r="N399" t="str">
        <f>IFERROR(INDEX(Diccionario!$N:$N,MATCH(F399,Diccionario!$C:$C,0)),"")</f>
        <v>Mensual</v>
      </c>
    </row>
    <row r="400" spans="1:14" ht="14.25" customHeight="1" x14ac:dyDescent="0.3">
      <c r="A400" t="s">
        <v>546</v>
      </c>
      <c r="B400" t="s">
        <v>522</v>
      </c>
      <c r="C400" t="s">
        <v>523</v>
      </c>
      <c r="D400" t="s">
        <v>451</v>
      </c>
      <c r="E400" t="s">
        <v>524</v>
      </c>
      <c r="F400" t="s">
        <v>309</v>
      </c>
      <c r="H400" t="s">
        <v>565</v>
      </c>
      <c r="I400">
        <v>59600000</v>
      </c>
      <c r="J400" t="s">
        <v>451</v>
      </c>
      <c r="L400" t="str">
        <f>IFERROR(INDEX(Diccionario!$B:$B,MATCH(F400,Diccionario!$C:$C,0)),"")</f>
        <v>Contabilidad</v>
      </c>
      <c r="M400" t="str">
        <f>IFERROR(INDEX(Diccionario!$H:$H,MATCH(F400,Diccionario!$C:$C,0)),"")</f>
        <v>Contabilidad</v>
      </c>
      <c r="N400" t="str">
        <f>IFERROR(INDEX(Diccionario!$N:$N,MATCH(F400,Diccionario!$C:$C,0)),"")</f>
        <v>Mensual</v>
      </c>
    </row>
    <row r="401" spans="1:14" ht="14.25" customHeight="1" x14ac:dyDescent="0.3">
      <c r="A401" t="s">
        <v>546</v>
      </c>
      <c r="B401" t="s">
        <v>522</v>
      </c>
      <c r="C401" t="s">
        <v>523</v>
      </c>
      <c r="D401" t="s">
        <v>451</v>
      </c>
      <c r="E401" t="s">
        <v>524</v>
      </c>
      <c r="F401" t="s">
        <v>309</v>
      </c>
      <c r="H401" t="s">
        <v>566</v>
      </c>
      <c r="I401">
        <v>9700000</v>
      </c>
      <c r="J401" t="s">
        <v>451</v>
      </c>
      <c r="L401" t="str">
        <f>IFERROR(INDEX(Diccionario!$B:$B,MATCH(F401,Diccionario!$C:$C,0)),"")</f>
        <v>Contabilidad</v>
      </c>
      <c r="M401" t="str">
        <f>IFERROR(INDEX(Diccionario!$H:$H,MATCH(F401,Diccionario!$C:$C,0)),"")</f>
        <v>Contabilidad</v>
      </c>
      <c r="N401" t="str">
        <f>IFERROR(INDEX(Diccionario!$N:$N,MATCH(F401,Diccionario!$C:$C,0)),"")</f>
        <v>Mensual</v>
      </c>
    </row>
    <row r="402" spans="1:14" ht="14.25" customHeight="1" x14ac:dyDescent="0.3">
      <c r="A402" t="s">
        <v>546</v>
      </c>
      <c r="B402" t="s">
        <v>522</v>
      </c>
      <c r="C402" t="s">
        <v>523</v>
      </c>
      <c r="D402" t="s">
        <v>451</v>
      </c>
      <c r="E402" t="s">
        <v>524</v>
      </c>
      <c r="F402" t="s">
        <v>309</v>
      </c>
      <c r="H402" t="s">
        <v>567</v>
      </c>
      <c r="I402">
        <v>4600000</v>
      </c>
      <c r="J402" t="s">
        <v>451</v>
      </c>
      <c r="L402" t="str">
        <f>IFERROR(INDEX(Diccionario!$B:$B,MATCH(F402,Diccionario!$C:$C,0)),"")</f>
        <v>Contabilidad</v>
      </c>
      <c r="M402" t="str">
        <f>IFERROR(INDEX(Diccionario!$H:$H,MATCH(F402,Diccionario!$C:$C,0)),"")</f>
        <v>Contabilidad</v>
      </c>
      <c r="N402" t="str">
        <f>IFERROR(INDEX(Diccionario!$N:$N,MATCH(F402,Diccionario!$C:$C,0)),"")</f>
        <v>Mensual</v>
      </c>
    </row>
    <row r="403" spans="1:14" ht="14.25" customHeight="1" x14ac:dyDescent="0.3">
      <c r="A403" t="s">
        <v>546</v>
      </c>
      <c r="B403" t="s">
        <v>522</v>
      </c>
      <c r="C403" t="s">
        <v>523</v>
      </c>
      <c r="D403" t="s">
        <v>451</v>
      </c>
      <c r="E403" t="s">
        <v>524</v>
      </c>
      <c r="F403" t="s">
        <v>309</v>
      </c>
      <c r="H403" t="s">
        <v>568</v>
      </c>
      <c r="I403">
        <v>2800000</v>
      </c>
      <c r="J403" t="s">
        <v>451</v>
      </c>
      <c r="L403" t="str">
        <f>IFERROR(INDEX(Diccionario!$B:$B,MATCH(F403,Diccionario!$C:$C,0)),"")</f>
        <v>Contabilidad</v>
      </c>
      <c r="M403" t="str">
        <f>IFERROR(INDEX(Diccionario!$H:$H,MATCH(F403,Diccionario!$C:$C,0)),"")</f>
        <v>Contabilidad</v>
      </c>
      <c r="N403" t="str">
        <f>IFERROR(INDEX(Diccionario!$N:$N,MATCH(F403,Diccionario!$C:$C,0)),"")</f>
        <v>Mensual</v>
      </c>
    </row>
    <row r="404" spans="1:14" ht="14.25" customHeight="1" x14ac:dyDescent="0.3">
      <c r="A404" t="s">
        <v>546</v>
      </c>
      <c r="B404" t="s">
        <v>522</v>
      </c>
      <c r="C404" t="s">
        <v>523</v>
      </c>
      <c r="D404" t="s">
        <v>451</v>
      </c>
      <c r="E404" t="s">
        <v>524</v>
      </c>
      <c r="F404" t="s">
        <v>309</v>
      </c>
      <c r="H404" t="s">
        <v>569</v>
      </c>
      <c r="I404">
        <v>7600000</v>
      </c>
      <c r="J404" t="s">
        <v>451</v>
      </c>
      <c r="L404" t="str">
        <f>IFERROR(INDEX(Diccionario!$B:$B,MATCH(F404,Diccionario!$C:$C,0)),"")</f>
        <v>Contabilidad</v>
      </c>
      <c r="M404" t="str">
        <f>IFERROR(INDEX(Diccionario!$H:$H,MATCH(F404,Diccionario!$C:$C,0)),"")</f>
        <v>Contabilidad</v>
      </c>
      <c r="N404" t="str">
        <f>IFERROR(INDEX(Diccionario!$N:$N,MATCH(F404,Diccionario!$C:$C,0)),"")</f>
        <v>Mensual</v>
      </c>
    </row>
    <row r="405" spans="1:14" ht="14.25" customHeight="1" x14ac:dyDescent="0.3">
      <c r="A405" t="s">
        <v>546</v>
      </c>
      <c r="B405" t="s">
        <v>522</v>
      </c>
      <c r="C405" t="s">
        <v>523</v>
      </c>
      <c r="D405" t="s">
        <v>451</v>
      </c>
      <c r="E405" t="s">
        <v>524</v>
      </c>
      <c r="F405" t="s">
        <v>309</v>
      </c>
      <c r="H405" t="s">
        <v>570</v>
      </c>
      <c r="I405">
        <v>11500000</v>
      </c>
      <c r="J405" t="s">
        <v>451</v>
      </c>
      <c r="L405" t="str">
        <f>IFERROR(INDEX(Diccionario!$B:$B,MATCH(F405,Diccionario!$C:$C,0)),"")</f>
        <v>Contabilidad</v>
      </c>
      <c r="M405" t="str">
        <f>IFERROR(INDEX(Diccionario!$H:$H,MATCH(F405,Diccionario!$C:$C,0)),"")</f>
        <v>Contabilidad</v>
      </c>
      <c r="N405" t="str">
        <f>IFERROR(INDEX(Diccionario!$N:$N,MATCH(F405,Diccionario!$C:$C,0)),"")</f>
        <v>Mensual</v>
      </c>
    </row>
    <row r="406" spans="1:14" ht="14.25" customHeight="1" x14ac:dyDescent="0.3">
      <c r="A406" t="s">
        <v>546</v>
      </c>
      <c r="B406" t="s">
        <v>522</v>
      </c>
      <c r="C406" t="s">
        <v>523</v>
      </c>
      <c r="D406" t="s">
        <v>451</v>
      </c>
      <c r="E406" t="s">
        <v>524</v>
      </c>
      <c r="F406" t="s">
        <v>309</v>
      </c>
      <c r="H406" t="s">
        <v>571</v>
      </c>
      <c r="I406">
        <v>33100000</v>
      </c>
      <c r="J406" t="s">
        <v>451</v>
      </c>
      <c r="L406" t="str">
        <f>IFERROR(INDEX(Diccionario!$B:$B,MATCH(F406,Diccionario!$C:$C,0)),"")</f>
        <v>Contabilidad</v>
      </c>
      <c r="M406" t="str">
        <f>IFERROR(INDEX(Diccionario!$H:$H,MATCH(F406,Diccionario!$C:$C,0)),"")</f>
        <v>Contabilidad</v>
      </c>
      <c r="N406" t="str">
        <f>IFERROR(INDEX(Diccionario!$N:$N,MATCH(F406,Diccionario!$C:$C,0)),"")</f>
        <v>Mensual</v>
      </c>
    </row>
    <row r="407" spans="1:14" ht="14.25" customHeight="1" x14ac:dyDescent="0.3">
      <c r="A407" t="s">
        <v>547</v>
      </c>
      <c r="B407" t="s">
        <v>522</v>
      </c>
      <c r="C407" t="s">
        <v>523</v>
      </c>
      <c r="D407" t="s">
        <v>451</v>
      </c>
      <c r="E407" t="s">
        <v>524</v>
      </c>
      <c r="F407" t="s">
        <v>309</v>
      </c>
      <c r="H407" t="s">
        <v>565</v>
      </c>
      <c r="I407">
        <v>55000000</v>
      </c>
      <c r="J407" t="s">
        <v>451</v>
      </c>
      <c r="L407" t="str">
        <f>IFERROR(INDEX(Diccionario!$B:$B,MATCH(F407,Diccionario!$C:$C,0)),"")</f>
        <v>Contabilidad</v>
      </c>
      <c r="M407" t="str">
        <f>IFERROR(INDEX(Diccionario!$H:$H,MATCH(F407,Diccionario!$C:$C,0)),"")</f>
        <v>Contabilidad</v>
      </c>
      <c r="N407" t="str">
        <f>IFERROR(INDEX(Diccionario!$N:$N,MATCH(F407,Diccionario!$C:$C,0)),"")</f>
        <v>Mensual</v>
      </c>
    </row>
    <row r="408" spans="1:14" ht="14.25" customHeight="1" x14ac:dyDescent="0.3">
      <c r="A408" t="s">
        <v>547</v>
      </c>
      <c r="B408" t="s">
        <v>522</v>
      </c>
      <c r="C408" t="s">
        <v>523</v>
      </c>
      <c r="D408" t="s">
        <v>451</v>
      </c>
      <c r="E408" t="s">
        <v>524</v>
      </c>
      <c r="F408" t="s">
        <v>309</v>
      </c>
      <c r="H408" t="s">
        <v>566</v>
      </c>
      <c r="I408">
        <v>2500000</v>
      </c>
      <c r="J408" t="s">
        <v>451</v>
      </c>
      <c r="L408" t="str">
        <f>IFERROR(INDEX(Diccionario!$B:$B,MATCH(F408,Diccionario!$C:$C,0)),"")</f>
        <v>Contabilidad</v>
      </c>
      <c r="M408" t="str">
        <f>IFERROR(INDEX(Diccionario!$H:$H,MATCH(F408,Diccionario!$C:$C,0)),"")</f>
        <v>Contabilidad</v>
      </c>
      <c r="N408" t="str">
        <f>IFERROR(INDEX(Diccionario!$N:$N,MATCH(F408,Diccionario!$C:$C,0)),"")</f>
        <v>Mensual</v>
      </c>
    </row>
    <row r="409" spans="1:14" ht="14.25" customHeight="1" x14ac:dyDescent="0.3">
      <c r="A409" t="s">
        <v>547</v>
      </c>
      <c r="B409" t="s">
        <v>522</v>
      </c>
      <c r="C409" t="s">
        <v>523</v>
      </c>
      <c r="D409" t="s">
        <v>451</v>
      </c>
      <c r="E409" t="s">
        <v>524</v>
      </c>
      <c r="F409" t="s">
        <v>309</v>
      </c>
      <c r="H409" t="s">
        <v>567</v>
      </c>
      <c r="I409">
        <v>12700000</v>
      </c>
      <c r="J409" t="s">
        <v>451</v>
      </c>
      <c r="L409" t="str">
        <f>IFERROR(INDEX(Diccionario!$B:$B,MATCH(F409,Diccionario!$C:$C,0)),"")</f>
        <v>Contabilidad</v>
      </c>
      <c r="M409" t="str">
        <f>IFERROR(INDEX(Diccionario!$H:$H,MATCH(F409,Diccionario!$C:$C,0)),"")</f>
        <v>Contabilidad</v>
      </c>
      <c r="N409" t="str">
        <f>IFERROR(INDEX(Diccionario!$N:$N,MATCH(F409,Diccionario!$C:$C,0)),"")</f>
        <v>Mensual</v>
      </c>
    </row>
    <row r="410" spans="1:14" ht="14.25" customHeight="1" x14ac:dyDescent="0.3">
      <c r="A410" t="s">
        <v>547</v>
      </c>
      <c r="B410" t="s">
        <v>522</v>
      </c>
      <c r="C410" t="s">
        <v>523</v>
      </c>
      <c r="D410" t="s">
        <v>451</v>
      </c>
      <c r="E410" t="s">
        <v>524</v>
      </c>
      <c r="F410" t="s">
        <v>309</v>
      </c>
      <c r="H410" t="s">
        <v>568</v>
      </c>
      <c r="I410">
        <v>1500000</v>
      </c>
      <c r="J410" t="s">
        <v>451</v>
      </c>
      <c r="L410" t="str">
        <f>IFERROR(INDEX(Diccionario!$B:$B,MATCH(F410,Diccionario!$C:$C,0)),"")</f>
        <v>Contabilidad</v>
      </c>
      <c r="M410" t="str">
        <f>IFERROR(INDEX(Diccionario!$H:$H,MATCH(F410,Diccionario!$C:$C,0)),"")</f>
        <v>Contabilidad</v>
      </c>
      <c r="N410" t="str">
        <f>IFERROR(INDEX(Diccionario!$N:$N,MATCH(F410,Diccionario!$C:$C,0)),"")</f>
        <v>Mensual</v>
      </c>
    </row>
    <row r="411" spans="1:14" ht="14.25" customHeight="1" x14ac:dyDescent="0.3">
      <c r="A411" t="s">
        <v>547</v>
      </c>
      <c r="B411" t="s">
        <v>522</v>
      </c>
      <c r="C411" t="s">
        <v>523</v>
      </c>
      <c r="D411" t="s">
        <v>451</v>
      </c>
      <c r="E411" t="s">
        <v>524</v>
      </c>
      <c r="F411" t="s">
        <v>309</v>
      </c>
      <c r="H411" t="s">
        <v>569</v>
      </c>
      <c r="I411">
        <v>4100000</v>
      </c>
      <c r="J411" t="s">
        <v>451</v>
      </c>
      <c r="L411" t="str">
        <f>IFERROR(INDEX(Diccionario!$B:$B,MATCH(F411,Diccionario!$C:$C,0)),"")</f>
        <v>Contabilidad</v>
      </c>
      <c r="M411" t="str">
        <f>IFERROR(INDEX(Diccionario!$H:$H,MATCH(F411,Diccionario!$C:$C,0)),"")</f>
        <v>Contabilidad</v>
      </c>
      <c r="N411" t="str">
        <f>IFERROR(INDEX(Diccionario!$N:$N,MATCH(F411,Diccionario!$C:$C,0)),"")</f>
        <v>Mensual</v>
      </c>
    </row>
    <row r="412" spans="1:14" ht="14.25" customHeight="1" x14ac:dyDescent="0.3">
      <c r="A412" t="s">
        <v>547</v>
      </c>
      <c r="B412" t="s">
        <v>522</v>
      </c>
      <c r="C412" t="s">
        <v>523</v>
      </c>
      <c r="D412" t="s">
        <v>451</v>
      </c>
      <c r="E412" t="s">
        <v>524</v>
      </c>
      <c r="F412" t="s">
        <v>309</v>
      </c>
      <c r="H412" t="s">
        <v>570</v>
      </c>
      <c r="I412">
        <v>16600000</v>
      </c>
      <c r="J412" t="s">
        <v>451</v>
      </c>
      <c r="L412" t="str">
        <f>IFERROR(INDEX(Diccionario!$B:$B,MATCH(F412,Diccionario!$C:$C,0)),"")</f>
        <v>Contabilidad</v>
      </c>
      <c r="M412" t="str">
        <f>IFERROR(INDEX(Diccionario!$H:$H,MATCH(F412,Diccionario!$C:$C,0)),"")</f>
        <v>Contabilidad</v>
      </c>
      <c r="N412" t="str">
        <f>IFERROR(INDEX(Diccionario!$N:$N,MATCH(F412,Diccionario!$C:$C,0)),"")</f>
        <v>Mensual</v>
      </c>
    </row>
    <row r="413" spans="1:14" ht="14.25" customHeight="1" x14ac:dyDescent="0.3">
      <c r="A413" t="s">
        <v>547</v>
      </c>
      <c r="B413" t="s">
        <v>522</v>
      </c>
      <c r="C413" t="s">
        <v>523</v>
      </c>
      <c r="D413" t="s">
        <v>451</v>
      </c>
      <c r="E413" t="s">
        <v>524</v>
      </c>
      <c r="F413" t="s">
        <v>309</v>
      </c>
      <c r="H413" t="s">
        <v>571</v>
      </c>
      <c r="I413">
        <v>53200000</v>
      </c>
      <c r="J413" t="s">
        <v>451</v>
      </c>
      <c r="L413" t="str">
        <f>IFERROR(INDEX(Diccionario!$B:$B,MATCH(F413,Diccionario!$C:$C,0)),"")</f>
        <v>Contabilidad</v>
      </c>
      <c r="M413" t="str">
        <f>IFERROR(INDEX(Diccionario!$H:$H,MATCH(F413,Diccionario!$C:$C,0)),"")</f>
        <v>Contabilidad</v>
      </c>
      <c r="N413" t="str">
        <f>IFERROR(INDEX(Diccionario!$N:$N,MATCH(F413,Diccionario!$C:$C,0)),"")</f>
        <v>Mensual</v>
      </c>
    </row>
    <row r="414" spans="1:14" ht="14.25" customHeight="1" x14ac:dyDescent="0.3">
      <c r="A414" t="s">
        <v>548</v>
      </c>
      <c r="B414" t="s">
        <v>522</v>
      </c>
      <c r="C414" t="s">
        <v>523</v>
      </c>
      <c r="D414" t="s">
        <v>451</v>
      </c>
      <c r="E414" t="s">
        <v>524</v>
      </c>
      <c r="F414" t="s">
        <v>309</v>
      </c>
      <c r="H414" t="s">
        <v>565</v>
      </c>
      <c r="I414">
        <v>40100000</v>
      </c>
      <c r="J414" t="s">
        <v>451</v>
      </c>
      <c r="L414" t="str">
        <f>IFERROR(INDEX(Diccionario!$B:$B,MATCH(F414,Diccionario!$C:$C,0)),"")</f>
        <v>Contabilidad</v>
      </c>
      <c r="M414" t="str">
        <f>IFERROR(INDEX(Diccionario!$H:$H,MATCH(F414,Diccionario!$C:$C,0)),"")</f>
        <v>Contabilidad</v>
      </c>
      <c r="N414" t="str">
        <f>IFERROR(INDEX(Diccionario!$N:$N,MATCH(F414,Diccionario!$C:$C,0)),"")</f>
        <v>Mensual</v>
      </c>
    </row>
    <row r="415" spans="1:14" ht="14.25" customHeight="1" x14ac:dyDescent="0.3">
      <c r="A415" t="s">
        <v>548</v>
      </c>
      <c r="B415" t="s">
        <v>522</v>
      </c>
      <c r="C415" t="s">
        <v>523</v>
      </c>
      <c r="D415" t="s">
        <v>451</v>
      </c>
      <c r="E415" t="s">
        <v>524</v>
      </c>
      <c r="F415" t="s">
        <v>309</v>
      </c>
      <c r="H415" t="s">
        <v>566</v>
      </c>
      <c r="I415">
        <v>9200000</v>
      </c>
      <c r="J415" t="s">
        <v>451</v>
      </c>
      <c r="L415" t="str">
        <f>IFERROR(INDEX(Diccionario!$B:$B,MATCH(F415,Diccionario!$C:$C,0)),"")</f>
        <v>Contabilidad</v>
      </c>
      <c r="M415" t="str">
        <f>IFERROR(INDEX(Diccionario!$H:$H,MATCH(F415,Diccionario!$C:$C,0)),"")</f>
        <v>Contabilidad</v>
      </c>
      <c r="N415" t="str">
        <f>IFERROR(INDEX(Diccionario!$N:$N,MATCH(F415,Diccionario!$C:$C,0)),"")</f>
        <v>Mensual</v>
      </c>
    </row>
    <row r="416" spans="1:14" ht="14.25" customHeight="1" x14ac:dyDescent="0.3">
      <c r="A416" t="s">
        <v>548</v>
      </c>
      <c r="B416" t="s">
        <v>522</v>
      </c>
      <c r="C416" t="s">
        <v>523</v>
      </c>
      <c r="D416" t="s">
        <v>451</v>
      </c>
      <c r="E416" t="s">
        <v>524</v>
      </c>
      <c r="F416" t="s">
        <v>309</v>
      </c>
      <c r="H416" t="s">
        <v>567</v>
      </c>
      <c r="I416">
        <v>12400000</v>
      </c>
      <c r="J416" t="s">
        <v>451</v>
      </c>
      <c r="L416" t="str">
        <f>IFERROR(INDEX(Diccionario!$B:$B,MATCH(F416,Diccionario!$C:$C,0)),"")</f>
        <v>Contabilidad</v>
      </c>
      <c r="M416" t="str">
        <f>IFERROR(INDEX(Diccionario!$H:$H,MATCH(F416,Diccionario!$C:$C,0)),"")</f>
        <v>Contabilidad</v>
      </c>
      <c r="N416" t="str">
        <f>IFERROR(INDEX(Diccionario!$N:$N,MATCH(F416,Diccionario!$C:$C,0)),"")</f>
        <v>Mensual</v>
      </c>
    </row>
    <row r="417" spans="1:14" ht="14.25" customHeight="1" x14ac:dyDescent="0.3">
      <c r="A417" t="s">
        <v>548</v>
      </c>
      <c r="B417" t="s">
        <v>522</v>
      </c>
      <c r="C417" t="s">
        <v>523</v>
      </c>
      <c r="D417" t="s">
        <v>451</v>
      </c>
      <c r="E417" t="s">
        <v>524</v>
      </c>
      <c r="F417" t="s">
        <v>309</v>
      </c>
      <c r="H417" t="s">
        <v>568</v>
      </c>
      <c r="I417">
        <v>3000000</v>
      </c>
      <c r="J417" t="s">
        <v>451</v>
      </c>
      <c r="L417" t="str">
        <f>IFERROR(INDEX(Diccionario!$B:$B,MATCH(F417,Diccionario!$C:$C,0)),"")</f>
        <v>Contabilidad</v>
      </c>
      <c r="M417" t="str">
        <f>IFERROR(INDEX(Diccionario!$H:$H,MATCH(F417,Diccionario!$C:$C,0)),"")</f>
        <v>Contabilidad</v>
      </c>
      <c r="N417" t="str">
        <f>IFERROR(INDEX(Diccionario!$N:$N,MATCH(F417,Diccionario!$C:$C,0)),"")</f>
        <v>Mensual</v>
      </c>
    </row>
    <row r="418" spans="1:14" ht="14.25" customHeight="1" x14ac:dyDescent="0.3">
      <c r="A418" t="s">
        <v>548</v>
      </c>
      <c r="B418" t="s">
        <v>522</v>
      </c>
      <c r="C418" t="s">
        <v>523</v>
      </c>
      <c r="D418" t="s">
        <v>451</v>
      </c>
      <c r="E418" t="s">
        <v>524</v>
      </c>
      <c r="F418" t="s">
        <v>309</v>
      </c>
      <c r="H418" t="s">
        <v>569</v>
      </c>
      <c r="I418">
        <v>5700000</v>
      </c>
      <c r="J418" t="s">
        <v>451</v>
      </c>
      <c r="L418" t="str">
        <f>IFERROR(INDEX(Diccionario!$B:$B,MATCH(F418,Diccionario!$C:$C,0)),"")</f>
        <v>Contabilidad</v>
      </c>
      <c r="M418" t="str">
        <f>IFERROR(INDEX(Diccionario!$H:$H,MATCH(F418,Diccionario!$C:$C,0)),"")</f>
        <v>Contabilidad</v>
      </c>
      <c r="N418" t="str">
        <f>IFERROR(INDEX(Diccionario!$N:$N,MATCH(F418,Diccionario!$C:$C,0)),"")</f>
        <v>Mensual</v>
      </c>
    </row>
    <row r="419" spans="1:14" ht="14.25" customHeight="1" x14ac:dyDescent="0.3">
      <c r="A419" t="s">
        <v>548</v>
      </c>
      <c r="B419" t="s">
        <v>522</v>
      </c>
      <c r="C419" t="s">
        <v>523</v>
      </c>
      <c r="D419" t="s">
        <v>451</v>
      </c>
      <c r="E419" t="s">
        <v>524</v>
      </c>
      <c r="F419" t="s">
        <v>309</v>
      </c>
      <c r="H419" t="s">
        <v>570</v>
      </c>
      <c r="I419">
        <v>2900000</v>
      </c>
      <c r="J419" t="s">
        <v>451</v>
      </c>
      <c r="L419" t="str">
        <f>IFERROR(INDEX(Diccionario!$B:$B,MATCH(F419,Diccionario!$C:$C,0)),"")</f>
        <v>Contabilidad</v>
      </c>
      <c r="M419" t="str">
        <f>IFERROR(INDEX(Diccionario!$H:$H,MATCH(F419,Diccionario!$C:$C,0)),"")</f>
        <v>Contabilidad</v>
      </c>
      <c r="N419" t="str">
        <f>IFERROR(INDEX(Diccionario!$N:$N,MATCH(F419,Diccionario!$C:$C,0)),"")</f>
        <v>Mensual</v>
      </c>
    </row>
    <row r="420" spans="1:14" ht="14.25" customHeight="1" x14ac:dyDescent="0.3">
      <c r="A420" t="s">
        <v>548</v>
      </c>
      <c r="B420" t="s">
        <v>522</v>
      </c>
      <c r="C420" t="s">
        <v>523</v>
      </c>
      <c r="D420" t="s">
        <v>451</v>
      </c>
      <c r="E420" t="s">
        <v>524</v>
      </c>
      <c r="F420" t="s">
        <v>309</v>
      </c>
      <c r="H420" t="s">
        <v>571</v>
      </c>
      <c r="I420">
        <v>9400000</v>
      </c>
      <c r="J420" t="s">
        <v>451</v>
      </c>
      <c r="L420" t="str">
        <f>IFERROR(INDEX(Diccionario!$B:$B,MATCH(F420,Diccionario!$C:$C,0)),"")</f>
        <v>Contabilidad</v>
      </c>
      <c r="M420" t="str">
        <f>IFERROR(INDEX(Diccionario!$H:$H,MATCH(F420,Diccionario!$C:$C,0)),"")</f>
        <v>Contabilidad</v>
      </c>
      <c r="N420" t="str">
        <f>IFERROR(INDEX(Diccionario!$N:$N,MATCH(F420,Diccionario!$C:$C,0)),"")</f>
        <v>Mensual</v>
      </c>
    </row>
    <row r="421" spans="1:14" ht="14.25" customHeight="1" x14ac:dyDescent="0.3">
      <c r="A421" t="s">
        <v>549</v>
      </c>
      <c r="B421" t="s">
        <v>522</v>
      </c>
      <c r="C421" t="s">
        <v>523</v>
      </c>
      <c r="D421" t="s">
        <v>451</v>
      </c>
      <c r="E421" t="s">
        <v>524</v>
      </c>
      <c r="F421" t="s">
        <v>309</v>
      </c>
      <c r="H421" t="s">
        <v>565</v>
      </c>
      <c r="I421">
        <v>58300000</v>
      </c>
      <c r="J421" t="s">
        <v>451</v>
      </c>
      <c r="L421" t="str">
        <f>IFERROR(INDEX(Diccionario!$B:$B,MATCH(F421,Diccionario!$C:$C,0)),"")</f>
        <v>Contabilidad</v>
      </c>
      <c r="M421" t="str">
        <f>IFERROR(INDEX(Diccionario!$H:$H,MATCH(F421,Diccionario!$C:$C,0)),"")</f>
        <v>Contabilidad</v>
      </c>
      <c r="N421" t="str">
        <f>IFERROR(INDEX(Diccionario!$N:$N,MATCH(F421,Diccionario!$C:$C,0)),"")</f>
        <v>Mensual</v>
      </c>
    </row>
    <row r="422" spans="1:14" ht="14.25" customHeight="1" x14ac:dyDescent="0.3">
      <c r="A422" t="s">
        <v>549</v>
      </c>
      <c r="B422" t="s">
        <v>522</v>
      </c>
      <c r="C422" t="s">
        <v>523</v>
      </c>
      <c r="D422" t="s">
        <v>451</v>
      </c>
      <c r="E422" t="s">
        <v>524</v>
      </c>
      <c r="F422" t="s">
        <v>309</v>
      </c>
      <c r="H422" t="s">
        <v>566</v>
      </c>
      <c r="I422">
        <v>6900000</v>
      </c>
      <c r="J422" t="s">
        <v>451</v>
      </c>
      <c r="L422" t="str">
        <f>IFERROR(INDEX(Diccionario!$B:$B,MATCH(F422,Diccionario!$C:$C,0)),"")</f>
        <v>Contabilidad</v>
      </c>
      <c r="M422" t="str">
        <f>IFERROR(INDEX(Diccionario!$H:$H,MATCH(F422,Diccionario!$C:$C,0)),"")</f>
        <v>Contabilidad</v>
      </c>
      <c r="N422" t="str">
        <f>IFERROR(INDEX(Diccionario!$N:$N,MATCH(F422,Diccionario!$C:$C,0)),"")</f>
        <v>Mensual</v>
      </c>
    </row>
    <row r="423" spans="1:14" ht="14.25" customHeight="1" x14ac:dyDescent="0.3">
      <c r="A423" t="s">
        <v>549</v>
      </c>
      <c r="B423" t="s">
        <v>522</v>
      </c>
      <c r="C423" t="s">
        <v>523</v>
      </c>
      <c r="D423" t="s">
        <v>451</v>
      </c>
      <c r="E423" t="s">
        <v>524</v>
      </c>
      <c r="F423" t="s">
        <v>309</v>
      </c>
      <c r="H423" t="s">
        <v>567</v>
      </c>
      <c r="I423">
        <v>12200000</v>
      </c>
      <c r="J423" t="s">
        <v>451</v>
      </c>
      <c r="L423" t="str">
        <f>IFERROR(INDEX(Diccionario!$B:$B,MATCH(F423,Diccionario!$C:$C,0)),"")</f>
        <v>Contabilidad</v>
      </c>
      <c r="M423" t="str">
        <f>IFERROR(INDEX(Diccionario!$H:$H,MATCH(F423,Diccionario!$C:$C,0)),"")</f>
        <v>Contabilidad</v>
      </c>
      <c r="N423" t="str">
        <f>IFERROR(INDEX(Diccionario!$N:$N,MATCH(F423,Diccionario!$C:$C,0)),"")</f>
        <v>Mensual</v>
      </c>
    </row>
    <row r="424" spans="1:14" ht="14.25" customHeight="1" x14ac:dyDescent="0.3">
      <c r="A424" t="s">
        <v>549</v>
      </c>
      <c r="B424" t="s">
        <v>522</v>
      </c>
      <c r="C424" t="s">
        <v>523</v>
      </c>
      <c r="D424" t="s">
        <v>451</v>
      </c>
      <c r="E424" t="s">
        <v>524</v>
      </c>
      <c r="F424" t="s">
        <v>309</v>
      </c>
      <c r="H424" t="s">
        <v>568</v>
      </c>
      <c r="I424">
        <v>3500000</v>
      </c>
      <c r="J424" t="s">
        <v>451</v>
      </c>
      <c r="L424" t="str">
        <f>IFERROR(INDEX(Diccionario!$B:$B,MATCH(F424,Diccionario!$C:$C,0)),"")</f>
        <v>Contabilidad</v>
      </c>
      <c r="M424" t="str">
        <f>IFERROR(INDEX(Diccionario!$H:$H,MATCH(F424,Diccionario!$C:$C,0)),"")</f>
        <v>Contabilidad</v>
      </c>
      <c r="N424" t="str">
        <f>IFERROR(INDEX(Diccionario!$N:$N,MATCH(F424,Diccionario!$C:$C,0)),"")</f>
        <v>Mensual</v>
      </c>
    </row>
    <row r="425" spans="1:14" ht="14.25" customHeight="1" x14ac:dyDescent="0.3">
      <c r="A425" t="s">
        <v>549</v>
      </c>
      <c r="B425" t="s">
        <v>522</v>
      </c>
      <c r="C425" t="s">
        <v>523</v>
      </c>
      <c r="D425" t="s">
        <v>451</v>
      </c>
      <c r="E425" t="s">
        <v>524</v>
      </c>
      <c r="F425" t="s">
        <v>309</v>
      </c>
      <c r="H425" t="s">
        <v>569</v>
      </c>
      <c r="I425">
        <v>6600000</v>
      </c>
      <c r="J425" t="s">
        <v>451</v>
      </c>
      <c r="L425" t="str">
        <f>IFERROR(INDEX(Diccionario!$B:$B,MATCH(F425,Diccionario!$C:$C,0)),"")</f>
        <v>Contabilidad</v>
      </c>
      <c r="M425" t="str">
        <f>IFERROR(INDEX(Diccionario!$H:$H,MATCH(F425,Diccionario!$C:$C,0)),"")</f>
        <v>Contabilidad</v>
      </c>
      <c r="N425" t="str">
        <f>IFERROR(INDEX(Diccionario!$N:$N,MATCH(F425,Diccionario!$C:$C,0)),"")</f>
        <v>Mensual</v>
      </c>
    </row>
    <row r="426" spans="1:14" ht="14.25" customHeight="1" x14ac:dyDescent="0.3">
      <c r="A426" t="s">
        <v>549</v>
      </c>
      <c r="B426" t="s">
        <v>522</v>
      </c>
      <c r="C426" t="s">
        <v>523</v>
      </c>
      <c r="D426" t="s">
        <v>451</v>
      </c>
      <c r="E426" t="s">
        <v>524</v>
      </c>
      <c r="F426" t="s">
        <v>309</v>
      </c>
      <c r="H426" t="s">
        <v>570</v>
      </c>
      <c r="I426">
        <v>4200000</v>
      </c>
      <c r="J426" t="s">
        <v>451</v>
      </c>
      <c r="L426" t="str">
        <f>IFERROR(INDEX(Diccionario!$B:$B,MATCH(F426,Diccionario!$C:$C,0)),"")</f>
        <v>Contabilidad</v>
      </c>
      <c r="M426" t="str">
        <f>IFERROR(INDEX(Diccionario!$H:$H,MATCH(F426,Diccionario!$C:$C,0)),"")</f>
        <v>Contabilidad</v>
      </c>
      <c r="N426" t="str">
        <f>IFERROR(INDEX(Diccionario!$N:$N,MATCH(F426,Diccionario!$C:$C,0)),"")</f>
        <v>Mensual</v>
      </c>
    </row>
    <row r="427" spans="1:14" ht="14.25" customHeight="1" x14ac:dyDescent="0.3">
      <c r="A427" t="s">
        <v>549</v>
      </c>
      <c r="B427" t="s">
        <v>522</v>
      </c>
      <c r="C427" t="s">
        <v>523</v>
      </c>
      <c r="D427" t="s">
        <v>451</v>
      </c>
      <c r="E427" t="s">
        <v>524</v>
      </c>
      <c r="F427" t="s">
        <v>309</v>
      </c>
      <c r="H427" t="s">
        <v>571</v>
      </c>
      <c r="I427">
        <v>6800000</v>
      </c>
      <c r="J427" t="s">
        <v>451</v>
      </c>
      <c r="L427" t="str">
        <f>IFERROR(INDEX(Diccionario!$B:$B,MATCH(F427,Diccionario!$C:$C,0)),"")</f>
        <v>Contabilidad</v>
      </c>
      <c r="M427" t="str">
        <f>IFERROR(INDEX(Diccionario!$H:$H,MATCH(F427,Diccionario!$C:$C,0)),"")</f>
        <v>Contabilidad</v>
      </c>
      <c r="N427" t="str">
        <f>IFERROR(INDEX(Diccionario!$N:$N,MATCH(F427,Diccionario!$C:$C,0)),"")</f>
        <v>Mensual</v>
      </c>
    </row>
    <row r="428" spans="1:14" ht="14.25" customHeight="1" x14ac:dyDescent="0.3">
      <c r="A428" t="s">
        <v>551</v>
      </c>
      <c r="B428" t="s">
        <v>522</v>
      </c>
      <c r="C428" t="s">
        <v>523</v>
      </c>
      <c r="D428" t="s">
        <v>451</v>
      </c>
      <c r="E428" t="s">
        <v>524</v>
      </c>
      <c r="F428" t="s">
        <v>309</v>
      </c>
      <c r="H428" t="s">
        <v>565</v>
      </c>
      <c r="I428">
        <v>62800000</v>
      </c>
      <c r="J428" t="s">
        <v>451</v>
      </c>
      <c r="L428" t="str">
        <f>IFERROR(INDEX(Diccionario!$B:$B,MATCH(F428,Diccionario!$C:$C,0)),"")</f>
        <v>Contabilidad</v>
      </c>
      <c r="M428" t="str">
        <f>IFERROR(INDEX(Diccionario!$H:$H,MATCH(F428,Diccionario!$C:$C,0)),"")</f>
        <v>Contabilidad</v>
      </c>
      <c r="N428" t="str">
        <f>IFERROR(INDEX(Diccionario!$N:$N,MATCH(F428,Diccionario!$C:$C,0)),"")</f>
        <v>Mensual</v>
      </c>
    </row>
    <row r="429" spans="1:14" ht="14.25" customHeight="1" x14ac:dyDescent="0.3">
      <c r="A429" t="s">
        <v>551</v>
      </c>
      <c r="B429" t="s">
        <v>522</v>
      </c>
      <c r="C429" t="s">
        <v>523</v>
      </c>
      <c r="D429" t="s">
        <v>451</v>
      </c>
      <c r="E429" t="s">
        <v>524</v>
      </c>
      <c r="F429" t="s">
        <v>309</v>
      </c>
      <c r="H429" t="s">
        <v>566</v>
      </c>
      <c r="I429">
        <v>10500000</v>
      </c>
      <c r="J429" t="s">
        <v>451</v>
      </c>
      <c r="L429" t="str">
        <f>IFERROR(INDEX(Diccionario!$B:$B,MATCH(F429,Diccionario!$C:$C,0)),"")</f>
        <v>Contabilidad</v>
      </c>
      <c r="M429" t="str">
        <f>IFERROR(INDEX(Diccionario!$H:$H,MATCH(F429,Diccionario!$C:$C,0)),"")</f>
        <v>Contabilidad</v>
      </c>
      <c r="N429" t="str">
        <f>IFERROR(INDEX(Diccionario!$N:$N,MATCH(F429,Diccionario!$C:$C,0)),"")</f>
        <v>Mensual</v>
      </c>
    </row>
    <row r="430" spans="1:14" ht="14.25" customHeight="1" x14ac:dyDescent="0.3">
      <c r="A430" t="s">
        <v>551</v>
      </c>
      <c r="B430" t="s">
        <v>522</v>
      </c>
      <c r="C430" t="s">
        <v>523</v>
      </c>
      <c r="D430" t="s">
        <v>451</v>
      </c>
      <c r="E430" t="s">
        <v>524</v>
      </c>
      <c r="F430" t="s">
        <v>309</v>
      </c>
      <c r="H430" t="s">
        <v>567</v>
      </c>
      <c r="I430">
        <v>12000000</v>
      </c>
      <c r="J430" t="s">
        <v>451</v>
      </c>
      <c r="L430" t="str">
        <f>IFERROR(INDEX(Diccionario!$B:$B,MATCH(F430,Diccionario!$C:$C,0)),"")</f>
        <v>Contabilidad</v>
      </c>
      <c r="M430" t="str">
        <f>IFERROR(INDEX(Diccionario!$H:$H,MATCH(F430,Diccionario!$C:$C,0)),"")</f>
        <v>Contabilidad</v>
      </c>
      <c r="N430" t="str">
        <f>IFERROR(INDEX(Diccionario!$N:$N,MATCH(F430,Diccionario!$C:$C,0)),"")</f>
        <v>Mensual</v>
      </c>
    </row>
    <row r="431" spans="1:14" ht="14.25" customHeight="1" x14ac:dyDescent="0.3">
      <c r="A431" t="s">
        <v>551</v>
      </c>
      <c r="B431" t="s">
        <v>522</v>
      </c>
      <c r="C431" t="s">
        <v>523</v>
      </c>
      <c r="D431" t="s">
        <v>451</v>
      </c>
      <c r="E431" t="s">
        <v>524</v>
      </c>
      <c r="F431" t="s">
        <v>309</v>
      </c>
      <c r="H431" t="s">
        <v>568</v>
      </c>
      <c r="I431">
        <v>3600000</v>
      </c>
      <c r="J431" t="s">
        <v>451</v>
      </c>
      <c r="L431" t="str">
        <f>IFERROR(INDEX(Diccionario!$B:$B,MATCH(F431,Diccionario!$C:$C,0)),"")</f>
        <v>Contabilidad</v>
      </c>
      <c r="M431" t="str">
        <f>IFERROR(INDEX(Diccionario!$H:$H,MATCH(F431,Diccionario!$C:$C,0)),"")</f>
        <v>Contabilidad</v>
      </c>
      <c r="N431" t="str">
        <f>IFERROR(INDEX(Diccionario!$N:$N,MATCH(F431,Diccionario!$C:$C,0)),"")</f>
        <v>Mensual</v>
      </c>
    </row>
    <row r="432" spans="1:14" ht="14.25" customHeight="1" x14ac:dyDescent="0.3">
      <c r="A432" t="s">
        <v>551</v>
      </c>
      <c r="B432" t="s">
        <v>522</v>
      </c>
      <c r="C432" t="s">
        <v>523</v>
      </c>
      <c r="D432" t="s">
        <v>451</v>
      </c>
      <c r="E432" t="s">
        <v>524</v>
      </c>
      <c r="F432" t="s">
        <v>309</v>
      </c>
      <c r="H432" t="s">
        <v>569</v>
      </c>
      <c r="I432">
        <v>3300000</v>
      </c>
      <c r="J432" t="s">
        <v>451</v>
      </c>
      <c r="L432" t="str">
        <f>IFERROR(INDEX(Diccionario!$B:$B,MATCH(F432,Diccionario!$C:$C,0)),"")</f>
        <v>Contabilidad</v>
      </c>
      <c r="M432" t="str">
        <f>IFERROR(INDEX(Diccionario!$H:$H,MATCH(F432,Diccionario!$C:$C,0)),"")</f>
        <v>Contabilidad</v>
      </c>
      <c r="N432" t="str">
        <f>IFERROR(INDEX(Diccionario!$N:$N,MATCH(F432,Diccionario!$C:$C,0)),"")</f>
        <v>Mensual</v>
      </c>
    </row>
    <row r="433" spans="1:14" ht="14.25" customHeight="1" x14ac:dyDescent="0.3">
      <c r="A433" t="s">
        <v>551</v>
      </c>
      <c r="B433" t="s">
        <v>522</v>
      </c>
      <c r="C433" t="s">
        <v>523</v>
      </c>
      <c r="D433" t="s">
        <v>451</v>
      </c>
      <c r="E433" t="s">
        <v>524</v>
      </c>
      <c r="F433" t="s">
        <v>309</v>
      </c>
      <c r="H433" t="s">
        <v>570</v>
      </c>
      <c r="I433">
        <v>3600000</v>
      </c>
      <c r="J433" t="s">
        <v>451</v>
      </c>
      <c r="L433" t="str">
        <f>IFERROR(INDEX(Diccionario!$B:$B,MATCH(F433,Diccionario!$C:$C,0)),"")</f>
        <v>Contabilidad</v>
      </c>
      <c r="M433" t="str">
        <f>IFERROR(INDEX(Diccionario!$H:$H,MATCH(F433,Diccionario!$C:$C,0)),"")</f>
        <v>Contabilidad</v>
      </c>
      <c r="N433" t="str">
        <f>IFERROR(INDEX(Diccionario!$N:$N,MATCH(F433,Diccionario!$C:$C,0)),"")</f>
        <v>Mensual</v>
      </c>
    </row>
    <row r="434" spans="1:14" ht="14.25" customHeight="1" x14ac:dyDescent="0.3">
      <c r="A434" t="s">
        <v>551</v>
      </c>
      <c r="B434" t="s">
        <v>522</v>
      </c>
      <c r="C434" t="s">
        <v>523</v>
      </c>
      <c r="D434" t="s">
        <v>451</v>
      </c>
      <c r="E434" t="s">
        <v>524</v>
      </c>
      <c r="F434" t="s">
        <v>309</v>
      </c>
      <c r="H434" t="s">
        <v>571</v>
      </c>
      <c r="I434">
        <v>5900000</v>
      </c>
      <c r="J434" t="s">
        <v>451</v>
      </c>
      <c r="L434" t="str">
        <f>IFERROR(INDEX(Diccionario!$B:$B,MATCH(F434,Diccionario!$C:$C,0)),"")</f>
        <v>Contabilidad</v>
      </c>
      <c r="M434" t="str">
        <f>IFERROR(INDEX(Diccionario!$H:$H,MATCH(F434,Diccionario!$C:$C,0)),"")</f>
        <v>Contabilidad</v>
      </c>
      <c r="N434" t="str">
        <f>IFERROR(INDEX(Diccionario!$N:$N,MATCH(F434,Diccionario!$C:$C,0)),"")</f>
        <v>Mensual</v>
      </c>
    </row>
    <row r="435" spans="1:14" ht="14.25" customHeight="1" x14ac:dyDescent="0.3">
      <c r="A435" t="s">
        <v>552</v>
      </c>
      <c r="B435" t="s">
        <v>522</v>
      </c>
      <c r="C435" t="s">
        <v>523</v>
      </c>
      <c r="D435" t="s">
        <v>451</v>
      </c>
      <c r="E435" t="s">
        <v>524</v>
      </c>
      <c r="F435" t="s">
        <v>309</v>
      </c>
      <c r="H435" t="s">
        <v>565</v>
      </c>
      <c r="I435">
        <v>68200000</v>
      </c>
      <c r="J435" t="s">
        <v>451</v>
      </c>
      <c r="L435" t="str">
        <f>IFERROR(INDEX(Diccionario!$B:$B,MATCH(F435,Diccionario!$C:$C,0)),"")</f>
        <v>Contabilidad</v>
      </c>
      <c r="M435" t="str">
        <f>IFERROR(INDEX(Diccionario!$H:$H,MATCH(F435,Diccionario!$C:$C,0)),"")</f>
        <v>Contabilidad</v>
      </c>
      <c r="N435" t="str">
        <f>IFERROR(INDEX(Diccionario!$N:$N,MATCH(F435,Diccionario!$C:$C,0)),"")</f>
        <v>Mensual</v>
      </c>
    </row>
    <row r="436" spans="1:14" ht="14.25" customHeight="1" x14ac:dyDescent="0.3">
      <c r="A436" t="s">
        <v>552</v>
      </c>
      <c r="B436" t="s">
        <v>522</v>
      </c>
      <c r="C436" t="s">
        <v>523</v>
      </c>
      <c r="D436" t="s">
        <v>451</v>
      </c>
      <c r="E436" t="s">
        <v>524</v>
      </c>
      <c r="F436" t="s">
        <v>309</v>
      </c>
      <c r="H436" t="s">
        <v>566</v>
      </c>
      <c r="I436">
        <v>29900000</v>
      </c>
      <c r="J436" t="s">
        <v>451</v>
      </c>
      <c r="L436" t="str">
        <f>IFERROR(INDEX(Diccionario!$B:$B,MATCH(F436,Diccionario!$C:$C,0)),"")</f>
        <v>Contabilidad</v>
      </c>
      <c r="M436" t="str">
        <f>IFERROR(INDEX(Diccionario!$H:$H,MATCH(F436,Diccionario!$C:$C,0)),"")</f>
        <v>Contabilidad</v>
      </c>
      <c r="N436" t="str">
        <f>IFERROR(INDEX(Diccionario!$N:$N,MATCH(F436,Diccionario!$C:$C,0)),"")</f>
        <v>Mensual</v>
      </c>
    </row>
    <row r="437" spans="1:14" ht="14.25" customHeight="1" x14ac:dyDescent="0.3">
      <c r="A437" t="s">
        <v>552</v>
      </c>
      <c r="B437" t="s">
        <v>522</v>
      </c>
      <c r="C437" t="s">
        <v>523</v>
      </c>
      <c r="D437" t="s">
        <v>451</v>
      </c>
      <c r="E437" t="s">
        <v>524</v>
      </c>
      <c r="F437" t="s">
        <v>309</v>
      </c>
      <c r="H437" t="s">
        <v>567</v>
      </c>
      <c r="I437">
        <v>10700000</v>
      </c>
      <c r="J437" t="s">
        <v>451</v>
      </c>
      <c r="L437" t="str">
        <f>IFERROR(INDEX(Diccionario!$B:$B,MATCH(F437,Diccionario!$C:$C,0)),"")</f>
        <v>Contabilidad</v>
      </c>
      <c r="M437" t="str">
        <f>IFERROR(INDEX(Diccionario!$H:$H,MATCH(F437,Diccionario!$C:$C,0)),"")</f>
        <v>Contabilidad</v>
      </c>
      <c r="N437" t="str">
        <f>IFERROR(INDEX(Diccionario!$N:$N,MATCH(F437,Diccionario!$C:$C,0)),"")</f>
        <v>Mensual</v>
      </c>
    </row>
    <row r="438" spans="1:14" ht="14.25" customHeight="1" x14ac:dyDescent="0.3">
      <c r="A438" t="s">
        <v>552</v>
      </c>
      <c r="B438" t="s">
        <v>522</v>
      </c>
      <c r="C438" t="s">
        <v>523</v>
      </c>
      <c r="D438" t="s">
        <v>451</v>
      </c>
      <c r="E438" t="s">
        <v>524</v>
      </c>
      <c r="F438" t="s">
        <v>309</v>
      </c>
      <c r="H438" t="s">
        <v>568</v>
      </c>
      <c r="I438">
        <v>1700000</v>
      </c>
      <c r="J438" t="s">
        <v>451</v>
      </c>
      <c r="L438" t="str">
        <f>IFERROR(INDEX(Diccionario!$B:$B,MATCH(F438,Diccionario!$C:$C,0)),"")</f>
        <v>Contabilidad</v>
      </c>
      <c r="M438" t="str">
        <f>IFERROR(INDEX(Diccionario!$H:$H,MATCH(F438,Diccionario!$C:$C,0)),"")</f>
        <v>Contabilidad</v>
      </c>
      <c r="N438" t="str">
        <f>IFERROR(INDEX(Diccionario!$N:$N,MATCH(F438,Diccionario!$C:$C,0)),"")</f>
        <v>Mensual</v>
      </c>
    </row>
    <row r="439" spans="1:14" ht="14.25" customHeight="1" x14ac:dyDescent="0.3">
      <c r="A439" t="s">
        <v>552</v>
      </c>
      <c r="B439" t="s">
        <v>522</v>
      </c>
      <c r="C439" t="s">
        <v>523</v>
      </c>
      <c r="D439" t="s">
        <v>451</v>
      </c>
      <c r="E439" t="s">
        <v>524</v>
      </c>
      <c r="F439" t="s">
        <v>309</v>
      </c>
      <c r="H439" t="s">
        <v>569</v>
      </c>
      <c r="I439">
        <v>4400000</v>
      </c>
      <c r="J439" t="s">
        <v>451</v>
      </c>
      <c r="L439" t="str">
        <f>IFERROR(INDEX(Diccionario!$B:$B,MATCH(F439,Diccionario!$C:$C,0)),"")</f>
        <v>Contabilidad</v>
      </c>
      <c r="M439" t="str">
        <f>IFERROR(INDEX(Diccionario!$H:$H,MATCH(F439,Diccionario!$C:$C,0)),"")</f>
        <v>Contabilidad</v>
      </c>
      <c r="N439" t="str">
        <f>IFERROR(INDEX(Diccionario!$N:$N,MATCH(F439,Diccionario!$C:$C,0)),"")</f>
        <v>Mensual</v>
      </c>
    </row>
    <row r="440" spans="1:14" ht="14.25" customHeight="1" x14ac:dyDescent="0.3">
      <c r="A440" t="s">
        <v>552</v>
      </c>
      <c r="B440" t="s">
        <v>522</v>
      </c>
      <c r="C440" t="s">
        <v>523</v>
      </c>
      <c r="D440" t="s">
        <v>451</v>
      </c>
      <c r="E440" t="s">
        <v>524</v>
      </c>
      <c r="F440" t="s">
        <v>309</v>
      </c>
      <c r="H440" t="s">
        <v>570</v>
      </c>
      <c r="I440">
        <v>5100000</v>
      </c>
      <c r="J440" t="s">
        <v>451</v>
      </c>
      <c r="L440" t="str">
        <f>IFERROR(INDEX(Diccionario!$B:$B,MATCH(F440,Diccionario!$C:$C,0)),"")</f>
        <v>Contabilidad</v>
      </c>
      <c r="M440" t="str">
        <f>IFERROR(INDEX(Diccionario!$H:$H,MATCH(F440,Diccionario!$C:$C,0)),"")</f>
        <v>Contabilidad</v>
      </c>
      <c r="N440" t="str">
        <f>IFERROR(INDEX(Diccionario!$N:$N,MATCH(F440,Diccionario!$C:$C,0)),"")</f>
        <v>Mensual</v>
      </c>
    </row>
    <row r="441" spans="1:14" ht="14.25" customHeight="1" x14ac:dyDescent="0.3">
      <c r="A441" t="s">
        <v>552</v>
      </c>
      <c r="B441" t="s">
        <v>522</v>
      </c>
      <c r="C441" t="s">
        <v>523</v>
      </c>
      <c r="D441" t="s">
        <v>451</v>
      </c>
      <c r="E441" t="s">
        <v>524</v>
      </c>
      <c r="F441" t="s">
        <v>309</v>
      </c>
      <c r="H441" t="s">
        <v>571</v>
      </c>
      <c r="I441">
        <v>14100000</v>
      </c>
      <c r="J441" t="s">
        <v>451</v>
      </c>
      <c r="L441" t="str">
        <f>IFERROR(INDEX(Diccionario!$B:$B,MATCH(F441,Diccionario!$C:$C,0)),"")</f>
        <v>Contabilidad</v>
      </c>
      <c r="M441" t="str">
        <f>IFERROR(INDEX(Diccionario!$H:$H,MATCH(F441,Diccionario!$C:$C,0)),"")</f>
        <v>Contabilidad</v>
      </c>
      <c r="N441" t="str">
        <f>IFERROR(INDEX(Diccionario!$N:$N,MATCH(F441,Diccionario!$C:$C,0)),"")</f>
        <v>Mensual</v>
      </c>
    </row>
    <row r="442" spans="1:14" ht="14.25" customHeight="1" x14ac:dyDescent="0.3">
      <c r="A442" t="s">
        <v>553</v>
      </c>
      <c r="B442" t="s">
        <v>522</v>
      </c>
      <c r="C442" t="s">
        <v>523</v>
      </c>
      <c r="D442" t="s">
        <v>451</v>
      </c>
      <c r="E442" t="s">
        <v>524</v>
      </c>
      <c r="F442" t="s">
        <v>309</v>
      </c>
      <c r="H442" t="s">
        <v>565</v>
      </c>
      <c r="I442">
        <v>57500000</v>
      </c>
      <c r="J442" t="s">
        <v>451</v>
      </c>
      <c r="L442" t="str">
        <f>IFERROR(INDEX(Diccionario!$B:$B,MATCH(F442,Diccionario!$C:$C,0)),"")</f>
        <v>Contabilidad</v>
      </c>
      <c r="M442" t="str">
        <f>IFERROR(INDEX(Diccionario!$H:$H,MATCH(F442,Diccionario!$C:$C,0)),"")</f>
        <v>Contabilidad</v>
      </c>
      <c r="N442" t="str">
        <f>IFERROR(INDEX(Diccionario!$N:$N,MATCH(F442,Diccionario!$C:$C,0)),"")</f>
        <v>Mensual</v>
      </c>
    </row>
    <row r="443" spans="1:14" ht="14.25" customHeight="1" x14ac:dyDescent="0.3">
      <c r="A443" t="s">
        <v>553</v>
      </c>
      <c r="B443" t="s">
        <v>522</v>
      </c>
      <c r="C443" t="s">
        <v>523</v>
      </c>
      <c r="D443" t="s">
        <v>451</v>
      </c>
      <c r="E443" t="s">
        <v>524</v>
      </c>
      <c r="F443" t="s">
        <v>309</v>
      </c>
      <c r="H443" t="s">
        <v>566</v>
      </c>
      <c r="I443">
        <v>19800000</v>
      </c>
      <c r="J443" t="s">
        <v>451</v>
      </c>
      <c r="L443" t="str">
        <f>IFERROR(INDEX(Diccionario!$B:$B,MATCH(F443,Diccionario!$C:$C,0)),"")</f>
        <v>Contabilidad</v>
      </c>
      <c r="M443" t="str">
        <f>IFERROR(INDEX(Diccionario!$H:$H,MATCH(F443,Diccionario!$C:$C,0)),"")</f>
        <v>Contabilidad</v>
      </c>
      <c r="N443" t="str">
        <f>IFERROR(INDEX(Diccionario!$N:$N,MATCH(F443,Diccionario!$C:$C,0)),"")</f>
        <v>Mensual</v>
      </c>
    </row>
    <row r="444" spans="1:14" ht="14.25" customHeight="1" x14ac:dyDescent="0.3">
      <c r="A444" t="s">
        <v>553</v>
      </c>
      <c r="B444" t="s">
        <v>522</v>
      </c>
      <c r="C444" t="s">
        <v>523</v>
      </c>
      <c r="D444" t="s">
        <v>451</v>
      </c>
      <c r="E444" t="s">
        <v>524</v>
      </c>
      <c r="F444" t="s">
        <v>309</v>
      </c>
      <c r="H444" t="s">
        <v>567</v>
      </c>
      <c r="I444">
        <v>10500000</v>
      </c>
      <c r="J444" t="s">
        <v>451</v>
      </c>
      <c r="L444" t="str">
        <f>IFERROR(INDEX(Diccionario!$B:$B,MATCH(F444,Diccionario!$C:$C,0)),"")</f>
        <v>Contabilidad</v>
      </c>
      <c r="M444" t="str">
        <f>IFERROR(INDEX(Diccionario!$H:$H,MATCH(F444,Diccionario!$C:$C,0)),"")</f>
        <v>Contabilidad</v>
      </c>
      <c r="N444" t="str">
        <f>IFERROR(INDEX(Diccionario!$N:$N,MATCH(F444,Diccionario!$C:$C,0)),"")</f>
        <v>Mensual</v>
      </c>
    </row>
    <row r="445" spans="1:14" ht="14.25" customHeight="1" x14ac:dyDescent="0.3">
      <c r="A445" t="s">
        <v>553</v>
      </c>
      <c r="B445" t="s">
        <v>522</v>
      </c>
      <c r="C445" t="s">
        <v>523</v>
      </c>
      <c r="D445" t="s">
        <v>451</v>
      </c>
      <c r="E445" t="s">
        <v>524</v>
      </c>
      <c r="F445" t="s">
        <v>309</v>
      </c>
      <c r="H445" t="s">
        <v>568</v>
      </c>
      <c r="I445">
        <v>900000</v>
      </c>
      <c r="J445" t="s">
        <v>451</v>
      </c>
      <c r="L445" t="str">
        <f>IFERROR(INDEX(Diccionario!$B:$B,MATCH(F445,Diccionario!$C:$C,0)),"")</f>
        <v>Contabilidad</v>
      </c>
      <c r="M445" t="str">
        <f>IFERROR(INDEX(Diccionario!$H:$H,MATCH(F445,Diccionario!$C:$C,0)),"")</f>
        <v>Contabilidad</v>
      </c>
      <c r="N445" t="str">
        <f>IFERROR(INDEX(Diccionario!$N:$N,MATCH(F445,Diccionario!$C:$C,0)),"")</f>
        <v>Mensual</v>
      </c>
    </row>
    <row r="446" spans="1:14" ht="14.25" customHeight="1" x14ac:dyDescent="0.3">
      <c r="A446" t="s">
        <v>553</v>
      </c>
      <c r="B446" t="s">
        <v>522</v>
      </c>
      <c r="C446" t="s">
        <v>523</v>
      </c>
      <c r="D446" t="s">
        <v>451</v>
      </c>
      <c r="E446" t="s">
        <v>524</v>
      </c>
      <c r="F446" t="s">
        <v>309</v>
      </c>
      <c r="H446" t="s">
        <v>569</v>
      </c>
      <c r="I446">
        <v>3600000</v>
      </c>
      <c r="J446" t="s">
        <v>451</v>
      </c>
      <c r="L446" t="str">
        <f>IFERROR(INDEX(Diccionario!$B:$B,MATCH(F446,Diccionario!$C:$C,0)),"")</f>
        <v>Contabilidad</v>
      </c>
      <c r="M446" t="str">
        <f>IFERROR(INDEX(Diccionario!$H:$H,MATCH(F446,Diccionario!$C:$C,0)),"")</f>
        <v>Contabilidad</v>
      </c>
      <c r="N446" t="str">
        <f>IFERROR(INDEX(Diccionario!$N:$N,MATCH(F446,Diccionario!$C:$C,0)),"")</f>
        <v>Mensual</v>
      </c>
    </row>
    <row r="447" spans="1:14" ht="14.25" customHeight="1" x14ac:dyDescent="0.3">
      <c r="A447" t="s">
        <v>553</v>
      </c>
      <c r="B447" t="s">
        <v>522</v>
      </c>
      <c r="C447" t="s">
        <v>523</v>
      </c>
      <c r="D447" t="s">
        <v>451</v>
      </c>
      <c r="E447" t="s">
        <v>524</v>
      </c>
      <c r="F447" t="s">
        <v>309</v>
      </c>
      <c r="H447" t="s">
        <v>570</v>
      </c>
      <c r="I447">
        <v>0</v>
      </c>
      <c r="J447" t="s">
        <v>451</v>
      </c>
      <c r="L447" t="str">
        <f>IFERROR(INDEX(Diccionario!$B:$B,MATCH(F447,Diccionario!$C:$C,0)),"")</f>
        <v>Contabilidad</v>
      </c>
      <c r="M447" t="str">
        <f>IFERROR(INDEX(Diccionario!$H:$H,MATCH(F447,Diccionario!$C:$C,0)),"")</f>
        <v>Contabilidad</v>
      </c>
      <c r="N447" t="str">
        <f>IFERROR(INDEX(Diccionario!$N:$N,MATCH(F447,Diccionario!$C:$C,0)),"")</f>
        <v>Mensual</v>
      </c>
    </row>
    <row r="448" spans="1:14" ht="14.25" customHeight="1" x14ac:dyDescent="0.3">
      <c r="A448" t="s">
        <v>553</v>
      </c>
      <c r="B448" t="s">
        <v>522</v>
      </c>
      <c r="C448" t="s">
        <v>523</v>
      </c>
      <c r="D448" t="s">
        <v>451</v>
      </c>
      <c r="E448" t="s">
        <v>524</v>
      </c>
      <c r="F448" t="s">
        <v>309</v>
      </c>
      <c r="H448" t="s">
        <v>571</v>
      </c>
      <c r="I448">
        <v>21600000</v>
      </c>
      <c r="J448" t="s">
        <v>451</v>
      </c>
      <c r="L448" t="str">
        <f>IFERROR(INDEX(Diccionario!$B:$B,MATCH(F448,Diccionario!$C:$C,0)),"")</f>
        <v>Contabilidad</v>
      </c>
      <c r="M448" t="str">
        <f>IFERROR(INDEX(Diccionario!$H:$H,MATCH(F448,Diccionario!$C:$C,0)),"")</f>
        <v>Contabilidad</v>
      </c>
      <c r="N448" t="str">
        <f>IFERROR(INDEX(Diccionario!$N:$N,MATCH(F448,Diccionario!$C:$C,0)),"")</f>
        <v>Mensual</v>
      </c>
    </row>
    <row r="449" spans="1:14" ht="14.25" customHeight="1" x14ac:dyDescent="0.3">
      <c r="A449" t="s">
        <v>554</v>
      </c>
      <c r="B449" t="s">
        <v>522</v>
      </c>
      <c r="C449" t="s">
        <v>523</v>
      </c>
      <c r="D449" t="s">
        <v>451</v>
      </c>
      <c r="E449" t="s">
        <v>524</v>
      </c>
      <c r="F449" t="s">
        <v>309</v>
      </c>
      <c r="H449" t="s">
        <v>565</v>
      </c>
      <c r="I449">
        <v>62300000</v>
      </c>
      <c r="J449" t="s">
        <v>451</v>
      </c>
      <c r="L449" t="str">
        <f>IFERROR(INDEX(Diccionario!$B:$B,MATCH(F449,Diccionario!$C:$C,0)),"")</f>
        <v>Contabilidad</v>
      </c>
      <c r="M449" t="str">
        <f>IFERROR(INDEX(Diccionario!$H:$H,MATCH(F449,Diccionario!$C:$C,0)),"")</f>
        <v>Contabilidad</v>
      </c>
      <c r="N449" t="str">
        <f>IFERROR(INDEX(Diccionario!$N:$N,MATCH(F449,Diccionario!$C:$C,0)),"")</f>
        <v>Mensual</v>
      </c>
    </row>
    <row r="450" spans="1:14" ht="14.25" customHeight="1" x14ac:dyDescent="0.3">
      <c r="A450" t="s">
        <v>554</v>
      </c>
      <c r="B450" t="s">
        <v>522</v>
      </c>
      <c r="C450" t="s">
        <v>523</v>
      </c>
      <c r="D450" t="s">
        <v>451</v>
      </c>
      <c r="E450" t="s">
        <v>524</v>
      </c>
      <c r="F450" t="s">
        <v>309</v>
      </c>
      <c r="H450" t="s">
        <v>566</v>
      </c>
      <c r="I450">
        <v>17100000</v>
      </c>
      <c r="J450" t="s">
        <v>451</v>
      </c>
      <c r="L450" t="str">
        <f>IFERROR(INDEX(Diccionario!$B:$B,MATCH(F450,Diccionario!$C:$C,0)),"")</f>
        <v>Contabilidad</v>
      </c>
      <c r="M450" t="str">
        <f>IFERROR(INDEX(Diccionario!$H:$H,MATCH(F450,Diccionario!$C:$C,0)),"")</f>
        <v>Contabilidad</v>
      </c>
      <c r="N450" t="str">
        <f>IFERROR(INDEX(Diccionario!$N:$N,MATCH(F450,Diccionario!$C:$C,0)),"")</f>
        <v>Mensual</v>
      </c>
    </row>
    <row r="451" spans="1:14" ht="14.25" customHeight="1" x14ac:dyDescent="0.3">
      <c r="A451" t="s">
        <v>554</v>
      </c>
      <c r="B451" t="s">
        <v>522</v>
      </c>
      <c r="C451" t="s">
        <v>523</v>
      </c>
      <c r="D451" t="s">
        <v>451</v>
      </c>
      <c r="E451" t="s">
        <v>524</v>
      </c>
      <c r="F451" t="s">
        <v>309</v>
      </c>
      <c r="H451" t="s">
        <v>567</v>
      </c>
      <c r="I451">
        <v>10100000</v>
      </c>
      <c r="J451" t="s">
        <v>451</v>
      </c>
      <c r="L451" t="str">
        <f>IFERROR(INDEX(Diccionario!$B:$B,MATCH(F451,Diccionario!$C:$C,0)),"")</f>
        <v>Contabilidad</v>
      </c>
      <c r="M451" t="str">
        <f>IFERROR(INDEX(Diccionario!$H:$H,MATCH(F451,Diccionario!$C:$C,0)),"")</f>
        <v>Contabilidad</v>
      </c>
      <c r="N451" t="str">
        <f>IFERROR(INDEX(Diccionario!$N:$N,MATCH(F451,Diccionario!$C:$C,0)),"")</f>
        <v>Mensual</v>
      </c>
    </row>
    <row r="452" spans="1:14" ht="14.25" customHeight="1" x14ac:dyDescent="0.3">
      <c r="A452" t="s">
        <v>554</v>
      </c>
      <c r="B452" t="s">
        <v>522</v>
      </c>
      <c r="C452" t="s">
        <v>523</v>
      </c>
      <c r="D452" t="s">
        <v>451</v>
      </c>
      <c r="E452" t="s">
        <v>524</v>
      </c>
      <c r="F452" t="s">
        <v>309</v>
      </c>
      <c r="H452" t="s">
        <v>568</v>
      </c>
      <c r="I452">
        <v>900000</v>
      </c>
      <c r="J452" t="s">
        <v>451</v>
      </c>
      <c r="L452" t="str">
        <f>IFERROR(INDEX(Diccionario!$B:$B,MATCH(F452,Diccionario!$C:$C,0)),"")</f>
        <v>Contabilidad</v>
      </c>
      <c r="M452" t="str">
        <f>IFERROR(INDEX(Diccionario!$H:$H,MATCH(F452,Diccionario!$C:$C,0)),"")</f>
        <v>Contabilidad</v>
      </c>
      <c r="N452" t="str">
        <f>IFERROR(INDEX(Diccionario!$N:$N,MATCH(F452,Diccionario!$C:$C,0)),"")</f>
        <v>Mensual</v>
      </c>
    </row>
    <row r="453" spans="1:14" ht="14.25" customHeight="1" x14ac:dyDescent="0.3">
      <c r="A453" t="s">
        <v>554</v>
      </c>
      <c r="B453" t="s">
        <v>522</v>
      </c>
      <c r="C453" t="s">
        <v>523</v>
      </c>
      <c r="D453" t="s">
        <v>451</v>
      </c>
      <c r="E453" t="s">
        <v>524</v>
      </c>
      <c r="F453" t="s">
        <v>309</v>
      </c>
      <c r="H453" t="s">
        <v>569</v>
      </c>
      <c r="I453">
        <v>6600000</v>
      </c>
      <c r="J453" t="s">
        <v>451</v>
      </c>
      <c r="L453" t="str">
        <f>IFERROR(INDEX(Diccionario!$B:$B,MATCH(F453,Diccionario!$C:$C,0)),"")</f>
        <v>Contabilidad</v>
      </c>
      <c r="M453" t="str">
        <f>IFERROR(INDEX(Diccionario!$H:$H,MATCH(F453,Diccionario!$C:$C,0)),"")</f>
        <v>Contabilidad</v>
      </c>
      <c r="N453" t="str">
        <f>IFERROR(INDEX(Diccionario!$N:$N,MATCH(F453,Diccionario!$C:$C,0)),"")</f>
        <v>Mensual</v>
      </c>
    </row>
    <row r="454" spans="1:14" ht="14.25" customHeight="1" x14ac:dyDescent="0.3">
      <c r="A454" t="s">
        <v>554</v>
      </c>
      <c r="B454" t="s">
        <v>522</v>
      </c>
      <c r="C454" t="s">
        <v>523</v>
      </c>
      <c r="D454" t="s">
        <v>451</v>
      </c>
      <c r="E454" t="s">
        <v>524</v>
      </c>
      <c r="F454" t="s">
        <v>309</v>
      </c>
      <c r="H454" t="s">
        <v>570</v>
      </c>
      <c r="I454">
        <v>5200000</v>
      </c>
      <c r="J454" t="s">
        <v>451</v>
      </c>
      <c r="L454" t="str">
        <f>IFERROR(INDEX(Diccionario!$B:$B,MATCH(F454,Diccionario!$C:$C,0)),"")</f>
        <v>Contabilidad</v>
      </c>
      <c r="M454" t="str">
        <f>IFERROR(INDEX(Diccionario!$H:$H,MATCH(F454,Diccionario!$C:$C,0)),"")</f>
        <v>Contabilidad</v>
      </c>
      <c r="N454" t="str">
        <f>IFERROR(INDEX(Diccionario!$N:$N,MATCH(F454,Diccionario!$C:$C,0)),"")</f>
        <v>Mensual</v>
      </c>
    </row>
    <row r="455" spans="1:14" ht="14.25" customHeight="1" x14ac:dyDescent="0.3">
      <c r="A455" t="s">
        <v>554</v>
      </c>
      <c r="B455" t="s">
        <v>522</v>
      </c>
      <c r="C455" t="s">
        <v>523</v>
      </c>
      <c r="D455" t="s">
        <v>451</v>
      </c>
      <c r="E455" t="s">
        <v>524</v>
      </c>
      <c r="F455" t="s">
        <v>309</v>
      </c>
      <c r="H455" t="s">
        <v>571</v>
      </c>
      <c r="I455">
        <v>14100000</v>
      </c>
      <c r="J455" t="s">
        <v>451</v>
      </c>
      <c r="L455" t="str">
        <f>IFERROR(INDEX(Diccionario!$B:$B,MATCH(F455,Diccionario!$C:$C,0)),"")</f>
        <v>Contabilidad</v>
      </c>
      <c r="M455" t="str">
        <f>IFERROR(INDEX(Diccionario!$H:$H,MATCH(F455,Diccionario!$C:$C,0)),"")</f>
        <v>Contabilidad</v>
      </c>
      <c r="N455" t="str">
        <f>IFERROR(INDEX(Diccionario!$N:$N,MATCH(F455,Diccionario!$C:$C,0)),"")</f>
        <v>Mensual</v>
      </c>
    </row>
    <row r="456" spans="1:14" ht="14.25" customHeight="1" x14ac:dyDescent="0.3">
      <c r="A456" t="s">
        <v>521</v>
      </c>
      <c r="B456" t="s">
        <v>522</v>
      </c>
      <c r="C456" t="s">
        <v>523</v>
      </c>
      <c r="D456" t="s">
        <v>451</v>
      </c>
      <c r="E456" t="s">
        <v>524</v>
      </c>
      <c r="F456" t="s">
        <v>318</v>
      </c>
      <c r="H456" t="s">
        <v>572</v>
      </c>
      <c r="I456">
        <v>85000000</v>
      </c>
      <c r="J456" t="s">
        <v>451</v>
      </c>
      <c r="L456" t="str">
        <f>IFERROR(INDEX(Diccionario!$B:$B,MATCH(F456,Diccionario!$C:$C,0)),"")</f>
        <v>Contabilidad</v>
      </c>
      <c r="M456" t="str">
        <f>IFERROR(INDEX(Diccionario!$H:$H,MATCH(F456,Diccionario!$C:$C,0)),"")</f>
        <v>Contabilidad</v>
      </c>
      <c r="N456" t="str">
        <f>IFERROR(INDEX(Diccionario!$N:$N,MATCH(F456,Diccionario!$C:$C,0)),"")</f>
        <v>Mensual</v>
      </c>
    </row>
    <row r="457" spans="1:14" ht="14.25" customHeight="1" x14ac:dyDescent="0.3">
      <c r="A457" t="s">
        <v>521</v>
      </c>
      <c r="B457" t="s">
        <v>522</v>
      </c>
      <c r="C457" t="s">
        <v>523</v>
      </c>
      <c r="D457" t="s">
        <v>451</v>
      </c>
      <c r="E457" t="s">
        <v>524</v>
      </c>
      <c r="F457" t="s">
        <v>318</v>
      </c>
      <c r="H457" t="s">
        <v>573</v>
      </c>
      <c r="I457">
        <v>0</v>
      </c>
      <c r="J457" t="s">
        <v>451</v>
      </c>
      <c r="L457" t="str">
        <f>IFERROR(INDEX(Diccionario!$B:$B,MATCH(F457,Diccionario!$C:$C,0)),"")</f>
        <v>Contabilidad</v>
      </c>
      <c r="M457" t="str">
        <f>IFERROR(INDEX(Diccionario!$H:$H,MATCH(F457,Diccionario!$C:$C,0)),"")</f>
        <v>Contabilidad</v>
      </c>
      <c r="N457" t="str">
        <f>IFERROR(INDEX(Diccionario!$N:$N,MATCH(F457,Diccionario!$C:$C,0)),"")</f>
        <v>Mensual</v>
      </c>
    </row>
    <row r="458" spans="1:14" ht="14.25" customHeight="1" x14ac:dyDescent="0.3">
      <c r="A458" t="s">
        <v>521</v>
      </c>
      <c r="B458" t="s">
        <v>522</v>
      </c>
      <c r="C458" t="s">
        <v>523</v>
      </c>
      <c r="D458" t="s">
        <v>451</v>
      </c>
      <c r="E458" t="s">
        <v>524</v>
      </c>
      <c r="F458" t="s">
        <v>318</v>
      </c>
      <c r="H458" t="s">
        <v>574</v>
      </c>
      <c r="I458">
        <v>25000000</v>
      </c>
      <c r="J458" t="s">
        <v>451</v>
      </c>
      <c r="L458" t="str">
        <f>IFERROR(INDEX(Diccionario!$B:$B,MATCH(F458,Diccionario!$C:$C,0)),"")</f>
        <v>Contabilidad</v>
      </c>
      <c r="M458" t="str">
        <f>IFERROR(INDEX(Diccionario!$H:$H,MATCH(F458,Diccionario!$C:$C,0)),"")</f>
        <v>Contabilidad</v>
      </c>
      <c r="N458" t="str">
        <f>IFERROR(INDEX(Diccionario!$N:$N,MATCH(F458,Diccionario!$C:$C,0)),"")</f>
        <v>Mensual</v>
      </c>
    </row>
    <row r="459" spans="1:14" ht="14.25" customHeight="1" x14ac:dyDescent="0.3">
      <c r="A459" t="s">
        <v>521</v>
      </c>
      <c r="B459" t="s">
        <v>522</v>
      </c>
      <c r="C459" t="s">
        <v>523</v>
      </c>
      <c r="D459" t="s">
        <v>451</v>
      </c>
      <c r="E459" t="s">
        <v>524</v>
      </c>
      <c r="F459" t="s">
        <v>318</v>
      </c>
      <c r="H459" t="s">
        <v>575</v>
      </c>
      <c r="I459">
        <v>1000000</v>
      </c>
      <c r="J459" t="s">
        <v>451</v>
      </c>
      <c r="L459" t="str">
        <f>IFERROR(INDEX(Diccionario!$B:$B,MATCH(F459,Diccionario!$C:$C,0)),"")</f>
        <v>Contabilidad</v>
      </c>
      <c r="M459" t="str">
        <f>IFERROR(INDEX(Diccionario!$H:$H,MATCH(F459,Diccionario!$C:$C,0)),"")</f>
        <v>Contabilidad</v>
      </c>
      <c r="N459" t="str">
        <f>IFERROR(INDEX(Diccionario!$N:$N,MATCH(F459,Diccionario!$C:$C,0)),"")</f>
        <v>Mensual</v>
      </c>
    </row>
    <row r="460" spans="1:14" ht="14.25" customHeight="1" x14ac:dyDescent="0.3">
      <c r="A460" t="s">
        <v>521</v>
      </c>
      <c r="B460" t="s">
        <v>522</v>
      </c>
      <c r="C460" t="s">
        <v>523</v>
      </c>
      <c r="D460" t="s">
        <v>451</v>
      </c>
      <c r="E460" t="s">
        <v>524</v>
      </c>
      <c r="F460" t="s">
        <v>318</v>
      </c>
      <c r="H460" t="s">
        <v>576</v>
      </c>
      <c r="I460">
        <v>22000000</v>
      </c>
      <c r="J460" t="s">
        <v>451</v>
      </c>
      <c r="L460" t="str">
        <f>IFERROR(INDEX(Diccionario!$B:$B,MATCH(F460,Diccionario!$C:$C,0)),"")</f>
        <v>Contabilidad</v>
      </c>
      <c r="M460" t="str">
        <f>IFERROR(INDEX(Diccionario!$H:$H,MATCH(F460,Diccionario!$C:$C,0)),"")</f>
        <v>Contabilidad</v>
      </c>
      <c r="N460" t="str">
        <f>IFERROR(INDEX(Diccionario!$N:$N,MATCH(F460,Diccionario!$C:$C,0)),"")</f>
        <v>Mensual</v>
      </c>
    </row>
    <row r="461" spans="1:14" ht="14.25" customHeight="1" x14ac:dyDescent="0.3">
      <c r="A461" t="s">
        <v>526</v>
      </c>
      <c r="B461" t="s">
        <v>522</v>
      </c>
      <c r="C461" t="s">
        <v>523</v>
      </c>
      <c r="D461" t="s">
        <v>451</v>
      </c>
      <c r="E461" t="s">
        <v>524</v>
      </c>
      <c r="F461" t="s">
        <v>318</v>
      </c>
      <c r="H461" t="s">
        <v>572</v>
      </c>
      <c r="I461">
        <v>92000000</v>
      </c>
      <c r="J461" t="s">
        <v>451</v>
      </c>
      <c r="L461" t="str">
        <f>IFERROR(INDEX(Diccionario!$B:$B,MATCH(F461,Diccionario!$C:$C,0)),"")</f>
        <v>Contabilidad</v>
      </c>
      <c r="M461" t="str">
        <f>IFERROR(INDEX(Diccionario!$H:$H,MATCH(F461,Diccionario!$C:$C,0)),"")</f>
        <v>Contabilidad</v>
      </c>
      <c r="N461" t="str">
        <f>IFERROR(INDEX(Diccionario!$N:$N,MATCH(F461,Diccionario!$C:$C,0)),"")</f>
        <v>Mensual</v>
      </c>
    </row>
    <row r="462" spans="1:14" ht="14.25" customHeight="1" x14ac:dyDescent="0.3">
      <c r="A462" t="s">
        <v>526</v>
      </c>
      <c r="B462" t="s">
        <v>522</v>
      </c>
      <c r="C462" t="s">
        <v>523</v>
      </c>
      <c r="D462" t="s">
        <v>451</v>
      </c>
      <c r="E462" t="s">
        <v>524</v>
      </c>
      <c r="F462" t="s">
        <v>318</v>
      </c>
      <c r="H462" t="s">
        <v>573</v>
      </c>
      <c r="I462">
        <v>0</v>
      </c>
      <c r="J462" t="s">
        <v>451</v>
      </c>
      <c r="L462" t="str">
        <f>IFERROR(INDEX(Diccionario!$B:$B,MATCH(F462,Diccionario!$C:$C,0)),"")</f>
        <v>Contabilidad</v>
      </c>
      <c r="M462" t="str">
        <f>IFERROR(INDEX(Diccionario!$H:$H,MATCH(F462,Diccionario!$C:$C,0)),"")</f>
        <v>Contabilidad</v>
      </c>
      <c r="N462" t="str">
        <f>IFERROR(INDEX(Diccionario!$N:$N,MATCH(F462,Diccionario!$C:$C,0)),"")</f>
        <v>Mensual</v>
      </c>
    </row>
    <row r="463" spans="1:14" ht="14.25" customHeight="1" x14ac:dyDescent="0.3">
      <c r="A463" t="s">
        <v>526</v>
      </c>
      <c r="B463" t="s">
        <v>522</v>
      </c>
      <c r="C463" t="s">
        <v>523</v>
      </c>
      <c r="D463" t="s">
        <v>451</v>
      </c>
      <c r="E463" t="s">
        <v>524</v>
      </c>
      <c r="F463" t="s">
        <v>318</v>
      </c>
      <c r="H463" t="s">
        <v>574</v>
      </c>
      <c r="I463">
        <v>17000000</v>
      </c>
      <c r="J463" t="s">
        <v>451</v>
      </c>
      <c r="L463" t="str">
        <f>IFERROR(INDEX(Diccionario!$B:$B,MATCH(F463,Diccionario!$C:$C,0)),"")</f>
        <v>Contabilidad</v>
      </c>
      <c r="M463" t="str">
        <f>IFERROR(INDEX(Diccionario!$H:$H,MATCH(F463,Diccionario!$C:$C,0)),"")</f>
        <v>Contabilidad</v>
      </c>
      <c r="N463" t="str">
        <f>IFERROR(INDEX(Diccionario!$N:$N,MATCH(F463,Diccionario!$C:$C,0)),"")</f>
        <v>Mensual</v>
      </c>
    </row>
    <row r="464" spans="1:14" ht="14.25" customHeight="1" x14ac:dyDescent="0.3">
      <c r="A464" t="s">
        <v>526</v>
      </c>
      <c r="B464" t="s">
        <v>522</v>
      </c>
      <c r="C464" t="s">
        <v>523</v>
      </c>
      <c r="D464" t="s">
        <v>451</v>
      </c>
      <c r="E464" t="s">
        <v>524</v>
      </c>
      <c r="F464" t="s">
        <v>318</v>
      </c>
      <c r="H464" t="s">
        <v>575</v>
      </c>
      <c r="I464">
        <v>1000000</v>
      </c>
      <c r="J464" t="s">
        <v>451</v>
      </c>
      <c r="L464" t="str">
        <f>IFERROR(INDEX(Diccionario!$B:$B,MATCH(F464,Diccionario!$C:$C,0)),"")</f>
        <v>Contabilidad</v>
      </c>
      <c r="M464" t="str">
        <f>IFERROR(INDEX(Diccionario!$H:$H,MATCH(F464,Diccionario!$C:$C,0)),"")</f>
        <v>Contabilidad</v>
      </c>
      <c r="N464" t="str">
        <f>IFERROR(INDEX(Diccionario!$N:$N,MATCH(F464,Diccionario!$C:$C,0)),"")</f>
        <v>Mensual</v>
      </c>
    </row>
    <row r="465" spans="1:14" ht="14.25" customHeight="1" x14ac:dyDescent="0.3">
      <c r="A465" t="s">
        <v>526</v>
      </c>
      <c r="B465" t="s">
        <v>522</v>
      </c>
      <c r="C465" t="s">
        <v>523</v>
      </c>
      <c r="D465" t="s">
        <v>451</v>
      </c>
      <c r="E465" t="s">
        <v>524</v>
      </c>
      <c r="F465" t="s">
        <v>318</v>
      </c>
      <c r="H465" t="s">
        <v>576</v>
      </c>
      <c r="I465">
        <v>5000000</v>
      </c>
      <c r="J465" t="s">
        <v>451</v>
      </c>
      <c r="L465" t="str">
        <f>IFERROR(INDEX(Diccionario!$B:$B,MATCH(F465,Diccionario!$C:$C,0)),"")</f>
        <v>Contabilidad</v>
      </c>
      <c r="M465" t="str">
        <f>IFERROR(INDEX(Diccionario!$H:$H,MATCH(F465,Diccionario!$C:$C,0)),"")</f>
        <v>Contabilidad</v>
      </c>
      <c r="N465" t="str">
        <f>IFERROR(INDEX(Diccionario!$N:$N,MATCH(F465,Diccionario!$C:$C,0)),"")</f>
        <v>Mensual</v>
      </c>
    </row>
    <row r="466" spans="1:14" ht="14.25" customHeight="1" x14ac:dyDescent="0.3">
      <c r="A466" t="s">
        <v>527</v>
      </c>
      <c r="B466" t="s">
        <v>522</v>
      </c>
      <c r="C466" t="s">
        <v>523</v>
      </c>
      <c r="D466" t="s">
        <v>451</v>
      </c>
      <c r="E466" t="s">
        <v>524</v>
      </c>
      <c r="F466" t="s">
        <v>318</v>
      </c>
      <c r="H466" t="s">
        <v>572</v>
      </c>
      <c r="I466">
        <v>110000000</v>
      </c>
      <c r="J466" t="s">
        <v>451</v>
      </c>
      <c r="L466" t="str">
        <f>IFERROR(INDEX(Diccionario!$B:$B,MATCH(F466,Diccionario!$C:$C,0)),"")</f>
        <v>Contabilidad</v>
      </c>
      <c r="M466" t="str">
        <f>IFERROR(INDEX(Diccionario!$H:$H,MATCH(F466,Diccionario!$C:$C,0)),"")</f>
        <v>Contabilidad</v>
      </c>
      <c r="N466" t="str">
        <f>IFERROR(INDEX(Diccionario!$N:$N,MATCH(F466,Diccionario!$C:$C,0)),"")</f>
        <v>Mensual</v>
      </c>
    </row>
    <row r="467" spans="1:14" ht="14.25" customHeight="1" x14ac:dyDescent="0.3">
      <c r="A467" t="s">
        <v>527</v>
      </c>
      <c r="B467" t="s">
        <v>522</v>
      </c>
      <c r="C467" t="s">
        <v>523</v>
      </c>
      <c r="D467" t="s">
        <v>451</v>
      </c>
      <c r="E467" t="s">
        <v>524</v>
      </c>
      <c r="F467" t="s">
        <v>318</v>
      </c>
      <c r="H467" t="s">
        <v>573</v>
      </c>
      <c r="I467">
        <v>0</v>
      </c>
      <c r="J467" t="s">
        <v>451</v>
      </c>
      <c r="L467" t="str">
        <f>IFERROR(INDEX(Diccionario!$B:$B,MATCH(F467,Diccionario!$C:$C,0)),"")</f>
        <v>Contabilidad</v>
      </c>
      <c r="M467" t="str">
        <f>IFERROR(INDEX(Diccionario!$H:$H,MATCH(F467,Diccionario!$C:$C,0)),"")</f>
        <v>Contabilidad</v>
      </c>
      <c r="N467" t="str">
        <f>IFERROR(INDEX(Diccionario!$N:$N,MATCH(F467,Diccionario!$C:$C,0)),"")</f>
        <v>Mensual</v>
      </c>
    </row>
    <row r="468" spans="1:14" ht="14.25" customHeight="1" x14ac:dyDescent="0.3">
      <c r="A468" t="s">
        <v>527</v>
      </c>
      <c r="B468" t="s">
        <v>522</v>
      </c>
      <c r="C468" t="s">
        <v>523</v>
      </c>
      <c r="D468" t="s">
        <v>451</v>
      </c>
      <c r="E468" t="s">
        <v>524</v>
      </c>
      <c r="F468" t="s">
        <v>318</v>
      </c>
      <c r="H468" t="s">
        <v>574</v>
      </c>
      <c r="I468">
        <v>21000000</v>
      </c>
      <c r="J468" t="s">
        <v>451</v>
      </c>
      <c r="L468" t="str">
        <f>IFERROR(INDEX(Diccionario!$B:$B,MATCH(F468,Diccionario!$C:$C,0)),"")</f>
        <v>Contabilidad</v>
      </c>
      <c r="M468" t="str">
        <f>IFERROR(INDEX(Diccionario!$H:$H,MATCH(F468,Diccionario!$C:$C,0)),"")</f>
        <v>Contabilidad</v>
      </c>
      <c r="N468" t="str">
        <f>IFERROR(INDEX(Diccionario!$N:$N,MATCH(F468,Diccionario!$C:$C,0)),"")</f>
        <v>Mensual</v>
      </c>
    </row>
    <row r="469" spans="1:14" ht="14.25" customHeight="1" x14ac:dyDescent="0.3">
      <c r="A469" t="s">
        <v>527</v>
      </c>
      <c r="B469" t="s">
        <v>522</v>
      </c>
      <c r="C469" t="s">
        <v>523</v>
      </c>
      <c r="D469" t="s">
        <v>451</v>
      </c>
      <c r="E469" t="s">
        <v>524</v>
      </c>
      <c r="F469" t="s">
        <v>318</v>
      </c>
      <c r="H469" t="s">
        <v>575</v>
      </c>
      <c r="I469">
        <v>3000000</v>
      </c>
      <c r="J469" t="s">
        <v>451</v>
      </c>
      <c r="L469" t="str">
        <f>IFERROR(INDEX(Diccionario!$B:$B,MATCH(F469,Diccionario!$C:$C,0)),"")</f>
        <v>Contabilidad</v>
      </c>
      <c r="M469" t="str">
        <f>IFERROR(INDEX(Diccionario!$H:$H,MATCH(F469,Diccionario!$C:$C,0)),"")</f>
        <v>Contabilidad</v>
      </c>
      <c r="N469" t="str">
        <f>IFERROR(INDEX(Diccionario!$N:$N,MATCH(F469,Diccionario!$C:$C,0)),"")</f>
        <v>Mensual</v>
      </c>
    </row>
    <row r="470" spans="1:14" ht="14.25" customHeight="1" x14ac:dyDescent="0.3">
      <c r="A470" t="s">
        <v>527</v>
      </c>
      <c r="B470" t="s">
        <v>522</v>
      </c>
      <c r="C470" t="s">
        <v>523</v>
      </c>
      <c r="D470" t="s">
        <v>451</v>
      </c>
      <c r="E470" t="s">
        <v>524</v>
      </c>
      <c r="F470" t="s">
        <v>318</v>
      </c>
      <c r="H470" t="s">
        <v>576</v>
      </c>
      <c r="I470">
        <v>5000000</v>
      </c>
      <c r="J470" t="s">
        <v>451</v>
      </c>
      <c r="L470" t="str">
        <f>IFERROR(INDEX(Diccionario!$B:$B,MATCH(F470,Diccionario!$C:$C,0)),"")</f>
        <v>Contabilidad</v>
      </c>
      <c r="M470" t="str">
        <f>IFERROR(INDEX(Diccionario!$H:$H,MATCH(F470,Diccionario!$C:$C,0)),"")</f>
        <v>Contabilidad</v>
      </c>
      <c r="N470" t="str">
        <f>IFERROR(INDEX(Diccionario!$N:$N,MATCH(F470,Diccionario!$C:$C,0)),"")</f>
        <v>Mensual</v>
      </c>
    </row>
    <row r="471" spans="1:14" ht="14.25" customHeight="1" x14ac:dyDescent="0.3">
      <c r="A471" t="s">
        <v>528</v>
      </c>
      <c r="B471" t="s">
        <v>522</v>
      </c>
      <c r="C471" t="s">
        <v>523</v>
      </c>
      <c r="D471" t="s">
        <v>451</v>
      </c>
      <c r="E471" t="s">
        <v>524</v>
      </c>
      <c r="F471" t="s">
        <v>318</v>
      </c>
      <c r="H471" t="s">
        <v>572</v>
      </c>
      <c r="I471">
        <v>107000000</v>
      </c>
      <c r="J471" t="s">
        <v>451</v>
      </c>
      <c r="L471" t="str">
        <f>IFERROR(INDEX(Diccionario!$B:$B,MATCH(F471,Diccionario!$C:$C,0)),"")</f>
        <v>Contabilidad</v>
      </c>
      <c r="M471" t="str">
        <f>IFERROR(INDEX(Diccionario!$H:$H,MATCH(F471,Diccionario!$C:$C,0)),"")</f>
        <v>Contabilidad</v>
      </c>
      <c r="N471" t="str">
        <f>IFERROR(INDEX(Diccionario!$N:$N,MATCH(F471,Diccionario!$C:$C,0)),"")</f>
        <v>Mensual</v>
      </c>
    </row>
    <row r="472" spans="1:14" ht="14.25" customHeight="1" x14ac:dyDescent="0.3">
      <c r="A472" t="s">
        <v>528</v>
      </c>
      <c r="B472" t="s">
        <v>522</v>
      </c>
      <c r="C472" t="s">
        <v>523</v>
      </c>
      <c r="D472" t="s">
        <v>451</v>
      </c>
      <c r="E472" t="s">
        <v>524</v>
      </c>
      <c r="F472" t="s">
        <v>318</v>
      </c>
      <c r="H472" t="s">
        <v>573</v>
      </c>
      <c r="I472">
        <v>0</v>
      </c>
      <c r="J472" t="s">
        <v>451</v>
      </c>
      <c r="L472" t="str">
        <f>IFERROR(INDEX(Diccionario!$B:$B,MATCH(F472,Diccionario!$C:$C,0)),"")</f>
        <v>Contabilidad</v>
      </c>
      <c r="M472" t="str">
        <f>IFERROR(INDEX(Diccionario!$H:$H,MATCH(F472,Diccionario!$C:$C,0)),"")</f>
        <v>Contabilidad</v>
      </c>
      <c r="N472" t="str">
        <f>IFERROR(INDEX(Diccionario!$N:$N,MATCH(F472,Diccionario!$C:$C,0)),"")</f>
        <v>Mensual</v>
      </c>
    </row>
    <row r="473" spans="1:14" ht="14.25" customHeight="1" x14ac:dyDescent="0.3">
      <c r="A473" t="s">
        <v>528</v>
      </c>
      <c r="B473" t="s">
        <v>522</v>
      </c>
      <c r="C473" t="s">
        <v>523</v>
      </c>
      <c r="D473" t="s">
        <v>451</v>
      </c>
      <c r="E473" t="s">
        <v>524</v>
      </c>
      <c r="F473" t="s">
        <v>318</v>
      </c>
      <c r="H473" t="s">
        <v>574</v>
      </c>
      <c r="I473">
        <v>18000000</v>
      </c>
      <c r="J473" t="s">
        <v>451</v>
      </c>
      <c r="L473" t="str">
        <f>IFERROR(INDEX(Diccionario!$B:$B,MATCH(F473,Diccionario!$C:$C,0)),"")</f>
        <v>Contabilidad</v>
      </c>
      <c r="M473" t="str">
        <f>IFERROR(INDEX(Diccionario!$H:$H,MATCH(F473,Diccionario!$C:$C,0)),"")</f>
        <v>Contabilidad</v>
      </c>
      <c r="N473" t="str">
        <f>IFERROR(INDEX(Diccionario!$N:$N,MATCH(F473,Diccionario!$C:$C,0)),"")</f>
        <v>Mensual</v>
      </c>
    </row>
    <row r="474" spans="1:14" ht="14.25" customHeight="1" x14ac:dyDescent="0.3">
      <c r="A474" t="s">
        <v>528</v>
      </c>
      <c r="B474" t="s">
        <v>522</v>
      </c>
      <c r="C474" t="s">
        <v>523</v>
      </c>
      <c r="D474" t="s">
        <v>451</v>
      </c>
      <c r="E474" t="s">
        <v>524</v>
      </c>
      <c r="F474" t="s">
        <v>318</v>
      </c>
      <c r="H474" t="s">
        <v>575</v>
      </c>
      <c r="I474">
        <v>2000000</v>
      </c>
      <c r="J474" t="s">
        <v>451</v>
      </c>
      <c r="L474" t="str">
        <f>IFERROR(INDEX(Diccionario!$B:$B,MATCH(F474,Diccionario!$C:$C,0)),"")</f>
        <v>Contabilidad</v>
      </c>
      <c r="M474" t="str">
        <f>IFERROR(INDEX(Diccionario!$H:$H,MATCH(F474,Diccionario!$C:$C,0)),"")</f>
        <v>Contabilidad</v>
      </c>
      <c r="N474" t="str">
        <f>IFERROR(INDEX(Diccionario!$N:$N,MATCH(F474,Diccionario!$C:$C,0)),"")</f>
        <v>Mensual</v>
      </c>
    </row>
    <row r="475" spans="1:14" ht="14.25" customHeight="1" x14ac:dyDescent="0.3">
      <c r="A475" t="s">
        <v>528</v>
      </c>
      <c r="B475" t="s">
        <v>522</v>
      </c>
      <c r="C475" t="s">
        <v>523</v>
      </c>
      <c r="D475" t="s">
        <v>451</v>
      </c>
      <c r="E475" t="s">
        <v>524</v>
      </c>
      <c r="F475" t="s">
        <v>318</v>
      </c>
      <c r="H475" t="s">
        <v>576</v>
      </c>
      <c r="I475">
        <v>4000000</v>
      </c>
      <c r="J475" t="s">
        <v>451</v>
      </c>
      <c r="L475" t="str">
        <f>IFERROR(INDEX(Diccionario!$B:$B,MATCH(F475,Diccionario!$C:$C,0)),"")</f>
        <v>Contabilidad</v>
      </c>
      <c r="M475" t="str">
        <f>IFERROR(INDEX(Diccionario!$H:$H,MATCH(F475,Diccionario!$C:$C,0)),"")</f>
        <v>Contabilidad</v>
      </c>
      <c r="N475" t="str">
        <f>IFERROR(INDEX(Diccionario!$N:$N,MATCH(F475,Diccionario!$C:$C,0)),"")</f>
        <v>Mensual</v>
      </c>
    </row>
    <row r="476" spans="1:14" ht="14.25" customHeight="1" x14ac:dyDescent="0.3">
      <c r="A476" t="s">
        <v>529</v>
      </c>
      <c r="B476" t="s">
        <v>522</v>
      </c>
      <c r="C476" t="s">
        <v>523</v>
      </c>
      <c r="D476" t="s">
        <v>451</v>
      </c>
      <c r="E476" t="s">
        <v>524</v>
      </c>
      <c r="F476" t="s">
        <v>318</v>
      </c>
      <c r="H476" t="s">
        <v>572</v>
      </c>
      <c r="I476">
        <v>123000000</v>
      </c>
      <c r="J476" t="s">
        <v>451</v>
      </c>
      <c r="L476" t="str">
        <f>IFERROR(INDEX(Diccionario!$B:$B,MATCH(F476,Diccionario!$C:$C,0)),"")</f>
        <v>Contabilidad</v>
      </c>
      <c r="M476" t="str">
        <f>IFERROR(INDEX(Diccionario!$H:$H,MATCH(F476,Diccionario!$C:$C,0)),"")</f>
        <v>Contabilidad</v>
      </c>
      <c r="N476" t="str">
        <f>IFERROR(INDEX(Diccionario!$N:$N,MATCH(F476,Diccionario!$C:$C,0)),"")</f>
        <v>Mensual</v>
      </c>
    </row>
    <row r="477" spans="1:14" ht="14.25" customHeight="1" x14ac:dyDescent="0.3">
      <c r="A477" t="s">
        <v>529</v>
      </c>
      <c r="B477" t="s">
        <v>522</v>
      </c>
      <c r="C477" t="s">
        <v>523</v>
      </c>
      <c r="D477" t="s">
        <v>451</v>
      </c>
      <c r="E477" t="s">
        <v>524</v>
      </c>
      <c r="F477" t="s">
        <v>318</v>
      </c>
      <c r="H477" t="s">
        <v>573</v>
      </c>
      <c r="I477">
        <v>0</v>
      </c>
      <c r="J477" t="s">
        <v>451</v>
      </c>
      <c r="L477" t="str">
        <f>IFERROR(INDEX(Diccionario!$B:$B,MATCH(F477,Diccionario!$C:$C,0)),"")</f>
        <v>Contabilidad</v>
      </c>
      <c r="M477" t="str">
        <f>IFERROR(INDEX(Diccionario!$H:$H,MATCH(F477,Diccionario!$C:$C,0)),"")</f>
        <v>Contabilidad</v>
      </c>
      <c r="N477" t="str">
        <f>IFERROR(INDEX(Diccionario!$N:$N,MATCH(F477,Diccionario!$C:$C,0)),"")</f>
        <v>Mensual</v>
      </c>
    </row>
    <row r="478" spans="1:14" ht="14.25" customHeight="1" x14ac:dyDescent="0.3">
      <c r="A478" t="s">
        <v>529</v>
      </c>
      <c r="B478" t="s">
        <v>522</v>
      </c>
      <c r="C478" t="s">
        <v>523</v>
      </c>
      <c r="D478" t="s">
        <v>451</v>
      </c>
      <c r="E478" t="s">
        <v>524</v>
      </c>
      <c r="F478" t="s">
        <v>318</v>
      </c>
      <c r="H478" t="s">
        <v>574</v>
      </c>
      <c r="I478">
        <v>23000000</v>
      </c>
      <c r="J478" t="s">
        <v>451</v>
      </c>
      <c r="L478" t="str">
        <f>IFERROR(INDEX(Diccionario!$B:$B,MATCH(F478,Diccionario!$C:$C,0)),"")</f>
        <v>Contabilidad</v>
      </c>
      <c r="M478" t="str">
        <f>IFERROR(INDEX(Diccionario!$H:$H,MATCH(F478,Diccionario!$C:$C,0)),"")</f>
        <v>Contabilidad</v>
      </c>
      <c r="N478" t="str">
        <f>IFERROR(INDEX(Diccionario!$N:$N,MATCH(F478,Diccionario!$C:$C,0)),"")</f>
        <v>Mensual</v>
      </c>
    </row>
    <row r="479" spans="1:14" ht="14.25" customHeight="1" x14ac:dyDescent="0.3">
      <c r="A479" t="s">
        <v>529</v>
      </c>
      <c r="B479" t="s">
        <v>522</v>
      </c>
      <c r="C479" t="s">
        <v>523</v>
      </c>
      <c r="D479" t="s">
        <v>451</v>
      </c>
      <c r="E479" t="s">
        <v>524</v>
      </c>
      <c r="F479" t="s">
        <v>318</v>
      </c>
      <c r="H479" t="s">
        <v>575</v>
      </c>
      <c r="I479">
        <v>3000000</v>
      </c>
      <c r="J479" t="s">
        <v>451</v>
      </c>
      <c r="L479" t="str">
        <f>IFERROR(INDEX(Diccionario!$B:$B,MATCH(F479,Diccionario!$C:$C,0)),"")</f>
        <v>Contabilidad</v>
      </c>
      <c r="M479" t="str">
        <f>IFERROR(INDEX(Diccionario!$H:$H,MATCH(F479,Diccionario!$C:$C,0)),"")</f>
        <v>Contabilidad</v>
      </c>
      <c r="N479" t="str">
        <f>IFERROR(INDEX(Diccionario!$N:$N,MATCH(F479,Diccionario!$C:$C,0)),"")</f>
        <v>Mensual</v>
      </c>
    </row>
    <row r="480" spans="1:14" ht="14.25" customHeight="1" x14ac:dyDescent="0.3">
      <c r="A480" t="s">
        <v>529</v>
      </c>
      <c r="B480" t="s">
        <v>522</v>
      </c>
      <c r="C480" t="s">
        <v>523</v>
      </c>
      <c r="D480" t="s">
        <v>451</v>
      </c>
      <c r="E480" t="s">
        <v>524</v>
      </c>
      <c r="F480" t="s">
        <v>318</v>
      </c>
      <c r="H480" t="s">
        <v>576</v>
      </c>
      <c r="I480">
        <v>3000000</v>
      </c>
      <c r="J480" t="s">
        <v>451</v>
      </c>
      <c r="L480" t="str">
        <f>IFERROR(INDEX(Diccionario!$B:$B,MATCH(F480,Diccionario!$C:$C,0)),"")</f>
        <v>Contabilidad</v>
      </c>
      <c r="M480" t="str">
        <f>IFERROR(INDEX(Diccionario!$H:$H,MATCH(F480,Diccionario!$C:$C,0)),"")</f>
        <v>Contabilidad</v>
      </c>
      <c r="N480" t="str">
        <f>IFERROR(INDEX(Diccionario!$N:$N,MATCH(F480,Diccionario!$C:$C,0)),"")</f>
        <v>Mensual</v>
      </c>
    </row>
    <row r="481" spans="1:14" ht="14.25" customHeight="1" x14ac:dyDescent="0.3">
      <c r="A481" t="s">
        <v>530</v>
      </c>
      <c r="B481" t="s">
        <v>522</v>
      </c>
      <c r="C481" t="s">
        <v>523</v>
      </c>
      <c r="D481" t="s">
        <v>451</v>
      </c>
      <c r="E481" t="s">
        <v>524</v>
      </c>
      <c r="F481" t="s">
        <v>318</v>
      </c>
      <c r="H481" t="s">
        <v>572</v>
      </c>
      <c r="I481">
        <v>143000000</v>
      </c>
      <c r="J481" t="s">
        <v>451</v>
      </c>
      <c r="L481" t="str">
        <f>IFERROR(INDEX(Diccionario!$B:$B,MATCH(F481,Diccionario!$C:$C,0)),"")</f>
        <v>Contabilidad</v>
      </c>
      <c r="M481" t="str">
        <f>IFERROR(INDEX(Diccionario!$H:$H,MATCH(F481,Diccionario!$C:$C,0)),"")</f>
        <v>Contabilidad</v>
      </c>
      <c r="N481" t="str">
        <f>IFERROR(INDEX(Diccionario!$N:$N,MATCH(F481,Diccionario!$C:$C,0)),"")</f>
        <v>Mensual</v>
      </c>
    </row>
    <row r="482" spans="1:14" ht="14.25" customHeight="1" x14ac:dyDescent="0.3">
      <c r="A482" t="s">
        <v>530</v>
      </c>
      <c r="B482" t="s">
        <v>522</v>
      </c>
      <c r="C482" t="s">
        <v>523</v>
      </c>
      <c r="D482" t="s">
        <v>451</v>
      </c>
      <c r="E482" t="s">
        <v>524</v>
      </c>
      <c r="F482" t="s">
        <v>318</v>
      </c>
      <c r="H482" t="s">
        <v>573</v>
      </c>
      <c r="I482">
        <v>0</v>
      </c>
      <c r="J482" t="s">
        <v>451</v>
      </c>
      <c r="L482" t="str">
        <f>IFERROR(INDEX(Diccionario!$B:$B,MATCH(F482,Diccionario!$C:$C,0)),"")</f>
        <v>Contabilidad</v>
      </c>
      <c r="M482" t="str">
        <f>IFERROR(INDEX(Diccionario!$H:$H,MATCH(F482,Diccionario!$C:$C,0)),"")</f>
        <v>Contabilidad</v>
      </c>
      <c r="N482" t="str">
        <f>IFERROR(INDEX(Diccionario!$N:$N,MATCH(F482,Diccionario!$C:$C,0)),"")</f>
        <v>Mensual</v>
      </c>
    </row>
    <row r="483" spans="1:14" ht="14.25" customHeight="1" x14ac:dyDescent="0.3">
      <c r="A483" t="s">
        <v>530</v>
      </c>
      <c r="B483" t="s">
        <v>522</v>
      </c>
      <c r="C483" t="s">
        <v>523</v>
      </c>
      <c r="D483" t="s">
        <v>451</v>
      </c>
      <c r="E483" t="s">
        <v>524</v>
      </c>
      <c r="F483" t="s">
        <v>318</v>
      </c>
      <c r="H483" t="s">
        <v>574</v>
      </c>
      <c r="I483">
        <v>17000000</v>
      </c>
      <c r="J483" t="s">
        <v>451</v>
      </c>
      <c r="L483" t="str">
        <f>IFERROR(INDEX(Diccionario!$B:$B,MATCH(F483,Diccionario!$C:$C,0)),"")</f>
        <v>Contabilidad</v>
      </c>
      <c r="M483" t="str">
        <f>IFERROR(INDEX(Diccionario!$H:$H,MATCH(F483,Diccionario!$C:$C,0)),"")</f>
        <v>Contabilidad</v>
      </c>
      <c r="N483" t="str">
        <f>IFERROR(INDEX(Diccionario!$N:$N,MATCH(F483,Diccionario!$C:$C,0)),"")</f>
        <v>Mensual</v>
      </c>
    </row>
    <row r="484" spans="1:14" ht="14.25" customHeight="1" x14ac:dyDescent="0.3">
      <c r="A484" t="s">
        <v>530</v>
      </c>
      <c r="B484" t="s">
        <v>522</v>
      </c>
      <c r="C484" t="s">
        <v>523</v>
      </c>
      <c r="D484" t="s">
        <v>451</v>
      </c>
      <c r="E484" t="s">
        <v>524</v>
      </c>
      <c r="F484" t="s">
        <v>318</v>
      </c>
      <c r="H484" t="s">
        <v>575</v>
      </c>
      <c r="I484">
        <v>4000000</v>
      </c>
      <c r="J484" t="s">
        <v>451</v>
      </c>
      <c r="L484" t="str">
        <f>IFERROR(INDEX(Diccionario!$B:$B,MATCH(F484,Diccionario!$C:$C,0)),"")</f>
        <v>Contabilidad</v>
      </c>
      <c r="M484" t="str">
        <f>IFERROR(INDEX(Diccionario!$H:$H,MATCH(F484,Diccionario!$C:$C,0)),"")</f>
        <v>Contabilidad</v>
      </c>
      <c r="N484" t="str">
        <f>IFERROR(INDEX(Diccionario!$N:$N,MATCH(F484,Diccionario!$C:$C,0)),"")</f>
        <v>Mensual</v>
      </c>
    </row>
    <row r="485" spans="1:14" ht="14.25" customHeight="1" x14ac:dyDescent="0.3">
      <c r="A485" t="s">
        <v>530</v>
      </c>
      <c r="B485" t="s">
        <v>522</v>
      </c>
      <c r="C485" t="s">
        <v>523</v>
      </c>
      <c r="D485" t="s">
        <v>451</v>
      </c>
      <c r="E485" t="s">
        <v>524</v>
      </c>
      <c r="F485" t="s">
        <v>318</v>
      </c>
      <c r="H485" t="s">
        <v>576</v>
      </c>
      <c r="I485">
        <v>3000000</v>
      </c>
      <c r="J485" t="s">
        <v>451</v>
      </c>
      <c r="L485" t="str">
        <f>IFERROR(INDEX(Diccionario!$B:$B,MATCH(F485,Diccionario!$C:$C,0)),"")</f>
        <v>Contabilidad</v>
      </c>
      <c r="M485" t="str">
        <f>IFERROR(INDEX(Diccionario!$H:$H,MATCH(F485,Diccionario!$C:$C,0)),"")</f>
        <v>Contabilidad</v>
      </c>
      <c r="N485" t="str">
        <f>IFERROR(INDEX(Diccionario!$N:$N,MATCH(F485,Diccionario!$C:$C,0)),"")</f>
        <v>Mensual</v>
      </c>
    </row>
    <row r="486" spans="1:14" ht="14.25" customHeight="1" x14ac:dyDescent="0.3">
      <c r="A486" t="s">
        <v>531</v>
      </c>
      <c r="B486" t="s">
        <v>522</v>
      </c>
      <c r="C486" t="s">
        <v>523</v>
      </c>
      <c r="D486" t="s">
        <v>451</v>
      </c>
      <c r="E486" t="s">
        <v>524</v>
      </c>
      <c r="F486" t="s">
        <v>318</v>
      </c>
      <c r="H486" t="s">
        <v>572</v>
      </c>
      <c r="I486">
        <v>55000000</v>
      </c>
      <c r="J486" t="s">
        <v>451</v>
      </c>
      <c r="L486" t="str">
        <f>IFERROR(INDEX(Diccionario!$B:$B,MATCH(F486,Diccionario!$C:$C,0)),"")</f>
        <v>Contabilidad</v>
      </c>
      <c r="M486" t="str">
        <f>IFERROR(INDEX(Diccionario!$H:$H,MATCH(F486,Diccionario!$C:$C,0)),"")</f>
        <v>Contabilidad</v>
      </c>
      <c r="N486" t="str">
        <f>IFERROR(INDEX(Diccionario!$N:$N,MATCH(F486,Diccionario!$C:$C,0)),"")</f>
        <v>Mensual</v>
      </c>
    </row>
    <row r="487" spans="1:14" ht="14.25" customHeight="1" x14ac:dyDescent="0.3">
      <c r="A487" t="s">
        <v>531</v>
      </c>
      <c r="B487" t="s">
        <v>522</v>
      </c>
      <c r="C487" t="s">
        <v>523</v>
      </c>
      <c r="D487" t="s">
        <v>451</v>
      </c>
      <c r="E487" t="s">
        <v>524</v>
      </c>
      <c r="F487" t="s">
        <v>318</v>
      </c>
      <c r="H487" t="s">
        <v>573</v>
      </c>
      <c r="I487">
        <v>1000000</v>
      </c>
      <c r="J487" t="s">
        <v>451</v>
      </c>
      <c r="L487" t="str">
        <f>IFERROR(INDEX(Diccionario!$B:$B,MATCH(F487,Diccionario!$C:$C,0)),"")</f>
        <v>Contabilidad</v>
      </c>
      <c r="M487" t="str">
        <f>IFERROR(INDEX(Diccionario!$H:$H,MATCH(F487,Diccionario!$C:$C,0)),"")</f>
        <v>Contabilidad</v>
      </c>
      <c r="N487" t="str">
        <f>IFERROR(INDEX(Diccionario!$N:$N,MATCH(F487,Diccionario!$C:$C,0)),"")</f>
        <v>Mensual</v>
      </c>
    </row>
    <row r="488" spans="1:14" ht="14.25" customHeight="1" x14ac:dyDescent="0.3">
      <c r="A488" t="s">
        <v>531</v>
      </c>
      <c r="B488" t="s">
        <v>522</v>
      </c>
      <c r="C488" t="s">
        <v>523</v>
      </c>
      <c r="D488" t="s">
        <v>451</v>
      </c>
      <c r="E488" t="s">
        <v>524</v>
      </c>
      <c r="F488" t="s">
        <v>318</v>
      </c>
      <c r="H488" t="s">
        <v>574</v>
      </c>
      <c r="I488">
        <v>18000000</v>
      </c>
      <c r="J488" t="s">
        <v>451</v>
      </c>
      <c r="L488" t="str">
        <f>IFERROR(INDEX(Diccionario!$B:$B,MATCH(F488,Diccionario!$C:$C,0)),"")</f>
        <v>Contabilidad</v>
      </c>
      <c r="M488" t="str">
        <f>IFERROR(INDEX(Diccionario!$H:$H,MATCH(F488,Diccionario!$C:$C,0)),"")</f>
        <v>Contabilidad</v>
      </c>
      <c r="N488" t="str">
        <f>IFERROR(INDEX(Diccionario!$N:$N,MATCH(F488,Diccionario!$C:$C,0)),"")</f>
        <v>Mensual</v>
      </c>
    </row>
    <row r="489" spans="1:14" ht="14.25" customHeight="1" x14ac:dyDescent="0.3">
      <c r="A489" t="s">
        <v>531</v>
      </c>
      <c r="B489" t="s">
        <v>522</v>
      </c>
      <c r="C489" t="s">
        <v>523</v>
      </c>
      <c r="D489" t="s">
        <v>451</v>
      </c>
      <c r="E489" t="s">
        <v>524</v>
      </c>
      <c r="F489" t="s">
        <v>318</v>
      </c>
      <c r="H489" t="s">
        <v>575</v>
      </c>
      <c r="I489">
        <v>5000000</v>
      </c>
      <c r="J489" t="s">
        <v>451</v>
      </c>
      <c r="L489" t="str">
        <f>IFERROR(INDEX(Diccionario!$B:$B,MATCH(F489,Diccionario!$C:$C,0)),"")</f>
        <v>Contabilidad</v>
      </c>
      <c r="M489" t="str">
        <f>IFERROR(INDEX(Diccionario!$H:$H,MATCH(F489,Diccionario!$C:$C,0)),"")</f>
        <v>Contabilidad</v>
      </c>
      <c r="N489" t="str">
        <f>IFERROR(INDEX(Diccionario!$N:$N,MATCH(F489,Diccionario!$C:$C,0)),"")</f>
        <v>Mensual</v>
      </c>
    </row>
    <row r="490" spans="1:14" ht="14.25" customHeight="1" x14ac:dyDescent="0.3">
      <c r="A490" t="s">
        <v>531</v>
      </c>
      <c r="B490" t="s">
        <v>522</v>
      </c>
      <c r="C490" t="s">
        <v>523</v>
      </c>
      <c r="D490" t="s">
        <v>451</v>
      </c>
      <c r="E490" t="s">
        <v>524</v>
      </c>
      <c r="F490" t="s">
        <v>318</v>
      </c>
      <c r="H490" t="s">
        <v>576</v>
      </c>
      <c r="I490">
        <v>5000000</v>
      </c>
      <c r="J490" t="s">
        <v>451</v>
      </c>
      <c r="L490" t="str">
        <f>IFERROR(INDEX(Diccionario!$B:$B,MATCH(F490,Diccionario!$C:$C,0)),"")</f>
        <v>Contabilidad</v>
      </c>
      <c r="M490" t="str">
        <f>IFERROR(INDEX(Diccionario!$H:$H,MATCH(F490,Diccionario!$C:$C,0)),"")</f>
        <v>Contabilidad</v>
      </c>
      <c r="N490" t="str">
        <f>IFERROR(INDEX(Diccionario!$N:$N,MATCH(F490,Diccionario!$C:$C,0)),"")</f>
        <v>Mensual</v>
      </c>
    </row>
    <row r="491" spans="1:14" ht="14.25" customHeight="1" x14ac:dyDescent="0.3">
      <c r="A491" t="s">
        <v>532</v>
      </c>
      <c r="B491" t="s">
        <v>522</v>
      </c>
      <c r="C491" t="s">
        <v>523</v>
      </c>
      <c r="D491" t="s">
        <v>451</v>
      </c>
      <c r="E491" t="s">
        <v>524</v>
      </c>
      <c r="F491" t="s">
        <v>318</v>
      </c>
      <c r="H491" t="s">
        <v>572</v>
      </c>
      <c r="I491">
        <v>119000000</v>
      </c>
      <c r="J491" t="s">
        <v>451</v>
      </c>
      <c r="L491" t="str">
        <f>IFERROR(INDEX(Diccionario!$B:$B,MATCH(F491,Diccionario!$C:$C,0)),"")</f>
        <v>Contabilidad</v>
      </c>
      <c r="M491" t="str">
        <f>IFERROR(INDEX(Diccionario!$H:$H,MATCH(F491,Diccionario!$C:$C,0)),"")</f>
        <v>Contabilidad</v>
      </c>
      <c r="N491" t="str">
        <f>IFERROR(INDEX(Diccionario!$N:$N,MATCH(F491,Diccionario!$C:$C,0)),"")</f>
        <v>Mensual</v>
      </c>
    </row>
    <row r="492" spans="1:14" ht="14.25" customHeight="1" x14ac:dyDescent="0.3">
      <c r="A492" t="s">
        <v>532</v>
      </c>
      <c r="B492" t="s">
        <v>522</v>
      </c>
      <c r="C492" t="s">
        <v>523</v>
      </c>
      <c r="D492" t="s">
        <v>451</v>
      </c>
      <c r="E492" t="s">
        <v>524</v>
      </c>
      <c r="F492" t="s">
        <v>318</v>
      </c>
      <c r="H492" t="s">
        <v>573</v>
      </c>
      <c r="I492">
        <v>23000000</v>
      </c>
      <c r="J492" t="s">
        <v>451</v>
      </c>
      <c r="L492" t="str">
        <f>IFERROR(INDEX(Diccionario!$B:$B,MATCH(F492,Diccionario!$C:$C,0)),"")</f>
        <v>Contabilidad</v>
      </c>
      <c r="M492" t="str">
        <f>IFERROR(INDEX(Diccionario!$H:$H,MATCH(F492,Diccionario!$C:$C,0)),"")</f>
        <v>Contabilidad</v>
      </c>
      <c r="N492" t="str">
        <f>IFERROR(INDEX(Diccionario!$N:$N,MATCH(F492,Diccionario!$C:$C,0)),"")</f>
        <v>Mensual</v>
      </c>
    </row>
    <row r="493" spans="1:14" ht="14.25" customHeight="1" x14ac:dyDescent="0.3">
      <c r="A493" t="s">
        <v>532</v>
      </c>
      <c r="B493" t="s">
        <v>522</v>
      </c>
      <c r="C493" t="s">
        <v>523</v>
      </c>
      <c r="D493" t="s">
        <v>451</v>
      </c>
      <c r="E493" t="s">
        <v>524</v>
      </c>
      <c r="F493" t="s">
        <v>318</v>
      </c>
      <c r="H493" t="s">
        <v>574</v>
      </c>
      <c r="I493">
        <v>24000000</v>
      </c>
      <c r="J493" t="s">
        <v>451</v>
      </c>
      <c r="L493" t="str">
        <f>IFERROR(INDEX(Diccionario!$B:$B,MATCH(F493,Diccionario!$C:$C,0)),"")</f>
        <v>Contabilidad</v>
      </c>
      <c r="M493" t="str">
        <f>IFERROR(INDEX(Diccionario!$H:$H,MATCH(F493,Diccionario!$C:$C,0)),"")</f>
        <v>Contabilidad</v>
      </c>
      <c r="N493" t="str">
        <f>IFERROR(INDEX(Diccionario!$N:$N,MATCH(F493,Diccionario!$C:$C,0)),"")</f>
        <v>Mensual</v>
      </c>
    </row>
    <row r="494" spans="1:14" ht="14.25" customHeight="1" x14ac:dyDescent="0.3">
      <c r="A494" t="s">
        <v>532</v>
      </c>
      <c r="B494" t="s">
        <v>522</v>
      </c>
      <c r="C494" t="s">
        <v>523</v>
      </c>
      <c r="D494" t="s">
        <v>451</v>
      </c>
      <c r="E494" t="s">
        <v>524</v>
      </c>
      <c r="F494" t="s">
        <v>318</v>
      </c>
      <c r="H494" t="s">
        <v>575</v>
      </c>
      <c r="I494">
        <v>6000000</v>
      </c>
      <c r="J494" t="s">
        <v>451</v>
      </c>
      <c r="L494" t="str">
        <f>IFERROR(INDEX(Diccionario!$B:$B,MATCH(F494,Diccionario!$C:$C,0)),"")</f>
        <v>Contabilidad</v>
      </c>
      <c r="M494" t="str">
        <f>IFERROR(INDEX(Diccionario!$H:$H,MATCH(F494,Diccionario!$C:$C,0)),"")</f>
        <v>Contabilidad</v>
      </c>
      <c r="N494" t="str">
        <f>IFERROR(INDEX(Diccionario!$N:$N,MATCH(F494,Diccionario!$C:$C,0)),"")</f>
        <v>Mensual</v>
      </c>
    </row>
    <row r="495" spans="1:14" ht="14.25" customHeight="1" x14ac:dyDescent="0.3">
      <c r="A495" t="s">
        <v>532</v>
      </c>
      <c r="B495" t="s">
        <v>522</v>
      </c>
      <c r="C495" t="s">
        <v>523</v>
      </c>
      <c r="D495" t="s">
        <v>451</v>
      </c>
      <c r="E495" t="s">
        <v>524</v>
      </c>
      <c r="F495" t="s">
        <v>318</v>
      </c>
      <c r="H495" t="s">
        <v>576</v>
      </c>
      <c r="I495">
        <v>4000000</v>
      </c>
      <c r="J495" t="s">
        <v>451</v>
      </c>
      <c r="L495" t="str">
        <f>IFERROR(INDEX(Diccionario!$B:$B,MATCH(F495,Diccionario!$C:$C,0)),"")</f>
        <v>Contabilidad</v>
      </c>
      <c r="M495" t="str">
        <f>IFERROR(INDEX(Diccionario!$H:$H,MATCH(F495,Diccionario!$C:$C,0)),"")</f>
        <v>Contabilidad</v>
      </c>
      <c r="N495" t="str">
        <f>IFERROR(INDEX(Diccionario!$N:$N,MATCH(F495,Diccionario!$C:$C,0)),"")</f>
        <v>Mensual</v>
      </c>
    </row>
    <row r="496" spans="1:14" ht="14.25" customHeight="1" x14ac:dyDescent="0.3">
      <c r="A496" t="s">
        <v>533</v>
      </c>
      <c r="B496" t="s">
        <v>522</v>
      </c>
      <c r="C496" t="s">
        <v>523</v>
      </c>
      <c r="D496" t="s">
        <v>451</v>
      </c>
      <c r="E496" t="s">
        <v>524</v>
      </c>
      <c r="F496" t="s">
        <v>318</v>
      </c>
      <c r="H496" t="s">
        <v>572</v>
      </c>
      <c r="I496">
        <v>112000000</v>
      </c>
      <c r="J496" t="s">
        <v>451</v>
      </c>
      <c r="L496" t="str">
        <f>IFERROR(INDEX(Diccionario!$B:$B,MATCH(F496,Diccionario!$C:$C,0)),"")</f>
        <v>Contabilidad</v>
      </c>
      <c r="M496" t="str">
        <f>IFERROR(INDEX(Diccionario!$H:$H,MATCH(F496,Diccionario!$C:$C,0)),"")</f>
        <v>Contabilidad</v>
      </c>
      <c r="N496" t="str">
        <f>IFERROR(INDEX(Diccionario!$N:$N,MATCH(F496,Diccionario!$C:$C,0)),"")</f>
        <v>Mensual</v>
      </c>
    </row>
    <row r="497" spans="1:14" ht="14.25" customHeight="1" x14ac:dyDescent="0.3">
      <c r="A497" t="s">
        <v>533</v>
      </c>
      <c r="B497" t="s">
        <v>522</v>
      </c>
      <c r="C497" t="s">
        <v>523</v>
      </c>
      <c r="D497" t="s">
        <v>451</v>
      </c>
      <c r="E497" t="s">
        <v>524</v>
      </c>
      <c r="F497" t="s">
        <v>318</v>
      </c>
      <c r="H497" t="s">
        <v>573</v>
      </c>
      <c r="I497">
        <v>21000000</v>
      </c>
      <c r="J497" t="s">
        <v>451</v>
      </c>
      <c r="L497" t="str">
        <f>IFERROR(INDEX(Diccionario!$B:$B,MATCH(F497,Diccionario!$C:$C,0)),"")</f>
        <v>Contabilidad</v>
      </c>
      <c r="M497" t="str">
        <f>IFERROR(INDEX(Diccionario!$H:$H,MATCH(F497,Diccionario!$C:$C,0)),"")</f>
        <v>Contabilidad</v>
      </c>
      <c r="N497" t="str">
        <f>IFERROR(INDEX(Diccionario!$N:$N,MATCH(F497,Diccionario!$C:$C,0)),"")</f>
        <v>Mensual</v>
      </c>
    </row>
    <row r="498" spans="1:14" ht="14.25" customHeight="1" x14ac:dyDescent="0.3">
      <c r="A498" t="s">
        <v>533</v>
      </c>
      <c r="B498" t="s">
        <v>522</v>
      </c>
      <c r="C498" t="s">
        <v>523</v>
      </c>
      <c r="D498" t="s">
        <v>451</v>
      </c>
      <c r="E498" t="s">
        <v>524</v>
      </c>
      <c r="F498" t="s">
        <v>318</v>
      </c>
      <c r="H498" t="s">
        <v>574</v>
      </c>
      <c r="I498">
        <v>33000000</v>
      </c>
      <c r="J498" t="s">
        <v>451</v>
      </c>
      <c r="L498" t="str">
        <f>IFERROR(INDEX(Diccionario!$B:$B,MATCH(F498,Diccionario!$C:$C,0)),"")</f>
        <v>Contabilidad</v>
      </c>
      <c r="M498" t="str">
        <f>IFERROR(INDEX(Diccionario!$H:$H,MATCH(F498,Diccionario!$C:$C,0)),"")</f>
        <v>Contabilidad</v>
      </c>
      <c r="N498" t="str">
        <f>IFERROR(INDEX(Diccionario!$N:$N,MATCH(F498,Diccionario!$C:$C,0)),"")</f>
        <v>Mensual</v>
      </c>
    </row>
    <row r="499" spans="1:14" ht="14.25" customHeight="1" x14ac:dyDescent="0.3">
      <c r="A499" t="s">
        <v>533</v>
      </c>
      <c r="B499" t="s">
        <v>522</v>
      </c>
      <c r="C499" t="s">
        <v>523</v>
      </c>
      <c r="D499" t="s">
        <v>451</v>
      </c>
      <c r="E499" t="s">
        <v>524</v>
      </c>
      <c r="F499" t="s">
        <v>318</v>
      </c>
      <c r="H499" t="s">
        <v>575</v>
      </c>
      <c r="I499">
        <v>0</v>
      </c>
      <c r="J499" t="s">
        <v>451</v>
      </c>
      <c r="L499" t="str">
        <f>IFERROR(INDEX(Diccionario!$B:$B,MATCH(F499,Diccionario!$C:$C,0)),"")</f>
        <v>Contabilidad</v>
      </c>
      <c r="M499" t="str">
        <f>IFERROR(INDEX(Diccionario!$H:$H,MATCH(F499,Diccionario!$C:$C,0)),"")</f>
        <v>Contabilidad</v>
      </c>
      <c r="N499" t="str">
        <f>IFERROR(INDEX(Diccionario!$N:$N,MATCH(F499,Diccionario!$C:$C,0)),"")</f>
        <v>Mensual</v>
      </c>
    </row>
    <row r="500" spans="1:14" ht="14.25" customHeight="1" x14ac:dyDescent="0.3">
      <c r="A500" t="s">
        <v>533</v>
      </c>
      <c r="B500" t="s">
        <v>522</v>
      </c>
      <c r="C500" t="s">
        <v>523</v>
      </c>
      <c r="D500" t="s">
        <v>451</v>
      </c>
      <c r="E500" t="s">
        <v>524</v>
      </c>
      <c r="F500" t="s">
        <v>318</v>
      </c>
      <c r="H500" t="s">
        <v>576</v>
      </c>
      <c r="I500">
        <v>3000000</v>
      </c>
      <c r="J500" t="s">
        <v>451</v>
      </c>
      <c r="L500" t="str">
        <f>IFERROR(INDEX(Diccionario!$B:$B,MATCH(F500,Diccionario!$C:$C,0)),"")</f>
        <v>Contabilidad</v>
      </c>
      <c r="M500" t="str">
        <f>IFERROR(INDEX(Diccionario!$H:$H,MATCH(F500,Diccionario!$C:$C,0)),"")</f>
        <v>Contabilidad</v>
      </c>
      <c r="N500" t="str">
        <f>IFERROR(INDEX(Diccionario!$N:$N,MATCH(F500,Diccionario!$C:$C,0)),"")</f>
        <v>Mensual</v>
      </c>
    </row>
    <row r="501" spans="1:14" ht="14.25" customHeight="1" x14ac:dyDescent="0.3">
      <c r="A501" t="s">
        <v>534</v>
      </c>
      <c r="B501" t="s">
        <v>522</v>
      </c>
      <c r="C501" t="s">
        <v>523</v>
      </c>
      <c r="D501" t="s">
        <v>451</v>
      </c>
      <c r="E501" t="s">
        <v>524</v>
      </c>
      <c r="F501" t="s">
        <v>318</v>
      </c>
      <c r="H501" t="s">
        <v>572</v>
      </c>
      <c r="I501">
        <v>140000000</v>
      </c>
      <c r="J501" t="s">
        <v>451</v>
      </c>
      <c r="L501" t="str">
        <f>IFERROR(INDEX(Diccionario!$B:$B,MATCH(F501,Diccionario!$C:$C,0)),"")</f>
        <v>Contabilidad</v>
      </c>
      <c r="M501" t="str">
        <f>IFERROR(INDEX(Diccionario!$H:$H,MATCH(F501,Diccionario!$C:$C,0)),"")</f>
        <v>Contabilidad</v>
      </c>
      <c r="N501" t="str">
        <f>IFERROR(INDEX(Diccionario!$N:$N,MATCH(F501,Diccionario!$C:$C,0)),"")</f>
        <v>Mensual</v>
      </c>
    </row>
    <row r="502" spans="1:14" ht="14.25" customHeight="1" x14ac:dyDescent="0.3">
      <c r="A502" t="s">
        <v>534</v>
      </c>
      <c r="B502" t="s">
        <v>522</v>
      </c>
      <c r="C502" t="s">
        <v>523</v>
      </c>
      <c r="D502" t="s">
        <v>451</v>
      </c>
      <c r="E502" t="s">
        <v>524</v>
      </c>
      <c r="F502" t="s">
        <v>318</v>
      </c>
      <c r="H502" t="s">
        <v>573</v>
      </c>
      <c r="I502">
        <v>27000000</v>
      </c>
      <c r="J502" t="s">
        <v>451</v>
      </c>
      <c r="L502" t="str">
        <f>IFERROR(INDEX(Diccionario!$B:$B,MATCH(F502,Diccionario!$C:$C,0)),"")</f>
        <v>Contabilidad</v>
      </c>
      <c r="M502" t="str">
        <f>IFERROR(INDEX(Diccionario!$H:$H,MATCH(F502,Diccionario!$C:$C,0)),"")</f>
        <v>Contabilidad</v>
      </c>
      <c r="N502" t="str">
        <f>IFERROR(INDEX(Diccionario!$N:$N,MATCH(F502,Diccionario!$C:$C,0)),"")</f>
        <v>Mensual</v>
      </c>
    </row>
    <row r="503" spans="1:14" ht="14.25" customHeight="1" x14ac:dyDescent="0.3">
      <c r="A503" t="s">
        <v>534</v>
      </c>
      <c r="B503" t="s">
        <v>522</v>
      </c>
      <c r="C503" t="s">
        <v>523</v>
      </c>
      <c r="D503" t="s">
        <v>451</v>
      </c>
      <c r="E503" t="s">
        <v>524</v>
      </c>
      <c r="F503" t="s">
        <v>318</v>
      </c>
      <c r="H503" t="s">
        <v>574</v>
      </c>
      <c r="I503">
        <v>27000000</v>
      </c>
      <c r="J503" t="s">
        <v>451</v>
      </c>
      <c r="L503" t="str">
        <f>IFERROR(INDEX(Diccionario!$B:$B,MATCH(F503,Diccionario!$C:$C,0)),"")</f>
        <v>Contabilidad</v>
      </c>
      <c r="M503" t="str">
        <f>IFERROR(INDEX(Diccionario!$H:$H,MATCH(F503,Diccionario!$C:$C,0)),"")</f>
        <v>Contabilidad</v>
      </c>
      <c r="N503" t="str">
        <f>IFERROR(INDEX(Diccionario!$N:$N,MATCH(F503,Diccionario!$C:$C,0)),"")</f>
        <v>Mensual</v>
      </c>
    </row>
    <row r="504" spans="1:14" ht="14.25" customHeight="1" x14ac:dyDescent="0.3">
      <c r="A504" t="s">
        <v>534</v>
      </c>
      <c r="B504" t="s">
        <v>522</v>
      </c>
      <c r="C504" t="s">
        <v>523</v>
      </c>
      <c r="D504" t="s">
        <v>451</v>
      </c>
      <c r="E504" t="s">
        <v>524</v>
      </c>
      <c r="F504" t="s">
        <v>318</v>
      </c>
      <c r="H504" t="s">
        <v>575</v>
      </c>
      <c r="I504">
        <v>6000000</v>
      </c>
      <c r="J504" t="s">
        <v>451</v>
      </c>
      <c r="L504" t="str">
        <f>IFERROR(INDEX(Diccionario!$B:$B,MATCH(F504,Diccionario!$C:$C,0)),"")</f>
        <v>Contabilidad</v>
      </c>
      <c r="M504" t="str">
        <f>IFERROR(INDEX(Diccionario!$H:$H,MATCH(F504,Diccionario!$C:$C,0)),"")</f>
        <v>Contabilidad</v>
      </c>
      <c r="N504" t="str">
        <f>IFERROR(INDEX(Diccionario!$N:$N,MATCH(F504,Diccionario!$C:$C,0)),"")</f>
        <v>Mensual</v>
      </c>
    </row>
    <row r="505" spans="1:14" ht="14.25" customHeight="1" x14ac:dyDescent="0.3">
      <c r="A505" t="s">
        <v>534</v>
      </c>
      <c r="B505" t="s">
        <v>522</v>
      </c>
      <c r="C505" t="s">
        <v>523</v>
      </c>
      <c r="D505" t="s">
        <v>451</v>
      </c>
      <c r="E505" t="s">
        <v>524</v>
      </c>
      <c r="F505" t="s">
        <v>318</v>
      </c>
      <c r="H505" t="s">
        <v>576</v>
      </c>
      <c r="I505">
        <v>6000000</v>
      </c>
      <c r="J505" t="s">
        <v>451</v>
      </c>
      <c r="L505" t="str">
        <f>IFERROR(INDEX(Diccionario!$B:$B,MATCH(F505,Diccionario!$C:$C,0)),"")</f>
        <v>Contabilidad</v>
      </c>
      <c r="M505" t="str">
        <f>IFERROR(INDEX(Diccionario!$H:$H,MATCH(F505,Diccionario!$C:$C,0)),"")</f>
        <v>Contabilidad</v>
      </c>
      <c r="N505" t="str">
        <f>IFERROR(INDEX(Diccionario!$N:$N,MATCH(F505,Diccionario!$C:$C,0)),"")</f>
        <v>Mensual</v>
      </c>
    </row>
    <row r="506" spans="1:14" ht="14.25" customHeight="1" x14ac:dyDescent="0.3">
      <c r="A506" t="s">
        <v>535</v>
      </c>
      <c r="B506" t="s">
        <v>522</v>
      </c>
      <c r="C506" t="s">
        <v>523</v>
      </c>
      <c r="D506" t="s">
        <v>451</v>
      </c>
      <c r="E506" t="s">
        <v>524</v>
      </c>
      <c r="F506" t="s">
        <v>318</v>
      </c>
      <c r="H506" t="s">
        <v>572</v>
      </c>
      <c r="I506">
        <v>131000000</v>
      </c>
      <c r="J506" t="s">
        <v>451</v>
      </c>
      <c r="L506" t="str">
        <f>IFERROR(INDEX(Diccionario!$B:$B,MATCH(F506,Diccionario!$C:$C,0)),"")</f>
        <v>Contabilidad</v>
      </c>
      <c r="M506" t="str">
        <f>IFERROR(INDEX(Diccionario!$H:$H,MATCH(F506,Diccionario!$C:$C,0)),"")</f>
        <v>Contabilidad</v>
      </c>
      <c r="N506" t="str">
        <f>IFERROR(INDEX(Diccionario!$N:$N,MATCH(F506,Diccionario!$C:$C,0)),"")</f>
        <v>Mensual</v>
      </c>
    </row>
    <row r="507" spans="1:14" ht="14.25" customHeight="1" x14ac:dyDescent="0.3">
      <c r="A507" t="s">
        <v>535</v>
      </c>
      <c r="B507" t="s">
        <v>522</v>
      </c>
      <c r="C507" t="s">
        <v>523</v>
      </c>
      <c r="D507" t="s">
        <v>451</v>
      </c>
      <c r="E507" t="s">
        <v>524</v>
      </c>
      <c r="F507" t="s">
        <v>318</v>
      </c>
      <c r="H507" t="s">
        <v>573</v>
      </c>
      <c r="I507">
        <v>25000000</v>
      </c>
      <c r="J507" t="s">
        <v>451</v>
      </c>
      <c r="L507" t="str">
        <f>IFERROR(INDEX(Diccionario!$B:$B,MATCH(F507,Diccionario!$C:$C,0)),"")</f>
        <v>Contabilidad</v>
      </c>
      <c r="M507" t="str">
        <f>IFERROR(INDEX(Diccionario!$H:$H,MATCH(F507,Diccionario!$C:$C,0)),"")</f>
        <v>Contabilidad</v>
      </c>
      <c r="N507" t="str">
        <f>IFERROR(INDEX(Diccionario!$N:$N,MATCH(F507,Diccionario!$C:$C,0)),"")</f>
        <v>Mensual</v>
      </c>
    </row>
    <row r="508" spans="1:14" ht="14.25" customHeight="1" x14ac:dyDescent="0.3">
      <c r="A508" t="s">
        <v>535</v>
      </c>
      <c r="B508" t="s">
        <v>522</v>
      </c>
      <c r="C508" t="s">
        <v>523</v>
      </c>
      <c r="D508" t="s">
        <v>451</v>
      </c>
      <c r="E508" t="s">
        <v>524</v>
      </c>
      <c r="F508" t="s">
        <v>318</v>
      </c>
      <c r="H508" t="s">
        <v>574</v>
      </c>
      <c r="I508">
        <v>10000000</v>
      </c>
      <c r="J508" t="s">
        <v>451</v>
      </c>
      <c r="L508" t="str">
        <f>IFERROR(INDEX(Diccionario!$B:$B,MATCH(F508,Diccionario!$C:$C,0)),"")</f>
        <v>Contabilidad</v>
      </c>
      <c r="M508" t="str">
        <f>IFERROR(INDEX(Diccionario!$H:$H,MATCH(F508,Diccionario!$C:$C,0)),"")</f>
        <v>Contabilidad</v>
      </c>
      <c r="N508" t="str">
        <f>IFERROR(INDEX(Diccionario!$N:$N,MATCH(F508,Diccionario!$C:$C,0)),"")</f>
        <v>Mensual</v>
      </c>
    </row>
    <row r="509" spans="1:14" ht="14.25" customHeight="1" x14ac:dyDescent="0.3">
      <c r="A509" t="s">
        <v>535</v>
      </c>
      <c r="B509" t="s">
        <v>522</v>
      </c>
      <c r="C509" t="s">
        <v>523</v>
      </c>
      <c r="D509" t="s">
        <v>451</v>
      </c>
      <c r="E509" t="s">
        <v>524</v>
      </c>
      <c r="F509" t="s">
        <v>318</v>
      </c>
      <c r="H509" t="s">
        <v>575</v>
      </c>
      <c r="I509">
        <v>7000000</v>
      </c>
      <c r="J509" t="s">
        <v>451</v>
      </c>
      <c r="L509" t="str">
        <f>IFERROR(INDEX(Diccionario!$B:$B,MATCH(F509,Diccionario!$C:$C,0)),"")</f>
        <v>Contabilidad</v>
      </c>
      <c r="M509" t="str">
        <f>IFERROR(INDEX(Diccionario!$H:$H,MATCH(F509,Diccionario!$C:$C,0)),"")</f>
        <v>Contabilidad</v>
      </c>
      <c r="N509" t="str">
        <f>IFERROR(INDEX(Diccionario!$N:$N,MATCH(F509,Diccionario!$C:$C,0)),"")</f>
        <v>Mensual</v>
      </c>
    </row>
    <row r="510" spans="1:14" ht="14.25" customHeight="1" x14ac:dyDescent="0.3">
      <c r="A510" t="s">
        <v>535</v>
      </c>
      <c r="B510" t="s">
        <v>522</v>
      </c>
      <c r="C510" t="s">
        <v>523</v>
      </c>
      <c r="D510" t="s">
        <v>451</v>
      </c>
      <c r="E510" t="s">
        <v>524</v>
      </c>
      <c r="F510" t="s">
        <v>318</v>
      </c>
      <c r="H510" t="s">
        <v>576</v>
      </c>
      <c r="I510">
        <v>5000000</v>
      </c>
      <c r="J510" t="s">
        <v>451</v>
      </c>
      <c r="L510" t="str">
        <f>IFERROR(INDEX(Diccionario!$B:$B,MATCH(F510,Diccionario!$C:$C,0)),"")</f>
        <v>Contabilidad</v>
      </c>
      <c r="M510" t="str">
        <f>IFERROR(INDEX(Diccionario!$H:$H,MATCH(F510,Diccionario!$C:$C,0)),"")</f>
        <v>Contabilidad</v>
      </c>
      <c r="N510" t="str">
        <f>IFERROR(INDEX(Diccionario!$N:$N,MATCH(F510,Diccionario!$C:$C,0)),"")</f>
        <v>Mensual</v>
      </c>
    </row>
    <row r="511" spans="1:14" ht="14.25" customHeight="1" x14ac:dyDescent="0.3">
      <c r="A511" t="s">
        <v>536</v>
      </c>
      <c r="B511" t="s">
        <v>522</v>
      </c>
      <c r="C511" t="s">
        <v>523</v>
      </c>
      <c r="D511" t="s">
        <v>451</v>
      </c>
      <c r="E511" t="s">
        <v>524</v>
      </c>
      <c r="F511" t="s">
        <v>318</v>
      </c>
      <c r="H511" t="s">
        <v>572</v>
      </c>
      <c r="I511">
        <v>123000000</v>
      </c>
      <c r="J511" t="s">
        <v>451</v>
      </c>
      <c r="L511" t="str">
        <f>IFERROR(INDEX(Diccionario!$B:$B,MATCH(F511,Diccionario!$C:$C,0)),"")</f>
        <v>Contabilidad</v>
      </c>
      <c r="M511" t="str">
        <f>IFERROR(INDEX(Diccionario!$H:$H,MATCH(F511,Diccionario!$C:$C,0)),"")</f>
        <v>Contabilidad</v>
      </c>
      <c r="N511" t="str">
        <f>IFERROR(INDEX(Diccionario!$N:$N,MATCH(F511,Diccionario!$C:$C,0)),"")</f>
        <v>Mensual</v>
      </c>
    </row>
    <row r="512" spans="1:14" ht="14.25" customHeight="1" x14ac:dyDescent="0.3">
      <c r="A512" t="s">
        <v>536</v>
      </c>
      <c r="B512" t="s">
        <v>522</v>
      </c>
      <c r="C512" t="s">
        <v>523</v>
      </c>
      <c r="D512" t="s">
        <v>451</v>
      </c>
      <c r="E512" t="s">
        <v>524</v>
      </c>
      <c r="F512" t="s">
        <v>318</v>
      </c>
      <c r="H512" t="s">
        <v>573</v>
      </c>
      <c r="I512">
        <v>13500000</v>
      </c>
      <c r="J512" t="s">
        <v>451</v>
      </c>
      <c r="L512" t="str">
        <f>IFERROR(INDEX(Diccionario!$B:$B,MATCH(F512,Diccionario!$C:$C,0)),"")</f>
        <v>Contabilidad</v>
      </c>
      <c r="M512" t="str">
        <f>IFERROR(INDEX(Diccionario!$H:$H,MATCH(F512,Diccionario!$C:$C,0)),"")</f>
        <v>Contabilidad</v>
      </c>
      <c r="N512" t="str">
        <f>IFERROR(INDEX(Diccionario!$N:$N,MATCH(F512,Diccionario!$C:$C,0)),"")</f>
        <v>Mensual</v>
      </c>
    </row>
    <row r="513" spans="1:14" ht="14.25" customHeight="1" x14ac:dyDescent="0.3">
      <c r="A513" t="s">
        <v>536</v>
      </c>
      <c r="B513" t="s">
        <v>522</v>
      </c>
      <c r="C513" t="s">
        <v>523</v>
      </c>
      <c r="D513" t="s">
        <v>451</v>
      </c>
      <c r="E513" t="s">
        <v>524</v>
      </c>
      <c r="F513" t="s">
        <v>318</v>
      </c>
      <c r="H513" t="s">
        <v>574</v>
      </c>
      <c r="I513">
        <v>26800000</v>
      </c>
      <c r="J513" t="s">
        <v>451</v>
      </c>
      <c r="L513" t="str">
        <f>IFERROR(INDEX(Diccionario!$B:$B,MATCH(F513,Diccionario!$C:$C,0)),"")</f>
        <v>Contabilidad</v>
      </c>
      <c r="M513" t="str">
        <f>IFERROR(INDEX(Diccionario!$H:$H,MATCH(F513,Diccionario!$C:$C,0)),"")</f>
        <v>Contabilidad</v>
      </c>
      <c r="N513" t="str">
        <f>IFERROR(INDEX(Diccionario!$N:$N,MATCH(F513,Diccionario!$C:$C,0)),"")</f>
        <v>Mensual</v>
      </c>
    </row>
    <row r="514" spans="1:14" ht="14.25" customHeight="1" x14ac:dyDescent="0.3">
      <c r="A514" t="s">
        <v>536</v>
      </c>
      <c r="B514" t="s">
        <v>522</v>
      </c>
      <c r="C514" t="s">
        <v>523</v>
      </c>
      <c r="D514" t="s">
        <v>451</v>
      </c>
      <c r="E514" t="s">
        <v>524</v>
      </c>
      <c r="F514" t="s">
        <v>318</v>
      </c>
      <c r="H514" t="s">
        <v>575</v>
      </c>
      <c r="I514">
        <v>8000000</v>
      </c>
      <c r="J514" t="s">
        <v>451</v>
      </c>
      <c r="L514" t="str">
        <f>IFERROR(INDEX(Diccionario!$B:$B,MATCH(F514,Diccionario!$C:$C,0)),"")</f>
        <v>Contabilidad</v>
      </c>
      <c r="M514" t="str">
        <f>IFERROR(INDEX(Diccionario!$H:$H,MATCH(F514,Diccionario!$C:$C,0)),"")</f>
        <v>Contabilidad</v>
      </c>
      <c r="N514" t="str">
        <f>IFERROR(INDEX(Diccionario!$N:$N,MATCH(F514,Diccionario!$C:$C,0)),"")</f>
        <v>Mensual</v>
      </c>
    </row>
    <row r="515" spans="1:14" ht="14.25" customHeight="1" x14ac:dyDescent="0.3">
      <c r="A515" t="s">
        <v>536</v>
      </c>
      <c r="B515" t="s">
        <v>522</v>
      </c>
      <c r="C515" t="s">
        <v>523</v>
      </c>
      <c r="D515" t="s">
        <v>451</v>
      </c>
      <c r="E515" t="s">
        <v>524</v>
      </c>
      <c r="F515" t="s">
        <v>318</v>
      </c>
      <c r="H515" t="s">
        <v>576</v>
      </c>
      <c r="I515">
        <v>10000000</v>
      </c>
      <c r="J515" t="s">
        <v>451</v>
      </c>
      <c r="L515" t="str">
        <f>IFERROR(INDEX(Diccionario!$B:$B,MATCH(F515,Diccionario!$C:$C,0)),"")</f>
        <v>Contabilidad</v>
      </c>
      <c r="M515" t="str">
        <f>IFERROR(INDEX(Diccionario!$H:$H,MATCH(F515,Diccionario!$C:$C,0)),"")</f>
        <v>Contabilidad</v>
      </c>
      <c r="N515" t="str">
        <f>IFERROR(INDEX(Diccionario!$N:$N,MATCH(F515,Diccionario!$C:$C,0)),"")</f>
        <v>Mensual</v>
      </c>
    </row>
    <row r="516" spans="1:14" ht="14.25" customHeight="1" x14ac:dyDescent="0.3">
      <c r="A516" t="s">
        <v>538</v>
      </c>
      <c r="B516" t="s">
        <v>522</v>
      </c>
      <c r="C516" t="s">
        <v>523</v>
      </c>
      <c r="D516" t="s">
        <v>451</v>
      </c>
      <c r="E516" t="s">
        <v>524</v>
      </c>
      <c r="F516" t="s">
        <v>318</v>
      </c>
      <c r="H516" t="s">
        <v>572</v>
      </c>
      <c r="I516">
        <v>0</v>
      </c>
      <c r="J516" t="s">
        <v>451</v>
      </c>
      <c r="L516" t="str">
        <f>IFERROR(INDEX(Diccionario!$B:$B,MATCH(F516,Diccionario!$C:$C,0)),"")</f>
        <v>Contabilidad</v>
      </c>
      <c r="M516" t="str">
        <f>IFERROR(INDEX(Diccionario!$H:$H,MATCH(F516,Diccionario!$C:$C,0)),"")</f>
        <v>Contabilidad</v>
      </c>
      <c r="N516" t="str">
        <f>IFERROR(INDEX(Diccionario!$N:$N,MATCH(F516,Diccionario!$C:$C,0)),"")</f>
        <v>Mensual</v>
      </c>
    </row>
    <row r="517" spans="1:14" ht="14.25" customHeight="1" x14ac:dyDescent="0.3">
      <c r="A517" t="s">
        <v>538</v>
      </c>
      <c r="B517" t="s">
        <v>522</v>
      </c>
      <c r="C517" t="s">
        <v>523</v>
      </c>
      <c r="D517" t="s">
        <v>451</v>
      </c>
      <c r="E517" t="s">
        <v>524</v>
      </c>
      <c r="F517" t="s">
        <v>318</v>
      </c>
      <c r="H517" t="s">
        <v>573</v>
      </c>
      <c r="I517">
        <v>0</v>
      </c>
      <c r="J517" t="s">
        <v>451</v>
      </c>
      <c r="L517" t="str">
        <f>IFERROR(INDEX(Diccionario!$B:$B,MATCH(F517,Diccionario!$C:$C,0)),"")</f>
        <v>Contabilidad</v>
      </c>
      <c r="M517" t="str">
        <f>IFERROR(INDEX(Diccionario!$H:$H,MATCH(F517,Diccionario!$C:$C,0)),"")</f>
        <v>Contabilidad</v>
      </c>
      <c r="N517" t="str">
        <f>IFERROR(INDEX(Diccionario!$N:$N,MATCH(F517,Diccionario!$C:$C,0)),"")</f>
        <v>Mensual</v>
      </c>
    </row>
    <row r="518" spans="1:14" ht="14.25" customHeight="1" x14ac:dyDescent="0.3">
      <c r="A518" t="s">
        <v>538</v>
      </c>
      <c r="B518" t="s">
        <v>522</v>
      </c>
      <c r="C518" t="s">
        <v>523</v>
      </c>
      <c r="D518" t="s">
        <v>451</v>
      </c>
      <c r="E518" t="s">
        <v>524</v>
      </c>
      <c r="F518" t="s">
        <v>318</v>
      </c>
      <c r="H518" t="s">
        <v>574</v>
      </c>
      <c r="I518">
        <v>31100000</v>
      </c>
      <c r="J518" t="s">
        <v>451</v>
      </c>
      <c r="L518" t="str">
        <f>IFERROR(INDEX(Diccionario!$B:$B,MATCH(F518,Diccionario!$C:$C,0)),"")</f>
        <v>Contabilidad</v>
      </c>
      <c r="M518" t="str">
        <f>IFERROR(INDEX(Diccionario!$H:$H,MATCH(F518,Diccionario!$C:$C,0)),"")</f>
        <v>Contabilidad</v>
      </c>
      <c r="N518" t="str">
        <f>IFERROR(INDEX(Diccionario!$N:$N,MATCH(F518,Diccionario!$C:$C,0)),"")</f>
        <v>Mensual</v>
      </c>
    </row>
    <row r="519" spans="1:14" ht="14.25" customHeight="1" x14ac:dyDescent="0.3">
      <c r="A519" t="s">
        <v>538</v>
      </c>
      <c r="B519" t="s">
        <v>522</v>
      </c>
      <c r="C519" t="s">
        <v>523</v>
      </c>
      <c r="D519" t="s">
        <v>451</v>
      </c>
      <c r="E519" t="s">
        <v>524</v>
      </c>
      <c r="F519" t="s">
        <v>318</v>
      </c>
      <c r="H519" t="s">
        <v>575</v>
      </c>
      <c r="I519">
        <v>10100000</v>
      </c>
      <c r="J519" t="s">
        <v>451</v>
      </c>
      <c r="L519" t="str">
        <f>IFERROR(INDEX(Diccionario!$B:$B,MATCH(F519,Diccionario!$C:$C,0)),"")</f>
        <v>Contabilidad</v>
      </c>
      <c r="M519" t="str">
        <f>IFERROR(INDEX(Diccionario!$H:$H,MATCH(F519,Diccionario!$C:$C,0)),"")</f>
        <v>Contabilidad</v>
      </c>
      <c r="N519" t="str">
        <f>IFERROR(INDEX(Diccionario!$N:$N,MATCH(F519,Diccionario!$C:$C,0)),"")</f>
        <v>Mensual</v>
      </c>
    </row>
    <row r="520" spans="1:14" ht="14.25" customHeight="1" x14ac:dyDescent="0.3">
      <c r="A520" t="s">
        <v>538</v>
      </c>
      <c r="B520" t="s">
        <v>522</v>
      </c>
      <c r="C520" t="s">
        <v>523</v>
      </c>
      <c r="D520" t="s">
        <v>451</v>
      </c>
      <c r="E520" t="s">
        <v>524</v>
      </c>
      <c r="F520" t="s">
        <v>318</v>
      </c>
      <c r="H520" t="s">
        <v>576</v>
      </c>
      <c r="I520">
        <v>5100000</v>
      </c>
      <c r="J520" t="s">
        <v>451</v>
      </c>
      <c r="L520" t="str">
        <f>IFERROR(INDEX(Diccionario!$B:$B,MATCH(F520,Diccionario!$C:$C,0)),"")</f>
        <v>Contabilidad</v>
      </c>
      <c r="M520" t="str">
        <f>IFERROR(INDEX(Diccionario!$H:$H,MATCH(F520,Diccionario!$C:$C,0)),"")</f>
        <v>Contabilidad</v>
      </c>
      <c r="N520" t="str">
        <f>IFERROR(INDEX(Diccionario!$N:$N,MATCH(F520,Diccionario!$C:$C,0)),"")</f>
        <v>Mensual</v>
      </c>
    </row>
    <row r="521" spans="1:14" ht="14.25" customHeight="1" x14ac:dyDescent="0.3">
      <c r="A521" t="s">
        <v>539</v>
      </c>
      <c r="B521" t="s">
        <v>522</v>
      </c>
      <c r="C521" t="s">
        <v>523</v>
      </c>
      <c r="D521" t="s">
        <v>451</v>
      </c>
      <c r="E521" t="s">
        <v>524</v>
      </c>
      <c r="F521" t="s">
        <v>318</v>
      </c>
      <c r="H521" t="s">
        <v>572</v>
      </c>
      <c r="I521">
        <v>167000000</v>
      </c>
      <c r="J521" t="s">
        <v>451</v>
      </c>
      <c r="L521" t="str">
        <f>IFERROR(INDEX(Diccionario!$B:$B,MATCH(F521,Diccionario!$C:$C,0)),"")</f>
        <v>Contabilidad</v>
      </c>
      <c r="M521" t="str">
        <f>IFERROR(INDEX(Diccionario!$H:$H,MATCH(F521,Diccionario!$C:$C,0)),"")</f>
        <v>Contabilidad</v>
      </c>
      <c r="N521" t="str">
        <f>IFERROR(INDEX(Diccionario!$N:$N,MATCH(F521,Diccionario!$C:$C,0)),"")</f>
        <v>Mensual</v>
      </c>
    </row>
    <row r="522" spans="1:14" ht="14.25" customHeight="1" x14ac:dyDescent="0.3">
      <c r="A522" t="s">
        <v>539</v>
      </c>
      <c r="B522" t="s">
        <v>522</v>
      </c>
      <c r="C522" t="s">
        <v>523</v>
      </c>
      <c r="D522" t="s">
        <v>451</v>
      </c>
      <c r="E522" t="s">
        <v>524</v>
      </c>
      <c r="F522" t="s">
        <v>318</v>
      </c>
      <c r="H522" t="s">
        <v>573</v>
      </c>
      <c r="I522">
        <v>91000</v>
      </c>
      <c r="J522" t="s">
        <v>451</v>
      </c>
      <c r="L522" t="str">
        <f>IFERROR(INDEX(Diccionario!$B:$B,MATCH(F522,Diccionario!$C:$C,0)),"")</f>
        <v>Contabilidad</v>
      </c>
      <c r="M522" t="str">
        <f>IFERROR(INDEX(Diccionario!$H:$H,MATCH(F522,Diccionario!$C:$C,0)),"")</f>
        <v>Contabilidad</v>
      </c>
      <c r="N522" t="str">
        <f>IFERROR(INDEX(Diccionario!$N:$N,MATCH(F522,Diccionario!$C:$C,0)),"")</f>
        <v>Mensual</v>
      </c>
    </row>
    <row r="523" spans="1:14" ht="14.25" customHeight="1" x14ac:dyDescent="0.3">
      <c r="A523" t="s">
        <v>539</v>
      </c>
      <c r="B523" t="s">
        <v>522</v>
      </c>
      <c r="C523" t="s">
        <v>523</v>
      </c>
      <c r="D523" t="s">
        <v>451</v>
      </c>
      <c r="E523" t="s">
        <v>524</v>
      </c>
      <c r="F523" t="s">
        <v>318</v>
      </c>
      <c r="H523" t="s">
        <v>574</v>
      </c>
      <c r="I523">
        <v>24600000</v>
      </c>
      <c r="J523" t="s">
        <v>451</v>
      </c>
      <c r="L523" t="str">
        <f>IFERROR(INDEX(Diccionario!$B:$B,MATCH(F523,Diccionario!$C:$C,0)),"")</f>
        <v>Contabilidad</v>
      </c>
      <c r="M523" t="str">
        <f>IFERROR(INDEX(Diccionario!$H:$H,MATCH(F523,Diccionario!$C:$C,0)),"")</f>
        <v>Contabilidad</v>
      </c>
      <c r="N523" t="str">
        <f>IFERROR(INDEX(Diccionario!$N:$N,MATCH(F523,Diccionario!$C:$C,0)),"")</f>
        <v>Mensual</v>
      </c>
    </row>
    <row r="524" spans="1:14" ht="14.25" customHeight="1" x14ac:dyDescent="0.3">
      <c r="A524" t="s">
        <v>539</v>
      </c>
      <c r="B524" t="s">
        <v>522</v>
      </c>
      <c r="C524" t="s">
        <v>523</v>
      </c>
      <c r="D524" t="s">
        <v>451</v>
      </c>
      <c r="E524" t="s">
        <v>524</v>
      </c>
      <c r="F524" t="s">
        <v>318</v>
      </c>
      <c r="H524" t="s">
        <v>575</v>
      </c>
      <c r="I524">
        <v>10300000</v>
      </c>
      <c r="J524" t="s">
        <v>451</v>
      </c>
      <c r="L524" t="str">
        <f>IFERROR(INDEX(Diccionario!$B:$B,MATCH(F524,Diccionario!$C:$C,0)),"")</f>
        <v>Contabilidad</v>
      </c>
      <c r="M524" t="str">
        <f>IFERROR(INDEX(Diccionario!$H:$H,MATCH(F524,Diccionario!$C:$C,0)),"")</f>
        <v>Contabilidad</v>
      </c>
      <c r="N524" t="str">
        <f>IFERROR(INDEX(Diccionario!$N:$N,MATCH(F524,Diccionario!$C:$C,0)),"")</f>
        <v>Mensual</v>
      </c>
    </row>
    <row r="525" spans="1:14" ht="14.25" customHeight="1" x14ac:dyDescent="0.3">
      <c r="A525" t="s">
        <v>539</v>
      </c>
      <c r="B525" t="s">
        <v>522</v>
      </c>
      <c r="C525" t="s">
        <v>523</v>
      </c>
      <c r="D525" t="s">
        <v>451</v>
      </c>
      <c r="E525" t="s">
        <v>524</v>
      </c>
      <c r="F525" t="s">
        <v>318</v>
      </c>
      <c r="H525" t="s">
        <v>576</v>
      </c>
      <c r="I525">
        <v>6009000</v>
      </c>
      <c r="J525" t="s">
        <v>451</v>
      </c>
      <c r="L525" t="str">
        <f>IFERROR(INDEX(Diccionario!$B:$B,MATCH(F525,Diccionario!$C:$C,0)),"")</f>
        <v>Contabilidad</v>
      </c>
      <c r="M525" t="str">
        <f>IFERROR(INDEX(Diccionario!$H:$H,MATCH(F525,Diccionario!$C:$C,0)),"")</f>
        <v>Contabilidad</v>
      </c>
      <c r="N525" t="str">
        <f>IFERROR(INDEX(Diccionario!$N:$N,MATCH(F525,Diccionario!$C:$C,0)),"")</f>
        <v>Mensual</v>
      </c>
    </row>
    <row r="526" spans="1:14" ht="14.25" customHeight="1" x14ac:dyDescent="0.3">
      <c r="A526" t="s">
        <v>540</v>
      </c>
      <c r="B526" t="s">
        <v>522</v>
      </c>
      <c r="C526" t="s">
        <v>523</v>
      </c>
      <c r="D526" t="s">
        <v>451</v>
      </c>
      <c r="E526" t="s">
        <v>524</v>
      </c>
      <c r="F526" t="s">
        <v>318</v>
      </c>
      <c r="H526" t="s">
        <v>572</v>
      </c>
      <c r="I526">
        <v>88200000</v>
      </c>
      <c r="J526" t="s">
        <v>451</v>
      </c>
      <c r="L526" t="str">
        <f>IFERROR(INDEX(Diccionario!$B:$B,MATCH(F526,Diccionario!$C:$C,0)),"")</f>
        <v>Contabilidad</v>
      </c>
      <c r="M526" t="str">
        <f>IFERROR(INDEX(Diccionario!$H:$H,MATCH(F526,Diccionario!$C:$C,0)),"")</f>
        <v>Contabilidad</v>
      </c>
      <c r="N526" t="str">
        <f>IFERROR(INDEX(Diccionario!$N:$N,MATCH(F526,Diccionario!$C:$C,0)),"")</f>
        <v>Mensual</v>
      </c>
    </row>
    <row r="527" spans="1:14" ht="14.25" customHeight="1" x14ac:dyDescent="0.3">
      <c r="A527" t="s">
        <v>540</v>
      </c>
      <c r="B527" t="s">
        <v>522</v>
      </c>
      <c r="C527" t="s">
        <v>523</v>
      </c>
      <c r="D527" t="s">
        <v>451</v>
      </c>
      <c r="E527" t="s">
        <v>524</v>
      </c>
      <c r="F527" t="s">
        <v>318</v>
      </c>
      <c r="H527" t="s">
        <v>573</v>
      </c>
      <c r="I527">
        <v>0</v>
      </c>
      <c r="J527" t="s">
        <v>451</v>
      </c>
      <c r="L527" t="str">
        <f>IFERROR(INDEX(Diccionario!$B:$B,MATCH(F527,Diccionario!$C:$C,0)),"")</f>
        <v>Contabilidad</v>
      </c>
      <c r="M527" t="str">
        <f>IFERROR(INDEX(Diccionario!$H:$H,MATCH(F527,Diccionario!$C:$C,0)),"")</f>
        <v>Contabilidad</v>
      </c>
      <c r="N527" t="str">
        <f>IFERROR(INDEX(Diccionario!$N:$N,MATCH(F527,Diccionario!$C:$C,0)),"")</f>
        <v>Mensual</v>
      </c>
    </row>
    <row r="528" spans="1:14" ht="14.25" customHeight="1" x14ac:dyDescent="0.3">
      <c r="A528" t="s">
        <v>540</v>
      </c>
      <c r="B528" t="s">
        <v>522</v>
      </c>
      <c r="C528" t="s">
        <v>523</v>
      </c>
      <c r="D528" t="s">
        <v>451</v>
      </c>
      <c r="E528" t="s">
        <v>524</v>
      </c>
      <c r="F528" t="s">
        <v>318</v>
      </c>
      <c r="H528" t="s">
        <v>574</v>
      </c>
      <c r="I528">
        <v>46900000</v>
      </c>
      <c r="J528" t="s">
        <v>451</v>
      </c>
      <c r="L528" t="str">
        <f>IFERROR(INDEX(Diccionario!$B:$B,MATCH(F528,Diccionario!$C:$C,0)),"")</f>
        <v>Contabilidad</v>
      </c>
      <c r="M528" t="str">
        <f>IFERROR(INDEX(Diccionario!$H:$H,MATCH(F528,Diccionario!$C:$C,0)),"")</f>
        <v>Contabilidad</v>
      </c>
      <c r="N528" t="str">
        <f>IFERROR(INDEX(Diccionario!$N:$N,MATCH(F528,Diccionario!$C:$C,0)),"")</f>
        <v>Mensual</v>
      </c>
    </row>
    <row r="529" spans="1:14" ht="14.25" customHeight="1" x14ac:dyDescent="0.3">
      <c r="A529" t="s">
        <v>540</v>
      </c>
      <c r="B529" t="s">
        <v>522</v>
      </c>
      <c r="C529" t="s">
        <v>523</v>
      </c>
      <c r="D529" t="s">
        <v>451</v>
      </c>
      <c r="E529" t="s">
        <v>524</v>
      </c>
      <c r="F529" t="s">
        <v>318</v>
      </c>
      <c r="H529" t="s">
        <v>575</v>
      </c>
      <c r="I529">
        <v>14100000</v>
      </c>
      <c r="J529" t="s">
        <v>451</v>
      </c>
      <c r="L529" t="str">
        <f>IFERROR(INDEX(Diccionario!$B:$B,MATCH(F529,Diccionario!$C:$C,0)),"")</f>
        <v>Contabilidad</v>
      </c>
      <c r="M529" t="str">
        <f>IFERROR(INDEX(Diccionario!$H:$H,MATCH(F529,Diccionario!$C:$C,0)),"")</f>
        <v>Contabilidad</v>
      </c>
      <c r="N529" t="str">
        <f>IFERROR(INDEX(Diccionario!$N:$N,MATCH(F529,Diccionario!$C:$C,0)),"")</f>
        <v>Mensual</v>
      </c>
    </row>
    <row r="530" spans="1:14" ht="14.25" customHeight="1" x14ac:dyDescent="0.3">
      <c r="A530" t="s">
        <v>540</v>
      </c>
      <c r="B530" t="s">
        <v>522</v>
      </c>
      <c r="C530" t="s">
        <v>523</v>
      </c>
      <c r="D530" t="s">
        <v>451</v>
      </c>
      <c r="E530" t="s">
        <v>524</v>
      </c>
      <c r="F530" t="s">
        <v>318</v>
      </c>
      <c r="H530" t="s">
        <v>576</v>
      </c>
      <c r="I530">
        <v>6700000</v>
      </c>
      <c r="J530" t="s">
        <v>451</v>
      </c>
      <c r="L530" t="str">
        <f>IFERROR(INDEX(Diccionario!$B:$B,MATCH(F530,Diccionario!$C:$C,0)),"")</f>
        <v>Contabilidad</v>
      </c>
      <c r="M530" t="str">
        <f>IFERROR(INDEX(Diccionario!$H:$H,MATCH(F530,Diccionario!$C:$C,0)),"")</f>
        <v>Contabilidad</v>
      </c>
      <c r="N530" t="str">
        <f>IFERROR(INDEX(Diccionario!$N:$N,MATCH(F530,Diccionario!$C:$C,0)),"")</f>
        <v>Mensual</v>
      </c>
    </row>
    <row r="531" spans="1:14" ht="14.25" customHeight="1" x14ac:dyDescent="0.3">
      <c r="A531" t="s">
        <v>541</v>
      </c>
      <c r="B531" t="s">
        <v>522</v>
      </c>
      <c r="C531" t="s">
        <v>523</v>
      </c>
      <c r="D531" t="s">
        <v>451</v>
      </c>
      <c r="E531" t="s">
        <v>524</v>
      </c>
      <c r="F531" t="s">
        <v>318</v>
      </c>
      <c r="H531" t="s">
        <v>572</v>
      </c>
      <c r="I531">
        <v>83500000</v>
      </c>
      <c r="J531" t="s">
        <v>451</v>
      </c>
      <c r="L531" t="str">
        <f>IFERROR(INDEX(Diccionario!$B:$B,MATCH(F531,Diccionario!$C:$C,0)),"")</f>
        <v>Contabilidad</v>
      </c>
      <c r="M531" t="str">
        <f>IFERROR(INDEX(Diccionario!$H:$H,MATCH(F531,Diccionario!$C:$C,0)),"")</f>
        <v>Contabilidad</v>
      </c>
      <c r="N531" t="str">
        <f>IFERROR(INDEX(Diccionario!$N:$N,MATCH(F531,Diccionario!$C:$C,0)),"")</f>
        <v>Mensual</v>
      </c>
    </row>
    <row r="532" spans="1:14" ht="14.25" customHeight="1" x14ac:dyDescent="0.3">
      <c r="A532" t="s">
        <v>541</v>
      </c>
      <c r="B532" t="s">
        <v>522</v>
      </c>
      <c r="C532" t="s">
        <v>523</v>
      </c>
      <c r="D532" t="s">
        <v>451</v>
      </c>
      <c r="E532" t="s">
        <v>524</v>
      </c>
      <c r="F532" t="s">
        <v>318</v>
      </c>
      <c r="H532" t="s">
        <v>573</v>
      </c>
      <c r="I532">
        <v>0</v>
      </c>
      <c r="J532" t="s">
        <v>451</v>
      </c>
      <c r="L532" t="str">
        <f>IFERROR(INDEX(Diccionario!$B:$B,MATCH(F532,Diccionario!$C:$C,0)),"")</f>
        <v>Contabilidad</v>
      </c>
      <c r="M532" t="str">
        <f>IFERROR(INDEX(Diccionario!$H:$H,MATCH(F532,Diccionario!$C:$C,0)),"")</f>
        <v>Contabilidad</v>
      </c>
      <c r="N532" t="str">
        <f>IFERROR(INDEX(Diccionario!$N:$N,MATCH(F532,Diccionario!$C:$C,0)),"")</f>
        <v>Mensual</v>
      </c>
    </row>
    <row r="533" spans="1:14" ht="14.25" customHeight="1" x14ac:dyDescent="0.3">
      <c r="A533" t="s">
        <v>541</v>
      </c>
      <c r="B533" t="s">
        <v>522</v>
      </c>
      <c r="C533" t="s">
        <v>523</v>
      </c>
      <c r="D533" t="s">
        <v>451</v>
      </c>
      <c r="E533" t="s">
        <v>524</v>
      </c>
      <c r="F533" t="s">
        <v>318</v>
      </c>
      <c r="H533" t="s">
        <v>574</v>
      </c>
      <c r="I533">
        <v>40400000</v>
      </c>
      <c r="J533" t="s">
        <v>451</v>
      </c>
      <c r="L533" t="str">
        <f>IFERROR(INDEX(Diccionario!$B:$B,MATCH(F533,Diccionario!$C:$C,0)),"")</f>
        <v>Contabilidad</v>
      </c>
      <c r="M533" t="str">
        <f>IFERROR(INDEX(Diccionario!$H:$H,MATCH(F533,Diccionario!$C:$C,0)),"")</f>
        <v>Contabilidad</v>
      </c>
      <c r="N533" t="str">
        <f>IFERROR(INDEX(Diccionario!$N:$N,MATCH(F533,Diccionario!$C:$C,0)),"")</f>
        <v>Mensual</v>
      </c>
    </row>
    <row r="534" spans="1:14" ht="14.25" customHeight="1" x14ac:dyDescent="0.3">
      <c r="A534" t="s">
        <v>541</v>
      </c>
      <c r="B534" t="s">
        <v>522</v>
      </c>
      <c r="C534" t="s">
        <v>523</v>
      </c>
      <c r="D534" t="s">
        <v>451</v>
      </c>
      <c r="E534" t="s">
        <v>524</v>
      </c>
      <c r="F534" t="s">
        <v>318</v>
      </c>
      <c r="H534" t="s">
        <v>575</v>
      </c>
      <c r="I534">
        <v>15700000</v>
      </c>
      <c r="J534" t="s">
        <v>451</v>
      </c>
      <c r="L534" t="str">
        <f>IFERROR(INDEX(Diccionario!$B:$B,MATCH(F534,Diccionario!$C:$C,0)),"")</f>
        <v>Contabilidad</v>
      </c>
      <c r="M534" t="str">
        <f>IFERROR(INDEX(Diccionario!$H:$H,MATCH(F534,Diccionario!$C:$C,0)),"")</f>
        <v>Contabilidad</v>
      </c>
      <c r="N534" t="str">
        <f>IFERROR(INDEX(Diccionario!$N:$N,MATCH(F534,Diccionario!$C:$C,0)),"")</f>
        <v>Mensual</v>
      </c>
    </row>
    <row r="535" spans="1:14" ht="14.25" customHeight="1" x14ac:dyDescent="0.3">
      <c r="A535" t="s">
        <v>541</v>
      </c>
      <c r="B535" t="s">
        <v>522</v>
      </c>
      <c r="C535" t="s">
        <v>523</v>
      </c>
      <c r="D535" t="s">
        <v>451</v>
      </c>
      <c r="E535" t="s">
        <v>524</v>
      </c>
      <c r="F535" t="s">
        <v>318</v>
      </c>
      <c r="H535" t="s">
        <v>576</v>
      </c>
      <c r="I535">
        <v>17400000</v>
      </c>
      <c r="J535" t="s">
        <v>451</v>
      </c>
      <c r="L535" t="str">
        <f>IFERROR(INDEX(Diccionario!$B:$B,MATCH(F535,Diccionario!$C:$C,0)),"")</f>
        <v>Contabilidad</v>
      </c>
      <c r="M535" t="str">
        <f>IFERROR(INDEX(Diccionario!$H:$H,MATCH(F535,Diccionario!$C:$C,0)),"")</f>
        <v>Contabilidad</v>
      </c>
      <c r="N535" t="str">
        <f>IFERROR(INDEX(Diccionario!$N:$N,MATCH(F535,Diccionario!$C:$C,0)),"")</f>
        <v>Mensual</v>
      </c>
    </row>
    <row r="536" spans="1:14" ht="14.25" customHeight="1" x14ac:dyDescent="0.3">
      <c r="A536" t="s">
        <v>542</v>
      </c>
      <c r="B536" t="s">
        <v>522</v>
      </c>
      <c r="C536" t="s">
        <v>523</v>
      </c>
      <c r="D536" t="s">
        <v>451</v>
      </c>
      <c r="E536" t="s">
        <v>524</v>
      </c>
      <c r="F536" t="s">
        <v>318</v>
      </c>
      <c r="H536" t="s">
        <v>572</v>
      </c>
      <c r="I536">
        <v>50900000</v>
      </c>
      <c r="J536" t="s">
        <v>451</v>
      </c>
      <c r="L536" t="str">
        <f>IFERROR(INDEX(Diccionario!$B:$B,MATCH(F536,Diccionario!$C:$C,0)),"")</f>
        <v>Contabilidad</v>
      </c>
      <c r="M536" t="str">
        <f>IFERROR(INDEX(Diccionario!$H:$H,MATCH(F536,Diccionario!$C:$C,0)),"")</f>
        <v>Contabilidad</v>
      </c>
      <c r="N536" t="str">
        <f>IFERROR(INDEX(Diccionario!$N:$N,MATCH(F536,Diccionario!$C:$C,0)),"")</f>
        <v>Mensual</v>
      </c>
    </row>
    <row r="537" spans="1:14" ht="14.25" customHeight="1" x14ac:dyDescent="0.3">
      <c r="A537" t="s">
        <v>542</v>
      </c>
      <c r="B537" t="s">
        <v>522</v>
      </c>
      <c r="C537" t="s">
        <v>523</v>
      </c>
      <c r="D537" t="s">
        <v>451</v>
      </c>
      <c r="E537" t="s">
        <v>524</v>
      </c>
      <c r="F537" t="s">
        <v>318</v>
      </c>
      <c r="H537" t="s">
        <v>573</v>
      </c>
      <c r="I537">
        <v>0</v>
      </c>
      <c r="J537" t="s">
        <v>451</v>
      </c>
      <c r="L537" t="str">
        <f>IFERROR(INDEX(Diccionario!$B:$B,MATCH(F537,Diccionario!$C:$C,0)),"")</f>
        <v>Contabilidad</v>
      </c>
      <c r="M537" t="str">
        <f>IFERROR(INDEX(Diccionario!$H:$H,MATCH(F537,Diccionario!$C:$C,0)),"")</f>
        <v>Contabilidad</v>
      </c>
      <c r="N537" t="str">
        <f>IFERROR(INDEX(Diccionario!$N:$N,MATCH(F537,Diccionario!$C:$C,0)),"")</f>
        <v>Mensual</v>
      </c>
    </row>
    <row r="538" spans="1:14" ht="14.25" customHeight="1" x14ac:dyDescent="0.3">
      <c r="A538" t="s">
        <v>542</v>
      </c>
      <c r="B538" t="s">
        <v>522</v>
      </c>
      <c r="C538" t="s">
        <v>523</v>
      </c>
      <c r="D538" t="s">
        <v>451</v>
      </c>
      <c r="E538" t="s">
        <v>524</v>
      </c>
      <c r="F538" t="s">
        <v>318</v>
      </c>
      <c r="H538" t="s">
        <v>574</v>
      </c>
      <c r="I538">
        <v>30200000</v>
      </c>
      <c r="J538" t="s">
        <v>451</v>
      </c>
      <c r="L538" t="str">
        <f>IFERROR(INDEX(Diccionario!$B:$B,MATCH(F538,Diccionario!$C:$C,0)),"")</f>
        <v>Contabilidad</v>
      </c>
      <c r="M538" t="str">
        <f>IFERROR(INDEX(Diccionario!$H:$H,MATCH(F538,Diccionario!$C:$C,0)),"")</f>
        <v>Contabilidad</v>
      </c>
      <c r="N538" t="str">
        <f>IFERROR(INDEX(Diccionario!$N:$N,MATCH(F538,Diccionario!$C:$C,0)),"")</f>
        <v>Mensual</v>
      </c>
    </row>
    <row r="539" spans="1:14" ht="14.25" customHeight="1" x14ac:dyDescent="0.3">
      <c r="A539" t="s">
        <v>542</v>
      </c>
      <c r="B539" t="s">
        <v>522</v>
      </c>
      <c r="C539" t="s">
        <v>523</v>
      </c>
      <c r="D539" t="s">
        <v>451</v>
      </c>
      <c r="E539" t="s">
        <v>524</v>
      </c>
      <c r="F539" t="s">
        <v>318</v>
      </c>
      <c r="H539" t="s">
        <v>575</v>
      </c>
      <c r="I539">
        <v>15680000</v>
      </c>
      <c r="J539" t="s">
        <v>451</v>
      </c>
      <c r="L539" t="str">
        <f>IFERROR(INDEX(Diccionario!$B:$B,MATCH(F539,Diccionario!$C:$C,0)),"")</f>
        <v>Contabilidad</v>
      </c>
      <c r="M539" t="str">
        <f>IFERROR(INDEX(Diccionario!$H:$H,MATCH(F539,Diccionario!$C:$C,0)),"")</f>
        <v>Contabilidad</v>
      </c>
      <c r="N539" t="str">
        <f>IFERROR(INDEX(Diccionario!$N:$N,MATCH(F539,Diccionario!$C:$C,0)),"")</f>
        <v>Mensual</v>
      </c>
    </row>
    <row r="540" spans="1:14" ht="14.25" customHeight="1" x14ac:dyDescent="0.3">
      <c r="A540" t="s">
        <v>542</v>
      </c>
      <c r="B540" t="s">
        <v>522</v>
      </c>
      <c r="C540" t="s">
        <v>523</v>
      </c>
      <c r="D540" t="s">
        <v>451</v>
      </c>
      <c r="E540" t="s">
        <v>524</v>
      </c>
      <c r="F540" t="s">
        <v>318</v>
      </c>
      <c r="H540" t="s">
        <v>576</v>
      </c>
      <c r="I540">
        <v>22400000</v>
      </c>
      <c r="J540" t="s">
        <v>451</v>
      </c>
      <c r="L540" t="str">
        <f>IFERROR(INDEX(Diccionario!$B:$B,MATCH(F540,Diccionario!$C:$C,0)),"")</f>
        <v>Contabilidad</v>
      </c>
      <c r="M540" t="str">
        <f>IFERROR(INDEX(Diccionario!$H:$H,MATCH(F540,Diccionario!$C:$C,0)),"")</f>
        <v>Contabilidad</v>
      </c>
      <c r="N540" t="str">
        <f>IFERROR(INDEX(Diccionario!$N:$N,MATCH(F540,Diccionario!$C:$C,0)),"")</f>
        <v>Mensual</v>
      </c>
    </row>
    <row r="541" spans="1:14" ht="14.25" customHeight="1" x14ac:dyDescent="0.3">
      <c r="A541" t="s">
        <v>543</v>
      </c>
      <c r="B541" t="s">
        <v>522</v>
      </c>
      <c r="C541" t="s">
        <v>523</v>
      </c>
      <c r="D541" t="s">
        <v>451</v>
      </c>
      <c r="E541" t="s">
        <v>524</v>
      </c>
      <c r="F541" t="s">
        <v>318</v>
      </c>
      <c r="H541" t="s">
        <v>572</v>
      </c>
      <c r="I541">
        <v>213300000</v>
      </c>
      <c r="J541" t="s">
        <v>451</v>
      </c>
      <c r="L541" t="str">
        <f>IFERROR(INDEX(Diccionario!$B:$B,MATCH(F541,Diccionario!$C:$C,0)),"")</f>
        <v>Contabilidad</v>
      </c>
      <c r="M541" t="str">
        <f>IFERROR(INDEX(Diccionario!$H:$H,MATCH(F541,Diccionario!$C:$C,0)),"")</f>
        <v>Contabilidad</v>
      </c>
      <c r="N541" t="str">
        <f>IFERROR(INDEX(Diccionario!$N:$N,MATCH(F541,Diccionario!$C:$C,0)),"")</f>
        <v>Mensual</v>
      </c>
    </row>
    <row r="542" spans="1:14" ht="14.25" customHeight="1" x14ac:dyDescent="0.3">
      <c r="A542" t="s">
        <v>543</v>
      </c>
      <c r="B542" t="s">
        <v>522</v>
      </c>
      <c r="C542" t="s">
        <v>523</v>
      </c>
      <c r="D542" t="s">
        <v>451</v>
      </c>
      <c r="E542" t="s">
        <v>524</v>
      </c>
      <c r="F542" t="s">
        <v>318</v>
      </c>
      <c r="H542" t="s">
        <v>573</v>
      </c>
      <c r="I542">
        <v>0</v>
      </c>
      <c r="J542" t="s">
        <v>451</v>
      </c>
      <c r="L542" t="str">
        <f>IFERROR(INDEX(Diccionario!$B:$B,MATCH(F542,Diccionario!$C:$C,0)),"")</f>
        <v>Contabilidad</v>
      </c>
      <c r="M542" t="str">
        <f>IFERROR(INDEX(Diccionario!$H:$H,MATCH(F542,Diccionario!$C:$C,0)),"")</f>
        <v>Contabilidad</v>
      </c>
      <c r="N542" t="str">
        <f>IFERROR(INDEX(Diccionario!$N:$N,MATCH(F542,Diccionario!$C:$C,0)),"")</f>
        <v>Mensual</v>
      </c>
    </row>
    <row r="543" spans="1:14" ht="14.25" customHeight="1" x14ac:dyDescent="0.3">
      <c r="A543" t="s">
        <v>543</v>
      </c>
      <c r="B543" t="s">
        <v>522</v>
      </c>
      <c r="C543" t="s">
        <v>523</v>
      </c>
      <c r="D543" t="s">
        <v>451</v>
      </c>
      <c r="E543" t="s">
        <v>524</v>
      </c>
      <c r="F543" t="s">
        <v>318</v>
      </c>
      <c r="H543" t="s">
        <v>574</v>
      </c>
      <c r="I543">
        <v>62400000</v>
      </c>
      <c r="J543" t="s">
        <v>451</v>
      </c>
      <c r="L543" t="str">
        <f>IFERROR(INDEX(Diccionario!$B:$B,MATCH(F543,Diccionario!$C:$C,0)),"")</f>
        <v>Contabilidad</v>
      </c>
      <c r="M543" t="str">
        <f>IFERROR(INDEX(Diccionario!$H:$H,MATCH(F543,Diccionario!$C:$C,0)),"")</f>
        <v>Contabilidad</v>
      </c>
      <c r="N543" t="str">
        <f>IFERROR(INDEX(Diccionario!$N:$N,MATCH(F543,Diccionario!$C:$C,0)),"")</f>
        <v>Mensual</v>
      </c>
    </row>
    <row r="544" spans="1:14" ht="14.25" customHeight="1" x14ac:dyDescent="0.3">
      <c r="A544" t="s">
        <v>543</v>
      </c>
      <c r="B544" t="s">
        <v>522</v>
      </c>
      <c r="C544" t="s">
        <v>523</v>
      </c>
      <c r="D544" t="s">
        <v>451</v>
      </c>
      <c r="E544" t="s">
        <v>524</v>
      </c>
      <c r="F544" t="s">
        <v>318</v>
      </c>
      <c r="H544" t="s">
        <v>575</v>
      </c>
      <c r="I544">
        <v>16600000</v>
      </c>
      <c r="J544" t="s">
        <v>451</v>
      </c>
      <c r="L544" t="str">
        <f>IFERROR(INDEX(Diccionario!$B:$B,MATCH(F544,Diccionario!$C:$C,0)),"")</f>
        <v>Contabilidad</v>
      </c>
      <c r="M544" t="str">
        <f>IFERROR(INDEX(Diccionario!$H:$H,MATCH(F544,Diccionario!$C:$C,0)),"")</f>
        <v>Contabilidad</v>
      </c>
      <c r="N544" t="str">
        <f>IFERROR(INDEX(Diccionario!$N:$N,MATCH(F544,Diccionario!$C:$C,0)),"")</f>
        <v>Mensual</v>
      </c>
    </row>
    <row r="545" spans="1:14" ht="14.25" customHeight="1" x14ac:dyDescent="0.3">
      <c r="A545" t="s">
        <v>543</v>
      </c>
      <c r="B545" t="s">
        <v>522</v>
      </c>
      <c r="C545" t="s">
        <v>523</v>
      </c>
      <c r="D545" t="s">
        <v>451</v>
      </c>
      <c r="E545" t="s">
        <v>524</v>
      </c>
      <c r="F545" t="s">
        <v>318</v>
      </c>
      <c r="H545" t="s">
        <v>576</v>
      </c>
      <c r="I545">
        <v>9900000</v>
      </c>
      <c r="J545" t="s">
        <v>451</v>
      </c>
      <c r="L545" t="str">
        <f>IFERROR(INDEX(Diccionario!$B:$B,MATCH(F545,Diccionario!$C:$C,0)),"")</f>
        <v>Contabilidad</v>
      </c>
      <c r="M545" t="str">
        <f>IFERROR(INDEX(Diccionario!$H:$H,MATCH(F545,Diccionario!$C:$C,0)),"")</f>
        <v>Contabilidad</v>
      </c>
      <c r="N545" t="str">
        <f>IFERROR(INDEX(Diccionario!$N:$N,MATCH(F545,Diccionario!$C:$C,0)),"")</f>
        <v>Mensual</v>
      </c>
    </row>
    <row r="546" spans="1:14" ht="14.25" customHeight="1" x14ac:dyDescent="0.3">
      <c r="A546" t="s">
        <v>544</v>
      </c>
      <c r="B546" t="s">
        <v>522</v>
      </c>
      <c r="C546" t="s">
        <v>523</v>
      </c>
      <c r="D546" t="s">
        <v>451</v>
      </c>
      <c r="E546" t="s">
        <v>524</v>
      </c>
      <c r="F546" t="s">
        <v>318</v>
      </c>
      <c r="H546" t="s">
        <v>572</v>
      </c>
      <c r="I546">
        <v>0</v>
      </c>
      <c r="J546" t="s">
        <v>451</v>
      </c>
      <c r="L546" t="str">
        <f>IFERROR(INDEX(Diccionario!$B:$B,MATCH(F546,Diccionario!$C:$C,0)),"")</f>
        <v>Contabilidad</v>
      </c>
      <c r="M546" t="str">
        <f>IFERROR(INDEX(Diccionario!$H:$H,MATCH(F546,Diccionario!$C:$C,0)),"")</f>
        <v>Contabilidad</v>
      </c>
      <c r="N546" t="str">
        <f>IFERROR(INDEX(Diccionario!$N:$N,MATCH(F546,Diccionario!$C:$C,0)),"")</f>
        <v>Mensual</v>
      </c>
    </row>
    <row r="547" spans="1:14" ht="14.25" customHeight="1" x14ac:dyDescent="0.3">
      <c r="A547" t="s">
        <v>544</v>
      </c>
      <c r="B547" t="s">
        <v>522</v>
      </c>
      <c r="C547" t="s">
        <v>523</v>
      </c>
      <c r="D547" t="s">
        <v>451</v>
      </c>
      <c r="E547" t="s">
        <v>524</v>
      </c>
      <c r="F547" t="s">
        <v>318</v>
      </c>
      <c r="H547" t="s">
        <v>573</v>
      </c>
      <c r="I547">
        <v>0</v>
      </c>
      <c r="J547" t="s">
        <v>451</v>
      </c>
      <c r="L547" t="str">
        <f>IFERROR(INDEX(Diccionario!$B:$B,MATCH(F547,Diccionario!$C:$C,0)),"")</f>
        <v>Contabilidad</v>
      </c>
      <c r="M547" t="str">
        <f>IFERROR(INDEX(Diccionario!$H:$H,MATCH(F547,Diccionario!$C:$C,0)),"")</f>
        <v>Contabilidad</v>
      </c>
      <c r="N547" t="str">
        <f>IFERROR(INDEX(Diccionario!$N:$N,MATCH(F547,Diccionario!$C:$C,0)),"")</f>
        <v>Mensual</v>
      </c>
    </row>
    <row r="548" spans="1:14" ht="14.25" customHeight="1" x14ac:dyDescent="0.3">
      <c r="A548" t="s">
        <v>544</v>
      </c>
      <c r="B548" t="s">
        <v>522</v>
      </c>
      <c r="C548" t="s">
        <v>523</v>
      </c>
      <c r="D548" t="s">
        <v>451</v>
      </c>
      <c r="E548" t="s">
        <v>524</v>
      </c>
      <c r="F548" t="s">
        <v>318</v>
      </c>
      <c r="H548" t="s">
        <v>574</v>
      </c>
      <c r="I548">
        <v>30100000</v>
      </c>
      <c r="J548" t="s">
        <v>451</v>
      </c>
      <c r="L548" t="str">
        <f>IFERROR(INDEX(Diccionario!$B:$B,MATCH(F548,Diccionario!$C:$C,0)),"")</f>
        <v>Contabilidad</v>
      </c>
      <c r="M548" t="str">
        <f>IFERROR(INDEX(Diccionario!$H:$H,MATCH(F548,Diccionario!$C:$C,0)),"")</f>
        <v>Contabilidad</v>
      </c>
      <c r="N548" t="str">
        <f>IFERROR(INDEX(Diccionario!$N:$N,MATCH(F548,Diccionario!$C:$C,0)),"")</f>
        <v>Mensual</v>
      </c>
    </row>
    <row r="549" spans="1:14" ht="14.25" customHeight="1" x14ac:dyDescent="0.3">
      <c r="A549" t="s">
        <v>544</v>
      </c>
      <c r="B549" t="s">
        <v>522</v>
      </c>
      <c r="C549" t="s">
        <v>523</v>
      </c>
      <c r="D549" t="s">
        <v>451</v>
      </c>
      <c r="E549" t="s">
        <v>524</v>
      </c>
      <c r="F549" t="s">
        <v>318</v>
      </c>
      <c r="H549" t="s">
        <v>575</v>
      </c>
      <c r="I549">
        <v>12070000</v>
      </c>
      <c r="J549" t="s">
        <v>451</v>
      </c>
      <c r="L549" t="str">
        <f>IFERROR(INDEX(Diccionario!$B:$B,MATCH(F549,Diccionario!$C:$C,0)),"")</f>
        <v>Contabilidad</v>
      </c>
      <c r="M549" t="str">
        <f>IFERROR(INDEX(Diccionario!$H:$H,MATCH(F549,Diccionario!$C:$C,0)),"")</f>
        <v>Contabilidad</v>
      </c>
      <c r="N549" t="str">
        <f>IFERROR(INDEX(Diccionario!$N:$N,MATCH(F549,Diccionario!$C:$C,0)),"")</f>
        <v>Mensual</v>
      </c>
    </row>
    <row r="550" spans="1:14" ht="14.25" customHeight="1" x14ac:dyDescent="0.3">
      <c r="A550" t="s">
        <v>544</v>
      </c>
      <c r="B550" t="s">
        <v>522</v>
      </c>
      <c r="C550" t="s">
        <v>523</v>
      </c>
      <c r="D550" t="s">
        <v>451</v>
      </c>
      <c r="E550" t="s">
        <v>524</v>
      </c>
      <c r="F550" t="s">
        <v>318</v>
      </c>
      <c r="H550" t="s">
        <v>576</v>
      </c>
      <c r="I550">
        <v>7900000</v>
      </c>
      <c r="J550" t="s">
        <v>451</v>
      </c>
      <c r="L550" t="str">
        <f>IFERROR(INDEX(Diccionario!$B:$B,MATCH(F550,Diccionario!$C:$C,0)),"")</f>
        <v>Contabilidad</v>
      </c>
      <c r="M550" t="str">
        <f>IFERROR(INDEX(Diccionario!$H:$H,MATCH(F550,Diccionario!$C:$C,0)),"")</f>
        <v>Contabilidad</v>
      </c>
      <c r="N550" t="str">
        <f>IFERROR(INDEX(Diccionario!$N:$N,MATCH(F550,Diccionario!$C:$C,0)),"")</f>
        <v>Mensual</v>
      </c>
    </row>
    <row r="551" spans="1:14" ht="14.25" customHeight="1" x14ac:dyDescent="0.3">
      <c r="A551" t="s">
        <v>545</v>
      </c>
      <c r="B551" t="s">
        <v>522</v>
      </c>
      <c r="C551" t="s">
        <v>523</v>
      </c>
      <c r="D551" t="s">
        <v>451</v>
      </c>
      <c r="E551" t="s">
        <v>524</v>
      </c>
      <c r="F551" t="s">
        <v>318</v>
      </c>
      <c r="H551" t="s">
        <v>572</v>
      </c>
      <c r="I551">
        <v>0</v>
      </c>
      <c r="J551" t="s">
        <v>451</v>
      </c>
      <c r="L551" t="str">
        <f>IFERROR(INDEX(Diccionario!$B:$B,MATCH(F551,Diccionario!$C:$C,0)),"")</f>
        <v>Contabilidad</v>
      </c>
      <c r="M551" t="str">
        <f>IFERROR(INDEX(Diccionario!$H:$H,MATCH(F551,Diccionario!$C:$C,0)),"")</f>
        <v>Contabilidad</v>
      </c>
      <c r="N551" t="str">
        <f>IFERROR(INDEX(Diccionario!$N:$N,MATCH(F551,Diccionario!$C:$C,0)),"")</f>
        <v>Mensual</v>
      </c>
    </row>
    <row r="552" spans="1:14" ht="14.25" customHeight="1" x14ac:dyDescent="0.3">
      <c r="A552" t="s">
        <v>545</v>
      </c>
      <c r="B552" t="s">
        <v>522</v>
      </c>
      <c r="C552" t="s">
        <v>523</v>
      </c>
      <c r="D552" t="s">
        <v>451</v>
      </c>
      <c r="E552" t="s">
        <v>524</v>
      </c>
      <c r="F552" t="s">
        <v>318</v>
      </c>
      <c r="H552" t="s">
        <v>573</v>
      </c>
      <c r="I552">
        <v>0</v>
      </c>
      <c r="J552" t="s">
        <v>451</v>
      </c>
      <c r="L552" t="str">
        <f>IFERROR(INDEX(Diccionario!$B:$B,MATCH(F552,Diccionario!$C:$C,0)),"")</f>
        <v>Contabilidad</v>
      </c>
      <c r="M552" t="str">
        <f>IFERROR(INDEX(Diccionario!$H:$H,MATCH(F552,Diccionario!$C:$C,0)),"")</f>
        <v>Contabilidad</v>
      </c>
      <c r="N552" t="str">
        <f>IFERROR(INDEX(Diccionario!$N:$N,MATCH(F552,Diccionario!$C:$C,0)),"")</f>
        <v>Mensual</v>
      </c>
    </row>
    <row r="553" spans="1:14" ht="14.25" customHeight="1" x14ac:dyDescent="0.3">
      <c r="A553" t="s">
        <v>545</v>
      </c>
      <c r="B553" t="s">
        <v>522</v>
      </c>
      <c r="C553" t="s">
        <v>523</v>
      </c>
      <c r="D553" t="s">
        <v>451</v>
      </c>
      <c r="E553" t="s">
        <v>524</v>
      </c>
      <c r="F553" t="s">
        <v>318</v>
      </c>
      <c r="H553" t="s">
        <v>574</v>
      </c>
      <c r="I553">
        <v>75800000</v>
      </c>
      <c r="J553" t="s">
        <v>451</v>
      </c>
      <c r="L553" t="str">
        <f>IFERROR(INDEX(Diccionario!$B:$B,MATCH(F553,Diccionario!$C:$C,0)),"")</f>
        <v>Contabilidad</v>
      </c>
      <c r="M553" t="str">
        <f>IFERROR(INDEX(Diccionario!$H:$H,MATCH(F553,Diccionario!$C:$C,0)),"")</f>
        <v>Contabilidad</v>
      </c>
      <c r="N553" t="str">
        <f>IFERROR(INDEX(Diccionario!$N:$N,MATCH(F553,Diccionario!$C:$C,0)),"")</f>
        <v>Mensual</v>
      </c>
    </row>
    <row r="554" spans="1:14" ht="14.25" customHeight="1" x14ac:dyDescent="0.3">
      <c r="A554" t="s">
        <v>545</v>
      </c>
      <c r="B554" t="s">
        <v>522</v>
      </c>
      <c r="C554" t="s">
        <v>523</v>
      </c>
      <c r="D554" t="s">
        <v>451</v>
      </c>
      <c r="E554" t="s">
        <v>524</v>
      </c>
      <c r="F554" t="s">
        <v>318</v>
      </c>
      <c r="H554" t="s">
        <v>575</v>
      </c>
      <c r="I554">
        <v>10800000</v>
      </c>
      <c r="J554" t="s">
        <v>451</v>
      </c>
      <c r="L554" t="str">
        <f>IFERROR(INDEX(Diccionario!$B:$B,MATCH(F554,Diccionario!$C:$C,0)),"")</f>
        <v>Contabilidad</v>
      </c>
      <c r="M554" t="str">
        <f>IFERROR(INDEX(Diccionario!$H:$H,MATCH(F554,Diccionario!$C:$C,0)),"")</f>
        <v>Contabilidad</v>
      </c>
      <c r="N554" t="str">
        <f>IFERROR(INDEX(Diccionario!$N:$N,MATCH(F554,Diccionario!$C:$C,0)),"")</f>
        <v>Mensual</v>
      </c>
    </row>
    <row r="555" spans="1:14" ht="14.25" customHeight="1" x14ac:dyDescent="0.3">
      <c r="A555" t="s">
        <v>545</v>
      </c>
      <c r="B555" t="s">
        <v>522</v>
      </c>
      <c r="C555" t="s">
        <v>523</v>
      </c>
      <c r="D555" t="s">
        <v>451</v>
      </c>
      <c r="E555" t="s">
        <v>524</v>
      </c>
      <c r="F555" t="s">
        <v>318</v>
      </c>
      <c r="H555" t="s">
        <v>576</v>
      </c>
      <c r="I555">
        <v>14600000</v>
      </c>
      <c r="J555" t="s">
        <v>451</v>
      </c>
      <c r="L555" t="str">
        <f>IFERROR(INDEX(Diccionario!$B:$B,MATCH(F555,Diccionario!$C:$C,0)),"")</f>
        <v>Contabilidad</v>
      </c>
      <c r="M555" t="str">
        <f>IFERROR(INDEX(Diccionario!$H:$H,MATCH(F555,Diccionario!$C:$C,0)),"")</f>
        <v>Contabilidad</v>
      </c>
      <c r="N555" t="str">
        <f>IFERROR(INDEX(Diccionario!$N:$N,MATCH(F555,Diccionario!$C:$C,0)),"")</f>
        <v>Mensual</v>
      </c>
    </row>
    <row r="556" spans="1:14" ht="14.25" customHeight="1" x14ac:dyDescent="0.3">
      <c r="A556" t="s">
        <v>546</v>
      </c>
      <c r="B556" t="s">
        <v>522</v>
      </c>
      <c r="C556" t="s">
        <v>523</v>
      </c>
      <c r="D556" t="s">
        <v>451</v>
      </c>
      <c r="E556" t="s">
        <v>524</v>
      </c>
      <c r="F556" t="s">
        <v>318</v>
      </c>
      <c r="H556" t="s">
        <v>572</v>
      </c>
      <c r="I556">
        <v>104500000</v>
      </c>
      <c r="J556" t="s">
        <v>451</v>
      </c>
      <c r="L556" t="str">
        <f>IFERROR(INDEX(Diccionario!$B:$B,MATCH(F556,Diccionario!$C:$C,0)),"")</f>
        <v>Contabilidad</v>
      </c>
      <c r="M556" t="str">
        <f>IFERROR(INDEX(Diccionario!$H:$H,MATCH(F556,Diccionario!$C:$C,0)),"")</f>
        <v>Contabilidad</v>
      </c>
      <c r="N556" t="str">
        <f>IFERROR(INDEX(Diccionario!$N:$N,MATCH(F556,Diccionario!$C:$C,0)),"")</f>
        <v>Mensual</v>
      </c>
    </row>
    <row r="557" spans="1:14" ht="14.25" customHeight="1" x14ac:dyDescent="0.3">
      <c r="A557" t="s">
        <v>546</v>
      </c>
      <c r="B557" t="s">
        <v>522</v>
      </c>
      <c r="C557" t="s">
        <v>523</v>
      </c>
      <c r="D557" t="s">
        <v>451</v>
      </c>
      <c r="E557" t="s">
        <v>524</v>
      </c>
      <c r="F557" t="s">
        <v>318</v>
      </c>
      <c r="H557" t="s">
        <v>573</v>
      </c>
      <c r="I557">
        <v>0</v>
      </c>
      <c r="J557" t="s">
        <v>451</v>
      </c>
      <c r="L557" t="str">
        <f>IFERROR(INDEX(Diccionario!$B:$B,MATCH(F557,Diccionario!$C:$C,0)),"")</f>
        <v>Contabilidad</v>
      </c>
      <c r="M557" t="str">
        <f>IFERROR(INDEX(Diccionario!$H:$H,MATCH(F557,Diccionario!$C:$C,0)),"")</f>
        <v>Contabilidad</v>
      </c>
      <c r="N557" t="str">
        <f>IFERROR(INDEX(Diccionario!$N:$N,MATCH(F557,Diccionario!$C:$C,0)),"")</f>
        <v>Mensual</v>
      </c>
    </row>
    <row r="558" spans="1:14" ht="14.25" customHeight="1" x14ac:dyDescent="0.3">
      <c r="A558" t="s">
        <v>546</v>
      </c>
      <c r="B558" t="s">
        <v>522</v>
      </c>
      <c r="C558" t="s">
        <v>523</v>
      </c>
      <c r="D558" t="s">
        <v>451</v>
      </c>
      <c r="E558" t="s">
        <v>524</v>
      </c>
      <c r="F558" t="s">
        <v>318</v>
      </c>
      <c r="H558" t="s">
        <v>574</v>
      </c>
      <c r="I558">
        <v>30000000</v>
      </c>
      <c r="J558" t="s">
        <v>451</v>
      </c>
      <c r="L558" t="str">
        <f>IFERROR(INDEX(Diccionario!$B:$B,MATCH(F558,Diccionario!$C:$C,0)),"")</f>
        <v>Contabilidad</v>
      </c>
      <c r="M558" t="str">
        <f>IFERROR(INDEX(Diccionario!$H:$H,MATCH(F558,Diccionario!$C:$C,0)),"")</f>
        <v>Contabilidad</v>
      </c>
      <c r="N558" t="str">
        <f>IFERROR(INDEX(Diccionario!$N:$N,MATCH(F558,Diccionario!$C:$C,0)),"")</f>
        <v>Mensual</v>
      </c>
    </row>
    <row r="559" spans="1:14" ht="14.25" customHeight="1" x14ac:dyDescent="0.3">
      <c r="A559" t="s">
        <v>546</v>
      </c>
      <c r="B559" t="s">
        <v>522</v>
      </c>
      <c r="C559" t="s">
        <v>523</v>
      </c>
      <c r="D559" t="s">
        <v>451</v>
      </c>
      <c r="E559" t="s">
        <v>524</v>
      </c>
      <c r="F559" t="s">
        <v>318</v>
      </c>
      <c r="H559" t="s">
        <v>575</v>
      </c>
      <c r="I559">
        <v>14200000</v>
      </c>
      <c r="J559" t="s">
        <v>451</v>
      </c>
      <c r="L559" t="str">
        <f>IFERROR(INDEX(Diccionario!$B:$B,MATCH(F559,Diccionario!$C:$C,0)),"")</f>
        <v>Contabilidad</v>
      </c>
      <c r="M559" t="str">
        <f>IFERROR(INDEX(Diccionario!$H:$H,MATCH(F559,Diccionario!$C:$C,0)),"")</f>
        <v>Contabilidad</v>
      </c>
      <c r="N559" t="str">
        <f>IFERROR(INDEX(Diccionario!$N:$N,MATCH(F559,Diccionario!$C:$C,0)),"")</f>
        <v>Mensual</v>
      </c>
    </row>
    <row r="560" spans="1:14" ht="14.25" customHeight="1" x14ac:dyDescent="0.3">
      <c r="A560" t="s">
        <v>546</v>
      </c>
      <c r="B560" t="s">
        <v>522</v>
      </c>
      <c r="C560" t="s">
        <v>523</v>
      </c>
      <c r="D560" t="s">
        <v>451</v>
      </c>
      <c r="E560" t="s">
        <v>524</v>
      </c>
      <c r="F560" t="s">
        <v>318</v>
      </c>
      <c r="H560" t="s">
        <v>576</v>
      </c>
      <c r="I560">
        <v>24300000</v>
      </c>
      <c r="J560" t="s">
        <v>451</v>
      </c>
      <c r="L560" t="str">
        <f>IFERROR(INDEX(Diccionario!$B:$B,MATCH(F560,Diccionario!$C:$C,0)),"")</f>
        <v>Contabilidad</v>
      </c>
      <c r="M560" t="str">
        <f>IFERROR(INDEX(Diccionario!$H:$H,MATCH(F560,Diccionario!$C:$C,0)),"")</f>
        <v>Contabilidad</v>
      </c>
      <c r="N560" t="str">
        <f>IFERROR(INDEX(Diccionario!$N:$N,MATCH(F560,Diccionario!$C:$C,0)),"")</f>
        <v>Mensual</v>
      </c>
    </row>
    <row r="561" spans="1:14" ht="14.25" customHeight="1" x14ac:dyDescent="0.3">
      <c r="A561" t="s">
        <v>547</v>
      </c>
      <c r="B561" t="s">
        <v>522</v>
      </c>
      <c r="C561" t="s">
        <v>523</v>
      </c>
      <c r="D561" t="s">
        <v>451</v>
      </c>
      <c r="E561" t="s">
        <v>524</v>
      </c>
      <c r="F561" t="s">
        <v>318</v>
      </c>
      <c r="H561" t="s">
        <v>572</v>
      </c>
      <c r="I561">
        <v>230500000</v>
      </c>
      <c r="J561" t="s">
        <v>451</v>
      </c>
      <c r="L561" t="str">
        <f>IFERROR(INDEX(Diccionario!$B:$B,MATCH(F561,Diccionario!$C:$C,0)),"")</f>
        <v>Contabilidad</v>
      </c>
      <c r="M561" t="str">
        <f>IFERROR(INDEX(Diccionario!$H:$H,MATCH(F561,Diccionario!$C:$C,0)),"")</f>
        <v>Contabilidad</v>
      </c>
      <c r="N561" t="str">
        <f>IFERROR(INDEX(Diccionario!$N:$N,MATCH(F561,Diccionario!$C:$C,0)),"")</f>
        <v>Mensual</v>
      </c>
    </row>
    <row r="562" spans="1:14" ht="14.25" customHeight="1" x14ac:dyDescent="0.3">
      <c r="A562" t="s">
        <v>547</v>
      </c>
      <c r="B562" t="s">
        <v>522</v>
      </c>
      <c r="C562" t="s">
        <v>523</v>
      </c>
      <c r="D562" t="s">
        <v>451</v>
      </c>
      <c r="E562" t="s">
        <v>524</v>
      </c>
      <c r="F562" t="s">
        <v>318</v>
      </c>
      <c r="H562" t="s">
        <v>573</v>
      </c>
      <c r="I562">
        <v>0</v>
      </c>
      <c r="J562" t="s">
        <v>451</v>
      </c>
      <c r="L562" t="str">
        <f>IFERROR(INDEX(Diccionario!$B:$B,MATCH(F562,Diccionario!$C:$C,0)),"")</f>
        <v>Contabilidad</v>
      </c>
      <c r="M562" t="str">
        <f>IFERROR(INDEX(Diccionario!$H:$H,MATCH(F562,Diccionario!$C:$C,0)),"")</f>
        <v>Contabilidad</v>
      </c>
      <c r="N562" t="str">
        <f>IFERROR(INDEX(Diccionario!$N:$N,MATCH(F562,Diccionario!$C:$C,0)),"")</f>
        <v>Mensual</v>
      </c>
    </row>
    <row r="563" spans="1:14" ht="14.25" customHeight="1" x14ac:dyDescent="0.3">
      <c r="A563" t="s">
        <v>547</v>
      </c>
      <c r="B563" t="s">
        <v>522</v>
      </c>
      <c r="C563" t="s">
        <v>523</v>
      </c>
      <c r="D563" t="s">
        <v>451</v>
      </c>
      <c r="E563" t="s">
        <v>524</v>
      </c>
      <c r="F563" t="s">
        <v>318</v>
      </c>
      <c r="H563" t="s">
        <v>574</v>
      </c>
      <c r="I563">
        <v>12900000</v>
      </c>
      <c r="J563" t="s">
        <v>451</v>
      </c>
      <c r="L563" t="str">
        <f>IFERROR(INDEX(Diccionario!$B:$B,MATCH(F563,Diccionario!$C:$C,0)),"")</f>
        <v>Contabilidad</v>
      </c>
      <c r="M563" t="str">
        <f>IFERROR(INDEX(Diccionario!$H:$H,MATCH(F563,Diccionario!$C:$C,0)),"")</f>
        <v>Contabilidad</v>
      </c>
      <c r="N563" t="str">
        <f>IFERROR(INDEX(Diccionario!$N:$N,MATCH(F563,Diccionario!$C:$C,0)),"")</f>
        <v>Mensual</v>
      </c>
    </row>
    <row r="564" spans="1:14" ht="14.25" customHeight="1" x14ac:dyDescent="0.3">
      <c r="A564" t="s">
        <v>547</v>
      </c>
      <c r="B564" t="s">
        <v>522</v>
      </c>
      <c r="C564" t="s">
        <v>523</v>
      </c>
      <c r="D564" t="s">
        <v>451</v>
      </c>
      <c r="E564" t="s">
        <v>524</v>
      </c>
      <c r="F564" t="s">
        <v>318</v>
      </c>
      <c r="H564" t="s">
        <v>575</v>
      </c>
      <c r="I564">
        <v>15000000</v>
      </c>
      <c r="J564" t="s">
        <v>451</v>
      </c>
      <c r="L564" t="str">
        <f>IFERROR(INDEX(Diccionario!$B:$B,MATCH(F564,Diccionario!$C:$C,0)),"")</f>
        <v>Contabilidad</v>
      </c>
      <c r="M564" t="str">
        <f>IFERROR(INDEX(Diccionario!$H:$H,MATCH(F564,Diccionario!$C:$C,0)),"")</f>
        <v>Contabilidad</v>
      </c>
      <c r="N564" t="str">
        <f>IFERROR(INDEX(Diccionario!$N:$N,MATCH(F564,Diccionario!$C:$C,0)),"")</f>
        <v>Mensual</v>
      </c>
    </row>
    <row r="565" spans="1:14" ht="14.25" customHeight="1" x14ac:dyDescent="0.3">
      <c r="A565" t="s">
        <v>547</v>
      </c>
      <c r="B565" t="s">
        <v>522</v>
      </c>
      <c r="C565" t="s">
        <v>523</v>
      </c>
      <c r="D565" t="s">
        <v>451</v>
      </c>
      <c r="E565" t="s">
        <v>524</v>
      </c>
      <c r="F565" t="s">
        <v>318</v>
      </c>
      <c r="H565" t="s">
        <v>576</v>
      </c>
      <c r="I565">
        <v>19400000</v>
      </c>
      <c r="J565" t="s">
        <v>451</v>
      </c>
      <c r="L565" t="str">
        <f>IFERROR(INDEX(Diccionario!$B:$B,MATCH(F565,Diccionario!$C:$C,0)),"")</f>
        <v>Contabilidad</v>
      </c>
      <c r="M565" t="str">
        <f>IFERROR(INDEX(Diccionario!$H:$H,MATCH(F565,Diccionario!$C:$C,0)),"")</f>
        <v>Contabilidad</v>
      </c>
      <c r="N565" t="str">
        <f>IFERROR(INDEX(Diccionario!$N:$N,MATCH(F565,Diccionario!$C:$C,0)),"")</f>
        <v>Mensual</v>
      </c>
    </row>
    <row r="566" spans="1:14" ht="14.25" customHeight="1" x14ac:dyDescent="0.3">
      <c r="A566" t="s">
        <v>548</v>
      </c>
      <c r="B566" t="s">
        <v>522</v>
      </c>
      <c r="C566" t="s">
        <v>523</v>
      </c>
      <c r="D566" t="s">
        <v>451</v>
      </c>
      <c r="E566" t="s">
        <v>524</v>
      </c>
      <c r="F566" t="s">
        <v>318</v>
      </c>
      <c r="H566" t="s">
        <v>572</v>
      </c>
      <c r="I566">
        <v>107300000</v>
      </c>
      <c r="J566" t="s">
        <v>451</v>
      </c>
      <c r="L566" t="str">
        <f>IFERROR(INDEX(Diccionario!$B:$B,MATCH(F566,Diccionario!$C:$C,0)),"")</f>
        <v>Contabilidad</v>
      </c>
      <c r="M566" t="str">
        <f>IFERROR(INDEX(Diccionario!$H:$H,MATCH(F566,Diccionario!$C:$C,0)),"")</f>
        <v>Contabilidad</v>
      </c>
      <c r="N566" t="str">
        <f>IFERROR(INDEX(Diccionario!$N:$N,MATCH(F566,Diccionario!$C:$C,0)),"")</f>
        <v>Mensual</v>
      </c>
    </row>
    <row r="567" spans="1:14" ht="14.25" customHeight="1" x14ac:dyDescent="0.3">
      <c r="A567" t="s">
        <v>548</v>
      </c>
      <c r="B567" t="s">
        <v>522</v>
      </c>
      <c r="C567" t="s">
        <v>523</v>
      </c>
      <c r="D567" t="s">
        <v>451</v>
      </c>
      <c r="E567" t="s">
        <v>524</v>
      </c>
      <c r="F567" t="s">
        <v>318</v>
      </c>
      <c r="H567" t="s">
        <v>573</v>
      </c>
      <c r="I567">
        <v>0</v>
      </c>
      <c r="J567" t="s">
        <v>451</v>
      </c>
      <c r="L567" t="str">
        <f>IFERROR(INDEX(Diccionario!$B:$B,MATCH(F567,Diccionario!$C:$C,0)),"")</f>
        <v>Contabilidad</v>
      </c>
      <c r="M567" t="str">
        <f>IFERROR(INDEX(Diccionario!$H:$H,MATCH(F567,Diccionario!$C:$C,0)),"")</f>
        <v>Contabilidad</v>
      </c>
      <c r="N567" t="str">
        <f>IFERROR(INDEX(Diccionario!$N:$N,MATCH(F567,Diccionario!$C:$C,0)),"")</f>
        <v>Mensual</v>
      </c>
    </row>
    <row r="568" spans="1:14" ht="14.25" customHeight="1" x14ac:dyDescent="0.3">
      <c r="A568" t="s">
        <v>548</v>
      </c>
      <c r="B568" t="s">
        <v>522</v>
      </c>
      <c r="C568" t="s">
        <v>523</v>
      </c>
      <c r="D568" t="s">
        <v>451</v>
      </c>
      <c r="E568" t="s">
        <v>524</v>
      </c>
      <c r="F568" t="s">
        <v>318</v>
      </c>
      <c r="H568" t="s">
        <v>574</v>
      </c>
      <c r="I568">
        <v>25100000</v>
      </c>
      <c r="J568" t="s">
        <v>451</v>
      </c>
      <c r="L568" t="str">
        <f>IFERROR(INDEX(Diccionario!$B:$B,MATCH(F568,Diccionario!$C:$C,0)),"")</f>
        <v>Contabilidad</v>
      </c>
      <c r="M568" t="str">
        <f>IFERROR(INDEX(Diccionario!$H:$H,MATCH(F568,Diccionario!$C:$C,0)),"")</f>
        <v>Contabilidad</v>
      </c>
      <c r="N568" t="str">
        <f>IFERROR(INDEX(Diccionario!$N:$N,MATCH(F568,Diccionario!$C:$C,0)),"")</f>
        <v>Mensual</v>
      </c>
    </row>
    <row r="569" spans="1:14" ht="14.25" customHeight="1" x14ac:dyDescent="0.3">
      <c r="A569" t="s">
        <v>548</v>
      </c>
      <c r="B569" t="s">
        <v>522</v>
      </c>
      <c r="C569" t="s">
        <v>523</v>
      </c>
      <c r="D569" t="s">
        <v>451</v>
      </c>
      <c r="E569" t="s">
        <v>524</v>
      </c>
      <c r="F569" t="s">
        <v>318</v>
      </c>
      <c r="H569" t="s">
        <v>575</v>
      </c>
      <c r="I569">
        <v>16100000</v>
      </c>
      <c r="J569" t="s">
        <v>451</v>
      </c>
      <c r="L569" t="str">
        <f>IFERROR(INDEX(Diccionario!$B:$B,MATCH(F569,Diccionario!$C:$C,0)),"")</f>
        <v>Contabilidad</v>
      </c>
      <c r="M569" t="str">
        <f>IFERROR(INDEX(Diccionario!$H:$H,MATCH(F569,Diccionario!$C:$C,0)),"")</f>
        <v>Contabilidad</v>
      </c>
      <c r="N569" t="str">
        <f>IFERROR(INDEX(Diccionario!$N:$N,MATCH(F569,Diccionario!$C:$C,0)),"")</f>
        <v>Mensual</v>
      </c>
    </row>
    <row r="570" spans="1:14" ht="14.25" customHeight="1" x14ac:dyDescent="0.3">
      <c r="A570" t="s">
        <v>548</v>
      </c>
      <c r="B570" t="s">
        <v>522</v>
      </c>
      <c r="C570" t="s">
        <v>523</v>
      </c>
      <c r="D570" t="s">
        <v>451</v>
      </c>
      <c r="E570" t="s">
        <v>524</v>
      </c>
      <c r="F570" t="s">
        <v>318</v>
      </c>
      <c r="H570" t="s">
        <v>576</v>
      </c>
      <c r="I570">
        <v>9300000</v>
      </c>
      <c r="J570" t="s">
        <v>451</v>
      </c>
      <c r="L570" t="str">
        <f>IFERROR(INDEX(Diccionario!$B:$B,MATCH(F570,Diccionario!$C:$C,0)),"")</f>
        <v>Contabilidad</v>
      </c>
      <c r="M570" t="str">
        <f>IFERROR(INDEX(Diccionario!$H:$H,MATCH(F570,Diccionario!$C:$C,0)),"")</f>
        <v>Contabilidad</v>
      </c>
      <c r="N570" t="str">
        <f>IFERROR(INDEX(Diccionario!$N:$N,MATCH(F570,Diccionario!$C:$C,0)),"")</f>
        <v>Mensual</v>
      </c>
    </row>
    <row r="571" spans="1:14" ht="14.25" customHeight="1" x14ac:dyDescent="0.3">
      <c r="A571" t="s">
        <v>549</v>
      </c>
      <c r="B571" t="s">
        <v>522</v>
      </c>
      <c r="C571" t="s">
        <v>523</v>
      </c>
      <c r="D571" t="s">
        <v>451</v>
      </c>
      <c r="E571" t="s">
        <v>524</v>
      </c>
      <c r="F571" t="s">
        <v>318</v>
      </c>
      <c r="H571" t="s">
        <v>572</v>
      </c>
      <c r="I571">
        <v>0</v>
      </c>
      <c r="J571" t="s">
        <v>451</v>
      </c>
      <c r="L571" t="str">
        <f>IFERROR(INDEX(Diccionario!$B:$B,MATCH(F571,Diccionario!$C:$C,0)),"")</f>
        <v>Contabilidad</v>
      </c>
      <c r="M571" t="str">
        <f>IFERROR(INDEX(Diccionario!$H:$H,MATCH(F571,Diccionario!$C:$C,0)),"")</f>
        <v>Contabilidad</v>
      </c>
      <c r="N571" t="str">
        <f>IFERROR(INDEX(Diccionario!$N:$N,MATCH(F571,Diccionario!$C:$C,0)),"")</f>
        <v>Mensual</v>
      </c>
    </row>
    <row r="572" spans="1:14" ht="14.25" customHeight="1" x14ac:dyDescent="0.3">
      <c r="A572" t="s">
        <v>549</v>
      </c>
      <c r="B572" t="s">
        <v>522</v>
      </c>
      <c r="C572" t="s">
        <v>523</v>
      </c>
      <c r="D572" t="s">
        <v>451</v>
      </c>
      <c r="E572" t="s">
        <v>524</v>
      </c>
      <c r="F572" t="s">
        <v>318</v>
      </c>
      <c r="H572" t="s">
        <v>573</v>
      </c>
      <c r="I572">
        <v>0</v>
      </c>
      <c r="J572" t="s">
        <v>451</v>
      </c>
      <c r="L572" t="str">
        <f>IFERROR(INDEX(Diccionario!$B:$B,MATCH(F572,Diccionario!$C:$C,0)),"")</f>
        <v>Contabilidad</v>
      </c>
      <c r="M572" t="str">
        <f>IFERROR(INDEX(Diccionario!$H:$H,MATCH(F572,Diccionario!$C:$C,0)),"")</f>
        <v>Contabilidad</v>
      </c>
      <c r="N572" t="str">
        <f>IFERROR(INDEX(Diccionario!$N:$N,MATCH(F572,Diccionario!$C:$C,0)),"")</f>
        <v>Mensual</v>
      </c>
    </row>
    <row r="573" spans="1:14" ht="14.25" customHeight="1" x14ac:dyDescent="0.3">
      <c r="A573" t="s">
        <v>549</v>
      </c>
      <c r="B573" t="s">
        <v>522</v>
      </c>
      <c r="C573" t="s">
        <v>523</v>
      </c>
      <c r="D573" t="s">
        <v>451</v>
      </c>
      <c r="E573" t="s">
        <v>524</v>
      </c>
      <c r="F573" t="s">
        <v>318</v>
      </c>
      <c r="H573" t="s">
        <v>574</v>
      </c>
      <c r="I573">
        <v>33600000</v>
      </c>
      <c r="J573" t="s">
        <v>451</v>
      </c>
      <c r="L573" t="str">
        <f>IFERROR(INDEX(Diccionario!$B:$B,MATCH(F573,Diccionario!$C:$C,0)),"")</f>
        <v>Contabilidad</v>
      </c>
      <c r="M573" t="str">
        <f>IFERROR(INDEX(Diccionario!$H:$H,MATCH(F573,Diccionario!$C:$C,0)),"")</f>
        <v>Contabilidad</v>
      </c>
      <c r="N573" t="str">
        <f>IFERROR(INDEX(Diccionario!$N:$N,MATCH(F573,Diccionario!$C:$C,0)),"")</f>
        <v>Mensual</v>
      </c>
    </row>
    <row r="574" spans="1:14" ht="14.25" customHeight="1" x14ac:dyDescent="0.3">
      <c r="A574" t="s">
        <v>549</v>
      </c>
      <c r="B574" t="s">
        <v>522</v>
      </c>
      <c r="C574" t="s">
        <v>523</v>
      </c>
      <c r="D574" t="s">
        <v>451</v>
      </c>
      <c r="E574" t="s">
        <v>524</v>
      </c>
      <c r="F574" t="s">
        <v>318</v>
      </c>
      <c r="H574" t="s">
        <v>575</v>
      </c>
      <c r="I574">
        <v>17900000</v>
      </c>
      <c r="J574" t="s">
        <v>451</v>
      </c>
      <c r="L574" t="str">
        <f>IFERROR(INDEX(Diccionario!$B:$B,MATCH(F574,Diccionario!$C:$C,0)),"")</f>
        <v>Contabilidad</v>
      </c>
      <c r="M574" t="str">
        <f>IFERROR(INDEX(Diccionario!$H:$H,MATCH(F574,Diccionario!$C:$C,0)),"")</f>
        <v>Contabilidad</v>
      </c>
      <c r="N574" t="str">
        <f>IFERROR(INDEX(Diccionario!$N:$N,MATCH(F574,Diccionario!$C:$C,0)),"")</f>
        <v>Mensual</v>
      </c>
    </row>
    <row r="575" spans="1:14" ht="14.25" customHeight="1" x14ac:dyDescent="0.3">
      <c r="A575" t="s">
        <v>549</v>
      </c>
      <c r="B575" t="s">
        <v>522</v>
      </c>
      <c r="C575" t="s">
        <v>523</v>
      </c>
      <c r="D575" t="s">
        <v>451</v>
      </c>
      <c r="E575" t="s">
        <v>524</v>
      </c>
      <c r="F575" t="s">
        <v>318</v>
      </c>
      <c r="H575" t="s">
        <v>576</v>
      </c>
      <c r="I575">
        <v>15300000</v>
      </c>
      <c r="J575" t="s">
        <v>451</v>
      </c>
      <c r="L575" t="str">
        <f>IFERROR(INDEX(Diccionario!$B:$B,MATCH(F575,Diccionario!$C:$C,0)),"")</f>
        <v>Contabilidad</v>
      </c>
      <c r="M575" t="str">
        <f>IFERROR(INDEX(Diccionario!$H:$H,MATCH(F575,Diccionario!$C:$C,0)),"")</f>
        <v>Contabilidad</v>
      </c>
      <c r="N575" t="str">
        <f>IFERROR(INDEX(Diccionario!$N:$N,MATCH(F575,Diccionario!$C:$C,0)),"")</f>
        <v>Mensual</v>
      </c>
    </row>
    <row r="576" spans="1:14" ht="14.25" customHeight="1" x14ac:dyDescent="0.3">
      <c r="A576" t="s">
        <v>551</v>
      </c>
      <c r="B576" t="s">
        <v>522</v>
      </c>
      <c r="C576" t="s">
        <v>523</v>
      </c>
      <c r="D576" t="s">
        <v>451</v>
      </c>
      <c r="E576" t="s">
        <v>524</v>
      </c>
      <c r="F576" t="s">
        <v>318</v>
      </c>
      <c r="H576" t="s">
        <v>572</v>
      </c>
      <c r="I576">
        <v>106900000</v>
      </c>
      <c r="J576" t="s">
        <v>451</v>
      </c>
      <c r="L576" t="str">
        <f>IFERROR(INDEX(Diccionario!$B:$B,MATCH(F576,Diccionario!$C:$C,0)),"")</f>
        <v>Contabilidad</v>
      </c>
      <c r="M576" t="str">
        <f>IFERROR(INDEX(Diccionario!$H:$H,MATCH(F576,Diccionario!$C:$C,0)),"")</f>
        <v>Contabilidad</v>
      </c>
      <c r="N576" t="str">
        <f>IFERROR(INDEX(Diccionario!$N:$N,MATCH(F576,Diccionario!$C:$C,0)),"")</f>
        <v>Mensual</v>
      </c>
    </row>
    <row r="577" spans="1:14" ht="14.25" customHeight="1" x14ac:dyDescent="0.3">
      <c r="A577" t="s">
        <v>551</v>
      </c>
      <c r="B577" t="s">
        <v>522</v>
      </c>
      <c r="C577" t="s">
        <v>523</v>
      </c>
      <c r="D577" t="s">
        <v>451</v>
      </c>
      <c r="E577" t="s">
        <v>524</v>
      </c>
      <c r="F577" t="s">
        <v>318</v>
      </c>
      <c r="H577" t="s">
        <v>573</v>
      </c>
      <c r="I577">
        <v>0</v>
      </c>
      <c r="J577" t="s">
        <v>451</v>
      </c>
      <c r="L577" t="str">
        <f>IFERROR(INDEX(Diccionario!$B:$B,MATCH(F577,Diccionario!$C:$C,0)),"")</f>
        <v>Contabilidad</v>
      </c>
      <c r="M577" t="str">
        <f>IFERROR(INDEX(Diccionario!$H:$H,MATCH(F577,Diccionario!$C:$C,0)),"")</f>
        <v>Contabilidad</v>
      </c>
      <c r="N577" t="str">
        <f>IFERROR(INDEX(Diccionario!$N:$N,MATCH(F577,Diccionario!$C:$C,0)),"")</f>
        <v>Mensual</v>
      </c>
    </row>
    <row r="578" spans="1:14" ht="14.25" customHeight="1" x14ac:dyDescent="0.3">
      <c r="A578" t="s">
        <v>551</v>
      </c>
      <c r="B578" t="s">
        <v>522</v>
      </c>
      <c r="C578" t="s">
        <v>523</v>
      </c>
      <c r="D578" t="s">
        <v>451</v>
      </c>
      <c r="E578" t="s">
        <v>524</v>
      </c>
      <c r="F578" t="s">
        <v>318</v>
      </c>
      <c r="H578" t="s">
        <v>574</v>
      </c>
      <c r="I578">
        <v>25600000</v>
      </c>
      <c r="J578" t="s">
        <v>451</v>
      </c>
      <c r="L578" t="str">
        <f>IFERROR(INDEX(Diccionario!$B:$B,MATCH(F578,Diccionario!$C:$C,0)),"")</f>
        <v>Contabilidad</v>
      </c>
      <c r="M578" t="str">
        <f>IFERROR(INDEX(Diccionario!$H:$H,MATCH(F578,Diccionario!$C:$C,0)),"")</f>
        <v>Contabilidad</v>
      </c>
      <c r="N578" t="str">
        <f>IFERROR(INDEX(Diccionario!$N:$N,MATCH(F578,Diccionario!$C:$C,0)),"")</f>
        <v>Mensual</v>
      </c>
    </row>
    <row r="579" spans="1:14" ht="14.25" customHeight="1" x14ac:dyDescent="0.3">
      <c r="A579" t="s">
        <v>551</v>
      </c>
      <c r="B579" t="s">
        <v>522</v>
      </c>
      <c r="C579" t="s">
        <v>523</v>
      </c>
      <c r="D579" t="s">
        <v>451</v>
      </c>
      <c r="E579" t="s">
        <v>524</v>
      </c>
      <c r="F579" t="s">
        <v>318</v>
      </c>
      <c r="H579" t="s">
        <v>575</v>
      </c>
      <c r="I579">
        <v>19100000</v>
      </c>
      <c r="J579" t="s">
        <v>451</v>
      </c>
      <c r="L579" t="str">
        <f>IFERROR(INDEX(Diccionario!$B:$B,MATCH(F579,Diccionario!$C:$C,0)),"")</f>
        <v>Contabilidad</v>
      </c>
      <c r="M579" t="str">
        <f>IFERROR(INDEX(Diccionario!$H:$H,MATCH(F579,Diccionario!$C:$C,0)),"")</f>
        <v>Contabilidad</v>
      </c>
      <c r="N579" t="str">
        <f>IFERROR(INDEX(Diccionario!$N:$N,MATCH(F579,Diccionario!$C:$C,0)),"")</f>
        <v>Mensual</v>
      </c>
    </row>
    <row r="580" spans="1:14" ht="14.25" customHeight="1" x14ac:dyDescent="0.3">
      <c r="A580" t="s">
        <v>551</v>
      </c>
      <c r="B580" t="s">
        <v>522</v>
      </c>
      <c r="C580" t="s">
        <v>523</v>
      </c>
      <c r="D580" t="s">
        <v>451</v>
      </c>
      <c r="E580" t="s">
        <v>524</v>
      </c>
      <c r="F580" t="s">
        <v>318</v>
      </c>
      <c r="H580" t="s">
        <v>576</v>
      </c>
      <c r="I580">
        <v>25900000</v>
      </c>
      <c r="J580" t="s">
        <v>451</v>
      </c>
      <c r="L580" t="str">
        <f>IFERROR(INDEX(Diccionario!$B:$B,MATCH(F580,Diccionario!$C:$C,0)),"")</f>
        <v>Contabilidad</v>
      </c>
      <c r="M580" t="str">
        <f>IFERROR(INDEX(Diccionario!$H:$H,MATCH(F580,Diccionario!$C:$C,0)),"")</f>
        <v>Contabilidad</v>
      </c>
      <c r="N580" t="str">
        <f>IFERROR(INDEX(Diccionario!$N:$N,MATCH(F580,Diccionario!$C:$C,0)),"")</f>
        <v>Mensual</v>
      </c>
    </row>
    <row r="581" spans="1:14" ht="14.25" customHeight="1" x14ac:dyDescent="0.3">
      <c r="A581" t="s">
        <v>552</v>
      </c>
      <c r="B581" t="s">
        <v>522</v>
      </c>
      <c r="C581" t="s">
        <v>523</v>
      </c>
      <c r="D581" t="s">
        <v>451</v>
      </c>
      <c r="E581" t="s">
        <v>524</v>
      </c>
      <c r="F581" t="s">
        <v>318</v>
      </c>
      <c r="H581" t="s">
        <v>572</v>
      </c>
      <c r="I581">
        <v>219900000</v>
      </c>
      <c r="J581" t="s">
        <v>451</v>
      </c>
      <c r="L581" t="str">
        <f>IFERROR(INDEX(Diccionario!$B:$B,MATCH(F581,Diccionario!$C:$C,0)),"")</f>
        <v>Contabilidad</v>
      </c>
      <c r="M581" t="str">
        <f>IFERROR(INDEX(Diccionario!$H:$H,MATCH(F581,Diccionario!$C:$C,0)),"")</f>
        <v>Contabilidad</v>
      </c>
      <c r="N581" t="str">
        <f>IFERROR(INDEX(Diccionario!$N:$N,MATCH(F581,Diccionario!$C:$C,0)),"")</f>
        <v>Mensual</v>
      </c>
    </row>
    <row r="582" spans="1:14" ht="14.25" customHeight="1" x14ac:dyDescent="0.3">
      <c r="A582" t="s">
        <v>552</v>
      </c>
      <c r="B582" t="s">
        <v>522</v>
      </c>
      <c r="C582" t="s">
        <v>523</v>
      </c>
      <c r="D582" t="s">
        <v>451</v>
      </c>
      <c r="E582" t="s">
        <v>524</v>
      </c>
      <c r="F582" t="s">
        <v>318</v>
      </c>
      <c r="H582" t="s">
        <v>573</v>
      </c>
      <c r="I582">
        <v>0</v>
      </c>
      <c r="J582" t="s">
        <v>451</v>
      </c>
      <c r="L582" t="str">
        <f>IFERROR(INDEX(Diccionario!$B:$B,MATCH(F582,Diccionario!$C:$C,0)),"")</f>
        <v>Contabilidad</v>
      </c>
      <c r="M582" t="str">
        <f>IFERROR(INDEX(Diccionario!$H:$H,MATCH(F582,Diccionario!$C:$C,0)),"")</f>
        <v>Contabilidad</v>
      </c>
      <c r="N582" t="str">
        <f>IFERROR(INDEX(Diccionario!$N:$N,MATCH(F582,Diccionario!$C:$C,0)),"")</f>
        <v>Mensual</v>
      </c>
    </row>
    <row r="583" spans="1:14" ht="14.25" customHeight="1" x14ac:dyDescent="0.3">
      <c r="A583" t="s">
        <v>552</v>
      </c>
      <c r="B583" t="s">
        <v>522</v>
      </c>
      <c r="C583" t="s">
        <v>523</v>
      </c>
      <c r="D583" t="s">
        <v>451</v>
      </c>
      <c r="E583" t="s">
        <v>524</v>
      </c>
      <c r="F583" t="s">
        <v>318</v>
      </c>
      <c r="H583" t="s">
        <v>574</v>
      </c>
      <c r="I583">
        <v>27400000</v>
      </c>
      <c r="J583" t="s">
        <v>451</v>
      </c>
      <c r="L583" t="str">
        <f>IFERROR(INDEX(Diccionario!$B:$B,MATCH(F583,Diccionario!$C:$C,0)),"")</f>
        <v>Contabilidad</v>
      </c>
      <c r="M583" t="str">
        <f>IFERROR(INDEX(Diccionario!$H:$H,MATCH(F583,Diccionario!$C:$C,0)),"")</f>
        <v>Contabilidad</v>
      </c>
      <c r="N583" t="str">
        <f>IFERROR(INDEX(Diccionario!$N:$N,MATCH(F583,Diccionario!$C:$C,0)),"")</f>
        <v>Mensual</v>
      </c>
    </row>
    <row r="584" spans="1:14" ht="14.25" customHeight="1" x14ac:dyDescent="0.3">
      <c r="A584" t="s">
        <v>552</v>
      </c>
      <c r="B584" t="s">
        <v>522</v>
      </c>
      <c r="C584" t="s">
        <v>523</v>
      </c>
      <c r="D584" t="s">
        <v>451</v>
      </c>
      <c r="E584" t="s">
        <v>524</v>
      </c>
      <c r="F584" t="s">
        <v>318</v>
      </c>
      <c r="H584" t="s">
        <v>575</v>
      </c>
      <c r="I584">
        <v>21100000</v>
      </c>
      <c r="J584" t="s">
        <v>451</v>
      </c>
      <c r="L584" t="str">
        <f>IFERROR(INDEX(Diccionario!$B:$B,MATCH(F584,Diccionario!$C:$C,0)),"")</f>
        <v>Contabilidad</v>
      </c>
      <c r="M584" t="str">
        <f>IFERROR(INDEX(Diccionario!$H:$H,MATCH(F584,Diccionario!$C:$C,0)),"")</f>
        <v>Contabilidad</v>
      </c>
      <c r="N584" t="str">
        <f>IFERROR(INDEX(Diccionario!$N:$N,MATCH(F584,Diccionario!$C:$C,0)),"")</f>
        <v>Mensual</v>
      </c>
    </row>
    <row r="585" spans="1:14" ht="14.25" customHeight="1" x14ac:dyDescent="0.3">
      <c r="A585" t="s">
        <v>552</v>
      </c>
      <c r="B585" t="s">
        <v>522</v>
      </c>
      <c r="C585" t="s">
        <v>523</v>
      </c>
      <c r="D585" t="s">
        <v>451</v>
      </c>
      <c r="E585" t="s">
        <v>524</v>
      </c>
      <c r="F585" t="s">
        <v>318</v>
      </c>
      <c r="H585" t="s">
        <v>576</v>
      </c>
      <c r="I585">
        <v>6000000</v>
      </c>
      <c r="J585" t="s">
        <v>451</v>
      </c>
      <c r="L585" t="str">
        <f>IFERROR(INDEX(Diccionario!$B:$B,MATCH(F585,Diccionario!$C:$C,0)),"")</f>
        <v>Contabilidad</v>
      </c>
      <c r="M585" t="str">
        <f>IFERROR(INDEX(Diccionario!$H:$H,MATCH(F585,Diccionario!$C:$C,0)),"")</f>
        <v>Contabilidad</v>
      </c>
      <c r="N585" t="str">
        <f>IFERROR(INDEX(Diccionario!$N:$N,MATCH(F585,Diccionario!$C:$C,0)),"")</f>
        <v>Mensual</v>
      </c>
    </row>
    <row r="586" spans="1:14" ht="14.25" customHeight="1" x14ac:dyDescent="0.3">
      <c r="A586" t="s">
        <v>553</v>
      </c>
      <c r="B586" t="s">
        <v>522</v>
      </c>
      <c r="C586" t="s">
        <v>523</v>
      </c>
      <c r="D586" t="s">
        <v>451</v>
      </c>
      <c r="E586" t="s">
        <v>524</v>
      </c>
      <c r="F586" t="s">
        <v>318</v>
      </c>
      <c r="H586" t="s">
        <v>572</v>
      </c>
      <c r="I586">
        <v>111800000</v>
      </c>
      <c r="J586" t="s">
        <v>451</v>
      </c>
      <c r="L586" t="str">
        <f>IFERROR(INDEX(Diccionario!$B:$B,MATCH(F586,Diccionario!$C:$C,0)),"")</f>
        <v>Contabilidad</v>
      </c>
      <c r="M586" t="str">
        <f>IFERROR(INDEX(Diccionario!$H:$H,MATCH(F586,Diccionario!$C:$C,0)),"")</f>
        <v>Contabilidad</v>
      </c>
      <c r="N586" t="str">
        <f>IFERROR(INDEX(Diccionario!$N:$N,MATCH(F586,Diccionario!$C:$C,0)),"")</f>
        <v>Mensual</v>
      </c>
    </row>
    <row r="587" spans="1:14" ht="14.25" customHeight="1" x14ac:dyDescent="0.3">
      <c r="A587" t="s">
        <v>553</v>
      </c>
      <c r="B587" t="s">
        <v>522</v>
      </c>
      <c r="C587" t="s">
        <v>523</v>
      </c>
      <c r="D587" t="s">
        <v>451</v>
      </c>
      <c r="E587" t="s">
        <v>524</v>
      </c>
      <c r="F587" t="s">
        <v>318</v>
      </c>
      <c r="H587" t="s">
        <v>573</v>
      </c>
      <c r="I587">
        <v>0</v>
      </c>
      <c r="J587" t="s">
        <v>451</v>
      </c>
      <c r="L587" t="str">
        <f>IFERROR(INDEX(Diccionario!$B:$B,MATCH(F587,Diccionario!$C:$C,0)),"")</f>
        <v>Contabilidad</v>
      </c>
      <c r="M587" t="str">
        <f>IFERROR(INDEX(Diccionario!$H:$H,MATCH(F587,Diccionario!$C:$C,0)),"")</f>
        <v>Contabilidad</v>
      </c>
      <c r="N587" t="str">
        <f>IFERROR(INDEX(Diccionario!$N:$N,MATCH(F587,Diccionario!$C:$C,0)),"")</f>
        <v>Mensual</v>
      </c>
    </row>
    <row r="588" spans="1:14" ht="14.25" customHeight="1" x14ac:dyDescent="0.3">
      <c r="A588" t="s">
        <v>553</v>
      </c>
      <c r="B588" t="s">
        <v>522</v>
      </c>
      <c r="C588" t="s">
        <v>523</v>
      </c>
      <c r="D588" t="s">
        <v>451</v>
      </c>
      <c r="E588" t="s">
        <v>524</v>
      </c>
      <c r="F588" t="s">
        <v>318</v>
      </c>
      <c r="H588" t="s">
        <v>574</v>
      </c>
      <c r="I588">
        <v>32100000</v>
      </c>
      <c r="J588" t="s">
        <v>451</v>
      </c>
      <c r="L588" t="str">
        <f>IFERROR(INDEX(Diccionario!$B:$B,MATCH(F588,Diccionario!$C:$C,0)),"")</f>
        <v>Contabilidad</v>
      </c>
      <c r="M588" t="str">
        <f>IFERROR(INDEX(Diccionario!$H:$H,MATCH(F588,Diccionario!$C:$C,0)),"")</f>
        <v>Contabilidad</v>
      </c>
      <c r="N588" t="str">
        <f>IFERROR(INDEX(Diccionario!$N:$N,MATCH(F588,Diccionario!$C:$C,0)),"")</f>
        <v>Mensual</v>
      </c>
    </row>
    <row r="589" spans="1:14" ht="14.25" customHeight="1" x14ac:dyDescent="0.3">
      <c r="A589" t="s">
        <v>553</v>
      </c>
      <c r="B589" t="s">
        <v>522</v>
      </c>
      <c r="C589" t="s">
        <v>523</v>
      </c>
      <c r="D589" t="s">
        <v>451</v>
      </c>
      <c r="E589" t="s">
        <v>524</v>
      </c>
      <c r="F589" t="s">
        <v>318</v>
      </c>
      <c r="H589" t="s">
        <v>575</v>
      </c>
      <c r="I589">
        <v>21000000</v>
      </c>
      <c r="J589" t="s">
        <v>451</v>
      </c>
      <c r="L589" t="str">
        <f>IFERROR(INDEX(Diccionario!$B:$B,MATCH(F589,Diccionario!$C:$C,0)),"")</f>
        <v>Contabilidad</v>
      </c>
      <c r="M589" t="str">
        <f>IFERROR(INDEX(Diccionario!$H:$H,MATCH(F589,Diccionario!$C:$C,0)),"")</f>
        <v>Contabilidad</v>
      </c>
      <c r="N589" t="str">
        <f>IFERROR(INDEX(Diccionario!$N:$N,MATCH(F589,Diccionario!$C:$C,0)),"")</f>
        <v>Mensual</v>
      </c>
    </row>
    <row r="590" spans="1:14" ht="14.25" customHeight="1" x14ac:dyDescent="0.3">
      <c r="A590" t="s">
        <v>553</v>
      </c>
      <c r="B590" t="s">
        <v>522</v>
      </c>
      <c r="C590" t="s">
        <v>523</v>
      </c>
      <c r="D590" t="s">
        <v>451</v>
      </c>
      <c r="E590" t="s">
        <v>524</v>
      </c>
      <c r="F590" t="s">
        <v>318</v>
      </c>
      <c r="H590" t="s">
        <v>576</v>
      </c>
      <c r="I590">
        <v>29000000</v>
      </c>
      <c r="J590" t="s">
        <v>451</v>
      </c>
      <c r="L590" t="str">
        <f>IFERROR(INDEX(Diccionario!$B:$B,MATCH(F590,Diccionario!$C:$C,0)),"")</f>
        <v>Contabilidad</v>
      </c>
      <c r="M590" t="str">
        <f>IFERROR(INDEX(Diccionario!$H:$H,MATCH(F590,Diccionario!$C:$C,0)),"")</f>
        <v>Contabilidad</v>
      </c>
      <c r="N590" t="str">
        <f>IFERROR(INDEX(Diccionario!$N:$N,MATCH(F590,Diccionario!$C:$C,0)),"")</f>
        <v>Mensual</v>
      </c>
    </row>
    <row r="591" spans="1:14" ht="14.25" customHeight="1" x14ac:dyDescent="0.3">
      <c r="A591" t="s">
        <v>554</v>
      </c>
      <c r="B591" t="s">
        <v>522</v>
      </c>
      <c r="C591" t="s">
        <v>523</v>
      </c>
      <c r="D591" t="s">
        <v>451</v>
      </c>
      <c r="E591" t="s">
        <v>524</v>
      </c>
      <c r="F591" t="s">
        <v>318</v>
      </c>
      <c r="H591" t="s">
        <v>572</v>
      </c>
      <c r="I591">
        <v>112300000</v>
      </c>
      <c r="J591" t="s">
        <v>451</v>
      </c>
      <c r="L591" t="str">
        <f>IFERROR(INDEX(Diccionario!$B:$B,MATCH(F591,Diccionario!$C:$C,0)),"")</f>
        <v>Contabilidad</v>
      </c>
      <c r="M591" t="str">
        <f>IFERROR(INDEX(Diccionario!$H:$H,MATCH(F591,Diccionario!$C:$C,0)),"")</f>
        <v>Contabilidad</v>
      </c>
      <c r="N591" t="str">
        <f>IFERROR(INDEX(Diccionario!$N:$N,MATCH(F591,Diccionario!$C:$C,0)),"")</f>
        <v>Mensual</v>
      </c>
    </row>
    <row r="592" spans="1:14" ht="14.25" customHeight="1" x14ac:dyDescent="0.3">
      <c r="A592" t="s">
        <v>554</v>
      </c>
      <c r="B592" t="s">
        <v>522</v>
      </c>
      <c r="C592" t="s">
        <v>523</v>
      </c>
      <c r="D592" t="s">
        <v>451</v>
      </c>
      <c r="E592" t="s">
        <v>524</v>
      </c>
      <c r="F592" t="s">
        <v>318</v>
      </c>
      <c r="H592" t="s">
        <v>573</v>
      </c>
      <c r="I592">
        <v>0</v>
      </c>
      <c r="J592" t="s">
        <v>451</v>
      </c>
      <c r="L592" t="str">
        <f>IFERROR(INDEX(Diccionario!$B:$B,MATCH(F592,Diccionario!$C:$C,0)),"")</f>
        <v>Contabilidad</v>
      </c>
      <c r="M592" t="str">
        <f>IFERROR(INDEX(Diccionario!$H:$H,MATCH(F592,Diccionario!$C:$C,0)),"")</f>
        <v>Contabilidad</v>
      </c>
      <c r="N592" t="str">
        <f>IFERROR(INDEX(Diccionario!$N:$N,MATCH(F592,Diccionario!$C:$C,0)),"")</f>
        <v>Mensual</v>
      </c>
    </row>
    <row r="593" spans="1:14" ht="14.25" customHeight="1" x14ac:dyDescent="0.3">
      <c r="A593" t="s">
        <v>554</v>
      </c>
      <c r="B593" t="s">
        <v>522</v>
      </c>
      <c r="C593" t="s">
        <v>523</v>
      </c>
      <c r="D593" t="s">
        <v>451</v>
      </c>
      <c r="E593" t="s">
        <v>524</v>
      </c>
      <c r="F593" t="s">
        <v>318</v>
      </c>
      <c r="H593" t="s">
        <v>574</v>
      </c>
      <c r="I593">
        <v>34300000</v>
      </c>
      <c r="J593" t="s">
        <v>451</v>
      </c>
      <c r="L593" t="str">
        <f>IFERROR(INDEX(Diccionario!$B:$B,MATCH(F593,Diccionario!$C:$C,0)),"")</f>
        <v>Contabilidad</v>
      </c>
      <c r="M593" t="str">
        <f>IFERROR(INDEX(Diccionario!$H:$H,MATCH(F593,Diccionario!$C:$C,0)),"")</f>
        <v>Contabilidad</v>
      </c>
      <c r="N593" t="str">
        <f>IFERROR(INDEX(Diccionario!$N:$N,MATCH(F593,Diccionario!$C:$C,0)),"")</f>
        <v>Mensual</v>
      </c>
    </row>
    <row r="594" spans="1:14" ht="14.25" customHeight="1" x14ac:dyDescent="0.3">
      <c r="A594" t="s">
        <v>554</v>
      </c>
      <c r="B594" t="s">
        <v>522</v>
      </c>
      <c r="C594" t="s">
        <v>523</v>
      </c>
      <c r="D594" t="s">
        <v>451</v>
      </c>
      <c r="E594" t="s">
        <v>524</v>
      </c>
      <c r="F594" t="s">
        <v>318</v>
      </c>
      <c r="H594" t="s">
        <v>575</v>
      </c>
      <c r="I594">
        <v>21500000</v>
      </c>
      <c r="J594" t="s">
        <v>451</v>
      </c>
      <c r="L594" t="str">
        <f>IFERROR(INDEX(Diccionario!$B:$B,MATCH(F594,Diccionario!$C:$C,0)),"")</f>
        <v>Contabilidad</v>
      </c>
      <c r="M594" t="str">
        <f>IFERROR(INDEX(Diccionario!$H:$H,MATCH(F594,Diccionario!$C:$C,0)),"")</f>
        <v>Contabilidad</v>
      </c>
      <c r="N594" t="str">
        <f>IFERROR(INDEX(Diccionario!$N:$N,MATCH(F594,Diccionario!$C:$C,0)),"")</f>
        <v>Mensual</v>
      </c>
    </row>
    <row r="595" spans="1:14" ht="14.25" customHeight="1" x14ac:dyDescent="0.3">
      <c r="A595" t="s">
        <v>554</v>
      </c>
      <c r="B595" t="s">
        <v>522</v>
      </c>
      <c r="C595" t="s">
        <v>523</v>
      </c>
      <c r="D595" t="s">
        <v>451</v>
      </c>
      <c r="E595" t="s">
        <v>524</v>
      </c>
      <c r="F595" t="s">
        <v>318</v>
      </c>
      <c r="H595" t="s">
        <v>576</v>
      </c>
      <c r="I595">
        <v>18300000</v>
      </c>
      <c r="J595" t="s">
        <v>451</v>
      </c>
      <c r="L595" t="str">
        <f>IFERROR(INDEX(Diccionario!$B:$B,MATCH(F595,Diccionario!$C:$C,0)),"")</f>
        <v>Contabilidad</v>
      </c>
      <c r="M595" t="str">
        <f>IFERROR(INDEX(Diccionario!$H:$H,MATCH(F595,Diccionario!$C:$C,0)),"")</f>
        <v>Contabilidad</v>
      </c>
      <c r="N595" t="str">
        <f>IFERROR(INDEX(Diccionario!$N:$N,MATCH(F595,Diccionario!$C:$C,0)),"")</f>
        <v>Mensual</v>
      </c>
    </row>
    <row r="596" spans="1:14" ht="14.25" customHeight="1" x14ac:dyDescent="0.3">
      <c r="A596" t="s">
        <v>521</v>
      </c>
      <c r="B596" t="s">
        <v>522</v>
      </c>
      <c r="C596" t="s">
        <v>523</v>
      </c>
      <c r="D596" t="s">
        <v>451</v>
      </c>
      <c r="E596" t="s">
        <v>524</v>
      </c>
      <c r="F596" t="s">
        <v>314</v>
      </c>
      <c r="H596" t="s">
        <v>565</v>
      </c>
      <c r="I596">
        <v>44000000</v>
      </c>
      <c r="J596" t="s">
        <v>451</v>
      </c>
      <c r="L596" t="str">
        <f>IFERROR(INDEX(Diccionario!$B:$B,MATCH(F596,Diccionario!$C:$C,0)),"")</f>
        <v>Contabilidad</v>
      </c>
      <c r="M596" t="str">
        <f>IFERROR(INDEX(Diccionario!$H:$H,MATCH(F596,Diccionario!$C:$C,0)),"")</f>
        <v>Contabilidad</v>
      </c>
      <c r="N596" t="str">
        <f>IFERROR(INDEX(Diccionario!$N:$N,MATCH(F596,Diccionario!$C:$C,0)),"")</f>
        <v>Mensual</v>
      </c>
    </row>
    <row r="597" spans="1:14" ht="14.25" customHeight="1" x14ac:dyDescent="0.3">
      <c r="A597" t="s">
        <v>521</v>
      </c>
      <c r="B597" t="s">
        <v>522</v>
      </c>
      <c r="C597" t="s">
        <v>523</v>
      </c>
      <c r="D597" t="s">
        <v>451</v>
      </c>
      <c r="E597" t="s">
        <v>524</v>
      </c>
      <c r="F597" t="s">
        <v>314</v>
      </c>
      <c r="H597" t="s">
        <v>577</v>
      </c>
      <c r="I597">
        <v>7000000</v>
      </c>
      <c r="J597" t="s">
        <v>451</v>
      </c>
      <c r="L597" t="str">
        <f>IFERROR(INDEX(Diccionario!$B:$B,MATCH(F597,Diccionario!$C:$C,0)),"")</f>
        <v>Contabilidad</v>
      </c>
      <c r="M597" t="str">
        <f>IFERROR(INDEX(Diccionario!$H:$H,MATCH(F597,Diccionario!$C:$C,0)),"")</f>
        <v>Contabilidad</v>
      </c>
      <c r="N597" t="str">
        <f>IFERROR(INDEX(Diccionario!$N:$N,MATCH(F597,Diccionario!$C:$C,0)),"")</f>
        <v>Mensual</v>
      </c>
    </row>
    <row r="598" spans="1:14" ht="14.25" customHeight="1" x14ac:dyDescent="0.3">
      <c r="A598" t="s">
        <v>521</v>
      </c>
      <c r="B598" t="s">
        <v>522</v>
      </c>
      <c r="C598" t="s">
        <v>523</v>
      </c>
      <c r="D598" t="s">
        <v>451</v>
      </c>
      <c r="E598" t="s">
        <v>524</v>
      </c>
      <c r="F598" t="s">
        <v>314</v>
      </c>
      <c r="H598" t="s">
        <v>569</v>
      </c>
      <c r="I598">
        <v>5000000</v>
      </c>
      <c r="J598" t="s">
        <v>451</v>
      </c>
      <c r="L598" t="str">
        <f>IFERROR(INDEX(Diccionario!$B:$B,MATCH(F598,Diccionario!$C:$C,0)),"")</f>
        <v>Contabilidad</v>
      </c>
      <c r="M598" t="str">
        <f>IFERROR(INDEX(Diccionario!$H:$H,MATCH(F598,Diccionario!$C:$C,0)),"")</f>
        <v>Contabilidad</v>
      </c>
      <c r="N598" t="str">
        <f>IFERROR(INDEX(Diccionario!$N:$N,MATCH(F598,Diccionario!$C:$C,0)),"")</f>
        <v>Mensual</v>
      </c>
    </row>
    <row r="599" spans="1:14" ht="14.25" customHeight="1" x14ac:dyDescent="0.3">
      <c r="A599" t="s">
        <v>526</v>
      </c>
      <c r="B599" t="s">
        <v>522</v>
      </c>
      <c r="C599" t="s">
        <v>523</v>
      </c>
      <c r="D599" t="s">
        <v>451</v>
      </c>
      <c r="E599" t="s">
        <v>524</v>
      </c>
      <c r="F599" t="s">
        <v>314</v>
      </c>
      <c r="H599" t="s">
        <v>565</v>
      </c>
      <c r="I599">
        <v>45000000</v>
      </c>
      <c r="J599" t="s">
        <v>451</v>
      </c>
      <c r="L599" t="str">
        <f>IFERROR(INDEX(Diccionario!$B:$B,MATCH(F599,Diccionario!$C:$C,0)),"")</f>
        <v>Contabilidad</v>
      </c>
      <c r="M599" t="str">
        <f>IFERROR(INDEX(Diccionario!$H:$H,MATCH(F599,Diccionario!$C:$C,0)),"")</f>
        <v>Contabilidad</v>
      </c>
      <c r="N599" t="str">
        <f>IFERROR(INDEX(Diccionario!$N:$N,MATCH(F599,Diccionario!$C:$C,0)),"")</f>
        <v>Mensual</v>
      </c>
    </row>
    <row r="600" spans="1:14" ht="14.25" customHeight="1" x14ac:dyDescent="0.3">
      <c r="A600" t="s">
        <v>526</v>
      </c>
      <c r="B600" t="s">
        <v>522</v>
      </c>
      <c r="C600" t="s">
        <v>523</v>
      </c>
      <c r="D600" t="s">
        <v>451</v>
      </c>
      <c r="E600" t="s">
        <v>524</v>
      </c>
      <c r="F600" t="s">
        <v>314</v>
      </c>
      <c r="H600" t="s">
        <v>577</v>
      </c>
      <c r="I600">
        <v>0</v>
      </c>
      <c r="J600" t="s">
        <v>451</v>
      </c>
      <c r="L600" t="str">
        <f>IFERROR(INDEX(Diccionario!$B:$B,MATCH(F600,Diccionario!$C:$C,0)),"")</f>
        <v>Contabilidad</v>
      </c>
      <c r="M600" t="str">
        <f>IFERROR(INDEX(Diccionario!$H:$H,MATCH(F600,Diccionario!$C:$C,0)),"")</f>
        <v>Contabilidad</v>
      </c>
      <c r="N600" t="str">
        <f>IFERROR(INDEX(Diccionario!$N:$N,MATCH(F600,Diccionario!$C:$C,0)),"")</f>
        <v>Mensual</v>
      </c>
    </row>
    <row r="601" spans="1:14" ht="14.25" customHeight="1" x14ac:dyDescent="0.3">
      <c r="A601" t="s">
        <v>526</v>
      </c>
      <c r="B601" t="s">
        <v>522</v>
      </c>
      <c r="C601" t="s">
        <v>523</v>
      </c>
      <c r="D601" t="s">
        <v>451</v>
      </c>
      <c r="E601" t="s">
        <v>524</v>
      </c>
      <c r="F601" t="s">
        <v>314</v>
      </c>
      <c r="H601" t="s">
        <v>569</v>
      </c>
      <c r="I601">
        <v>6000000</v>
      </c>
      <c r="J601" t="s">
        <v>451</v>
      </c>
      <c r="L601" t="str">
        <f>IFERROR(INDEX(Diccionario!$B:$B,MATCH(F601,Diccionario!$C:$C,0)),"")</f>
        <v>Contabilidad</v>
      </c>
      <c r="M601" t="str">
        <f>IFERROR(INDEX(Diccionario!$H:$H,MATCH(F601,Diccionario!$C:$C,0)),"")</f>
        <v>Contabilidad</v>
      </c>
      <c r="N601" t="str">
        <f>IFERROR(INDEX(Diccionario!$N:$N,MATCH(F601,Diccionario!$C:$C,0)),"")</f>
        <v>Mensual</v>
      </c>
    </row>
    <row r="602" spans="1:14" ht="14.25" customHeight="1" x14ac:dyDescent="0.3">
      <c r="A602" t="s">
        <v>527</v>
      </c>
      <c r="B602" t="s">
        <v>522</v>
      </c>
      <c r="C602" t="s">
        <v>523</v>
      </c>
      <c r="D602" t="s">
        <v>451</v>
      </c>
      <c r="E602" t="s">
        <v>524</v>
      </c>
      <c r="F602" t="s">
        <v>314</v>
      </c>
      <c r="H602" t="s">
        <v>565</v>
      </c>
      <c r="I602">
        <v>54000000</v>
      </c>
      <c r="J602" t="s">
        <v>451</v>
      </c>
      <c r="L602" t="str">
        <f>IFERROR(INDEX(Diccionario!$B:$B,MATCH(F602,Diccionario!$C:$C,0)),"")</f>
        <v>Contabilidad</v>
      </c>
      <c r="M602" t="str">
        <f>IFERROR(INDEX(Diccionario!$H:$H,MATCH(F602,Diccionario!$C:$C,0)),"")</f>
        <v>Contabilidad</v>
      </c>
      <c r="N602" t="str">
        <f>IFERROR(INDEX(Diccionario!$N:$N,MATCH(F602,Diccionario!$C:$C,0)),"")</f>
        <v>Mensual</v>
      </c>
    </row>
    <row r="603" spans="1:14" ht="14.25" customHeight="1" x14ac:dyDescent="0.3">
      <c r="A603" t="s">
        <v>527</v>
      </c>
      <c r="B603" t="s">
        <v>522</v>
      </c>
      <c r="C603" t="s">
        <v>523</v>
      </c>
      <c r="D603" t="s">
        <v>451</v>
      </c>
      <c r="E603" t="s">
        <v>524</v>
      </c>
      <c r="F603" t="s">
        <v>314</v>
      </c>
      <c r="H603" t="s">
        <v>577</v>
      </c>
      <c r="I603">
        <v>1000000</v>
      </c>
      <c r="J603" t="s">
        <v>451</v>
      </c>
      <c r="L603" t="str">
        <f>IFERROR(INDEX(Diccionario!$B:$B,MATCH(F603,Diccionario!$C:$C,0)),"")</f>
        <v>Contabilidad</v>
      </c>
      <c r="M603" t="str">
        <f>IFERROR(INDEX(Diccionario!$H:$H,MATCH(F603,Diccionario!$C:$C,0)),"")</f>
        <v>Contabilidad</v>
      </c>
      <c r="N603" t="str">
        <f>IFERROR(INDEX(Diccionario!$N:$N,MATCH(F603,Diccionario!$C:$C,0)),"")</f>
        <v>Mensual</v>
      </c>
    </row>
    <row r="604" spans="1:14" ht="14.25" customHeight="1" x14ac:dyDescent="0.3">
      <c r="A604" t="s">
        <v>527</v>
      </c>
      <c r="B604" t="s">
        <v>522</v>
      </c>
      <c r="C604" t="s">
        <v>523</v>
      </c>
      <c r="D604" t="s">
        <v>451</v>
      </c>
      <c r="E604" t="s">
        <v>524</v>
      </c>
      <c r="F604" t="s">
        <v>314</v>
      </c>
      <c r="H604" t="s">
        <v>569</v>
      </c>
      <c r="I604">
        <v>4000000</v>
      </c>
      <c r="J604" t="s">
        <v>451</v>
      </c>
      <c r="L604" t="str">
        <f>IFERROR(INDEX(Diccionario!$B:$B,MATCH(F604,Diccionario!$C:$C,0)),"")</f>
        <v>Contabilidad</v>
      </c>
      <c r="M604" t="str">
        <f>IFERROR(INDEX(Diccionario!$H:$H,MATCH(F604,Diccionario!$C:$C,0)),"")</f>
        <v>Contabilidad</v>
      </c>
      <c r="N604" t="str">
        <f>IFERROR(INDEX(Diccionario!$N:$N,MATCH(F604,Diccionario!$C:$C,0)),"")</f>
        <v>Mensual</v>
      </c>
    </row>
    <row r="605" spans="1:14" ht="14.25" customHeight="1" x14ac:dyDescent="0.3">
      <c r="A605" t="s">
        <v>528</v>
      </c>
      <c r="B605" t="s">
        <v>522</v>
      </c>
      <c r="C605" t="s">
        <v>523</v>
      </c>
      <c r="D605" t="s">
        <v>451</v>
      </c>
      <c r="E605" t="s">
        <v>524</v>
      </c>
      <c r="F605" t="s">
        <v>314</v>
      </c>
      <c r="H605" t="s">
        <v>565</v>
      </c>
      <c r="I605">
        <v>46000000</v>
      </c>
      <c r="J605" t="s">
        <v>451</v>
      </c>
      <c r="L605" t="str">
        <f>IFERROR(INDEX(Diccionario!$B:$B,MATCH(F605,Diccionario!$C:$C,0)),"")</f>
        <v>Contabilidad</v>
      </c>
      <c r="M605" t="str">
        <f>IFERROR(INDEX(Diccionario!$H:$H,MATCH(F605,Diccionario!$C:$C,0)),"")</f>
        <v>Contabilidad</v>
      </c>
      <c r="N605" t="str">
        <f>IFERROR(INDEX(Diccionario!$N:$N,MATCH(F605,Diccionario!$C:$C,0)),"")</f>
        <v>Mensual</v>
      </c>
    </row>
    <row r="606" spans="1:14" ht="14.25" customHeight="1" x14ac:dyDescent="0.3">
      <c r="A606" t="s">
        <v>528</v>
      </c>
      <c r="B606" t="s">
        <v>522</v>
      </c>
      <c r="C606" t="s">
        <v>523</v>
      </c>
      <c r="D606" t="s">
        <v>451</v>
      </c>
      <c r="E606" t="s">
        <v>524</v>
      </c>
      <c r="F606" t="s">
        <v>314</v>
      </c>
      <c r="H606" t="s">
        <v>577</v>
      </c>
      <c r="I606">
        <v>1000000</v>
      </c>
      <c r="J606" t="s">
        <v>451</v>
      </c>
      <c r="L606" t="str">
        <f>IFERROR(INDEX(Diccionario!$B:$B,MATCH(F606,Diccionario!$C:$C,0)),"")</f>
        <v>Contabilidad</v>
      </c>
      <c r="M606" t="str">
        <f>IFERROR(INDEX(Diccionario!$H:$H,MATCH(F606,Diccionario!$C:$C,0)),"")</f>
        <v>Contabilidad</v>
      </c>
      <c r="N606" t="str">
        <f>IFERROR(INDEX(Diccionario!$N:$N,MATCH(F606,Diccionario!$C:$C,0)),"")</f>
        <v>Mensual</v>
      </c>
    </row>
    <row r="607" spans="1:14" ht="14.25" customHeight="1" x14ac:dyDescent="0.3">
      <c r="A607" t="s">
        <v>528</v>
      </c>
      <c r="B607" t="s">
        <v>522</v>
      </c>
      <c r="C607" t="s">
        <v>523</v>
      </c>
      <c r="D607" t="s">
        <v>451</v>
      </c>
      <c r="E607" t="s">
        <v>524</v>
      </c>
      <c r="F607" t="s">
        <v>314</v>
      </c>
      <c r="H607" t="s">
        <v>569</v>
      </c>
      <c r="I607">
        <v>3000000</v>
      </c>
      <c r="J607" t="s">
        <v>451</v>
      </c>
      <c r="L607" t="str">
        <f>IFERROR(INDEX(Diccionario!$B:$B,MATCH(F607,Diccionario!$C:$C,0)),"")</f>
        <v>Contabilidad</v>
      </c>
      <c r="M607" t="str">
        <f>IFERROR(INDEX(Diccionario!$H:$H,MATCH(F607,Diccionario!$C:$C,0)),"")</f>
        <v>Contabilidad</v>
      </c>
      <c r="N607" t="str">
        <f>IFERROR(INDEX(Diccionario!$N:$N,MATCH(F607,Diccionario!$C:$C,0)),"")</f>
        <v>Mensual</v>
      </c>
    </row>
    <row r="608" spans="1:14" ht="14.25" customHeight="1" x14ac:dyDescent="0.3">
      <c r="A608" t="s">
        <v>529</v>
      </c>
      <c r="B608" t="s">
        <v>522</v>
      </c>
      <c r="C608" t="s">
        <v>523</v>
      </c>
      <c r="D608" t="s">
        <v>451</v>
      </c>
      <c r="E608" t="s">
        <v>524</v>
      </c>
      <c r="F608" t="s">
        <v>314</v>
      </c>
      <c r="H608" t="s">
        <v>565</v>
      </c>
      <c r="I608">
        <v>47000000</v>
      </c>
      <c r="J608" t="s">
        <v>451</v>
      </c>
      <c r="L608" t="str">
        <f>IFERROR(INDEX(Diccionario!$B:$B,MATCH(F608,Diccionario!$C:$C,0)),"")</f>
        <v>Contabilidad</v>
      </c>
      <c r="M608" t="str">
        <f>IFERROR(INDEX(Diccionario!$H:$H,MATCH(F608,Diccionario!$C:$C,0)),"")</f>
        <v>Contabilidad</v>
      </c>
      <c r="N608" t="str">
        <f>IFERROR(INDEX(Diccionario!$N:$N,MATCH(F608,Diccionario!$C:$C,0)),"")</f>
        <v>Mensual</v>
      </c>
    </row>
    <row r="609" spans="1:14" ht="14.25" customHeight="1" x14ac:dyDescent="0.3">
      <c r="A609" t="s">
        <v>529</v>
      </c>
      <c r="B609" t="s">
        <v>522</v>
      </c>
      <c r="C609" t="s">
        <v>523</v>
      </c>
      <c r="D609" t="s">
        <v>451</v>
      </c>
      <c r="E609" t="s">
        <v>524</v>
      </c>
      <c r="F609" t="s">
        <v>314</v>
      </c>
      <c r="H609" t="s">
        <v>577</v>
      </c>
      <c r="I609">
        <v>1000000</v>
      </c>
      <c r="J609" t="s">
        <v>451</v>
      </c>
      <c r="L609" t="str">
        <f>IFERROR(INDEX(Diccionario!$B:$B,MATCH(F609,Diccionario!$C:$C,0)),"")</f>
        <v>Contabilidad</v>
      </c>
      <c r="M609" t="str">
        <f>IFERROR(INDEX(Diccionario!$H:$H,MATCH(F609,Diccionario!$C:$C,0)),"")</f>
        <v>Contabilidad</v>
      </c>
      <c r="N609" t="str">
        <f>IFERROR(INDEX(Diccionario!$N:$N,MATCH(F609,Diccionario!$C:$C,0)),"")</f>
        <v>Mensual</v>
      </c>
    </row>
    <row r="610" spans="1:14" ht="14.25" customHeight="1" x14ac:dyDescent="0.3">
      <c r="A610" t="s">
        <v>529</v>
      </c>
      <c r="B610" t="s">
        <v>522</v>
      </c>
      <c r="C610" t="s">
        <v>523</v>
      </c>
      <c r="D610" t="s">
        <v>451</v>
      </c>
      <c r="E610" t="s">
        <v>524</v>
      </c>
      <c r="F610" t="s">
        <v>314</v>
      </c>
      <c r="H610" t="s">
        <v>569</v>
      </c>
      <c r="I610">
        <v>7000000</v>
      </c>
      <c r="J610" t="s">
        <v>451</v>
      </c>
      <c r="L610" t="str">
        <f>IFERROR(INDEX(Diccionario!$B:$B,MATCH(F610,Diccionario!$C:$C,0)),"")</f>
        <v>Contabilidad</v>
      </c>
      <c r="M610" t="str">
        <f>IFERROR(INDEX(Diccionario!$H:$H,MATCH(F610,Diccionario!$C:$C,0)),"")</f>
        <v>Contabilidad</v>
      </c>
      <c r="N610" t="str">
        <f>IFERROR(INDEX(Diccionario!$N:$N,MATCH(F610,Diccionario!$C:$C,0)),"")</f>
        <v>Mensual</v>
      </c>
    </row>
    <row r="611" spans="1:14" ht="14.25" customHeight="1" x14ac:dyDescent="0.3">
      <c r="A611" t="s">
        <v>530</v>
      </c>
      <c r="B611" t="s">
        <v>522</v>
      </c>
      <c r="C611" t="s">
        <v>523</v>
      </c>
      <c r="D611" t="s">
        <v>451</v>
      </c>
      <c r="E611" t="s">
        <v>524</v>
      </c>
      <c r="F611" t="s">
        <v>314</v>
      </c>
      <c r="H611" t="s">
        <v>565</v>
      </c>
      <c r="I611">
        <v>47000000</v>
      </c>
      <c r="J611" t="s">
        <v>451</v>
      </c>
      <c r="L611" t="str">
        <f>IFERROR(INDEX(Diccionario!$B:$B,MATCH(F611,Diccionario!$C:$C,0)),"")</f>
        <v>Contabilidad</v>
      </c>
      <c r="M611" t="str">
        <f>IFERROR(INDEX(Diccionario!$H:$H,MATCH(F611,Diccionario!$C:$C,0)),"")</f>
        <v>Contabilidad</v>
      </c>
      <c r="N611" t="str">
        <f>IFERROR(INDEX(Diccionario!$N:$N,MATCH(F611,Diccionario!$C:$C,0)),"")</f>
        <v>Mensual</v>
      </c>
    </row>
    <row r="612" spans="1:14" ht="14.25" customHeight="1" x14ac:dyDescent="0.3">
      <c r="A612" t="s">
        <v>530</v>
      </c>
      <c r="B612" t="s">
        <v>522</v>
      </c>
      <c r="C612" t="s">
        <v>523</v>
      </c>
      <c r="D612" t="s">
        <v>451</v>
      </c>
      <c r="E612" t="s">
        <v>524</v>
      </c>
      <c r="F612" t="s">
        <v>314</v>
      </c>
      <c r="H612" t="s">
        <v>577</v>
      </c>
      <c r="I612">
        <v>1000000</v>
      </c>
      <c r="J612" t="s">
        <v>451</v>
      </c>
      <c r="L612" t="str">
        <f>IFERROR(INDEX(Diccionario!$B:$B,MATCH(F612,Diccionario!$C:$C,0)),"")</f>
        <v>Contabilidad</v>
      </c>
      <c r="M612" t="str">
        <f>IFERROR(INDEX(Diccionario!$H:$H,MATCH(F612,Diccionario!$C:$C,0)),"")</f>
        <v>Contabilidad</v>
      </c>
      <c r="N612" t="str">
        <f>IFERROR(INDEX(Diccionario!$N:$N,MATCH(F612,Diccionario!$C:$C,0)),"")</f>
        <v>Mensual</v>
      </c>
    </row>
    <row r="613" spans="1:14" ht="14.25" customHeight="1" x14ac:dyDescent="0.3">
      <c r="A613" t="s">
        <v>530</v>
      </c>
      <c r="B613" t="s">
        <v>522</v>
      </c>
      <c r="C613" t="s">
        <v>523</v>
      </c>
      <c r="D613" t="s">
        <v>451</v>
      </c>
      <c r="E613" t="s">
        <v>524</v>
      </c>
      <c r="F613" t="s">
        <v>314</v>
      </c>
      <c r="H613" t="s">
        <v>569</v>
      </c>
      <c r="I613">
        <v>5000000</v>
      </c>
      <c r="J613" t="s">
        <v>451</v>
      </c>
      <c r="L613" t="str">
        <f>IFERROR(INDEX(Diccionario!$B:$B,MATCH(F613,Diccionario!$C:$C,0)),"")</f>
        <v>Contabilidad</v>
      </c>
      <c r="M613" t="str">
        <f>IFERROR(INDEX(Diccionario!$H:$H,MATCH(F613,Diccionario!$C:$C,0)),"")</f>
        <v>Contabilidad</v>
      </c>
      <c r="N613" t="str">
        <f>IFERROR(INDEX(Diccionario!$N:$N,MATCH(F613,Diccionario!$C:$C,0)),"")</f>
        <v>Mensual</v>
      </c>
    </row>
    <row r="614" spans="1:14" ht="14.25" customHeight="1" x14ac:dyDescent="0.3">
      <c r="A614" t="s">
        <v>531</v>
      </c>
      <c r="B614" t="s">
        <v>522</v>
      </c>
      <c r="C614" t="s">
        <v>523</v>
      </c>
      <c r="D614" t="s">
        <v>451</v>
      </c>
      <c r="E614" t="s">
        <v>524</v>
      </c>
      <c r="F614" t="s">
        <v>314</v>
      </c>
      <c r="H614" t="s">
        <v>565</v>
      </c>
      <c r="I614">
        <v>61000000</v>
      </c>
      <c r="J614" t="s">
        <v>451</v>
      </c>
      <c r="L614" t="str">
        <f>IFERROR(INDEX(Diccionario!$B:$B,MATCH(F614,Diccionario!$C:$C,0)),"")</f>
        <v>Contabilidad</v>
      </c>
      <c r="M614" t="str">
        <f>IFERROR(INDEX(Diccionario!$H:$H,MATCH(F614,Diccionario!$C:$C,0)),"")</f>
        <v>Contabilidad</v>
      </c>
      <c r="N614" t="str">
        <f>IFERROR(INDEX(Diccionario!$N:$N,MATCH(F614,Diccionario!$C:$C,0)),"")</f>
        <v>Mensual</v>
      </c>
    </row>
    <row r="615" spans="1:14" ht="14.25" customHeight="1" x14ac:dyDescent="0.3">
      <c r="A615" t="s">
        <v>531</v>
      </c>
      <c r="B615" t="s">
        <v>522</v>
      </c>
      <c r="C615" t="s">
        <v>523</v>
      </c>
      <c r="D615" t="s">
        <v>451</v>
      </c>
      <c r="E615" t="s">
        <v>524</v>
      </c>
      <c r="F615" t="s">
        <v>314</v>
      </c>
      <c r="H615" t="s">
        <v>577</v>
      </c>
      <c r="I615">
        <v>1000000</v>
      </c>
      <c r="J615" t="s">
        <v>451</v>
      </c>
      <c r="L615" t="str">
        <f>IFERROR(INDEX(Diccionario!$B:$B,MATCH(F615,Diccionario!$C:$C,0)),"")</f>
        <v>Contabilidad</v>
      </c>
      <c r="M615" t="str">
        <f>IFERROR(INDEX(Diccionario!$H:$H,MATCH(F615,Diccionario!$C:$C,0)),"")</f>
        <v>Contabilidad</v>
      </c>
      <c r="N615" t="str">
        <f>IFERROR(INDEX(Diccionario!$N:$N,MATCH(F615,Diccionario!$C:$C,0)),"")</f>
        <v>Mensual</v>
      </c>
    </row>
    <row r="616" spans="1:14" ht="14.25" customHeight="1" x14ac:dyDescent="0.3">
      <c r="A616" t="s">
        <v>531</v>
      </c>
      <c r="B616" t="s">
        <v>522</v>
      </c>
      <c r="C616" t="s">
        <v>523</v>
      </c>
      <c r="D616" t="s">
        <v>451</v>
      </c>
      <c r="E616" t="s">
        <v>524</v>
      </c>
      <c r="F616" t="s">
        <v>314</v>
      </c>
      <c r="H616" t="s">
        <v>569</v>
      </c>
      <c r="I616">
        <v>5000000</v>
      </c>
      <c r="J616" t="s">
        <v>451</v>
      </c>
      <c r="L616" t="str">
        <f>IFERROR(INDEX(Diccionario!$B:$B,MATCH(F616,Diccionario!$C:$C,0)),"")</f>
        <v>Contabilidad</v>
      </c>
      <c r="M616" t="str">
        <f>IFERROR(INDEX(Diccionario!$H:$H,MATCH(F616,Diccionario!$C:$C,0)),"")</f>
        <v>Contabilidad</v>
      </c>
      <c r="N616" t="str">
        <f>IFERROR(INDEX(Diccionario!$N:$N,MATCH(F616,Diccionario!$C:$C,0)),"")</f>
        <v>Mensual</v>
      </c>
    </row>
    <row r="617" spans="1:14" ht="14.25" customHeight="1" x14ac:dyDescent="0.3">
      <c r="A617" t="s">
        <v>532</v>
      </c>
      <c r="B617" t="s">
        <v>522</v>
      </c>
      <c r="C617" t="s">
        <v>523</v>
      </c>
      <c r="D617" t="s">
        <v>451</v>
      </c>
      <c r="E617" t="s">
        <v>524</v>
      </c>
      <c r="F617" t="s">
        <v>314</v>
      </c>
      <c r="H617" t="s">
        <v>565</v>
      </c>
      <c r="I617">
        <v>57000000</v>
      </c>
      <c r="J617" t="s">
        <v>451</v>
      </c>
      <c r="L617" t="str">
        <f>IFERROR(INDEX(Diccionario!$B:$B,MATCH(F617,Diccionario!$C:$C,0)),"")</f>
        <v>Contabilidad</v>
      </c>
      <c r="M617" t="str">
        <f>IFERROR(INDEX(Diccionario!$H:$H,MATCH(F617,Diccionario!$C:$C,0)),"")</f>
        <v>Contabilidad</v>
      </c>
      <c r="N617" t="str">
        <f>IFERROR(INDEX(Diccionario!$N:$N,MATCH(F617,Diccionario!$C:$C,0)),"")</f>
        <v>Mensual</v>
      </c>
    </row>
    <row r="618" spans="1:14" ht="14.25" customHeight="1" x14ac:dyDescent="0.3">
      <c r="A618" t="s">
        <v>532</v>
      </c>
      <c r="B618" t="s">
        <v>522</v>
      </c>
      <c r="C618" t="s">
        <v>523</v>
      </c>
      <c r="D618" t="s">
        <v>451</v>
      </c>
      <c r="E618" t="s">
        <v>524</v>
      </c>
      <c r="F618" t="s">
        <v>314</v>
      </c>
      <c r="H618" t="s">
        <v>577</v>
      </c>
      <c r="I618">
        <v>1000000</v>
      </c>
      <c r="J618" t="s">
        <v>451</v>
      </c>
      <c r="L618" t="str">
        <f>IFERROR(INDEX(Diccionario!$B:$B,MATCH(F618,Diccionario!$C:$C,0)),"")</f>
        <v>Contabilidad</v>
      </c>
      <c r="M618" t="str">
        <f>IFERROR(INDEX(Diccionario!$H:$H,MATCH(F618,Diccionario!$C:$C,0)),"")</f>
        <v>Contabilidad</v>
      </c>
      <c r="N618" t="str">
        <f>IFERROR(INDEX(Diccionario!$N:$N,MATCH(F618,Diccionario!$C:$C,0)),"")</f>
        <v>Mensual</v>
      </c>
    </row>
    <row r="619" spans="1:14" ht="14.25" customHeight="1" x14ac:dyDescent="0.3">
      <c r="A619" t="s">
        <v>532</v>
      </c>
      <c r="B619" t="s">
        <v>522</v>
      </c>
      <c r="C619" t="s">
        <v>523</v>
      </c>
      <c r="D619" t="s">
        <v>451</v>
      </c>
      <c r="E619" t="s">
        <v>524</v>
      </c>
      <c r="F619" t="s">
        <v>314</v>
      </c>
      <c r="H619" t="s">
        <v>569</v>
      </c>
      <c r="I619">
        <v>5000000</v>
      </c>
      <c r="J619" t="s">
        <v>451</v>
      </c>
      <c r="L619" t="str">
        <f>IFERROR(INDEX(Diccionario!$B:$B,MATCH(F619,Diccionario!$C:$C,0)),"")</f>
        <v>Contabilidad</v>
      </c>
      <c r="M619" t="str">
        <f>IFERROR(INDEX(Diccionario!$H:$H,MATCH(F619,Diccionario!$C:$C,0)),"")</f>
        <v>Contabilidad</v>
      </c>
      <c r="N619" t="str">
        <f>IFERROR(INDEX(Diccionario!$N:$N,MATCH(F619,Diccionario!$C:$C,0)),"")</f>
        <v>Mensual</v>
      </c>
    </row>
    <row r="620" spans="1:14" ht="14.25" customHeight="1" x14ac:dyDescent="0.3">
      <c r="A620" t="s">
        <v>533</v>
      </c>
      <c r="B620" t="s">
        <v>522</v>
      </c>
      <c r="C620" t="s">
        <v>523</v>
      </c>
      <c r="D620" t="s">
        <v>451</v>
      </c>
      <c r="E620" t="s">
        <v>524</v>
      </c>
      <c r="F620" t="s">
        <v>314</v>
      </c>
      <c r="H620" t="s">
        <v>565</v>
      </c>
      <c r="I620">
        <v>62000000</v>
      </c>
      <c r="J620" t="s">
        <v>451</v>
      </c>
      <c r="L620" t="str">
        <f>IFERROR(INDEX(Diccionario!$B:$B,MATCH(F620,Diccionario!$C:$C,0)),"")</f>
        <v>Contabilidad</v>
      </c>
      <c r="M620" t="str">
        <f>IFERROR(INDEX(Diccionario!$H:$H,MATCH(F620,Diccionario!$C:$C,0)),"")</f>
        <v>Contabilidad</v>
      </c>
      <c r="N620" t="str">
        <f>IFERROR(INDEX(Diccionario!$N:$N,MATCH(F620,Diccionario!$C:$C,0)),"")</f>
        <v>Mensual</v>
      </c>
    </row>
    <row r="621" spans="1:14" ht="14.25" customHeight="1" x14ac:dyDescent="0.3">
      <c r="A621" t="s">
        <v>533</v>
      </c>
      <c r="B621" t="s">
        <v>522</v>
      </c>
      <c r="C621" t="s">
        <v>523</v>
      </c>
      <c r="D621" t="s">
        <v>451</v>
      </c>
      <c r="E621" t="s">
        <v>524</v>
      </c>
      <c r="F621" t="s">
        <v>314</v>
      </c>
      <c r="H621" t="s">
        <v>577</v>
      </c>
      <c r="I621">
        <v>3000000</v>
      </c>
      <c r="J621" t="s">
        <v>451</v>
      </c>
      <c r="L621" t="str">
        <f>IFERROR(INDEX(Diccionario!$B:$B,MATCH(F621,Diccionario!$C:$C,0)),"")</f>
        <v>Contabilidad</v>
      </c>
      <c r="M621" t="str">
        <f>IFERROR(INDEX(Diccionario!$H:$H,MATCH(F621,Diccionario!$C:$C,0)),"")</f>
        <v>Contabilidad</v>
      </c>
      <c r="N621" t="str">
        <f>IFERROR(INDEX(Diccionario!$N:$N,MATCH(F621,Diccionario!$C:$C,0)),"")</f>
        <v>Mensual</v>
      </c>
    </row>
    <row r="622" spans="1:14" ht="14.25" customHeight="1" x14ac:dyDescent="0.3">
      <c r="A622" t="s">
        <v>533</v>
      </c>
      <c r="B622" t="s">
        <v>522</v>
      </c>
      <c r="C622" t="s">
        <v>523</v>
      </c>
      <c r="D622" t="s">
        <v>451</v>
      </c>
      <c r="E622" t="s">
        <v>524</v>
      </c>
      <c r="F622" t="s">
        <v>314</v>
      </c>
      <c r="H622" t="s">
        <v>569</v>
      </c>
      <c r="I622">
        <v>1000000</v>
      </c>
      <c r="J622" t="s">
        <v>451</v>
      </c>
      <c r="L622" t="str">
        <f>IFERROR(INDEX(Diccionario!$B:$B,MATCH(F622,Diccionario!$C:$C,0)),"")</f>
        <v>Contabilidad</v>
      </c>
      <c r="M622" t="str">
        <f>IFERROR(INDEX(Diccionario!$H:$H,MATCH(F622,Diccionario!$C:$C,0)),"")</f>
        <v>Contabilidad</v>
      </c>
      <c r="N622" t="str">
        <f>IFERROR(INDEX(Diccionario!$N:$N,MATCH(F622,Diccionario!$C:$C,0)),"")</f>
        <v>Mensual</v>
      </c>
    </row>
    <row r="623" spans="1:14" ht="14.25" customHeight="1" x14ac:dyDescent="0.3">
      <c r="A623" t="s">
        <v>534</v>
      </c>
      <c r="B623" t="s">
        <v>522</v>
      </c>
      <c r="C623" t="s">
        <v>523</v>
      </c>
      <c r="D623" t="s">
        <v>451</v>
      </c>
      <c r="E623" t="s">
        <v>524</v>
      </c>
      <c r="F623" t="s">
        <v>314</v>
      </c>
      <c r="H623" t="s">
        <v>565</v>
      </c>
      <c r="I623">
        <v>62000000</v>
      </c>
      <c r="J623" t="s">
        <v>451</v>
      </c>
      <c r="L623" t="str">
        <f>IFERROR(INDEX(Diccionario!$B:$B,MATCH(F623,Diccionario!$C:$C,0)),"")</f>
        <v>Contabilidad</v>
      </c>
      <c r="M623" t="str">
        <f>IFERROR(INDEX(Diccionario!$H:$H,MATCH(F623,Diccionario!$C:$C,0)),"")</f>
        <v>Contabilidad</v>
      </c>
      <c r="N623" t="str">
        <f>IFERROR(INDEX(Diccionario!$N:$N,MATCH(F623,Diccionario!$C:$C,0)),"")</f>
        <v>Mensual</v>
      </c>
    </row>
    <row r="624" spans="1:14" ht="14.25" customHeight="1" x14ac:dyDescent="0.3">
      <c r="A624" t="s">
        <v>534</v>
      </c>
      <c r="B624" t="s">
        <v>522</v>
      </c>
      <c r="C624" t="s">
        <v>523</v>
      </c>
      <c r="D624" t="s">
        <v>451</v>
      </c>
      <c r="E624" t="s">
        <v>524</v>
      </c>
      <c r="F624" t="s">
        <v>314</v>
      </c>
      <c r="H624" t="s">
        <v>577</v>
      </c>
      <c r="I624">
        <v>5000000</v>
      </c>
      <c r="J624" t="s">
        <v>451</v>
      </c>
      <c r="L624" t="str">
        <f>IFERROR(INDEX(Diccionario!$B:$B,MATCH(F624,Diccionario!$C:$C,0)),"")</f>
        <v>Contabilidad</v>
      </c>
      <c r="M624" t="str">
        <f>IFERROR(INDEX(Diccionario!$H:$H,MATCH(F624,Diccionario!$C:$C,0)),"")</f>
        <v>Contabilidad</v>
      </c>
      <c r="N624" t="str">
        <f>IFERROR(INDEX(Diccionario!$N:$N,MATCH(F624,Diccionario!$C:$C,0)),"")</f>
        <v>Mensual</v>
      </c>
    </row>
    <row r="625" spans="1:14" ht="14.25" customHeight="1" x14ac:dyDescent="0.3">
      <c r="A625" t="s">
        <v>534</v>
      </c>
      <c r="B625" t="s">
        <v>522</v>
      </c>
      <c r="C625" t="s">
        <v>523</v>
      </c>
      <c r="D625" t="s">
        <v>451</v>
      </c>
      <c r="E625" t="s">
        <v>524</v>
      </c>
      <c r="F625" t="s">
        <v>314</v>
      </c>
      <c r="H625" t="s">
        <v>569</v>
      </c>
      <c r="I625">
        <v>6000000</v>
      </c>
      <c r="J625" t="s">
        <v>451</v>
      </c>
      <c r="L625" t="str">
        <f>IFERROR(INDEX(Diccionario!$B:$B,MATCH(F625,Diccionario!$C:$C,0)),"")</f>
        <v>Contabilidad</v>
      </c>
      <c r="M625" t="str">
        <f>IFERROR(INDEX(Diccionario!$H:$H,MATCH(F625,Diccionario!$C:$C,0)),"")</f>
        <v>Contabilidad</v>
      </c>
      <c r="N625" t="str">
        <f>IFERROR(INDEX(Diccionario!$N:$N,MATCH(F625,Diccionario!$C:$C,0)),"")</f>
        <v>Mensual</v>
      </c>
    </row>
    <row r="626" spans="1:14" ht="14.25" customHeight="1" x14ac:dyDescent="0.3">
      <c r="A626" t="s">
        <v>535</v>
      </c>
      <c r="B626" t="s">
        <v>522</v>
      </c>
      <c r="C626" t="s">
        <v>523</v>
      </c>
      <c r="D626" t="s">
        <v>451</v>
      </c>
      <c r="E626" t="s">
        <v>524</v>
      </c>
      <c r="F626" t="s">
        <v>314</v>
      </c>
      <c r="H626" t="s">
        <v>565</v>
      </c>
      <c r="I626">
        <v>66000000</v>
      </c>
      <c r="J626" t="s">
        <v>451</v>
      </c>
      <c r="L626" t="str">
        <f>IFERROR(INDEX(Diccionario!$B:$B,MATCH(F626,Diccionario!$C:$C,0)),"")</f>
        <v>Contabilidad</v>
      </c>
      <c r="M626" t="str">
        <f>IFERROR(INDEX(Diccionario!$H:$H,MATCH(F626,Diccionario!$C:$C,0)),"")</f>
        <v>Contabilidad</v>
      </c>
      <c r="N626" t="str">
        <f>IFERROR(INDEX(Diccionario!$N:$N,MATCH(F626,Diccionario!$C:$C,0)),"")</f>
        <v>Mensual</v>
      </c>
    </row>
    <row r="627" spans="1:14" ht="14.25" customHeight="1" x14ac:dyDescent="0.3">
      <c r="A627" t="s">
        <v>535</v>
      </c>
      <c r="B627" t="s">
        <v>522</v>
      </c>
      <c r="C627" t="s">
        <v>523</v>
      </c>
      <c r="D627" t="s">
        <v>451</v>
      </c>
      <c r="E627" t="s">
        <v>524</v>
      </c>
      <c r="F627" t="s">
        <v>314</v>
      </c>
      <c r="H627" t="s">
        <v>577</v>
      </c>
      <c r="I627">
        <v>7000000</v>
      </c>
      <c r="J627" t="s">
        <v>451</v>
      </c>
      <c r="L627" t="str">
        <f>IFERROR(INDEX(Diccionario!$B:$B,MATCH(F627,Diccionario!$C:$C,0)),"")</f>
        <v>Contabilidad</v>
      </c>
      <c r="M627" t="str">
        <f>IFERROR(INDEX(Diccionario!$H:$H,MATCH(F627,Diccionario!$C:$C,0)),"")</f>
        <v>Contabilidad</v>
      </c>
      <c r="N627" t="str">
        <f>IFERROR(INDEX(Diccionario!$N:$N,MATCH(F627,Diccionario!$C:$C,0)),"")</f>
        <v>Mensual</v>
      </c>
    </row>
    <row r="628" spans="1:14" ht="14.25" customHeight="1" x14ac:dyDescent="0.3">
      <c r="A628" t="s">
        <v>535</v>
      </c>
      <c r="B628" t="s">
        <v>522</v>
      </c>
      <c r="C628" t="s">
        <v>523</v>
      </c>
      <c r="D628" t="s">
        <v>451</v>
      </c>
      <c r="E628" t="s">
        <v>524</v>
      </c>
      <c r="F628" t="s">
        <v>314</v>
      </c>
      <c r="H628" t="s">
        <v>569</v>
      </c>
      <c r="I628">
        <v>6000000</v>
      </c>
      <c r="J628" t="s">
        <v>451</v>
      </c>
      <c r="L628" t="str">
        <f>IFERROR(INDEX(Diccionario!$B:$B,MATCH(F628,Diccionario!$C:$C,0)),"")</f>
        <v>Contabilidad</v>
      </c>
      <c r="M628" t="str">
        <f>IFERROR(INDEX(Diccionario!$H:$H,MATCH(F628,Diccionario!$C:$C,0)),"")</f>
        <v>Contabilidad</v>
      </c>
      <c r="N628" t="str">
        <f>IFERROR(INDEX(Diccionario!$N:$N,MATCH(F628,Diccionario!$C:$C,0)),"")</f>
        <v>Mensual</v>
      </c>
    </row>
    <row r="629" spans="1:14" ht="14.25" customHeight="1" x14ac:dyDescent="0.3">
      <c r="A629" t="s">
        <v>535</v>
      </c>
      <c r="B629" t="s">
        <v>522</v>
      </c>
      <c r="C629" t="s">
        <v>523</v>
      </c>
      <c r="D629" t="s">
        <v>451</v>
      </c>
      <c r="E629" t="s">
        <v>524</v>
      </c>
      <c r="F629" t="s">
        <v>314</v>
      </c>
      <c r="H629" t="s">
        <v>578</v>
      </c>
      <c r="I629">
        <v>2000000</v>
      </c>
      <c r="J629" t="s">
        <v>451</v>
      </c>
      <c r="L629" t="str">
        <f>IFERROR(INDEX(Diccionario!$B:$B,MATCH(F629,Diccionario!$C:$C,0)),"")</f>
        <v>Contabilidad</v>
      </c>
      <c r="M629" t="str">
        <f>IFERROR(INDEX(Diccionario!$H:$H,MATCH(F629,Diccionario!$C:$C,0)),"")</f>
        <v>Contabilidad</v>
      </c>
      <c r="N629" t="str">
        <f>IFERROR(INDEX(Diccionario!$N:$N,MATCH(F629,Diccionario!$C:$C,0)),"")</f>
        <v>Mensual</v>
      </c>
    </row>
    <row r="630" spans="1:14" ht="14.25" customHeight="1" x14ac:dyDescent="0.3">
      <c r="A630" t="s">
        <v>535</v>
      </c>
      <c r="B630" t="s">
        <v>522</v>
      </c>
      <c r="C630" t="s">
        <v>523</v>
      </c>
      <c r="D630" t="s">
        <v>451</v>
      </c>
      <c r="E630" t="s">
        <v>524</v>
      </c>
      <c r="F630" t="s">
        <v>314</v>
      </c>
      <c r="H630" t="s">
        <v>570</v>
      </c>
      <c r="I630">
        <v>11000000</v>
      </c>
      <c r="J630" t="s">
        <v>451</v>
      </c>
      <c r="L630" t="str">
        <f>IFERROR(INDEX(Diccionario!$B:$B,MATCH(F630,Diccionario!$C:$C,0)),"")</f>
        <v>Contabilidad</v>
      </c>
      <c r="M630" t="str">
        <f>IFERROR(INDEX(Diccionario!$H:$H,MATCH(F630,Diccionario!$C:$C,0)),"")</f>
        <v>Contabilidad</v>
      </c>
      <c r="N630" t="str">
        <f>IFERROR(INDEX(Diccionario!$N:$N,MATCH(F630,Diccionario!$C:$C,0)),"")</f>
        <v>Mensual</v>
      </c>
    </row>
    <row r="631" spans="1:14" ht="14.25" customHeight="1" x14ac:dyDescent="0.3">
      <c r="A631" t="s">
        <v>536</v>
      </c>
      <c r="B631" t="s">
        <v>522</v>
      </c>
      <c r="C631" t="s">
        <v>523</v>
      </c>
      <c r="D631" t="s">
        <v>451</v>
      </c>
      <c r="E631" t="s">
        <v>524</v>
      </c>
      <c r="F631" t="s">
        <v>314</v>
      </c>
      <c r="H631" t="s">
        <v>565</v>
      </c>
      <c r="I631">
        <v>66400000</v>
      </c>
      <c r="J631" t="s">
        <v>451</v>
      </c>
      <c r="L631" t="str">
        <f>IFERROR(INDEX(Diccionario!$B:$B,MATCH(F631,Diccionario!$C:$C,0)),"")</f>
        <v>Contabilidad</v>
      </c>
      <c r="M631" t="str">
        <f>IFERROR(INDEX(Diccionario!$H:$H,MATCH(F631,Diccionario!$C:$C,0)),"")</f>
        <v>Contabilidad</v>
      </c>
      <c r="N631" t="str">
        <f>IFERROR(INDEX(Diccionario!$N:$N,MATCH(F631,Diccionario!$C:$C,0)),"")</f>
        <v>Mensual</v>
      </c>
    </row>
    <row r="632" spans="1:14" ht="14.25" customHeight="1" x14ac:dyDescent="0.3">
      <c r="A632" t="s">
        <v>536</v>
      </c>
      <c r="B632" t="s">
        <v>522</v>
      </c>
      <c r="C632" t="s">
        <v>523</v>
      </c>
      <c r="D632" t="s">
        <v>451</v>
      </c>
      <c r="E632" t="s">
        <v>524</v>
      </c>
      <c r="F632" t="s">
        <v>314</v>
      </c>
      <c r="H632" t="s">
        <v>577</v>
      </c>
      <c r="I632">
        <v>3200000</v>
      </c>
      <c r="J632" t="s">
        <v>451</v>
      </c>
      <c r="L632" t="str">
        <f>IFERROR(INDEX(Diccionario!$B:$B,MATCH(F632,Diccionario!$C:$C,0)),"")</f>
        <v>Contabilidad</v>
      </c>
      <c r="M632" t="str">
        <f>IFERROR(INDEX(Diccionario!$H:$H,MATCH(F632,Diccionario!$C:$C,0)),"")</f>
        <v>Contabilidad</v>
      </c>
      <c r="N632" t="str">
        <f>IFERROR(INDEX(Diccionario!$N:$N,MATCH(F632,Diccionario!$C:$C,0)),"")</f>
        <v>Mensual</v>
      </c>
    </row>
    <row r="633" spans="1:14" ht="14.25" customHeight="1" x14ac:dyDescent="0.3">
      <c r="A633" t="s">
        <v>536</v>
      </c>
      <c r="B633" t="s">
        <v>522</v>
      </c>
      <c r="C633" t="s">
        <v>523</v>
      </c>
      <c r="D633" t="s">
        <v>451</v>
      </c>
      <c r="E633" t="s">
        <v>524</v>
      </c>
      <c r="F633" t="s">
        <v>314</v>
      </c>
      <c r="H633" t="s">
        <v>569</v>
      </c>
      <c r="I633">
        <v>33000000</v>
      </c>
      <c r="J633" t="s">
        <v>451</v>
      </c>
      <c r="L633" t="str">
        <f>IFERROR(INDEX(Diccionario!$B:$B,MATCH(F633,Diccionario!$C:$C,0)),"")</f>
        <v>Contabilidad</v>
      </c>
      <c r="M633" t="str">
        <f>IFERROR(INDEX(Diccionario!$H:$H,MATCH(F633,Diccionario!$C:$C,0)),"")</f>
        <v>Contabilidad</v>
      </c>
      <c r="N633" t="str">
        <f>IFERROR(INDEX(Diccionario!$N:$N,MATCH(F633,Diccionario!$C:$C,0)),"")</f>
        <v>Mensual</v>
      </c>
    </row>
    <row r="634" spans="1:14" ht="14.25" customHeight="1" x14ac:dyDescent="0.3">
      <c r="A634" t="s">
        <v>536</v>
      </c>
      <c r="B634" t="s">
        <v>522</v>
      </c>
      <c r="C634" t="s">
        <v>523</v>
      </c>
      <c r="D634" t="s">
        <v>451</v>
      </c>
      <c r="E634" t="s">
        <v>524</v>
      </c>
      <c r="F634" t="s">
        <v>314</v>
      </c>
      <c r="H634" t="s">
        <v>570</v>
      </c>
      <c r="I634">
        <v>5600000</v>
      </c>
      <c r="J634" t="s">
        <v>451</v>
      </c>
      <c r="L634" t="str">
        <f>IFERROR(INDEX(Diccionario!$B:$B,MATCH(F634,Diccionario!$C:$C,0)),"")</f>
        <v>Contabilidad</v>
      </c>
      <c r="M634" t="str">
        <f>IFERROR(INDEX(Diccionario!$H:$H,MATCH(F634,Diccionario!$C:$C,0)),"")</f>
        <v>Contabilidad</v>
      </c>
      <c r="N634" t="str">
        <f>IFERROR(INDEX(Diccionario!$N:$N,MATCH(F634,Diccionario!$C:$C,0)),"")</f>
        <v>Mensual</v>
      </c>
    </row>
    <row r="635" spans="1:14" ht="14.25" customHeight="1" x14ac:dyDescent="0.3">
      <c r="A635" t="s">
        <v>537</v>
      </c>
      <c r="B635" t="s">
        <v>522</v>
      </c>
      <c r="C635" t="s">
        <v>523</v>
      </c>
      <c r="D635" t="s">
        <v>451</v>
      </c>
      <c r="E635" t="s">
        <v>524</v>
      </c>
      <c r="F635" t="s">
        <v>314</v>
      </c>
      <c r="H635" t="s">
        <v>565</v>
      </c>
      <c r="I635">
        <v>87200000</v>
      </c>
      <c r="J635" t="s">
        <v>451</v>
      </c>
      <c r="L635" t="str">
        <f>IFERROR(INDEX(Diccionario!$B:$B,MATCH(F635,Diccionario!$C:$C,0)),"")</f>
        <v>Contabilidad</v>
      </c>
      <c r="M635" t="str">
        <f>IFERROR(INDEX(Diccionario!$H:$H,MATCH(F635,Diccionario!$C:$C,0)),"")</f>
        <v>Contabilidad</v>
      </c>
      <c r="N635" t="str">
        <f>IFERROR(INDEX(Diccionario!$N:$N,MATCH(F635,Diccionario!$C:$C,0)),"")</f>
        <v>Mensual</v>
      </c>
    </row>
    <row r="636" spans="1:14" ht="14.25" customHeight="1" x14ac:dyDescent="0.3">
      <c r="A636" t="s">
        <v>537</v>
      </c>
      <c r="B636" t="s">
        <v>522</v>
      </c>
      <c r="C636" t="s">
        <v>523</v>
      </c>
      <c r="D636" t="s">
        <v>451</v>
      </c>
      <c r="E636" t="s">
        <v>524</v>
      </c>
      <c r="F636" t="s">
        <v>314</v>
      </c>
      <c r="H636" t="s">
        <v>569</v>
      </c>
      <c r="I636">
        <v>4700000</v>
      </c>
      <c r="J636" t="s">
        <v>451</v>
      </c>
      <c r="L636" t="str">
        <f>IFERROR(INDEX(Diccionario!$B:$B,MATCH(F636,Diccionario!$C:$C,0)),"")</f>
        <v>Contabilidad</v>
      </c>
      <c r="M636" t="str">
        <f>IFERROR(INDEX(Diccionario!$H:$H,MATCH(F636,Diccionario!$C:$C,0)),"")</f>
        <v>Contabilidad</v>
      </c>
      <c r="N636" t="str">
        <f>IFERROR(INDEX(Diccionario!$N:$N,MATCH(F636,Diccionario!$C:$C,0)),"")</f>
        <v>Mensual</v>
      </c>
    </row>
    <row r="637" spans="1:14" ht="14.25" customHeight="1" x14ac:dyDescent="0.3">
      <c r="A637" t="s">
        <v>537</v>
      </c>
      <c r="B637" t="s">
        <v>522</v>
      </c>
      <c r="C637" t="s">
        <v>523</v>
      </c>
      <c r="D637" t="s">
        <v>451</v>
      </c>
      <c r="E637" t="s">
        <v>524</v>
      </c>
      <c r="F637" t="s">
        <v>314</v>
      </c>
      <c r="H637" t="s">
        <v>570</v>
      </c>
      <c r="I637">
        <v>18500000</v>
      </c>
      <c r="J637" t="s">
        <v>451</v>
      </c>
      <c r="L637" t="str">
        <f>IFERROR(INDEX(Diccionario!$B:$B,MATCH(F637,Diccionario!$C:$C,0)),"")</f>
        <v>Contabilidad</v>
      </c>
      <c r="M637" t="str">
        <f>IFERROR(INDEX(Diccionario!$H:$H,MATCH(F637,Diccionario!$C:$C,0)),"")</f>
        <v>Contabilidad</v>
      </c>
      <c r="N637" t="str">
        <f>IFERROR(INDEX(Diccionario!$N:$N,MATCH(F637,Diccionario!$C:$C,0)),"")</f>
        <v>Mensual</v>
      </c>
    </row>
    <row r="638" spans="1:14" ht="14.25" customHeight="1" x14ac:dyDescent="0.3">
      <c r="A638" t="s">
        <v>538</v>
      </c>
      <c r="B638" t="s">
        <v>522</v>
      </c>
      <c r="C638" t="s">
        <v>523</v>
      </c>
      <c r="D638" t="s">
        <v>451</v>
      </c>
      <c r="E638" t="s">
        <v>524</v>
      </c>
      <c r="F638" t="s">
        <v>314</v>
      </c>
      <c r="H638" t="s">
        <v>565</v>
      </c>
      <c r="I638">
        <v>100000000</v>
      </c>
      <c r="J638" t="s">
        <v>451</v>
      </c>
      <c r="L638" t="str">
        <f>IFERROR(INDEX(Diccionario!$B:$B,MATCH(F638,Diccionario!$C:$C,0)),"")</f>
        <v>Contabilidad</v>
      </c>
      <c r="M638" t="str">
        <f>IFERROR(INDEX(Diccionario!$H:$H,MATCH(F638,Diccionario!$C:$C,0)),"")</f>
        <v>Contabilidad</v>
      </c>
      <c r="N638" t="str">
        <f>IFERROR(INDEX(Diccionario!$N:$N,MATCH(F638,Diccionario!$C:$C,0)),"")</f>
        <v>Mensual</v>
      </c>
    </row>
    <row r="639" spans="1:14" ht="14.25" customHeight="1" x14ac:dyDescent="0.3">
      <c r="A639" t="s">
        <v>538</v>
      </c>
      <c r="B639" t="s">
        <v>522</v>
      </c>
      <c r="C639" t="s">
        <v>523</v>
      </c>
      <c r="D639" t="s">
        <v>451</v>
      </c>
      <c r="E639" t="s">
        <v>524</v>
      </c>
      <c r="F639" t="s">
        <v>314</v>
      </c>
      <c r="H639" t="s">
        <v>577</v>
      </c>
      <c r="I639">
        <v>8000000</v>
      </c>
      <c r="J639" t="s">
        <v>451</v>
      </c>
      <c r="L639" t="str">
        <f>IFERROR(INDEX(Diccionario!$B:$B,MATCH(F639,Diccionario!$C:$C,0)),"")</f>
        <v>Contabilidad</v>
      </c>
      <c r="M639" t="str">
        <f>IFERROR(INDEX(Diccionario!$H:$H,MATCH(F639,Diccionario!$C:$C,0)),"")</f>
        <v>Contabilidad</v>
      </c>
      <c r="N639" t="str">
        <f>IFERROR(INDEX(Diccionario!$N:$N,MATCH(F639,Diccionario!$C:$C,0)),"")</f>
        <v>Mensual</v>
      </c>
    </row>
    <row r="640" spans="1:14" ht="14.25" customHeight="1" x14ac:dyDescent="0.3">
      <c r="A640" t="s">
        <v>538</v>
      </c>
      <c r="B640" t="s">
        <v>522</v>
      </c>
      <c r="C640" t="s">
        <v>523</v>
      </c>
      <c r="D640" t="s">
        <v>451</v>
      </c>
      <c r="E640" t="s">
        <v>524</v>
      </c>
      <c r="F640" t="s">
        <v>314</v>
      </c>
      <c r="H640" t="s">
        <v>569</v>
      </c>
      <c r="I640">
        <v>5300000</v>
      </c>
      <c r="J640" t="s">
        <v>451</v>
      </c>
      <c r="L640" t="str">
        <f>IFERROR(INDEX(Diccionario!$B:$B,MATCH(F640,Diccionario!$C:$C,0)),"")</f>
        <v>Contabilidad</v>
      </c>
      <c r="M640" t="str">
        <f>IFERROR(INDEX(Diccionario!$H:$H,MATCH(F640,Diccionario!$C:$C,0)),"")</f>
        <v>Contabilidad</v>
      </c>
      <c r="N640" t="str">
        <f>IFERROR(INDEX(Diccionario!$N:$N,MATCH(F640,Diccionario!$C:$C,0)),"")</f>
        <v>Mensual</v>
      </c>
    </row>
    <row r="641" spans="1:14" ht="14.25" customHeight="1" x14ac:dyDescent="0.3">
      <c r="A641" t="s">
        <v>538</v>
      </c>
      <c r="B641" t="s">
        <v>522</v>
      </c>
      <c r="C641" t="s">
        <v>523</v>
      </c>
      <c r="D641" t="s">
        <v>451</v>
      </c>
      <c r="E641" t="s">
        <v>524</v>
      </c>
      <c r="F641" t="s">
        <v>314</v>
      </c>
      <c r="H641" t="s">
        <v>570</v>
      </c>
      <c r="I641">
        <v>5800000</v>
      </c>
      <c r="J641" t="s">
        <v>451</v>
      </c>
      <c r="L641" t="str">
        <f>IFERROR(INDEX(Diccionario!$B:$B,MATCH(F641,Diccionario!$C:$C,0)),"")</f>
        <v>Contabilidad</v>
      </c>
      <c r="M641" t="str">
        <f>IFERROR(INDEX(Diccionario!$H:$H,MATCH(F641,Diccionario!$C:$C,0)),"")</f>
        <v>Contabilidad</v>
      </c>
      <c r="N641" t="str">
        <f>IFERROR(INDEX(Diccionario!$N:$N,MATCH(F641,Diccionario!$C:$C,0)),"")</f>
        <v>Mensual</v>
      </c>
    </row>
    <row r="642" spans="1:14" ht="14.25" customHeight="1" x14ac:dyDescent="0.3">
      <c r="A642" t="s">
        <v>539</v>
      </c>
      <c r="B642" t="s">
        <v>522</v>
      </c>
      <c r="C642" t="s">
        <v>523</v>
      </c>
      <c r="D642" t="s">
        <v>451</v>
      </c>
      <c r="E642" t="s">
        <v>524</v>
      </c>
      <c r="F642" t="s">
        <v>314</v>
      </c>
      <c r="H642" t="s">
        <v>565</v>
      </c>
      <c r="I642">
        <v>73500000</v>
      </c>
      <c r="J642" t="s">
        <v>451</v>
      </c>
      <c r="L642" t="str">
        <f>IFERROR(INDEX(Diccionario!$B:$B,MATCH(F642,Diccionario!$C:$C,0)),"")</f>
        <v>Contabilidad</v>
      </c>
      <c r="M642" t="str">
        <f>IFERROR(INDEX(Diccionario!$H:$H,MATCH(F642,Diccionario!$C:$C,0)),"")</f>
        <v>Contabilidad</v>
      </c>
      <c r="N642" t="str">
        <f>IFERROR(INDEX(Diccionario!$N:$N,MATCH(F642,Diccionario!$C:$C,0)),"")</f>
        <v>Mensual</v>
      </c>
    </row>
    <row r="643" spans="1:14" ht="14.25" customHeight="1" x14ac:dyDescent="0.3">
      <c r="A643" t="s">
        <v>539</v>
      </c>
      <c r="B643" t="s">
        <v>522</v>
      </c>
      <c r="C643" t="s">
        <v>523</v>
      </c>
      <c r="D643" t="s">
        <v>451</v>
      </c>
      <c r="E643" t="s">
        <v>524</v>
      </c>
      <c r="F643" t="s">
        <v>314</v>
      </c>
      <c r="H643" t="s">
        <v>577</v>
      </c>
      <c r="I643">
        <v>300000</v>
      </c>
      <c r="J643" t="s">
        <v>451</v>
      </c>
      <c r="L643" t="str">
        <f>IFERROR(INDEX(Diccionario!$B:$B,MATCH(F643,Diccionario!$C:$C,0)),"")</f>
        <v>Contabilidad</v>
      </c>
      <c r="M643" t="str">
        <f>IFERROR(INDEX(Diccionario!$H:$H,MATCH(F643,Diccionario!$C:$C,0)),"")</f>
        <v>Contabilidad</v>
      </c>
      <c r="N643" t="str">
        <f>IFERROR(INDEX(Diccionario!$N:$N,MATCH(F643,Diccionario!$C:$C,0)),"")</f>
        <v>Mensual</v>
      </c>
    </row>
    <row r="644" spans="1:14" ht="14.25" customHeight="1" x14ac:dyDescent="0.3">
      <c r="A644" t="s">
        <v>539</v>
      </c>
      <c r="B644" t="s">
        <v>522</v>
      </c>
      <c r="C644" t="s">
        <v>523</v>
      </c>
      <c r="D644" t="s">
        <v>451</v>
      </c>
      <c r="E644" t="s">
        <v>524</v>
      </c>
      <c r="F644" t="s">
        <v>314</v>
      </c>
      <c r="H644" t="s">
        <v>569</v>
      </c>
      <c r="I644">
        <v>19000000</v>
      </c>
      <c r="J644" t="s">
        <v>451</v>
      </c>
      <c r="L644" t="str">
        <f>IFERROR(INDEX(Diccionario!$B:$B,MATCH(F644,Diccionario!$C:$C,0)),"")</f>
        <v>Contabilidad</v>
      </c>
      <c r="M644" t="str">
        <f>IFERROR(INDEX(Diccionario!$H:$H,MATCH(F644,Diccionario!$C:$C,0)),"")</f>
        <v>Contabilidad</v>
      </c>
      <c r="N644" t="str">
        <f>IFERROR(INDEX(Diccionario!$N:$N,MATCH(F644,Diccionario!$C:$C,0)),"")</f>
        <v>Mensual</v>
      </c>
    </row>
    <row r="645" spans="1:14" ht="14.25" customHeight="1" x14ac:dyDescent="0.3">
      <c r="A645" t="s">
        <v>539</v>
      </c>
      <c r="B645" t="s">
        <v>522</v>
      </c>
      <c r="C645" t="s">
        <v>523</v>
      </c>
      <c r="D645" t="s">
        <v>451</v>
      </c>
      <c r="E645" t="s">
        <v>524</v>
      </c>
      <c r="F645" t="s">
        <v>314</v>
      </c>
      <c r="H645" t="s">
        <v>578</v>
      </c>
      <c r="I645">
        <v>0</v>
      </c>
      <c r="J645" t="s">
        <v>451</v>
      </c>
      <c r="L645" t="str">
        <f>IFERROR(INDEX(Diccionario!$B:$B,MATCH(F645,Diccionario!$C:$C,0)),"")</f>
        <v>Contabilidad</v>
      </c>
      <c r="M645" t="str">
        <f>IFERROR(INDEX(Diccionario!$H:$H,MATCH(F645,Diccionario!$C:$C,0)),"")</f>
        <v>Contabilidad</v>
      </c>
      <c r="N645" t="str">
        <f>IFERROR(INDEX(Diccionario!$N:$N,MATCH(F645,Diccionario!$C:$C,0)),"")</f>
        <v>Mensual</v>
      </c>
    </row>
    <row r="646" spans="1:14" ht="14.25" customHeight="1" x14ac:dyDescent="0.3">
      <c r="A646" t="s">
        <v>539</v>
      </c>
      <c r="B646" t="s">
        <v>522</v>
      </c>
      <c r="C646" t="s">
        <v>523</v>
      </c>
      <c r="D646" t="s">
        <v>451</v>
      </c>
      <c r="E646" t="s">
        <v>524</v>
      </c>
      <c r="F646" t="s">
        <v>314</v>
      </c>
      <c r="H646" t="s">
        <v>570</v>
      </c>
      <c r="I646">
        <v>13800000</v>
      </c>
      <c r="J646" t="s">
        <v>451</v>
      </c>
      <c r="L646" t="str">
        <f>IFERROR(INDEX(Diccionario!$B:$B,MATCH(F646,Diccionario!$C:$C,0)),"")</f>
        <v>Contabilidad</v>
      </c>
      <c r="M646" t="str">
        <f>IFERROR(INDEX(Diccionario!$H:$H,MATCH(F646,Diccionario!$C:$C,0)),"")</f>
        <v>Contabilidad</v>
      </c>
      <c r="N646" t="str">
        <f>IFERROR(INDEX(Diccionario!$N:$N,MATCH(F646,Diccionario!$C:$C,0)),"")</f>
        <v>Mensual</v>
      </c>
    </row>
    <row r="647" spans="1:14" ht="14.25" customHeight="1" x14ac:dyDescent="0.3">
      <c r="A647" t="s">
        <v>540</v>
      </c>
      <c r="B647" t="s">
        <v>522</v>
      </c>
      <c r="C647" t="s">
        <v>523</v>
      </c>
      <c r="D647" t="s">
        <v>451</v>
      </c>
      <c r="E647" t="s">
        <v>524</v>
      </c>
      <c r="F647" t="s">
        <v>314</v>
      </c>
      <c r="H647" t="s">
        <v>565</v>
      </c>
      <c r="I647">
        <v>82000000</v>
      </c>
      <c r="J647" t="s">
        <v>451</v>
      </c>
      <c r="L647" t="str">
        <f>IFERROR(INDEX(Diccionario!$B:$B,MATCH(F647,Diccionario!$C:$C,0)),"")</f>
        <v>Contabilidad</v>
      </c>
      <c r="M647" t="str">
        <f>IFERROR(INDEX(Diccionario!$H:$H,MATCH(F647,Diccionario!$C:$C,0)),"")</f>
        <v>Contabilidad</v>
      </c>
      <c r="N647" t="str">
        <f>IFERROR(INDEX(Diccionario!$N:$N,MATCH(F647,Diccionario!$C:$C,0)),"")</f>
        <v>Mensual</v>
      </c>
    </row>
    <row r="648" spans="1:14" ht="14.25" customHeight="1" x14ac:dyDescent="0.3">
      <c r="A648" t="s">
        <v>540</v>
      </c>
      <c r="B648" t="s">
        <v>522</v>
      </c>
      <c r="C648" t="s">
        <v>523</v>
      </c>
      <c r="D648" t="s">
        <v>451</v>
      </c>
      <c r="E648" t="s">
        <v>524</v>
      </c>
      <c r="F648" t="s">
        <v>314</v>
      </c>
      <c r="H648" t="s">
        <v>577</v>
      </c>
      <c r="I648">
        <v>11700000</v>
      </c>
      <c r="J648" t="s">
        <v>451</v>
      </c>
      <c r="L648" t="str">
        <f>IFERROR(INDEX(Diccionario!$B:$B,MATCH(F648,Diccionario!$C:$C,0)),"")</f>
        <v>Contabilidad</v>
      </c>
      <c r="M648" t="str">
        <f>IFERROR(INDEX(Diccionario!$H:$H,MATCH(F648,Diccionario!$C:$C,0)),"")</f>
        <v>Contabilidad</v>
      </c>
      <c r="N648" t="str">
        <f>IFERROR(INDEX(Diccionario!$N:$N,MATCH(F648,Diccionario!$C:$C,0)),"")</f>
        <v>Mensual</v>
      </c>
    </row>
    <row r="649" spans="1:14" ht="14.25" customHeight="1" x14ac:dyDescent="0.3">
      <c r="A649" t="s">
        <v>540</v>
      </c>
      <c r="B649" t="s">
        <v>522</v>
      </c>
      <c r="C649" t="s">
        <v>523</v>
      </c>
      <c r="D649" t="s">
        <v>451</v>
      </c>
      <c r="E649" t="s">
        <v>524</v>
      </c>
      <c r="F649" t="s">
        <v>314</v>
      </c>
      <c r="H649" t="s">
        <v>569</v>
      </c>
      <c r="I649">
        <v>15400000</v>
      </c>
      <c r="J649" t="s">
        <v>451</v>
      </c>
      <c r="L649" t="str">
        <f>IFERROR(INDEX(Diccionario!$B:$B,MATCH(F649,Diccionario!$C:$C,0)),"")</f>
        <v>Contabilidad</v>
      </c>
      <c r="M649" t="str">
        <f>IFERROR(INDEX(Diccionario!$H:$H,MATCH(F649,Diccionario!$C:$C,0)),"")</f>
        <v>Contabilidad</v>
      </c>
      <c r="N649" t="str">
        <f>IFERROR(INDEX(Diccionario!$N:$N,MATCH(F649,Diccionario!$C:$C,0)),"")</f>
        <v>Mensual</v>
      </c>
    </row>
    <row r="650" spans="1:14" ht="14.25" customHeight="1" x14ac:dyDescent="0.3">
      <c r="A650" t="s">
        <v>540</v>
      </c>
      <c r="B650" t="s">
        <v>522</v>
      </c>
      <c r="C650" t="s">
        <v>523</v>
      </c>
      <c r="D650" t="s">
        <v>451</v>
      </c>
      <c r="E650" t="s">
        <v>524</v>
      </c>
      <c r="F650" t="s">
        <v>314</v>
      </c>
      <c r="H650" t="s">
        <v>570</v>
      </c>
      <c r="I650">
        <v>4200000</v>
      </c>
      <c r="J650" t="s">
        <v>451</v>
      </c>
      <c r="L650" t="str">
        <f>IFERROR(INDEX(Diccionario!$B:$B,MATCH(F650,Diccionario!$C:$C,0)),"")</f>
        <v>Contabilidad</v>
      </c>
      <c r="M650" t="str">
        <f>IFERROR(INDEX(Diccionario!$H:$H,MATCH(F650,Diccionario!$C:$C,0)),"")</f>
        <v>Contabilidad</v>
      </c>
      <c r="N650" t="str">
        <f>IFERROR(INDEX(Diccionario!$N:$N,MATCH(F650,Diccionario!$C:$C,0)),"")</f>
        <v>Mensual</v>
      </c>
    </row>
    <row r="651" spans="1:14" ht="14.25" customHeight="1" x14ac:dyDescent="0.3">
      <c r="A651" t="s">
        <v>541</v>
      </c>
      <c r="B651" t="s">
        <v>522</v>
      </c>
      <c r="C651" t="s">
        <v>523</v>
      </c>
      <c r="D651" t="s">
        <v>451</v>
      </c>
      <c r="E651" t="s">
        <v>524</v>
      </c>
      <c r="F651" t="s">
        <v>314</v>
      </c>
      <c r="H651" t="s">
        <v>565</v>
      </c>
      <c r="I651">
        <v>89700000</v>
      </c>
      <c r="J651" t="s">
        <v>451</v>
      </c>
      <c r="L651" t="str">
        <f>IFERROR(INDEX(Diccionario!$B:$B,MATCH(F651,Diccionario!$C:$C,0)),"")</f>
        <v>Contabilidad</v>
      </c>
      <c r="M651" t="str">
        <f>IFERROR(INDEX(Diccionario!$H:$H,MATCH(F651,Diccionario!$C:$C,0)),"")</f>
        <v>Contabilidad</v>
      </c>
      <c r="N651" t="str">
        <f>IFERROR(INDEX(Diccionario!$N:$N,MATCH(F651,Diccionario!$C:$C,0)),"")</f>
        <v>Mensual</v>
      </c>
    </row>
    <row r="652" spans="1:14" ht="14.25" customHeight="1" x14ac:dyDescent="0.3">
      <c r="A652" t="s">
        <v>541</v>
      </c>
      <c r="B652" t="s">
        <v>522</v>
      </c>
      <c r="C652" t="s">
        <v>523</v>
      </c>
      <c r="D652" t="s">
        <v>451</v>
      </c>
      <c r="E652" t="s">
        <v>524</v>
      </c>
      <c r="F652" t="s">
        <v>314</v>
      </c>
      <c r="H652" t="s">
        <v>577</v>
      </c>
      <c r="I652">
        <v>2600000</v>
      </c>
      <c r="J652" t="s">
        <v>451</v>
      </c>
      <c r="L652" t="str">
        <f>IFERROR(INDEX(Diccionario!$B:$B,MATCH(F652,Diccionario!$C:$C,0)),"")</f>
        <v>Contabilidad</v>
      </c>
      <c r="M652" t="str">
        <f>IFERROR(INDEX(Diccionario!$H:$H,MATCH(F652,Diccionario!$C:$C,0)),"")</f>
        <v>Contabilidad</v>
      </c>
      <c r="N652" t="str">
        <f>IFERROR(INDEX(Diccionario!$N:$N,MATCH(F652,Diccionario!$C:$C,0)),"")</f>
        <v>Mensual</v>
      </c>
    </row>
    <row r="653" spans="1:14" ht="14.25" customHeight="1" x14ac:dyDescent="0.3">
      <c r="A653" t="s">
        <v>541</v>
      </c>
      <c r="B653" t="s">
        <v>522</v>
      </c>
      <c r="C653" t="s">
        <v>523</v>
      </c>
      <c r="D653" t="s">
        <v>451</v>
      </c>
      <c r="E653" t="s">
        <v>524</v>
      </c>
      <c r="F653" t="s">
        <v>314</v>
      </c>
      <c r="H653" t="s">
        <v>569</v>
      </c>
      <c r="I653">
        <v>18400000</v>
      </c>
      <c r="J653" t="s">
        <v>451</v>
      </c>
      <c r="L653" t="str">
        <f>IFERROR(INDEX(Diccionario!$B:$B,MATCH(F653,Diccionario!$C:$C,0)),"")</f>
        <v>Contabilidad</v>
      </c>
      <c r="M653" t="str">
        <f>IFERROR(INDEX(Diccionario!$H:$H,MATCH(F653,Diccionario!$C:$C,0)),"")</f>
        <v>Contabilidad</v>
      </c>
      <c r="N653" t="str">
        <f>IFERROR(INDEX(Diccionario!$N:$N,MATCH(F653,Diccionario!$C:$C,0)),"")</f>
        <v>Mensual</v>
      </c>
    </row>
    <row r="654" spans="1:14" ht="14.25" customHeight="1" x14ac:dyDescent="0.3">
      <c r="A654" t="s">
        <v>541</v>
      </c>
      <c r="B654" t="s">
        <v>522</v>
      </c>
      <c r="C654" t="s">
        <v>523</v>
      </c>
      <c r="D654" t="s">
        <v>451</v>
      </c>
      <c r="E654" t="s">
        <v>524</v>
      </c>
      <c r="F654" t="s">
        <v>314</v>
      </c>
      <c r="H654" t="s">
        <v>578</v>
      </c>
      <c r="I654">
        <v>2000000</v>
      </c>
      <c r="J654" t="s">
        <v>451</v>
      </c>
      <c r="L654" t="str">
        <f>IFERROR(INDEX(Diccionario!$B:$B,MATCH(F654,Diccionario!$C:$C,0)),"")</f>
        <v>Contabilidad</v>
      </c>
      <c r="M654" t="str">
        <f>IFERROR(INDEX(Diccionario!$H:$H,MATCH(F654,Diccionario!$C:$C,0)),"")</f>
        <v>Contabilidad</v>
      </c>
      <c r="N654" t="str">
        <f>IFERROR(INDEX(Diccionario!$N:$N,MATCH(F654,Diccionario!$C:$C,0)),"")</f>
        <v>Mensual</v>
      </c>
    </row>
    <row r="655" spans="1:14" ht="14.25" customHeight="1" x14ac:dyDescent="0.3">
      <c r="A655" t="s">
        <v>541</v>
      </c>
      <c r="B655" t="s">
        <v>522</v>
      </c>
      <c r="C655" t="s">
        <v>523</v>
      </c>
      <c r="D655" t="s">
        <v>451</v>
      </c>
      <c r="E655" t="s">
        <v>524</v>
      </c>
      <c r="F655" t="s">
        <v>314</v>
      </c>
      <c r="H655" t="s">
        <v>570</v>
      </c>
      <c r="I655">
        <v>2800000</v>
      </c>
      <c r="J655" t="s">
        <v>451</v>
      </c>
      <c r="L655" t="str">
        <f>IFERROR(INDEX(Diccionario!$B:$B,MATCH(F655,Diccionario!$C:$C,0)),"")</f>
        <v>Contabilidad</v>
      </c>
      <c r="M655" t="str">
        <f>IFERROR(INDEX(Diccionario!$H:$H,MATCH(F655,Diccionario!$C:$C,0)),"")</f>
        <v>Contabilidad</v>
      </c>
      <c r="N655" t="str">
        <f>IFERROR(INDEX(Diccionario!$N:$N,MATCH(F655,Diccionario!$C:$C,0)),"")</f>
        <v>Mensual</v>
      </c>
    </row>
    <row r="656" spans="1:14" ht="14.25" customHeight="1" x14ac:dyDescent="0.3">
      <c r="A656" t="s">
        <v>542</v>
      </c>
      <c r="B656" t="s">
        <v>522</v>
      </c>
      <c r="C656" t="s">
        <v>523</v>
      </c>
      <c r="D656" t="s">
        <v>451</v>
      </c>
      <c r="E656" t="s">
        <v>524</v>
      </c>
      <c r="F656" t="s">
        <v>314</v>
      </c>
      <c r="H656" t="s">
        <v>565</v>
      </c>
      <c r="I656">
        <v>89000000</v>
      </c>
      <c r="J656" t="s">
        <v>451</v>
      </c>
      <c r="L656" t="str">
        <f>IFERROR(INDEX(Diccionario!$B:$B,MATCH(F656,Diccionario!$C:$C,0)),"")</f>
        <v>Contabilidad</v>
      </c>
      <c r="M656" t="str">
        <f>IFERROR(INDEX(Diccionario!$H:$H,MATCH(F656,Diccionario!$C:$C,0)),"")</f>
        <v>Contabilidad</v>
      </c>
      <c r="N656" t="str">
        <f>IFERROR(INDEX(Diccionario!$N:$N,MATCH(F656,Diccionario!$C:$C,0)),"")</f>
        <v>Mensual</v>
      </c>
    </row>
    <row r="657" spans="1:14" ht="14.25" customHeight="1" x14ac:dyDescent="0.3">
      <c r="A657" t="s">
        <v>542</v>
      </c>
      <c r="B657" t="s">
        <v>522</v>
      </c>
      <c r="C657" t="s">
        <v>523</v>
      </c>
      <c r="D657" t="s">
        <v>451</v>
      </c>
      <c r="E657" t="s">
        <v>524</v>
      </c>
      <c r="F657" t="s">
        <v>314</v>
      </c>
      <c r="H657" t="s">
        <v>577</v>
      </c>
      <c r="I657">
        <v>2500000</v>
      </c>
      <c r="J657" t="s">
        <v>451</v>
      </c>
      <c r="L657" t="str">
        <f>IFERROR(INDEX(Diccionario!$B:$B,MATCH(F657,Diccionario!$C:$C,0)),"")</f>
        <v>Contabilidad</v>
      </c>
      <c r="M657" t="str">
        <f>IFERROR(INDEX(Diccionario!$H:$H,MATCH(F657,Diccionario!$C:$C,0)),"")</f>
        <v>Contabilidad</v>
      </c>
      <c r="N657" t="str">
        <f>IFERROR(INDEX(Diccionario!$N:$N,MATCH(F657,Diccionario!$C:$C,0)),"")</f>
        <v>Mensual</v>
      </c>
    </row>
    <row r="658" spans="1:14" ht="14.25" customHeight="1" x14ac:dyDescent="0.3">
      <c r="A658" t="s">
        <v>542</v>
      </c>
      <c r="B658" t="s">
        <v>522</v>
      </c>
      <c r="C658" t="s">
        <v>523</v>
      </c>
      <c r="D658" t="s">
        <v>451</v>
      </c>
      <c r="E658" t="s">
        <v>524</v>
      </c>
      <c r="F658" t="s">
        <v>314</v>
      </c>
      <c r="H658" t="s">
        <v>569</v>
      </c>
      <c r="I658">
        <v>34500000</v>
      </c>
      <c r="J658" t="s">
        <v>451</v>
      </c>
      <c r="L658" t="str">
        <f>IFERROR(INDEX(Diccionario!$B:$B,MATCH(F658,Diccionario!$C:$C,0)),"")</f>
        <v>Contabilidad</v>
      </c>
      <c r="M658" t="str">
        <f>IFERROR(INDEX(Diccionario!$H:$H,MATCH(F658,Diccionario!$C:$C,0)),"")</f>
        <v>Contabilidad</v>
      </c>
      <c r="N658" t="str">
        <f>IFERROR(INDEX(Diccionario!$N:$N,MATCH(F658,Diccionario!$C:$C,0)),"")</f>
        <v>Mensual</v>
      </c>
    </row>
    <row r="659" spans="1:14" ht="14.25" customHeight="1" x14ac:dyDescent="0.3">
      <c r="A659" t="s">
        <v>542</v>
      </c>
      <c r="B659" t="s">
        <v>522</v>
      </c>
      <c r="C659" t="s">
        <v>523</v>
      </c>
      <c r="D659" t="s">
        <v>451</v>
      </c>
      <c r="E659" t="s">
        <v>524</v>
      </c>
      <c r="F659" t="s">
        <v>314</v>
      </c>
      <c r="H659" t="s">
        <v>578</v>
      </c>
      <c r="I659">
        <v>400000</v>
      </c>
      <c r="J659" t="s">
        <v>451</v>
      </c>
      <c r="L659" t="str">
        <f>IFERROR(INDEX(Diccionario!$B:$B,MATCH(F659,Diccionario!$C:$C,0)),"")</f>
        <v>Contabilidad</v>
      </c>
      <c r="M659" t="str">
        <f>IFERROR(INDEX(Diccionario!$H:$H,MATCH(F659,Diccionario!$C:$C,0)),"")</f>
        <v>Contabilidad</v>
      </c>
      <c r="N659" t="str">
        <f>IFERROR(INDEX(Diccionario!$N:$N,MATCH(F659,Diccionario!$C:$C,0)),"")</f>
        <v>Mensual</v>
      </c>
    </row>
    <row r="660" spans="1:14" ht="14.25" customHeight="1" x14ac:dyDescent="0.3">
      <c r="A660" t="s">
        <v>542</v>
      </c>
      <c r="B660" t="s">
        <v>522</v>
      </c>
      <c r="C660" t="s">
        <v>523</v>
      </c>
      <c r="D660" t="s">
        <v>451</v>
      </c>
      <c r="E660" t="s">
        <v>524</v>
      </c>
      <c r="F660" t="s">
        <v>314</v>
      </c>
      <c r="H660" t="s">
        <v>570</v>
      </c>
      <c r="I660">
        <v>3630000</v>
      </c>
      <c r="J660" t="s">
        <v>451</v>
      </c>
      <c r="L660" t="str">
        <f>IFERROR(INDEX(Diccionario!$B:$B,MATCH(F660,Diccionario!$C:$C,0)),"")</f>
        <v>Contabilidad</v>
      </c>
      <c r="M660" t="str">
        <f>IFERROR(INDEX(Diccionario!$H:$H,MATCH(F660,Diccionario!$C:$C,0)),"")</f>
        <v>Contabilidad</v>
      </c>
      <c r="N660" t="str">
        <f>IFERROR(INDEX(Diccionario!$N:$N,MATCH(F660,Diccionario!$C:$C,0)),"")</f>
        <v>Mensual</v>
      </c>
    </row>
    <row r="661" spans="1:14" ht="14.25" customHeight="1" x14ac:dyDescent="0.3">
      <c r="A661" t="s">
        <v>543</v>
      </c>
      <c r="B661" t="s">
        <v>522</v>
      </c>
      <c r="C661" t="s">
        <v>523</v>
      </c>
      <c r="D661" t="s">
        <v>451</v>
      </c>
      <c r="E661" t="s">
        <v>524</v>
      </c>
      <c r="F661" t="s">
        <v>314</v>
      </c>
      <c r="H661" t="s">
        <v>565</v>
      </c>
      <c r="I661">
        <v>75200000</v>
      </c>
      <c r="J661" t="s">
        <v>451</v>
      </c>
      <c r="L661" t="str">
        <f>IFERROR(INDEX(Diccionario!$B:$B,MATCH(F661,Diccionario!$C:$C,0)),"")</f>
        <v>Contabilidad</v>
      </c>
      <c r="M661" t="str">
        <f>IFERROR(INDEX(Diccionario!$H:$H,MATCH(F661,Diccionario!$C:$C,0)),"")</f>
        <v>Contabilidad</v>
      </c>
      <c r="N661" t="str">
        <f>IFERROR(INDEX(Diccionario!$N:$N,MATCH(F661,Diccionario!$C:$C,0)),"")</f>
        <v>Mensual</v>
      </c>
    </row>
    <row r="662" spans="1:14" ht="14.25" customHeight="1" x14ac:dyDescent="0.3">
      <c r="A662" t="s">
        <v>543</v>
      </c>
      <c r="B662" t="s">
        <v>522</v>
      </c>
      <c r="C662" t="s">
        <v>523</v>
      </c>
      <c r="D662" t="s">
        <v>451</v>
      </c>
      <c r="E662" t="s">
        <v>524</v>
      </c>
      <c r="F662" t="s">
        <v>314</v>
      </c>
      <c r="H662" t="s">
        <v>577</v>
      </c>
      <c r="I662">
        <v>500000</v>
      </c>
      <c r="J662" t="s">
        <v>451</v>
      </c>
      <c r="L662" t="str">
        <f>IFERROR(INDEX(Diccionario!$B:$B,MATCH(F662,Diccionario!$C:$C,0)),"")</f>
        <v>Contabilidad</v>
      </c>
      <c r="M662" t="str">
        <f>IFERROR(INDEX(Diccionario!$H:$H,MATCH(F662,Diccionario!$C:$C,0)),"")</f>
        <v>Contabilidad</v>
      </c>
      <c r="N662" t="str">
        <f>IFERROR(INDEX(Diccionario!$N:$N,MATCH(F662,Diccionario!$C:$C,0)),"")</f>
        <v>Mensual</v>
      </c>
    </row>
    <row r="663" spans="1:14" ht="14.25" customHeight="1" x14ac:dyDescent="0.3">
      <c r="A663" t="s">
        <v>543</v>
      </c>
      <c r="B663" t="s">
        <v>522</v>
      </c>
      <c r="C663" t="s">
        <v>523</v>
      </c>
      <c r="D663" t="s">
        <v>451</v>
      </c>
      <c r="E663" t="s">
        <v>524</v>
      </c>
      <c r="F663" t="s">
        <v>314</v>
      </c>
      <c r="H663" t="s">
        <v>569</v>
      </c>
      <c r="I663">
        <v>17800000</v>
      </c>
      <c r="J663" t="s">
        <v>451</v>
      </c>
      <c r="L663" t="str">
        <f>IFERROR(INDEX(Diccionario!$B:$B,MATCH(F663,Diccionario!$C:$C,0)),"")</f>
        <v>Contabilidad</v>
      </c>
      <c r="M663" t="str">
        <f>IFERROR(INDEX(Diccionario!$H:$H,MATCH(F663,Diccionario!$C:$C,0)),"")</f>
        <v>Contabilidad</v>
      </c>
      <c r="N663" t="str">
        <f>IFERROR(INDEX(Diccionario!$N:$N,MATCH(F663,Diccionario!$C:$C,0)),"")</f>
        <v>Mensual</v>
      </c>
    </row>
    <row r="664" spans="1:14" ht="14.25" customHeight="1" x14ac:dyDescent="0.3">
      <c r="A664" t="s">
        <v>543</v>
      </c>
      <c r="B664" t="s">
        <v>522</v>
      </c>
      <c r="C664" t="s">
        <v>523</v>
      </c>
      <c r="D664" t="s">
        <v>451</v>
      </c>
      <c r="E664" t="s">
        <v>524</v>
      </c>
      <c r="F664" t="s">
        <v>314</v>
      </c>
      <c r="H664" t="s">
        <v>578</v>
      </c>
      <c r="I664">
        <v>0</v>
      </c>
      <c r="J664" t="s">
        <v>451</v>
      </c>
      <c r="L664" t="str">
        <f>IFERROR(INDEX(Diccionario!$B:$B,MATCH(F664,Diccionario!$C:$C,0)),"")</f>
        <v>Contabilidad</v>
      </c>
      <c r="M664" t="str">
        <f>IFERROR(INDEX(Diccionario!$H:$H,MATCH(F664,Diccionario!$C:$C,0)),"")</f>
        <v>Contabilidad</v>
      </c>
      <c r="N664" t="str">
        <f>IFERROR(INDEX(Diccionario!$N:$N,MATCH(F664,Diccionario!$C:$C,0)),"")</f>
        <v>Mensual</v>
      </c>
    </row>
    <row r="665" spans="1:14" ht="14.25" customHeight="1" x14ac:dyDescent="0.3">
      <c r="A665" t="s">
        <v>543</v>
      </c>
      <c r="B665" t="s">
        <v>522</v>
      </c>
      <c r="C665" t="s">
        <v>523</v>
      </c>
      <c r="D665" t="s">
        <v>451</v>
      </c>
      <c r="E665" t="s">
        <v>524</v>
      </c>
      <c r="F665" t="s">
        <v>314</v>
      </c>
      <c r="H665" t="s">
        <v>570</v>
      </c>
      <c r="I665">
        <v>12400000</v>
      </c>
      <c r="J665" t="s">
        <v>451</v>
      </c>
      <c r="L665" t="str">
        <f>IFERROR(INDEX(Diccionario!$B:$B,MATCH(F665,Diccionario!$C:$C,0)),"")</f>
        <v>Contabilidad</v>
      </c>
      <c r="M665" t="str">
        <f>IFERROR(INDEX(Diccionario!$H:$H,MATCH(F665,Diccionario!$C:$C,0)),"")</f>
        <v>Contabilidad</v>
      </c>
      <c r="N665" t="str">
        <f>IFERROR(INDEX(Diccionario!$N:$N,MATCH(F665,Diccionario!$C:$C,0)),"")</f>
        <v>Mensual</v>
      </c>
    </row>
    <row r="666" spans="1:14" ht="14.25" customHeight="1" x14ac:dyDescent="0.3">
      <c r="A666" t="s">
        <v>544</v>
      </c>
      <c r="B666" t="s">
        <v>522</v>
      </c>
      <c r="C666" t="s">
        <v>523</v>
      </c>
      <c r="D666" t="s">
        <v>451</v>
      </c>
      <c r="E666" t="s">
        <v>524</v>
      </c>
      <c r="F666" t="s">
        <v>314</v>
      </c>
      <c r="H666" t="s">
        <v>565</v>
      </c>
      <c r="I666">
        <v>74000000</v>
      </c>
      <c r="J666" t="s">
        <v>451</v>
      </c>
      <c r="L666" t="str">
        <f>IFERROR(INDEX(Diccionario!$B:$B,MATCH(F666,Diccionario!$C:$C,0)),"")</f>
        <v>Contabilidad</v>
      </c>
      <c r="M666" t="str">
        <f>IFERROR(INDEX(Diccionario!$H:$H,MATCH(F666,Diccionario!$C:$C,0)),"")</f>
        <v>Contabilidad</v>
      </c>
      <c r="N666" t="str">
        <f>IFERROR(INDEX(Diccionario!$N:$N,MATCH(F666,Diccionario!$C:$C,0)),"")</f>
        <v>Mensual</v>
      </c>
    </row>
    <row r="667" spans="1:14" ht="14.25" customHeight="1" x14ac:dyDescent="0.3">
      <c r="A667" t="s">
        <v>544</v>
      </c>
      <c r="B667" t="s">
        <v>522</v>
      </c>
      <c r="C667" t="s">
        <v>523</v>
      </c>
      <c r="D667" t="s">
        <v>451</v>
      </c>
      <c r="E667" t="s">
        <v>524</v>
      </c>
      <c r="F667" t="s">
        <v>314</v>
      </c>
      <c r="H667" t="s">
        <v>577</v>
      </c>
      <c r="I667">
        <v>0</v>
      </c>
      <c r="J667" t="s">
        <v>451</v>
      </c>
      <c r="L667" t="str">
        <f>IFERROR(INDEX(Diccionario!$B:$B,MATCH(F667,Diccionario!$C:$C,0)),"")</f>
        <v>Contabilidad</v>
      </c>
      <c r="M667" t="str">
        <f>IFERROR(INDEX(Diccionario!$H:$H,MATCH(F667,Diccionario!$C:$C,0)),"")</f>
        <v>Contabilidad</v>
      </c>
      <c r="N667" t="str">
        <f>IFERROR(INDEX(Diccionario!$N:$N,MATCH(F667,Diccionario!$C:$C,0)),"")</f>
        <v>Mensual</v>
      </c>
    </row>
    <row r="668" spans="1:14" ht="14.25" customHeight="1" x14ac:dyDescent="0.3">
      <c r="A668" t="s">
        <v>544</v>
      </c>
      <c r="B668" t="s">
        <v>522</v>
      </c>
      <c r="C668" t="s">
        <v>523</v>
      </c>
      <c r="D668" t="s">
        <v>451</v>
      </c>
      <c r="E668" t="s">
        <v>524</v>
      </c>
      <c r="F668" t="s">
        <v>314</v>
      </c>
      <c r="H668" t="s">
        <v>569</v>
      </c>
      <c r="I668">
        <v>9000000</v>
      </c>
      <c r="J668" t="s">
        <v>451</v>
      </c>
      <c r="L668" t="str">
        <f>IFERROR(INDEX(Diccionario!$B:$B,MATCH(F668,Diccionario!$C:$C,0)),"")</f>
        <v>Contabilidad</v>
      </c>
      <c r="M668" t="str">
        <f>IFERROR(INDEX(Diccionario!$H:$H,MATCH(F668,Diccionario!$C:$C,0)),"")</f>
        <v>Contabilidad</v>
      </c>
      <c r="N668" t="str">
        <f>IFERROR(INDEX(Diccionario!$N:$N,MATCH(F668,Diccionario!$C:$C,0)),"")</f>
        <v>Mensual</v>
      </c>
    </row>
    <row r="669" spans="1:14" ht="14.25" customHeight="1" x14ac:dyDescent="0.3">
      <c r="A669" t="s">
        <v>544</v>
      </c>
      <c r="B669" t="s">
        <v>522</v>
      </c>
      <c r="C669" t="s">
        <v>523</v>
      </c>
      <c r="D669" t="s">
        <v>451</v>
      </c>
      <c r="E669" t="s">
        <v>524</v>
      </c>
      <c r="F669" t="s">
        <v>314</v>
      </c>
      <c r="H669" t="s">
        <v>578</v>
      </c>
      <c r="I669">
        <v>0</v>
      </c>
      <c r="J669" t="s">
        <v>451</v>
      </c>
      <c r="L669" t="str">
        <f>IFERROR(INDEX(Diccionario!$B:$B,MATCH(F669,Diccionario!$C:$C,0)),"")</f>
        <v>Contabilidad</v>
      </c>
      <c r="M669" t="str">
        <f>IFERROR(INDEX(Diccionario!$H:$H,MATCH(F669,Diccionario!$C:$C,0)),"")</f>
        <v>Contabilidad</v>
      </c>
      <c r="N669" t="str">
        <f>IFERROR(INDEX(Diccionario!$N:$N,MATCH(F669,Diccionario!$C:$C,0)),"")</f>
        <v>Mensual</v>
      </c>
    </row>
    <row r="670" spans="1:14" ht="14.25" customHeight="1" x14ac:dyDescent="0.3">
      <c r="A670" t="s">
        <v>544</v>
      </c>
      <c r="B670" t="s">
        <v>522</v>
      </c>
      <c r="C670" t="s">
        <v>523</v>
      </c>
      <c r="D670" t="s">
        <v>451</v>
      </c>
      <c r="E670" t="s">
        <v>524</v>
      </c>
      <c r="F670" t="s">
        <v>314</v>
      </c>
      <c r="H670" t="s">
        <v>570</v>
      </c>
      <c r="I670">
        <v>16400000</v>
      </c>
      <c r="J670" t="s">
        <v>451</v>
      </c>
      <c r="L670" t="str">
        <f>IFERROR(INDEX(Diccionario!$B:$B,MATCH(F670,Diccionario!$C:$C,0)),"")</f>
        <v>Contabilidad</v>
      </c>
      <c r="M670" t="str">
        <f>IFERROR(INDEX(Diccionario!$H:$H,MATCH(F670,Diccionario!$C:$C,0)),"")</f>
        <v>Contabilidad</v>
      </c>
      <c r="N670" t="str">
        <f>IFERROR(INDEX(Diccionario!$N:$N,MATCH(F670,Diccionario!$C:$C,0)),"")</f>
        <v>Mensual</v>
      </c>
    </row>
    <row r="671" spans="1:14" ht="14.25" customHeight="1" x14ac:dyDescent="0.3">
      <c r="A671" t="s">
        <v>545</v>
      </c>
      <c r="B671" t="s">
        <v>522</v>
      </c>
      <c r="C671" t="s">
        <v>523</v>
      </c>
      <c r="D671" t="s">
        <v>451</v>
      </c>
      <c r="E671" t="s">
        <v>524</v>
      </c>
      <c r="F671" t="s">
        <v>314</v>
      </c>
      <c r="H671" t="s">
        <v>565</v>
      </c>
      <c r="I671">
        <v>62500000</v>
      </c>
      <c r="J671" t="s">
        <v>451</v>
      </c>
      <c r="L671" t="str">
        <f>IFERROR(INDEX(Diccionario!$B:$B,MATCH(F671,Diccionario!$C:$C,0)),"")</f>
        <v>Contabilidad</v>
      </c>
      <c r="M671" t="str">
        <f>IFERROR(INDEX(Diccionario!$H:$H,MATCH(F671,Diccionario!$C:$C,0)),"")</f>
        <v>Contabilidad</v>
      </c>
      <c r="N671" t="str">
        <f>IFERROR(INDEX(Diccionario!$N:$N,MATCH(F671,Diccionario!$C:$C,0)),"")</f>
        <v>Mensual</v>
      </c>
    </row>
    <row r="672" spans="1:14" ht="14.25" customHeight="1" x14ac:dyDescent="0.3">
      <c r="A672" t="s">
        <v>545</v>
      </c>
      <c r="B672" t="s">
        <v>522</v>
      </c>
      <c r="C672" t="s">
        <v>523</v>
      </c>
      <c r="D672" t="s">
        <v>451</v>
      </c>
      <c r="E672" t="s">
        <v>524</v>
      </c>
      <c r="F672" t="s">
        <v>314</v>
      </c>
      <c r="H672" t="s">
        <v>577</v>
      </c>
      <c r="I672">
        <v>4000000</v>
      </c>
      <c r="J672" t="s">
        <v>451</v>
      </c>
      <c r="L672" t="str">
        <f>IFERROR(INDEX(Diccionario!$B:$B,MATCH(F672,Diccionario!$C:$C,0)),"")</f>
        <v>Contabilidad</v>
      </c>
      <c r="M672" t="str">
        <f>IFERROR(INDEX(Diccionario!$H:$H,MATCH(F672,Diccionario!$C:$C,0)),"")</f>
        <v>Contabilidad</v>
      </c>
      <c r="N672" t="str">
        <f>IFERROR(INDEX(Diccionario!$N:$N,MATCH(F672,Diccionario!$C:$C,0)),"")</f>
        <v>Mensual</v>
      </c>
    </row>
    <row r="673" spans="1:14" ht="14.25" customHeight="1" x14ac:dyDescent="0.3">
      <c r="A673" t="s">
        <v>545</v>
      </c>
      <c r="B673" t="s">
        <v>522</v>
      </c>
      <c r="C673" t="s">
        <v>523</v>
      </c>
      <c r="D673" t="s">
        <v>451</v>
      </c>
      <c r="E673" t="s">
        <v>524</v>
      </c>
      <c r="F673" t="s">
        <v>314</v>
      </c>
      <c r="H673" t="s">
        <v>569</v>
      </c>
      <c r="I673">
        <v>9800000</v>
      </c>
      <c r="J673" t="s">
        <v>451</v>
      </c>
      <c r="L673" t="str">
        <f>IFERROR(INDEX(Diccionario!$B:$B,MATCH(F673,Diccionario!$C:$C,0)),"")</f>
        <v>Contabilidad</v>
      </c>
      <c r="M673" t="str">
        <f>IFERROR(INDEX(Diccionario!$H:$H,MATCH(F673,Diccionario!$C:$C,0)),"")</f>
        <v>Contabilidad</v>
      </c>
      <c r="N673" t="str">
        <f>IFERROR(INDEX(Diccionario!$N:$N,MATCH(F673,Diccionario!$C:$C,0)),"")</f>
        <v>Mensual</v>
      </c>
    </row>
    <row r="674" spans="1:14" ht="14.25" customHeight="1" x14ac:dyDescent="0.3">
      <c r="A674" t="s">
        <v>545</v>
      </c>
      <c r="B674" t="s">
        <v>522</v>
      </c>
      <c r="C674" t="s">
        <v>523</v>
      </c>
      <c r="D674" t="s">
        <v>451</v>
      </c>
      <c r="E674" t="s">
        <v>524</v>
      </c>
      <c r="F674" t="s">
        <v>314</v>
      </c>
      <c r="H674" t="s">
        <v>578</v>
      </c>
      <c r="I674">
        <v>500000</v>
      </c>
      <c r="J674" t="s">
        <v>451</v>
      </c>
      <c r="L674" t="str">
        <f>IFERROR(INDEX(Diccionario!$B:$B,MATCH(F674,Diccionario!$C:$C,0)),"")</f>
        <v>Contabilidad</v>
      </c>
      <c r="M674" t="str">
        <f>IFERROR(INDEX(Diccionario!$H:$H,MATCH(F674,Diccionario!$C:$C,0)),"")</f>
        <v>Contabilidad</v>
      </c>
      <c r="N674" t="str">
        <f>IFERROR(INDEX(Diccionario!$N:$N,MATCH(F674,Diccionario!$C:$C,0)),"")</f>
        <v>Mensual</v>
      </c>
    </row>
    <row r="675" spans="1:14" ht="14.25" customHeight="1" x14ac:dyDescent="0.3">
      <c r="A675" t="s">
        <v>545</v>
      </c>
      <c r="B675" t="s">
        <v>522</v>
      </c>
      <c r="C675" t="s">
        <v>523</v>
      </c>
      <c r="D675" t="s">
        <v>451</v>
      </c>
      <c r="E675" t="s">
        <v>524</v>
      </c>
      <c r="F675" t="s">
        <v>314</v>
      </c>
      <c r="H675" t="s">
        <v>570</v>
      </c>
      <c r="I675">
        <v>8600000</v>
      </c>
      <c r="J675" t="s">
        <v>451</v>
      </c>
      <c r="L675" t="str">
        <f>IFERROR(INDEX(Diccionario!$B:$B,MATCH(F675,Diccionario!$C:$C,0)),"")</f>
        <v>Contabilidad</v>
      </c>
      <c r="M675" t="str">
        <f>IFERROR(INDEX(Diccionario!$H:$H,MATCH(F675,Diccionario!$C:$C,0)),"")</f>
        <v>Contabilidad</v>
      </c>
      <c r="N675" t="str">
        <f>IFERROR(INDEX(Diccionario!$N:$N,MATCH(F675,Diccionario!$C:$C,0)),"")</f>
        <v>Mensual</v>
      </c>
    </row>
    <row r="676" spans="1:14" ht="14.25" customHeight="1" x14ac:dyDescent="0.3">
      <c r="A676" t="s">
        <v>546</v>
      </c>
      <c r="B676" t="s">
        <v>522</v>
      </c>
      <c r="C676" t="s">
        <v>523</v>
      </c>
      <c r="D676" t="s">
        <v>451</v>
      </c>
      <c r="E676" t="s">
        <v>524</v>
      </c>
      <c r="F676" t="s">
        <v>314</v>
      </c>
      <c r="H676" t="s">
        <v>565</v>
      </c>
      <c r="I676">
        <v>62900000</v>
      </c>
      <c r="J676" t="s">
        <v>451</v>
      </c>
      <c r="L676" t="str">
        <f>IFERROR(INDEX(Diccionario!$B:$B,MATCH(F676,Diccionario!$C:$C,0)),"")</f>
        <v>Contabilidad</v>
      </c>
      <c r="M676" t="str">
        <f>IFERROR(INDEX(Diccionario!$H:$H,MATCH(F676,Diccionario!$C:$C,0)),"")</f>
        <v>Contabilidad</v>
      </c>
      <c r="N676" t="str">
        <f>IFERROR(INDEX(Diccionario!$N:$N,MATCH(F676,Diccionario!$C:$C,0)),"")</f>
        <v>Mensual</v>
      </c>
    </row>
    <row r="677" spans="1:14" ht="14.25" customHeight="1" x14ac:dyDescent="0.3">
      <c r="A677" t="s">
        <v>546</v>
      </c>
      <c r="B677" t="s">
        <v>522</v>
      </c>
      <c r="C677" t="s">
        <v>523</v>
      </c>
      <c r="D677" t="s">
        <v>451</v>
      </c>
      <c r="E677" t="s">
        <v>524</v>
      </c>
      <c r="F677" t="s">
        <v>314</v>
      </c>
      <c r="H677" t="s">
        <v>577</v>
      </c>
      <c r="I677">
        <v>1900000</v>
      </c>
      <c r="J677" t="s">
        <v>451</v>
      </c>
      <c r="L677" t="str">
        <f>IFERROR(INDEX(Diccionario!$B:$B,MATCH(F677,Diccionario!$C:$C,0)),"")</f>
        <v>Contabilidad</v>
      </c>
      <c r="M677" t="str">
        <f>IFERROR(INDEX(Diccionario!$H:$H,MATCH(F677,Diccionario!$C:$C,0)),"")</f>
        <v>Contabilidad</v>
      </c>
      <c r="N677" t="str">
        <f>IFERROR(INDEX(Diccionario!$N:$N,MATCH(F677,Diccionario!$C:$C,0)),"")</f>
        <v>Mensual</v>
      </c>
    </row>
    <row r="678" spans="1:14" ht="14.25" customHeight="1" x14ac:dyDescent="0.3">
      <c r="A678" t="s">
        <v>546</v>
      </c>
      <c r="B678" t="s">
        <v>522</v>
      </c>
      <c r="C678" t="s">
        <v>523</v>
      </c>
      <c r="D678" t="s">
        <v>451</v>
      </c>
      <c r="E678" t="s">
        <v>524</v>
      </c>
      <c r="F678" t="s">
        <v>314</v>
      </c>
      <c r="H678" t="s">
        <v>569</v>
      </c>
      <c r="I678">
        <v>22600000</v>
      </c>
      <c r="J678" t="s">
        <v>451</v>
      </c>
      <c r="L678" t="str">
        <f>IFERROR(INDEX(Diccionario!$B:$B,MATCH(F678,Diccionario!$C:$C,0)),"")</f>
        <v>Contabilidad</v>
      </c>
      <c r="M678" t="str">
        <f>IFERROR(INDEX(Diccionario!$H:$H,MATCH(F678,Diccionario!$C:$C,0)),"")</f>
        <v>Contabilidad</v>
      </c>
      <c r="N678" t="str">
        <f>IFERROR(INDEX(Diccionario!$N:$N,MATCH(F678,Diccionario!$C:$C,0)),"")</f>
        <v>Mensual</v>
      </c>
    </row>
    <row r="679" spans="1:14" ht="14.25" customHeight="1" x14ac:dyDescent="0.3">
      <c r="A679" t="s">
        <v>546</v>
      </c>
      <c r="B679" t="s">
        <v>522</v>
      </c>
      <c r="C679" t="s">
        <v>523</v>
      </c>
      <c r="D679" t="s">
        <v>451</v>
      </c>
      <c r="E679" t="s">
        <v>524</v>
      </c>
      <c r="F679" t="s">
        <v>314</v>
      </c>
      <c r="H679" t="s">
        <v>578</v>
      </c>
      <c r="I679">
        <v>0</v>
      </c>
      <c r="J679" t="s">
        <v>451</v>
      </c>
      <c r="L679" t="str">
        <f>IFERROR(INDEX(Diccionario!$B:$B,MATCH(F679,Diccionario!$C:$C,0)),"")</f>
        <v>Contabilidad</v>
      </c>
      <c r="M679" t="str">
        <f>IFERROR(INDEX(Diccionario!$H:$H,MATCH(F679,Diccionario!$C:$C,0)),"")</f>
        <v>Contabilidad</v>
      </c>
      <c r="N679" t="str">
        <f>IFERROR(INDEX(Diccionario!$N:$N,MATCH(F679,Diccionario!$C:$C,0)),"")</f>
        <v>Mensual</v>
      </c>
    </row>
    <row r="680" spans="1:14" ht="14.25" customHeight="1" x14ac:dyDescent="0.3">
      <c r="A680" t="s">
        <v>546</v>
      </c>
      <c r="B680" t="s">
        <v>522</v>
      </c>
      <c r="C680" t="s">
        <v>523</v>
      </c>
      <c r="D680" t="s">
        <v>451</v>
      </c>
      <c r="E680" t="s">
        <v>524</v>
      </c>
      <c r="F680" t="s">
        <v>314</v>
      </c>
      <c r="H680" t="s">
        <v>570</v>
      </c>
      <c r="I680">
        <v>21400000</v>
      </c>
      <c r="J680" t="s">
        <v>451</v>
      </c>
      <c r="L680" t="str">
        <f>IFERROR(INDEX(Diccionario!$B:$B,MATCH(F680,Diccionario!$C:$C,0)),"")</f>
        <v>Contabilidad</v>
      </c>
      <c r="M680" t="str">
        <f>IFERROR(INDEX(Diccionario!$H:$H,MATCH(F680,Diccionario!$C:$C,0)),"")</f>
        <v>Contabilidad</v>
      </c>
      <c r="N680" t="str">
        <f>IFERROR(INDEX(Diccionario!$N:$N,MATCH(F680,Diccionario!$C:$C,0)),"")</f>
        <v>Mensual</v>
      </c>
    </row>
    <row r="681" spans="1:14" ht="14.25" customHeight="1" x14ac:dyDescent="0.3">
      <c r="A681" t="s">
        <v>547</v>
      </c>
      <c r="B681" t="s">
        <v>522</v>
      </c>
      <c r="C681" t="s">
        <v>523</v>
      </c>
      <c r="D681" t="s">
        <v>451</v>
      </c>
      <c r="E681" t="s">
        <v>524</v>
      </c>
      <c r="F681" t="s">
        <v>314</v>
      </c>
      <c r="H681" t="s">
        <v>565</v>
      </c>
      <c r="I681">
        <v>59500000</v>
      </c>
      <c r="J681" t="s">
        <v>451</v>
      </c>
      <c r="L681" t="str">
        <f>IFERROR(INDEX(Diccionario!$B:$B,MATCH(F681,Diccionario!$C:$C,0)),"")</f>
        <v>Contabilidad</v>
      </c>
      <c r="M681" t="str">
        <f>IFERROR(INDEX(Diccionario!$H:$H,MATCH(F681,Diccionario!$C:$C,0)),"")</f>
        <v>Contabilidad</v>
      </c>
      <c r="N681" t="str">
        <f>IFERROR(INDEX(Diccionario!$N:$N,MATCH(F681,Diccionario!$C:$C,0)),"")</f>
        <v>Mensual</v>
      </c>
    </row>
    <row r="682" spans="1:14" ht="14.25" customHeight="1" x14ac:dyDescent="0.3">
      <c r="A682" t="s">
        <v>547</v>
      </c>
      <c r="B682" t="s">
        <v>522</v>
      </c>
      <c r="C682" t="s">
        <v>523</v>
      </c>
      <c r="D682" t="s">
        <v>451</v>
      </c>
      <c r="E682" t="s">
        <v>524</v>
      </c>
      <c r="F682" t="s">
        <v>314</v>
      </c>
      <c r="H682" t="s">
        <v>577</v>
      </c>
      <c r="I682">
        <v>0</v>
      </c>
      <c r="J682" t="s">
        <v>451</v>
      </c>
      <c r="L682" t="str">
        <f>IFERROR(INDEX(Diccionario!$B:$B,MATCH(F682,Diccionario!$C:$C,0)),"")</f>
        <v>Contabilidad</v>
      </c>
      <c r="M682" t="str">
        <f>IFERROR(INDEX(Diccionario!$H:$H,MATCH(F682,Diccionario!$C:$C,0)),"")</f>
        <v>Contabilidad</v>
      </c>
      <c r="N682" t="str">
        <f>IFERROR(INDEX(Diccionario!$N:$N,MATCH(F682,Diccionario!$C:$C,0)),"")</f>
        <v>Mensual</v>
      </c>
    </row>
    <row r="683" spans="1:14" ht="14.25" customHeight="1" x14ac:dyDescent="0.3">
      <c r="A683" t="s">
        <v>547</v>
      </c>
      <c r="B683" t="s">
        <v>522</v>
      </c>
      <c r="C683" t="s">
        <v>523</v>
      </c>
      <c r="D683" t="s">
        <v>451</v>
      </c>
      <c r="E683" t="s">
        <v>524</v>
      </c>
      <c r="F683" t="s">
        <v>314</v>
      </c>
      <c r="H683" t="s">
        <v>569</v>
      </c>
      <c r="I683">
        <v>9900000</v>
      </c>
      <c r="J683" t="s">
        <v>451</v>
      </c>
      <c r="L683" t="str">
        <f>IFERROR(INDEX(Diccionario!$B:$B,MATCH(F683,Diccionario!$C:$C,0)),"")</f>
        <v>Contabilidad</v>
      </c>
      <c r="M683" t="str">
        <f>IFERROR(INDEX(Diccionario!$H:$H,MATCH(F683,Diccionario!$C:$C,0)),"")</f>
        <v>Contabilidad</v>
      </c>
      <c r="N683" t="str">
        <f>IFERROR(INDEX(Diccionario!$N:$N,MATCH(F683,Diccionario!$C:$C,0)),"")</f>
        <v>Mensual</v>
      </c>
    </row>
    <row r="684" spans="1:14" ht="14.25" customHeight="1" x14ac:dyDescent="0.3">
      <c r="A684" t="s">
        <v>547</v>
      </c>
      <c r="B684" t="s">
        <v>522</v>
      </c>
      <c r="C684" t="s">
        <v>523</v>
      </c>
      <c r="D684" t="s">
        <v>451</v>
      </c>
      <c r="E684" t="s">
        <v>524</v>
      </c>
      <c r="F684" t="s">
        <v>314</v>
      </c>
      <c r="H684" t="s">
        <v>578</v>
      </c>
      <c r="I684">
        <v>0</v>
      </c>
      <c r="J684" t="s">
        <v>451</v>
      </c>
      <c r="L684" t="str">
        <f>IFERROR(INDEX(Diccionario!$B:$B,MATCH(F684,Diccionario!$C:$C,0)),"")</f>
        <v>Contabilidad</v>
      </c>
      <c r="M684" t="str">
        <f>IFERROR(INDEX(Diccionario!$H:$H,MATCH(F684,Diccionario!$C:$C,0)),"")</f>
        <v>Contabilidad</v>
      </c>
      <c r="N684" t="str">
        <f>IFERROR(INDEX(Diccionario!$N:$N,MATCH(F684,Diccionario!$C:$C,0)),"")</f>
        <v>Mensual</v>
      </c>
    </row>
    <row r="685" spans="1:14" ht="14.25" customHeight="1" x14ac:dyDescent="0.3">
      <c r="A685" t="s">
        <v>547</v>
      </c>
      <c r="B685" t="s">
        <v>522</v>
      </c>
      <c r="C685" t="s">
        <v>523</v>
      </c>
      <c r="D685" t="s">
        <v>451</v>
      </c>
      <c r="E685" t="s">
        <v>524</v>
      </c>
      <c r="F685" t="s">
        <v>314</v>
      </c>
      <c r="H685" t="s">
        <v>570</v>
      </c>
      <c r="I685">
        <v>2300000</v>
      </c>
      <c r="J685" t="s">
        <v>451</v>
      </c>
      <c r="L685" t="str">
        <f>IFERROR(INDEX(Diccionario!$B:$B,MATCH(F685,Diccionario!$C:$C,0)),"")</f>
        <v>Contabilidad</v>
      </c>
      <c r="M685" t="str">
        <f>IFERROR(INDEX(Diccionario!$H:$H,MATCH(F685,Diccionario!$C:$C,0)),"")</f>
        <v>Contabilidad</v>
      </c>
      <c r="N685" t="str">
        <f>IFERROR(INDEX(Diccionario!$N:$N,MATCH(F685,Diccionario!$C:$C,0)),"")</f>
        <v>Mensual</v>
      </c>
    </row>
    <row r="686" spans="1:14" ht="14.25" customHeight="1" x14ac:dyDescent="0.3">
      <c r="A686" t="s">
        <v>548</v>
      </c>
      <c r="B686" t="s">
        <v>522</v>
      </c>
      <c r="C686" t="s">
        <v>523</v>
      </c>
      <c r="D686" t="s">
        <v>451</v>
      </c>
      <c r="E686" t="s">
        <v>524</v>
      </c>
      <c r="F686" t="s">
        <v>314</v>
      </c>
      <c r="H686" t="s">
        <v>565</v>
      </c>
      <c r="I686">
        <v>60800000</v>
      </c>
      <c r="J686" t="s">
        <v>451</v>
      </c>
      <c r="L686" t="str">
        <f>IFERROR(INDEX(Diccionario!$B:$B,MATCH(F686,Diccionario!$C:$C,0)),"")</f>
        <v>Contabilidad</v>
      </c>
      <c r="M686" t="str">
        <f>IFERROR(INDEX(Diccionario!$H:$H,MATCH(F686,Diccionario!$C:$C,0)),"")</f>
        <v>Contabilidad</v>
      </c>
      <c r="N686" t="str">
        <f>IFERROR(INDEX(Diccionario!$N:$N,MATCH(F686,Diccionario!$C:$C,0)),"")</f>
        <v>Mensual</v>
      </c>
    </row>
    <row r="687" spans="1:14" ht="14.25" customHeight="1" x14ac:dyDescent="0.3">
      <c r="A687" t="s">
        <v>548</v>
      </c>
      <c r="B687" t="s">
        <v>522</v>
      </c>
      <c r="C687" t="s">
        <v>523</v>
      </c>
      <c r="D687" t="s">
        <v>451</v>
      </c>
      <c r="E687" t="s">
        <v>524</v>
      </c>
      <c r="F687" t="s">
        <v>314</v>
      </c>
      <c r="H687" t="s">
        <v>577</v>
      </c>
      <c r="I687">
        <v>4300000</v>
      </c>
      <c r="J687" t="s">
        <v>451</v>
      </c>
      <c r="L687" t="str">
        <f>IFERROR(INDEX(Diccionario!$B:$B,MATCH(F687,Diccionario!$C:$C,0)),"")</f>
        <v>Contabilidad</v>
      </c>
      <c r="M687" t="str">
        <f>IFERROR(INDEX(Diccionario!$H:$H,MATCH(F687,Diccionario!$C:$C,0)),"")</f>
        <v>Contabilidad</v>
      </c>
      <c r="N687" t="str">
        <f>IFERROR(INDEX(Diccionario!$N:$N,MATCH(F687,Diccionario!$C:$C,0)),"")</f>
        <v>Mensual</v>
      </c>
    </row>
    <row r="688" spans="1:14" ht="14.25" customHeight="1" x14ac:dyDescent="0.3">
      <c r="A688" t="s">
        <v>548</v>
      </c>
      <c r="B688" t="s">
        <v>522</v>
      </c>
      <c r="C688" t="s">
        <v>523</v>
      </c>
      <c r="D688" t="s">
        <v>451</v>
      </c>
      <c r="E688" t="s">
        <v>524</v>
      </c>
      <c r="F688" t="s">
        <v>314</v>
      </c>
      <c r="H688" t="s">
        <v>569</v>
      </c>
      <c r="I688">
        <v>21900000</v>
      </c>
      <c r="J688" t="s">
        <v>451</v>
      </c>
      <c r="L688" t="str">
        <f>IFERROR(INDEX(Diccionario!$B:$B,MATCH(F688,Diccionario!$C:$C,0)),"")</f>
        <v>Contabilidad</v>
      </c>
      <c r="M688" t="str">
        <f>IFERROR(INDEX(Diccionario!$H:$H,MATCH(F688,Diccionario!$C:$C,0)),"")</f>
        <v>Contabilidad</v>
      </c>
      <c r="N688" t="str">
        <f>IFERROR(INDEX(Diccionario!$N:$N,MATCH(F688,Diccionario!$C:$C,0)),"")</f>
        <v>Mensual</v>
      </c>
    </row>
    <row r="689" spans="1:14" ht="14.25" customHeight="1" x14ac:dyDescent="0.3">
      <c r="A689" t="s">
        <v>548</v>
      </c>
      <c r="B689" t="s">
        <v>522</v>
      </c>
      <c r="C689" t="s">
        <v>523</v>
      </c>
      <c r="D689" t="s">
        <v>451</v>
      </c>
      <c r="E689" t="s">
        <v>524</v>
      </c>
      <c r="F689" t="s">
        <v>314</v>
      </c>
      <c r="H689" t="s">
        <v>578</v>
      </c>
      <c r="I689">
        <v>0</v>
      </c>
      <c r="J689" t="s">
        <v>451</v>
      </c>
      <c r="L689" t="str">
        <f>IFERROR(INDEX(Diccionario!$B:$B,MATCH(F689,Diccionario!$C:$C,0)),"")</f>
        <v>Contabilidad</v>
      </c>
      <c r="M689" t="str">
        <f>IFERROR(INDEX(Diccionario!$H:$H,MATCH(F689,Diccionario!$C:$C,0)),"")</f>
        <v>Contabilidad</v>
      </c>
      <c r="N689" t="str">
        <f>IFERROR(INDEX(Diccionario!$N:$N,MATCH(F689,Diccionario!$C:$C,0)),"")</f>
        <v>Mensual</v>
      </c>
    </row>
    <row r="690" spans="1:14" ht="14.25" customHeight="1" x14ac:dyDescent="0.3">
      <c r="A690" t="s">
        <v>548</v>
      </c>
      <c r="B690" t="s">
        <v>522</v>
      </c>
      <c r="C690" t="s">
        <v>523</v>
      </c>
      <c r="D690" t="s">
        <v>451</v>
      </c>
      <c r="E690" t="s">
        <v>524</v>
      </c>
      <c r="F690" t="s">
        <v>314</v>
      </c>
      <c r="H690" t="s">
        <v>570</v>
      </c>
      <c r="I690">
        <v>2300000</v>
      </c>
      <c r="J690" t="s">
        <v>451</v>
      </c>
      <c r="L690" t="str">
        <f>IFERROR(INDEX(Diccionario!$B:$B,MATCH(F690,Diccionario!$C:$C,0)),"")</f>
        <v>Contabilidad</v>
      </c>
      <c r="M690" t="str">
        <f>IFERROR(INDEX(Diccionario!$H:$H,MATCH(F690,Diccionario!$C:$C,0)),"")</f>
        <v>Contabilidad</v>
      </c>
      <c r="N690" t="str">
        <f>IFERROR(INDEX(Diccionario!$N:$N,MATCH(F690,Diccionario!$C:$C,0)),"")</f>
        <v>Mensual</v>
      </c>
    </row>
    <row r="691" spans="1:14" ht="14.25" customHeight="1" x14ac:dyDescent="0.3">
      <c r="A691" t="s">
        <v>549</v>
      </c>
      <c r="B691" t="s">
        <v>522</v>
      </c>
      <c r="C691" t="s">
        <v>523</v>
      </c>
      <c r="D691" t="s">
        <v>451</v>
      </c>
      <c r="E691" t="s">
        <v>524</v>
      </c>
      <c r="F691" t="s">
        <v>314</v>
      </c>
      <c r="H691" t="s">
        <v>565</v>
      </c>
      <c r="I691">
        <v>55300000</v>
      </c>
      <c r="J691" t="s">
        <v>451</v>
      </c>
      <c r="L691" t="str">
        <f>IFERROR(INDEX(Diccionario!$B:$B,MATCH(F691,Diccionario!$C:$C,0)),"")</f>
        <v>Contabilidad</v>
      </c>
      <c r="M691" t="str">
        <f>IFERROR(INDEX(Diccionario!$H:$H,MATCH(F691,Diccionario!$C:$C,0)),"")</f>
        <v>Contabilidad</v>
      </c>
      <c r="N691" t="str">
        <f>IFERROR(INDEX(Diccionario!$N:$N,MATCH(F691,Diccionario!$C:$C,0)),"")</f>
        <v>Mensual</v>
      </c>
    </row>
    <row r="692" spans="1:14" ht="14.25" customHeight="1" x14ac:dyDescent="0.3">
      <c r="A692" t="s">
        <v>549</v>
      </c>
      <c r="B692" t="s">
        <v>522</v>
      </c>
      <c r="C692" t="s">
        <v>523</v>
      </c>
      <c r="D692" t="s">
        <v>451</v>
      </c>
      <c r="E692" t="s">
        <v>524</v>
      </c>
      <c r="F692" t="s">
        <v>314</v>
      </c>
      <c r="H692" t="s">
        <v>577</v>
      </c>
      <c r="I692">
        <v>0</v>
      </c>
      <c r="J692" t="s">
        <v>451</v>
      </c>
      <c r="L692" t="str">
        <f>IFERROR(INDEX(Diccionario!$B:$B,MATCH(F692,Diccionario!$C:$C,0)),"")</f>
        <v>Contabilidad</v>
      </c>
      <c r="M692" t="str">
        <f>IFERROR(INDEX(Diccionario!$H:$H,MATCH(F692,Diccionario!$C:$C,0)),"")</f>
        <v>Contabilidad</v>
      </c>
      <c r="N692" t="str">
        <f>IFERROR(INDEX(Diccionario!$N:$N,MATCH(F692,Diccionario!$C:$C,0)),"")</f>
        <v>Mensual</v>
      </c>
    </row>
    <row r="693" spans="1:14" ht="14.25" customHeight="1" x14ac:dyDescent="0.3">
      <c r="A693" t="s">
        <v>549</v>
      </c>
      <c r="B693" t="s">
        <v>522</v>
      </c>
      <c r="C693" t="s">
        <v>523</v>
      </c>
      <c r="D693" t="s">
        <v>451</v>
      </c>
      <c r="E693" t="s">
        <v>524</v>
      </c>
      <c r="F693" t="s">
        <v>314</v>
      </c>
      <c r="H693" t="s">
        <v>569</v>
      </c>
      <c r="I693">
        <v>17400000</v>
      </c>
      <c r="J693" t="s">
        <v>451</v>
      </c>
      <c r="L693" t="str">
        <f>IFERROR(INDEX(Diccionario!$B:$B,MATCH(F693,Diccionario!$C:$C,0)),"")</f>
        <v>Contabilidad</v>
      </c>
      <c r="M693" t="str">
        <f>IFERROR(INDEX(Diccionario!$H:$H,MATCH(F693,Diccionario!$C:$C,0)),"")</f>
        <v>Contabilidad</v>
      </c>
      <c r="N693" t="str">
        <f>IFERROR(INDEX(Diccionario!$N:$N,MATCH(F693,Diccionario!$C:$C,0)),"")</f>
        <v>Mensual</v>
      </c>
    </row>
    <row r="694" spans="1:14" ht="14.25" customHeight="1" x14ac:dyDescent="0.3">
      <c r="A694" t="s">
        <v>549</v>
      </c>
      <c r="B694" t="s">
        <v>522</v>
      </c>
      <c r="C694" t="s">
        <v>523</v>
      </c>
      <c r="D694" t="s">
        <v>451</v>
      </c>
      <c r="E694" t="s">
        <v>524</v>
      </c>
      <c r="F694" t="s">
        <v>314</v>
      </c>
      <c r="H694" t="s">
        <v>578</v>
      </c>
      <c r="I694">
        <v>354000</v>
      </c>
      <c r="J694" t="s">
        <v>451</v>
      </c>
      <c r="L694" t="str">
        <f>IFERROR(INDEX(Diccionario!$B:$B,MATCH(F694,Diccionario!$C:$C,0)),"")</f>
        <v>Contabilidad</v>
      </c>
      <c r="M694" t="str">
        <f>IFERROR(INDEX(Diccionario!$H:$H,MATCH(F694,Diccionario!$C:$C,0)),"")</f>
        <v>Contabilidad</v>
      </c>
      <c r="N694" t="str">
        <f>IFERROR(INDEX(Diccionario!$N:$N,MATCH(F694,Diccionario!$C:$C,0)),"")</f>
        <v>Mensual</v>
      </c>
    </row>
    <row r="695" spans="1:14" ht="14.25" customHeight="1" x14ac:dyDescent="0.3">
      <c r="A695" t="s">
        <v>549</v>
      </c>
      <c r="B695" t="s">
        <v>522</v>
      </c>
      <c r="C695" t="s">
        <v>523</v>
      </c>
      <c r="D695" t="s">
        <v>451</v>
      </c>
      <c r="E695" t="s">
        <v>524</v>
      </c>
      <c r="F695" t="s">
        <v>314</v>
      </c>
      <c r="H695" t="s">
        <v>570</v>
      </c>
      <c r="I695">
        <v>307000</v>
      </c>
      <c r="J695" t="s">
        <v>451</v>
      </c>
      <c r="L695" t="str">
        <f>IFERROR(INDEX(Diccionario!$B:$B,MATCH(F695,Diccionario!$C:$C,0)),"")</f>
        <v>Contabilidad</v>
      </c>
      <c r="M695" t="str">
        <f>IFERROR(INDEX(Diccionario!$H:$H,MATCH(F695,Diccionario!$C:$C,0)),"")</f>
        <v>Contabilidad</v>
      </c>
      <c r="N695" t="str">
        <f>IFERROR(INDEX(Diccionario!$N:$N,MATCH(F695,Diccionario!$C:$C,0)),"")</f>
        <v>Mensual</v>
      </c>
    </row>
    <row r="696" spans="1:14" ht="14.25" customHeight="1" x14ac:dyDescent="0.3">
      <c r="A696" t="s">
        <v>551</v>
      </c>
      <c r="B696" t="s">
        <v>522</v>
      </c>
      <c r="C696" t="s">
        <v>523</v>
      </c>
      <c r="D696" t="s">
        <v>451</v>
      </c>
      <c r="E696" t="s">
        <v>524</v>
      </c>
      <c r="F696" t="s">
        <v>314</v>
      </c>
      <c r="H696" t="s">
        <v>565</v>
      </c>
      <c r="I696">
        <v>54800000</v>
      </c>
      <c r="J696" t="s">
        <v>451</v>
      </c>
      <c r="L696" t="str">
        <f>IFERROR(INDEX(Diccionario!$B:$B,MATCH(F696,Diccionario!$C:$C,0)),"")</f>
        <v>Contabilidad</v>
      </c>
      <c r="M696" t="str">
        <f>IFERROR(INDEX(Diccionario!$H:$H,MATCH(F696,Diccionario!$C:$C,0)),"")</f>
        <v>Contabilidad</v>
      </c>
      <c r="N696" t="str">
        <f>IFERROR(INDEX(Diccionario!$N:$N,MATCH(F696,Diccionario!$C:$C,0)),"")</f>
        <v>Mensual</v>
      </c>
    </row>
    <row r="697" spans="1:14" ht="14.25" customHeight="1" x14ac:dyDescent="0.3">
      <c r="A697" t="s">
        <v>551</v>
      </c>
      <c r="B697" t="s">
        <v>522</v>
      </c>
      <c r="C697" t="s">
        <v>523</v>
      </c>
      <c r="D697" t="s">
        <v>451</v>
      </c>
      <c r="E697" t="s">
        <v>524</v>
      </c>
      <c r="F697" t="s">
        <v>314</v>
      </c>
      <c r="H697" t="s">
        <v>577</v>
      </c>
      <c r="I697">
        <v>0</v>
      </c>
      <c r="J697" t="s">
        <v>451</v>
      </c>
      <c r="L697" t="str">
        <f>IFERROR(INDEX(Diccionario!$B:$B,MATCH(F697,Diccionario!$C:$C,0)),"")</f>
        <v>Contabilidad</v>
      </c>
      <c r="M697" t="str">
        <f>IFERROR(INDEX(Diccionario!$H:$H,MATCH(F697,Diccionario!$C:$C,0)),"")</f>
        <v>Contabilidad</v>
      </c>
      <c r="N697" t="str">
        <f>IFERROR(INDEX(Diccionario!$N:$N,MATCH(F697,Diccionario!$C:$C,0)),"")</f>
        <v>Mensual</v>
      </c>
    </row>
    <row r="698" spans="1:14" ht="14.25" customHeight="1" x14ac:dyDescent="0.3">
      <c r="A698" t="s">
        <v>551</v>
      </c>
      <c r="B698" t="s">
        <v>522</v>
      </c>
      <c r="C698" t="s">
        <v>523</v>
      </c>
      <c r="D698" t="s">
        <v>451</v>
      </c>
      <c r="E698" t="s">
        <v>524</v>
      </c>
      <c r="F698" t="s">
        <v>314</v>
      </c>
      <c r="H698" t="s">
        <v>569</v>
      </c>
      <c r="I698">
        <v>12400000</v>
      </c>
      <c r="J698" t="s">
        <v>451</v>
      </c>
      <c r="L698" t="str">
        <f>IFERROR(INDEX(Diccionario!$B:$B,MATCH(F698,Diccionario!$C:$C,0)),"")</f>
        <v>Contabilidad</v>
      </c>
      <c r="M698" t="str">
        <f>IFERROR(INDEX(Diccionario!$H:$H,MATCH(F698,Diccionario!$C:$C,0)),"")</f>
        <v>Contabilidad</v>
      </c>
      <c r="N698" t="str">
        <f>IFERROR(INDEX(Diccionario!$N:$N,MATCH(F698,Diccionario!$C:$C,0)),"")</f>
        <v>Mensual</v>
      </c>
    </row>
    <row r="699" spans="1:14" ht="14.25" customHeight="1" x14ac:dyDescent="0.3">
      <c r="A699" t="s">
        <v>551</v>
      </c>
      <c r="B699" t="s">
        <v>522</v>
      </c>
      <c r="C699" t="s">
        <v>523</v>
      </c>
      <c r="D699" t="s">
        <v>451</v>
      </c>
      <c r="E699" t="s">
        <v>524</v>
      </c>
      <c r="F699" t="s">
        <v>314</v>
      </c>
      <c r="H699" t="s">
        <v>578</v>
      </c>
      <c r="I699">
        <v>400000</v>
      </c>
      <c r="J699" t="s">
        <v>451</v>
      </c>
      <c r="L699" t="str">
        <f>IFERROR(INDEX(Diccionario!$B:$B,MATCH(F699,Diccionario!$C:$C,0)),"")</f>
        <v>Contabilidad</v>
      </c>
      <c r="M699" t="str">
        <f>IFERROR(INDEX(Diccionario!$H:$H,MATCH(F699,Diccionario!$C:$C,0)),"")</f>
        <v>Contabilidad</v>
      </c>
      <c r="N699" t="str">
        <f>IFERROR(INDEX(Diccionario!$N:$N,MATCH(F699,Diccionario!$C:$C,0)),"")</f>
        <v>Mensual</v>
      </c>
    </row>
    <row r="700" spans="1:14" ht="14.25" customHeight="1" x14ac:dyDescent="0.3">
      <c r="A700" t="s">
        <v>551</v>
      </c>
      <c r="B700" t="s">
        <v>522</v>
      </c>
      <c r="C700" t="s">
        <v>523</v>
      </c>
      <c r="D700" t="s">
        <v>451</v>
      </c>
      <c r="E700" t="s">
        <v>524</v>
      </c>
      <c r="F700" t="s">
        <v>314</v>
      </c>
      <c r="H700" t="s">
        <v>570</v>
      </c>
      <c r="I700">
        <v>7600000</v>
      </c>
      <c r="J700" t="s">
        <v>451</v>
      </c>
      <c r="L700" t="str">
        <f>IFERROR(INDEX(Diccionario!$B:$B,MATCH(F700,Diccionario!$C:$C,0)),"")</f>
        <v>Contabilidad</v>
      </c>
      <c r="M700" t="str">
        <f>IFERROR(INDEX(Diccionario!$H:$H,MATCH(F700,Diccionario!$C:$C,0)),"")</f>
        <v>Contabilidad</v>
      </c>
      <c r="N700" t="str">
        <f>IFERROR(INDEX(Diccionario!$N:$N,MATCH(F700,Diccionario!$C:$C,0)),"")</f>
        <v>Mensual</v>
      </c>
    </row>
    <row r="701" spans="1:14" ht="14.25" customHeight="1" x14ac:dyDescent="0.3">
      <c r="A701" t="s">
        <v>552</v>
      </c>
      <c r="B701" t="s">
        <v>522</v>
      </c>
      <c r="C701" t="s">
        <v>523</v>
      </c>
      <c r="D701" t="s">
        <v>451</v>
      </c>
      <c r="E701" t="s">
        <v>524</v>
      </c>
      <c r="F701" t="s">
        <v>314</v>
      </c>
      <c r="H701" t="s">
        <v>565</v>
      </c>
      <c r="I701">
        <v>56300000</v>
      </c>
      <c r="J701" t="s">
        <v>451</v>
      </c>
      <c r="L701" t="str">
        <f>IFERROR(INDEX(Diccionario!$B:$B,MATCH(F701,Diccionario!$C:$C,0)),"")</f>
        <v>Contabilidad</v>
      </c>
      <c r="M701" t="str">
        <f>IFERROR(INDEX(Diccionario!$H:$H,MATCH(F701,Diccionario!$C:$C,0)),"")</f>
        <v>Contabilidad</v>
      </c>
      <c r="N701" t="str">
        <f>IFERROR(INDEX(Diccionario!$N:$N,MATCH(F701,Diccionario!$C:$C,0)),"")</f>
        <v>Mensual</v>
      </c>
    </row>
    <row r="702" spans="1:14" ht="14.25" customHeight="1" x14ac:dyDescent="0.3">
      <c r="A702" t="s">
        <v>552</v>
      </c>
      <c r="B702" t="s">
        <v>522</v>
      </c>
      <c r="C702" t="s">
        <v>523</v>
      </c>
      <c r="D702" t="s">
        <v>451</v>
      </c>
      <c r="E702" t="s">
        <v>524</v>
      </c>
      <c r="F702" t="s">
        <v>314</v>
      </c>
      <c r="H702" t="s">
        <v>577</v>
      </c>
      <c r="I702">
        <v>0</v>
      </c>
      <c r="J702" t="s">
        <v>451</v>
      </c>
      <c r="L702" t="str">
        <f>IFERROR(INDEX(Diccionario!$B:$B,MATCH(F702,Diccionario!$C:$C,0)),"")</f>
        <v>Contabilidad</v>
      </c>
      <c r="M702" t="str">
        <f>IFERROR(INDEX(Diccionario!$H:$H,MATCH(F702,Diccionario!$C:$C,0)),"")</f>
        <v>Contabilidad</v>
      </c>
      <c r="N702" t="str">
        <f>IFERROR(INDEX(Diccionario!$N:$N,MATCH(F702,Diccionario!$C:$C,0)),"")</f>
        <v>Mensual</v>
      </c>
    </row>
    <row r="703" spans="1:14" ht="14.25" customHeight="1" x14ac:dyDescent="0.3">
      <c r="A703" t="s">
        <v>552</v>
      </c>
      <c r="B703" t="s">
        <v>522</v>
      </c>
      <c r="C703" t="s">
        <v>523</v>
      </c>
      <c r="D703" t="s">
        <v>451</v>
      </c>
      <c r="E703" t="s">
        <v>524</v>
      </c>
      <c r="F703" t="s">
        <v>314</v>
      </c>
      <c r="H703" t="s">
        <v>569</v>
      </c>
      <c r="I703">
        <v>11300000</v>
      </c>
      <c r="J703" t="s">
        <v>451</v>
      </c>
      <c r="L703" t="str">
        <f>IFERROR(INDEX(Diccionario!$B:$B,MATCH(F703,Diccionario!$C:$C,0)),"")</f>
        <v>Contabilidad</v>
      </c>
      <c r="M703" t="str">
        <f>IFERROR(INDEX(Diccionario!$H:$H,MATCH(F703,Diccionario!$C:$C,0)),"")</f>
        <v>Contabilidad</v>
      </c>
      <c r="N703" t="str">
        <f>IFERROR(INDEX(Diccionario!$N:$N,MATCH(F703,Diccionario!$C:$C,0)),"")</f>
        <v>Mensual</v>
      </c>
    </row>
    <row r="704" spans="1:14" ht="14.25" customHeight="1" x14ac:dyDescent="0.3">
      <c r="A704" t="s">
        <v>552</v>
      </c>
      <c r="B704" t="s">
        <v>522</v>
      </c>
      <c r="C704" t="s">
        <v>523</v>
      </c>
      <c r="D704" t="s">
        <v>451</v>
      </c>
      <c r="E704" t="s">
        <v>524</v>
      </c>
      <c r="F704" t="s">
        <v>314</v>
      </c>
      <c r="H704" t="s">
        <v>578</v>
      </c>
      <c r="I704">
        <v>516000</v>
      </c>
      <c r="J704" t="s">
        <v>451</v>
      </c>
      <c r="L704" t="str">
        <f>IFERROR(INDEX(Diccionario!$B:$B,MATCH(F704,Diccionario!$C:$C,0)),"")</f>
        <v>Contabilidad</v>
      </c>
      <c r="M704" t="str">
        <f>IFERROR(INDEX(Diccionario!$H:$H,MATCH(F704,Diccionario!$C:$C,0)),"")</f>
        <v>Contabilidad</v>
      </c>
      <c r="N704" t="str">
        <f>IFERROR(INDEX(Diccionario!$N:$N,MATCH(F704,Diccionario!$C:$C,0)),"")</f>
        <v>Mensual</v>
      </c>
    </row>
    <row r="705" spans="1:14" ht="14.25" customHeight="1" x14ac:dyDescent="0.3">
      <c r="A705" t="s">
        <v>552</v>
      </c>
      <c r="B705" t="s">
        <v>522</v>
      </c>
      <c r="C705" t="s">
        <v>523</v>
      </c>
      <c r="D705" t="s">
        <v>451</v>
      </c>
      <c r="E705" t="s">
        <v>524</v>
      </c>
      <c r="F705" t="s">
        <v>314</v>
      </c>
      <c r="H705" t="s">
        <v>570</v>
      </c>
      <c r="I705">
        <v>8100000</v>
      </c>
      <c r="J705" t="s">
        <v>451</v>
      </c>
      <c r="L705" t="str">
        <f>IFERROR(INDEX(Diccionario!$B:$B,MATCH(F705,Diccionario!$C:$C,0)),"")</f>
        <v>Contabilidad</v>
      </c>
      <c r="M705" t="str">
        <f>IFERROR(INDEX(Diccionario!$H:$H,MATCH(F705,Diccionario!$C:$C,0)),"")</f>
        <v>Contabilidad</v>
      </c>
      <c r="N705" t="str">
        <f>IFERROR(INDEX(Diccionario!$N:$N,MATCH(F705,Diccionario!$C:$C,0)),"")</f>
        <v>Mensual</v>
      </c>
    </row>
    <row r="706" spans="1:14" ht="14.25" customHeight="1" x14ac:dyDescent="0.3">
      <c r="A706" t="s">
        <v>553</v>
      </c>
      <c r="B706" t="s">
        <v>522</v>
      </c>
      <c r="C706" t="s">
        <v>523</v>
      </c>
      <c r="D706" t="s">
        <v>451</v>
      </c>
      <c r="E706" t="s">
        <v>524</v>
      </c>
      <c r="F706" t="s">
        <v>314</v>
      </c>
      <c r="H706" t="s">
        <v>565</v>
      </c>
      <c r="I706">
        <v>86400000</v>
      </c>
      <c r="J706" t="s">
        <v>451</v>
      </c>
      <c r="L706" t="str">
        <f>IFERROR(INDEX(Diccionario!$B:$B,MATCH(F706,Diccionario!$C:$C,0)),"")</f>
        <v>Contabilidad</v>
      </c>
      <c r="M706" t="str">
        <f>IFERROR(INDEX(Diccionario!$H:$H,MATCH(F706,Diccionario!$C:$C,0)),"")</f>
        <v>Contabilidad</v>
      </c>
      <c r="N706" t="str">
        <f>IFERROR(INDEX(Diccionario!$N:$N,MATCH(F706,Diccionario!$C:$C,0)),"")</f>
        <v>Mensual</v>
      </c>
    </row>
    <row r="707" spans="1:14" ht="14.25" customHeight="1" x14ac:dyDescent="0.3">
      <c r="A707" t="s">
        <v>553</v>
      </c>
      <c r="B707" t="s">
        <v>522</v>
      </c>
      <c r="C707" t="s">
        <v>523</v>
      </c>
      <c r="D707" t="s">
        <v>451</v>
      </c>
      <c r="E707" t="s">
        <v>524</v>
      </c>
      <c r="F707" t="s">
        <v>314</v>
      </c>
      <c r="H707" t="s">
        <v>577</v>
      </c>
      <c r="I707">
        <v>0</v>
      </c>
      <c r="J707" t="s">
        <v>451</v>
      </c>
      <c r="L707" t="str">
        <f>IFERROR(INDEX(Diccionario!$B:$B,MATCH(F707,Diccionario!$C:$C,0)),"")</f>
        <v>Contabilidad</v>
      </c>
      <c r="M707" t="str">
        <f>IFERROR(INDEX(Diccionario!$H:$H,MATCH(F707,Diccionario!$C:$C,0)),"")</f>
        <v>Contabilidad</v>
      </c>
      <c r="N707" t="str">
        <f>IFERROR(INDEX(Diccionario!$N:$N,MATCH(F707,Diccionario!$C:$C,0)),"")</f>
        <v>Mensual</v>
      </c>
    </row>
    <row r="708" spans="1:14" ht="14.25" customHeight="1" x14ac:dyDescent="0.3">
      <c r="A708" t="s">
        <v>553</v>
      </c>
      <c r="B708" t="s">
        <v>522</v>
      </c>
      <c r="C708" t="s">
        <v>523</v>
      </c>
      <c r="D708" t="s">
        <v>451</v>
      </c>
      <c r="E708" t="s">
        <v>524</v>
      </c>
      <c r="F708" t="s">
        <v>314</v>
      </c>
      <c r="H708" t="s">
        <v>569</v>
      </c>
      <c r="I708">
        <v>14800000</v>
      </c>
      <c r="J708" t="s">
        <v>451</v>
      </c>
      <c r="L708" t="str">
        <f>IFERROR(INDEX(Diccionario!$B:$B,MATCH(F708,Diccionario!$C:$C,0)),"")</f>
        <v>Contabilidad</v>
      </c>
      <c r="M708" t="str">
        <f>IFERROR(INDEX(Diccionario!$H:$H,MATCH(F708,Diccionario!$C:$C,0)),"")</f>
        <v>Contabilidad</v>
      </c>
      <c r="N708" t="str">
        <f>IFERROR(INDEX(Diccionario!$N:$N,MATCH(F708,Diccionario!$C:$C,0)),"")</f>
        <v>Mensual</v>
      </c>
    </row>
    <row r="709" spans="1:14" ht="14.25" customHeight="1" x14ac:dyDescent="0.3">
      <c r="A709" t="s">
        <v>553</v>
      </c>
      <c r="B709" t="s">
        <v>522</v>
      </c>
      <c r="C709" t="s">
        <v>523</v>
      </c>
      <c r="D709" t="s">
        <v>451</v>
      </c>
      <c r="E709" t="s">
        <v>524</v>
      </c>
      <c r="F709" t="s">
        <v>314</v>
      </c>
      <c r="H709" t="s">
        <v>578</v>
      </c>
      <c r="I709">
        <v>900000</v>
      </c>
      <c r="J709" t="s">
        <v>451</v>
      </c>
      <c r="L709" t="str">
        <f>IFERROR(INDEX(Diccionario!$B:$B,MATCH(F709,Diccionario!$C:$C,0)),"")</f>
        <v>Contabilidad</v>
      </c>
      <c r="M709" t="str">
        <f>IFERROR(INDEX(Diccionario!$H:$H,MATCH(F709,Diccionario!$C:$C,0)),"")</f>
        <v>Contabilidad</v>
      </c>
      <c r="N709" t="str">
        <f>IFERROR(INDEX(Diccionario!$N:$N,MATCH(F709,Diccionario!$C:$C,0)),"")</f>
        <v>Mensual</v>
      </c>
    </row>
    <row r="710" spans="1:14" ht="14.25" customHeight="1" x14ac:dyDescent="0.3">
      <c r="A710" t="s">
        <v>553</v>
      </c>
      <c r="B710" t="s">
        <v>522</v>
      </c>
      <c r="C710" t="s">
        <v>523</v>
      </c>
      <c r="D710" t="s">
        <v>451</v>
      </c>
      <c r="E710" t="s">
        <v>524</v>
      </c>
      <c r="F710" t="s">
        <v>314</v>
      </c>
      <c r="H710" t="s">
        <v>570</v>
      </c>
      <c r="I710">
        <v>21800000</v>
      </c>
      <c r="J710" t="s">
        <v>451</v>
      </c>
      <c r="L710" t="str">
        <f>IFERROR(INDEX(Diccionario!$B:$B,MATCH(F710,Diccionario!$C:$C,0)),"")</f>
        <v>Contabilidad</v>
      </c>
      <c r="M710" t="str">
        <f>IFERROR(INDEX(Diccionario!$H:$H,MATCH(F710,Diccionario!$C:$C,0)),"")</f>
        <v>Contabilidad</v>
      </c>
      <c r="N710" t="str">
        <f>IFERROR(INDEX(Diccionario!$N:$N,MATCH(F710,Diccionario!$C:$C,0)),"")</f>
        <v>Mensual</v>
      </c>
    </row>
    <row r="711" spans="1:14" ht="14.25" customHeight="1" x14ac:dyDescent="0.3">
      <c r="A711" t="s">
        <v>554</v>
      </c>
      <c r="B711" t="s">
        <v>522</v>
      </c>
      <c r="C711" t="s">
        <v>523</v>
      </c>
      <c r="D711" t="s">
        <v>451</v>
      </c>
      <c r="E711" t="s">
        <v>524</v>
      </c>
      <c r="F711" t="s">
        <v>314</v>
      </c>
      <c r="H711" t="s">
        <v>565</v>
      </c>
      <c r="I711">
        <v>92900000</v>
      </c>
      <c r="J711" t="s">
        <v>451</v>
      </c>
      <c r="L711" t="str">
        <f>IFERROR(INDEX(Diccionario!$B:$B,MATCH(F711,Diccionario!$C:$C,0)),"")</f>
        <v>Contabilidad</v>
      </c>
      <c r="M711" t="str">
        <f>IFERROR(INDEX(Diccionario!$H:$H,MATCH(F711,Diccionario!$C:$C,0)),"")</f>
        <v>Contabilidad</v>
      </c>
      <c r="N711" t="str">
        <f>IFERROR(INDEX(Diccionario!$N:$N,MATCH(F711,Diccionario!$C:$C,0)),"")</f>
        <v>Mensual</v>
      </c>
    </row>
    <row r="712" spans="1:14" ht="14.25" customHeight="1" x14ac:dyDescent="0.3">
      <c r="A712" t="s">
        <v>554</v>
      </c>
      <c r="B712" t="s">
        <v>522</v>
      </c>
      <c r="C712" t="s">
        <v>523</v>
      </c>
      <c r="D712" t="s">
        <v>451</v>
      </c>
      <c r="E712" t="s">
        <v>524</v>
      </c>
      <c r="F712" t="s">
        <v>314</v>
      </c>
      <c r="H712" t="s">
        <v>577</v>
      </c>
      <c r="I712">
        <v>0</v>
      </c>
      <c r="J712" t="s">
        <v>451</v>
      </c>
      <c r="L712" t="str">
        <f>IFERROR(INDEX(Diccionario!$B:$B,MATCH(F712,Diccionario!$C:$C,0)),"")</f>
        <v>Contabilidad</v>
      </c>
      <c r="M712" t="str">
        <f>IFERROR(INDEX(Diccionario!$H:$H,MATCH(F712,Diccionario!$C:$C,0)),"")</f>
        <v>Contabilidad</v>
      </c>
      <c r="N712" t="str">
        <f>IFERROR(INDEX(Diccionario!$N:$N,MATCH(F712,Diccionario!$C:$C,0)),"")</f>
        <v>Mensual</v>
      </c>
    </row>
    <row r="713" spans="1:14" ht="14.25" customHeight="1" x14ac:dyDescent="0.3">
      <c r="A713" t="s">
        <v>554</v>
      </c>
      <c r="B713" t="s">
        <v>522</v>
      </c>
      <c r="C713" t="s">
        <v>523</v>
      </c>
      <c r="D713" t="s">
        <v>451</v>
      </c>
      <c r="E713" t="s">
        <v>524</v>
      </c>
      <c r="F713" t="s">
        <v>314</v>
      </c>
      <c r="H713" t="s">
        <v>569</v>
      </c>
      <c r="I713">
        <v>11200000</v>
      </c>
      <c r="J713" t="s">
        <v>451</v>
      </c>
      <c r="L713" t="str">
        <f>IFERROR(INDEX(Diccionario!$B:$B,MATCH(F713,Diccionario!$C:$C,0)),"")</f>
        <v>Contabilidad</v>
      </c>
      <c r="M713" t="str">
        <f>IFERROR(INDEX(Diccionario!$H:$H,MATCH(F713,Diccionario!$C:$C,0)),"")</f>
        <v>Contabilidad</v>
      </c>
      <c r="N713" t="str">
        <f>IFERROR(INDEX(Diccionario!$N:$N,MATCH(F713,Diccionario!$C:$C,0)),"")</f>
        <v>Mensual</v>
      </c>
    </row>
    <row r="714" spans="1:14" ht="14.25" customHeight="1" x14ac:dyDescent="0.3">
      <c r="A714" t="s">
        <v>554</v>
      </c>
      <c r="B714" t="s">
        <v>522</v>
      </c>
      <c r="C714" t="s">
        <v>523</v>
      </c>
      <c r="D714" t="s">
        <v>451</v>
      </c>
      <c r="E714" t="s">
        <v>524</v>
      </c>
      <c r="F714" t="s">
        <v>314</v>
      </c>
      <c r="H714" t="s">
        <v>578</v>
      </c>
      <c r="I714">
        <v>0</v>
      </c>
      <c r="J714" t="s">
        <v>451</v>
      </c>
      <c r="L714" t="str">
        <f>IFERROR(INDEX(Diccionario!$B:$B,MATCH(F714,Diccionario!$C:$C,0)),"")</f>
        <v>Contabilidad</v>
      </c>
      <c r="M714" t="str">
        <f>IFERROR(INDEX(Diccionario!$H:$H,MATCH(F714,Diccionario!$C:$C,0)),"")</f>
        <v>Contabilidad</v>
      </c>
      <c r="N714" t="str">
        <f>IFERROR(INDEX(Diccionario!$N:$N,MATCH(F714,Diccionario!$C:$C,0)),"")</f>
        <v>Mensual</v>
      </c>
    </row>
    <row r="715" spans="1:14" ht="14.25" customHeight="1" x14ac:dyDescent="0.3">
      <c r="A715" t="s">
        <v>554</v>
      </c>
      <c r="B715" t="s">
        <v>522</v>
      </c>
      <c r="C715" t="s">
        <v>523</v>
      </c>
      <c r="D715" t="s">
        <v>451</v>
      </c>
      <c r="E715" t="s">
        <v>524</v>
      </c>
      <c r="F715" t="s">
        <v>314</v>
      </c>
      <c r="H715" t="s">
        <v>570</v>
      </c>
      <c r="I715">
        <v>16300000</v>
      </c>
      <c r="J715" t="s">
        <v>451</v>
      </c>
      <c r="L715" t="str">
        <f>IFERROR(INDEX(Diccionario!$B:$B,MATCH(F715,Diccionario!$C:$C,0)),"")</f>
        <v>Contabilidad</v>
      </c>
      <c r="M715" t="str">
        <f>IFERROR(INDEX(Diccionario!$H:$H,MATCH(F715,Diccionario!$C:$C,0)),"")</f>
        <v>Contabilidad</v>
      </c>
      <c r="N715" t="str">
        <f>IFERROR(INDEX(Diccionario!$N:$N,MATCH(F715,Diccionario!$C:$C,0)),"")</f>
        <v>Mensual</v>
      </c>
    </row>
    <row r="716" spans="1:14" ht="14.25" customHeight="1" x14ac:dyDescent="0.3">
      <c r="A716" t="s">
        <v>521</v>
      </c>
      <c r="B716" t="s">
        <v>522</v>
      </c>
      <c r="C716" t="s">
        <v>523</v>
      </c>
      <c r="D716" t="s">
        <v>451</v>
      </c>
      <c r="E716" t="s">
        <v>524</v>
      </c>
      <c r="F716" t="s">
        <v>371</v>
      </c>
      <c r="H716" t="s">
        <v>565</v>
      </c>
      <c r="I716">
        <v>102000000</v>
      </c>
      <c r="J716" t="s">
        <v>451</v>
      </c>
      <c r="L716" t="str">
        <f>IFERROR(INDEX(Diccionario!$B:$B,MATCH(F716,Diccionario!$C:$C,0)),"")</f>
        <v>Contabilidad</v>
      </c>
      <c r="M716" t="str">
        <f>IFERROR(INDEX(Diccionario!$H:$H,MATCH(F716,Diccionario!$C:$C,0)),"")</f>
        <v>Contabilidad</v>
      </c>
      <c r="N716" t="str">
        <f>IFERROR(INDEX(Diccionario!$N:$N,MATCH(F716,Diccionario!$C:$C,0)),"")</f>
        <v>Mensual</v>
      </c>
    </row>
    <row r="717" spans="1:14" ht="14.25" customHeight="1" x14ac:dyDescent="0.3">
      <c r="A717" t="s">
        <v>521</v>
      </c>
      <c r="B717" t="s">
        <v>522</v>
      </c>
      <c r="C717" t="s">
        <v>523</v>
      </c>
      <c r="D717" t="s">
        <v>451</v>
      </c>
      <c r="E717" t="s">
        <v>524</v>
      </c>
      <c r="F717" t="s">
        <v>371</v>
      </c>
      <c r="H717" t="s">
        <v>566</v>
      </c>
      <c r="I717">
        <v>6000000</v>
      </c>
      <c r="J717" t="s">
        <v>451</v>
      </c>
      <c r="L717" t="str">
        <f>IFERROR(INDEX(Diccionario!$B:$B,MATCH(F717,Diccionario!$C:$C,0)),"")</f>
        <v>Contabilidad</v>
      </c>
      <c r="M717" t="str">
        <f>IFERROR(INDEX(Diccionario!$H:$H,MATCH(F717,Diccionario!$C:$C,0)),"")</f>
        <v>Contabilidad</v>
      </c>
      <c r="N717" t="str">
        <f>IFERROR(INDEX(Diccionario!$N:$N,MATCH(F717,Diccionario!$C:$C,0)),"")</f>
        <v>Mensual</v>
      </c>
    </row>
    <row r="718" spans="1:14" ht="14.25" customHeight="1" x14ac:dyDescent="0.3">
      <c r="A718" t="s">
        <v>521</v>
      </c>
      <c r="B718" t="s">
        <v>522</v>
      </c>
      <c r="C718" t="s">
        <v>523</v>
      </c>
      <c r="D718" t="s">
        <v>451</v>
      </c>
      <c r="E718" t="s">
        <v>524</v>
      </c>
      <c r="F718" t="s">
        <v>371</v>
      </c>
      <c r="H718" t="s">
        <v>569</v>
      </c>
      <c r="I718">
        <v>9000000</v>
      </c>
      <c r="J718" t="s">
        <v>451</v>
      </c>
      <c r="L718" t="str">
        <f>IFERROR(INDEX(Diccionario!$B:$B,MATCH(F718,Diccionario!$C:$C,0)),"")</f>
        <v>Contabilidad</v>
      </c>
      <c r="M718" t="str">
        <f>IFERROR(INDEX(Diccionario!$H:$H,MATCH(F718,Diccionario!$C:$C,0)),"")</f>
        <v>Contabilidad</v>
      </c>
      <c r="N718" t="str">
        <f>IFERROR(INDEX(Diccionario!$N:$N,MATCH(F718,Diccionario!$C:$C,0)),"")</f>
        <v>Mensual</v>
      </c>
    </row>
    <row r="719" spans="1:14" ht="14.25" customHeight="1" x14ac:dyDescent="0.3">
      <c r="A719" t="s">
        <v>521</v>
      </c>
      <c r="B719" t="s">
        <v>522</v>
      </c>
      <c r="C719" t="s">
        <v>523</v>
      </c>
      <c r="D719" t="s">
        <v>451</v>
      </c>
      <c r="E719" t="s">
        <v>524</v>
      </c>
      <c r="F719" t="s">
        <v>371</v>
      </c>
      <c r="H719" t="s">
        <v>570</v>
      </c>
      <c r="I719">
        <v>1000000</v>
      </c>
      <c r="J719" t="s">
        <v>451</v>
      </c>
      <c r="L719" t="str">
        <f>IFERROR(INDEX(Diccionario!$B:$B,MATCH(F719,Diccionario!$C:$C,0)),"")</f>
        <v>Contabilidad</v>
      </c>
      <c r="M719" t="str">
        <f>IFERROR(INDEX(Diccionario!$H:$H,MATCH(F719,Diccionario!$C:$C,0)),"")</f>
        <v>Contabilidad</v>
      </c>
      <c r="N719" t="str">
        <f>IFERROR(INDEX(Diccionario!$N:$N,MATCH(F719,Diccionario!$C:$C,0)),"")</f>
        <v>Mensual</v>
      </c>
    </row>
    <row r="720" spans="1:14" ht="14.25" customHeight="1" x14ac:dyDescent="0.3">
      <c r="A720" t="s">
        <v>526</v>
      </c>
      <c r="B720" t="s">
        <v>522</v>
      </c>
      <c r="C720" t="s">
        <v>523</v>
      </c>
      <c r="D720" t="s">
        <v>451</v>
      </c>
      <c r="E720" t="s">
        <v>524</v>
      </c>
      <c r="F720" t="s">
        <v>371</v>
      </c>
      <c r="H720" t="s">
        <v>565</v>
      </c>
      <c r="I720">
        <v>99000000</v>
      </c>
      <c r="J720" t="s">
        <v>451</v>
      </c>
      <c r="L720" t="str">
        <f>IFERROR(INDEX(Diccionario!$B:$B,MATCH(F720,Diccionario!$C:$C,0)),"")</f>
        <v>Contabilidad</v>
      </c>
      <c r="M720" t="str">
        <f>IFERROR(INDEX(Diccionario!$H:$H,MATCH(F720,Diccionario!$C:$C,0)),"")</f>
        <v>Contabilidad</v>
      </c>
      <c r="N720" t="str">
        <f>IFERROR(INDEX(Diccionario!$N:$N,MATCH(F720,Diccionario!$C:$C,0)),"")</f>
        <v>Mensual</v>
      </c>
    </row>
    <row r="721" spans="1:14" ht="14.25" customHeight="1" x14ac:dyDescent="0.3">
      <c r="A721" t="s">
        <v>526</v>
      </c>
      <c r="B721" t="s">
        <v>522</v>
      </c>
      <c r="C721" t="s">
        <v>523</v>
      </c>
      <c r="D721" t="s">
        <v>451</v>
      </c>
      <c r="E721" t="s">
        <v>524</v>
      </c>
      <c r="F721" t="s">
        <v>371</v>
      </c>
      <c r="H721" t="s">
        <v>566</v>
      </c>
      <c r="I721">
        <v>6000000</v>
      </c>
      <c r="J721" t="s">
        <v>451</v>
      </c>
      <c r="L721" t="str">
        <f>IFERROR(INDEX(Diccionario!$B:$B,MATCH(F721,Diccionario!$C:$C,0)),"")</f>
        <v>Contabilidad</v>
      </c>
      <c r="M721" t="str">
        <f>IFERROR(INDEX(Diccionario!$H:$H,MATCH(F721,Diccionario!$C:$C,0)),"")</f>
        <v>Contabilidad</v>
      </c>
      <c r="N721" t="str">
        <f>IFERROR(INDEX(Diccionario!$N:$N,MATCH(F721,Diccionario!$C:$C,0)),"")</f>
        <v>Mensual</v>
      </c>
    </row>
    <row r="722" spans="1:14" ht="14.25" customHeight="1" x14ac:dyDescent="0.3">
      <c r="A722" t="s">
        <v>526</v>
      </c>
      <c r="B722" t="s">
        <v>522</v>
      </c>
      <c r="C722" t="s">
        <v>523</v>
      </c>
      <c r="D722" t="s">
        <v>451</v>
      </c>
      <c r="E722" t="s">
        <v>524</v>
      </c>
      <c r="F722" t="s">
        <v>371</v>
      </c>
      <c r="H722" t="s">
        <v>569</v>
      </c>
      <c r="I722">
        <v>2000000</v>
      </c>
      <c r="J722" t="s">
        <v>451</v>
      </c>
      <c r="L722" t="str">
        <f>IFERROR(INDEX(Diccionario!$B:$B,MATCH(F722,Diccionario!$C:$C,0)),"")</f>
        <v>Contabilidad</v>
      </c>
      <c r="M722" t="str">
        <f>IFERROR(INDEX(Diccionario!$H:$H,MATCH(F722,Diccionario!$C:$C,0)),"")</f>
        <v>Contabilidad</v>
      </c>
      <c r="N722" t="str">
        <f>IFERROR(INDEX(Diccionario!$N:$N,MATCH(F722,Diccionario!$C:$C,0)),"")</f>
        <v>Mensual</v>
      </c>
    </row>
    <row r="723" spans="1:14" ht="14.25" customHeight="1" x14ac:dyDescent="0.3">
      <c r="A723" t="s">
        <v>526</v>
      </c>
      <c r="B723" t="s">
        <v>522</v>
      </c>
      <c r="C723" t="s">
        <v>523</v>
      </c>
      <c r="D723" t="s">
        <v>451</v>
      </c>
      <c r="E723" t="s">
        <v>524</v>
      </c>
      <c r="F723" t="s">
        <v>371</v>
      </c>
      <c r="H723" t="s">
        <v>570</v>
      </c>
      <c r="I723">
        <v>0</v>
      </c>
      <c r="J723" t="s">
        <v>451</v>
      </c>
      <c r="L723" t="str">
        <f>IFERROR(INDEX(Diccionario!$B:$B,MATCH(F723,Diccionario!$C:$C,0)),"")</f>
        <v>Contabilidad</v>
      </c>
      <c r="M723" t="str">
        <f>IFERROR(INDEX(Diccionario!$H:$H,MATCH(F723,Diccionario!$C:$C,0)),"")</f>
        <v>Contabilidad</v>
      </c>
      <c r="N723" t="str">
        <f>IFERROR(INDEX(Diccionario!$N:$N,MATCH(F723,Diccionario!$C:$C,0)),"")</f>
        <v>Mensual</v>
      </c>
    </row>
    <row r="724" spans="1:14" ht="14.25" customHeight="1" x14ac:dyDescent="0.3">
      <c r="A724" t="s">
        <v>527</v>
      </c>
      <c r="B724" t="s">
        <v>522</v>
      </c>
      <c r="C724" t="s">
        <v>523</v>
      </c>
      <c r="D724" t="s">
        <v>451</v>
      </c>
      <c r="E724" t="s">
        <v>524</v>
      </c>
      <c r="F724" t="s">
        <v>371</v>
      </c>
      <c r="H724" t="s">
        <v>565</v>
      </c>
      <c r="I724">
        <v>103000000</v>
      </c>
      <c r="J724" t="s">
        <v>451</v>
      </c>
      <c r="L724" t="str">
        <f>IFERROR(INDEX(Diccionario!$B:$B,MATCH(F724,Diccionario!$C:$C,0)),"")</f>
        <v>Contabilidad</v>
      </c>
      <c r="M724" t="str">
        <f>IFERROR(INDEX(Diccionario!$H:$H,MATCH(F724,Diccionario!$C:$C,0)),"")</f>
        <v>Contabilidad</v>
      </c>
      <c r="N724" t="str">
        <f>IFERROR(INDEX(Diccionario!$N:$N,MATCH(F724,Diccionario!$C:$C,0)),"")</f>
        <v>Mensual</v>
      </c>
    </row>
    <row r="725" spans="1:14" ht="14.25" customHeight="1" x14ac:dyDescent="0.3">
      <c r="A725" t="s">
        <v>527</v>
      </c>
      <c r="B725" t="s">
        <v>522</v>
      </c>
      <c r="C725" t="s">
        <v>523</v>
      </c>
      <c r="D725" t="s">
        <v>451</v>
      </c>
      <c r="E725" t="s">
        <v>524</v>
      </c>
      <c r="F725" t="s">
        <v>371</v>
      </c>
      <c r="H725" t="s">
        <v>566</v>
      </c>
      <c r="I725">
        <v>12000000</v>
      </c>
      <c r="J725" t="s">
        <v>451</v>
      </c>
      <c r="L725" t="str">
        <f>IFERROR(INDEX(Diccionario!$B:$B,MATCH(F725,Diccionario!$C:$C,0)),"")</f>
        <v>Contabilidad</v>
      </c>
      <c r="M725" t="str">
        <f>IFERROR(INDEX(Diccionario!$H:$H,MATCH(F725,Diccionario!$C:$C,0)),"")</f>
        <v>Contabilidad</v>
      </c>
      <c r="N725" t="str">
        <f>IFERROR(INDEX(Diccionario!$N:$N,MATCH(F725,Diccionario!$C:$C,0)),"")</f>
        <v>Mensual</v>
      </c>
    </row>
    <row r="726" spans="1:14" ht="14.25" customHeight="1" x14ac:dyDescent="0.3">
      <c r="A726" t="s">
        <v>527</v>
      </c>
      <c r="B726" t="s">
        <v>522</v>
      </c>
      <c r="C726" t="s">
        <v>523</v>
      </c>
      <c r="D726" t="s">
        <v>451</v>
      </c>
      <c r="E726" t="s">
        <v>524</v>
      </c>
      <c r="F726" t="s">
        <v>371</v>
      </c>
      <c r="H726" t="s">
        <v>569</v>
      </c>
      <c r="I726">
        <v>0</v>
      </c>
      <c r="J726" t="s">
        <v>451</v>
      </c>
      <c r="L726" t="str">
        <f>IFERROR(INDEX(Diccionario!$B:$B,MATCH(F726,Diccionario!$C:$C,0)),"")</f>
        <v>Contabilidad</v>
      </c>
      <c r="M726" t="str">
        <f>IFERROR(INDEX(Diccionario!$H:$H,MATCH(F726,Diccionario!$C:$C,0)),"")</f>
        <v>Contabilidad</v>
      </c>
      <c r="N726" t="str">
        <f>IFERROR(INDEX(Diccionario!$N:$N,MATCH(F726,Diccionario!$C:$C,0)),"")</f>
        <v>Mensual</v>
      </c>
    </row>
    <row r="727" spans="1:14" ht="14.25" customHeight="1" x14ac:dyDescent="0.3">
      <c r="A727" t="s">
        <v>527</v>
      </c>
      <c r="B727" t="s">
        <v>522</v>
      </c>
      <c r="C727" t="s">
        <v>523</v>
      </c>
      <c r="D727" t="s">
        <v>451</v>
      </c>
      <c r="E727" t="s">
        <v>524</v>
      </c>
      <c r="F727" t="s">
        <v>371</v>
      </c>
      <c r="H727" t="s">
        <v>570</v>
      </c>
      <c r="I727">
        <v>0</v>
      </c>
      <c r="J727" t="s">
        <v>451</v>
      </c>
      <c r="L727" t="str">
        <f>IFERROR(INDEX(Diccionario!$B:$B,MATCH(F727,Diccionario!$C:$C,0)),"")</f>
        <v>Contabilidad</v>
      </c>
      <c r="M727" t="str">
        <f>IFERROR(INDEX(Diccionario!$H:$H,MATCH(F727,Diccionario!$C:$C,0)),"")</f>
        <v>Contabilidad</v>
      </c>
      <c r="N727" t="str">
        <f>IFERROR(INDEX(Diccionario!$N:$N,MATCH(F727,Diccionario!$C:$C,0)),"")</f>
        <v>Mensual</v>
      </c>
    </row>
    <row r="728" spans="1:14" ht="14.25" customHeight="1" x14ac:dyDescent="0.3">
      <c r="A728" t="s">
        <v>528</v>
      </c>
      <c r="B728" t="s">
        <v>522</v>
      </c>
      <c r="C728" t="s">
        <v>523</v>
      </c>
      <c r="D728" t="s">
        <v>451</v>
      </c>
      <c r="E728" t="s">
        <v>524</v>
      </c>
      <c r="F728" t="s">
        <v>371</v>
      </c>
      <c r="H728" t="s">
        <v>565</v>
      </c>
      <c r="I728">
        <v>108000000</v>
      </c>
      <c r="J728" t="s">
        <v>451</v>
      </c>
      <c r="L728" t="str">
        <f>IFERROR(INDEX(Diccionario!$B:$B,MATCH(F728,Diccionario!$C:$C,0)),"")</f>
        <v>Contabilidad</v>
      </c>
      <c r="M728" t="str">
        <f>IFERROR(INDEX(Diccionario!$H:$H,MATCH(F728,Diccionario!$C:$C,0)),"")</f>
        <v>Contabilidad</v>
      </c>
      <c r="N728" t="str">
        <f>IFERROR(INDEX(Diccionario!$N:$N,MATCH(F728,Diccionario!$C:$C,0)),"")</f>
        <v>Mensual</v>
      </c>
    </row>
    <row r="729" spans="1:14" ht="14.25" customHeight="1" x14ac:dyDescent="0.3">
      <c r="A729" t="s">
        <v>528</v>
      </c>
      <c r="B729" t="s">
        <v>522</v>
      </c>
      <c r="C729" t="s">
        <v>523</v>
      </c>
      <c r="D729" t="s">
        <v>451</v>
      </c>
      <c r="E729" t="s">
        <v>524</v>
      </c>
      <c r="F729" t="s">
        <v>371</v>
      </c>
      <c r="H729" t="s">
        <v>566</v>
      </c>
      <c r="I729">
        <v>10000000</v>
      </c>
      <c r="J729" t="s">
        <v>451</v>
      </c>
      <c r="L729" t="str">
        <f>IFERROR(INDEX(Diccionario!$B:$B,MATCH(F729,Diccionario!$C:$C,0)),"")</f>
        <v>Contabilidad</v>
      </c>
      <c r="M729" t="str">
        <f>IFERROR(INDEX(Diccionario!$H:$H,MATCH(F729,Diccionario!$C:$C,0)),"")</f>
        <v>Contabilidad</v>
      </c>
      <c r="N729" t="str">
        <f>IFERROR(INDEX(Diccionario!$N:$N,MATCH(F729,Diccionario!$C:$C,0)),"")</f>
        <v>Mensual</v>
      </c>
    </row>
    <row r="730" spans="1:14" ht="14.25" customHeight="1" x14ac:dyDescent="0.3">
      <c r="A730" t="s">
        <v>528</v>
      </c>
      <c r="B730" t="s">
        <v>522</v>
      </c>
      <c r="C730" t="s">
        <v>523</v>
      </c>
      <c r="D730" t="s">
        <v>451</v>
      </c>
      <c r="E730" t="s">
        <v>524</v>
      </c>
      <c r="F730" t="s">
        <v>371</v>
      </c>
      <c r="H730" t="s">
        <v>569</v>
      </c>
      <c r="I730">
        <v>15000000</v>
      </c>
      <c r="J730" t="s">
        <v>451</v>
      </c>
      <c r="L730" t="str">
        <f>IFERROR(INDEX(Diccionario!$B:$B,MATCH(F730,Diccionario!$C:$C,0)),"")</f>
        <v>Contabilidad</v>
      </c>
      <c r="M730" t="str">
        <f>IFERROR(INDEX(Diccionario!$H:$H,MATCH(F730,Diccionario!$C:$C,0)),"")</f>
        <v>Contabilidad</v>
      </c>
      <c r="N730" t="str">
        <f>IFERROR(INDEX(Diccionario!$N:$N,MATCH(F730,Diccionario!$C:$C,0)),"")</f>
        <v>Mensual</v>
      </c>
    </row>
    <row r="731" spans="1:14" ht="14.25" customHeight="1" x14ac:dyDescent="0.3">
      <c r="A731" t="s">
        <v>528</v>
      </c>
      <c r="B731" t="s">
        <v>522</v>
      </c>
      <c r="C731" t="s">
        <v>523</v>
      </c>
      <c r="D731" t="s">
        <v>451</v>
      </c>
      <c r="E731" t="s">
        <v>524</v>
      </c>
      <c r="F731" t="s">
        <v>371</v>
      </c>
      <c r="H731" t="s">
        <v>570</v>
      </c>
      <c r="I731">
        <v>1000000</v>
      </c>
      <c r="J731" t="s">
        <v>451</v>
      </c>
      <c r="L731" t="str">
        <f>IFERROR(INDEX(Diccionario!$B:$B,MATCH(F731,Diccionario!$C:$C,0)),"")</f>
        <v>Contabilidad</v>
      </c>
      <c r="M731" t="str">
        <f>IFERROR(INDEX(Diccionario!$H:$H,MATCH(F731,Diccionario!$C:$C,0)),"")</f>
        <v>Contabilidad</v>
      </c>
      <c r="N731" t="str">
        <f>IFERROR(INDEX(Diccionario!$N:$N,MATCH(F731,Diccionario!$C:$C,0)),"")</f>
        <v>Mensual</v>
      </c>
    </row>
    <row r="732" spans="1:14" ht="14.25" customHeight="1" x14ac:dyDescent="0.3">
      <c r="A732" t="s">
        <v>529</v>
      </c>
      <c r="B732" t="s">
        <v>522</v>
      </c>
      <c r="C732" t="s">
        <v>523</v>
      </c>
      <c r="D732" t="s">
        <v>451</v>
      </c>
      <c r="E732" t="s">
        <v>524</v>
      </c>
      <c r="F732" t="s">
        <v>371</v>
      </c>
      <c r="H732" t="s">
        <v>565</v>
      </c>
      <c r="I732">
        <v>115000000</v>
      </c>
      <c r="J732" t="s">
        <v>451</v>
      </c>
      <c r="L732" t="str">
        <f>IFERROR(INDEX(Diccionario!$B:$B,MATCH(F732,Diccionario!$C:$C,0)),"")</f>
        <v>Contabilidad</v>
      </c>
      <c r="M732" t="str">
        <f>IFERROR(INDEX(Diccionario!$H:$H,MATCH(F732,Diccionario!$C:$C,0)),"")</f>
        <v>Contabilidad</v>
      </c>
      <c r="N732" t="str">
        <f>IFERROR(INDEX(Diccionario!$N:$N,MATCH(F732,Diccionario!$C:$C,0)),"")</f>
        <v>Mensual</v>
      </c>
    </row>
    <row r="733" spans="1:14" ht="14.25" customHeight="1" x14ac:dyDescent="0.3">
      <c r="A733" t="s">
        <v>529</v>
      </c>
      <c r="B733" t="s">
        <v>522</v>
      </c>
      <c r="C733" t="s">
        <v>523</v>
      </c>
      <c r="D733" t="s">
        <v>451</v>
      </c>
      <c r="E733" t="s">
        <v>524</v>
      </c>
      <c r="F733" t="s">
        <v>371</v>
      </c>
      <c r="H733" t="s">
        <v>566</v>
      </c>
      <c r="I733">
        <v>12000000</v>
      </c>
      <c r="J733" t="s">
        <v>451</v>
      </c>
      <c r="L733" t="str">
        <f>IFERROR(INDEX(Diccionario!$B:$B,MATCH(F733,Diccionario!$C:$C,0)),"")</f>
        <v>Contabilidad</v>
      </c>
      <c r="M733" t="str">
        <f>IFERROR(INDEX(Diccionario!$H:$H,MATCH(F733,Diccionario!$C:$C,0)),"")</f>
        <v>Contabilidad</v>
      </c>
      <c r="N733" t="str">
        <f>IFERROR(INDEX(Diccionario!$N:$N,MATCH(F733,Diccionario!$C:$C,0)),"")</f>
        <v>Mensual</v>
      </c>
    </row>
    <row r="734" spans="1:14" ht="14.25" customHeight="1" x14ac:dyDescent="0.3">
      <c r="A734" t="s">
        <v>529</v>
      </c>
      <c r="B734" t="s">
        <v>522</v>
      </c>
      <c r="C734" t="s">
        <v>523</v>
      </c>
      <c r="D734" t="s">
        <v>451</v>
      </c>
      <c r="E734" t="s">
        <v>524</v>
      </c>
      <c r="F734" t="s">
        <v>371</v>
      </c>
      <c r="H734" t="s">
        <v>569</v>
      </c>
      <c r="I734">
        <v>6000000</v>
      </c>
      <c r="J734" t="s">
        <v>451</v>
      </c>
      <c r="L734" t="str">
        <f>IFERROR(INDEX(Diccionario!$B:$B,MATCH(F734,Diccionario!$C:$C,0)),"")</f>
        <v>Contabilidad</v>
      </c>
      <c r="M734" t="str">
        <f>IFERROR(INDEX(Diccionario!$H:$H,MATCH(F734,Diccionario!$C:$C,0)),"")</f>
        <v>Contabilidad</v>
      </c>
      <c r="N734" t="str">
        <f>IFERROR(INDEX(Diccionario!$N:$N,MATCH(F734,Diccionario!$C:$C,0)),"")</f>
        <v>Mensual</v>
      </c>
    </row>
    <row r="735" spans="1:14" ht="14.25" customHeight="1" x14ac:dyDescent="0.3">
      <c r="A735" t="s">
        <v>529</v>
      </c>
      <c r="B735" t="s">
        <v>522</v>
      </c>
      <c r="C735" t="s">
        <v>523</v>
      </c>
      <c r="D735" t="s">
        <v>451</v>
      </c>
      <c r="E735" t="s">
        <v>524</v>
      </c>
      <c r="F735" t="s">
        <v>371</v>
      </c>
      <c r="H735" t="s">
        <v>570</v>
      </c>
      <c r="I735">
        <v>0</v>
      </c>
      <c r="J735" t="s">
        <v>451</v>
      </c>
      <c r="L735" t="str">
        <f>IFERROR(INDEX(Diccionario!$B:$B,MATCH(F735,Diccionario!$C:$C,0)),"")</f>
        <v>Contabilidad</v>
      </c>
      <c r="M735" t="str">
        <f>IFERROR(INDEX(Diccionario!$H:$H,MATCH(F735,Diccionario!$C:$C,0)),"")</f>
        <v>Contabilidad</v>
      </c>
      <c r="N735" t="str">
        <f>IFERROR(INDEX(Diccionario!$N:$N,MATCH(F735,Diccionario!$C:$C,0)),"")</f>
        <v>Mensual</v>
      </c>
    </row>
    <row r="736" spans="1:14" ht="14.25" customHeight="1" x14ac:dyDescent="0.3">
      <c r="A736" t="s">
        <v>530</v>
      </c>
      <c r="B736" t="s">
        <v>522</v>
      </c>
      <c r="C736" t="s">
        <v>523</v>
      </c>
      <c r="D736" t="s">
        <v>451</v>
      </c>
      <c r="E736" t="s">
        <v>524</v>
      </c>
      <c r="F736" t="s">
        <v>371</v>
      </c>
      <c r="H736" t="s">
        <v>565</v>
      </c>
      <c r="I736">
        <v>113000000</v>
      </c>
      <c r="J736" t="s">
        <v>451</v>
      </c>
      <c r="L736" t="str">
        <f>IFERROR(INDEX(Diccionario!$B:$B,MATCH(F736,Diccionario!$C:$C,0)),"")</f>
        <v>Contabilidad</v>
      </c>
      <c r="M736" t="str">
        <f>IFERROR(INDEX(Diccionario!$H:$H,MATCH(F736,Diccionario!$C:$C,0)),"")</f>
        <v>Contabilidad</v>
      </c>
      <c r="N736" t="str">
        <f>IFERROR(INDEX(Diccionario!$N:$N,MATCH(F736,Diccionario!$C:$C,0)),"")</f>
        <v>Mensual</v>
      </c>
    </row>
    <row r="737" spans="1:14" ht="14.25" customHeight="1" x14ac:dyDescent="0.3">
      <c r="A737" t="s">
        <v>530</v>
      </c>
      <c r="B737" t="s">
        <v>522</v>
      </c>
      <c r="C737" t="s">
        <v>523</v>
      </c>
      <c r="D737" t="s">
        <v>451</v>
      </c>
      <c r="E737" t="s">
        <v>524</v>
      </c>
      <c r="F737" t="s">
        <v>371</v>
      </c>
      <c r="H737" t="s">
        <v>566</v>
      </c>
      <c r="I737">
        <v>4000000</v>
      </c>
      <c r="J737" t="s">
        <v>451</v>
      </c>
      <c r="L737" t="str">
        <f>IFERROR(INDEX(Diccionario!$B:$B,MATCH(F737,Diccionario!$C:$C,0)),"")</f>
        <v>Contabilidad</v>
      </c>
      <c r="M737" t="str">
        <f>IFERROR(INDEX(Diccionario!$H:$H,MATCH(F737,Diccionario!$C:$C,0)),"")</f>
        <v>Contabilidad</v>
      </c>
      <c r="N737" t="str">
        <f>IFERROR(INDEX(Diccionario!$N:$N,MATCH(F737,Diccionario!$C:$C,0)),"")</f>
        <v>Mensual</v>
      </c>
    </row>
    <row r="738" spans="1:14" ht="14.25" customHeight="1" x14ac:dyDescent="0.3">
      <c r="A738" t="s">
        <v>530</v>
      </c>
      <c r="B738" t="s">
        <v>522</v>
      </c>
      <c r="C738" t="s">
        <v>523</v>
      </c>
      <c r="D738" t="s">
        <v>451</v>
      </c>
      <c r="E738" t="s">
        <v>524</v>
      </c>
      <c r="F738" t="s">
        <v>371</v>
      </c>
      <c r="H738" t="s">
        <v>569</v>
      </c>
      <c r="I738">
        <v>3000000</v>
      </c>
      <c r="J738" t="s">
        <v>451</v>
      </c>
      <c r="L738" t="str">
        <f>IFERROR(INDEX(Diccionario!$B:$B,MATCH(F738,Diccionario!$C:$C,0)),"")</f>
        <v>Contabilidad</v>
      </c>
      <c r="M738" t="str">
        <f>IFERROR(INDEX(Diccionario!$H:$H,MATCH(F738,Diccionario!$C:$C,0)),"")</f>
        <v>Contabilidad</v>
      </c>
      <c r="N738" t="str">
        <f>IFERROR(INDEX(Diccionario!$N:$N,MATCH(F738,Diccionario!$C:$C,0)),"")</f>
        <v>Mensual</v>
      </c>
    </row>
    <row r="739" spans="1:14" ht="14.25" customHeight="1" x14ac:dyDescent="0.3">
      <c r="A739" t="s">
        <v>530</v>
      </c>
      <c r="B739" t="s">
        <v>522</v>
      </c>
      <c r="C739" t="s">
        <v>523</v>
      </c>
      <c r="D739" t="s">
        <v>451</v>
      </c>
      <c r="E739" t="s">
        <v>524</v>
      </c>
      <c r="F739" t="s">
        <v>371</v>
      </c>
      <c r="H739" t="s">
        <v>570</v>
      </c>
      <c r="I739">
        <v>0</v>
      </c>
      <c r="J739" t="s">
        <v>451</v>
      </c>
      <c r="L739" t="str">
        <f>IFERROR(INDEX(Diccionario!$B:$B,MATCH(F739,Diccionario!$C:$C,0)),"")</f>
        <v>Contabilidad</v>
      </c>
      <c r="M739" t="str">
        <f>IFERROR(INDEX(Diccionario!$H:$H,MATCH(F739,Diccionario!$C:$C,0)),"")</f>
        <v>Contabilidad</v>
      </c>
      <c r="N739" t="str">
        <f>IFERROR(INDEX(Diccionario!$N:$N,MATCH(F739,Diccionario!$C:$C,0)),"")</f>
        <v>Mensual</v>
      </c>
    </row>
    <row r="740" spans="1:14" ht="14.25" customHeight="1" x14ac:dyDescent="0.3">
      <c r="A740" t="s">
        <v>531</v>
      </c>
      <c r="B740" t="s">
        <v>522</v>
      </c>
      <c r="C740" t="s">
        <v>523</v>
      </c>
      <c r="D740" t="s">
        <v>451</v>
      </c>
      <c r="E740" t="s">
        <v>524</v>
      </c>
      <c r="F740" t="s">
        <v>371</v>
      </c>
      <c r="H740" t="s">
        <v>565</v>
      </c>
      <c r="I740">
        <v>104000000</v>
      </c>
      <c r="J740" t="s">
        <v>451</v>
      </c>
      <c r="L740" t="str">
        <f>IFERROR(INDEX(Diccionario!$B:$B,MATCH(F740,Diccionario!$C:$C,0)),"")</f>
        <v>Contabilidad</v>
      </c>
      <c r="M740" t="str">
        <f>IFERROR(INDEX(Diccionario!$H:$H,MATCH(F740,Diccionario!$C:$C,0)),"")</f>
        <v>Contabilidad</v>
      </c>
      <c r="N740" t="str">
        <f>IFERROR(INDEX(Diccionario!$N:$N,MATCH(F740,Diccionario!$C:$C,0)),"")</f>
        <v>Mensual</v>
      </c>
    </row>
    <row r="741" spans="1:14" ht="14.25" customHeight="1" x14ac:dyDescent="0.3">
      <c r="A741" t="s">
        <v>531</v>
      </c>
      <c r="B741" t="s">
        <v>522</v>
      </c>
      <c r="C741" t="s">
        <v>523</v>
      </c>
      <c r="D741" t="s">
        <v>451</v>
      </c>
      <c r="E741" t="s">
        <v>524</v>
      </c>
      <c r="F741" t="s">
        <v>371</v>
      </c>
      <c r="H741" t="s">
        <v>566</v>
      </c>
      <c r="I741">
        <v>8000000</v>
      </c>
      <c r="J741" t="s">
        <v>451</v>
      </c>
      <c r="L741" t="str">
        <f>IFERROR(INDEX(Diccionario!$B:$B,MATCH(F741,Diccionario!$C:$C,0)),"")</f>
        <v>Contabilidad</v>
      </c>
      <c r="M741" t="str">
        <f>IFERROR(INDEX(Diccionario!$H:$H,MATCH(F741,Diccionario!$C:$C,0)),"")</f>
        <v>Contabilidad</v>
      </c>
      <c r="N741" t="str">
        <f>IFERROR(INDEX(Diccionario!$N:$N,MATCH(F741,Diccionario!$C:$C,0)),"")</f>
        <v>Mensual</v>
      </c>
    </row>
    <row r="742" spans="1:14" ht="14.25" customHeight="1" x14ac:dyDescent="0.3">
      <c r="A742" t="s">
        <v>531</v>
      </c>
      <c r="B742" t="s">
        <v>522</v>
      </c>
      <c r="C742" t="s">
        <v>523</v>
      </c>
      <c r="D742" t="s">
        <v>451</v>
      </c>
      <c r="E742" t="s">
        <v>524</v>
      </c>
      <c r="F742" t="s">
        <v>371</v>
      </c>
      <c r="H742" t="s">
        <v>569</v>
      </c>
      <c r="I742">
        <v>16000000</v>
      </c>
      <c r="J742" t="s">
        <v>451</v>
      </c>
      <c r="L742" t="str">
        <f>IFERROR(INDEX(Diccionario!$B:$B,MATCH(F742,Diccionario!$C:$C,0)),"")</f>
        <v>Contabilidad</v>
      </c>
      <c r="M742" t="str">
        <f>IFERROR(INDEX(Diccionario!$H:$H,MATCH(F742,Diccionario!$C:$C,0)),"")</f>
        <v>Contabilidad</v>
      </c>
      <c r="N742" t="str">
        <f>IFERROR(INDEX(Diccionario!$N:$N,MATCH(F742,Diccionario!$C:$C,0)),"")</f>
        <v>Mensual</v>
      </c>
    </row>
    <row r="743" spans="1:14" ht="14.25" customHeight="1" x14ac:dyDescent="0.3">
      <c r="A743" t="s">
        <v>531</v>
      </c>
      <c r="B743" t="s">
        <v>522</v>
      </c>
      <c r="C743" t="s">
        <v>523</v>
      </c>
      <c r="D743" t="s">
        <v>451</v>
      </c>
      <c r="E743" t="s">
        <v>524</v>
      </c>
      <c r="F743" t="s">
        <v>371</v>
      </c>
      <c r="H743" t="s">
        <v>570</v>
      </c>
      <c r="I743">
        <v>1000000</v>
      </c>
      <c r="J743" t="s">
        <v>451</v>
      </c>
      <c r="L743" t="str">
        <f>IFERROR(INDEX(Diccionario!$B:$B,MATCH(F743,Diccionario!$C:$C,0)),"")</f>
        <v>Contabilidad</v>
      </c>
      <c r="M743" t="str">
        <f>IFERROR(INDEX(Diccionario!$H:$H,MATCH(F743,Diccionario!$C:$C,0)),"")</f>
        <v>Contabilidad</v>
      </c>
      <c r="N743" t="str">
        <f>IFERROR(INDEX(Diccionario!$N:$N,MATCH(F743,Diccionario!$C:$C,0)),"")</f>
        <v>Mensual</v>
      </c>
    </row>
    <row r="744" spans="1:14" ht="14.25" customHeight="1" x14ac:dyDescent="0.3">
      <c r="A744" t="s">
        <v>532</v>
      </c>
      <c r="B744" t="s">
        <v>522</v>
      </c>
      <c r="C744" t="s">
        <v>523</v>
      </c>
      <c r="D744" t="s">
        <v>451</v>
      </c>
      <c r="E744" t="s">
        <v>524</v>
      </c>
      <c r="F744" t="s">
        <v>371</v>
      </c>
      <c r="H744" t="s">
        <v>565</v>
      </c>
      <c r="I744">
        <v>110000000</v>
      </c>
      <c r="J744" t="s">
        <v>451</v>
      </c>
      <c r="L744" t="str">
        <f>IFERROR(INDEX(Diccionario!$B:$B,MATCH(F744,Diccionario!$C:$C,0)),"")</f>
        <v>Contabilidad</v>
      </c>
      <c r="M744" t="str">
        <f>IFERROR(INDEX(Diccionario!$H:$H,MATCH(F744,Diccionario!$C:$C,0)),"")</f>
        <v>Contabilidad</v>
      </c>
      <c r="N744" t="str">
        <f>IFERROR(INDEX(Diccionario!$N:$N,MATCH(F744,Diccionario!$C:$C,0)),"")</f>
        <v>Mensual</v>
      </c>
    </row>
    <row r="745" spans="1:14" ht="14.25" customHeight="1" x14ac:dyDescent="0.3">
      <c r="A745" t="s">
        <v>532</v>
      </c>
      <c r="B745" t="s">
        <v>522</v>
      </c>
      <c r="C745" t="s">
        <v>523</v>
      </c>
      <c r="D745" t="s">
        <v>451</v>
      </c>
      <c r="E745" t="s">
        <v>524</v>
      </c>
      <c r="F745" t="s">
        <v>371</v>
      </c>
      <c r="H745" t="s">
        <v>566</v>
      </c>
      <c r="I745">
        <v>12000000</v>
      </c>
      <c r="J745" t="s">
        <v>451</v>
      </c>
      <c r="L745" t="str">
        <f>IFERROR(INDEX(Diccionario!$B:$B,MATCH(F745,Diccionario!$C:$C,0)),"")</f>
        <v>Contabilidad</v>
      </c>
      <c r="M745" t="str">
        <f>IFERROR(INDEX(Diccionario!$H:$H,MATCH(F745,Diccionario!$C:$C,0)),"")</f>
        <v>Contabilidad</v>
      </c>
      <c r="N745" t="str">
        <f>IFERROR(INDEX(Diccionario!$N:$N,MATCH(F745,Diccionario!$C:$C,0)),"")</f>
        <v>Mensual</v>
      </c>
    </row>
    <row r="746" spans="1:14" ht="14.25" customHeight="1" x14ac:dyDescent="0.3">
      <c r="A746" t="s">
        <v>532</v>
      </c>
      <c r="B746" t="s">
        <v>522</v>
      </c>
      <c r="C746" t="s">
        <v>523</v>
      </c>
      <c r="D746" t="s">
        <v>451</v>
      </c>
      <c r="E746" t="s">
        <v>524</v>
      </c>
      <c r="F746" t="s">
        <v>371</v>
      </c>
      <c r="H746" t="s">
        <v>569</v>
      </c>
      <c r="I746">
        <v>6000000</v>
      </c>
      <c r="J746" t="s">
        <v>451</v>
      </c>
      <c r="L746" t="str">
        <f>IFERROR(INDEX(Diccionario!$B:$B,MATCH(F746,Diccionario!$C:$C,0)),"")</f>
        <v>Contabilidad</v>
      </c>
      <c r="M746" t="str">
        <f>IFERROR(INDEX(Diccionario!$H:$H,MATCH(F746,Diccionario!$C:$C,0)),"")</f>
        <v>Contabilidad</v>
      </c>
      <c r="N746" t="str">
        <f>IFERROR(INDEX(Diccionario!$N:$N,MATCH(F746,Diccionario!$C:$C,0)),"")</f>
        <v>Mensual</v>
      </c>
    </row>
    <row r="747" spans="1:14" ht="14.25" customHeight="1" x14ac:dyDescent="0.3">
      <c r="A747" t="s">
        <v>532</v>
      </c>
      <c r="B747" t="s">
        <v>522</v>
      </c>
      <c r="C747" t="s">
        <v>523</v>
      </c>
      <c r="D747" t="s">
        <v>451</v>
      </c>
      <c r="E747" t="s">
        <v>524</v>
      </c>
      <c r="F747" t="s">
        <v>371</v>
      </c>
      <c r="H747" t="s">
        <v>570</v>
      </c>
      <c r="I747">
        <v>2000000</v>
      </c>
      <c r="J747" t="s">
        <v>451</v>
      </c>
      <c r="L747" t="str">
        <f>IFERROR(INDEX(Diccionario!$B:$B,MATCH(F747,Diccionario!$C:$C,0)),"")</f>
        <v>Contabilidad</v>
      </c>
      <c r="M747" t="str">
        <f>IFERROR(INDEX(Diccionario!$H:$H,MATCH(F747,Diccionario!$C:$C,0)),"")</f>
        <v>Contabilidad</v>
      </c>
      <c r="N747" t="str">
        <f>IFERROR(INDEX(Diccionario!$N:$N,MATCH(F747,Diccionario!$C:$C,0)),"")</f>
        <v>Mensual</v>
      </c>
    </row>
    <row r="748" spans="1:14" ht="14.25" customHeight="1" x14ac:dyDescent="0.3">
      <c r="A748" t="s">
        <v>533</v>
      </c>
      <c r="B748" t="s">
        <v>522</v>
      </c>
      <c r="C748" t="s">
        <v>523</v>
      </c>
      <c r="D748" t="s">
        <v>451</v>
      </c>
      <c r="E748" t="s">
        <v>524</v>
      </c>
      <c r="F748" t="s">
        <v>371</v>
      </c>
      <c r="H748" t="s">
        <v>565</v>
      </c>
      <c r="I748">
        <v>91000000</v>
      </c>
      <c r="J748" t="s">
        <v>451</v>
      </c>
      <c r="L748" t="str">
        <f>IFERROR(INDEX(Diccionario!$B:$B,MATCH(F748,Diccionario!$C:$C,0)),"")</f>
        <v>Contabilidad</v>
      </c>
      <c r="M748" t="str">
        <f>IFERROR(INDEX(Diccionario!$H:$H,MATCH(F748,Diccionario!$C:$C,0)),"")</f>
        <v>Contabilidad</v>
      </c>
      <c r="N748" t="str">
        <f>IFERROR(INDEX(Diccionario!$N:$N,MATCH(F748,Diccionario!$C:$C,0)),"")</f>
        <v>Mensual</v>
      </c>
    </row>
    <row r="749" spans="1:14" ht="14.25" customHeight="1" x14ac:dyDescent="0.3">
      <c r="A749" t="s">
        <v>533</v>
      </c>
      <c r="B749" t="s">
        <v>522</v>
      </c>
      <c r="C749" t="s">
        <v>523</v>
      </c>
      <c r="D749" t="s">
        <v>451</v>
      </c>
      <c r="E749" t="s">
        <v>524</v>
      </c>
      <c r="F749" t="s">
        <v>371</v>
      </c>
      <c r="H749" t="s">
        <v>566</v>
      </c>
      <c r="I749">
        <v>11000000</v>
      </c>
      <c r="J749" t="s">
        <v>451</v>
      </c>
      <c r="L749" t="str">
        <f>IFERROR(INDEX(Diccionario!$B:$B,MATCH(F749,Diccionario!$C:$C,0)),"")</f>
        <v>Contabilidad</v>
      </c>
      <c r="M749" t="str">
        <f>IFERROR(INDEX(Diccionario!$H:$H,MATCH(F749,Diccionario!$C:$C,0)),"")</f>
        <v>Contabilidad</v>
      </c>
      <c r="N749" t="str">
        <f>IFERROR(INDEX(Diccionario!$N:$N,MATCH(F749,Diccionario!$C:$C,0)),"")</f>
        <v>Mensual</v>
      </c>
    </row>
    <row r="750" spans="1:14" ht="14.25" customHeight="1" x14ac:dyDescent="0.3">
      <c r="A750" t="s">
        <v>533</v>
      </c>
      <c r="B750" t="s">
        <v>522</v>
      </c>
      <c r="C750" t="s">
        <v>523</v>
      </c>
      <c r="D750" t="s">
        <v>451</v>
      </c>
      <c r="E750" t="s">
        <v>524</v>
      </c>
      <c r="F750" t="s">
        <v>371</v>
      </c>
      <c r="H750" t="s">
        <v>569</v>
      </c>
      <c r="I750">
        <v>55000000</v>
      </c>
      <c r="J750" t="s">
        <v>451</v>
      </c>
      <c r="L750" t="str">
        <f>IFERROR(INDEX(Diccionario!$B:$B,MATCH(F750,Diccionario!$C:$C,0)),"")</f>
        <v>Contabilidad</v>
      </c>
      <c r="M750" t="str">
        <f>IFERROR(INDEX(Diccionario!$H:$H,MATCH(F750,Diccionario!$C:$C,0)),"")</f>
        <v>Contabilidad</v>
      </c>
      <c r="N750" t="str">
        <f>IFERROR(INDEX(Diccionario!$N:$N,MATCH(F750,Diccionario!$C:$C,0)),"")</f>
        <v>Mensual</v>
      </c>
    </row>
    <row r="751" spans="1:14" ht="14.25" customHeight="1" x14ac:dyDescent="0.3">
      <c r="A751" t="s">
        <v>533</v>
      </c>
      <c r="B751" t="s">
        <v>522</v>
      </c>
      <c r="C751" t="s">
        <v>523</v>
      </c>
      <c r="D751" t="s">
        <v>451</v>
      </c>
      <c r="E751" t="s">
        <v>524</v>
      </c>
      <c r="F751" t="s">
        <v>371</v>
      </c>
      <c r="H751" t="s">
        <v>570</v>
      </c>
      <c r="I751">
        <v>0</v>
      </c>
      <c r="J751" t="s">
        <v>451</v>
      </c>
      <c r="L751" t="str">
        <f>IFERROR(INDEX(Diccionario!$B:$B,MATCH(F751,Diccionario!$C:$C,0)),"")</f>
        <v>Contabilidad</v>
      </c>
      <c r="M751" t="str">
        <f>IFERROR(INDEX(Diccionario!$H:$H,MATCH(F751,Diccionario!$C:$C,0)),"")</f>
        <v>Contabilidad</v>
      </c>
      <c r="N751" t="str">
        <f>IFERROR(INDEX(Diccionario!$N:$N,MATCH(F751,Diccionario!$C:$C,0)),"")</f>
        <v>Mensual</v>
      </c>
    </row>
    <row r="752" spans="1:14" ht="14.25" customHeight="1" x14ac:dyDescent="0.3">
      <c r="A752" t="s">
        <v>534</v>
      </c>
      <c r="B752" t="s">
        <v>522</v>
      </c>
      <c r="C752" t="s">
        <v>523</v>
      </c>
      <c r="D752" t="s">
        <v>451</v>
      </c>
      <c r="E752" t="s">
        <v>524</v>
      </c>
      <c r="F752" t="s">
        <v>371</v>
      </c>
      <c r="H752" t="s">
        <v>565</v>
      </c>
      <c r="I752">
        <v>95000000</v>
      </c>
      <c r="J752" t="s">
        <v>451</v>
      </c>
      <c r="L752" t="str">
        <f>IFERROR(INDEX(Diccionario!$B:$B,MATCH(F752,Diccionario!$C:$C,0)),"")</f>
        <v>Contabilidad</v>
      </c>
      <c r="M752" t="str">
        <f>IFERROR(INDEX(Diccionario!$H:$H,MATCH(F752,Diccionario!$C:$C,0)),"")</f>
        <v>Contabilidad</v>
      </c>
      <c r="N752" t="str">
        <f>IFERROR(INDEX(Diccionario!$N:$N,MATCH(F752,Diccionario!$C:$C,0)),"")</f>
        <v>Mensual</v>
      </c>
    </row>
    <row r="753" spans="1:14" ht="14.25" customHeight="1" x14ac:dyDescent="0.3">
      <c r="A753" t="s">
        <v>534</v>
      </c>
      <c r="B753" t="s">
        <v>522</v>
      </c>
      <c r="C753" t="s">
        <v>523</v>
      </c>
      <c r="D753" t="s">
        <v>451</v>
      </c>
      <c r="E753" t="s">
        <v>524</v>
      </c>
      <c r="F753" t="s">
        <v>371</v>
      </c>
      <c r="H753" t="s">
        <v>566</v>
      </c>
      <c r="I753">
        <v>8000000</v>
      </c>
      <c r="J753" t="s">
        <v>451</v>
      </c>
      <c r="L753" t="str">
        <f>IFERROR(INDEX(Diccionario!$B:$B,MATCH(F753,Diccionario!$C:$C,0)),"")</f>
        <v>Contabilidad</v>
      </c>
      <c r="M753" t="str">
        <f>IFERROR(INDEX(Diccionario!$H:$H,MATCH(F753,Diccionario!$C:$C,0)),"")</f>
        <v>Contabilidad</v>
      </c>
      <c r="N753" t="str">
        <f>IFERROR(INDEX(Diccionario!$N:$N,MATCH(F753,Diccionario!$C:$C,0)),"")</f>
        <v>Mensual</v>
      </c>
    </row>
    <row r="754" spans="1:14" ht="14.25" customHeight="1" x14ac:dyDescent="0.3">
      <c r="A754" t="s">
        <v>534</v>
      </c>
      <c r="B754" t="s">
        <v>522</v>
      </c>
      <c r="C754" t="s">
        <v>523</v>
      </c>
      <c r="D754" t="s">
        <v>451</v>
      </c>
      <c r="E754" t="s">
        <v>524</v>
      </c>
      <c r="F754" t="s">
        <v>371</v>
      </c>
      <c r="H754" t="s">
        <v>569</v>
      </c>
      <c r="I754">
        <v>7000000</v>
      </c>
      <c r="J754" t="s">
        <v>451</v>
      </c>
      <c r="L754" t="str">
        <f>IFERROR(INDEX(Diccionario!$B:$B,MATCH(F754,Diccionario!$C:$C,0)),"")</f>
        <v>Contabilidad</v>
      </c>
      <c r="M754" t="str">
        <f>IFERROR(INDEX(Diccionario!$H:$H,MATCH(F754,Diccionario!$C:$C,0)),"")</f>
        <v>Contabilidad</v>
      </c>
      <c r="N754" t="str">
        <f>IFERROR(INDEX(Diccionario!$N:$N,MATCH(F754,Diccionario!$C:$C,0)),"")</f>
        <v>Mensual</v>
      </c>
    </row>
    <row r="755" spans="1:14" ht="14.25" customHeight="1" x14ac:dyDescent="0.3">
      <c r="A755" t="s">
        <v>534</v>
      </c>
      <c r="B755" t="s">
        <v>522</v>
      </c>
      <c r="C755" t="s">
        <v>523</v>
      </c>
      <c r="D755" t="s">
        <v>451</v>
      </c>
      <c r="E755" t="s">
        <v>524</v>
      </c>
      <c r="F755" t="s">
        <v>371</v>
      </c>
      <c r="H755" t="s">
        <v>570</v>
      </c>
      <c r="I755">
        <v>6000000</v>
      </c>
      <c r="J755" t="s">
        <v>451</v>
      </c>
      <c r="L755" t="str">
        <f>IFERROR(INDEX(Diccionario!$B:$B,MATCH(F755,Diccionario!$C:$C,0)),"")</f>
        <v>Contabilidad</v>
      </c>
      <c r="M755" t="str">
        <f>IFERROR(INDEX(Diccionario!$H:$H,MATCH(F755,Diccionario!$C:$C,0)),"")</f>
        <v>Contabilidad</v>
      </c>
      <c r="N755" t="str">
        <f>IFERROR(INDEX(Diccionario!$N:$N,MATCH(F755,Diccionario!$C:$C,0)),"")</f>
        <v>Mensual</v>
      </c>
    </row>
    <row r="756" spans="1:14" ht="14.25" customHeight="1" x14ac:dyDescent="0.3">
      <c r="A756" t="s">
        <v>535</v>
      </c>
      <c r="B756" t="s">
        <v>522</v>
      </c>
      <c r="C756" t="s">
        <v>523</v>
      </c>
      <c r="D756" t="s">
        <v>451</v>
      </c>
      <c r="E756" t="s">
        <v>524</v>
      </c>
      <c r="F756" t="s">
        <v>371</v>
      </c>
      <c r="H756" t="s">
        <v>565</v>
      </c>
      <c r="I756">
        <v>95000000</v>
      </c>
      <c r="J756" t="s">
        <v>451</v>
      </c>
      <c r="L756" t="str">
        <f>IFERROR(INDEX(Diccionario!$B:$B,MATCH(F756,Diccionario!$C:$C,0)),"")</f>
        <v>Contabilidad</v>
      </c>
      <c r="M756" t="str">
        <f>IFERROR(INDEX(Diccionario!$H:$H,MATCH(F756,Diccionario!$C:$C,0)),"")</f>
        <v>Contabilidad</v>
      </c>
      <c r="N756" t="str">
        <f>IFERROR(INDEX(Diccionario!$N:$N,MATCH(F756,Diccionario!$C:$C,0)),"")</f>
        <v>Mensual</v>
      </c>
    </row>
    <row r="757" spans="1:14" ht="14.25" customHeight="1" x14ac:dyDescent="0.3">
      <c r="A757" t="s">
        <v>535</v>
      </c>
      <c r="B757" t="s">
        <v>522</v>
      </c>
      <c r="C757" t="s">
        <v>523</v>
      </c>
      <c r="D757" t="s">
        <v>451</v>
      </c>
      <c r="E757" t="s">
        <v>524</v>
      </c>
      <c r="F757" t="s">
        <v>371</v>
      </c>
      <c r="H757" t="s">
        <v>566</v>
      </c>
      <c r="I757">
        <v>8000000</v>
      </c>
      <c r="J757" t="s">
        <v>451</v>
      </c>
      <c r="L757" t="str">
        <f>IFERROR(INDEX(Diccionario!$B:$B,MATCH(F757,Diccionario!$C:$C,0)),"")</f>
        <v>Contabilidad</v>
      </c>
      <c r="M757" t="str">
        <f>IFERROR(INDEX(Diccionario!$H:$H,MATCH(F757,Diccionario!$C:$C,0)),"")</f>
        <v>Contabilidad</v>
      </c>
      <c r="N757" t="str">
        <f>IFERROR(INDEX(Diccionario!$N:$N,MATCH(F757,Diccionario!$C:$C,0)),"")</f>
        <v>Mensual</v>
      </c>
    </row>
    <row r="758" spans="1:14" ht="14.25" customHeight="1" x14ac:dyDescent="0.3">
      <c r="A758" t="s">
        <v>535</v>
      </c>
      <c r="B758" t="s">
        <v>522</v>
      </c>
      <c r="C758" t="s">
        <v>523</v>
      </c>
      <c r="D758" t="s">
        <v>451</v>
      </c>
      <c r="E758" t="s">
        <v>524</v>
      </c>
      <c r="F758" t="s">
        <v>371</v>
      </c>
      <c r="H758" t="s">
        <v>569</v>
      </c>
      <c r="I758">
        <v>30000000</v>
      </c>
      <c r="J758" t="s">
        <v>451</v>
      </c>
      <c r="L758" t="str">
        <f>IFERROR(INDEX(Diccionario!$B:$B,MATCH(F758,Diccionario!$C:$C,0)),"")</f>
        <v>Contabilidad</v>
      </c>
      <c r="M758" t="str">
        <f>IFERROR(INDEX(Diccionario!$H:$H,MATCH(F758,Diccionario!$C:$C,0)),"")</f>
        <v>Contabilidad</v>
      </c>
      <c r="N758" t="str">
        <f>IFERROR(INDEX(Diccionario!$N:$N,MATCH(F758,Diccionario!$C:$C,0)),"")</f>
        <v>Mensual</v>
      </c>
    </row>
    <row r="759" spans="1:14" ht="14.25" customHeight="1" x14ac:dyDescent="0.3">
      <c r="A759" t="s">
        <v>535</v>
      </c>
      <c r="B759" t="s">
        <v>522</v>
      </c>
      <c r="C759" t="s">
        <v>523</v>
      </c>
      <c r="D759" t="s">
        <v>451</v>
      </c>
      <c r="E759" t="s">
        <v>524</v>
      </c>
      <c r="F759" t="s">
        <v>371</v>
      </c>
      <c r="H759" t="s">
        <v>570</v>
      </c>
      <c r="I759">
        <v>3000000</v>
      </c>
      <c r="J759" t="s">
        <v>451</v>
      </c>
      <c r="L759" t="str">
        <f>IFERROR(INDEX(Diccionario!$B:$B,MATCH(F759,Diccionario!$C:$C,0)),"")</f>
        <v>Contabilidad</v>
      </c>
      <c r="M759" t="str">
        <f>IFERROR(INDEX(Diccionario!$H:$H,MATCH(F759,Diccionario!$C:$C,0)),"")</f>
        <v>Contabilidad</v>
      </c>
      <c r="N759" t="str">
        <f>IFERROR(INDEX(Diccionario!$N:$N,MATCH(F759,Diccionario!$C:$C,0)),"")</f>
        <v>Mensual</v>
      </c>
    </row>
    <row r="760" spans="1:14" ht="14.25" customHeight="1" x14ac:dyDescent="0.3">
      <c r="A760" t="s">
        <v>536</v>
      </c>
      <c r="B760" t="s">
        <v>522</v>
      </c>
      <c r="C760" t="s">
        <v>523</v>
      </c>
      <c r="D760" t="s">
        <v>451</v>
      </c>
      <c r="E760" t="s">
        <v>524</v>
      </c>
      <c r="F760" t="s">
        <v>371</v>
      </c>
      <c r="H760" t="s">
        <v>565</v>
      </c>
      <c r="I760">
        <v>100800000</v>
      </c>
      <c r="J760" t="s">
        <v>451</v>
      </c>
      <c r="L760" t="str">
        <f>IFERROR(INDEX(Diccionario!$B:$B,MATCH(F760,Diccionario!$C:$C,0)),"")</f>
        <v>Contabilidad</v>
      </c>
      <c r="M760" t="str">
        <f>IFERROR(INDEX(Diccionario!$H:$H,MATCH(F760,Diccionario!$C:$C,0)),"")</f>
        <v>Contabilidad</v>
      </c>
      <c r="N760" t="str">
        <f>IFERROR(INDEX(Diccionario!$N:$N,MATCH(F760,Diccionario!$C:$C,0)),"")</f>
        <v>Mensual</v>
      </c>
    </row>
    <row r="761" spans="1:14" ht="14.25" customHeight="1" x14ac:dyDescent="0.3">
      <c r="A761" t="s">
        <v>536</v>
      </c>
      <c r="B761" t="s">
        <v>522</v>
      </c>
      <c r="C761" t="s">
        <v>523</v>
      </c>
      <c r="D761" t="s">
        <v>451</v>
      </c>
      <c r="E761" t="s">
        <v>524</v>
      </c>
      <c r="F761" t="s">
        <v>371</v>
      </c>
      <c r="H761" t="s">
        <v>566</v>
      </c>
      <c r="I761">
        <v>3300000</v>
      </c>
      <c r="J761" t="s">
        <v>451</v>
      </c>
      <c r="L761" t="str">
        <f>IFERROR(INDEX(Diccionario!$B:$B,MATCH(F761,Diccionario!$C:$C,0)),"")</f>
        <v>Contabilidad</v>
      </c>
      <c r="M761" t="str">
        <f>IFERROR(INDEX(Diccionario!$H:$H,MATCH(F761,Diccionario!$C:$C,0)),"")</f>
        <v>Contabilidad</v>
      </c>
      <c r="N761" t="str">
        <f>IFERROR(INDEX(Diccionario!$N:$N,MATCH(F761,Diccionario!$C:$C,0)),"")</f>
        <v>Mensual</v>
      </c>
    </row>
    <row r="762" spans="1:14" ht="14.25" customHeight="1" x14ac:dyDescent="0.3">
      <c r="A762" t="s">
        <v>536</v>
      </c>
      <c r="B762" t="s">
        <v>522</v>
      </c>
      <c r="C762" t="s">
        <v>523</v>
      </c>
      <c r="D762" t="s">
        <v>451</v>
      </c>
      <c r="E762" t="s">
        <v>524</v>
      </c>
      <c r="F762" t="s">
        <v>371</v>
      </c>
      <c r="H762" t="s">
        <v>569</v>
      </c>
      <c r="I762">
        <v>2600000</v>
      </c>
      <c r="J762" t="s">
        <v>451</v>
      </c>
      <c r="L762" t="str">
        <f>IFERROR(INDEX(Diccionario!$B:$B,MATCH(F762,Diccionario!$C:$C,0)),"")</f>
        <v>Contabilidad</v>
      </c>
      <c r="M762" t="str">
        <f>IFERROR(INDEX(Diccionario!$H:$H,MATCH(F762,Diccionario!$C:$C,0)),"")</f>
        <v>Contabilidad</v>
      </c>
      <c r="N762" t="str">
        <f>IFERROR(INDEX(Diccionario!$N:$N,MATCH(F762,Diccionario!$C:$C,0)),"")</f>
        <v>Mensual</v>
      </c>
    </row>
    <row r="763" spans="1:14" ht="14.25" customHeight="1" x14ac:dyDescent="0.3">
      <c r="A763" t="s">
        <v>536</v>
      </c>
      <c r="B763" t="s">
        <v>522</v>
      </c>
      <c r="C763" t="s">
        <v>523</v>
      </c>
      <c r="D763" t="s">
        <v>451</v>
      </c>
      <c r="E763" t="s">
        <v>524</v>
      </c>
      <c r="F763" t="s">
        <v>371</v>
      </c>
      <c r="H763" t="s">
        <v>570</v>
      </c>
      <c r="I763">
        <v>3000000</v>
      </c>
      <c r="J763" t="s">
        <v>451</v>
      </c>
      <c r="L763" t="str">
        <f>IFERROR(INDEX(Diccionario!$B:$B,MATCH(F763,Diccionario!$C:$C,0)),"")</f>
        <v>Contabilidad</v>
      </c>
      <c r="M763" t="str">
        <f>IFERROR(INDEX(Diccionario!$H:$H,MATCH(F763,Diccionario!$C:$C,0)),"")</f>
        <v>Contabilidad</v>
      </c>
      <c r="N763" t="str">
        <f>IFERROR(INDEX(Diccionario!$N:$N,MATCH(F763,Diccionario!$C:$C,0)),"")</f>
        <v>Mensual</v>
      </c>
    </row>
    <row r="764" spans="1:14" ht="14.25" customHeight="1" x14ac:dyDescent="0.3">
      <c r="A764" t="s">
        <v>537</v>
      </c>
      <c r="B764" t="s">
        <v>522</v>
      </c>
      <c r="C764" t="s">
        <v>523</v>
      </c>
      <c r="D764" t="s">
        <v>451</v>
      </c>
      <c r="E764" t="s">
        <v>524</v>
      </c>
      <c r="F764" t="s">
        <v>371</v>
      </c>
      <c r="H764" t="s">
        <v>565</v>
      </c>
      <c r="I764">
        <v>120000000</v>
      </c>
      <c r="J764" t="s">
        <v>451</v>
      </c>
      <c r="L764" t="str">
        <f>IFERROR(INDEX(Diccionario!$B:$B,MATCH(F764,Diccionario!$C:$C,0)),"")</f>
        <v>Contabilidad</v>
      </c>
      <c r="M764" t="str">
        <f>IFERROR(INDEX(Diccionario!$H:$H,MATCH(F764,Diccionario!$C:$C,0)),"")</f>
        <v>Contabilidad</v>
      </c>
      <c r="N764" t="str">
        <f>IFERROR(INDEX(Diccionario!$N:$N,MATCH(F764,Diccionario!$C:$C,0)),"")</f>
        <v>Mensual</v>
      </c>
    </row>
    <row r="765" spans="1:14" ht="14.25" customHeight="1" x14ac:dyDescent="0.3">
      <c r="A765" t="s">
        <v>537</v>
      </c>
      <c r="B765" t="s">
        <v>522</v>
      </c>
      <c r="C765" t="s">
        <v>523</v>
      </c>
      <c r="D765" t="s">
        <v>451</v>
      </c>
      <c r="E765" t="s">
        <v>524</v>
      </c>
      <c r="F765" t="s">
        <v>371</v>
      </c>
      <c r="H765" t="s">
        <v>566</v>
      </c>
      <c r="I765">
        <v>3800000</v>
      </c>
      <c r="J765" t="s">
        <v>451</v>
      </c>
      <c r="L765" t="str">
        <f>IFERROR(INDEX(Diccionario!$B:$B,MATCH(F765,Diccionario!$C:$C,0)),"")</f>
        <v>Contabilidad</v>
      </c>
      <c r="M765" t="str">
        <f>IFERROR(INDEX(Diccionario!$H:$H,MATCH(F765,Diccionario!$C:$C,0)),"")</f>
        <v>Contabilidad</v>
      </c>
      <c r="N765" t="str">
        <f>IFERROR(INDEX(Diccionario!$N:$N,MATCH(F765,Diccionario!$C:$C,0)),"")</f>
        <v>Mensual</v>
      </c>
    </row>
    <row r="766" spans="1:14" ht="14.25" customHeight="1" x14ac:dyDescent="0.3">
      <c r="A766" t="s">
        <v>537</v>
      </c>
      <c r="B766" t="s">
        <v>522</v>
      </c>
      <c r="C766" t="s">
        <v>523</v>
      </c>
      <c r="D766" t="s">
        <v>451</v>
      </c>
      <c r="E766" t="s">
        <v>524</v>
      </c>
      <c r="F766" t="s">
        <v>371</v>
      </c>
      <c r="H766" t="s">
        <v>569</v>
      </c>
      <c r="I766">
        <v>3300000</v>
      </c>
      <c r="J766" t="s">
        <v>451</v>
      </c>
      <c r="L766" t="str">
        <f>IFERROR(INDEX(Diccionario!$B:$B,MATCH(F766,Diccionario!$C:$C,0)),"")</f>
        <v>Contabilidad</v>
      </c>
      <c r="M766" t="str">
        <f>IFERROR(INDEX(Diccionario!$H:$H,MATCH(F766,Diccionario!$C:$C,0)),"")</f>
        <v>Contabilidad</v>
      </c>
      <c r="N766" t="str">
        <f>IFERROR(INDEX(Diccionario!$N:$N,MATCH(F766,Diccionario!$C:$C,0)),"")</f>
        <v>Mensual</v>
      </c>
    </row>
    <row r="767" spans="1:14" ht="14.25" customHeight="1" x14ac:dyDescent="0.3">
      <c r="A767" t="s">
        <v>537</v>
      </c>
      <c r="B767" t="s">
        <v>522</v>
      </c>
      <c r="C767" t="s">
        <v>523</v>
      </c>
      <c r="D767" t="s">
        <v>451</v>
      </c>
      <c r="E767" t="s">
        <v>524</v>
      </c>
      <c r="F767" t="s">
        <v>371</v>
      </c>
      <c r="H767" t="s">
        <v>570</v>
      </c>
      <c r="I767">
        <v>0</v>
      </c>
      <c r="J767" t="s">
        <v>451</v>
      </c>
      <c r="L767" t="str">
        <f>IFERROR(INDEX(Diccionario!$B:$B,MATCH(F767,Diccionario!$C:$C,0)),"")</f>
        <v>Contabilidad</v>
      </c>
      <c r="M767" t="str">
        <f>IFERROR(INDEX(Diccionario!$H:$H,MATCH(F767,Diccionario!$C:$C,0)),"")</f>
        <v>Contabilidad</v>
      </c>
      <c r="N767" t="str">
        <f>IFERROR(INDEX(Diccionario!$N:$N,MATCH(F767,Diccionario!$C:$C,0)),"")</f>
        <v>Mensual</v>
      </c>
    </row>
    <row r="768" spans="1:14" ht="14.25" customHeight="1" x14ac:dyDescent="0.3">
      <c r="A768" t="s">
        <v>539</v>
      </c>
      <c r="B768" t="s">
        <v>522</v>
      </c>
      <c r="C768" t="s">
        <v>523</v>
      </c>
      <c r="D768" t="s">
        <v>451</v>
      </c>
      <c r="E768" t="s">
        <v>524</v>
      </c>
      <c r="F768" t="s">
        <v>371</v>
      </c>
      <c r="H768" t="s">
        <v>565</v>
      </c>
      <c r="I768">
        <v>105400000</v>
      </c>
      <c r="J768" t="s">
        <v>451</v>
      </c>
      <c r="L768" t="str">
        <f>IFERROR(INDEX(Diccionario!$B:$B,MATCH(F768,Diccionario!$C:$C,0)),"")</f>
        <v>Contabilidad</v>
      </c>
      <c r="M768" t="str">
        <f>IFERROR(INDEX(Diccionario!$H:$H,MATCH(F768,Diccionario!$C:$C,0)),"")</f>
        <v>Contabilidad</v>
      </c>
      <c r="N768" t="str">
        <f>IFERROR(INDEX(Diccionario!$N:$N,MATCH(F768,Diccionario!$C:$C,0)),"")</f>
        <v>Mensual</v>
      </c>
    </row>
    <row r="769" spans="1:14" ht="14.25" customHeight="1" x14ac:dyDescent="0.3">
      <c r="A769" t="s">
        <v>539</v>
      </c>
      <c r="B769" t="s">
        <v>522</v>
      </c>
      <c r="C769" t="s">
        <v>523</v>
      </c>
      <c r="D769" t="s">
        <v>451</v>
      </c>
      <c r="E769" t="s">
        <v>524</v>
      </c>
      <c r="F769" t="s">
        <v>371</v>
      </c>
      <c r="H769" t="s">
        <v>566</v>
      </c>
      <c r="I769">
        <v>13300000</v>
      </c>
      <c r="J769" t="s">
        <v>451</v>
      </c>
      <c r="L769" t="str">
        <f>IFERROR(INDEX(Diccionario!$B:$B,MATCH(F769,Diccionario!$C:$C,0)),"")</f>
        <v>Contabilidad</v>
      </c>
      <c r="M769" t="str">
        <f>IFERROR(INDEX(Diccionario!$H:$H,MATCH(F769,Diccionario!$C:$C,0)),"")</f>
        <v>Contabilidad</v>
      </c>
      <c r="N769" t="str">
        <f>IFERROR(INDEX(Diccionario!$N:$N,MATCH(F769,Diccionario!$C:$C,0)),"")</f>
        <v>Mensual</v>
      </c>
    </row>
    <row r="770" spans="1:14" ht="14.25" customHeight="1" x14ac:dyDescent="0.3">
      <c r="A770" t="s">
        <v>539</v>
      </c>
      <c r="B770" t="s">
        <v>522</v>
      </c>
      <c r="C770" t="s">
        <v>523</v>
      </c>
      <c r="D770" t="s">
        <v>451</v>
      </c>
      <c r="E770" t="s">
        <v>524</v>
      </c>
      <c r="F770" t="s">
        <v>371</v>
      </c>
      <c r="H770" t="s">
        <v>569</v>
      </c>
      <c r="I770">
        <v>3200000</v>
      </c>
      <c r="J770" t="s">
        <v>451</v>
      </c>
      <c r="L770" t="str">
        <f>IFERROR(INDEX(Diccionario!$B:$B,MATCH(F770,Diccionario!$C:$C,0)),"")</f>
        <v>Contabilidad</v>
      </c>
      <c r="M770" t="str">
        <f>IFERROR(INDEX(Diccionario!$H:$H,MATCH(F770,Diccionario!$C:$C,0)),"")</f>
        <v>Contabilidad</v>
      </c>
      <c r="N770" t="str">
        <f>IFERROR(INDEX(Diccionario!$N:$N,MATCH(F770,Diccionario!$C:$C,0)),"")</f>
        <v>Mensual</v>
      </c>
    </row>
    <row r="771" spans="1:14" ht="14.25" customHeight="1" x14ac:dyDescent="0.3">
      <c r="A771" t="s">
        <v>539</v>
      </c>
      <c r="B771" t="s">
        <v>522</v>
      </c>
      <c r="C771" t="s">
        <v>523</v>
      </c>
      <c r="D771" t="s">
        <v>451</v>
      </c>
      <c r="E771" t="s">
        <v>524</v>
      </c>
      <c r="F771" t="s">
        <v>371</v>
      </c>
      <c r="H771" t="s">
        <v>570</v>
      </c>
      <c r="I771">
        <v>1900000</v>
      </c>
      <c r="J771" t="s">
        <v>451</v>
      </c>
      <c r="L771" t="str">
        <f>IFERROR(INDEX(Diccionario!$B:$B,MATCH(F771,Diccionario!$C:$C,0)),"")</f>
        <v>Contabilidad</v>
      </c>
      <c r="M771" t="str">
        <f>IFERROR(INDEX(Diccionario!$H:$H,MATCH(F771,Diccionario!$C:$C,0)),"")</f>
        <v>Contabilidad</v>
      </c>
      <c r="N771" t="str">
        <f>IFERROR(INDEX(Diccionario!$N:$N,MATCH(F771,Diccionario!$C:$C,0)),"")</f>
        <v>Mensual</v>
      </c>
    </row>
    <row r="772" spans="1:14" ht="14.25" customHeight="1" x14ac:dyDescent="0.3">
      <c r="A772" t="s">
        <v>540</v>
      </c>
      <c r="B772" t="s">
        <v>522</v>
      </c>
      <c r="C772" t="s">
        <v>523</v>
      </c>
      <c r="D772" t="s">
        <v>451</v>
      </c>
      <c r="E772" t="s">
        <v>524</v>
      </c>
      <c r="F772" t="s">
        <v>371</v>
      </c>
      <c r="H772" t="s">
        <v>565</v>
      </c>
      <c r="I772">
        <v>104800000</v>
      </c>
      <c r="J772" t="s">
        <v>451</v>
      </c>
      <c r="L772" t="str">
        <f>IFERROR(INDEX(Diccionario!$B:$B,MATCH(F772,Diccionario!$C:$C,0)),"")</f>
        <v>Contabilidad</v>
      </c>
      <c r="M772" t="str">
        <f>IFERROR(INDEX(Diccionario!$H:$H,MATCH(F772,Diccionario!$C:$C,0)),"")</f>
        <v>Contabilidad</v>
      </c>
      <c r="N772" t="str">
        <f>IFERROR(INDEX(Diccionario!$N:$N,MATCH(F772,Diccionario!$C:$C,0)),"")</f>
        <v>Mensual</v>
      </c>
    </row>
    <row r="773" spans="1:14" ht="14.25" customHeight="1" x14ac:dyDescent="0.3">
      <c r="A773" t="s">
        <v>540</v>
      </c>
      <c r="B773" t="s">
        <v>522</v>
      </c>
      <c r="C773" t="s">
        <v>523</v>
      </c>
      <c r="D773" t="s">
        <v>451</v>
      </c>
      <c r="E773" t="s">
        <v>524</v>
      </c>
      <c r="F773" t="s">
        <v>371</v>
      </c>
      <c r="H773" t="s">
        <v>566</v>
      </c>
      <c r="I773">
        <v>36800000</v>
      </c>
      <c r="J773" t="s">
        <v>451</v>
      </c>
      <c r="L773" t="str">
        <f>IFERROR(INDEX(Diccionario!$B:$B,MATCH(F773,Diccionario!$C:$C,0)),"")</f>
        <v>Contabilidad</v>
      </c>
      <c r="M773" t="str">
        <f>IFERROR(INDEX(Diccionario!$H:$H,MATCH(F773,Diccionario!$C:$C,0)),"")</f>
        <v>Contabilidad</v>
      </c>
      <c r="N773" t="str">
        <f>IFERROR(INDEX(Diccionario!$N:$N,MATCH(F773,Diccionario!$C:$C,0)),"")</f>
        <v>Mensual</v>
      </c>
    </row>
    <row r="774" spans="1:14" ht="14.25" customHeight="1" x14ac:dyDescent="0.3">
      <c r="A774" t="s">
        <v>540</v>
      </c>
      <c r="B774" t="s">
        <v>522</v>
      </c>
      <c r="C774" t="s">
        <v>523</v>
      </c>
      <c r="D774" t="s">
        <v>451</v>
      </c>
      <c r="E774" t="s">
        <v>524</v>
      </c>
      <c r="F774" t="s">
        <v>371</v>
      </c>
      <c r="H774" t="s">
        <v>569</v>
      </c>
      <c r="I774">
        <v>3200000</v>
      </c>
      <c r="J774" t="s">
        <v>451</v>
      </c>
      <c r="L774" t="str">
        <f>IFERROR(INDEX(Diccionario!$B:$B,MATCH(F774,Diccionario!$C:$C,0)),"")</f>
        <v>Contabilidad</v>
      </c>
      <c r="M774" t="str">
        <f>IFERROR(INDEX(Diccionario!$H:$H,MATCH(F774,Diccionario!$C:$C,0)),"")</f>
        <v>Contabilidad</v>
      </c>
      <c r="N774" t="str">
        <f>IFERROR(INDEX(Diccionario!$N:$N,MATCH(F774,Diccionario!$C:$C,0)),"")</f>
        <v>Mensual</v>
      </c>
    </row>
    <row r="775" spans="1:14" ht="14.25" customHeight="1" x14ac:dyDescent="0.3">
      <c r="A775" t="s">
        <v>540</v>
      </c>
      <c r="B775" t="s">
        <v>522</v>
      </c>
      <c r="C775" t="s">
        <v>523</v>
      </c>
      <c r="D775" t="s">
        <v>451</v>
      </c>
      <c r="E775" t="s">
        <v>524</v>
      </c>
      <c r="F775" t="s">
        <v>371</v>
      </c>
      <c r="H775" t="s">
        <v>570</v>
      </c>
      <c r="I775">
        <v>76000</v>
      </c>
      <c r="J775" t="s">
        <v>451</v>
      </c>
      <c r="L775" t="str">
        <f>IFERROR(INDEX(Diccionario!$B:$B,MATCH(F775,Diccionario!$C:$C,0)),"")</f>
        <v>Contabilidad</v>
      </c>
      <c r="M775" t="str">
        <f>IFERROR(INDEX(Diccionario!$H:$H,MATCH(F775,Diccionario!$C:$C,0)),"")</f>
        <v>Contabilidad</v>
      </c>
      <c r="N775" t="str">
        <f>IFERROR(INDEX(Diccionario!$N:$N,MATCH(F775,Diccionario!$C:$C,0)),"")</f>
        <v>Mensual</v>
      </c>
    </row>
    <row r="776" spans="1:14" ht="14.25" customHeight="1" x14ac:dyDescent="0.3">
      <c r="A776" t="s">
        <v>541</v>
      </c>
      <c r="B776" t="s">
        <v>522</v>
      </c>
      <c r="C776" t="s">
        <v>523</v>
      </c>
      <c r="D776" t="s">
        <v>451</v>
      </c>
      <c r="E776" t="s">
        <v>524</v>
      </c>
      <c r="F776" t="s">
        <v>371</v>
      </c>
      <c r="H776" t="s">
        <v>565</v>
      </c>
      <c r="I776">
        <v>110000000</v>
      </c>
      <c r="J776" t="s">
        <v>451</v>
      </c>
      <c r="L776" t="str">
        <f>IFERROR(INDEX(Diccionario!$B:$B,MATCH(F776,Diccionario!$C:$C,0)),"")</f>
        <v>Contabilidad</v>
      </c>
      <c r="M776" t="str">
        <f>IFERROR(INDEX(Diccionario!$H:$H,MATCH(F776,Diccionario!$C:$C,0)),"")</f>
        <v>Contabilidad</v>
      </c>
      <c r="N776" t="str">
        <f>IFERROR(INDEX(Diccionario!$N:$N,MATCH(F776,Diccionario!$C:$C,0)),"")</f>
        <v>Mensual</v>
      </c>
    </row>
    <row r="777" spans="1:14" ht="14.25" customHeight="1" x14ac:dyDescent="0.3">
      <c r="A777" t="s">
        <v>541</v>
      </c>
      <c r="B777" t="s">
        <v>522</v>
      </c>
      <c r="C777" t="s">
        <v>523</v>
      </c>
      <c r="D777" t="s">
        <v>451</v>
      </c>
      <c r="E777" t="s">
        <v>524</v>
      </c>
      <c r="F777" t="s">
        <v>371</v>
      </c>
      <c r="H777" t="s">
        <v>566</v>
      </c>
      <c r="I777">
        <v>26200000</v>
      </c>
      <c r="J777" t="s">
        <v>451</v>
      </c>
      <c r="L777" t="str">
        <f>IFERROR(INDEX(Diccionario!$B:$B,MATCH(F777,Diccionario!$C:$C,0)),"")</f>
        <v>Contabilidad</v>
      </c>
      <c r="M777" t="str">
        <f>IFERROR(INDEX(Diccionario!$H:$H,MATCH(F777,Diccionario!$C:$C,0)),"")</f>
        <v>Contabilidad</v>
      </c>
      <c r="N777" t="str">
        <f>IFERROR(INDEX(Diccionario!$N:$N,MATCH(F777,Diccionario!$C:$C,0)),"")</f>
        <v>Mensual</v>
      </c>
    </row>
    <row r="778" spans="1:14" ht="14.25" customHeight="1" x14ac:dyDescent="0.3">
      <c r="A778" t="s">
        <v>541</v>
      </c>
      <c r="B778" t="s">
        <v>522</v>
      </c>
      <c r="C778" t="s">
        <v>523</v>
      </c>
      <c r="D778" t="s">
        <v>451</v>
      </c>
      <c r="E778" t="s">
        <v>524</v>
      </c>
      <c r="F778" t="s">
        <v>371</v>
      </c>
      <c r="H778" t="s">
        <v>569</v>
      </c>
      <c r="I778">
        <v>3300000</v>
      </c>
      <c r="J778" t="s">
        <v>451</v>
      </c>
      <c r="L778" t="str">
        <f>IFERROR(INDEX(Diccionario!$B:$B,MATCH(F778,Diccionario!$C:$C,0)),"")</f>
        <v>Contabilidad</v>
      </c>
      <c r="M778" t="str">
        <f>IFERROR(INDEX(Diccionario!$H:$H,MATCH(F778,Diccionario!$C:$C,0)),"")</f>
        <v>Contabilidad</v>
      </c>
      <c r="N778" t="str">
        <f>IFERROR(INDEX(Diccionario!$N:$N,MATCH(F778,Diccionario!$C:$C,0)),"")</f>
        <v>Mensual</v>
      </c>
    </row>
    <row r="779" spans="1:14" ht="14.25" customHeight="1" x14ac:dyDescent="0.3">
      <c r="A779" t="s">
        <v>541</v>
      </c>
      <c r="B779" t="s">
        <v>522</v>
      </c>
      <c r="C779" t="s">
        <v>523</v>
      </c>
      <c r="D779" t="s">
        <v>451</v>
      </c>
      <c r="E779" t="s">
        <v>524</v>
      </c>
      <c r="F779" t="s">
        <v>371</v>
      </c>
      <c r="H779" t="s">
        <v>570</v>
      </c>
      <c r="I779">
        <v>0</v>
      </c>
      <c r="J779" t="s">
        <v>451</v>
      </c>
      <c r="L779" t="str">
        <f>IFERROR(INDEX(Diccionario!$B:$B,MATCH(F779,Diccionario!$C:$C,0)),"")</f>
        <v>Contabilidad</v>
      </c>
      <c r="M779" t="str">
        <f>IFERROR(INDEX(Diccionario!$H:$H,MATCH(F779,Diccionario!$C:$C,0)),"")</f>
        <v>Contabilidad</v>
      </c>
      <c r="N779" t="str">
        <f>IFERROR(INDEX(Diccionario!$N:$N,MATCH(F779,Diccionario!$C:$C,0)),"")</f>
        <v>Mensual</v>
      </c>
    </row>
    <row r="780" spans="1:14" ht="14.25" customHeight="1" x14ac:dyDescent="0.3">
      <c r="A780" t="s">
        <v>542</v>
      </c>
      <c r="B780" t="s">
        <v>522</v>
      </c>
      <c r="C780" t="s">
        <v>523</v>
      </c>
      <c r="D780" t="s">
        <v>451</v>
      </c>
      <c r="E780" t="s">
        <v>524</v>
      </c>
      <c r="F780" t="s">
        <v>371</v>
      </c>
      <c r="H780" t="s">
        <v>565</v>
      </c>
      <c r="I780">
        <v>116800000</v>
      </c>
      <c r="J780" t="s">
        <v>451</v>
      </c>
      <c r="L780" t="str">
        <f>IFERROR(INDEX(Diccionario!$B:$B,MATCH(F780,Diccionario!$C:$C,0)),"")</f>
        <v>Contabilidad</v>
      </c>
      <c r="M780" t="str">
        <f>IFERROR(INDEX(Diccionario!$H:$H,MATCH(F780,Diccionario!$C:$C,0)),"")</f>
        <v>Contabilidad</v>
      </c>
      <c r="N780" t="str">
        <f>IFERROR(INDEX(Diccionario!$N:$N,MATCH(F780,Diccionario!$C:$C,0)),"")</f>
        <v>Mensual</v>
      </c>
    </row>
    <row r="781" spans="1:14" ht="14.25" customHeight="1" x14ac:dyDescent="0.3">
      <c r="A781" t="s">
        <v>542</v>
      </c>
      <c r="B781" t="s">
        <v>522</v>
      </c>
      <c r="C781" t="s">
        <v>523</v>
      </c>
      <c r="D781" t="s">
        <v>451</v>
      </c>
      <c r="E781" t="s">
        <v>524</v>
      </c>
      <c r="F781" t="s">
        <v>371</v>
      </c>
      <c r="H781" t="s">
        <v>566</v>
      </c>
      <c r="I781">
        <v>6840000</v>
      </c>
      <c r="J781" t="s">
        <v>451</v>
      </c>
      <c r="L781" t="str">
        <f>IFERROR(INDEX(Diccionario!$B:$B,MATCH(F781,Diccionario!$C:$C,0)),"")</f>
        <v>Contabilidad</v>
      </c>
      <c r="M781" t="str">
        <f>IFERROR(INDEX(Diccionario!$H:$H,MATCH(F781,Diccionario!$C:$C,0)),"")</f>
        <v>Contabilidad</v>
      </c>
      <c r="N781" t="str">
        <f>IFERROR(INDEX(Diccionario!$N:$N,MATCH(F781,Diccionario!$C:$C,0)),"")</f>
        <v>Mensual</v>
      </c>
    </row>
    <row r="782" spans="1:14" ht="14.25" customHeight="1" x14ac:dyDescent="0.3">
      <c r="A782" t="s">
        <v>542</v>
      </c>
      <c r="B782" t="s">
        <v>522</v>
      </c>
      <c r="C782" t="s">
        <v>523</v>
      </c>
      <c r="D782" t="s">
        <v>451</v>
      </c>
      <c r="E782" t="s">
        <v>524</v>
      </c>
      <c r="F782" t="s">
        <v>371</v>
      </c>
      <c r="H782" t="s">
        <v>569</v>
      </c>
      <c r="I782">
        <v>4530000</v>
      </c>
      <c r="J782" t="s">
        <v>451</v>
      </c>
      <c r="L782" t="str">
        <f>IFERROR(INDEX(Diccionario!$B:$B,MATCH(F782,Diccionario!$C:$C,0)),"")</f>
        <v>Contabilidad</v>
      </c>
      <c r="M782" t="str">
        <f>IFERROR(INDEX(Diccionario!$H:$H,MATCH(F782,Diccionario!$C:$C,0)),"")</f>
        <v>Contabilidad</v>
      </c>
      <c r="N782" t="str">
        <f>IFERROR(INDEX(Diccionario!$N:$N,MATCH(F782,Diccionario!$C:$C,0)),"")</f>
        <v>Mensual</v>
      </c>
    </row>
    <row r="783" spans="1:14" ht="14.25" customHeight="1" x14ac:dyDescent="0.3">
      <c r="A783" t="s">
        <v>542</v>
      </c>
      <c r="B783" t="s">
        <v>522</v>
      </c>
      <c r="C783" t="s">
        <v>523</v>
      </c>
      <c r="D783" t="s">
        <v>451</v>
      </c>
      <c r="E783" t="s">
        <v>524</v>
      </c>
      <c r="F783" t="s">
        <v>371</v>
      </c>
      <c r="H783" t="s">
        <v>570</v>
      </c>
      <c r="I783">
        <v>1856000</v>
      </c>
      <c r="J783" t="s">
        <v>451</v>
      </c>
      <c r="L783" t="str">
        <f>IFERROR(INDEX(Diccionario!$B:$B,MATCH(F783,Diccionario!$C:$C,0)),"")</f>
        <v>Contabilidad</v>
      </c>
      <c r="M783" t="str">
        <f>IFERROR(INDEX(Diccionario!$H:$H,MATCH(F783,Diccionario!$C:$C,0)),"")</f>
        <v>Contabilidad</v>
      </c>
      <c r="N783" t="str">
        <f>IFERROR(INDEX(Diccionario!$N:$N,MATCH(F783,Diccionario!$C:$C,0)),"")</f>
        <v>Mensual</v>
      </c>
    </row>
    <row r="784" spans="1:14" ht="14.25" customHeight="1" x14ac:dyDescent="0.3">
      <c r="A784" t="s">
        <v>543</v>
      </c>
      <c r="B784" t="s">
        <v>522</v>
      </c>
      <c r="C784" t="s">
        <v>523</v>
      </c>
      <c r="D784" t="s">
        <v>451</v>
      </c>
      <c r="E784" t="s">
        <v>524</v>
      </c>
      <c r="F784" t="s">
        <v>371</v>
      </c>
      <c r="H784" t="s">
        <v>565</v>
      </c>
      <c r="I784">
        <v>118200000</v>
      </c>
      <c r="J784" t="s">
        <v>451</v>
      </c>
      <c r="L784" t="str">
        <f>IFERROR(INDEX(Diccionario!$B:$B,MATCH(F784,Diccionario!$C:$C,0)),"")</f>
        <v>Contabilidad</v>
      </c>
      <c r="M784" t="str">
        <f>IFERROR(INDEX(Diccionario!$H:$H,MATCH(F784,Diccionario!$C:$C,0)),"")</f>
        <v>Contabilidad</v>
      </c>
      <c r="N784" t="str">
        <f>IFERROR(INDEX(Diccionario!$N:$N,MATCH(F784,Diccionario!$C:$C,0)),"")</f>
        <v>Mensual</v>
      </c>
    </row>
    <row r="785" spans="1:14" ht="14.25" customHeight="1" x14ac:dyDescent="0.3">
      <c r="A785" t="s">
        <v>543</v>
      </c>
      <c r="B785" t="s">
        <v>522</v>
      </c>
      <c r="C785" t="s">
        <v>523</v>
      </c>
      <c r="D785" t="s">
        <v>451</v>
      </c>
      <c r="E785" t="s">
        <v>524</v>
      </c>
      <c r="F785" t="s">
        <v>371</v>
      </c>
      <c r="H785" t="s">
        <v>566</v>
      </c>
      <c r="I785">
        <v>12400000</v>
      </c>
      <c r="J785" t="s">
        <v>451</v>
      </c>
      <c r="L785" t="str">
        <f>IFERROR(INDEX(Diccionario!$B:$B,MATCH(F785,Diccionario!$C:$C,0)),"")</f>
        <v>Contabilidad</v>
      </c>
      <c r="M785" t="str">
        <f>IFERROR(INDEX(Diccionario!$H:$H,MATCH(F785,Diccionario!$C:$C,0)),"")</f>
        <v>Contabilidad</v>
      </c>
      <c r="N785" t="str">
        <f>IFERROR(INDEX(Diccionario!$N:$N,MATCH(F785,Diccionario!$C:$C,0)),"")</f>
        <v>Mensual</v>
      </c>
    </row>
    <row r="786" spans="1:14" ht="14.25" customHeight="1" x14ac:dyDescent="0.3">
      <c r="A786" t="s">
        <v>543</v>
      </c>
      <c r="B786" t="s">
        <v>522</v>
      </c>
      <c r="C786" t="s">
        <v>523</v>
      </c>
      <c r="D786" t="s">
        <v>451</v>
      </c>
      <c r="E786" t="s">
        <v>524</v>
      </c>
      <c r="F786" t="s">
        <v>371</v>
      </c>
      <c r="H786" t="s">
        <v>569</v>
      </c>
      <c r="I786">
        <v>3200000</v>
      </c>
      <c r="J786" t="s">
        <v>451</v>
      </c>
      <c r="L786" t="str">
        <f>IFERROR(INDEX(Diccionario!$B:$B,MATCH(F786,Diccionario!$C:$C,0)),"")</f>
        <v>Contabilidad</v>
      </c>
      <c r="M786" t="str">
        <f>IFERROR(INDEX(Diccionario!$H:$H,MATCH(F786,Diccionario!$C:$C,0)),"")</f>
        <v>Contabilidad</v>
      </c>
      <c r="N786" t="str">
        <f>IFERROR(INDEX(Diccionario!$N:$N,MATCH(F786,Diccionario!$C:$C,0)),"")</f>
        <v>Mensual</v>
      </c>
    </row>
    <row r="787" spans="1:14" ht="14.25" customHeight="1" x14ac:dyDescent="0.3">
      <c r="A787" t="s">
        <v>543</v>
      </c>
      <c r="B787" t="s">
        <v>522</v>
      </c>
      <c r="C787" t="s">
        <v>523</v>
      </c>
      <c r="D787" t="s">
        <v>451</v>
      </c>
      <c r="E787" t="s">
        <v>524</v>
      </c>
      <c r="F787" t="s">
        <v>371</v>
      </c>
      <c r="H787" t="s">
        <v>570</v>
      </c>
      <c r="I787">
        <v>500000</v>
      </c>
      <c r="J787" t="s">
        <v>451</v>
      </c>
      <c r="L787" t="str">
        <f>IFERROR(INDEX(Diccionario!$B:$B,MATCH(F787,Diccionario!$C:$C,0)),"")</f>
        <v>Contabilidad</v>
      </c>
      <c r="M787" t="str">
        <f>IFERROR(INDEX(Diccionario!$H:$H,MATCH(F787,Diccionario!$C:$C,0)),"")</f>
        <v>Contabilidad</v>
      </c>
      <c r="N787" t="str">
        <f>IFERROR(INDEX(Diccionario!$N:$N,MATCH(F787,Diccionario!$C:$C,0)),"")</f>
        <v>Mensual</v>
      </c>
    </row>
    <row r="788" spans="1:14" ht="14.25" customHeight="1" x14ac:dyDescent="0.3">
      <c r="A788" t="s">
        <v>544</v>
      </c>
      <c r="B788" t="s">
        <v>522</v>
      </c>
      <c r="C788" t="s">
        <v>523</v>
      </c>
      <c r="D788" t="s">
        <v>451</v>
      </c>
      <c r="E788" t="s">
        <v>524</v>
      </c>
      <c r="F788" t="s">
        <v>371</v>
      </c>
      <c r="H788" t="s">
        <v>565</v>
      </c>
      <c r="I788">
        <v>200000000</v>
      </c>
      <c r="J788" t="s">
        <v>451</v>
      </c>
      <c r="L788" t="str">
        <f>IFERROR(INDEX(Diccionario!$B:$B,MATCH(F788,Diccionario!$C:$C,0)),"")</f>
        <v>Contabilidad</v>
      </c>
      <c r="M788" t="str">
        <f>IFERROR(INDEX(Diccionario!$H:$H,MATCH(F788,Diccionario!$C:$C,0)),"")</f>
        <v>Contabilidad</v>
      </c>
      <c r="N788" t="str">
        <f>IFERROR(INDEX(Diccionario!$N:$N,MATCH(F788,Diccionario!$C:$C,0)),"")</f>
        <v>Mensual</v>
      </c>
    </row>
    <row r="789" spans="1:14" ht="14.25" customHeight="1" x14ac:dyDescent="0.3">
      <c r="A789" t="s">
        <v>544</v>
      </c>
      <c r="B789" t="s">
        <v>522</v>
      </c>
      <c r="C789" t="s">
        <v>523</v>
      </c>
      <c r="D789" t="s">
        <v>451</v>
      </c>
      <c r="E789" t="s">
        <v>524</v>
      </c>
      <c r="F789" t="s">
        <v>371</v>
      </c>
      <c r="H789" t="s">
        <v>566</v>
      </c>
      <c r="I789">
        <v>7600000</v>
      </c>
      <c r="J789" t="s">
        <v>451</v>
      </c>
      <c r="L789" t="str">
        <f>IFERROR(INDEX(Diccionario!$B:$B,MATCH(F789,Diccionario!$C:$C,0)),"")</f>
        <v>Contabilidad</v>
      </c>
      <c r="M789" t="str">
        <f>IFERROR(INDEX(Diccionario!$H:$H,MATCH(F789,Diccionario!$C:$C,0)),"")</f>
        <v>Contabilidad</v>
      </c>
      <c r="N789" t="str">
        <f>IFERROR(INDEX(Diccionario!$N:$N,MATCH(F789,Diccionario!$C:$C,0)),"")</f>
        <v>Mensual</v>
      </c>
    </row>
    <row r="790" spans="1:14" ht="14.25" customHeight="1" x14ac:dyDescent="0.3">
      <c r="A790" t="s">
        <v>544</v>
      </c>
      <c r="B790" t="s">
        <v>522</v>
      </c>
      <c r="C790" t="s">
        <v>523</v>
      </c>
      <c r="D790" t="s">
        <v>451</v>
      </c>
      <c r="E790" t="s">
        <v>524</v>
      </c>
      <c r="F790" t="s">
        <v>371</v>
      </c>
      <c r="H790" t="s">
        <v>569</v>
      </c>
      <c r="I790">
        <v>15200000</v>
      </c>
      <c r="J790" t="s">
        <v>451</v>
      </c>
      <c r="L790" t="str">
        <f>IFERROR(INDEX(Diccionario!$B:$B,MATCH(F790,Diccionario!$C:$C,0)),"")</f>
        <v>Contabilidad</v>
      </c>
      <c r="M790" t="str">
        <f>IFERROR(INDEX(Diccionario!$H:$H,MATCH(F790,Diccionario!$C:$C,0)),"")</f>
        <v>Contabilidad</v>
      </c>
      <c r="N790" t="str">
        <f>IFERROR(INDEX(Diccionario!$N:$N,MATCH(F790,Diccionario!$C:$C,0)),"")</f>
        <v>Mensual</v>
      </c>
    </row>
    <row r="791" spans="1:14" ht="14.25" customHeight="1" x14ac:dyDescent="0.3">
      <c r="A791" t="s">
        <v>544</v>
      </c>
      <c r="B791" t="s">
        <v>522</v>
      </c>
      <c r="C791" t="s">
        <v>523</v>
      </c>
      <c r="D791" t="s">
        <v>451</v>
      </c>
      <c r="E791" t="s">
        <v>524</v>
      </c>
      <c r="F791" t="s">
        <v>371</v>
      </c>
      <c r="H791" t="s">
        <v>570</v>
      </c>
      <c r="I791">
        <v>9000000</v>
      </c>
      <c r="J791" t="s">
        <v>451</v>
      </c>
      <c r="L791" t="str">
        <f>IFERROR(INDEX(Diccionario!$B:$B,MATCH(F791,Diccionario!$C:$C,0)),"")</f>
        <v>Contabilidad</v>
      </c>
      <c r="M791" t="str">
        <f>IFERROR(INDEX(Diccionario!$H:$H,MATCH(F791,Diccionario!$C:$C,0)),"")</f>
        <v>Contabilidad</v>
      </c>
      <c r="N791" t="str">
        <f>IFERROR(INDEX(Diccionario!$N:$N,MATCH(F791,Diccionario!$C:$C,0)),"")</f>
        <v>Mensual</v>
      </c>
    </row>
    <row r="792" spans="1:14" ht="14.25" customHeight="1" x14ac:dyDescent="0.3">
      <c r="A792" t="s">
        <v>545</v>
      </c>
      <c r="B792" t="s">
        <v>522</v>
      </c>
      <c r="C792" t="s">
        <v>523</v>
      </c>
      <c r="D792" t="s">
        <v>451</v>
      </c>
      <c r="E792" t="s">
        <v>524</v>
      </c>
      <c r="F792" t="s">
        <v>371</v>
      </c>
      <c r="H792" t="s">
        <v>565</v>
      </c>
      <c r="I792">
        <v>168100000</v>
      </c>
      <c r="J792" t="s">
        <v>451</v>
      </c>
      <c r="L792" t="str">
        <f>IFERROR(INDEX(Diccionario!$B:$B,MATCH(F792,Diccionario!$C:$C,0)),"")</f>
        <v>Contabilidad</v>
      </c>
      <c r="M792" t="str">
        <f>IFERROR(INDEX(Diccionario!$H:$H,MATCH(F792,Diccionario!$C:$C,0)),"")</f>
        <v>Contabilidad</v>
      </c>
      <c r="N792" t="str">
        <f>IFERROR(INDEX(Diccionario!$N:$N,MATCH(F792,Diccionario!$C:$C,0)),"")</f>
        <v>Mensual</v>
      </c>
    </row>
    <row r="793" spans="1:14" ht="14.25" customHeight="1" x14ac:dyDescent="0.3">
      <c r="A793" t="s">
        <v>545</v>
      </c>
      <c r="B793" t="s">
        <v>522</v>
      </c>
      <c r="C793" t="s">
        <v>523</v>
      </c>
      <c r="D793" t="s">
        <v>451</v>
      </c>
      <c r="E793" t="s">
        <v>524</v>
      </c>
      <c r="F793" t="s">
        <v>371</v>
      </c>
      <c r="H793" t="s">
        <v>566</v>
      </c>
      <c r="I793">
        <v>7300000</v>
      </c>
      <c r="J793" t="s">
        <v>451</v>
      </c>
      <c r="L793" t="str">
        <f>IFERROR(INDEX(Diccionario!$B:$B,MATCH(F793,Diccionario!$C:$C,0)),"")</f>
        <v>Contabilidad</v>
      </c>
      <c r="M793" t="str">
        <f>IFERROR(INDEX(Diccionario!$H:$H,MATCH(F793,Diccionario!$C:$C,0)),"")</f>
        <v>Contabilidad</v>
      </c>
      <c r="N793" t="str">
        <f>IFERROR(INDEX(Diccionario!$N:$N,MATCH(F793,Diccionario!$C:$C,0)),"")</f>
        <v>Mensual</v>
      </c>
    </row>
    <row r="794" spans="1:14" ht="14.25" customHeight="1" x14ac:dyDescent="0.3">
      <c r="A794" t="s">
        <v>545</v>
      </c>
      <c r="B794" t="s">
        <v>522</v>
      </c>
      <c r="C794" t="s">
        <v>523</v>
      </c>
      <c r="D794" t="s">
        <v>451</v>
      </c>
      <c r="E794" t="s">
        <v>524</v>
      </c>
      <c r="F794" t="s">
        <v>371</v>
      </c>
      <c r="H794" t="s">
        <v>569</v>
      </c>
      <c r="I794">
        <v>6400000</v>
      </c>
      <c r="J794" t="s">
        <v>451</v>
      </c>
      <c r="L794" t="str">
        <f>IFERROR(INDEX(Diccionario!$B:$B,MATCH(F794,Diccionario!$C:$C,0)),"")</f>
        <v>Contabilidad</v>
      </c>
      <c r="M794" t="str">
        <f>IFERROR(INDEX(Diccionario!$H:$H,MATCH(F794,Diccionario!$C:$C,0)),"")</f>
        <v>Contabilidad</v>
      </c>
      <c r="N794" t="str">
        <f>IFERROR(INDEX(Diccionario!$N:$N,MATCH(F794,Diccionario!$C:$C,0)),"")</f>
        <v>Mensual</v>
      </c>
    </row>
    <row r="795" spans="1:14" ht="14.25" customHeight="1" x14ac:dyDescent="0.3">
      <c r="A795" t="s">
        <v>545</v>
      </c>
      <c r="B795" t="s">
        <v>522</v>
      </c>
      <c r="C795" t="s">
        <v>523</v>
      </c>
      <c r="D795" t="s">
        <v>451</v>
      </c>
      <c r="E795" t="s">
        <v>524</v>
      </c>
      <c r="F795" t="s">
        <v>371</v>
      </c>
      <c r="H795" t="s">
        <v>570</v>
      </c>
      <c r="I795">
        <v>1700000</v>
      </c>
      <c r="J795" t="s">
        <v>451</v>
      </c>
      <c r="L795" t="str">
        <f>IFERROR(INDEX(Diccionario!$B:$B,MATCH(F795,Diccionario!$C:$C,0)),"")</f>
        <v>Contabilidad</v>
      </c>
      <c r="M795" t="str">
        <f>IFERROR(INDEX(Diccionario!$H:$H,MATCH(F795,Diccionario!$C:$C,0)),"")</f>
        <v>Contabilidad</v>
      </c>
      <c r="N795" t="str">
        <f>IFERROR(INDEX(Diccionario!$N:$N,MATCH(F795,Diccionario!$C:$C,0)),"")</f>
        <v>Mensual</v>
      </c>
    </row>
    <row r="796" spans="1:14" ht="14.25" customHeight="1" x14ac:dyDescent="0.3">
      <c r="A796" t="s">
        <v>546</v>
      </c>
      <c r="B796" t="s">
        <v>522</v>
      </c>
      <c r="C796" t="s">
        <v>523</v>
      </c>
      <c r="D796" t="s">
        <v>451</v>
      </c>
      <c r="E796" t="s">
        <v>524</v>
      </c>
      <c r="F796" t="s">
        <v>371</v>
      </c>
      <c r="H796" t="s">
        <v>565</v>
      </c>
      <c r="I796">
        <v>168200000</v>
      </c>
      <c r="J796" t="s">
        <v>451</v>
      </c>
      <c r="L796" t="str">
        <f>IFERROR(INDEX(Diccionario!$B:$B,MATCH(F796,Diccionario!$C:$C,0)),"")</f>
        <v>Contabilidad</v>
      </c>
      <c r="M796" t="str">
        <f>IFERROR(INDEX(Diccionario!$H:$H,MATCH(F796,Diccionario!$C:$C,0)),"")</f>
        <v>Contabilidad</v>
      </c>
      <c r="N796" t="str">
        <f>IFERROR(INDEX(Diccionario!$N:$N,MATCH(F796,Diccionario!$C:$C,0)),"")</f>
        <v>Mensual</v>
      </c>
    </row>
    <row r="797" spans="1:14" ht="14.25" customHeight="1" x14ac:dyDescent="0.3">
      <c r="A797" t="s">
        <v>546</v>
      </c>
      <c r="B797" t="s">
        <v>522</v>
      </c>
      <c r="C797" t="s">
        <v>523</v>
      </c>
      <c r="D797" t="s">
        <v>451</v>
      </c>
      <c r="E797" t="s">
        <v>524</v>
      </c>
      <c r="F797" t="s">
        <v>371</v>
      </c>
      <c r="H797" t="s">
        <v>566</v>
      </c>
      <c r="I797">
        <v>8600000</v>
      </c>
      <c r="J797" t="s">
        <v>451</v>
      </c>
      <c r="L797" t="str">
        <f>IFERROR(INDEX(Diccionario!$B:$B,MATCH(F797,Diccionario!$C:$C,0)),"")</f>
        <v>Contabilidad</v>
      </c>
      <c r="M797" t="str">
        <f>IFERROR(INDEX(Diccionario!$H:$H,MATCH(F797,Diccionario!$C:$C,0)),"")</f>
        <v>Contabilidad</v>
      </c>
      <c r="N797" t="str">
        <f>IFERROR(INDEX(Diccionario!$N:$N,MATCH(F797,Diccionario!$C:$C,0)),"")</f>
        <v>Mensual</v>
      </c>
    </row>
    <row r="798" spans="1:14" ht="14.25" customHeight="1" x14ac:dyDescent="0.3">
      <c r="A798" t="s">
        <v>546</v>
      </c>
      <c r="B798" t="s">
        <v>522</v>
      </c>
      <c r="C798" t="s">
        <v>523</v>
      </c>
      <c r="D798" t="s">
        <v>451</v>
      </c>
      <c r="E798" t="s">
        <v>524</v>
      </c>
      <c r="F798" t="s">
        <v>371</v>
      </c>
      <c r="H798" t="s">
        <v>569</v>
      </c>
      <c r="I798">
        <v>17600000</v>
      </c>
      <c r="J798" t="s">
        <v>451</v>
      </c>
      <c r="L798" t="str">
        <f>IFERROR(INDEX(Diccionario!$B:$B,MATCH(F798,Diccionario!$C:$C,0)),"")</f>
        <v>Contabilidad</v>
      </c>
      <c r="M798" t="str">
        <f>IFERROR(INDEX(Diccionario!$H:$H,MATCH(F798,Diccionario!$C:$C,0)),"")</f>
        <v>Contabilidad</v>
      </c>
      <c r="N798" t="str">
        <f>IFERROR(INDEX(Diccionario!$N:$N,MATCH(F798,Diccionario!$C:$C,0)),"")</f>
        <v>Mensual</v>
      </c>
    </row>
    <row r="799" spans="1:14" ht="14.25" customHeight="1" x14ac:dyDescent="0.3">
      <c r="A799" t="s">
        <v>546</v>
      </c>
      <c r="B799" t="s">
        <v>522</v>
      </c>
      <c r="C799" t="s">
        <v>523</v>
      </c>
      <c r="D799" t="s">
        <v>451</v>
      </c>
      <c r="E799" t="s">
        <v>524</v>
      </c>
      <c r="F799" t="s">
        <v>371</v>
      </c>
      <c r="H799" t="s">
        <v>570</v>
      </c>
      <c r="I799">
        <v>100000</v>
      </c>
      <c r="J799" t="s">
        <v>451</v>
      </c>
      <c r="L799" t="str">
        <f>IFERROR(INDEX(Diccionario!$B:$B,MATCH(F799,Diccionario!$C:$C,0)),"")</f>
        <v>Contabilidad</v>
      </c>
      <c r="M799" t="str">
        <f>IFERROR(INDEX(Diccionario!$H:$H,MATCH(F799,Diccionario!$C:$C,0)),"")</f>
        <v>Contabilidad</v>
      </c>
      <c r="N799" t="str">
        <f>IFERROR(INDEX(Diccionario!$N:$N,MATCH(F799,Diccionario!$C:$C,0)),"")</f>
        <v>Mensual</v>
      </c>
    </row>
    <row r="800" spans="1:14" ht="14.25" customHeight="1" x14ac:dyDescent="0.3">
      <c r="A800" t="s">
        <v>547</v>
      </c>
      <c r="B800" t="s">
        <v>522</v>
      </c>
      <c r="C800" t="s">
        <v>523</v>
      </c>
      <c r="D800" t="s">
        <v>451</v>
      </c>
      <c r="E800" t="s">
        <v>524</v>
      </c>
      <c r="F800" t="s">
        <v>371</v>
      </c>
      <c r="H800" t="s">
        <v>565</v>
      </c>
      <c r="I800">
        <v>174000000</v>
      </c>
      <c r="J800" t="s">
        <v>451</v>
      </c>
      <c r="L800" t="str">
        <f>IFERROR(INDEX(Diccionario!$B:$B,MATCH(F800,Diccionario!$C:$C,0)),"")</f>
        <v>Contabilidad</v>
      </c>
      <c r="M800" t="str">
        <f>IFERROR(INDEX(Diccionario!$H:$H,MATCH(F800,Diccionario!$C:$C,0)),"")</f>
        <v>Contabilidad</v>
      </c>
      <c r="N800" t="str">
        <f>IFERROR(INDEX(Diccionario!$N:$N,MATCH(F800,Diccionario!$C:$C,0)),"")</f>
        <v>Mensual</v>
      </c>
    </row>
    <row r="801" spans="1:14" ht="14.25" customHeight="1" x14ac:dyDescent="0.3">
      <c r="A801" t="s">
        <v>547</v>
      </c>
      <c r="B801" t="s">
        <v>522</v>
      </c>
      <c r="C801" t="s">
        <v>523</v>
      </c>
      <c r="D801" t="s">
        <v>451</v>
      </c>
      <c r="E801" t="s">
        <v>524</v>
      </c>
      <c r="F801" t="s">
        <v>371</v>
      </c>
      <c r="H801" t="s">
        <v>566</v>
      </c>
      <c r="I801">
        <v>3800000</v>
      </c>
      <c r="J801" t="s">
        <v>451</v>
      </c>
      <c r="L801" t="str">
        <f>IFERROR(INDEX(Diccionario!$B:$B,MATCH(F801,Diccionario!$C:$C,0)),"")</f>
        <v>Contabilidad</v>
      </c>
      <c r="M801" t="str">
        <f>IFERROR(INDEX(Diccionario!$H:$H,MATCH(F801,Diccionario!$C:$C,0)),"")</f>
        <v>Contabilidad</v>
      </c>
      <c r="N801" t="str">
        <f>IFERROR(INDEX(Diccionario!$N:$N,MATCH(F801,Diccionario!$C:$C,0)),"")</f>
        <v>Mensual</v>
      </c>
    </row>
    <row r="802" spans="1:14" ht="14.25" customHeight="1" x14ac:dyDescent="0.3">
      <c r="A802" t="s">
        <v>547</v>
      </c>
      <c r="B802" t="s">
        <v>522</v>
      </c>
      <c r="C802" t="s">
        <v>523</v>
      </c>
      <c r="D802" t="s">
        <v>451</v>
      </c>
      <c r="E802" t="s">
        <v>524</v>
      </c>
      <c r="F802" t="s">
        <v>371</v>
      </c>
      <c r="H802" t="s">
        <v>569</v>
      </c>
      <c r="I802">
        <v>12600000</v>
      </c>
      <c r="J802" t="s">
        <v>451</v>
      </c>
      <c r="L802" t="str">
        <f>IFERROR(INDEX(Diccionario!$B:$B,MATCH(F802,Diccionario!$C:$C,0)),"")</f>
        <v>Contabilidad</v>
      </c>
      <c r="M802" t="str">
        <f>IFERROR(INDEX(Diccionario!$H:$H,MATCH(F802,Diccionario!$C:$C,0)),"")</f>
        <v>Contabilidad</v>
      </c>
      <c r="N802" t="str">
        <f>IFERROR(INDEX(Diccionario!$N:$N,MATCH(F802,Diccionario!$C:$C,0)),"")</f>
        <v>Mensual</v>
      </c>
    </row>
    <row r="803" spans="1:14" ht="14.25" customHeight="1" x14ac:dyDescent="0.3">
      <c r="A803" t="s">
        <v>547</v>
      </c>
      <c r="B803" t="s">
        <v>522</v>
      </c>
      <c r="C803" t="s">
        <v>523</v>
      </c>
      <c r="D803" t="s">
        <v>451</v>
      </c>
      <c r="E803" t="s">
        <v>524</v>
      </c>
      <c r="F803" t="s">
        <v>371</v>
      </c>
      <c r="H803" t="s">
        <v>570</v>
      </c>
      <c r="I803">
        <v>0</v>
      </c>
      <c r="J803" t="s">
        <v>451</v>
      </c>
      <c r="L803" t="str">
        <f>IFERROR(INDEX(Diccionario!$B:$B,MATCH(F803,Diccionario!$C:$C,0)),"")</f>
        <v>Contabilidad</v>
      </c>
      <c r="M803" t="str">
        <f>IFERROR(INDEX(Diccionario!$H:$H,MATCH(F803,Diccionario!$C:$C,0)),"")</f>
        <v>Contabilidad</v>
      </c>
      <c r="N803" t="str">
        <f>IFERROR(INDEX(Diccionario!$N:$N,MATCH(F803,Diccionario!$C:$C,0)),"")</f>
        <v>Mensual</v>
      </c>
    </row>
    <row r="804" spans="1:14" ht="14.25" customHeight="1" x14ac:dyDescent="0.3">
      <c r="A804" t="s">
        <v>548</v>
      </c>
      <c r="B804" t="s">
        <v>522</v>
      </c>
      <c r="C804" t="s">
        <v>523</v>
      </c>
      <c r="D804" t="s">
        <v>451</v>
      </c>
      <c r="E804" t="s">
        <v>524</v>
      </c>
      <c r="F804" t="s">
        <v>371</v>
      </c>
      <c r="H804" t="s">
        <v>565</v>
      </c>
      <c r="I804">
        <v>164000000</v>
      </c>
      <c r="J804" t="s">
        <v>451</v>
      </c>
      <c r="L804" t="str">
        <f>IFERROR(INDEX(Diccionario!$B:$B,MATCH(F804,Diccionario!$C:$C,0)),"")</f>
        <v>Contabilidad</v>
      </c>
      <c r="M804" t="str">
        <f>IFERROR(INDEX(Diccionario!$H:$H,MATCH(F804,Diccionario!$C:$C,0)),"")</f>
        <v>Contabilidad</v>
      </c>
      <c r="N804" t="str">
        <f>IFERROR(INDEX(Diccionario!$N:$N,MATCH(F804,Diccionario!$C:$C,0)),"")</f>
        <v>Mensual</v>
      </c>
    </row>
    <row r="805" spans="1:14" ht="14.25" customHeight="1" x14ac:dyDescent="0.3">
      <c r="A805" t="s">
        <v>548</v>
      </c>
      <c r="B805" t="s">
        <v>522</v>
      </c>
      <c r="C805" t="s">
        <v>523</v>
      </c>
      <c r="D805" t="s">
        <v>451</v>
      </c>
      <c r="E805" t="s">
        <v>524</v>
      </c>
      <c r="F805" t="s">
        <v>371</v>
      </c>
      <c r="H805" t="s">
        <v>566</v>
      </c>
      <c r="I805">
        <v>7200000</v>
      </c>
      <c r="J805" t="s">
        <v>451</v>
      </c>
      <c r="L805" t="str">
        <f>IFERROR(INDEX(Diccionario!$B:$B,MATCH(F805,Diccionario!$C:$C,0)),"")</f>
        <v>Contabilidad</v>
      </c>
      <c r="M805" t="str">
        <f>IFERROR(INDEX(Diccionario!$H:$H,MATCH(F805,Diccionario!$C:$C,0)),"")</f>
        <v>Contabilidad</v>
      </c>
      <c r="N805" t="str">
        <f>IFERROR(INDEX(Diccionario!$N:$N,MATCH(F805,Diccionario!$C:$C,0)),"")</f>
        <v>Mensual</v>
      </c>
    </row>
    <row r="806" spans="1:14" ht="14.25" customHeight="1" x14ac:dyDescent="0.3">
      <c r="A806" t="s">
        <v>548</v>
      </c>
      <c r="B806" t="s">
        <v>522</v>
      </c>
      <c r="C806" t="s">
        <v>523</v>
      </c>
      <c r="D806" t="s">
        <v>451</v>
      </c>
      <c r="E806" t="s">
        <v>524</v>
      </c>
      <c r="F806" t="s">
        <v>371</v>
      </c>
      <c r="H806" t="s">
        <v>569</v>
      </c>
      <c r="I806">
        <v>4300000</v>
      </c>
      <c r="J806" t="s">
        <v>451</v>
      </c>
      <c r="L806" t="str">
        <f>IFERROR(INDEX(Diccionario!$B:$B,MATCH(F806,Diccionario!$C:$C,0)),"")</f>
        <v>Contabilidad</v>
      </c>
      <c r="M806" t="str">
        <f>IFERROR(INDEX(Diccionario!$H:$H,MATCH(F806,Diccionario!$C:$C,0)),"")</f>
        <v>Contabilidad</v>
      </c>
      <c r="N806" t="str">
        <f>IFERROR(INDEX(Diccionario!$N:$N,MATCH(F806,Diccionario!$C:$C,0)),"")</f>
        <v>Mensual</v>
      </c>
    </row>
    <row r="807" spans="1:14" ht="14.25" customHeight="1" x14ac:dyDescent="0.3">
      <c r="A807" t="s">
        <v>548</v>
      </c>
      <c r="B807" t="s">
        <v>522</v>
      </c>
      <c r="C807" t="s">
        <v>523</v>
      </c>
      <c r="D807" t="s">
        <v>451</v>
      </c>
      <c r="E807" t="s">
        <v>524</v>
      </c>
      <c r="F807" t="s">
        <v>371</v>
      </c>
      <c r="H807" t="s">
        <v>570</v>
      </c>
      <c r="I807">
        <v>3100000</v>
      </c>
      <c r="J807" t="s">
        <v>451</v>
      </c>
      <c r="L807" t="str">
        <f>IFERROR(INDEX(Diccionario!$B:$B,MATCH(F807,Diccionario!$C:$C,0)),"")</f>
        <v>Contabilidad</v>
      </c>
      <c r="M807" t="str">
        <f>IFERROR(INDEX(Diccionario!$H:$H,MATCH(F807,Diccionario!$C:$C,0)),"")</f>
        <v>Contabilidad</v>
      </c>
      <c r="N807" t="str">
        <f>IFERROR(INDEX(Diccionario!$N:$N,MATCH(F807,Diccionario!$C:$C,0)),"")</f>
        <v>Mensual</v>
      </c>
    </row>
    <row r="808" spans="1:14" ht="14.25" customHeight="1" x14ac:dyDescent="0.3">
      <c r="A808" t="s">
        <v>549</v>
      </c>
      <c r="B808" t="s">
        <v>522</v>
      </c>
      <c r="C808" t="s">
        <v>523</v>
      </c>
      <c r="D808" t="s">
        <v>451</v>
      </c>
      <c r="E808" t="s">
        <v>524</v>
      </c>
      <c r="F808" t="s">
        <v>371</v>
      </c>
      <c r="H808" t="s">
        <v>565</v>
      </c>
      <c r="I808">
        <v>159700000</v>
      </c>
      <c r="J808" t="s">
        <v>451</v>
      </c>
      <c r="L808" t="str">
        <f>IFERROR(INDEX(Diccionario!$B:$B,MATCH(F808,Diccionario!$C:$C,0)),"")</f>
        <v>Contabilidad</v>
      </c>
      <c r="M808" t="str">
        <f>IFERROR(INDEX(Diccionario!$H:$H,MATCH(F808,Diccionario!$C:$C,0)),"")</f>
        <v>Contabilidad</v>
      </c>
      <c r="N808" t="str">
        <f>IFERROR(INDEX(Diccionario!$N:$N,MATCH(F808,Diccionario!$C:$C,0)),"")</f>
        <v>Mensual</v>
      </c>
    </row>
    <row r="809" spans="1:14" ht="14.25" customHeight="1" x14ac:dyDescent="0.3">
      <c r="A809" t="s">
        <v>549</v>
      </c>
      <c r="B809" t="s">
        <v>522</v>
      </c>
      <c r="C809" t="s">
        <v>523</v>
      </c>
      <c r="D809" t="s">
        <v>451</v>
      </c>
      <c r="E809" t="s">
        <v>524</v>
      </c>
      <c r="F809" t="s">
        <v>371</v>
      </c>
      <c r="H809" t="s">
        <v>566</v>
      </c>
      <c r="I809">
        <v>6900000</v>
      </c>
      <c r="J809" t="s">
        <v>451</v>
      </c>
      <c r="L809" t="str">
        <f>IFERROR(INDEX(Diccionario!$B:$B,MATCH(F809,Diccionario!$C:$C,0)),"")</f>
        <v>Contabilidad</v>
      </c>
      <c r="M809" t="str">
        <f>IFERROR(INDEX(Diccionario!$H:$H,MATCH(F809,Diccionario!$C:$C,0)),"")</f>
        <v>Contabilidad</v>
      </c>
      <c r="N809" t="str">
        <f>IFERROR(INDEX(Diccionario!$N:$N,MATCH(F809,Diccionario!$C:$C,0)),"")</f>
        <v>Mensual</v>
      </c>
    </row>
    <row r="810" spans="1:14" ht="14.25" customHeight="1" x14ac:dyDescent="0.3">
      <c r="A810" t="s">
        <v>549</v>
      </c>
      <c r="B810" t="s">
        <v>522</v>
      </c>
      <c r="C810" t="s">
        <v>523</v>
      </c>
      <c r="D810" t="s">
        <v>451</v>
      </c>
      <c r="E810" t="s">
        <v>524</v>
      </c>
      <c r="F810" t="s">
        <v>371</v>
      </c>
      <c r="H810" t="s">
        <v>569</v>
      </c>
      <c r="I810">
        <v>3900000</v>
      </c>
      <c r="J810" t="s">
        <v>451</v>
      </c>
      <c r="L810" t="str">
        <f>IFERROR(INDEX(Diccionario!$B:$B,MATCH(F810,Diccionario!$C:$C,0)),"")</f>
        <v>Contabilidad</v>
      </c>
      <c r="M810" t="str">
        <f>IFERROR(INDEX(Diccionario!$H:$H,MATCH(F810,Diccionario!$C:$C,0)),"")</f>
        <v>Contabilidad</v>
      </c>
      <c r="N810" t="str">
        <f>IFERROR(INDEX(Diccionario!$N:$N,MATCH(F810,Diccionario!$C:$C,0)),"")</f>
        <v>Mensual</v>
      </c>
    </row>
    <row r="811" spans="1:14" ht="14.25" customHeight="1" x14ac:dyDescent="0.3">
      <c r="A811" t="s">
        <v>549</v>
      </c>
      <c r="B811" t="s">
        <v>522</v>
      </c>
      <c r="C811" t="s">
        <v>523</v>
      </c>
      <c r="D811" t="s">
        <v>451</v>
      </c>
      <c r="E811" t="s">
        <v>524</v>
      </c>
      <c r="F811" t="s">
        <v>371</v>
      </c>
      <c r="H811" t="s">
        <v>570</v>
      </c>
      <c r="I811">
        <v>923000</v>
      </c>
      <c r="J811" t="s">
        <v>451</v>
      </c>
      <c r="L811" t="str">
        <f>IFERROR(INDEX(Diccionario!$B:$B,MATCH(F811,Diccionario!$C:$C,0)),"")</f>
        <v>Contabilidad</v>
      </c>
      <c r="M811" t="str">
        <f>IFERROR(INDEX(Diccionario!$H:$H,MATCH(F811,Diccionario!$C:$C,0)),"")</f>
        <v>Contabilidad</v>
      </c>
      <c r="N811" t="str">
        <f>IFERROR(INDEX(Diccionario!$N:$N,MATCH(F811,Diccionario!$C:$C,0)),"")</f>
        <v>Mensual</v>
      </c>
    </row>
    <row r="812" spans="1:14" ht="14.25" customHeight="1" x14ac:dyDescent="0.3">
      <c r="A812" t="s">
        <v>551</v>
      </c>
      <c r="B812" t="s">
        <v>522</v>
      </c>
      <c r="C812" t="s">
        <v>523</v>
      </c>
      <c r="D812" t="s">
        <v>451</v>
      </c>
      <c r="E812" t="s">
        <v>524</v>
      </c>
      <c r="F812" t="s">
        <v>371</v>
      </c>
      <c r="H812" t="s">
        <v>565</v>
      </c>
      <c r="I812">
        <v>156090000</v>
      </c>
      <c r="J812" t="s">
        <v>451</v>
      </c>
      <c r="L812" t="str">
        <f>IFERROR(INDEX(Diccionario!$B:$B,MATCH(F812,Diccionario!$C:$C,0)),"")</f>
        <v>Contabilidad</v>
      </c>
      <c r="M812" t="str">
        <f>IFERROR(INDEX(Diccionario!$H:$H,MATCH(F812,Diccionario!$C:$C,0)),"")</f>
        <v>Contabilidad</v>
      </c>
      <c r="N812" t="str">
        <f>IFERROR(INDEX(Diccionario!$N:$N,MATCH(F812,Diccionario!$C:$C,0)),"")</f>
        <v>Mensual</v>
      </c>
    </row>
    <row r="813" spans="1:14" ht="14.25" customHeight="1" x14ac:dyDescent="0.3">
      <c r="A813" t="s">
        <v>551</v>
      </c>
      <c r="B813" t="s">
        <v>522</v>
      </c>
      <c r="C813" t="s">
        <v>523</v>
      </c>
      <c r="D813" t="s">
        <v>451</v>
      </c>
      <c r="E813" t="s">
        <v>524</v>
      </c>
      <c r="F813" t="s">
        <v>371</v>
      </c>
      <c r="H813" t="s">
        <v>566</v>
      </c>
      <c r="I813">
        <v>5800000</v>
      </c>
      <c r="J813" t="s">
        <v>451</v>
      </c>
      <c r="L813" t="str">
        <f>IFERROR(INDEX(Diccionario!$B:$B,MATCH(F813,Diccionario!$C:$C,0)),"")</f>
        <v>Contabilidad</v>
      </c>
      <c r="M813" t="str">
        <f>IFERROR(INDEX(Diccionario!$H:$H,MATCH(F813,Diccionario!$C:$C,0)),"")</f>
        <v>Contabilidad</v>
      </c>
      <c r="N813" t="str">
        <f>IFERROR(INDEX(Diccionario!$N:$N,MATCH(F813,Diccionario!$C:$C,0)),"")</f>
        <v>Mensual</v>
      </c>
    </row>
    <row r="814" spans="1:14" ht="14.25" customHeight="1" x14ac:dyDescent="0.3">
      <c r="A814" t="s">
        <v>551</v>
      </c>
      <c r="B814" t="s">
        <v>522</v>
      </c>
      <c r="C814" t="s">
        <v>523</v>
      </c>
      <c r="D814" t="s">
        <v>451</v>
      </c>
      <c r="E814" t="s">
        <v>524</v>
      </c>
      <c r="F814" t="s">
        <v>371</v>
      </c>
      <c r="H814" t="s">
        <v>569</v>
      </c>
      <c r="I814">
        <v>3600000</v>
      </c>
      <c r="J814" t="s">
        <v>451</v>
      </c>
      <c r="L814" t="str">
        <f>IFERROR(INDEX(Diccionario!$B:$B,MATCH(F814,Diccionario!$C:$C,0)),"")</f>
        <v>Contabilidad</v>
      </c>
      <c r="M814" t="str">
        <f>IFERROR(INDEX(Diccionario!$H:$H,MATCH(F814,Diccionario!$C:$C,0)),"")</f>
        <v>Contabilidad</v>
      </c>
      <c r="N814" t="str">
        <f>IFERROR(INDEX(Diccionario!$N:$N,MATCH(F814,Diccionario!$C:$C,0)),"")</f>
        <v>Mensual</v>
      </c>
    </row>
    <row r="815" spans="1:14" ht="14.25" customHeight="1" x14ac:dyDescent="0.3">
      <c r="A815" t="s">
        <v>551</v>
      </c>
      <c r="B815" t="s">
        <v>522</v>
      </c>
      <c r="C815" t="s">
        <v>523</v>
      </c>
      <c r="D815" t="s">
        <v>451</v>
      </c>
      <c r="E815" t="s">
        <v>524</v>
      </c>
      <c r="F815" t="s">
        <v>371</v>
      </c>
      <c r="H815" t="s">
        <v>570</v>
      </c>
      <c r="I815">
        <v>0</v>
      </c>
      <c r="J815" t="s">
        <v>451</v>
      </c>
      <c r="L815" t="str">
        <f>IFERROR(INDEX(Diccionario!$B:$B,MATCH(F815,Diccionario!$C:$C,0)),"")</f>
        <v>Contabilidad</v>
      </c>
      <c r="M815" t="str">
        <f>IFERROR(INDEX(Diccionario!$H:$H,MATCH(F815,Diccionario!$C:$C,0)),"")</f>
        <v>Contabilidad</v>
      </c>
      <c r="N815" t="str">
        <f>IFERROR(INDEX(Diccionario!$N:$N,MATCH(F815,Diccionario!$C:$C,0)),"")</f>
        <v>Mensual</v>
      </c>
    </row>
    <row r="816" spans="1:14" ht="14.25" customHeight="1" x14ac:dyDescent="0.3">
      <c r="A816" t="s">
        <v>552</v>
      </c>
      <c r="B816" t="s">
        <v>522</v>
      </c>
      <c r="C816" t="s">
        <v>523</v>
      </c>
      <c r="D816" t="s">
        <v>451</v>
      </c>
      <c r="E816" t="s">
        <v>524</v>
      </c>
      <c r="F816" t="s">
        <v>371</v>
      </c>
      <c r="H816" t="s">
        <v>565</v>
      </c>
      <c r="I816">
        <v>148500000</v>
      </c>
      <c r="J816" t="s">
        <v>451</v>
      </c>
      <c r="L816" t="str">
        <f>IFERROR(INDEX(Diccionario!$B:$B,MATCH(F816,Diccionario!$C:$C,0)),"")</f>
        <v>Contabilidad</v>
      </c>
      <c r="M816" t="str">
        <f>IFERROR(INDEX(Diccionario!$H:$H,MATCH(F816,Diccionario!$C:$C,0)),"")</f>
        <v>Contabilidad</v>
      </c>
      <c r="N816" t="str">
        <f>IFERROR(INDEX(Diccionario!$N:$N,MATCH(F816,Diccionario!$C:$C,0)),"")</f>
        <v>Mensual</v>
      </c>
    </row>
    <row r="817" spans="1:14" ht="14.25" customHeight="1" x14ac:dyDescent="0.3">
      <c r="A817" t="s">
        <v>552</v>
      </c>
      <c r="B817" t="s">
        <v>522</v>
      </c>
      <c r="C817" t="s">
        <v>523</v>
      </c>
      <c r="D817" t="s">
        <v>451</v>
      </c>
      <c r="E817" t="s">
        <v>524</v>
      </c>
      <c r="F817" t="s">
        <v>371</v>
      </c>
      <c r="H817" t="s">
        <v>566</v>
      </c>
      <c r="I817">
        <v>7010000</v>
      </c>
      <c r="J817" t="s">
        <v>451</v>
      </c>
      <c r="L817" t="str">
        <f>IFERROR(INDEX(Diccionario!$B:$B,MATCH(F817,Diccionario!$C:$C,0)),"")</f>
        <v>Contabilidad</v>
      </c>
      <c r="M817" t="str">
        <f>IFERROR(INDEX(Diccionario!$H:$H,MATCH(F817,Diccionario!$C:$C,0)),"")</f>
        <v>Contabilidad</v>
      </c>
      <c r="N817" t="str">
        <f>IFERROR(INDEX(Diccionario!$N:$N,MATCH(F817,Diccionario!$C:$C,0)),"")</f>
        <v>Mensual</v>
      </c>
    </row>
    <row r="818" spans="1:14" ht="14.25" customHeight="1" x14ac:dyDescent="0.3">
      <c r="A818" t="s">
        <v>552</v>
      </c>
      <c r="B818" t="s">
        <v>522</v>
      </c>
      <c r="C818" t="s">
        <v>523</v>
      </c>
      <c r="D818" t="s">
        <v>451</v>
      </c>
      <c r="E818" t="s">
        <v>524</v>
      </c>
      <c r="F818" t="s">
        <v>371</v>
      </c>
      <c r="H818" t="s">
        <v>569</v>
      </c>
      <c r="I818">
        <v>24100000</v>
      </c>
      <c r="J818" t="s">
        <v>451</v>
      </c>
      <c r="L818" t="str">
        <f>IFERROR(INDEX(Diccionario!$B:$B,MATCH(F818,Diccionario!$C:$C,0)),"")</f>
        <v>Contabilidad</v>
      </c>
      <c r="M818" t="str">
        <f>IFERROR(INDEX(Diccionario!$H:$H,MATCH(F818,Diccionario!$C:$C,0)),"")</f>
        <v>Contabilidad</v>
      </c>
      <c r="N818" t="str">
        <f>IFERROR(INDEX(Diccionario!$N:$N,MATCH(F818,Diccionario!$C:$C,0)),"")</f>
        <v>Mensual</v>
      </c>
    </row>
    <row r="819" spans="1:14" ht="14.25" customHeight="1" x14ac:dyDescent="0.3">
      <c r="A819" t="s">
        <v>552</v>
      </c>
      <c r="B819" t="s">
        <v>522</v>
      </c>
      <c r="C819" t="s">
        <v>523</v>
      </c>
      <c r="D819" t="s">
        <v>451</v>
      </c>
      <c r="E819" t="s">
        <v>524</v>
      </c>
      <c r="F819" t="s">
        <v>371</v>
      </c>
      <c r="H819" t="s">
        <v>570</v>
      </c>
      <c r="I819">
        <v>0</v>
      </c>
      <c r="J819" t="s">
        <v>451</v>
      </c>
      <c r="L819" t="str">
        <f>IFERROR(INDEX(Diccionario!$B:$B,MATCH(F819,Diccionario!$C:$C,0)),"")</f>
        <v>Contabilidad</v>
      </c>
      <c r="M819" t="str">
        <f>IFERROR(INDEX(Diccionario!$H:$H,MATCH(F819,Diccionario!$C:$C,0)),"")</f>
        <v>Contabilidad</v>
      </c>
      <c r="N819" t="str">
        <f>IFERROR(INDEX(Diccionario!$N:$N,MATCH(F819,Diccionario!$C:$C,0)),"")</f>
        <v>Mensual</v>
      </c>
    </row>
    <row r="820" spans="1:14" ht="14.25" customHeight="1" x14ac:dyDescent="0.3">
      <c r="A820" t="s">
        <v>553</v>
      </c>
      <c r="B820" t="s">
        <v>522</v>
      </c>
      <c r="C820" t="s">
        <v>523</v>
      </c>
      <c r="D820" t="s">
        <v>451</v>
      </c>
      <c r="E820" t="s">
        <v>524</v>
      </c>
      <c r="F820" t="s">
        <v>371</v>
      </c>
      <c r="H820" t="s">
        <v>565</v>
      </c>
      <c r="I820">
        <v>163400000</v>
      </c>
      <c r="J820" t="s">
        <v>451</v>
      </c>
      <c r="L820" t="str">
        <f>IFERROR(INDEX(Diccionario!$B:$B,MATCH(F820,Diccionario!$C:$C,0)),"")</f>
        <v>Contabilidad</v>
      </c>
      <c r="M820" t="str">
        <f>IFERROR(INDEX(Diccionario!$H:$H,MATCH(F820,Diccionario!$C:$C,0)),"")</f>
        <v>Contabilidad</v>
      </c>
      <c r="N820" t="str">
        <f>IFERROR(INDEX(Diccionario!$N:$N,MATCH(F820,Diccionario!$C:$C,0)),"")</f>
        <v>Mensual</v>
      </c>
    </row>
    <row r="821" spans="1:14" ht="14.25" customHeight="1" x14ac:dyDescent="0.3">
      <c r="A821" t="s">
        <v>553</v>
      </c>
      <c r="B821" t="s">
        <v>522</v>
      </c>
      <c r="C821" t="s">
        <v>523</v>
      </c>
      <c r="D821" t="s">
        <v>451</v>
      </c>
      <c r="E821" t="s">
        <v>524</v>
      </c>
      <c r="F821" t="s">
        <v>371</v>
      </c>
      <c r="H821" t="s">
        <v>566</v>
      </c>
      <c r="I821">
        <v>6900000</v>
      </c>
      <c r="J821" t="s">
        <v>451</v>
      </c>
      <c r="L821" t="str">
        <f>IFERROR(INDEX(Diccionario!$B:$B,MATCH(F821,Diccionario!$C:$C,0)),"")</f>
        <v>Contabilidad</v>
      </c>
      <c r="M821" t="str">
        <f>IFERROR(INDEX(Diccionario!$H:$H,MATCH(F821,Diccionario!$C:$C,0)),"")</f>
        <v>Contabilidad</v>
      </c>
      <c r="N821" t="str">
        <f>IFERROR(INDEX(Diccionario!$N:$N,MATCH(F821,Diccionario!$C:$C,0)),"")</f>
        <v>Mensual</v>
      </c>
    </row>
    <row r="822" spans="1:14" ht="14.25" customHeight="1" x14ac:dyDescent="0.3">
      <c r="A822" t="s">
        <v>553</v>
      </c>
      <c r="B822" t="s">
        <v>522</v>
      </c>
      <c r="C822" t="s">
        <v>523</v>
      </c>
      <c r="D822" t="s">
        <v>451</v>
      </c>
      <c r="E822" t="s">
        <v>524</v>
      </c>
      <c r="F822" t="s">
        <v>371</v>
      </c>
      <c r="H822" t="s">
        <v>569</v>
      </c>
      <c r="I822">
        <v>14700000</v>
      </c>
      <c r="J822" t="s">
        <v>451</v>
      </c>
      <c r="L822" t="str">
        <f>IFERROR(INDEX(Diccionario!$B:$B,MATCH(F822,Diccionario!$C:$C,0)),"")</f>
        <v>Contabilidad</v>
      </c>
      <c r="M822" t="str">
        <f>IFERROR(INDEX(Diccionario!$H:$H,MATCH(F822,Diccionario!$C:$C,0)),"")</f>
        <v>Contabilidad</v>
      </c>
      <c r="N822" t="str">
        <f>IFERROR(INDEX(Diccionario!$N:$N,MATCH(F822,Diccionario!$C:$C,0)),"")</f>
        <v>Mensual</v>
      </c>
    </row>
    <row r="823" spans="1:14" ht="14.25" customHeight="1" x14ac:dyDescent="0.3">
      <c r="A823" t="s">
        <v>553</v>
      </c>
      <c r="B823" t="s">
        <v>522</v>
      </c>
      <c r="C823" t="s">
        <v>523</v>
      </c>
      <c r="D823" t="s">
        <v>451</v>
      </c>
      <c r="E823" t="s">
        <v>524</v>
      </c>
      <c r="F823" t="s">
        <v>371</v>
      </c>
      <c r="H823" t="s">
        <v>570</v>
      </c>
      <c r="I823">
        <v>0</v>
      </c>
      <c r="J823" t="s">
        <v>451</v>
      </c>
      <c r="L823" t="str">
        <f>IFERROR(INDEX(Diccionario!$B:$B,MATCH(F823,Diccionario!$C:$C,0)),"")</f>
        <v>Contabilidad</v>
      </c>
      <c r="M823" t="str">
        <f>IFERROR(INDEX(Diccionario!$H:$H,MATCH(F823,Diccionario!$C:$C,0)),"")</f>
        <v>Contabilidad</v>
      </c>
      <c r="N823" t="str">
        <f>IFERROR(INDEX(Diccionario!$N:$N,MATCH(F823,Diccionario!$C:$C,0)),"")</f>
        <v>Mensual</v>
      </c>
    </row>
    <row r="824" spans="1:14" ht="14.25" customHeight="1" x14ac:dyDescent="0.3">
      <c r="A824" t="s">
        <v>554</v>
      </c>
      <c r="B824" t="s">
        <v>522</v>
      </c>
      <c r="C824" t="s">
        <v>523</v>
      </c>
      <c r="D824" t="s">
        <v>451</v>
      </c>
      <c r="E824" t="s">
        <v>524</v>
      </c>
      <c r="F824" t="s">
        <v>371</v>
      </c>
      <c r="H824" t="s">
        <v>565</v>
      </c>
      <c r="I824">
        <v>157900000</v>
      </c>
      <c r="J824" t="s">
        <v>451</v>
      </c>
      <c r="L824" t="str">
        <f>IFERROR(INDEX(Diccionario!$B:$B,MATCH(F824,Diccionario!$C:$C,0)),"")</f>
        <v>Contabilidad</v>
      </c>
      <c r="M824" t="str">
        <f>IFERROR(INDEX(Diccionario!$H:$H,MATCH(F824,Diccionario!$C:$C,0)),"")</f>
        <v>Contabilidad</v>
      </c>
      <c r="N824" t="str">
        <f>IFERROR(INDEX(Diccionario!$N:$N,MATCH(F824,Diccionario!$C:$C,0)),"")</f>
        <v>Mensual</v>
      </c>
    </row>
    <row r="825" spans="1:14" ht="14.25" customHeight="1" x14ac:dyDescent="0.3">
      <c r="A825" t="s">
        <v>554</v>
      </c>
      <c r="B825" t="s">
        <v>522</v>
      </c>
      <c r="C825" t="s">
        <v>523</v>
      </c>
      <c r="D825" t="s">
        <v>451</v>
      </c>
      <c r="E825" t="s">
        <v>524</v>
      </c>
      <c r="F825" t="s">
        <v>371</v>
      </c>
      <c r="H825" t="s">
        <v>566</v>
      </c>
      <c r="I825">
        <v>7000000</v>
      </c>
      <c r="J825" t="s">
        <v>451</v>
      </c>
      <c r="L825" t="str">
        <f>IFERROR(INDEX(Diccionario!$B:$B,MATCH(F825,Diccionario!$C:$C,0)),"")</f>
        <v>Contabilidad</v>
      </c>
      <c r="M825" t="str">
        <f>IFERROR(INDEX(Diccionario!$H:$H,MATCH(F825,Diccionario!$C:$C,0)),"")</f>
        <v>Contabilidad</v>
      </c>
      <c r="N825" t="str">
        <f>IFERROR(INDEX(Diccionario!$N:$N,MATCH(F825,Diccionario!$C:$C,0)),"")</f>
        <v>Mensual</v>
      </c>
    </row>
    <row r="826" spans="1:14" ht="14.25" customHeight="1" x14ac:dyDescent="0.3">
      <c r="A826" t="s">
        <v>554</v>
      </c>
      <c r="B826" t="s">
        <v>522</v>
      </c>
      <c r="C826" t="s">
        <v>523</v>
      </c>
      <c r="D826" t="s">
        <v>451</v>
      </c>
      <c r="E826" t="s">
        <v>524</v>
      </c>
      <c r="F826" t="s">
        <v>371</v>
      </c>
      <c r="H826" t="s">
        <v>569</v>
      </c>
      <c r="I826">
        <v>3800000</v>
      </c>
      <c r="J826" t="s">
        <v>451</v>
      </c>
      <c r="L826" t="str">
        <f>IFERROR(INDEX(Diccionario!$B:$B,MATCH(F826,Diccionario!$C:$C,0)),"")</f>
        <v>Contabilidad</v>
      </c>
      <c r="M826" t="str">
        <f>IFERROR(INDEX(Diccionario!$H:$H,MATCH(F826,Diccionario!$C:$C,0)),"")</f>
        <v>Contabilidad</v>
      </c>
      <c r="N826" t="str">
        <f>IFERROR(INDEX(Diccionario!$N:$N,MATCH(F826,Diccionario!$C:$C,0)),"")</f>
        <v>Mensual</v>
      </c>
    </row>
    <row r="827" spans="1:14" ht="14.25" customHeight="1" x14ac:dyDescent="0.3">
      <c r="A827" t="s">
        <v>554</v>
      </c>
      <c r="B827" t="s">
        <v>522</v>
      </c>
      <c r="C827" t="s">
        <v>523</v>
      </c>
      <c r="D827" t="s">
        <v>451</v>
      </c>
      <c r="E827" t="s">
        <v>524</v>
      </c>
      <c r="F827" t="s">
        <v>371</v>
      </c>
      <c r="H827" t="s">
        <v>570</v>
      </c>
      <c r="I827">
        <v>0</v>
      </c>
      <c r="J827" t="s">
        <v>451</v>
      </c>
      <c r="L827" t="str">
        <f>IFERROR(INDEX(Diccionario!$B:$B,MATCH(F827,Diccionario!$C:$C,0)),"")</f>
        <v>Contabilidad</v>
      </c>
      <c r="M827" t="str">
        <f>IFERROR(INDEX(Diccionario!$H:$H,MATCH(F827,Diccionario!$C:$C,0)),"")</f>
        <v>Contabilidad</v>
      </c>
      <c r="N827" t="str">
        <f>IFERROR(INDEX(Diccionario!$N:$N,MATCH(F827,Diccionario!$C:$C,0)),"")</f>
        <v>Mensual</v>
      </c>
    </row>
    <row r="828" spans="1:14" ht="14.25" customHeight="1" x14ac:dyDescent="0.3">
      <c r="A828" t="s">
        <v>521</v>
      </c>
      <c r="B828" t="s">
        <v>522</v>
      </c>
      <c r="C828" t="s">
        <v>523</v>
      </c>
      <c r="D828" t="s">
        <v>451</v>
      </c>
      <c r="E828" t="s">
        <v>524</v>
      </c>
      <c r="F828" t="s">
        <v>377</v>
      </c>
      <c r="H828" t="s">
        <v>565</v>
      </c>
      <c r="I828">
        <v>85000000</v>
      </c>
      <c r="J828" t="s">
        <v>451</v>
      </c>
      <c r="L828" t="str">
        <f>IFERROR(INDEX(Diccionario!$B:$B,MATCH(F828,Diccionario!$C:$C,0)),"")</f>
        <v>Contabilidad</v>
      </c>
      <c r="M828" t="str">
        <f>IFERROR(INDEX(Diccionario!$H:$H,MATCH(F828,Diccionario!$C:$C,0)),"")</f>
        <v>Contabilidad</v>
      </c>
      <c r="N828" t="str">
        <f>IFERROR(INDEX(Diccionario!$N:$N,MATCH(F828,Diccionario!$C:$C,0)),"")</f>
        <v>Mensual</v>
      </c>
    </row>
    <row r="829" spans="1:14" ht="14.25" customHeight="1" x14ac:dyDescent="0.3">
      <c r="A829" t="s">
        <v>521</v>
      </c>
      <c r="B829" t="s">
        <v>522</v>
      </c>
      <c r="C829" t="s">
        <v>523</v>
      </c>
      <c r="D829" t="s">
        <v>451</v>
      </c>
      <c r="E829" t="s">
        <v>524</v>
      </c>
      <c r="F829" t="s">
        <v>377</v>
      </c>
      <c r="H829" t="s">
        <v>577</v>
      </c>
      <c r="I829">
        <v>6000000</v>
      </c>
      <c r="J829" t="s">
        <v>451</v>
      </c>
      <c r="L829" t="str">
        <f>IFERROR(INDEX(Diccionario!$B:$B,MATCH(F829,Diccionario!$C:$C,0)),"")</f>
        <v>Contabilidad</v>
      </c>
      <c r="M829" t="str">
        <f>IFERROR(INDEX(Diccionario!$H:$H,MATCH(F829,Diccionario!$C:$C,0)),"")</f>
        <v>Contabilidad</v>
      </c>
      <c r="N829" t="str">
        <f>IFERROR(INDEX(Diccionario!$N:$N,MATCH(F829,Diccionario!$C:$C,0)),"")</f>
        <v>Mensual</v>
      </c>
    </row>
    <row r="830" spans="1:14" ht="14.25" customHeight="1" x14ac:dyDescent="0.3">
      <c r="A830" t="s">
        <v>521</v>
      </c>
      <c r="B830" t="s">
        <v>522</v>
      </c>
      <c r="C830" t="s">
        <v>523</v>
      </c>
      <c r="D830" t="s">
        <v>451</v>
      </c>
      <c r="E830" t="s">
        <v>524</v>
      </c>
      <c r="F830" t="s">
        <v>377</v>
      </c>
      <c r="H830" t="s">
        <v>568</v>
      </c>
      <c r="I830">
        <v>3000000</v>
      </c>
      <c r="J830" t="s">
        <v>451</v>
      </c>
      <c r="L830" t="str">
        <f>IFERROR(INDEX(Diccionario!$B:$B,MATCH(F830,Diccionario!$C:$C,0)),"")</f>
        <v>Contabilidad</v>
      </c>
      <c r="M830" t="str">
        <f>IFERROR(INDEX(Diccionario!$H:$H,MATCH(F830,Diccionario!$C:$C,0)),"")</f>
        <v>Contabilidad</v>
      </c>
      <c r="N830" t="str">
        <f>IFERROR(INDEX(Diccionario!$N:$N,MATCH(F830,Diccionario!$C:$C,0)),"")</f>
        <v>Mensual</v>
      </c>
    </row>
    <row r="831" spans="1:14" ht="14.25" customHeight="1" x14ac:dyDescent="0.3">
      <c r="A831" t="s">
        <v>521</v>
      </c>
      <c r="B831" t="s">
        <v>522</v>
      </c>
      <c r="C831" t="s">
        <v>523</v>
      </c>
      <c r="D831" t="s">
        <v>451</v>
      </c>
      <c r="E831" t="s">
        <v>524</v>
      </c>
      <c r="F831" t="s">
        <v>377</v>
      </c>
      <c r="H831" t="s">
        <v>569</v>
      </c>
      <c r="I831">
        <v>17000000</v>
      </c>
      <c r="J831" t="s">
        <v>451</v>
      </c>
      <c r="L831" t="str">
        <f>IFERROR(INDEX(Diccionario!$B:$B,MATCH(F831,Diccionario!$C:$C,0)),"")</f>
        <v>Contabilidad</v>
      </c>
      <c r="M831" t="str">
        <f>IFERROR(INDEX(Diccionario!$H:$H,MATCH(F831,Diccionario!$C:$C,0)),"")</f>
        <v>Contabilidad</v>
      </c>
      <c r="N831" t="str">
        <f>IFERROR(INDEX(Diccionario!$N:$N,MATCH(F831,Diccionario!$C:$C,0)),"")</f>
        <v>Mensual</v>
      </c>
    </row>
    <row r="832" spans="1:14" ht="14.25" customHeight="1" x14ac:dyDescent="0.3">
      <c r="A832" t="s">
        <v>521</v>
      </c>
      <c r="B832" t="s">
        <v>522</v>
      </c>
      <c r="C832" t="s">
        <v>523</v>
      </c>
      <c r="D832" t="s">
        <v>451</v>
      </c>
      <c r="E832" t="s">
        <v>524</v>
      </c>
      <c r="F832" t="s">
        <v>377</v>
      </c>
      <c r="H832" t="s">
        <v>570</v>
      </c>
      <c r="I832">
        <v>10000000</v>
      </c>
      <c r="J832" t="s">
        <v>451</v>
      </c>
      <c r="L832" t="str">
        <f>IFERROR(INDEX(Diccionario!$B:$B,MATCH(F832,Diccionario!$C:$C,0)),"")</f>
        <v>Contabilidad</v>
      </c>
      <c r="M832" t="str">
        <f>IFERROR(INDEX(Diccionario!$H:$H,MATCH(F832,Diccionario!$C:$C,0)),"")</f>
        <v>Contabilidad</v>
      </c>
      <c r="N832" t="str">
        <f>IFERROR(INDEX(Diccionario!$N:$N,MATCH(F832,Diccionario!$C:$C,0)),"")</f>
        <v>Mensual</v>
      </c>
    </row>
    <row r="833" spans="1:14" ht="14.25" customHeight="1" x14ac:dyDescent="0.3">
      <c r="A833" t="s">
        <v>521</v>
      </c>
      <c r="B833" t="s">
        <v>522</v>
      </c>
      <c r="C833" t="s">
        <v>523</v>
      </c>
      <c r="D833" t="s">
        <v>451</v>
      </c>
      <c r="E833" t="s">
        <v>524</v>
      </c>
      <c r="F833" t="s">
        <v>377</v>
      </c>
      <c r="H833" t="s">
        <v>571</v>
      </c>
      <c r="I833">
        <v>6000000</v>
      </c>
      <c r="J833" t="s">
        <v>451</v>
      </c>
      <c r="L833" t="str">
        <f>IFERROR(INDEX(Diccionario!$B:$B,MATCH(F833,Diccionario!$C:$C,0)),"")</f>
        <v>Contabilidad</v>
      </c>
      <c r="M833" t="str">
        <f>IFERROR(INDEX(Diccionario!$H:$H,MATCH(F833,Diccionario!$C:$C,0)),"")</f>
        <v>Contabilidad</v>
      </c>
      <c r="N833" t="str">
        <f>IFERROR(INDEX(Diccionario!$N:$N,MATCH(F833,Diccionario!$C:$C,0)),"")</f>
        <v>Mensual</v>
      </c>
    </row>
    <row r="834" spans="1:14" ht="14.25" customHeight="1" x14ac:dyDescent="0.3">
      <c r="A834" t="s">
        <v>526</v>
      </c>
      <c r="B834" t="s">
        <v>522</v>
      </c>
      <c r="C834" t="s">
        <v>523</v>
      </c>
      <c r="D834" t="s">
        <v>451</v>
      </c>
      <c r="E834" t="s">
        <v>524</v>
      </c>
      <c r="F834" t="s">
        <v>377</v>
      </c>
      <c r="H834" t="s">
        <v>565</v>
      </c>
      <c r="I834">
        <v>83000000</v>
      </c>
      <c r="J834" t="s">
        <v>451</v>
      </c>
      <c r="L834" t="str">
        <f>IFERROR(INDEX(Diccionario!$B:$B,MATCH(F834,Diccionario!$C:$C,0)),"")</f>
        <v>Contabilidad</v>
      </c>
      <c r="M834" t="str">
        <f>IFERROR(INDEX(Diccionario!$H:$H,MATCH(F834,Diccionario!$C:$C,0)),"")</f>
        <v>Contabilidad</v>
      </c>
      <c r="N834" t="str">
        <f>IFERROR(INDEX(Diccionario!$N:$N,MATCH(F834,Diccionario!$C:$C,0)),"")</f>
        <v>Mensual</v>
      </c>
    </row>
    <row r="835" spans="1:14" ht="14.25" customHeight="1" x14ac:dyDescent="0.3">
      <c r="A835" t="s">
        <v>526</v>
      </c>
      <c r="B835" t="s">
        <v>522</v>
      </c>
      <c r="C835" t="s">
        <v>523</v>
      </c>
      <c r="D835" t="s">
        <v>451</v>
      </c>
      <c r="E835" t="s">
        <v>524</v>
      </c>
      <c r="F835" t="s">
        <v>377</v>
      </c>
      <c r="H835" t="s">
        <v>577</v>
      </c>
      <c r="I835">
        <v>3000000</v>
      </c>
      <c r="J835" t="s">
        <v>451</v>
      </c>
      <c r="L835" t="str">
        <f>IFERROR(INDEX(Diccionario!$B:$B,MATCH(F835,Diccionario!$C:$C,0)),"")</f>
        <v>Contabilidad</v>
      </c>
      <c r="M835" t="str">
        <f>IFERROR(INDEX(Diccionario!$H:$H,MATCH(F835,Diccionario!$C:$C,0)),"")</f>
        <v>Contabilidad</v>
      </c>
      <c r="N835" t="str">
        <f>IFERROR(INDEX(Diccionario!$N:$N,MATCH(F835,Diccionario!$C:$C,0)),"")</f>
        <v>Mensual</v>
      </c>
    </row>
    <row r="836" spans="1:14" ht="14.25" customHeight="1" x14ac:dyDescent="0.3">
      <c r="A836" t="s">
        <v>526</v>
      </c>
      <c r="B836" t="s">
        <v>522</v>
      </c>
      <c r="C836" t="s">
        <v>523</v>
      </c>
      <c r="D836" t="s">
        <v>451</v>
      </c>
      <c r="E836" t="s">
        <v>524</v>
      </c>
      <c r="F836" t="s">
        <v>377</v>
      </c>
      <c r="H836" t="s">
        <v>568</v>
      </c>
      <c r="I836">
        <v>2000000</v>
      </c>
      <c r="J836" t="s">
        <v>451</v>
      </c>
      <c r="L836" t="str">
        <f>IFERROR(INDEX(Diccionario!$B:$B,MATCH(F836,Diccionario!$C:$C,0)),"")</f>
        <v>Contabilidad</v>
      </c>
      <c r="M836" t="str">
        <f>IFERROR(INDEX(Diccionario!$H:$H,MATCH(F836,Diccionario!$C:$C,0)),"")</f>
        <v>Contabilidad</v>
      </c>
      <c r="N836" t="str">
        <f>IFERROR(INDEX(Diccionario!$N:$N,MATCH(F836,Diccionario!$C:$C,0)),"")</f>
        <v>Mensual</v>
      </c>
    </row>
    <row r="837" spans="1:14" ht="14.25" customHeight="1" x14ac:dyDescent="0.3">
      <c r="A837" t="s">
        <v>526</v>
      </c>
      <c r="B837" t="s">
        <v>522</v>
      </c>
      <c r="C837" t="s">
        <v>523</v>
      </c>
      <c r="D837" t="s">
        <v>451</v>
      </c>
      <c r="E837" t="s">
        <v>524</v>
      </c>
      <c r="F837" t="s">
        <v>377</v>
      </c>
      <c r="H837" t="s">
        <v>569</v>
      </c>
      <c r="I837">
        <v>11000000</v>
      </c>
      <c r="J837" t="s">
        <v>451</v>
      </c>
      <c r="L837" t="str">
        <f>IFERROR(INDEX(Diccionario!$B:$B,MATCH(F837,Diccionario!$C:$C,0)),"")</f>
        <v>Contabilidad</v>
      </c>
      <c r="M837" t="str">
        <f>IFERROR(INDEX(Diccionario!$H:$H,MATCH(F837,Diccionario!$C:$C,0)),"")</f>
        <v>Contabilidad</v>
      </c>
      <c r="N837" t="str">
        <f>IFERROR(INDEX(Diccionario!$N:$N,MATCH(F837,Diccionario!$C:$C,0)),"")</f>
        <v>Mensual</v>
      </c>
    </row>
    <row r="838" spans="1:14" ht="14.25" customHeight="1" x14ac:dyDescent="0.3">
      <c r="A838" t="s">
        <v>526</v>
      </c>
      <c r="B838" t="s">
        <v>522</v>
      </c>
      <c r="C838" t="s">
        <v>523</v>
      </c>
      <c r="D838" t="s">
        <v>451</v>
      </c>
      <c r="E838" t="s">
        <v>524</v>
      </c>
      <c r="F838" t="s">
        <v>377</v>
      </c>
      <c r="H838" t="s">
        <v>570</v>
      </c>
      <c r="I838">
        <v>10000000</v>
      </c>
      <c r="J838" t="s">
        <v>451</v>
      </c>
      <c r="L838" t="str">
        <f>IFERROR(INDEX(Diccionario!$B:$B,MATCH(F838,Diccionario!$C:$C,0)),"")</f>
        <v>Contabilidad</v>
      </c>
      <c r="M838" t="str">
        <f>IFERROR(INDEX(Diccionario!$H:$H,MATCH(F838,Diccionario!$C:$C,0)),"")</f>
        <v>Contabilidad</v>
      </c>
      <c r="N838" t="str">
        <f>IFERROR(INDEX(Diccionario!$N:$N,MATCH(F838,Diccionario!$C:$C,0)),"")</f>
        <v>Mensual</v>
      </c>
    </row>
    <row r="839" spans="1:14" ht="14.25" customHeight="1" x14ac:dyDescent="0.3">
      <c r="A839" t="s">
        <v>526</v>
      </c>
      <c r="B839" t="s">
        <v>522</v>
      </c>
      <c r="C839" t="s">
        <v>523</v>
      </c>
      <c r="D839" t="s">
        <v>451</v>
      </c>
      <c r="E839" t="s">
        <v>524</v>
      </c>
      <c r="F839" t="s">
        <v>377</v>
      </c>
      <c r="H839" t="s">
        <v>571</v>
      </c>
      <c r="I839">
        <v>3000000</v>
      </c>
      <c r="J839" t="s">
        <v>451</v>
      </c>
      <c r="L839" t="str">
        <f>IFERROR(INDEX(Diccionario!$B:$B,MATCH(F839,Diccionario!$C:$C,0)),"")</f>
        <v>Contabilidad</v>
      </c>
      <c r="M839" t="str">
        <f>IFERROR(INDEX(Diccionario!$H:$H,MATCH(F839,Diccionario!$C:$C,0)),"")</f>
        <v>Contabilidad</v>
      </c>
      <c r="N839" t="str">
        <f>IFERROR(INDEX(Diccionario!$N:$N,MATCH(F839,Diccionario!$C:$C,0)),"")</f>
        <v>Mensual</v>
      </c>
    </row>
    <row r="840" spans="1:14" ht="14.25" customHeight="1" x14ac:dyDescent="0.3">
      <c r="A840" t="s">
        <v>527</v>
      </c>
      <c r="B840" t="s">
        <v>522</v>
      </c>
      <c r="C840" t="s">
        <v>523</v>
      </c>
      <c r="D840" t="s">
        <v>451</v>
      </c>
      <c r="E840" t="s">
        <v>524</v>
      </c>
      <c r="F840" t="s">
        <v>377</v>
      </c>
      <c r="H840" t="s">
        <v>565</v>
      </c>
      <c r="I840">
        <v>63000000</v>
      </c>
      <c r="J840" t="s">
        <v>451</v>
      </c>
      <c r="L840" t="str">
        <f>IFERROR(INDEX(Diccionario!$B:$B,MATCH(F840,Diccionario!$C:$C,0)),"")</f>
        <v>Contabilidad</v>
      </c>
      <c r="M840" t="str">
        <f>IFERROR(INDEX(Diccionario!$H:$H,MATCH(F840,Diccionario!$C:$C,0)),"")</f>
        <v>Contabilidad</v>
      </c>
      <c r="N840" t="str">
        <f>IFERROR(INDEX(Diccionario!$N:$N,MATCH(F840,Diccionario!$C:$C,0)),"")</f>
        <v>Mensual</v>
      </c>
    </row>
    <row r="841" spans="1:14" ht="14.25" customHeight="1" x14ac:dyDescent="0.3">
      <c r="A841" t="s">
        <v>527</v>
      </c>
      <c r="B841" t="s">
        <v>522</v>
      </c>
      <c r="C841" t="s">
        <v>523</v>
      </c>
      <c r="D841" t="s">
        <v>451</v>
      </c>
      <c r="E841" t="s">
        <v>524</v>
      </c>
      <c r="F841" t="s">
        <v>377</v>
      </c>
      <c r="H841" t="s">
        <v>577</v>
      </c>
      <c r="I841">
        <v>6000000</v>
      </c>
      <c r="J841" t="s">
        <v>451</v>
      </c>
      <c r="L841" t="str">
        <f>IFERROR(INDEX(Diccionario!$B:$B,MATCH(F841,Diccionario!$C:$C,0)),"")</f>
        <v>Contabilidad</v>
      </c>
      <c r="M841" t="str">
        <f>IFERROR(INDEX(Diccionario!$H:$H,MATCH(F841,Diccionario!$C:$C,0)),"")</f>
        <v>Contabilidad</v>
      </c>
      <c r="N841" t="str">
        <f>IFERROR(INDEX(Diccionario!$N:$N,MATCH(F841,Diccionario!$C:$C,0)),"")</f>
        <v>Mensual</v>
      </c>
    </row>
    <row r="842" spans="1:14" ht="14.25" customHeight="1" x14ac:dyDescent="0.3">
      <c r="A842" t="s">
        <v>527</v>
      </c>
      <c r="B842" t="s">
        <v>522</v>
      </c>
      <c r="C842" t="s">
        <v>523</v>
      </c>
      <c r="D842" t="s">
        <v>451</v>
      </c>
      <c r="E842" t="s">
        <v>524</v>
      </c>
      <c r="F842" t="s">
        <v>377</v>
      </c>
      <c r="H842" t="s">
        <v>568</v>
      </c>
      <c r="I842">
        <v>1000000</v>
      </c>
      <c r="J842" t="s">
        <v>451</v>
      </c>
      <c r="L842" t="str">
        <f>IFERROR(INDEX(Diccionario!$B:$B,MATCH(F842,Diccionario!$C:$C,0)),"")</f>
        <v>Contabilidad</v>
      </c>
      <c r="M842" t="str">
        <f>IFERROR(INDEX(Diccionario!$H:$H,MATCH(F842,Diccionario!$C:$C,0)),"")</f>
        <v>Contabilidad</v>
      </c>
      <c r="N842" t="str">
        <f>IFERROR(INDEX(Diccionario!$N:$N,MATCH(F842,Diccionario!$C:$C,0)),"")</f>
        <v>Mensual</v>
      </c>
    </row>
    <row r="843" spans="1:14" ht="14.25" customHeight="1" x14ac:dyDescent="0.3">
      <c r="A843" t="s">
        <v>527</v>
      </c>
      <c r="B843" t="s">
        <v>522</v>
      </c>
      <c r="C843" t="s">
        <v>523</v>
      </c>
      <c r="D843" t="s">
        <v>451</v>
      </c>
      <c r="E843" t="s">
        <v>524</v>
      </c>
      <c r="F843" t="s">
        <v>377</v>
      </c>
      <c r="H843" t="s">
        <v>569</v>
      </c>
      <c r="I843">
        <v>46000000</v>
      </c>
      <c r="J843" t="s">
        <v>451</v>
      </c>
      <c r="L843" t="str">
        <f>IFERROR(INDEX(Diccionario!$B:$B,MATCH(F843,Diccionario!$C:$C,0)),"")</f>
        <v>Contabilidad</v>
      </c>
      <c r="M843" t="str">
        <f>IFERROR(INDEX(Diccionario!$H:$H,MATCH(F843,Diccionario!$C:$C,0)),"")</f>
        <v>Contabilidad</v>
      </c>
      <c r="N843" t="str">
        <f>IFERROR(INDEX(Diccionario!$N:$N,MATCH(F843,Diccionario!$C:$C,0)),"")</f>
        <v>Mensual</v>
      </c>
    </row>
    <row r="844" spans="1:14" ht="14.25" customHeight="1" x14ac:dyDescent="0.3">
      <c r="A844" t="s">
        <v>527</v>
      </c>
      <c r="B844" t="s">
        <v>522</v>
      </c>
      <c r="C844" t="s">
        <v>523</v>
      </c>
      <c r="D844" t="s">
        <v>451</v>
      </c>
      <c r="E844" t="s">
        <v>524</v>
      </c>
      <c r="F844" t="s">
        <v>377</v>
      </c>
      <c r="H844" t="s">
        <v>571</v>
      </c>
      <c r="I844">
        <v>2000000</v>
      </c>
      <c r="J844" t="s">
        <v>451</v>
      </c>
      <c r="L844" t="str">
        <f>IFERROR(INDEX(Diccionario!$B:$B,MATCH(F844,Diccionario!$C:$C,0)),"")</f>
        <v>Contabilidad</v>
      </c>
      <c r="M844" t="str">
        <f>IFERROR(INDEX(Diccionario!$H:$H,MATCH(F844,Diccionario!$C:$C,0)),"")</f>
        <v>Contabilidad</v>
      </c>
      <c r="N844" t="str">
        <f>IFERROR(INDEX(Diccionario!$N:$N,MATCH(F844,Diccionario!$C:$C,0)),"")</f>
        <v>Mensual</v>
      </c>
    </row>
    <row r="845" spans="1:14" ht="14.25" customHeight="1" x14ac:dyDescent="0.3">
      <c r="A845" t="s">
        <v>528</v>
      </c>
      <c r="B845" t="s">
        <v>522</v>
      </c>
      <c r="C845" t="s">
        <v>523</v>
      </c>
      <c r="D845" t="s">
        <v>451</v>
      </c>
      <c r="E845" t="s">
        <v>524</v>
      </c>
      <c r="F845" t="s">
        <v>377</v>
      </c>
      <c r="H845" t="s">
        <v>565</v>
      </c>
      <c r="I845">
        <v>93000000</v>
      </c>
      <c r="J845" t="s">
        <v>451</v>
      </c>
      <c r="L845" t="str">
        <f>IFERROR(INDEX(Diccionario!$B:$B,MATCH(F845,Diccionario!$C:$C,0)),"")</f>
        <v>Contabilidad</v>
      </c>
      <c r="M845" t="str">
        <f>IFERROR(INDEX(Diccionario!$H:$H,MATCH(F845,Diccionario!$C:$C,0)),"")</f>
        <v>Contabilidad</v>
      </c>
      <c r="N845" t="str">
        <f>IFERROR(INDEX(Diccionario!$N:$N,MATCH(F845,Diccionario!$C:$C,0)),"")</f>
        <v>Mensual</v>
      </c>
    </row>
    <row r="846" spans="1:14" ht="14.25" customHeight="1" x14ac:dyDescent="0.3">
      <c r="A846" t="s">
        <v>528</v>
      </c>
      <c r="B846" t="s">
        <v>522</v>
      </c>
      <c r="C846" t="s">
        <v>523</v>
      </c>
      <c r="D846" t="s">
        <v>451</v>
      </c>
      <c r="E846" t="s">
        <v>524</v>
      </c>
      <c r="F846" t="s">
        <v>377</v>
      </c>
      <c r="H846" t="s">
        <v>577</v>
      </c>
      <c r="I846">
        <v>12000000</v>
      </c>
      <c r="J846" t="s">
        <v>451</v>
      </c>
      <c r="L846" t="str">
        <f>IFERROR(INDEX(Diccionario!$B:$B,MATCH(F846,Diccionario!$C:$C,0)),"")</f>
        <v>Contabilidad</v>
      </c>
      <c r="M846" t="str">
        <f>IFERROR(INDEX(Diccionario!$H:$H,MATCH(F846,Diccionario!$C:$C,0)),"")</f>
        <v>Contabilidad</v>
      </c>
      <c r="N846" t="str">
        <f>IFERROR(INDEX(Diccionario!$N:$N,MATCH(F846,Diccionario!$C:$C,0)),"")</f>
        <v>Mensual</v>
      </c>
    </row>
    <row r="847" spans="1:14" ht="14.25" customHeight="1" x14ac:dyDescent="0.3">
      <c r="A847" t="s">
        <v>528</v>
      </c>
      <c r="B847" t="s">
        <v>522</v>
      </c>
      <c r="C847" t="s">
        <v>523</v>
      </c>
      <c r="D847" t="s">
        <v>451</v>
      </c>
      <c r="E847" t="s">
        <v>524</v>
      </c>
      <c r="F847" t="s">
        <v>377</v>
      </c>
      <c r="H847" t="s">
        <v>568</v>
      </c>
      <c r="I847">
        <v>0</v>
      </c>
      <c r="J847" t="s">
        <v>451</v>
      </c>
      <c r="L847" t="str">
        <f>IFERROR(INDEX(Diccionario!$B:$B,MATCH(F847,Diccionario!$C:$C,0)),"")</f>
        <v>Contabilidad</v>
      </c>
      <c r="M847" t="str">
        <f>IFERROR(INDEX(Diccionario!$H:$H,MATCH(F847,Diccionario!$C:$C,0)),"")</f>
        <v>Contabilidad</v>
      </c>
      <c r="N847" t="str">
        <f>IFERROR(INDEX(Diccionario!$N:$N,MATCH(F847,Diccionario!$C:$C,0)),"")</f>
        <v>Mensual</v>
      </c>
    </row>
    <row r="848" spans="1:14" ht="14.25" customHeight="1" x14ac:dyDescent="0.3">
      <c r="A848" t="s">
        <v>528</v>
      </c>
      <c r="B848" t="s">
        <v>522</v>
      </c>
      <c r="C848" t="s">
        <v>523</v>
      </c>
      <c r="D848" t="s">
        <v>451</v>
      </c>
      <c r="E848" t="s">
        <v>524</v>
      </c>
      <c r="F848" t="s">
        <v>377</v>
      </c>
      <c r="H848" t="s">
        <v>569</v>
      </c>
      <c r="I848">
        <v>22000000</v>
      </c>
      <c r="J848" t="s">
        <v>451</v>
      </c>
      <c r="L848" t="str">
        <f>IFERROR(INDEX(Diccionario!$B:$B,MATCH(F848,Diccionario!$C:$C,0)),"")</f>
        <v>Contabilidad</v>
      </c>
      <c r="M848" t="str">
        <f>IFERROR(INDEX(Diccionario!$H:$H,MATCH(F848,Diccionario!$C:$C,0)),"")</f>
        <v>Contabilidad</v>
      </c>
      <c r="N848" t="str">
        <f>IFERROR(INDEX(Diccionario!$N:$N,MATCH(F848,Diccionario!$C:$C,0)),"")</f>
        <v>Mensual</v>
      </c>
    </row>
    <row r="849" spans="1:14" ht="14.25" customHeight="1" x14ac:dyDescent="0.3">
      <c r="A849" t="s">
        <v>528</v>
      </c>
      <c r="B849" t="s">
        <v>522</v>
      </c>
      <c r="C849" t="s">
        <v>523</v>
      </c>
      <c r="D849" t="s">
        <v>451</v>
      </c>
      <c r="E849" t="s">
        <v>524</v>
      </c>
      <c r="F849" t="s">
        <v>377</v>
      </c>
      <c r="H849" t="s">
        <v>570</v>
      </c>
      <c r="I849">
        <v>15000000</v>
      </c>
      <c r="J849" t="s">
        <v>451</v>
      </c>
      <c r="L849" t="str">
        <f>IFERROR(INDEX(Diccionario!$B:$B,MATCH(F849,Diccionario!$C:$C,0)),"")</f>
        <v>Contabilidad</v>
      </c>
      <c r="M849" t="str">
        <f>IFERROR(INDEX(Diccionario!$H:$H,MATCH(F849,Diccionario!$C:$C,0)),"")</f>
        <v>Contabilidad</v>
      </c>
      <c r="N849" t="str">
        <f>IFERROR(INDEX(Diccionario!$N:$N,MATCH(F849,Diccionario!$C:$C,0)),"")</f>
        <v>Mensual</v>
      </c>
    </row>
    <row r="850" spans="1:14" ht="14.25" customHeight="1" x14ac:dyDescent="0.3">
      <c r="A850" t="s">
        <v>528</v>
      </c>
      <c r="B850" t="s">
        <v>522</v>
      </c>
      <c r="C850" t="s">
        <v>523</v>
      </c>
      <c r="D850" t="s">
        <v>451</v>
      </c>
      <c r="E850" t="s">
        <v>524</v>
      </c>
      <c r="F850" t="s">
        <v>377</v>
      </c>
      <c r="H850" t="s">
        <v>571</v>
      </c>
      <c r="I850">
        <v>4000000</v>
      </c>
      <c r="J850" t="s">
        <v>451</v>
      </c>
      <c r="L850" t="str">
        <f>IFERROR(INDEX(Diccionario!$B:$B,MATCH(F850,Diccionario!$C:$C,0)),"")</f>
        <v>Contabilidad</v>
      </c>
      <c r="M850" t="str">
        <f>IFERROR(INDEX(Diccionario!$H:$H,MATCH(F850,Diccionario!$C:$C,0)),"")</f>
        <v>Contabilidad</v>
      </c>
      <c r="N850" t="str">
        <f>IFERROR(INDEX(Diccionario!$N:$N,MATCH(F850,Diccionario!$C:$C,0)),"")</f>
        <v>Mensual</v>
      </c>
    </row>
    <row r="851" spans="1:14" ht="14.25" customHeight="1" x14ac:dyDescent="0.3">
      <c r="A851" t="s">
        <v>529</v>
      </c>
      <c r="B851" t="s">
        <v>522</v>
      </c>
      <c r="C851" t="s">
        <v>523</v>
      </c>
      <c r="D851" t="s">
        <v>451</v>
      </c>
      <c r="E851" t="s">
        <v>524</v>
      </c>
      <c r="F851" t="s">
        <v>377</v>
      </c>
      <c r="H851" t="s">
        <v>565</v>
      </c>
      <c r="I851">
        <v>65000000</v>
      </c>
      <c r="J851" t="s">
        <v>451</v>
      </c>
      <c r="L851" t="str">
        <f>IFERROR(INDEX(Diccionario!$B:$B,MATCH(F851,Diccionario!$C:$C,0)),"")</f>
        <v>Contabilidad</v>
      </c>
      <c r="M851" t="str">
        <f>IFERROR(INDEX(Diccionario!$H:$H,MATCH(F851,Diccionario!$C:$C,0)),"")</f>
        <v>Contabilidad</v>
      </c>
      <c r="N851" t="str">
        <f>IFERROR(INDEX(Diccionario!$N:$N,MATCH(F851,Diccionario!$C:$C,0)),"")</f>
        <v>Mensual</v>
      </c>
    </row>
    <row r="852" spans="1:14" ht="14.25" customHeight="1" x14ac:dyDescent="0.3">
      <c r="A852" t="s">
        <v>529</v>
      </c>
      <c r="B852" t="s">
        <v>522</v>
      </c>
      <c r="C852" t="s">
        <v>523</v>
      </c>
      <c r="D852" t="s">
        <v>451</v>
      </c>
      <c r="E852" t="s">
        <v>524</v>
      </c>
      <c r="F852" t="s">
        <v>377</v>
      </c>
      <c r="H852" t="s">
        <v>577</v>
      </c>
      <c r="I852">
        <v>14000000</v>
      </c>
      <c r="J852" t="s">
        <v>451</v>
      </c>
      <c r="L852" t="str">
        <f>IFERROR(INDEX(Diccionario!$B:$B,MATCH(F852,Diccionario!$C:$C,0)),"")</f>
        <v>Contabilidad</v>
      </c>
      <c r="M852" t="str">
        <f>IFERROR(INDEX(Diccionario!$H:$H,MATCH(F852,Diccionario!$C:$C,0)),"")</f>
        <v>Contabilidad</v>
      </c>
      <c r="N852" t="str">
        <f>IFERROR(INDEX(Diccionario!$N:$N,MATCH(F852,Diccionario!$C:$C,0)),"")</f>
        <v>Mensual</v>
      </c>
    </row>
    <row r="853" spans="1:14" ht="14.25" customHeight="1" x14ac:dyDescent="0.3">
      <c r="A853" t="s">
        <v>529</v>
      </c>
      <c r="B853" t="s">
        <v>522</v>
      </c>
      <c r="C853" t="s">
        <v>523</v>
      </c>
      <c r="D853" t="s">
        <v>451</v>
      </c>
      <c r="E853" t="s">
        <v>524</v>
      </c>
      <c r="F853" t="s">
        <v>377</v>
      </c>
      <c r="H853" t="s">
        <v>568</v>
      </c>
      <c r="I853">
        <v>1000000</v>
      </c>
      <c r="J853" t="s">
        <v>451</v>
      </c>
      <c r="L853" t="str">
        <f>IFERROR(INDEX(Diccionario!$B:$B,MATCH(F853,Diccionario!$C:$C,0)),"")</f>
        <v>Contabilidad</v>
      </c>
      <c r="M853" t="str">
        <f>IFERROR(INDEX(Diccionario!$H:$H,MATCH(F853,Diccionario!$C:$C,0)),"")</f>
        <v>Contabilidad</v>
      </c>
      <c r="N853" t="str">
        <f>IFERROR(INDEX(Diccionario!$N:$N,MATCH(F853,Diccionario!$C:$C,0)),"")</f>
        <v>Mensual</v>
      </c>
    </row>
    <row r="854" spans="1:14" ht="14.25" customHeight="1" x14ac:dyDescent="0.3">
      <c r="A854" t="s">
        <v>529</v>
      </c>
      <c r="B854" t="s">
        <v>522</v>
      </c>
      <c r="C854" t="s">
        <v>523</v>
      </c>
      <c r="D854" t="s">
        <v>451</v>
      </c>
      <c r="E854" t="s">
        <v>524</v>
      </c>
      <c r="F854" t="s">
        <v>377</v>
      </c>
      <c r="H854" t="s">
        <v>569</v>
      </c>
      <c r="I854">
        <v>17000000</v>
      </c>
      <c r="J854" t="s">
        <v>451</v>
      </c>
      <c r="L854" t="str">
        <f>IFERROR(INDEX(Diccionario!$B:$B,MATCH(F854,Diccionario!$C:$C,0)),"")</f>
        <v>Contabilidad</v>
      </c>
      <c r="M854" t="str">
        <f>IFERROR(INDEX(Diccionario!$H:$H,MATCH(F854,Diccionario!$C:$C,0)),"")</f>
        <v>Contabilidad</v>
      </c>
      <c r="N854" t="str">
        <f>IFERROR(INDEX(Diccionario!$N:$N,MATCH(F854,Diccionario!$C:$C,0)),"")</f>
        <v>Mensual</v>
      </c>
    </row>
    <row r="855" spans="1:14" ht="14.25" customHeight="1" x14ac:dyDescent="0.3">
      <c r="A855" t="s">
        <v>529</v>
      </c>
      <c r="B855" t="s">
        <v>522</v>
      </c>
      <c r="C855" t="s">
        <v>523</v>
      </c>
      <c r="D855" t="s">
        <v>451</v>
      </c>
      <c r="E855" t="s">
        <v>524</v>
      </c>
      <c r="F855" t="s">
        <v>377</v>
      </c>
      <c r="H855" t="s">
        <v>570</v>
      </c>
      <c r="I855">
        <v>18000000</v>
      </c>
      <c r="J855" t="s">
        <v>451</v>
      </c>
      <c r="L855" t="str">
        <f>IFERROR(INDEX(Diccionario!$B:$B,MATCH(F855,Diccionario!$C:$C,0)),"")</f>
        <v>Contabilidad</v>
      </c>
      <c r="M855" t="str">
        <f>IFERROR(INDEX(Diccionario!$H:$H,MATCH(F855,Diccionario!$C:$C,0)),"")</f>
        <v>Contabilidad</v>
      </c>
      <c r="N855" t="str">
        <f>IFERROR(INDEX(Diccionario!$N:$N,MATCH(F855,Diccionario!$C:$C,0)),"")</f>
        <v>Mensual</v>
      </c>
    </row>
    <row r="856" spans="1:14" ht="14.25" customHeight="1" x14ac:dyDescent="0.3">
      <c r="A856" t="s">
        <v>529</v>
      </c>
      <c r="B856" t="s">
        <v>522</v>
      </c>
      <c r="C856" t="s">
        <v>523</v>
      </c>
      <c r="D856" t="s">
        <v>451</v>
      </c>
      <c r="E856" t="s">
        <v>524</v>
      </c>
      <c r="F856" t="s">
        <v>377</v>
      </c>
      <c r="H856" t="s">
        <v>571</v>
      </c>
      <c r="I856">
        <v>3000000</v>
      </c>
      <c r="J856" t="s">
        <v>451</v>
      </c>
      <c r="L856" t="str">
        <f>IFERROR(INDEX(Diccionario!$B:$B,MATCH(F856,Diccionario!$C:$C,0)),"")</f>
        <v>Contabilidad</v>
      </c>
      <c r="M856" t="str">
        <f>IFERROR(INDEX(Diccionario!$H:$H,MATCH(F856,Diccionario!$C:$C,0)),"")</f>
        <v>Contabilidad</v>
      </c>
      <c r="N856" t="str">
        <f>IFERROR(INDEX(Diccionario!$N:$N,MATCH(F856,Diccionario!$C:$C,0)),"")</f>
        <v>Mensual</v>
      </c>
    </row>
    <row r="857" spans="1:14" ht="14.25" customHeight="1" x14ac:dyDescent="0.3">
      <c r="A857" t="s">
        <v>530</v>
      </c>
      <c r="B857" t="s">
        <v>522</v>
      </c>
      <c r="C857" t="s">
        <v>523</v>
      </c>
      <c r="D857" t="s">
        <v>451</v>
      </c>
      <c r="E857" t="s">
        <v>524</v>
      </c>
      <c r="F857" t="s">
        <v>377</v>
      </c>
      <c r="H857" t="s">
        <v>565</v>
      </c>
      <c r="I857">
        <v>82000000</v>
      </c>
      <c r="J857" t="s">
        <v>451</v>
      </c>
      <c r="L857" t="str">
        <f>IFERROR(INDEX(Diccionario!$B:$B,MATCH(F857,Diccionario!$C:$C,0)),"")</f>
        <v>Contabilidad</v>
      </c>
      <c r="M857" t="str">
        <f>IFERROR(INDEX(Diccionario!$H:$H,MATCH(F857,Diccionario!$C:$C,0)),"")</f>
        <v>Contabilidad</v>
      </c>
      <c r="N857" t="str">
        <f>IFERROR(INDEX(Diccionario!$N:$N,MATCH(F857,Diccionario!$C:$C,0)),"")</f>
        <v>Mensual</v>
      </c>
    </row>
    <row r="858" spans="1:14" ht="14.25" customHeight="1" x14ac:dyDescent="0.3">
      <c r="A858" t="s">
        <v>530</v>
      </c>
      <c r="B858" t="s">
        <v>522</v>
      </c>
      <c r="C858" t="s">
        <v>523</v>
      </c>
      <c r="D858" t="s">
        <v>451</v>
      </c>
      <c r="E858" t="s">
        <v>524</v>
      </c>
      <c r="F858" t="s">
        <v>377</v>
      </c>
      <c r="H858" t="s">
        <v>577</v>
      </c>
      <c r="I858">
        <v>10000000</v>
      </c>
      <c r="J858" t="s">
        <v>451</v>
      </c>
      <c r="L858" t="str">
        <f>IFERROR(INDEX(Diccionario!$B:$B,MATCH(F858,Diccionario!$C:$C,0)),"")</f>
        <v>Contabilidad</v>
      </c>
      <c r="M858" t="str">
        <f>IFERROR(INDEX(Diccionario!$H:$H,MATCH(F858,Diccionario!$C:$C,0)),"")</f>
        <v>Contabilidad</v>
      </c>
      <c r="N858" t="str">
        <f>IFERROR(INDEX(Diccionario!$N:$N,MATCH(F858,Diccionario!$C:$C,0)),"")</f>
        <v>Mensual</v>
      </c>
    </row>
    <row r="859" spans="1:14" ht="14.25" customHeight="1" x14ac:dyDescent="0.3">
      <c r="A859" t="s">
        <v>530</v>
      </c>
      <c r="B859" t="s">
        <v>522</v>
      </c>
      <c r="C859" t="s">
        <v>523</v>
      </c>
      <c r="D859" t="s">
        <v>451</v>
      </c>
      <c r="E859" t="s">
        <v>524</v>
      </c>
      <c r="F859" t="s">
        <v>377</v>
      </c>
      <c r="H859" t="s">
        <v>568</v>
      </c>
      <c r="I859">
        <v>1000000</v>
      </c>
      <c r="J859" t="s">
        <v>451</v>
      </c>
      <c r="L859" t="str">
        <f>IFERROR(INDEX(Diccionario!$B:$B,MATCH(F859,Diccionario!$C:$C,0)),"")</f>
        <v>Contabilidad</v>
      </c>
      <c r="M859" t="str">
        <f>IFERROR(INDEX(Diccionario!$H:$H,MATCH(F859,Diccionario!$C:$C,0)),"")</f>
        <v>Contabilidad</v>
      </c>
      <c r="N859" t="str">
        <f>IFERROR(INDEX(Diccionario!$N:$N,MATCH(F859,Diccionario!$C:$C,0)),"")</f>
        <v>Mensual</v>
      </c>
    </row>
    <row r="860" spans="1:14" ht="14.25" customHeight="1" x14ac:dyDescent="0.3">
      <c r="A860" t="s">
        <v>530</v>
      </c>
      <c r="B860" t="s">
        <v>522</v>
      </c>
      <c r="C860" t="s">
        <v>523</v>
      </c>
      <c r="D860" t="s">
        <v>451</v>
      </c>
      <c r="E860" t="s">
        <v>524</v>
      </c>
      <c r="F860" t="s">
        <v>377</v>
      </c>
      <c r="H860" t="s">
        <v>569</v>
      </c>
      <c r="I860">
        <v>45000000</v>
      </c>
      <c r="J860" t="s">
        <v>451</v>
      </c>
      <c r="L860" t="str">
        <f>IFERROR(INDEX(Diccionario!$B:$B,MATCH(F860,Diccionario!$C:$C,0)),"")</f>
        <v>Contabilidad</v>
      </c>
      <c r="M860" t="str">
        <f>IFERROR(INDEX(Diccionario!$H:$H,MATCH(F860,Diccionario!$C:$C,0)),"")</f>
        <v>Contabilidad</v>
      </c>
      <c r="N860" t="str">
        <f>IFERROR(INDEX(Diccionario!$N:$N,MATCH(F860,Diccionario!$C:$C,0)),"")</f>
        <v>Mensual</v>
      </c>
    </row>
    <row r="861" spans="1:14" ht="14.25" customHeight="1" x14ac:dyDescent="0.3">
      <c r="A861" t="s">
        <v>530</v>
      </c>
      <c r="B861" t="s">
        <v>522</v>
      </c>
      <c r="C861" t="s">
        <v>523</v>
      </c>
      <c r="D861" t="s">
        <v>451</v>
      </c>
      <c r="E861" t="s">
        <v>524</v>
      </c>
      <c r="F861" t="s">
        <v>377</v>
      </c>
      <c r="H861" t="s">
        <v>570</v>
      </c>
      <c r="I861">
        <v>12000000</v>
      </c>
      <c r="J861" t="s">
        <v>451</v>
      </c>
      <c r="L861" t="str">
        <f>IFERROR(INDEX(Diccionario!$B:$B,MATCH(F861,Diccionario!$C:$C,0)),"")</f>
        <v>Contabilidad</v>
      </c>
      <c r="M861" t="str">
        <f>IFERROR(INDEX(Diccionario!$H:$H,MATCH(F861,Diccionario!$C:$C,0)),"")</f>
        <v>Contabilidad</v>
      </c>
      <c r="N861" t="str">
        <f>IFERROR(INDEX(Diccionario!$N:$N,MATCH(F861,Diccionario!$C:$C,0)),"")</f>
        <v>Mensual</v>
      </c>
    </row>
    <row r="862" spans="1:14" ht="14.25" customHeight="1" x14ac:dyDescent="0.3">
      <c r="A862" t="s">
        <v>530</v>
      </c>
      <c r="B862" t="s">
        <v>522</v>
      </c>
      <c r="C862" t="s">
        <v>523</v>
      </c>
      <c r="D862" t="s">
        <v>451</v>
      </c>
      <c r="E862" t="s">
        <v>524</v>
      </c>
      <c r="F862" t="s">
        <v>377</v>
      </c>
      <c r="H862" t="s">
        <v>571</v>
      </c>
      <c r="I862">
        <v>6000000</v>
      </c>
      <c r="J862" t="s">
        <v>451</v>
      </c>
      <c r="L862" t="str">
        <f>IFERROR(INDEX(Diccionario!$B:$B,MATCH(F862,Diccionario!$C:$C,0)),"")</f>
        <v>Contabilidad</v>
      </c>
      <c r="M862" t="str">
        <f>IFERROR(INDEX(Diccionario!$H:$H,MATCH(F862,Diccionario!$C:$C,0)),"")</f>
        <v>Contabilidad</v>
      </c>
      <c r="N862" t="str">
        <f>IFERROR(INDEX(Diccionario!$N:$N,MATCH(F862,Diccionario!$C:$C,0)),"")</f>
        <v>Mensual</v>
      </c>
    </row>
    <row r="863" spans="1:14" ht="14.25" customHeight="1" x14ac:dyDescent="0.3">
      <c r="A863" t="s">
        <v>531</v>
      </c>
      <c r="B863" t="s">
        <v>522</v>
      </c>
      <c r="C863" t="s">
        <v>523</v>
      </c>
      <c r="D863" t="s">
        <v>451</v>
      </c>
      <c r="E863" t="s">
        <v>524</v>
      </c>
      <c r="F863" t="s">
        <v>377</v>
      </c>
      <c r="H863" t="s">
        <v>565</v>
      </c>
      <c r="I863">
        <v>93000000</v>
      </c>
      <c r="J863" t="s">
        <v>451</v>
      </c>
      <c r="L863" t="str">
        <f>IFERROR(INDEX(Diccionario!$B:$B,MATCH(F863,Diccionario!$C:$C,0)),"")</f>
        <v>Contabilidad</v>
      </c>
      <c r="M863" t="str">
        <f>IFERROR(INDEX(Diccionario!$H:$H,MATCH(F863,Diccionario!$C:$C,0)),"")</f>
        <v>Contabilidad</v>
      </c>
      <c r="N863" t="str">
        <f>IFERROR(INDEX(Diccionario!$N:$N,MATCH(F863,Diccionario!$C:$C,0)),"")</f>
        <v>Mensual</v>
      </c>
    </row>
    <row r="864" spans="1:14" ht="14.25" customHeight="1" x14ac:dyDescent="0.3">
      <c r="A864" t="s">
        <v>531</v>
      </c>
      <c r="B864" t="s">
        <v>522</v>
      </c>
      <c r="C864" t="s">
        <v>523</v>
      </c>
      <c r="D864" t="s">
        <v>451</v>
      </c>
      <c r="E864" t="s">
        <v>524</v>
      </c>
      <c r="F864" t="s">
        <v>377</v>
      </c>
      <c r="H864" t="s">
        <v>577</v>
      </c>
      <c r="I864">
        <v>7000000</v>
      </c>
      <c r="J864" t="s">
        <v>451</v>
      </c>
      <c r="L864" t="str">
        <f>IFERROR(INDEX(Diccionario!$B:$B,MATCH(F864,Diccionario!$C:$C,0)),"")</f>
        <v>Contabilidad</v>
      </c>
      <c r="M864" t="str">
        <f>IFERROR(INDEX(Diccionario!$H:$H,MATCH(F864,Diccionario!$C:$C,0)),"")</f>
        <v>Contabilidad</v>
      </c>
      <c r="N864" t="str">
        <f>IFERROR(INDEX(Diccionario!$N:$N,MATCH(F864,Diccionario!$C:$C,0)),"")</f>
        <v>Mensual</v>
      </c>
    </row>
    <row r="865" spans="1:14" ht="14.25" customHeight="1" x14ac:dyDescent="0.3">
      <c r="A865" t="s">
        <v>531</v>
      </c>
      <c r="B865" t="s">
        <v>522</v>
      </c>
      <c r="C865" t="s">
        <v>523</v>
      </c>
      <c r="D865" t="s">
        <v>451</v>
      </c>
      <c r="E865" t="s">
        <v>524</v>
      </c>
      <c r="F865" t="s">
        <v>377</v>
      </c>
      <c r="H865" t="s">
        <v>568</v>
      </c>
      <c r="I865">
        <v>0</v>
      </c>
      <c r="J865" t="s">
        <v>451</v>
      </c>
      <c r="L865" t="str">
        <f>IFERROR(INDEX(Diccionario!$B:$B,MATCH(F865,Diccionario!$C:$C,0)),"")</f>
        <v>Contabilidad</v>
      </c>
      <c r="M865" t="str">
        <f>IFERROR(INDEX(Diccionario!$H:$H,MATCH(F865,Diccionario!$C:$C,0)),"")</f>
        <v>Contabilidad</v>
      </c>
      <c r="N865" t="str">
        <f>IFERROR(INDEX(Diccionario!$N:$N,MATCH(F865,Diccionario!$C:$C,0)),"")</f>
        <v>Mensual</v>
      </c>
    </row>
    <row r="866" spans="1:14" ht="14.25" customHeight="1" x14ac:dyDescent="0.3">
      <c r="A866" t="s">
        <v>531</v>
      </c>
      <c r="B866" t="s">
        <v>522</v>
      </c>
      <c r="C866" t="s">
        <v>523</v>
      </c>
      <c r="D866" t="s">
        <v>451</v>
      </c>
      <c r="E866" t="s">
        <v>524</v>
      </c>
      <c r="F866" t="s">
        <v>377</v>
      </c>
      <c r="H866" t="s">
        <v>569</v>
      </c>
      <c r="I866">
        <v>34000000</v>
      </c>
      <c r="J866" t="s">
        <v>451</v>
      </c>
      <c r="L866" t="str">
        <f>IFERROR(INDEX(Diccionario!$B:$B,MATCH(F866,Diccionario!$C:$C,0)),"")</f>
        <v>Contabilidad</v>
      </c>
      <c r="M866" t="str">
        <f>IFERROR(INDEX(Diccionario!$H:$H,MATCH(F866,Diccionario!$C:$C,0)),"")</f>
        <v>Contabilidad</v>
      </c>
      <c r="N866" t="str">
        <f>IFERROR(INDEX(Diccionario!$N:$N,MATCH(F866,Diccionario!$C:$C,0)),"")</f>
        <v>Mensual</v>
      </c>
    </row>
    <row r="867" spans="1:14" ht="14.25" customHeight="1" x14ac:dyDescent="0.3">
      <c r="A867" t="s">
        <v>531</v>
      </c>
      <c r="B867" t="s">
        <v>522</v>
      </c>
      <c r="C867" t="s">
        <v>523</v>
      </c>
      <c r="D867" t="s">
        <v>451</v>
      </c>
      <c r="E867" t="s">
        <v>524</v>
      </c>
      <c r="F867" t="s">
        <v>377</v>
      </c>
      <c r="H867" t="s">
        <v>570</v>
      </c>
      <c r="I867">
        <v>24000000</v>
      </c>
      <c r="J867" t="s">
        <v>451</v>
      </c>
      <c r="L867" t="str">
        <f>IFERROR(INDEX(Diccionario!$B:$B,MATCH(F867,Diccionario!$C:$C,0)),"")</f>
        <v>Contabilidad</v>
      </c>
      <c r="M867" t="str">
        <f>IFERROR(INDEX(Diccionario!$H:$H,MATCH(F867,Diccionario!$C:$C,0)),"")</f>
        <v>Contabilidad</v>
      </c>
      <c r="N867" t="str">
        <f>IFERROR(INDEX(Diccionario!$N:$N,MATCH(F867,Diccionario!$C:$C,0)),"")</f>
        <v>Mensual</v>
      </c>
    </row>
    <row r="868" spans="1:14" ht="14.25" customHeight="1" x14ac:dyDescent="0.3">
      <c r="A868" t="s">
        <v>531</v>
      </c>
      <c r="B868" t="s">
        <v>522</v>
      </c>
      <c r="C868" t="s">
        <v>523</v>
      </c>
      <c r="D868" t="s">
        <v>451</v>
      </c>
      <c r="E868" t="s">
        <v>524</v>
      </c>
      <c r="F868" t="s">
        <v>377</v>
      </c>
      <c r="H868" t="s">
        <v>571</v>
      </c>
      <c r="I868">
        <v>3000000</v>
      </c>
      <c r="J868" t="s">
        <v>451</v>
      </c>
      <c r="L868" t="str">
        <f>IFERROR(INDEX(Diccionario!$B:$B,MATCH(F868,Diccionario!$C:$C,0)),"")</f>
        <v>Contabilidad</v>
      </c>
      <c r="M868" t="str">
        <f>IFERROR(INDEX(Diccionario!$H:$H,MATCH(F868,Diccionario!$C:$C,0)),"")</f>
        <v>Contabilidad</v>
      </c>
      <c r="N868" t="str">
        <f>IFERROR(INDEX(Diccionario!$N:$N,MATCH(F868,Diccionario!$C:$C,0)),"")</f>
        <v>Mensual</v>
      </c>
    </row>
    <row r="869" spans="1:14" ht="14.25" customHeight="1" x14ac:dyDescent="0.3">
      <c r="A869" t="s">
        <v>532</v>
      </c>
      <c r="B869" t="s">
        <v>522</v>
      </c>
      <c r="C869" t="s">
        <v>523</v>
      </c>
      <c r="D869" t="s">
        <v>451</v>
      </c>
      <c r="E869" t="s">
        <v>524</v>
      </c>
      <c r="F869" t="s">
        <v>377</v>
      </c>
      <c r="H869" t="s">
        <v>565</v>
      </c>
      <c r="I869">
        <v>76000000</v>
      </c>
      <c r="J869" t="s">
        <v>451</v>
      </c>
      <c r="L869" t="str">
        <f>IFERROR(INDEX(Diccionario!$B:$B,MATCH(F869,Diccionario!$C:$C,0)),"")</f>
        <v>Contabilidad</v>
      </c>
      <c r="M869" t="str">
        <f>IFERROR(INDEX(Diccionario!$H:$H,MATCH(F869,Diccionario!$C:$C,0)),"")</f>
        <v>Contabilidad</v>
      </c>
      <c r="N869" t="str">
        <f>IFERROR(INDEX(Diccionario!$N:$N,MATCH(F869,Diccionario!$C:$C,0)),"")</f>
        <v>Mensual</v>
      </c>
    </row>
    <row r="870" spans="1:14" ht="14.25" customHeight="1" x14ac:dyDescent="0.3">
      <c r="A870" t="s">
        <v>532</v>
      </c>
      <c r="B870" t="s">
        <v>522</v>
      </c>
      <c r="C870" t="s">
        <v>523</v>
      </c>
      <c r="D870" t="s">
        <v>451</v>
      </c>
      <c r="E870" t="s">
        <v>524</v>
      </c>
      <c r="F870" t="s">
        <v>377</v>
      </c>
      <c r="H870" t="s">
        <v>577</v>
      </c>
      <c r="I870">
        <v>4000000</v>
      </c>
      <c r="J870" t="s">
        <v>451</v>
      </c>
      <c r="L870" t="str">
        <f>IFERROR(INDEX(Diccionario!$B:$B,MATCH(F870,Diccionario!$C:$C,0)),"")</f>
        <v>Contabilidad</v>
      </c>
      <c r="M870" t="str">
        <f>IFERROR(INDEX(Diccionario!$H:$H,MATCH(F870,Diccionario!$C:$C,0)),"")</f>
        <v>Contabilidad</v>
      </c>
      <c r="N870" t="str">
        <f>IFERROR(INDEX(Diccionario!$N:$N,MATCH(F870,Diccionario!$C:$C,0)),"")</f>
        <v>Mensual</v>
      </c>
    </row>
    <row r="871" spans="1:14" ht="14.25" customHeight="1" x14ac:dyDescent="0.3">
      <c r="A871" t="s">
        <v>532</v>
      </c>
      <c r="B871" t="s">
        <v>522</v>
      </c>
      <c r="C871" t="s">
        <v>523</v>
      </c>
      <c r="D871" t="s">
        <v>451</v>
      </c>
      <c r="E871" t="s">
        <v>524</v>
      </c>
      <c r="F871" t="s">
        <v>377</v>
      </c>
      <c r="H871" t="s">
        <v>568</v>
      </c>
      <c r="I871">
        <v>1000000</v>
      </c>
      <c r="J871" t="s">
        <v>451</v>
      </c>
      <c r="L871" t="str">
        <f>IFERROR(INDEX(Diccionario!$B:$B,MATCH(F871,Diccionario!$C:$C,0)),"")</f>
        <v>Contabilidad</v>
      </c>
      <c r="M871" t="str">
        <f>IFERROR(INDEX(Diccionario!$H:$H,MATCH(F871,Diccionario!$C:$C,0)),"")</f>
        <v>Contabilidad</v>
      </c>
      <c r="N871" t="str">
        <f>IFERROR(INDEX(Diccionario!$N:$N,MATCH(F871,Diccionario!$C:$C,0)),"")</f>
        <v>Mensual</v>
      </c>
    </row>
    <row r="872" spans="1:14" ht="14.25" customHeight="1" x14ac:dyDescent="0.3">
      <c r="A872" t="s">
        <v>532</v>
      </c>
      <c r="B872" t="s">
        <v>522</v>
      </c>
      <c r="C872" t="s">
        <v>523</v>
      </c>
      <c r="D872" t="s">
        <v>451</v>
      </c>
      <c r="E872" t="s">
        <v>524</v>
      </c>
      <c r="F872" t="s">
        <v>377</v>
      </c>
      <c r="H872" t="s">
        <v>569</v>
      </c>
      <c r="I872">
        <v>16000000</v>
      </c>
      <c r="J872" t="s">
        <v>451</v>
      </c>
      <c r="L872" t="str">
        <f>IFERROR(INDEX(Diccionario!$B:$B,MATCH(F872,Diccionario!$C:$C,0)),"")</f>
        <v>Contabilidad</v>
      </c>
      <c r="M872" t="str">
        <f>IFERROR(INDEX(Diccionario!$H:$H,MATCH(F872,Diccionario!$C:$C,0)),"")</f>
        <v>Contabilidad</v>
      </c>
      <c r="N872" t="str">
        <f>IFERROR(INDEX(Diccionario!$N:$N,MATCH(F872,Diccionario!$C:$C,0)),"")</f>
        <v>Mensual</v>
      </c>
    </row>
    <row r="873" spans="1:14" ht="14.25" customHeight="1" x14ac:dyDescent="0.3">
      <c r="A873" t="s">
        <v>532</v>
      </c>
      <c r="B873" t="s">
        <v>522</v>
      </c>
      <c r="C873" t="s">
        <v>523</v>
      </c>
      <c r="D873" t="s">
        <v>451</v>
      </c>
      <c r="E873" t="s">
        <v>524</v>
      </c>
      <c r="F873" t="s">
        <v>377</v>
      </c>
      <c r="H873" t="s">
        <v>570</v>
      </c>
      <c r="I873">
        <v>15000000</v>
      </c>
      <c r="J873" t="s">
        <v>451</v>
      </c>
      <c r="L873" t="str">
        <f>IFERROR(INDEX(Diccionario!$B:$B,MATCH(F873,Diccionario!$C:$C,0)),"")</f>
        <v>Contabilidad</v>
      </c>
      <c r="M873" t="str">
        <f>IFERROR(INDEX(Diccionario!$H:$H,MATCH(F873,Diccionario!$C:$C,0)),"")</f>
        <v>Contabilidad</v>
      </c>
      <c r="N873" t="str">
        <f>IFERROR(INDEX(Diccionario!$N:$N,MATCH(F873,Diccionario!$C:$C,0)),"")</f>
        <v>Mensual</v>
      </c>
    </row>
    <row r="874" spans="1:14" ht="14.25" customHeight="1" x14ac:dyDescent="0.3">
      <c r="A874" t="s">
        <v>532</v>
      </c>
      <c r="B874" t="s">
        <v>522</v>
      </c>
      <c r="C874" t="s">
        <v>523</v>
      </c>
      <c r="D874" t="s">
        <v>451</v>
      </c>
      <c r="E874" t="s">
        <v>524</v>
      </c>
      <c r="F874" t="s">
        <v>377</v>
      </c>
      <c r="H874" t="s">
        <v>571</v>
      </c>
      <c r="I874">
        <v>9000000</v>
      </c>
      <c r="J874" t="s">
        <v>451</v>
      </c>
      <c r="L874" t="str">
        <f>IFERROR(INDEX(Diccionario!$B:$B,MATCH(F874,Diccionario!$C:$C,0)),"")</f>
        <v>Contabilidad</v>
      </c>
      <c r="M874" t="str">
        <f>IFERROR(INDEX(Diccionario!$H:$H,MATCH(F874,Diccionario!$C:$C,0)),"")</f>
        <v>Contabilidad</v>
      </c>
      <c r="N874" t="str">
        <f>IFERROR(INDEX(Diccionario!$N:$N,MATCH(F874,Diccionario!$C:$C,0)),"")</f>
        <v>Mensual</v>
      </c>
    </row>
    <row r="875" spans="1:14" ht="14.25" customHeight="1" x14ac:dyDescent="0.3">
      <c r="A875" t="s">
        <v>533</v>
      </c>
      <c r="B875" t="s">
        <v>522</v>
      </c>
      <c r="C875" t="s">
        <v>523</v>
      </c>
      <c r="D875" t="s">
        <v>451</v>
      </c>
      <c r="E875" t="s">
        <v>524</v>
      </c>
      <c r="F875" t="s">
        <v>377</v>
      </c>
      <c r="H875" t="s">
        <v>565</v>
      </c>
      <c r="I875">
        <v>91000000</v>
      </c>
      <c r="J875" t="s">
        <v>451</v>
      </c>
      <c r="L875" t="str">
        <f>IFERROR(INDEX(Diccionario!$B:$B,MATCH(F875,Diccionario!$C:$C,0)),"")</f>
        <v>Contabilidad</v>
      </c>
      <c r="M875" t="str">
        <f>IFERROR(INDEX(Diccionario!$H:$H,MATCH(F875,Diccionario!$C:$C,0)),"")</f>
        <v>Contabilidad</v>
      </c>
      <c r="N875" t="str">
        <f>IFERROR(INDEX(Diccionario!$N:$N,MATCH(F875,Diccionario!$C:$C,0)),"")</f>
        <v>Mensual</v>
      </c>
    </row>
    <row r="876" spans="1:14" ht="14.25" customHeight="1" x14ac:dyDescent="0.3">
      <c r="A876" t="s">
        <v>533</v>
      </c>
      <c r="B876" t="s">
        <v>522</v>
      </c>
      <c r="C876" t="s">
        <v>523</v>
      </c>
      <c r="D876" t="s">
        <v>451</v>
      </c>
      <c r="E876" t="s">
        <v>524</v>
      </c>
      <c r="F876" t="s">
        <v>377</v>
      </c>
      <c r="H876" t="s">
        <v>577</v>
      </c>
      <c r="I876">
        <v>13000000</v>
      </c>
      <c r="J876" t="s">
        <v>451</v>
      </c>
      <c r="L876" t="str">
        <f>IFERROR(INDEX(Diccionario!$B:$B,MATCH(F876,Diccionario!$C:$C,0)),"")</f>
        <v>Contabilidad</v>
      </c>
      <c r="M876" t="str">
        <f>IFERROR(INDEX(Diccionario!$H:$H,MATCH(F876,Diccionario!$C:$C,0)),"")</f>
        <v>Contabilidad</v>
      </c>
      <c r="N876" t="str">
        <f>IFERROR(INDEX(Diccionario!$N:$N,MATCH(F876,Diccionario!$C:$C,0)),"")</f>
        <v>Mensual</v>
      </c>
    </row>
    <row r="877" spans="1:14" ht="14.25" customHeight="1" x14ac:dyDescent="0.3">
      <c r="A877" t="s">
        <v>533</v>
      </c>
      <c r="B877" t="s">
        <v>522</v>
      </c>
      <c r="C877" t="s">
        <v>523</v>
      </c>
      <c r="D877" t="s">
        <v>451</v>
      </c>
      <c r="E877" t="s">
        <v>524</v>
      </c>
      <c r="F877" t="s">
        <v>377</v>
      </c>
      <c r="H877" t="s">
        <v>568</v>
      </c>
      <c r="I877">
        <v>1000000</v>
      </c>
      <c r="J877" t="s">
        <v>451</v>
      </c>
      <c r="L877" t="str">
        <f>IFERROR(INDEX(Diccionario!$B:$B,MATCH(F877,Diccionario!$C:$C,0)),"")</f>
        <v>Contabilidad</v>
      </c>
      <c r="M877" t="str">
        <f>IFERROR(INDEX(Diccionario!$H:$H,MATCH(F877,Diccionario!$C:$C,0)),"")</f>
        <v>Contabilidad</v>
      </c>
      <c r="N877" t="str">
        <f>IFERROR(INDEX(Diccionario!$N:$N,MATCH(F877,Diccionario!$C:$C,0)),"")</f>
        <v>Mensual</v>
      </c>
    </row>
    <row r="878" spans="1:14" ht="14.25" customHeight="1" x14ac:dyDescent="0.3">
      <c r="A878" t="s">
        <v>533</v>
      </c>
      <c r="B878" t="s">
        <v>522</v>
      </c>
      <c r="C878" t="s">
        <v>523</v>
      </c>
      <c r="D878" t="s">
        <v>451</v>
      </c>
      <c r="E878" t="s">
        <v>524</v>
      </c>
      <c r="F878" t="s">
        <v>377</v>
      </c>
      <c r="H878" t="s">
        <v>569</v>
      </c>
      <c r="I878">
        <v>28000000</v>
      </c>
      <c r="J878" t="s">
        <v>451</v>
      </c>
      <c r="L878" t="str">
        <f>IFERROR(INDEX(Diccionario!$B:$B,MATCH(F878,Diccionario!$C:$C,0)),"")</f>
        <v>Contabilidad</v>
      </c>
      <c r="M878" t="str">
        <f>IFERROR(INDEX(Diccionario!$H:$H,MATCH(F878,Diccionario!$C:$C,0)),"")</f>
        <v>Contabilidad</v>
      </c>
      <c r="N878" t="str">
        <f>IFERROR(INDEX(Diccionario!$N:$N,MATCH(F878,Diccionario!$C:$C,0)),"")</f>
        <v>Mensual</v>
      </c>
    </row>
    <row r="879" spans="1:14" ht="14.25" customHeight="1" x14ac:dyDescent="0.3">
      <c r="A879" t="s">
        <v>533</v>
      </c>
      <c r="B879" t="s">
        <v>522</v>
      </c>
      <c r="C879" t="s">
        <v>523</v>
      </c>
      <c r="D879" t="s">
        <v>451</v>
      </c>
      <c r="E879" t="s">
        <v>524</v>
      </c>
      <c r="F879" t="s">
        <v>377</v>
      </c>
      <c r="H879" t="s">
        <v>570</v>
      </c>
      <c r="I879">
        <v>29000000</v>
      </c>
      <c r="J879" t="s">
        <v>451</v>
      </c>
      <c r="L879" t="str">
        <f>IFERROR(INDEX(Diccionario!$B:$B,MATCH(F879,Diccionario!$C:$C,0)),"")</f>
        <v>Contabilidad</v>
      </c>
      <c r="M879" t="str">
        <f>IFERROR(INDEX(Diccionario!$H:$H,MATCH(F879,Diccionario!$C:$C,0)),"")</f>
        <v>Contabilidad</v>
      </c>
      <c r="N879" t="str">
        <f>IFERROR(INDEX(Diccionario!$N:$N,MATCH(F879,Diccionario!$C:$C,0)),"")</f>
        <v>Mensual</v>
      </c>
    </row>
    <row r="880" spans="1:14" ht="14.25" customHeight="1" x14ac:dyDescent="0.3">
      <c r="A880" t="s">
        <v>533</v>
      </c>
      <c r="B880" t="s">
        <v>522</v>
      </c>
      <c r="C880" t="s">
        <v>523</v>
      </c>
      <c r="D880" t="s">
        <v>451</v>
      </c>
      <c r="E880" t="s">
        <v>524</v>
      </c>
      <c r="F880" t="s">
        <v>377</v>
      </c>
      <c r="H880" t="s">
        <v>571</v>
      </c>
      <c r="I880">
        <v>7000000</v>
      </c>
      <c r="J880" t="s">
        <v>451</v>
      </c>
      <c r="L880" t="str">
        <f>IFERROR(INDEX(Diccionario!$B:$B,MATCH(F880,Diccionario!$C:$C,0)),"")</f>
        <v>Contabilidad</v>
      </c>
      <c r="M880" t="str">
        <f>IFERROR(INDEX(Diccionario!$H:$H,MATCH(F880,Diccionario!$C:$C,0)),"")</f>
        <v>Contabilidad</v>
      </c>
      <c r="N880" t="str">
        <f>IFERROR(INDEX(Diccionario!$N:$N,MATCH(F880,Diccionario!$C:$C,0)),"")</f>
        <v>Mensual</v>
      </c>
    </row>
    <row r="881" spans="1:14" ht="14.25" customHeight="1" x14ac:dyDescent="0.3">
      <c r="A881" t="s">
        <v>534</v>
      </c>
      <c r="B881" t="s">
        <v>522</v>
      </c>
      <c r="C881" t="s">
        <v>523</v>
      </c>
      <c r="D881" t="s">
        <v>451</v>
      </c>
      <c r="E881" t="s">
        <v>524</v>
      </c>
      <c r="F881" t="s">
        <v>377</v>
      </c>
      <c r="H881" t="s">
        <v>565</v>
      </c>
      <c r="I881">
        <v>92000000</v>
      </c>
      <c r="J881" t="s">
        <v>451</v>
      </c>
      <c r="L881" t="str">
        <f>IFERROR(INDEX(Diccionario!$B:$B,MATCH(F881,Diccionario!$C:$C,0)),"")</f>
        <v>Contabilidad</v>
      </c>
      <c r="M881" t="str">
        <f>IFERROR(INDEX(Diccionario!$H:$H,MATCH(F881,Diccionario!$C:$C,0)),"")</f>
        <v>Contabilidad</v>
      </c>
      <c r="N881" t="str">
        <f>IFERROR(INDEX(Diccionario!$N:$N,MATCH(F881,Diccionario!$C:$C,0)),"")</f>
        <v>Mensual</v>
      </c>
    </row>
    <row r="882" spans="1:14" ht="14.25" customHeight="1" x14ac:dyDescent="0.3">
      <c r="A882" t="s">
        <v>534</v>
      </c>
      <c r="B882" t="s">
        <v>522</v>
      </c>
      <c r="C882" t="s">
        <v>523</v>
      </c>
      <c r="D882" t="s">
        <v>451</v>
      </c>
      <c r="E882" t="s">
        <v>524</v>
      </c>
      <c r="F882" t="s">
        <v>377</v>
      </c>
      <c r="H882" t="s">
        <v>577</v>
      </c>
      <c r="I882">
        <v>16000000</v>
      </c>
      <c r="J882" t="s">
        <v>451</v>
      </c>
      <c r="L882" t="str">
        <f>IFERROR(INDEX(Diccionario!$B:$B,MATCH(F882,Diccionario!$C:$C,0)),"")</f>
        <v>Contabilidad</v>
      </c>
      <c r="M882" t="str">
        <f>IFERROR(INDEX(Diccionario!$H:$H,MATCH(F882,Diccionario!$C:$C,0)),"")</f>
        <v>Contabilidad</v>
      </c>
      <c r="N882" t="str">
        <f>IFERROR(INDEX(Diccionario!$N:$N,MATCH(F882,Diccionario!$C:$C,0)),"")</f>
        <v>Mensual</v>
      </c>
    </row>
    <row r="883" spans="1:14" ht="14.25" customHeight="1" x14ac:dyDescent="0.3">
      <c r="A883" t="s">
        <v>534</v>
      </c>
      <c r="B883" t="s">
        <v>522</v>
      </c>
      <c r="C883" t="s">
        <v>523</v>
      </c>
      <c r="D883" t="s">
        <v>451</v>
      </c>
      <c r="E883" t="s">
        <v>524</v>
      </c>
      <c r="F883" t="s">
        <v>377</v>
      </c>
      <c r="H883" t="s">
        <v>568</v>
      </c>
      <c r="I883">
        <v>1000000</v>
      </c>
      <c r="J883" t="s">
        <v>451</v>
      </c>
      <c r="L883" t="str">
        <f>IFERROR(INDEX(Diccionario!$B:$B,MATCH(F883,Diccionario!$C:$C,0)),"")</f>
        <v>Contabilidad</v>
      </c>
      <c r="M883" t="str">
        <f>IFERROR(INDEX(Diccionario!$H:$H,MATCH(F883,Diccionario!$C:$C,0)),"")</f>
        <v>Contabilidad</v>
      </c>
      <c r="N883" t="str">
        <f>IFERROR(INDEX(Diccionario!$N:$N,MATCH(F883,Diccionario!$C:$C,0)),"")</f>
        <v>Mensual</v>
      </c>
    </row>
    <row r="884" spans="1:14" ht="14.25" customHeight="1" x14ac:dyDescent="0.3">
      <c r="A884" t="s">
        <v>534</v>
      </c>
      <c r="B884" t="s">
        <v>522</v>
      </c>
      <c r="C884" t="s">
        <v>523</v>
      </c>
      <c r="D884" t="s">
        <v>451</v>
      </c>
      <c r="E884" t="s">
        <v>524</v>
      </c>
      <c r="F884" t="s">
        <v>377</v>
      </c>
      <c r="H884" t="s">
        <v>569</v>
      </c>
      <c r="I884">
        <v>19000000</v>
      </c>
      <c r="J884" t="s">
        <v>451</v>
      </c>
      <c r="L884" t="str">
        <f>IFERROR(INDEX(Diccionario!$B:$B,MATCH(F884,Diccionario!$C:$C,0)),"")</f>
        <v>Contabilidad</v>
      </c>
      <c r="M884" t="str">
        <f>IFERROR(INDEX(Diccionario!$H:$H,MATCH(F884,Diccionario!$C:$C,0)),"")</f>
        <v>Contabilidad</v>
      </c>
      <c r="N884" t="str">
        <f>IFERROR(INDEX(Diccionario!$N:$N,MATCH(F884,Diccionario!$C:$C,0)),"")</f>
        <v>Mensual</v>
      </c>
    </row>
    <row r="885" spans="1:14" ht="14.25" customHeight="1" x14ac:dyDescent="0.3">
      <c r="A885" t="s">
        <v>534</v>
      </c>
      <c r="B885" t="s">
        <v>522</v>
      </c>
      <c r="C885" t="s">
        <v>523</v>
      </c>
      <c r="D885" t="s">
        <v>451</v>
      </c>
      <c r="E885" t="s">
        <v>524</v>
      </c>
      <c r="F885" t="s">
        <v>377</v>
      </c>
      <c r="H885" t="s">
        <v>570</v>
      </c>
      <c r="I885">
        <v>37000000</v>
      </c>
      <c r="J885" t="s">
        <v>451</v>
      </c>
      <c r="L885" t="str">
        <f>IFERROR(INDEX(Diccionario!$B:$B,MATCH(F885,Diccionario!$C:$C,0)),"")</f>
        <v>Contabilidad</v>
      </c>
      <c r="M885" t="str">
        <f>IFERROR(INDEX(Diccionario!$H:$H,MATCH(F885,Diccionario!$C:$C,0)),"")</f>
        <v>Contabilidad</v>
      </c>
      <c r="N885" t="str">
        <f>IFERROR(INDEX(Diccionario!$N:$N,MATCH(F885,Diccionario!$C:$C,0)),"")</f>
        <v>Mensual</v>
      </c>
    </row>
    <row r="886" spans="1:14" ht="14.25" customHeight="1" x14ac:dyDescent="0.3">
      <c r="A886" t="s">
        <v>534</v>
      </c>
      <c r="B886" t="s">
        <v>522</v>
      </c>
      <c r="C886" t="s">
        <v>523</v>
      </c>
      <c r="D886" t="s">
        <v>451</v>
      </c>
      <c r="E886" t="s">
        <v>524</v>
      </c>
      <c r="F886" t="s">
        <v>377</v>
      </c>
      <c r="H886" t="s">
        <v>571</v>
      </c>
      <c r="I886">
        <v>11000000</v>
      </c>
      <c r="J886" t="s">
        <v>451</v>
      </c>
      <c r="L886" t="str">
        <f>IFERROR(INDEX(Diccionario!$B:$B,MATCH(F886,Diccionario!$C:$C,0)),"")</f>
        <v>Contabilidad</v>
      </c>
      <c r="M886" t="str">
        <f>IFERROR(INDEX(Diccionario!$H:$H,MATCH(F886,Diccionario!$C:$C,0)),"")</f>
        <v>Contabilidad</v>
      </c>
      <c r="N886" t="str">
        <f>IFERROR(INDEX(Diccionario!$N:$N,MATCH(F886,Diccionario!$C:$C,0)),"")</f>
        <v>Mensual</v>
      </c>
    </row>
    <row r="887" spans="1:14" ht="14.25" customHeight="1" x14ac:dyDescent="0.3">
      <c r="A887" t="s">
        <v>535</v>
      </c>
      <c r="B887" t="s">
        <v>522</v>
      </c>
      <c r="C887" t="s">
        <v>523</v>
      </c>
      <c r="D887" t="s">
        <v>451</v>
      </c>
      <c r="E887" t="s">
        <v>524</v>
      </c>
      <c r="F887" t="s">
        <v>377</v>
      </c>
      <c r="H887" t="s">
        <v>565</v>
      </c>
      <c r="I887">
        <v>88300000</v>
      </c>
      <c r="J887" t="s">
        <v>451</v>
      </c>
      <c r="L887" t="str">
        <f>IFERROR(INDEX(Diccionario!$B:$B,MATCH(F887,Diccionario!$C:$C,0)),"")</f>
        <v>Contabilidad</v>
      </c>
      <c r="M887" t="str">
        <f>IFERROR(INDEX(Diccionario!$H:$H,MATCH(F887,Diccionario!$C:$C,0)),"")</f>
        <v>Contabilidad</v>
      </c>
      <c r="N887" t="str">
        <f>IFERROR(INDEX(Diccionario!$N:$N,MATCH(F887,Diccionario!$C:$C,0)),"")</f>
        <v>Mensual</v>
      </c>
    </row>
    <row r="888" spans="1:14" ht="14.25" customHeight="1" x14ac:dyDescent="0.3">
      <c r="A888" t="s">
        <v>535</v>
      </c>
      <c r="B888" t="s">
        <v>522</v>
      </c>
      <c r="C888" t="s">
        <v>523</v>
      </c>
      <c r="D888" t="s">
        <v>451</v>
      </c>
      <c r="E888" t="s">
        <v>524</v>
      </c>
      <c r="F888" t="s">
        <v>377</v>
      </c>
      <c r="H888" t="s">
        <v>577</v>
      </c>
      <c r="I888">
        <v>23000000</v>
      </c>
      <c r="J888" t="s">
        <v>451</v>
      </c>
      <c r="L888" t="str">
        <f>IFERROR(INDEX(Diccionario!$B:$B,MATCH(F888,Diccionario!$C:$C,0)),"")</f>
        <v>Contabilidad</v>
      </c>
      <c r="M888" t="str">
        <f>IFERROR(INDEX(Diccionario!$H:$H,MATCH(F888,Diccionario!$C:$C,0)),"")</f>
        <v>Contabilidad</v>
      </c>
      <c r="N888" t="str">
        <f>IFERROR(INDEX(Diccionario!$N:$N,MATCH(F888,Diccionario!$C:$C,0)),"")</f>
        <v>Mensual</v>
      </c>
    </row>
    <row r="889" spans="1:14" ht="14.25" customHeight="1" x14ac:dyDescent="0.3">
      <c r="A889" t="s">
        <v>535</v>
      </c>
      <c r="B889" t="s">
        <v>522</v>
      </c>
      <c r="C889" t="s">
        <v>523</v>
      </c>
      <c r="D889" t="s">
        <v>451</v>
      </c>
      <c r="E889" t="s">
        <v>524</v>
      </c>
      <c r="F889" t="s">
        <v>377</v>
      </c>
      <c r="H889" t="s">
        <v>568</v>
      </c>
      <c r="I889">
        <v>150000</v>
      </c>
      <c r="J889" t="s">
        <v>451</v>
      </c>
      <c r="L889" t="str">
        <f>IFERROR(INDEX(Diccionario!$B:$B,MATCH(F889,Diccionario!$C:$C,0)),"")</f>
        <v>Contabilidad</v>
      </c>
      <c r="M889" t="str">
        <f>IFERROR(INDEX(Diccionario!$H:$H,MATCH(F889,Diccionario!$C:$C,0)),"")</f>
        <v>Contabilidad</v>
      </c>
      <c r="N889" t="str">
        <f>IFERROR(INDEX(Diccionario!$N:$N,MATCH(F889,Diccionario!$C:$C,0)),"")</f>
        <v>Mensual</v>
      </c>
    </row>
    <row r="890" spans="1:14" ht="14.25" customHeight="1" x14ac:dyDescent="0.3">
      <c r="A890" t="s">
        <v>535</v>
      </c>
      <c r="B890" t="s">
        <v>522</v>
      </c>
      <c r="C890" t="s">
        <v>523</v>
      </c>
      <c r="D890" t="s">
        <v>451</v>
      </c>
      <c r="E890" t="s">
        <v>524</v>
      </c>
      <c r="F890" t="s">
        <v>377</v>
      </c>
      <c r="H890" t="s">
        <v>569</v>
      </c>
      <c r="I890">
        <v>18000000</v>
      </c>
      <c r="J890" t="s">
        <v>451</v>
      </c>
      <c r="L890" t="str">
        <f>IFERROR(INDEX(Diccionario!$B:$B,MATCH(F890,Diccionario!$C:$C,0)),"")</f>
        <v>Contabilidad</v>
      </c>
      <c r="M890" t="str">
        <f>IFERROR(INDEX(Diccionario!$H:$H,MATCH(F890,Diccionario!$C:$C,0)),"")</f>
        <v>Contabilidad</v>
      </c>
      <c r="N890" t="str">
        <f>IFERROR(INDEX(Diccionario!$N:$N,MATCH(F890,Diccionario!$C:$C,0)),"")</f>
        <v>Mensual</v>
      </c>
    </row>
    <row r="891" spans="1:14" ht="14.25" customHeight="1" x14ac:dyDescent="0.3">
      <c r="A891" t="s">
        <v>535</v>
      </c>
      <c r="B891" t="s">
        <v>522</v>
      </c>
      <c r="C891" t="s">
        <v>523</v>
      </c>
      <c r="D891" t="s">
        <v>451</v>
      </c>
      <c r="E891" t="s">
        <v>524</v>
      </c>
      <c r="F891" t="s">
        <v>377</v>
      </c>
      <c r="H891" t="s">
        <v>570</v>
      </c>
      <c r="I891">
        <v>28300000</v>
      </c>
      <c r="J891" t="s">
        <v>451</v>
      </c>
      <c r="L891" t="str">
        <f>IFERROR(INDEX(Diccionario!$B:$B,MATCH(F891,Diccionario!$C:$C,0)),"")</f>
        <v>Contabilidad</v>
      </c>
      <c r="M891" t="str">
        <f>IFERROR(INDEX(Diccionario!$H:$H,MATCH(F891,Diccionario!$C:$C,0)),"")</f>
        <v>Contabilidad</v>
      </c>
      <c r="N891" t="str">
        <f>IFERROR(INDEX(Diccionario!$N:$N,MATCH(F891,Diccionario!$C:$C,0)),"")</f>
        <v>Mensual</v>
      </c>
    </row>
    <row r="892" spans="1:14" ht="14.25" customHeight="1" x14ac:dyDescent="0.3">
      <c r="A892" t="s">
        <v>535</v>
      </c>
      <c r="B892" t="s">
        <v>522</v>
      </c>
      <c r="C892" t="s">
        <v>523</v>
      </c>
      <c r="D892" t="s">
        <v>451</v>
      </c>
      <c r="E892" t="s">
        <v>524</v>
      </c>
      <c r="F892" t="s">
        <v>377</v>
      </c>
      <c r="H892" t="s">
        <v>571</v>
      </c>
      <c r="I892">
        <v>8100000</v>
      </c>
      <c r="J892" t="s">
        <v>451</v>
      </c>
      <c r="L892" t="str">
        <f>IFERROR(INDEX(Diccionario!$B:$B,MATCH(F892,Diccionario!$C:$C,0)),"")</f>
        <v>Contabilidad</v>
      </c>
      <c r="M892" t="str">
        <f>IFERROR(INDEX(Diccionario!$H:$H,MATCH(F892,Diccionario!$C:$C,0)),"")</f>
        <v>Contabilidad</v>
      </c>
      <c r="N892" t="str">
        <f>IFERROR(INDEX(Diccionario!$N:$N,MATCH(F892,Diccionario!$C:$C,0)),"")</f>
        <v>Mensual</v>
      </c>
    </row>
    <row r="893" spans="1:14" ht="14.25" customHeight="1" x14ac:dyDescent="0.3">
      <c r="A893" t="s">
        <v>536</v>
      </c>
      <c r="B893" t="s">
        <v>522</v>
      </c>
      <c r="C893" t="s">
        <v>523</v>
      </c>
      <c r="D893" t="s">
        <v>451</v>
      </c>
      <c r="E893" t="s">
        <v>524</v>
      </c>
      <c r="F893" t="s">
        <v>377</v>
      </c>
      <c r="H893" t="s">
        <v>565</v>
      </c>
      <c r="I893">
        <v>79000000</v>
      </c>
      <c r="J893" t="s">
        <v>451</v>
      </c>
      <c r="L893" t="str">
        <f>IFERROR(INDEX(Diccionario!$B:$B,MATCH(F893,Diccionario!$C:$C,0)),"")</f>
        <v>Contabilidad</v>
      </c>
      <c r="M893" t="str">
        <f>IFERROR(INDEX(Diccionario!$H:$H,MATCH(F893,Diccionario!$C:$C,0)),"")</f>
        <v>Contabilidad</v>
      </c>
      <c r="N893" t="str">
        <f>IFERROR(INDEX(Diccionario!$N:$N,MATCH(F893,Diccionario!$C:$C,0)),"")</f>
        <v>Mensual</v>
      </c>
    </row>
    <row r="894" spans="1:14" ht="14.25" customHeight="1" x14ac:dyDescent="0.3">
      <c r="A894" t="s">
        <v>536</v>
      </c>
      <c r="B894" t="s">
        <v>522</v>
      </c>
      <c r="C894" t="s">
        <v>523</v>
      </c>
      <c r="D894" t="s">
        <v>451</v>
      </c>
      <c r="E894" t="s">
        <v>524</v>
      </c>
      <c r="F894" t="s">
        <v>377</v>
      </c>
      <c r="H894" t="s">
        <v>577</v>
      </c>
      <c r="I894">
        <v>37400000</v>
      </c>
      <c r="J894" t="s">
        <v>451</v>
      </c>
      <c r="L894" t="str">
        <f>IFERROR(INDEX(Diccionario!$B:$B,MATCH(F894,Diccionario!$C:$C,0)),"")</f>
        <v>Contabilidad</v>
      </c>
      <c r="M894" t="str">
        <f>IFERROR(INDEX(Diccionario!$H:$H,MATCH(F894,Diccionario!$C:$C,0)),"")</f>
        <v>Contabilidad</v>
      </c>
      <c r="N894" t="str">
        <f>IFERROR(INDEX(Diccionario!$N:$N,MATCH(F894,Diccionario!$C:$C,0)),"")</f>
        <v>Mensual</v>
      </c>
    </row>
    <row r="895" spans="1:14" ht="14.25" customHeight="1" x14ac:dyDescent="0.3">
      <c r="A895" t="s">
        <v>536</v>
      </c>
      <c r="B895" t="s">
        <v>522</v>
      </c>
      <c r="C895" t="s">
        <v>523</v>
      </c>
      <c r="D895" t="s">
        <v>451</v>
      </c>
      <c r="E895" t="s">
        <v>524</v>
      </c>
      <c r="F895" t="s">
        <v>377</v>
      </c>
      <c r="H895" t="s">
        <v>568</v>
      </c>
      <c r="I895">
        <v>270000</v>
      </c>
      <c r="J895" t="s">
        <v>451</v>
      </c>
      <c r="L895" t="str">
        <f>IFERROR(INDEX(Diccionario!$B:$B,MATCH(F895,Diccionario!$C:$C,0)),"")</f>
        <v>Contabilidad</v>
      </c>
      <c r="M895" t="str">
        <f>IFERROR(INDEX(Diccionario!$H:$H,MATCH(F895,Diccionario!$C:$C,0)),"")</f>
        <v>Contabilidad</v>
      </c>
      <c r="N895" t="str">
        <f>IFERROR(INDEX(Diccionario!$N:$N,MATCH(F895,Diccionario!$C:$C,0)),"")</f>
        <v>Mensual</v>
      </c>
    </row>
    <row r="896" spans="1:14" ht="14.25" customHeight="1" x14ac:dyDescent="0.3">
      <c r="A896" t="s">
        <v>536</v>
      </c>
      <c r="B896" t="s">
        <v>522</v>
      </c>
      <c r="C896" t="s">
        <v>523</v>
      </c>
      <c r="D896" t="s">
        <v>451</v>
      </c>
      <c r="E896" t="s">
        <v>524</v>
      </c>
      <c r="F896" t="s">
        <v>377</v>
      </c>
      <c r="H896" t="s">
        <v>569</v>
      </c>
      <c r="I896">
        <v>43800000</v>
      </c>
      <c r="J896" t="s">
        <v>451</v>
      </c>
      <c r="L896" t="str">
        <f>IFERROR(INDEX(Diccionario!$B:$B,MATCH(F896,Diccionario!$C:$C,0)),"")</f>
        <v>Contabilidad</v>
      </c>
      <c r="M896" t="str">
        <f>IFERROR(INDEX(Diccionario!$H:$H,MATCH(F896,Diccionario!$C:$C,0)),"")</f>
        <v>Contabilidad</v>
      </c>
      <c r="N896" t="str">
        <f>IFERROR(INDEX(Diccionario!$N:$N,MATCH(F896,Diccionario!$C:$C,0)),"")</f>
        <v>Mensual</v>
      </c>
    </row>
    <row r="897" spans="1:14" ht="14.25" customHeight="1" x14ac:dyDescent="0.3">
      <c r="A897" t="s">
        <v>536</v>
      </c>
      <c r="B897" t="s">
        <v>522</v>
      </c>
      <c r="C897" t="s">
        <v>523</v>
      </c>
      <c r="D897" t="s">
        <v>451</v>
      </c>
      <c r="E897" t="s">
        <v>524</v>
      </c>
      <c r="F897" t="s">
        <v>377</v>
      </c>
      <c r="H897" t="s">
        <v>570</v>
      </c>
      <c r="I897">
        <v>6000000</v>
      </c>
      <c r="J897" t="s">
        <v>451</v>
      </c>
      <c r="L897" t="str">
        <f>IFERROR(INDEX(Diccionario!$B:$B,MATCH(F897,Diccionario!$C:$C,0)),"")</f>
        <v>Contabilidad</v>
      </c>
      <c r="M897" t="str">
        <f>IFERROR(INDEX(Diccionario!$H:$H,MATCH(F897,Diccionario!$C:$C,0)),"")</f>
        <v>Contabilidad</v>
      </c>
      <c r="N897" t="str">
        <f>IFERROR(INDEX(Diccionario!$N:$N,MATCH(F897,Diccionario!$C:$C,0)),"")</f>
        <v>Mensual</v>
      </c>
    </row>
    <row r="898" spans="1:14" ht="14.25" customHeight="1" x14ac:dyDescent="0.3">
      <c r="A898" t="s">
        <v>536</v>
      </c>
      <c r="B898" t="s">
        <v>522</v>
      </c>
      <c r="C898" t="s">
        <v>523</v>
      </c>
      <c r="D898" t="s">
        <v>451</v>
      </c>
      <c r="E898" t="s">
        <v>524</v>
      </c>
      <c r="F898" t="s">
        <v>377</v>
      </c>
      <c r="H898" t="s">
        <v>571</v>
      </c>
      <c r="I898">
        <v>8700000</v>
      </c>
      <c r="J898" t="s">
        <v>451</v>
      </c>
      <c r="L898" t="str">
        <f>IFERROR(INDEX(Diccionario!$B:$B,MATCH(F898,Diccionario!$C:$C,0)),"")</f>
        <v>Contabilidad</v>
      </c>
      <c r="M898" t="str">
        <f>IFERROR(INDEX(Diccionario!$H:$H,MATCH(F898,Diccionario!$C:$C,0)),"")</f>
        <v>Contabilidad</v>
      </c>
      <c r="N898" t="str">
        <f>IFERROR(INDEX(Diccionario!$N:$N,MATCH(F898,Diccionario!$C:$C,0)),"")</f>
        <v>Mensual</v>
      </c>
    </row>
    <row r="899" spans="1:14" ht="14.25" customHeight="1" x14ac:dyDescent="0.3">
      <c r="A899" t="s">
        <v>537</v>
      </c>
      <c r="B899" t="s">
        <v>522</v>
      </c>
      <c r="C899" t="s">
        <v>523</v>
      </c>
      <c r="D899" t="s">
        <v>451</v>
      </c>
      <c r="E899" t="s">
        <v>524</v>
      </c>
      <c r="F899" t="s">
        <v>377</v>
      </c>
      <c r="H899" t="s">
        <v>565</v>
      </c>
      <c r="I899">
        <v>94600000</v>
      </c>
      <c r="J899" t="s">
        <v>451</v>
      </c>
      <c r="L899" t="str">
        <f>IFERROR(INDEX(Diccionario!$B:$B,MATCH(F899,Diccionario!$C:$C,0)),"")</f>
        <v>Contabilidad</v>
      </c>
      <c r="M899" t="str">
        <f>IFERROR(INDEX(Diccionario!$H:$H,MATCH(F899,Diccionario!$C:$C,0)),"")</f>
        <v>Contabilidad</v>
      </c>
      <c r="N899" t="str">
        <f>IFERROR(INDEX(Diccionario!$N:$N,MATCH(F899,Diccionario!$C:$C,0)),"")</f>
        <v>Mensual</v>
      </c>
    </row>
    <row r="900" spans="1:14" ht="14.25" customHeight="1" x14ac:dyDescent="0.3">
      <c r="A900" t="s">
        <v>537</v>
      </c>
      <c r="B900" t="s">
        <v>522</v>
      </c>
      <c r="C900" t="s">
        <v>523</v>
      </c>
      <c r="D900" t="s">
        <v>451</v>
      </c>
      <c r="E900" t="s">
        <v>524</v>
      </c>
      <c r="F900" t="s">
        <v>377</v>
      </c>
      <c r="H900" t="s">
        <v>577</v>
      </c>
      <c r="I900">
        <v>0</v>
      </c>
      <c r="J900" t="s">
        <v>451</v>
      </c>
      <c r="L900" t="str">
        <f>IFERROR(INDEX(Diccionario!$B:$B,MATCH(F900,Diccionario!$C:$C,0)),"")</f>
        <v>Contabilidad</v>
      </c>
      <c r="M900" t="str">
        <f>IFERROR(INDEX(Diccionario!$H:$H,MATCH(F900,Diccionario!$C:$C,0)),"")</f>
        <v>Contabilidad</v>
      </c>
      <c r="N900" t="str">
        <f>IFERROR(INDEX(Diccionario!$N:$N,MATCH(F900,Diccionario!$C:$C,0)),"")</f>
        <v>Mensual</v>
      </c>
    </row>
    <row r="901" spans="1:14" ht="14.25" customHeight="1" x14ac:dyDescent="0.3">
      <c r="A901" t="s">
        <v>537</v>
      </c>
      <c r="B901" t="s">
        <v>522</v>
      </c>
      <c r="C901" t="s">
        <v>523</v>
      </c>
      <c r="D901" t="s">
        <v>451</v>
      </c>
      <c r="E901" t="s">
        <v>524</v>
      </c>
      <c r="F901" t="s">
        <v>377</v>
      </c>
      <c r="H901" t="s">
        <v>568</v>
      </c>
      <c r="I901">
        <v>0</v>
      </c>
      <c r="J901" t="s">
        <v>451</v>
      </c>
      <c r="L901" t="str">
        <f>IFERROR(INDEX(Diccionario!$B:$B,MATCH(F901,Diccionario!$C:$C,0)),"")</f>
        <v>Contabilidad</v>
      </c>
      <c r="M901" t="str">
        <f>IFERROR(INDEX(Diccionario!$H:$H,MATCH(F901,Diccionario!$C:$C,0)),"")</f>
        <v>Contabilidad</v>
      </c>
      <c r="N901" t="str">
        <f>IFERROR(INDEX(Diccionario!$N:$N,MATCH(F901,Diccionario!$C:$C,0)),"")</f>
        <v>Mensual</v>
      </c>
    </row>
    <row r="902" spans="1:14" ht="14.25" customHeight="1" x14ac:dyDescent="0.3">
      <c r="A902" t="s">
        <v>537</v>
      </c>
      <c r="B902" t="s">
        <v>522</v>
      </c>
      <c r="C902" t="s">
        <v>523</v>
      </c>
      <c r="D902" t="s">
        <v>451</v>
      </c>
      <c r="E902" t="s">
        <v>524</v>
      </c>
      <c r="F902" t="s">
        <v>377</v>
      </c>
      <c r="H902" t="s">
        <v>569</v>
      </c>
      <c r="I902">
        <v>24800000</v>
      </c>
      <c r="J902" t="s">
        <v>451</v>
      </c>
      <c r="L902" t="str">
        <f>IFERROR(INDEX(Diccionario!$B:$B,MATCH(F902,Diccionario!$C:$C,0)),"")</f>
        <v>Contabilidad</v>
      </c>
      <c r="M902" t="str">
        <f>IFERROR(INDEX(Diccionario!$H:$H,MATCH(F902,Diccionario!$C:$C,0)),"")</f>
        <v>Contabilidad</v>
      </c>
      <c r="N902" t="str">
        <f>IFERROR(INDEX(Diccionario!$N:$N,MATCH(F902,Diccionario!$C:$C,0)),"")</f>
        <v>Mensual</v>
      </c>
    </row>
    <row r="903" spans="1:14" ht="14.25" customHeight="1" x14ac:dyDescent="0.3">
      <c r="A903" t="s">
        <v>537</v>
      </c>
      <c r="B903" t="s">
        <v>522</v>
      </c>
      <c r="C903" t="s">
        <v>523</v>
      </c>
      <c r="D903" t="s">
        <v>451</v>
      </c>
      <c r="E903" t="s">
        <v>524</v>
      </c>
      <c r="F903" t="s">
        <v>377</v>
      </c>
      <c r="H903" t="s">
        <v>570</v>
      </c>
      <c r="I903">
        <v>35500000</v>
      </c>
      <c r="J903" t="s">
        <v>451</v>
      </c>
      <c r="L903" t="str">
        <f>IFERROR(INDEX(Diccionario!$B:$B,MATCH(F903,Diccionario!$C:$C,0)),"")</f>
        <v>Contabilidad</v>
      </c>
      <c r="M903" t="str">
        <f>IFERROR(INDEX(Diccionario!$H:$H,MATCH(F903,Diccionario!$C:$C,0)),"")</f>
        <v>Contabilidad</v>
      </c>
      <c r="N903" t="str">
        <f>IFERROR(INDEX(Diccionario!$N:$N,MATCH(F903,Diccionario!$C:$C,0)),"")</f>
        <v>Mensual</v>
      </c>
    </row>
    <row r="904" spans="1:14" ht="14.25" customHeight="1" x14ac:dyDescent="0.3">
      <c r="A904" t="s">
        <v>537</v>
      </c>
      <c r="B904" t="s">
        <v>522</v>
      </c>
      <c r="C904" t="s">
        <v>523</v>
      </c>
      <c r="D904" t="s">
        <v>451</v>
      </c>
      <c r="E904" t="s">
        <v>524</v>
      </c>
      <c r="F904" t="s">
        <v>377</v>
      </c>
      <c r="H904" t="s">
        <v>571</v>
      </c>
      <c r="I904">
        <v>8400000</v>
      </c>
      <c r="J904" t="s">
        <v>451</v>
      </c>
      <c r="L904" t="str">
        <f>IFERROR(INDEX(Diccionario!$B:$B,MATCH(F904,Diccionario!$C:$C,0)),"")</f>
        <v>Contabilidad</v>
      </c>
      <c r="M904" t="str">
        <f>IFERROR(INDEX(Diccionario!$H:$H,MATCH(F904,Diccionario!$C:$C,0)),"")</f>
        <v>Contabilidad</v>
      </c>
      <c r="N904" t="str">
        <f>IFERROR(INDEX(Diccionario!$N:$N,MATCH(F904,Diccionario!$C:$C,0)),"")</f>
        <v>Mensual</v>
      </c>
    </row>
    <row r="905" spans="1:14" ht="14.25" customHeight="1" x14ac:dyDescent="0.3">
      <c r="A905" t="s">
        <v>538</v>
      </c>
      <c r="B905" t="s">
        <v>522</v>
      </c>
      <c r="C905" t="s">
        <v>523</v>
      </c>
      <c r="D905" t="s">
        <v>451</v>
      </c>
      <c r="E905" t="s">
        <v>524</v>
      </c>
      <c r="F905" t="s">
        <v>377</v>
      </c>
      <c r="H905" t="s">
        <v>565</v>
      </c>
      <c r="I905">
        <v>110000000</v>
      </c>
      <c r="J905" t="s">
        <v>451</v>
      </c>
      <c r="L905" t="str">
        <f>IFERROR(INDEX(Diccionario!$B:$B,MATCH(F905,Diccionario!$C:$C,0)),"")</f>
        <v>Contabilidad</v>
      </c>
      <c r="M905" t="str">
        <f>IFERROR(INDEX(Diccionario!$H:$H,MATCH(F905,Diccionario!$C:$C,0)),"")</f>
        <v>Contabilidad</v>
      </c>
      <c r="N905" t="str">
        <f>IFERROR(INDEX(Diccionario!$N:$N,MATCH(F905,Diccionario!$C:$C,0)),"")</f>
        <v>Mensual</v>
      </c>
    </row>
    <row r="906" spans="1:14" ht="14.25" customHeight="1" x14ac:dyDescent="0.3">
      <c r="A906" t="s">
        <v>538</v>
      </c>
      <c r="B906" t="s">
        <v>522</v>
      </c>
      <c r="C906" t="s">
        <v>523</v>
      </c>
      <c r="D906" t="s">
        <v>451</v>
      </c>
      <c r="E906" t="s">
        <v>524</v>
      </c>
      <c r="F906" t="s">
        <v>377</v>
      </c>
      <c r="H906" t="s">
        <v>577</v>
      </c>
      <c r="I906">
        <v>29300000</v>
      </c>
      <c r="J906" t="s">
        <v>451</v>
      </c>
      <c r="L906" t="str">
        <f>IFERROR(INDEX(Diccionario!$B:$B,MATCH(F906,Diccionario!$C:$C,0)),"")</f>
        <v>Contabilidad</v>
      </c>
      <c r="M906" t="str">
        <f>IFERROR(INDEX(Diccionario!$H:$H,MATCH(F906,Diccionario!$C:$C,0)),"")</f>
        <v>Contabilidad</v>
      </c>
      <c r="N906" t="str">
        <f>IFERROR(INDEX(Diccionario!$N:$N,MATCH(F906,Diccionario!$C:$C,0)),"")</f>
        <v>Mensual</v>
      </c>
    </row>
    <row r="907" spans="1:14" ht="14.25" customHeight="1" x14ac:dyDescent="0.3">
      <c r="A907" t="s">
        <v>538</v>
      </c>
      <c r="B907" t="s">
        <v>522</v>
      </c>
      <c r="C907" t="s">
        <v>523</v>
      </c>
      <c r="D907" t="s">
        <v>451</v>
      </c>
      <c r="E907" t="s">
        <v>524</v>
      </c>
      <c r="F907" t="s">
        <v>377</v>
      </c>
      <c r="H907" t="s">
        <v>568</v>
      </c>
      <c r="I907">
        <v>1500000</v>
      </c>
      <c r="J907" t="s">
        <v>451</v>
      </c>
      <c r="L907" t="str">
        <f>IFERROR(INDEX(Diccionario!$B:$B,MATCH(F907,Diccionario!$C:$C,0)),"")</f>
        <v>Contabilidad</v>
      </c>
      <c r="M907" t="str">
        <f>IFERROR(INDEX(Diccionario!$H:$H,MATCH(F907,Diccionario!$C:$C,0)),"")</f>
        <v>Contabilidad</v>
      </c>
      <c r="N907" t="str">
        <f>IFERROR(INDEX(Diccionario!$N:$N,MATCH(F907,Diccionario!$C:$C,0)),"")</f>
        <v>Mensual</v>
      </c>
    </row>
    <row r="908" spans="1:14" ht="14.25" customHeight="1" x14ac:dyDescent="0.3">
      <c r="A908" t="s">
        <v>538</v>
      </c>
      <c r="B908" t="s">
        <v>522</v>
      </c>
      <c r="C908" t="s">
        <v>523</v>
      </c>
      <c r="D908" t="s">
        <v>451</v>
      </c>
      <c r="E908" t="s">
        <v>524</v>
      </c>
      <c r="F908" t="s">
        <v>377</v>
      </c>
      <c r="H908" t="s">
        <v>569</v>
      </c>
      <c r="I908">
        <v>38400000</v>
      </c>
      <c r="J908" t="s">
        <v>451</v>
      </c>
      <c r="L908" t="str">
        <f>IFERROR(INDEX(Diccionario!$B:$B,MATCH(F908,Diccionario!$C:$C,0)),"")</f>
        <v>Contabilidad</v>
      </c>
      <c r="M908" t="str">
        <f>IFERROR(INDEX(Diccionario!$H:$H,MATCH(F908,Diccionario!$C:$C,0)),"")</f>
        <v>Contabilidad</v>
      </c>
      <c r="N908" t="str">
        <f>IFERROR(INDEX(Diccionario!$N:$N,MATCH(F908,Diccionario!$C:$C,0)),"")</f>
        <v>Mensual</v>
      </c>
    </row>
    <row r="909" spans="1:14" ht="14.25" customHeight="1" x14ac:dyDescent="0.3">
      <c r="A909" t="s">
        <v>538</v>
      </c>
      <c r="B909" t="s">
        <v>522</v>
      </c>
      <c r="C909" t="s">
        <v>523</v>
      </c>
      <c r="D909" t="s">
        <v>451</v>
      </c>
      <c r="E909" t="s">
        <v>524</v>
      </c>
      <c r="F909" t="s">
        <v>377</v>
      </c>
      <c r="H909" t="s">
        <v>570</v>
      </c>
      <c r="I909">
        <v>48100000</v>
      </c>
      <c r="J909" t="s">
        <v>451</v>
      </c>
      <c r="L909" t="str">
        <f>IFERROR(INDEX(Diccionario!$B:$B,MATCH(F909,Diccionario!$C:$C,0)),"")</f>
        <v>Contabilidad</v>
      </c>
      <c r="M909" t="str">
        <f>IFERROR(INDEX(Diccionario!$H:$H,MATCH(F909,Diccionario!$C:$C,0)),"")</f>
        <v>Contabilidad</v>
      </c>
      <c r="N909" t="str">
        <f>IFERROR(INDEX(Diccionario!$N:$N,MATCH(F909,Diccionario!$C:$C,0)),"")</f>
        <v>Mensual</v>
      </c>
    </row>
    <row r="910" spans="1:14" ht="14.25" customHeight="1" x14ac:dyDescent="0.3">
      <c r="A910" t="s">
        <v>538</v>
      </c>
      <c r="B910" t="s">
        <v>522</v>
      </c>
      <c r="C910" t="s">
        <v>523</v>
      </c>
      <c r="D910" t="s">
        <v>451</v>
      </c>
      <c r="E910" t="s">
        <v>524</v>
      </c>
      <c r="F910" t="s">
        <v>377</v>
      </c>
      <c r="H910" t="s">
        <v>571</v>
      </c>
      <c r="I910">
        <v>5800000</v>
      </c>
      <c r="J910" t="s">
        <v>451</v>
      </c>
      <c r="L910" t="str">
        <f>IFERROR(INDEX(Diccionario!$B:$B,MATCH(F910,Diccionario!$C:$C,0)),"")</f>
        <v>Contabilidad</v>
      </c>
      <c r="M910" t="str">
        <f>IFERROR(INDEX(Diccionario!$H:$H,MATCH(F910,Diccionario!$C:$C,0)),"")</f>
        <v>Contabilidad</v>
      </c>
      <c r="N910" t="str">
        <f>IFERROR(INDEX(Diccionario!$N:$N,MATCH(F910,Diccionario!$C:$C,0)),"")</f>
        <v>Mensual</v>
      </c>
    </row>
    <row r="911" spans="1:14" ht="14.25" customHeight="1" x14ac:dyDescent="0.3">
      <c r="A911" t="s">
        <v>539</v>
      </c>
      <c r="B911" t="s">
        <v>522</v>
      </c>
      <c r="C911" t="s">
        <v>523</v>
      </c>
      <c r="D911" t="s">
        <v>451</v>
      </c>
      <c r="E911" t="s">
        <v>524</v>
      </c>
      <c r="F911" t="s">
        <v>377</v>
      </c>
      <c r="H911" t="s">
        <v>565</v>
      </c>
      <c r="I911">
        <v>112400000</v>
      </c>
      <c r="J911" t="s">
        <v>451</v>
      </c>
      <c r="L911" t="str">
        <f>IFERROR(INDEX(Diccionario!$B:$B,MATCH(F911,Diccionario!$C:$C,0)),"")</f>
        <v>Contabilidad</v>
      </c>
      <c r="M911" t="str">
        <f>IFERROR(INDEX(Diccionario!$H:$H,MATCH(F911,Diccionario!$C:$C,0)),"")</f>
        <v>Contabilidad</v>
      </c>
      <c r="N911" t="str">
        <f>IFERROR(INDEX(Diccionario!$N:$N,MATCH(F911,Diccionario!$C:$C,0)),"")</f>
        <v>Mensual</v>
      </c>
    </row>
    <row r="912" spans="1:14" ht="14.25" customHeight="1" x14ac:dyDescent="0.3">
      <c r="A912" t="s">
        <v>539</v>
      </c>
      <c r="B912" t="s">
        <v>522</v>
      </c>
      <c r="C912" t="s">
        <v>523</v>
      </c>
      <c r="D912" t="s">
        <v>451</v>
      </c>
      <c r="E912" t="s">
        <v>524</v>
      </c>
      <c r="F912" t="s">
        <v>377</v>
      </c>
      <c r="H912" t="s">
        <v>577</v>
      </c>
      <c r="I912">
        <v>28800000</v>
      </c>
      <c r="J912" t="s">
        <v>451</v>
      </c>
      <c r="L912" t="str">
        <f>IFERROR(INDEX(Diccionario!$B:$B,MATCH(F912,Diccionario!$C:$C,0)),"")</f>
        <v>Contabilidad</v>
      </c>
      <c r="M912" t="str">
        <f>IFERROR(INDEX(Diccionario!$H:$H,MATCH(F912,Diccionario!$C:$C,0)),"")</f>
        <v>Contabilidad</v>
      </c>
      <c r="N912" t="str">
        <f>IFERROR(INDEX(Diccionario!$N:$N,MATCH(F912,Diccionario!$C:$C,0)),"")</f>
        <v>Mensual</v>
      </c>
    </row>
    <row r="913" spans="1:14" ht="14.25" customHeight="1" x14ac:dyDescent="0.3">
      <c r="A913" t="s">
        <v>539</v>
      </c>
      <c r="B913" t="s">
        <v>522</v>
      </c>
      <c r="C913" t="s">
        <v>523</v>
      </c>
      <c r="D913" t="s">
        <v>451</v>
      </c>
      <c r="E913" t="s">
        <v>524</v>
      </c>
      <c r="F913" t="s">
        <v>377</v>
      </c>
      <c r="H913" t="s">
        <v>568</v>
      </c>
      <c r="I913">
        <v>1600000</v>
      </c>
      <c r="J913" t="s">
        <v>451</v>
      </c>
      <c r="L913" t="str">
        <f>IFERROR(INDEX(Diccionario!$B:$B,MATCH(F913,Diccionario!$C:$C,0)),"")</f>
        <v>Contabilidad</v>
      </c>
      <c r="M913" t="str">
        <f>IFERROR(INDEX(Diccionario!$H:$H,MATCH(F913,Diccionario!$C:$C,0)),"")</f>
        <v>Contabilidad</v>
      </c>
      <c r="N913" t="str">
        <f>IFERROR(INDEX(Diccionario!$N:$N,MATCH(F913,Diccionario!$C:$C,0)),"")</f>
        <v>Mensual</v>
      </c>
    </row>
    <row r="914" spans="1:14" ht="14.25" customHeight="1" x14ac:dyDescent="0.3">
      <c r="A914" t="s">
        <v>539</v>
      </c>
      <c r="B914" t="s">
        <v>522</v>
      </c>
      <c r="C914" t="s">
        <v>523</v>
      </c>
      <c r="D914" t="s">
        <v>451</v>
      </c>
      <c r="E914" t="s">
        <v>524</v>
      </c>
      <c r="F914" t="s">
        <v>377</v>
      </c>
      <c r="H914" t="s">
        <v>569</v>
      </c>
      <c r="I914">
        <v>43100000</v>
      </c>
      <c r="J914" t="s">
        <v>451</v>
      </c>
      <c r="L914" t="str">
        <f>IFERROR(INDEX(Diccionario!$B:$B,MATCH(F914,Diccionario!$C:$C,0)),"")</f>
        <v>Contabilidad</v>
      </c>
      <c r="M914" t="str">
        <f>IFERROR(INDEX(Diccionario!$H:$H,MATCH(F914,Diccionario!$C:$C,0)),"")</f>
        <v>Contabilidad</v>
      </c>
      <c r="N914" t="str">
        <f>IFERROR(INDEX(Diccionario!$N:$N,MATCH(F914,Diccionario!$C:$C,0)),"")</f>
        <v>Mensual</v>
      </c>
    </row>
    <row r="915" spans="1:14" ht="14.25" customHeight="1" x14ac:dyDescent="0.3">
      <c r="A915" t="s">
        <v>539</v>
      </c>
      <c r="B915" t="s">
        <v>522</v>
      </c>
      <c r="C915" t="s">
        <v>523</v>
      </c>
      <c r="D915" t="s">
        <v>451</v>
      </c>
      <c r="E915" t="s">
        <v>524</v>
      </c>
      <c r="F915" t="s">
        <v>377</v>
      </c>
      <c r="H915" t="s">
        <v>570</v>
      </c>
      <c r="I915">
        <v>33200000</v>
      </c>
      <c r="J915" t="s">
        <v>451</v>
      </c>
      <c r="L915" t="str">
        <f>IFERROR(INDEX(Diccionario!$B:$B,MATCH(F915,Diccionario!$C:$C,0)),"")</f>
        <v>Contabilidad</v>
      </c>
      <c r="M915" t="str">
        <f>IFERROR(INDEX(Diccionario!$H:$H,MATCH(F915,Diccionario!$C:$C,0)),"")</f>
        <v>Contabilidad</v>
      </c>
      <c r="N915" t="str">
        <f>IFERROR(INDEX(Diccionario!$N:$N,MATCH(F915,Diccionario!$C:$C,0)),"")</f>
        <v>Mensual</v>
      </c>
    </row>
    <row r="916" spans="1:14" ht="14.25" customHeight="1" x14ac:dyDescent="0.3">
      <c r="A916" t="s">
        <v>539</v>
      </c>
      <c r="B916" t="s">
        <v>522</v>
      </c>
      <c r="C916" t="s">
        <v>523</v>
      </c>
      <c r="D916" t="s">
        <v>451</v>
      </c>
      <c r="E916" t="s">
        <v>524</v>
      </c>
      <c r="F916" t="s">
        <v>377</v>
      </c>
      <c r="H916" t="s">
        <v>571</v>
      </c>
      <c r="I916">
        <v>8300000</v>
      </c>
      <c r="J916" t="s">
        <v>451</v>
      </c>
      <c r="L916" t="str">
        <f>IFERROR(INDEX(Diccionario!$B:$B,MATCH(F916,Diccionario!$C:$C,0)),"")</f>
        <v>Contabilidad</v>
      </c>
      <c r="M916" t="str">
        <f>IFERROR(INDEX(Diccionario!$H:$H,MATCH(F916,Diccionario!$C:$C,0)),"")</f>
        <v>Contabilidad</v>
      </c>
      <c r="N916" t="str">
        <f>IFERROR(INDEX(Diccionario!$N:$N,MATCH(F916,Diccionario!$C:$C,0)),"")</f>
        <v>Mensual</v>
      </c>
    </row>
    <row r="917" spans="1:14" ht="14.25" customHeight="1" x14ac:dyDescent="0.3">
      <c r="A917" t="s">
        <v>540</v>
      </c>
      <c r="B917" t="s">
        <v>522</v>
      </c>
      <c r="C917" t="s">
        <v>523</v>
      </c>
      <c r="D917" t="s">
        <v>451</v>
      </c>
      <c r="E917" t="s">
        <v>524</v>
      </c>
      <c r="F917" t="s">
        <v>377</v>
      </c>
      <c r="H917" t="s">
        <v>565</v>
      </c>
      <c r="I917">
        <v>96200000</v>
      </c>
      <c r="J917" t="s">
        <v>451</v>
      </c>
      <c r="L917" t="str">
        <f>IFERROR(INDEX(Diccionario!$B:$B,MATCH(F917,Diccionario!$C:$C,0)),"")</f>
        <v>Contabilidad</v>
      </c>
      <c r="M917" t="str">
        <f>IFERROR(INDEX(Diccionario!$H:$H,MATCH(F917,Diccionario!$C:$C,0)),"")</f>
        <v>Contabilidad</v>
      </c>
      <c r="N917" t="str">
        <f>IFERROR(INDEX(Diccionario!$N:$N,MATCH(F917,Diccionario!$C:$C,0)),"")</f>
        <v>Mensual</v>
      </c>
    </row>
    <row r="918" spans="1:14" ht="14.25" customHeight="1" x14ac:dyDescent="0.3">
      <c r="A918" t="s">
        <v>540</v>
      </c>
      <c r="B918" t="s">
        <v>522</v>
      </c>
      <c r="C918" t="s">
        <v>523</v>
      </c>
      <c r="D918" t="s">
        <v>451</v>
      </c>
      <c r="E918" t="s">
        <v>524</v>
      </c>
      <c r="F918" t="s">
        <v>377</v>
      </c>
      <c r="H918" t="s">
        <v>577</v>
      </c>
      <c r="I918">
        <v>60000000</v>
      </c>
      <c r="J918" t="s">
        <v>451</v>
      </c>
      <c r="L918" t="str">
        <f>IFERROR(INDEX(Diccionario!$B:$B,MATCH(F918,Diccionario!$C:$C,0)),"")</f>
        <v>Contabilidad</v>
      </c>
      <c r="M918" t="str">
        <f>IFERROR(INDEX(Diccionario!$H:$H,MATCH(F918,Diccionario!$C:$C,0)),"")</f>
        <v>Contabilidad</v>
      </c>
      <c r="N918" t="str">
        <f>IFERROR(INDEX(Diccionario!$N:$N,MATCH(F918,Diccionario!$C:$C,0)),"")</f>
        <v>Mensual</v>
      </c>
    </row>
    <row r="919" spans="1:14" ht="14.25" customHeight="1" x14ac:dyDescent="0.3">
      <c r="A919" t="s">
        <v>540</v>
      </c>
      <c r="B919" t="s">
        <v>522</v>
      </c>
      <c r="C919" t="s">
        <v>523</v>
      </c>
      <c r="D919" t="s">
        <v>451</v>
      </c>
      <c r="E919" t="s">
        <v>524</v>
      </c>
      <c r="F919" t="s">
        <v>377</v>
      </c>
      <c r="H919" t="s">
        <v>568</v>
      </c>
      <c r="I919">
        <v>1500000</v>
      </c>
      <c r="J919" t="s">
        <v>451</v>
      </c>
      <c r="L919" t="str">
        <f>IFERROR(INDEX(Diccionario!$B:$B,MATCH(F919,Diccionario!$C:$C,0)),"")</f>
        <v>Contabilidad</v>
      </c>
      <c r="M919" t="str">
        <f>IFERROR(INDEX(Diccionario!$H:$H,MATCH(F919,Diccionario!$C:$C,0)),"")</f>
        <v>Contabilidad</v>
      </c>
      <c r="N919" t="str">
        <f>IFERROR(INDEX(Diccionario!$N:$N,MATCH(F919,Diccionario!$C:$C,0)),"")</f>
        <v>Mensual</v>
      </c>
    </row>
    <row r="920" spans="1:14" ht="14.25" customHeight="1" x14ac:dyDescent="0.3">
      <c r="A920" t="s">
        <v>540</v>
      </c>
      <c r="B920" t="s">
        <v>522</v>
      </c>
      <c r="C920" t="s">
        <v>523</v>
      </c>
      <c r="D920" t="s">
        <v>451</v>
      </c>
      <c r="E920" t="s">
        <v>524</v>
      </c>
      <c r="F920" t="s">
        <v>377</v>
      </c>
      <c r="H920" t="s">
        <v>569</v>
      </c>
      <c r="I920">
        <v>22000000</v>
      </c>
      <c r="J920" t="s">
        <v>451</v>
      </c>
      <c r="L920" t="str">
        <f>IFERROR(INDEX(Diccionario!$B:$B,MATCH(F920,Diccionario!$C:$C,0)),"")</f>
        <v>Contabilidad</v>
      </c>
      <c r="M920" t="str">
        <f>IFERROR(INDEX(Diccionario!$H:$H,MATCH(F920,Diccionario!$C:$C,0)),"")</f>
        <v>Contabilidad</v>
      </c>
      <c r="N920" t="str">
        <f>IFERROR(INDEX(Diccionario!$N:$N,MATCH(F920,Diccionario!$C:$C,0)),"")</f>
        <v>Mensual</v>
      </c>
    </row>
    <row r="921" spans="1:14" ht="14.25" customHeight="1" x14ac:dyDescent="0.3">
      <c r="A921" t="s">
        <v>540</v>
      </c>
      <c r="B921" t="s">
        <v>522</v>
      </c>
      <c r="C921" t="s">
        <v>523</v>
      </c>
      <c r="D921" t="s">
        <v>451</v>
      </c>
      <c r="E921" t="s">
        <v>524</v>
      </c>
      <c r="F921" t="s">
        <v>377</v>
      </c>
      <c r="H921" t="s">
        <v>570</v>
      </c>
      <c r="I921">
        <v>31600000</v>
      </c>
      <c r="J921" t="s">
        <v>451</v>
      </c>
      <c r="L921" t="str">
        <f>IFERROR(INDEX(Diccionario!$B:$B,MATCH(F921,Diccionario!$C:$C,0)),"")</f>
        <v>Contabilidad</v>
      </c>
      <c r="M921" t="str">
        <f>IFERROR(INDEX(Diccionario!$H:$H,MATCH(F921,Diccionario!$C:$C,0)),"")</f>
        <v>Contabilidad</v>
      </c>
      <c r="N921" t="str">
        <f>IFERROR(INDEX(Diccionario!$N:$N,MATCH(F921,Diccionario!$C:$C,0)),"")</f>
        <v>Mensual</v>
      </c>
    </row>
    <row r="922" spans="1:14" ht="14.25" customHeight="1" x14ac:dyDescent="0.3">
      <c r="A922" t="s">
        <v>540</v>
      </c>
      <c r="B922" t="s">
        <v>522</v>
      </c>
      <c r="C922" t="s">
        <v>523</v>
      </c>
      <c r="D922" t="s">
        <v>451</v>
      </c>
      <c r="E922" t="s">
        <v>524</v>
      </c>
      <c r="F922" t="s">
        <v>377</v>
      </c>
      <c r="H922" t="s">
        <v>571</v>
      </c>
      <c r="I922">
        <v>17500000</v>
      </c>
      <c r="J922" t="s">
        <v>451</v>
      </c>
      <c r="L922" t="str">
        <f>IFERROR(INDEX(Diccionario!$B:$B,MATCH(F922,Diccionario!$C:$C,0)),"")</f>
        <v>Contabilidad</v>
      </c>
      <c r="M922" t="str">
        <f>IFERROR(INDEX(Diccionario!$H:$H,MATCH(F922,Diccionario!$C:$C,0)),"")</f>
        <v>Contabilidad</v>
      </c>
      <c r="N922" t="str">
        <f>IFERROR(INDEX(Diccionario!$N:$N,MATCH(F922,Diccionario!$C:$C,0)),"")</f>
        <v>Mensual</v>
      </c>
    </row>
    <row r="923" spans="1:14" ht="14.25" customHeight="1" x14ac:dyDescent="0.3">
      <c r="A923" t="s">
        <v>541</v>
      </c>
      <c r="B923" t="s">
        <v>522</v>
      </c>
      <c r="C923" t="s">
        <v>523</v>
      </c>
      <c r="D923" t="s">
        <v>451</v>
      </c>
      <c r="E923" t="s">
        <v>524</v>
      </c>
      <c r="F923" t="s">
        <v>377</v>
      </c>
      <c r="H923" t="s">
        <v>565</v>
      </c>
      <c r="I923">
        <v>103300000</v>
      </c>
      <c r="J923" t="s">
        <v>451</v>
      </c>
      <c r="L923" t="str">
        <f>IFERROR(INDEX(Diccionario!$B:$B,MATCH(F923,Diccionario!$C:$C,0)),"")</f>
        <v>Contabilidad</v>
      </c>
      <c r="M923" t="str">
        <f>IFERROR(INDEX(Diccionario!$H:$H,MATCH(F923,Diccionario!$C:$C,0)),"")</f>
        <v>Contabilidad</v>
      </c>
      <c r="N923" t="str">
        <f>IFERROR(INDEX(Diccionario!$N:$N,MATCH(F923,Diccionario!$C:$C,0)),"")</f>
        <v>Mensual</v>
      </c>
    </row>
    <row r="924" spans="1:14" ht="14.25" customHeight="1" x14ac:dyDescent="0.3">
      <c r="A924" t="s">
        <v>541</v>
      </c>
      <c r="B924" t="s">
        <v>522</v>
      </c>
      <c r="C924" t="s">
        <v>523</v>
      </c>
      <c r="D924" t="s">
        <v>451</v>
      </c>
      <c r="E924" t="s">
        <v>524</v>
      </c>
      <c r="F924" t="s">
        <v>377</v>
      </c>
      <c r="H924" t="s">
        <v>577</v>
      </c>
      <c r="I924">
        <v>45000000</v>
      </c>
      <c r="J924" t="s">
        <v>451</v>
      </c>
      <c r="L924" t="str">
        <f>IFERROR(INDEX(Diccionario!$B:$B,MATCH(F924,Diccionario!$C:$C,0)),"")</f>
        <v>Contabilidad</v>
      </c>
      <c r="M924" t="str">
        <f>IFERROR(INDEX(Diccionario!$H:$H,MATCH(F924,Diccionario!$C:$C,0)),"")</f>
        <v>Contabilidad</v>
      </c>
      <c r="N924" t="str">
        <f>IFERROR(INDEX(Diccionario!$N:$N,MATCH(F924,Diccionario!$C:$C,0)),"")</f>
        <v>Mensual</v>
      </c>
    </row>
    <row r="925" spans="1:14" ht="14.25" customHeight="1" x14ac:dyDescent="0.3">
      <c r="A925" t="s">
        <v>541</v>
      </c>
      <c r="B925" t="s">
        <v>522</v>
      </c>
      <c r="C925" t="s">
        <v>523</v>
      </c>
      <c r="D925" t="s">
        <v>451</v>
      </c>
      <c r="E925" t="s">
        <v>524</v>
      </c>
      <c r="F925" t="s">
        <v>377</v>
      </c>
      <c r="H925" t="s">
        <v>568</v>
      </c>
      <c r="I925">
        <v>0</v>
      </c>
      <c r="J925" t="s">
        <v>451</v>
      </c>
      <c r="L925" t="str">
        <f>IFERROR(INDEX(Diccionario!$B:$B,MATCH(F925,Diccionario!$C:$C,0)),"")</f>
        <v>Contabilidad</v>
      </c>
      <c r="M925" t="str">
        <f>IFERROR(INDEX(Diccionario!$H:$H,MATCH(F925,Diccionario!$C:$C,0)),"")</f>
        <v>Contabilidad</v>
      </c>
      <c r="N925" t="str">
        <f>IFERROR(INDEX(Diccionario!$N:$N,MATCH(F925,Diccionario!$C:$C,0)),"")</f>
        <v>Mensual</v>
      </c>
    </row>
    <row r="926" spans="1:14" ht="14.25" customHeight="1" x14ac:dyDescent="0.3">
      <c r="A926" t="s">
        <v>541</v>
      </c>
      <c r="B926" t="s">
        <v>522</v>
      </c>
      <c r="C926" t="s">
        <v>523</v>
      </c>
      <c r="D926" t="s">
        <v>451</v>
      </c>
      <c r="E926" t="s">
        <v>524</v>
      </c>
      <c r="F926" t="s">
        <v>377</v>
      </c>
      <c r="H926" t="s">
        <v>569</v>
      </c>
      <c r="I926">
        <v>9500000</v>
      </c>
      <c r="J926" t="s">
        <v>451</v>
      </c>
      <c r="L926" t="str">
        <f>IFERROR(INDEX(Diccionario!$B:$B,MATCH(F926,Diccionario!$C:$C,0)),"")</f>
        <v>Contabilidad</v>
      </c>
      <c r="M926" t="str">
        <f>IFERROR(INDEX(Diccionario!$H:$H,MATCH(F926,Diccionario!$C:$C,0)),"")</f>
        <v>Contabilidad</v>
      </c>
      <c r="N926" t="str">
        <f>IFERROR(INDEX(Diccionario!$N:$N,MATCH(F926,Diccionario!$C:$C,0)),"")</f>
        <v>Mensual</v>
      </c>
    </row>
    <row r="927" spans="1:14" ht="14.25" customHeight="1" x14ac:dyDescent="0.3">
      <c r="A927" t="s">
        <v>541</v>
      </c>
      <c r="B927" t="s">
        <v>522</v>
      </c>
      <c r="C927" t="s">
        <v>523</v>
      </c>
      <c r="D927" t="s">
        <v>451</v>
      </c>
      <c r="E927" t="s">
        <v>524</v>
      </c>
      <c r="F927" t="s">
        <v>377</v>
      </c>
      <c r="H927" t="s">
        <v>570</v>
      </c>
      <c r="I927">
        <v>25600000</v>
      </c>
      <c r="J927" t="s">
        <v>451</v>
      </c>
      <c r="L927" t="str">
        <f>IFERROR(INDEX(Diccionario!$B:$B,MATCH(F927,Diccionario!$C:$C,0)),"")</f>
        <v>Contabilidad</v>
      </c>
      <c r="M927" t="str">
        <f>IFERROR(INDEX(Diccionario!$H:$H,MATCH(F927,Diccionario!$C:$C,0)),"")</f>
        <v>Contabilidad</v>
      </c>
      <c r="N927" t="str">
        <f>IFERROR(INDEX(Diccionario!$N:$N,MATCH(F927,Diccionario!$C:$C,0)),"")</f>
        <v>Mensual</v>
      </c>
    </row>
    <row r="928" spans="1:14" ht="14.25" customHeight="1" x14ac:dyDescent="0.3">
      <c r="A928" t="s">
        <v>541</v>
      </c>
      <c r="B928" t="s">
        <v>522</v>
      </c>
      <c r="C928" t="s">
        <v>523</v>
      </c>
      <c r="D928" t="s">
        <v>451</v>
      </c>
      <c r="E928" t="s">
        <v>524</v>
      </c>
      <c r="F928" t="s">
        <v>377</v>
      </c>
      <c r="H928" t="s">
        <v>571</v>
      </c>
      <c r="I928">
        <v>9900000</v>
      </c>
      <c r="J928" t="s">
        <v>451</v>
      </c>
      <c r="L928" t="str">
        <f>IFERROR(INDEX(Diccionario!$B:$B,MATCH(F928,Diccionario!$C:$C,0)),"")</f>
        <v>Contabilidad</v>
      </c>
      <c r="M928" t="str">
        <f>IFERROR(INDEX(Diccionario!$H:$H,MATCH(F928,Diccionario!$C:$C,0)),"")</f>
        <v>Contabilidad</v>
      </c>
      <c r="N928" t="str">
        <f>IFERROR(INDEX(Diccionario!$N:$N,MATCH(F928,Diccionario!$C:$C,0)),"")</f>
        <v>Mensual</v>
      </c>
    </row>
    <row r="929" spans="1:14" ht="14.25" customHeight="1" x14ac:dyDescent="0.3">
      <c r="A929" t="s">
        <v>542</v>
      </c>
      <c r="B929" t="s">
        <v>522</v>
      </c>
      <c r="C929" t="s">
        <v>523</v>
      </c>
      <c r="D929" t="s">
        <v>451</v>
      </c>
      <c r="E929" t="s">
        <v>524</v>
      </c>
      <c r="F929" t="s">
        <v>377</v>
      </c>
      <c r="H929" t="s">
        <v>565</v>
      </c>
      <c r="I929">
        <v>105800000</v>
      </c>
      <c r="J929" t="s">
        <v>451</v>
      </c>
      <c r="L929" t="str">
        <f>IFERROR(INDEX(Diccionario!$B:$B,MATCH(F929,Diccionario!$C:$C,0)),"")</f>
        <v>Contabilidad</v>
      </c>
      <c r="M929" t="str">
        <f>IFERROR(INDEX(Diccionario!$H:$H,MATCH(F929,Diccionario!$C:$C,0)),"")</f>
        <v>Contabilidad</v>
      </c>
      <c r="N929" t="str">
        <f>IFERROR(INDEX(Diccionario!$N:$N,MATCH(F929,Diccionario!$C:$C,0)),"")</f>
        <v>Mensual</v>
      </c>
    </row>
    <row r="930" spans="1:14" ht="14.25" customHeight="1" x14ac:dyDescent="0.3">
      <c r="A930" t="s">
        <v>542</v>
      </c>
      <c r="B930" t="s">
        <v>522</v>
      </c>
      <c r="C930" t="s">
        <v>523</v>
      </c>
      <c r="D930" t="s">
        <v>451</v>
      </c>
      <c r="E930" t="s">
        <v>524</v>
      </c>
      <c r="F930" t="s">
        <v>377</v>
      </c>
      <c r="H930" t="s">
        <v>577</v>
      </c>
      <c r="I930">
        <v>39961000</v>
      </c>
      <c r="J930" t="s">
        <v>451</v>
      </c>
      <c r="L930" t="str">
        <f>IFERROR(INDEX(Diccionario!$B:$B,MATCH(F930,Diccionario!$C:$C,0)),"")</f>
        <v>Contabilidad</v>
      </c>
      <c r="M930" t="str">
        <f>IFERROR(INDEX(Diccionario!$H:$H,MATCH(F930,Diccionario!$C:$C,0)),"")</f>
        <v>Contabilidad</v>
      </c>
      <c r="N930" t="str">
        <f>IFERROR(INDEX(Diccionario!$N:$N,MATCH(F930,Diccionario!$C:$C,0)),"")</f>
        <v>Mensual</v>
      </c>
    </row>
    <row r="931" spans="1:14" ht="14.25" customHeight="1" x14ac:dyDescent="0.3">
      <c r="A931" t="s">
        <v>542</v>
      </c>
      <c r="B931" t="s">
        <v>522</v>
      </c>
      <c r="C931" t="s">
        <v>523</v>
      </c>
      <c r="D931" t="s">
        <v>451</v>
      </c>
      <c r="E931" t="s">
        <v>524</v>
      </c>
      <c r="F931" t="s">
        <v>377</v>
      </c>
      <c r="H931" t="s">
        <v>568</v>
      </c>
      <c r="I931">
        <v>0</v>
      </c>
      <c r="J931" t="s">
        <v>451</v>
      </c>
      <c r="L931" t="str">
        <f>IFERROR(INDEX(Diccionario!$B:$B,MATCH(F931,Diccionario!$C:$C,0)),"")</f>
        <v>Contabilidad</v>
      </c>
      <c r="M931" t="str">
        <f>IFERROR(INDEX(Diccionario!$H:$H,MATCH(F931,Diccionario!$C:$C,0)),"")</f>
        <v>Contabilidad</v>
      </c>
      <c r="N931" t="str">
        <f>IFERROR(INDEX(Diccionario!$N:$N,MATCH(F931,Diccionario!$C:$C,0)),"")</f>
        <v>Mensual</v>
      </c>
    </row>
    <row r="932" spans="1:14" ht="14.25" customHeight="1" x14ac:dyDescent="0.3">
      <c r="A932" t="s">
        <v>542</v>
      </c>
      <c r="B932" t="s">
        <v>522</v>
      </c>
      <c r="C932" t="s">
        <v>523</v>
      </c>
      <c r="D932" t="s">
        <v>451</v>
      </c>
      <c r="E932" t="s">
        <v>524</v>
      </c>
      <c r="F932" t="s">
        <v>377</v>
      </c>
      <c r="H932" t="s">
        <v>569</v>
      </c>
      <c r="I932">
        <v>26300000</v>
      </c>
      <c r="J932" t="s">
        <v>451</v>
      </c>
      <c r="L932" t="str">
        <f>IFERROR(INDEX(Diccionario!$B:$B,MATCH(F932,Diccionario!$C:$C,0)),"")</f>
        <v>Contabilidad</v>
      </c>
      <c r="M932" t="str">
        <f>IFERROR(INDEX(Diccionario!$H:$H,MATCH(F932,Diccionario!$C:$C,0)),"")</f>
        <v>Contabilidad</v>
      </c>
      <c r="N932" t="str">
        <f>IFERROR(INDEX(Diccionario!$N:$N,MATCH(F932,Diccionario!$C:$C,0)),"")</f>
        <v>Mensual</v>
      </c>
    </row>
    <row r="933" spans="1:14" ht="14.25" customHeight="1" x14ac:dyDescent="0.3">
      <c r="A933" t="s">
        <v>542</v>
      </c>
      <c r="B933" t="s">
        <v>522</v>
      </c>
      <c r="C933" t="s">
        <v>523</v>
      </c>
      <c r="D933" t="s">
        <v>451</v>
      </c>
      <c r="E933" t="s">
        <v>524</v>
      </c>
      <c r="F933" t="s">
        <v>377</v>
      </c>
      <c r="H933" t="s">
        <v>570</v>
      </c>
      <c r="I933">
        <v>44990000</v>
      </c>
      <c r="J933" t="s">
        <v>451</v>
      </c>
      <c r="L933" t="str">
        <f>IFERROR(INDEX(Diccionario!$B:$B,MATCH(F933,Diccionario!$C:$C,0)),"")</f>
        <v>Contabilidad</v>
      </c>
      <c r="M933" t="str">
        <f>IFERROR(INDEX(Diccionario!$H:$H,MATCH(F933,Diccionario!$C:$C,0)),"")</f>
        <v>Contabilidad</v>
      </c>
      <c r="N933" t="str">
        <f>IFERROR(INDEX(Diccionario!$N:$N,MATCH(F933,Diccionario!$C:$C,0)),"")</f>
        <v>Mensual</v>
      </c>
    </row>
    <row r="934" spans="1:14" ht="14.25" customHeight="1" x14ac:dyDescent="0.3">
      <c r="A934" t="s">
        <v>542</v>
      </c>
      <c r="B934" t="s">
        <v>522</v>
      </c>
      <c r="C934" t="s">
        <v>523</v>
      </c>
      <c r="D934" t="s">
        <v>451</v>
      </c>
      <c r="E934" t="s">
        <v>524</v>
      </c>
      <c r="F934" t="s">
        <v>377</v>
      </c>
      <c r="H934" t="s">
        <v>571</v>
      </c>
      <c r="I934">
        <v>8800000</v>
      </c>
      <c r="J934" t="s">
        <v>451</v>
      </c>
      <c r="L934" t="str">
        <f>IFERROR(INDEX(Diccionario!$B:$B,MATCH(F934,Diccionario!$C:$C,0)),"")</f>
        <v>Contabilidad</v>
      </c>
      <c r="M934" t="str">
        <f>IFERROR(INDEX(Diccionario!$H:$H,MATCH(F934,Diccionario!$C:$C,0)),"")</f>
        <v>Contabilidad</v>
      </c>
      <c r="N934" t="str">
        <f>IFERROR(INDEX(Diccionario!$N:$N,MATCH(F934,Diccionario!$C:$C,0)),"")</f>
        <v>Mensual</v>
      </c>
    </row>
    <row r="935" spans="1:14" ht="14.25" customHeight="1" x14ac:dyDescent="0.3">
      <c r="A935" t="s">
        <v>543</v>
      </c>
      <c r="B935" t="s">
        <v>522</v>
      </c>
      <c r="C935" t="s">
        <v>523</v>
      </c>
      <c r="D935" t="s">
        <v>451</v>
      </c>
      <c r="E935" t="s">
        <v>524</v>
      </c>
      <c r="F935" t="s">
        <v>377</v>
      </c>
      <c r="H935" t="s">
        <v>565</v>
      </c>
      <c r="I935">
        <v>91900000</v>
      </c>
      <c r="J935" t="s">
        <v>451</v>
      </c>
      <c r="L935" t="str">
        <f>IFERROR(INDEX(Diccionario!$B:$B,MATCH(F935,Diccionario!$C:$C,0)),"")</f>
        <v>Contabilidad</v>
      </c>
      <c r="M935" t="str">
        <f>IFERROR(INDEX(Diccionario!$H:$H,MATCH(F935,Diccionario!$C:$C,0)),"")</f>
        <v>Contabilidad</v>
      </c>
      <c r="N935" t="str">
        <f>IFERROR(INDEX(Diccionario!$N:$N,MATCH(F935,Diccionario!$C:$C,0)),"")</f>
        <v>Mensual</v>
      </c>
    </row>
    <row r="936" spans="1:14" ht="14.25" customHeight="1" x14ac:dyDescent="0.3">
      <c r="A936" t="s">
        <v>543</v>
      </c>
      <c r="B936" t="s">
        <v>522</v>
      </c>
      <c r="C936" t="s">
        <v>523</v>
      </c>
      <c r="D936" t="s">
        <v>451</v>
      </c>
      <c r="E936" t="s">
        <v>524</v>
      </c>
      <c r="F936" t="s">
        <v>377</v>
      </c>
      <c r="H936" t="s">
        <v>577</v>
      </c>
      <c r="I936">
        <v>54765000</v>
      </c>
      <c r="J936" t="s">
        <v>451</v>
      </c>
      <c r="L936" t="str">
        <f>IFERROR(INDEX(Diccionario!$B:$B,MATCH(F936,Diccionario!$C:$C,0)),"")</f>
        <v>Contabilidad</v>
      </c>
      <c r="M936" t="str">
        <f>IFERROR(INDEX(Diccionario!$H:$H,MATCH(F936,Diccionario!$C:$C,0)),"")</f>
        <v>Contabilidad</v>
      </c>
      <c r="N936" t="str">
        <f>IFERROR(INDEX(Diccionario!$N:$N,MATCH(F936,Diccionario!$C:$C,0)),"")</f>
        <v>Mensual</v>
      </c>
    </row>
    <row r="937" spans="1:14" ht="14.25" customHeight="1" x14ac:dyDescent="0.3">
      <c r="A937" t="s">
        <v>543</v>
      </c>
      <c r="B937" t="s">
        <v>522</v>
      </c>
      <c r="C937" t="s">
        <v>523</v>
      </c>
      <c r="D937" t="s">
        <v>451</v>
      </c>
      <c r="E937" t="s">
        <v>524</v>
      </c>
      <c r="F937" t="s">
        <v>377</v>
      </c>
      <c r="H937" t="s">
        <v>568</v>
      </c>
      <c r="I937">
        <v>300000</v>
      </c>
      <c r="J937" t="s">
        <v>451</v>
      </c>
      <c r="L937" t="str">
        <f>IFERROR(INDEX(Diccionario!$B:$B,MATCH(F937,Diccionario!$C:$C,0)),"")</f>
        <v>Contabilidad</v>
      </c>
      <c r="M937" t="str">
        <f>IFERROR(INDEX(Diccionario!$H:$H,MATCH(F937,Diccionario!$C:$C,0)),"")</f>
        <v>Contabilidad</v>
      </c>
      <c r="N937" t="str">
        <f>IFERROR(INDEX(Diccionario!$N:$N,MATCH(F937,Diccionario!$C:$C,0)),"")</f>
        <v>Mensual</v>
      </c>
    </row>
    <row r="938" spans="1:14" ht="14.25" customHeight="1" x14ac:dyDescent="0.3">
      <c r="A938" t="s">
        <v>543</v>
      </c>
      <c r="B938" t="s">
        <v>522</v>
      </c>
      <c r="C938" t="s">
        <v>523</v>
      </c>
      <c r="D938" t="s">
        <v>451</v>
      </c>
      <c r="E938" t="s">
        <v>524</v>
      </c>
      <c r="F938" t="s">
        <v>377</v>
      </c>
      <c r="H938" t="s">
        <v>569</v>
      </c>
      <c r="I938">
        <v>58200000</v>
      </c>
      <c r="J938" t="s">
        <v>451</v>
      </c>
      <c r="L938" t="str">
        <f>IFERROR(INDEX(Diccionario!$B:$B,MATCH(F938,Diccionario!$C:$C,0)),"")</f>
        <v>Contabilidad</v>
      </c>
      <c r="M938" t="str">
        <f>IFERROR(INDEX(Diccionario!$H:$H,MATCH(F938,Diccionario!$C:$C,0)),"")</f>
        <v>Contabilidad</v>
      </c>
      <c r="N938" t="str">
        <f>IFERROR(INDEX(Diccionario!$N:$N,MATCH(F938,Diccionario!$C:$C,0)),"")</f>
        <v>Mensual</v>
      </c>
    </row>
    <row r="939" spans="1:14" ht="14.25" customHeight="1" x14ac:dyDescent="0.3">
      <c r="A939" t="s">
        <v>543</v>
      </c>
      <c r="B939" t="s">
        <v>522</v>
      </c>
      <c r="C939" t="s">
        <v>523</v>
      </c>
      <c r="D939" t="s">
        <v>451</v>
      </c>
      <c r="E939" t="s">
        <v>524</v>
      </c>
      <c r="F939" t="s">
        <v>377</v>
      </c>
      <c r="H939" t="s">
        <v>570</v>
      </c>
      <c r="I939">
        <v>23400000</v>
      </c>
      <c r="J939" t="s">
        <v>451</v>
      </c>
      <c r="L939" t="str">
        <f>IFERROR(INDEX(Diccionario!$B:$B,MATCH(F939,Diccionario!$C:$C,0)),"")</f>
        <v>Contabilidad</v>
      </c>
      <c r="M939" t="str">
        <f>IFERROR(INDEX(Diccionario!$H:$H,MATCH(F939,Diccionario!$C:$C,0)),"")</f>
        <v>Contabilidad</v>
      </c>
      <c r="N939" t="str">
        <f>IFERROR(INDEX(Diccionario!$N:$N,MATCH(F939,Diccionario!$C:$C,0)),"")</f>
        <v>Mensual</v>
      </c>
    </row>
    <row r="940" spans="1:14" ht="14.25" customHeight="1" x14ac:dyDescent="0.3">
      <c r="A940" t="s">
        <v>543</v>
      </c>
      <c r="B940" t="s">
        <v>522</v>
      </c>
      <c r="C940" t="s">
        <v>523</v>
      </c>
      <c r="D940" t="s">
        <v>451</v>
      </c>
      <c r="E940" t="s">
        <v>524</v>
      </c>
      <c r="F940" t="s">
        <v>377</v>
      </c>
      <c r="H940" t="s">
        <v>571</v>
      </c>
      <c r="I940">
        <v>11100000</v>
      </c>
      <c r="J940" t="s">
        <v>451</v>
      </c>
      <c r="L940" t="str">
        <f>IFERROR(INDEX(Diccionario!$B:$B,MATCH(F940,Diccionario!$C:$C,0)),"")</f>
        <v>Contabilidad</v>
      </c>
      <c r="M940" t="str">
        <f>IFERROR(INDEX(Diccionario!$H:$H,MATCH(F940,Diccionario!$C:$C,0)),"")</f>
        <v>Contabilidad</v>
      </c>
      <c r="N940" t="str">
        <f>IFERROR(INDEX(Diccionario!$N:$N,MATCH(F940,Diccionario!$C:$C,0)),"")</f>
        <v>Mensual</v>
      </c>
    </row>
    <row r="941" spans="1:14" ht="14.25" customHeight="1" x14ac:dyDescent="0.3">
      <c r="A941" t="s">
        <v>544</v>
      </c>
      <c r="B941" t="s">
        <v>522</v>
      </c>
      <c r="C941" t="s">
        <v>523</v>
      </c>
      <c r="D941" t="s">
        <v>451</v>
      </c>
      <c r="E941" t="s">
        <v>524</v>
      </c>
      <c r="F941" t="s">
        <v>377</v>
      </c>
      <c r="H941" t="s">
        <v>565</v>
      </c>
      <c r="I941">
        <v>77100000</v>
      </c>
      <c r="J941" t="s">
        <v>451</v>
      </c>
      <c r="L941" t="str">
        <f>IFERROR(INDEX(Diccionario!$B:$B,MATCH(F941,Diccionario!$C:$C,0)),"")</f>
        <v>Contabilidad</v>
      </c>
      <c r="M941" t="str">
        <f>IFERROR(INDEX(Diccionario!$H:$H,MATCH(F941,Diccionario!$C:$C,0)),"")</f>
        <v>Contabilidad</v>
      </c>
      <c r="N941" t="str">
        <f>IFERROR(INDEX(Diccionario!$N:$N,MATCH(F941,Diccionario!$C:$C,0)),"")</f>
        <v>Mensual</v>
      </c>
    </row>
    <row r="942" spans="1:14" ht="14.25" customHeight="1" x14ac:dyDescent="0.3">
      <c r="A942" t="s">
        <v>544</v>
      </c>
      <c r="B942" t="s">
        <v>522</v>
      </c>
      <c r="C942" t="s">
        <v>523</v>
      </c>
      <c r="D942" t="s">
        <v>451</v>
      </c>
      <c r="E942" t="s">
        <v>524</v>
      </c>
      <c r="F942" t="s">
        <v>377</v>
      </c>
      <c r="H942" t="s">
        <v>577</v>
      </c>
      <c r="I942">
        <v>24700000</v>
      </c>
      <c r="J942" t="s">
        <v>451</v>
      </c>
      <c r="L942" t="str">
        <f>IFERROR(INDEX(Diccionario!$B:$B,MATCH(F942,Diccionario!$C:$C,0)),"")</f>
        <v>Contabilidad</v>
      </c>
      <c r="M942" t="str">
        <f>IFERROR(INDEX(Diccionario!$H:$H,MATCH(F942,Diccionario!$C:$C,0)),"")</f>
        <v>Contabilidad</v>
      </c>
      <c r="N942" t="str">
        <f>IFERROR(INDEX(Diccionario!$N:$N,MATCH(F942,Diccionario!$C:$C,0)),"")</f>
        <v>Mensual</v>
      </c>
    </row>
    <row r="943" spans="1:14" ht="14.25" customHeight="1" x14ac:dyDescent="0.3">
      <c r="A943" t="s">
        <v>544</v>
      </c>
      <c r="B943" t="s">
        <v>522</v>
      </c>
      <c r="C943" t="s">
        <v>523</v>
      </c>
      <c r="D943" t="s">
        <v>451</v>
      </c>
      <c r="E943" t="s">
        <v>524</v>
      </c>
      <c r="F943" t="s">
        <v>377</v>
      </c>
      <c r="H943" t="s">
        <v>568</v>
      </c>
      <c r="I943">
        <v>0</v>
      </c>
      <c r="J943" t="s">
        <v>451</v>
      </c>
      <c r="L943" t="str">
        <f>IFERROR(INDEX(Diccionario!$B:$B,MATCH(F943,Diccionario!$C:$C,0)),"")</f>
        <v>Contabilidad</v>
      </c>
      <c r="M943" t="str">
        <f>IFERROR(INDEX(Diccionario!$H:$H,MATCH(F943,Diccionario!$C:$C,0)),"")</f>
        <v>Contabilidad</v>
      </c>
      <c r="N943" t="str">
        <f>IFERROR(INDEX(Diccionario!$N:$N,MATCH(F943,Diccionario!$C:$C,0)),"")</f>
        <v>Mensual</v>
      </c>
    </row>
    <row r="944" spans="1:14" ht="14.25" customHeight="1" x14ac:dyDescent="0.3">
      <c r="A944" t="s">
        <v>544</v>
      </c>
      <c r="B944" t="s">
        <v>522</v>
      </c>
      <c r="C944" t="s">
        <v>523</v>
      </c>
      <c r="D944" t="s">
        <v>451</v>
      </c>
      <c r="E944" t="s">
        <v>524</v>
      </c>
      <c r="F944" t="s">
        <v>377</v>
      </c>
      <c r="H944" t="s">
        <v>569</v>
      </c>
      <c r="I944">
        <v>33200000</v>
      </c>
      <c r="J944" t="s">
        <v>451</v>
      </c>
      <c r="L944" t="str">
        <f>IFERROR(INDEX(Diccionario!$B:$B,MATCH(F944,Diccionario!$C:$C,0)),"")</f>
        <v>Contabilidad</v>
      </c>
      <c r="M944" t="str">
        <f>IFERROR(INDEX(Diccionario!$H:$H,MATCH(F944,Diccionario!$C:$C,0)),"")</f>
        <v>Contabilidad</v>
      </c>
      <c r="N944" t="str">
        <f>IFERROR(INDEX(Diccionario!$N:$N,MATCH(F944,Diccionario!$C:$C,0)),"")</f>
        <v>Mensual</v>
      </c>
    </row>
    <row r="945" spans="1:14" ht="14.25" customHeight="1" x14ac:dyDescent="0.3">
      <c r="A945" t="s">
        <v>544</v>
      </c>
      <c r="B945" t="s">
        <v>522</v>
      </c>
      <c r="C945" t="s">
        <v>523</v>
      </c>
      <c r="D945" t="s">
        <v>451</v>
      </c>
      <c r="E945" t="s">
        <v>524</v>
      </c>
      <c r="F945" t="s">
        <v>377</v>
      </c>
      <c r="H945" t="s">
        <v>570</v>
      </c>
      <c r="I945">
        <v>26700000</v>
      </c>
      <c r="J945" t="s">
        <v>451</v>
      </c>
      <c r="L945" t="str">
        <f>IFERROR(INDEX(Diccionario!$B:$B,MATCH(F945,Diccionario!$C:$C,0)),"")</f>
        <v>Contabilidad</v>
      </c>
      <c r="M945" t="str">
        <f>IFERROR(INDEX(Diccionario!$H:$H,MATCH(F945,Diccionario!$C:$C,0)),"")</f>
        <v>Contabilidad</v>
      </c>
      <c r="N945" t="str">
        <f>IFERROR(INDEX(Diccionario!$N:$N,MATCH(F945,Diccionario!$C:$C,0)),"")</f>
        <v>Mensual</v>
      </c>
    </row>
    <row r="946" spans="1:14" ht="14.25" customHeight="1" x14ac:dyDescent="0.3">
      <c r="A946" t="s">
        <v>544</v>
      </c>
      <c r="B946" t="s">
        <v>522</v>
      </c>
      <c r="C946" t="s">
        <v>523</v>
      </c>
      <c r="D946" t="s">
        <v>451</v>
      </c>
      <c r="E946" t="s">
        <v>524</v>
      </c>
      <c r="F946" t="s">
        <v>377</v>
      </c>
      <c r="H946" t="s">
        <v>571</v>
      </c>
      <c r="I946">
        <v>7600000</v>
      </c>
      <c r="J946" t="s">
        <v>451</v>
      </c>
      <c r="L946" t="str">
        <f>IFERROR(INDEX(Diccionario!$B:$B,MATCH(F946,Diccionario!$C:$C,0)),"")</f>
        <v>Contabilidad</v>
      </c>
      <c r="M946" t="str">
        <f>IFERROR(INDEX(Diccionario!$H:$H,MATCH(F946,Diccionario!$C:$C,0)),"")</f>
        <v>Contabilidad</v>
      </c>
      <c r="N946" t="str">
        <f>IFERROR(INDEX(Diccionario!$N:$N,MATCH(F946,Diccionario!$C:$C,0)),"")</f>
        <v>Mensual</v>
      </c>
    </row>
    <row r="947" spans="1:14" ht="14.25" customHeight="1" x14ac:dyDescent="0.3">
      <c r="A947" t="s">
        <v>545</v>
      </c>
      <c r="B947" t="s">
        <v>522</v>
      </c>
      <c r="C947" t="s">
        <v>523</v>
      </c>
      <c r="D947" t="s">
        <v>451</v>
      </c>
      <c r="E947" t="s">
        <v>524</v>
      </c>
      <c r="F947" t="s">
        <v>377</v>
      </c>
      <c r="H947" t="s">
        <v>565</v>
      </c>
      <c r="I947">
        <v>66220000</v>
      </c>
      <c r="J947" t="s">
        <v>451</v>
      </c>
      <c r="L947" t="str">
        <f>IFERROR(INDEX(Diccionario!$B:$B,MATCH(F947,Diccionario!$C:$C,0)),"")</f>
        <v>Contabilidad</v>
      </c>
      <c r="M947" t="str">
        <f>IFERROR(INDEX(Diccionario!$H:$H,MATCH(F947,Diccionario!$C:$C,0)),"")</f>
        <v>Contabilidad</v>
      </c>
      <c r="N947" t="str">
        <f>IFERROR(INDEX(Diccionario!$N:$N,MATCH(F947,Diccionario!$C:$C,0)),"")</f>
        <v>Mensual</v>
      </c>
    </row>
    <row r="948" spans="1:14" ht="14.25" customHeight="1" x14ac:dyDescent="0.3">
      <c r="A948" t="s">
        <v>545</v>
      </c>
      <c r="B948" t="s">
        <v>522</v>
      </c>
      <c r="C948" t="s">
        <v>523</v>
      </c>
      <c r="D948" t="s">
        <v>451</v>
      </c>
      <c r="E948" t="s">
        <v>524</v>
      </c>
      <c r="F948" t="s">
        <v>377</v>
      </c>
      <c r="H948" t="s">
        <v>577</v>
      </c>
      <c r="I948">
        <v>38000000</v>
      </c>
      <c r="J948" t="s">
        <v>451</v>
      </c>
      <c r="L948" t="str">
        <f>IFERROR(INDEX(Diccionario!$B:$B,MATCH(F948,Diccionario!$C:$C,0)),"")</f>
        <v>Contabilidad</v>
      </c>
      <c r="M948" t="str">
        <f>IFERROR(INDEX(Diccionario!$H:$H,MATCH(F948,Diccionario!$C:$C,0)),"")</f>
        <v>Contabilidad</v>
      </c>
      <c r="N948" t="str">
        <f>IFERROR(INDEX(Diccionario!$N:$N,MATCH(F948,Diccionario!$C:$C,0)),"")</f>
        <v>Mensual</v>
      </c>
    </row>
    <row r="949" spans="1:14" ht="14.25" customHeight="1" x14ac:dyDescent="0.3">
      <c r="A949" t="s">
        <v>545</v>
      </c>
      <c r="B949" t="s">
        <v>522</v>
      </c>
      <c r="C949" t="s">
        <v>523</v>
      </c>
      <c r="D949" t="s">
        <v>451</v>
      </c>
      <c r="E949" t="s">
        <v>524</v>
      </c>
      <c r="F949" t="s">
        <v>377</v>
      </c>
      <c r="H949" t="s">
        <v>568</v>
      </c>
      <c r="I949">
        <v>1900000</v>
      </c>
      <c r="J949" t="s">
        <v>451</v>
      </c>
      <c r="L949" t="str">
        <f>IFERROR(INDEX(Diccionario!$B:$B,MATCH(F949,Diccionario!$C:$C,0)),"")</f>
        <v>Contabilidad</v>
      </c>
      <c r="M949" t="str">
        <f>IFERROR(INDEX(Diccionario!$H:$H,MATCH(F949,Diccionario!$C:$C,0)),"")</f>
        <v>Contabilidad</v>
      </c>
      <c r="N949" t="str">
        <f>IFERROR(INDEX(Diccionario!$N:$N,MATCH(F949,Diccionario!$C:$C,0)),"")</f>
        <v>Mensual</v>
      </c>
    </row>
    <row r="950" spans="1:14" ht="14.25" customHeight="1" x14ac:dyDescent="0.3">
      <c r="A950" t="s">
        <v>545</v>
      </c>
      <c r="B950" t="s">
        <v>522</v>
      </c>
      <c r="C950" t="s">
        <v>523</v>
      </c>
      <c r="D950" t="s">
        <v>451</v>
      </c>
      <c r="E950" t="s">
        <v>524</v>
      </c>
      <c r="F950" t="s">
        <v>377</v>
      </c>
      <c r="H950" t="s">
        <v>569</v>
      </c>
      <c r="I950">
        <v>52800000</v>
      </c>
      <c r="J950" t="s">
        <v>451</v>
      </c>
      <c r="L950" t="str">
        <f>IFERROR(INDEX(Diccionario!$B:$B,MATCH(F950,Diccionario!$C:$C,0)),"")</f>
        <v>Contabilidad</v>
      </c>
      <c r="M950" t="str">
        <f>IFERROR(INDEX(Diccionario!$H:$H,MATCH(F950,Diccionario!$C:$C,0)),"")</f>
        <v>Contabilidad</v>
      </c>
      <c r="N950" t="str">
        <f>IFERROR(INDEX(Diccionario!$N:$N,MATCH(F950,Diccionario!$C:$C,0)),"")</f>
        <v>Mensual</v>
      </c>
    </row>
    <row r="951" spans="1:14" ht="14.25" customHeight="1" x14ac:dyDescent="0.3">
      <c r="A951" t="s">
        <v>545</v>
      </c>
      <c r="B951" t="s">
        <v>522</v>
      </c>
      <c r="C951" t="s">
        <v>523</v>
      </c>
      <c r="D951" t="s">
        <v>451</v>
      </c>
      <c r="E951" t="s">
        <v>524</v>
      </c>
      <c r="F951" t="s">
        <v>377</v>
      </c>
      <c r="H951" t="s">
        <v>570</v>
      </c>
      <c r="I951">
        <v>19100000</v>
      </c>
      <c r="J951" t="s">
        <v>451</v>
      </c>
      <c r="L951" t="str">
        <f>IFERROR(INDEX(Diccionario!$B:$B,MATCH(F951,Diccionario!$C:$C,0)),"")</f>
        <v>Contabilidad</v>
      </c>
      <c r="M951" t="str">
        <f>IFERROR(INDEX(Diccionario!$H:$H,MATCH(F951,Diccionario!$C:$C,0)),"")</f>
        <v>Contabilidad</v>
      </c>
      <c r="N951" t="str">
        <f>IFERROR(INDEX(Diccionario!$N:$N,MATCH(F951,Diccionario!$C:$C,0)),"")</f>
        <v>Mensual</v>
      </c>
    </row>
    <row r="952" spans="1:14" ht="14.25" customHeight="1" x14ac:dyDescent="0.3">
      <c r="A952" t="s">
        <v>545</v>
      </c>
      <c r="B952" t="s">
        <v>522</v>
      </c>
      <c r="C952" t="s">
        <v>523</v>
      </c>
      <c r="D952" t="s">
        <v>451</v>
      </c>
      <c r="E952" t="s">
        <v>524</v>
      </c>
      <c r="F952" t="s">
        <v>377</v>
      </c>
      <c r="H952" t="s">
        <v>571</v>
      </c>
      <c r="I952">
        <v>10600000</v>
      </c>
      <c r="J952" t="s">
        <v>451</v>
      </c>
      <c r="L952" t="str">
        <f>IFERROR(INDEX(Diccionario!$B:$B,MATCH(F952,Diccionario!$C:$C,0)),"")</f>
        <v>Contabilidad</v>
      </c>
      <c r="M952" t="str">
        <f>IFERROR(INDEX(Diccionario!$H:$H,MATCH(F952,Diccionario!$C:$C,0)),"")</f>
        <v>Contabilidad</v>
      </c>
      <c r="N952" t="str">
        <f>IFERROR(INDEX(Diccionario!$N:$N,MATCH(F952,Diccionario!$C:$C,0)),"")</f>
        <v>Mensual</v>
      </c>
    </row>
    <row r="953" spans="1:14" ht="14.25" customHeight="1" x14ac:dyDescent="0.3">
      <c r="A953" t="s">
        <v>546</v>
      </c>
      <c r="B953" t="s">
        <v>522</v>
      </c>
      <c r="C953" t="s">
        <v>523</v>
      </c>
      <c r="D953" t="s">
        <v>451</v>
      </c>
      <c r="E953" t="s">
        <v>524</v>
      </c>
      <c r="F953" t="s">
        <v>377</v>
      </c>
      <c r="H953" t="s">
        <v>565</v>
      </c>
      <c r="I953">
        <v>80100000</v>
      </c>
      <c r="J953" t="s">
        <v>451</v>
      </c>
      <c r="L953" t="str">
        <f>IFERROR(INDEX(Diccionario!$B:$B,MATCH(F953,Diccionario!$C:$C,0)),"")</f>
        <v>Contabilidad</v>
      </c>
      <c r="M953" t="str">
        <f>IFERROR(INDEX(Diccionario!$H:$H,MATCH(F953,Diccionario!$C:$C,0)),"")</f>
        <v>Contabilidad</v>
      </c>
      <c r="N953" t="str">
        <f>IFERROR(INDEX(Diccionario!$N:$N,MATCH(F953,Diccionario!$C:$C,0)),"")</f>
        <v>Mensual</v>
      </c>
    </row>
    <row r="954" spans="1:14" ht="14.25" customHeight="1" x14ac:dyDescent="0.3">
      <c r="A954" t="s">
        <v>546</v>
      </c>
      <c r="B954" t="s">
        <v>522</v>
      </c>
      <c r="C954" t="s">
        <v>523</v>
      </c>
      <c r="D954" t="s">
        <v>451</v>
      </c>
      <c r="E954" t="s">
        <v>524</v>
      </c>
      <c r="F954" t="s">
        <v>377</v>
      </c>
      <c r="H954" t="s">
        <v>577</v>
      </c>
      <c r="I954">
        <v>38600000</v>
      </c>
      <c r="J954" t="s">
        <v>451</v>
      </c>
      <c r="L954" t="str">
        <f>IFERROR(INDEX(Diccionario!$B:$B,MATCH(F954,Diccionario!$C:$C,0)),"")</f>
        <v>Contabilidad</v>
      </c>
      <c r="M954" t="str">
        <f>IFERROR(INDEX(Diccionario!$H:$H,MATCH(F954,Diccionario!$C:$C,0)),"")</f>
        <v>Contabilidad</v>
      </c>
      <c r="N954" t="str">
        <f>IFERROR(INDEX(Diccionario!$N:$N,MATCH(F954,Diccionario!$C:$C,0)),"")</f>
        <v>Mensual</v>
      </c>
    </row>
    <row r="955" spans="1:14" ht="14.25" customHeight="1" x14ac:dyDescent="0.3">
      <c r="A955" t="s">
        <v>546</v>
      </c>
      <c r="B955" t="s">
        <v>522</v>
      </c>
      <c r="C955" t="s">
        <v>523</v>
      </c>
      <c r="D955" t="s">
        <v>451</v>
      </c>
      <c r="E955" t="s">
        <v>524</v>
      </c>
      <c r="F955" t="s">
        <v>377</v>
      </c>
      <c r="H955" t="s">
        <v>568</v>
      </c>
      <c r="I955">
        <v>100000</v>
      </c>
      <c r="J955" t="s">
        <v>451</v>
      </c>
      <c r="L955" t="str">
        <f>IFERROR(INDEX(Diccionario!$B:$B,MATCH(F955,Diccionario!$C:$C,0)),"")</f>
        <v>Contabilidad</v>
      </c>
      <c r="M955" t="str">
        <f>IFERROR(INDEX(Diccionario!$H:$H,MATCH(F955,Diccionario!$C:$C,0)),"")</f>
        <v>Contabilidad</v>
      </c>
      <c r="N955" t="str">
        <f>IFERROR(INDEX(Diccionario!$N:$N,MATCH(F955,Diccionario!$C:$C,0)),"")</f>
        <v>Mensual</v>
      </c>
    </row>
    <row r="956" spans="1:14" ht="14.25" customHeight="1" x14ac:dyDescent="0.3">
      <c r="A956" t="s">
        <v>546</v>
      </c>
      <c r="B956" t="s">
        <v>522</v>
      </c>
      <c r="C956" t="s">
        <v>523</v>
      </c>
      <c r="D956" t="s">
        <v>451</v>
      </c>
      <c r="E956" t="s">
        <v>524</v>
      </c>
      <c r="F956" t="s">
        <v>377</v>
      </c>
      <c r="H956" t="s">
        <v>569</v>
      </c>
      <c r="I956">
        <v>14000000</v>
      </c>
      <c r="J956" t="s">
        <v>451</v>
      </c>
      <c r="L956" t="str">
        <f>IFERROR(INDEX(Diccionario!$B:$B,MATCH(F956,Diccionario!$C:$C,0)),"")</f>
        <v>Contabilidad</v>
      </c>
      <c r="M956" t="str">
        <f>IFERROR(INDEX(Diccionario!$H:$H,MATCH(F956,Diccionario!$C:$C,0)),"")</f>
        <v>Contabilidad</v>
      </c>
      <c r="N956" t="str">
        <f>IFERROR(INDEX(Diccionario!$N:$N,MATCH(F956,Diccionario!$C:$C,0)),"")</f>
        <v>Mensual</v>
      </c>
    </row>
    <row r="957" spans="1:14" ht="14.25" customHeight="1" x14ac:dyDescent="0.3">
      <c r="A957" t="s">
        <v>546</v>
      </c>
      <c r="B957" t="s">
        <v>522</v>
      </c>
      <c r="C957" t="s">
        <v>523</v>
      </c>
      <c r="D957" t="s">
        <v>451</v>
      </c>
      <c r="E957" t="s">
        <v>524</v>
      </c>
      <c r="F957" t="s">
        <v>377</v>
      </c>
      <c r="H957" t="s">
        <v>570</v>
      </c>
      <c r="I957">
        <v>23200000</v>
      </c>
      <c r="J957" t="s">
        <v>451</v>
      </c>
      <c r="L957" t="str">
        <f>IFERROR(INDEX(Diccionario!$B:$B,MATCH(F957,Diccionario!$C:$C,0)),"")</f>
        <v>Contabilidad</v>
      </c>
      <c r="M957" t="str">
        <f>IFERROR(INDEX(Diccionario!$H:$H,MATCH(F957,Diccionario!$C:$C,0)),"")</f>
        <v>Contabilidad</v>
      </c>
      <c r="N957" t="str">
        <f>IFERROR(INDEX(Diccionario!$N:$N,MATCH(F957,Diccionario!$C:$C,0)),"")</f>
        <v>Mensual</v>
      </c>
    </row>
    <row r="958" spans="1:14" ht="14.25" customHeight="1" x14ac:dyDescent="0.3">
      <c r="A958" t="s">
        <v>546</v>
      </c>
      <c r="B958" t="s">
        <v>522</v>
      </c>
      <c r="C958" t="s">
        <v>523</v>
      </c>
      <c r="D958" t="s">
        <v>451</v>
      </c>
      <c r="E958" t="s">
        <v>524</v>
      </c>
      <c r="F958" t="s">
        <v>377</v>
      </c>
      <c r="H958" t="s">
        <v>571</v>
      </c>
      <c r="I958">
        <v>9000000</v>
      </c>
      <c r="J958" t="s">
        <v>451</v>
      </c>
      <c r="L958" t="str">
        <f>IFERROR(INDEX(Diccionario!$B:$B,MATCH(F958,Diccionario!$C:$C,0)),"")</f>
        <v>Contabilidad</v>
      </c>
      <c r="M958" t="str">
        <f>IFERROR(INDEX(Diccionario!$H:$H,MATCH(F958,Diccionario!$C:$C,0)),"")</f>
        <v>Contabilidad</v>
      </c>
      <c r="N958" t="str">
        <f>IFERROR(INDEX(Diccionario!$N:$N,MATCH(F958,Diccionario!$C:$C,0)),"")</f>
        <v>Mensual</v>
      </c>
    </row>
    <row r="959" spans="1:14" ht="14.25" customHeight="1" x14ac:dyDescent="0.3">
      <c r="A959" t="s">
        <v>547</v>
      </c>
      <c r="B959" t="s">
        <v>522</v>
      </c>
      <c r="C959" t="s">
        <v>523</v>
      </c>
      <c r="D959" t="s">
        <v>451</v>
      </c>
      <c r="E959" t="s">
        <v>524</v>
      </c>
      <c r="F959" t="s">
        <v>377</v>
      </c>
      <c r="H959" t="s">
        <v>565</v>
      </c>
      <c r="I959">
        <v>107200000</v>
      </c>
      <c r="J959" t="s">
        <v>451</v>
      </c>
      <c r="L959" t="str">
        <f>IFERROR(INDEX(Diccionario!$B:$B,MATCH(F959,Diccionario!$C:$C,0)),"")</f>
        <v>Contabilidad</v>
      </c>
      <c r="M959" t="str">
        <f>IFERROR(INDEX(Diccionario!$H:$H,MATCH(F959,Diccionario!$C:$C,0)),"")</f>
        <v>Contabilidad</v>
      </c>
      <c r="N959" t="str">
        <f>IFERROR(INDEX(Diccionario!$N:$N,MATCH(F959,Diccionario!$C:$C,0)),"")</f>
        <v>Mensual</v>
      </c>
    </row>
    <row r="960" spans="1:14" ht="14.25" customHeight="1" x14ac:dyDescent="0.3">
      <c r="A960" t="s">
        <v>547</v>
      </c>
      <c r="B960" t="s">
        <v>522</v>
      </c>
      <c r="C960" t="s">
        <v>523</v>
      </c>
      <c r="D960" t="s">
        <v>451</v>
      </c>
      <c r="E960" t="s">
        <v>524</v>
      </c>
      <c r="F960" t="s">
        <v>377</v>
      </c>
      <c r="H960" t="s">
        <v>577</v>
      </c>
      <c r="I960">
        <v>16500000</v>
      </c>
      <c r="J960" t="s">
        <v>451</v>
      </c>
      <c r="L960" t="str">
        <f>IFERROR(INDEX(Diccionario!$B:$B,MATCH(F960,Diccionario!$C:$C,0)),"")</f>
        <v>Contabilidad</v>
      </c>
      <c r="M960" t="str">
        <f>IFERROR(INDEX(Diccionario!$H:$H,MATCH(F960,Diccionario!$C:$C,0)),"")</f>
        <v>Contabilidad</v>
      </c>
      <c r="N960" t="str">
        <f>IFERROR(INDEX(Diccionario!$N:$N,MATCH(F960,Diccionario!$C:$C,0)),"")</f>
        <v>Mensual</v>
      </c>
    </row>
    <row r="961" spans="1:14" ht="14.25" customHeight="1" x14ac:dyDescent="0.3">
      <c r="A961" t="s">
        <v>547</v>
      </c>
      <c r="B961" t="s">
        <v>522</v>
      </c>
      <c r="C961" t="s">
        <v>523</v>
      </c>
      <c r="D961" t="s">
        <v>451</v>
      </c>
      <c r="E961" t="s">
        <v>524</v>
      </c>
      <c r="F961" t="s">
        <v>377</v>
      </c>
      <c r="H961" t="s">
        <v>568</v>
      </c>
      <c r="I961">
        <v>400000</v>
      </c>
      <c r="J961" t="s">
        <v>451</v>
      </c>
      <c r="L961" t="str">
        <f>IFERROR(INDEX(Diccionario!$B:$B,MATCH(F961,Diccionario!$C:$C,0)),"")</f>
        <v>Contabilidad</v>
      </c>
      <c r="M961" t="str">
        <f>IFERROR(INDEX(Diccionario!$H:$H,MATCH(F961,Diccionario!$C:$C,0)),"")</f>
        <v>Contabilidad</v>
      </c>
      <c r="N961" t="str">
        <f>IFERROR(INDEX(Diccionario!$N:$N,MATCH(F961,Diccionario!$C:$C,0)),"")</f>
        <v>Mensual</v>
      </c>
    </row>
    <row r="962" spans="1:14" ht="14.25" customHeight="1" x14ac:dyDescent="0.3">
      <c r="A962" t="s">
        <v>547</v>
      </c>
      <c r="B962" t="s">
        <v>522</v>
      </c>
      <c r="C962" t="s">
        <v>523</v>
      </c>
      <c r="D962" t="s">
        <v>451</v>
      </c>
      <c r="E962" t="s">
        <v>524</v>
      </c>
      <c r="F962" t="s">
        <v>377</v>
      </c>
      <c r="H962" t="s">
        <v>569</v>
      </c>
      <c r="I962">
        <v>21600000</v>
      </c>
      <c r="J962" t="s">
        <v>451</v>
      </c>
      <c r="L962" t="str">
        <f>IFERROR(INDEX(Diccionario!$B:$B,MATCH(F962,Diccionario!$C:$C,0)),"")</f>
        <v>Contabilidad</v>
      </c>
      <c r="M962" t="str">
        <f>IFERROR(INDEX(Diccionario!$H:$H,MATCH(F962,Diccionario!$C:$C,0)),"")</f>
        <v>Contabilidad</v>
      </c>
      <c r="N962" t="str">
        <f>IFERROR(INDEX(Diccionario!$N:$N,MATCH(F962,Diccionario!$C:$C,0)),"")</f>
        <v>Mensual</v>
      </c>
    </row>
    <row r="963" spans="1:14" ht="14.25" customHeight="1" x14ac:dyDescent="0.3">
      <c r="A963" t="s">
        <v>547</v>
      </c>
      <c r="B963" t="s">
        <v>522</v>
      </c>
      <c r="C963" t="s">
        <v>523</v>
      </c>
      <c r="D963" t="s">
        <v>451</v>
      </c>
      <c r="E963" t="s">
        <v>524</v>
      </c>
      <c r="F963" t="s">
        <v>377</v>
      </c>
      <c r="H963" t="s">
        <v>570</v>
      </c>
      <c r="I963">
        <v>9300000</v>
      </c>
      <c r="J963" t="s">
        <v>451</v>
      </c>
      <c r="L963" t="str">
        <f>IFERROR(INDEX(Diccionario!$B:$B,MATCH(F963,Diccionario!$C:$C,0)),"")</f>
        <v>Contabilidad</v>
      </c>
      <c r="M963" t="str">
        <f>IFERROR(INDEX(Diccionario!$H:$H,MATCH(F963,Diccionario!$C:$C,0)),"")</f>
        <v>Contabilidad</v>
      </c>
      <c r="N963" t="str">
        <f>IFERROR(INDEX(Diccionario!$N:$N,MATCH(F963,Diccionario!$C:$C,0)),"")</f>
        <v>Mensual</v>
      </c>
    </row>
    <row r="964" spans="1:14" ht="14.25" customHeight="1" x14ac:dyDescent="0.3">
      <c r="A964" t="s">
        <v>547</v>
      </c>
      <c r="B964" t="s">
        <v>522</v>
      </c>
      <c r="C964" t="s">
        <v>523</v>
      </c>
      <c r="D964" t="s">
        <v>451</v>
      </c>
      <c r="E964" t="s">
        <v>524</v>
      </c>
      <c r="F964" t="s">
        <v>377</v>
      </c>
      <c r="H964" t="s">
        <v>571</v>
      </c>
      <c r="I964">
        <v>16100000</v>
      </c>
      <c r="J964" t="s">
        <v>451</v>
      </c>
      <c r="L964" t="str">
        <f>IFERROR(INDEX(Diccionario!$B:$B,MATCH(F964,Diccionario!$C:$C,0)),"")</f>
        <v>Contabilidad</v>
      </c>
      <c r="M964" t="str">
        <f>IFERROR(INDEX(Diccionario!$H:$H,MATCH(F964,Diccionario!$C:$C,0)),"")</f>
        <v>Contabilidad</v>
      </c>
      <c r="N964" t="str">
        <f>IFERROR(INDEX(Diccionario!$N:$N,MATCH(F964,Diccionario!$C:$C,0)),"")</f>
        <v>Mensual</v>
      </c>
    </row>
    <row r="965" spans="1:14" ht="14.25" customHeight="1" x14ac:dyDescent="0.3">
      <c r="A965" t="s">
        <v>548</v>
      </c>
      <c r="B965" t="s">
        <v>522</v>
      </c>
      <c r="C965" t="s">
        <v>523</v>
      </c>
      <c r="D965" t="s">
        <v>451</v>
      </c>
      <c r="E965" t="s">
        <v>524</v>
      </c>
      <c r="F965" t="s">
        <v>377</v>
      </c>
      <c r="H965" t="s">
        <v>565</v>
      </c>
      <c r="I965">
        <v>99200000</v>
      </c>
      <c r="J965" t="s">
        <v>451</v>
      </c>
      <c r="L965" t="str">
        <f>IFERROR(INDEX(Diccionario!$B:$B,MATCH(F965,Diccionario!$C:$C,0)),"")</f>
        <v>Contabilidad</v>
      </c>
      <c r="M965" t="str">
        <f>IFERROR(INDEX(Diccionario!$H:$H,MATCH(F965,Diccionario!$C:$C,0)),"")</f>
        <v>Contabilidad</v>
      </c>
      <c r="N965" t="str">
        <f>IFERROR(INDEX(Diccionario!$N:$N,MATCH(F965,Diccionario!$C:$C,0)),"")</f>
        <v>Mensual</v>
      </c>
    </row>
    <row r="966" spans="1:14" ht="14.25" customHeight="1" x14ac:dyDescent="0.3">
      <c r="A966" t="s">
        <v>548</v>
      </c>
      <c r="B966" t="s">
        <v>522</v>
      </c>
      <c r="C966" t="s">
        <v>523</v>
      </c>
      <c r="D966" t="s">
        <v>451</v>
      </c>
      <c r="E966" t="s">
        <v>524</v>
      </c>
      <c r="F966" t="s">
        <v>377</v>
      </c>
      <c r="H966" t="s">
        <v>577</v>
      </c>
      <c r="I966">
        <v>47800000</v>
      </c>
      <c r="J966" t="s">
        <v>451</v>
      </c>
      <c r="L966" t="str">
        <f>IFERROR(INDEX(Diccionario!$B:$B,MATCH(F966,Diccionario!$C:$C,0)),"")</f>
        <v>Contabilidad</v>
      </c>
      <c r="M966" t="str">
        <f>IFERROR(INDEX(Diccionario!$H:$H,MATCH(F966,Diccionario!$C:$C,0)),"")</f>
        <v>Contabilidad</v>
      </c>
      <c r="N966" t="str">
        <f>IFERROR(INDEX(Diccionario!$N:$N,MATCH(F966,Diccionario!$C:$C,0)),"")</f>
        <v>Mensual</v>
      </c>
    </row>
    <row r="967" spans="1:14" ht="14.25" customHeight="1" x14ac:dyDescent="0.3">
      <c r="A967" t="s">
        <v>548</v>
      </c>
      <c r="B967" t="s">
        <v>522</v>
      </c>
      <c r="C967" t="s">
        <v>523</v>
      </c>
      <c r="D967" t="s">
        <v>451</v>
      </c>
      <c r="E967" t="s">
        <v>524</v>
      </c>
      <c r="F967" t="s">
        <v>377</v>
      </c>
      <c r="H967" t="s">
        <v>568</v>
      </c>
      <c r="I967">
        <v>700000</v>
      </c>
      <c r="J967" t="s">
        <v>451</v>
      </c>
      <c r="L967" t="str">
        <f>IFERROR(INDEX(Diccionario!$B:$B,MATCH(F967,Diccionario!$C:$C,0)),"")</f>
        <v>Contabilidad</v>
      </c>
      <c r="M967" t="str">
        <f>IFERROR(INDEX(Diccionario!$H:$H,MATCH(F967,Diccionario!$C:$C,0)),"")</f>
        <v>Contabilidad</v>
      </c>
      <c r="N967" t="str">
        <f>IFERROR(INDEX(Diccionario!$N:$N,MATCH(F967,Diccionario!$C:$C,0)),"")</f>
        <v>Mensual</v>
      </c>
    </row>
    <row r="968" spans="1:14" ht="14.25" customHeight="1" x14ac:dyDescent="0.3">
      <c r="A968" t="s">
        <v>548</v>
      </c>
      <c r="B968" t="s">
        <v>522</v>
      </c>
      <c r="C968" t="s">
        <v>523</v>
      </c>
      <c r="D968" t="s">
        <v>451</v>
      </c>
      <c r="E968" t="s">
        <v>524</v>
      </c>
      <c r="F968" t="s">
        <v>377</v>
      </c>
      <c r="H968" t="s">
        <v>569</v>
      </c>
      <c r="I968">
        <v>23300000</v>
      </c>
      <c r="J968" t="s">
        <v>451</v>
      </c>
      <c r="L968" t="str">
        <f>IFERROR(INDEX(Diccionario!$B:$B,MATCH(F968,Diccionario!$C:$C,0)),"")</f>
        <v>Contabilidad</v>
      </c>
      <c r="M968" t="str">
        <f>IFERROR(INDEX(Diccionario!$H:$H,MATCH(F968,Diccionario!$C:$C,0)),"")</f>
        <v>Contabilidad</v>
      </c>
      <c r="N968" t="str">
        <f>IFERROR(INDEX(Diccionario!$N:$N,MATCH(F968,Diccionario!$C:$C,0)),"")</f>
        <v>Mensual</v>
      </c>
    </row>
    <row r="969" spans="1:14" ht="14.25" customHeight="1" x14ac:dyDescent="0.3">
      <c r="A969" t="s">
        <v>548</v>
      </c>
      <c r="B969" t="s">
        <v>522</v>
      </c>
      <c r="C969" t="s">
        <v>523</v>
      </c>
      <c r="D969" t="s">
        <v>451</v>
      </c>
      <c r="E969" t="s">
        <v>524</v>
      </c>
      <c r="F969" t="s">
        <v>377</v>
      </c>
      <c r="H969" t="s">
        <v>570</v>
      </c>
      <c r="I969">
        <v>11400000</v>
      </c>
      <c r="J969" t="s">
        <v>451</v>
      </c>
      <c r="L969" t="str">
        <f>IFERROR(INDEX(Diccionario!$B:$B,MATCH(F969,Diccionario!$C:$C,0)),"")</f>
        <v>Contabilidad</v>
      </c>
      <c r="M969" t="str">
        <f>IFERROR(INDEX(Diccionario!$H:$H,MATCH(F969,Diccionario!$C:$C,0)),"")</f>
        <v>Contabilidad</v>
      </c>
      <c r="N969" t="str">
        <f>IFERROR(INDEX(Diccionario!$N:$N,MATCH(F969,Diccionario!$C:$C,0)),"")</f>
        <v>Mensual</v>
      </c>
    </row>
    <row r="970" spans="1:14" ht="14.25" customHeight="1" x14ac:dyDescent="0.3">
      <c r="A970" t="s">
        <v>548</v>
      </c>
      <c r="B970" t="s">
        <v>522</v>
      </c>
      <c r="C970" t="s">
        <v>523</v>
      </c>
      <c r="D970" t="s">
        <v>451</v>
      </c>
      <c r="E970" t="s">
        <v>524</v>
      </c>
      <c r="F970" t="s">
        <v>377</v>
      </c>
      <c r="H970" t="s">
        <v>571</v>
      </c>
      <c r="I970">
        <v>12200000</v>
      </c>
      <c r="J970" t="s">
        <v>451</v>
      </c>
      <c r="L970" t="str">
        <f>IFERROR(INDEX(Diccionario!$B:$B,MATCH(F970,Diccionario!$C:$C,0)),"")</f>
        <v>Contabilidad</v>
      </c>
      <c r="M970" t="str">
        <f>IFERROR(INDEX(Diccionario!$H:$H,MATCH(F970,Diccionario!$C:$C,0)),"")</f>
        <v>Contabilidad</v>
      </c>
      <c r="N970" t="str">
        <f>IFERROR(INDEX(Diccionario!$N:$N,MATCH(F970,Diccionario!$C:$C,0)),"")</f>
        <v>Mensual</v>
      </c>
    </row>
    <row r="971" spans="1:14" ht="14.25" customHeight="1" x14ac:dyDescent="0.3">
      <c r="A971" t="s">
        <v>549</v>
      </c>
      <c r="B971" t="s">
        <v>522</v>
      </c>
      <c r="C971" t="s">
        <v>523</v>
      </c>
      <c r="D971" t="s">
        <v>451</v>
      </c>
      <c r="E971" t="s">
        <v>524</v>
      </c>
      <c r="F971" t="s">
        <v>377</v>
      </c>
      <c r="H971" t="s">
        <v>565</v>
      </c>
      <c r="I971">
        <v>72020000</v>
      </c>
      <c r="J971" t="s">
        <v>451</v>
      </c>
      <c r="L971" t="str">
        <f>IFERROR(INDEX(Diccionario!$B:$B,MATCH(F971,Diccionario!$C:$C,0)),"")</f>
        <v>Contabilidad</v>
      </c>
      <c r="M971" t="str">
        <f>IFERROR(INDEX(Diccionario!$H:$H,MATCH(F971,Diccionario!$C:$C,0)),"")</f>
        <v>Contabilidad</v>
      </c>
      <c r="N971" t="str">
        <f>IFERROR(INDEX(Diccionario!$N:$N,MATCH(F971,Diccionario!$C:$C,0)),"")</f>
        <v>Mensual</v>
      </c>
    </row>
    <row r="972" spans="1:14" ht="14.25" customHeight="1" x14ac:dyDescent="0.3">
      <c r="A972" t="s">
        <v>549</v>
      </c>
      <c r="B972" t="s">
        <v>522</v>
      </c>
      <c r="C972" t="s">
        <v>523</v>
      </c>
      <c r="D972" t="s">
        <v>451</v>
      </c>
      <c r="E972" t="s">
        <v>524</v>
      </c>
      <c r="F972" t="s">
        <v>377</v>
      </c>
      <c r="H972" t="s">
        <v>577</v>
      </c>
      <c r="I972">
        <v>29800000</v>
      </c>
      <c r="J972" t="s">
        <v>451</v>
      </c>
      <c r="L972" t="str">
        <f>IFERROR(INDEX(Diccionario!$B:$B,MATCH(F972,Diccionario!$C:$C,0)),"")</f>
        <v>Contabilidad</v>
      </c>
      <c r="M972" t="str">
        <f>IFERROR(INDEX(Diccionario!$H:$H,MATCH(F972,Diccionario!$C:$C,0)),"")</f>
        <v>Contabilidad</v>
      </c>
      <c r="N972" t="str">
        <f>IFERROR(INDEX(Diccionario!$N:$N,MATCH(F972,Diccionario!$C:$C,0)),"")</f>
        <v>Mensual</v>
      </c>
    </row>
    <row r="973" spans="1:14" ht="14.25" customHeight="1" x14ac:dyDescent="0.3">
      <c r="A973" t="s">
        <v>549</v>
      </c>
      <c r="B973" t="s">
        <v>522</v>
      </c>
      <c r="C973" t="s">
        <v>523</v>
      </c>
      <c r="D973" t="s">
        <v>451</v>
      </c>
      <c r="E973" t="s">
        <v>524</v>
      </c>
      <c r="F973" t="s">
        <v>377</v>
      </c>
      <c r="H973" t="s">
        <v>568</v>
      </c>
      <c r="I973">
        <v>2700000</v>
      </c>
      <c r="J973" t="s">
        <v>451</v>
      </c>
      <c r="L973" t="str">
        <f>IFERROR(INDEX(Diccionario!$B:$B,MATCH(F973,Diccionario!$C:$C,0)),"")</f>
        <v>Contabilidad</v>
      </c>
      <c r="M973" t="str">
        <f>IFERROR(INDEX(Diccionario!$H:$H,MATCH(F973,Diccionario!$C:$C,0)),"")</f>
        <v>Contabilidad</v>
      </c>
      <c r="N973" t="str">
        <f>IFERROR(INDEX(Diccionario!$N:$N,MATCH(F973,Diccionario!$C:$C,0)),"")</f>
        <v>Mensual</v>
      </c>
    </row>
    <row r="974" spans="1:14" ht="14.25" customHeight="1" x14ac:dyDescent="0.3">
      <c r="A974" t="s">
        <v>549</v>
      </c>
      <c r="B974" t="s">
        <v>522</v>
      </c>
      <c r="C974" t="s">
        <v>523</v>
      </c>
      <c r="D974" t="s">
        <v>451</v>
      </c>
      <c r="E974" t="s">
        <v>524</v>
      </c>
      <c r="F974" t="s">
        <v>377</v>
      </c>
      <c r="H974" t="s">
        <v>569</v>
      </c>
      <c r="I974">
        <v>8600000</v>
      </c>
      <c r="J974" t="s">
        <v>451</v>
      </c>
      <c r="L974" t="str">
        <f>IFERROR(INDEX(Diccionario!$B:$B,MATCH(F974,Diccionario!$C:$C,0)),"")</f>
        <v>Contabilidad</v>
      </c>
      <c r="M974" t="str">
        <f>IFERROR(INDEX(Diccionario!$H:$H,MATCH(F974,Diccionario!$C:$C,0)),"")</f>
        <v>Contabilidad</v>
      </c>
      <c r="N974" t="str">
        <f>IFERROR(INDEX(Diccionario!$N:$N,MATCH(F974,Diccionario!$C:$C,0)),"")</f>
        <v>Mensual</v>
      </c>
    </row>
    <row r="975" spans="1:14" ht="14.25" customHeight="1" x14ac:dyDescent="0.3">
      <c r="A975" t="s">
        <v>549</v>
      </c>
      <c r="B975" t="s">
        <v>522</v>
      </c>
      <c r="C975" t="s">
        <v>523</v>
      </c>
      <c r="D975" t="s">
        <v>451</v>
      </c>
      <c r="E975" t="s">
        <v>524</v>
      </c>
      <c r="F975" t="s">
        <v>377</v>
      </c>
      <c r="H975" t="s">
        <v>570</v>
      </c>
      <c r="I975">
        <v>8100000</v>
      </c>
      <c r="J975" t="s">
        <v>451</v>
      </c>
      <c r="L975" t="str">
        <f>IFERROR(INDEX(Diccionario!$B:$B,MATCH(F975,Diccionario!$C:$C,0)),"")</f>
        <v>Contabilidad</v>
      </c>
      <c r="M975" t="str">
        <f>IFERROR(INDEX(Diccionario!$H:$H,MATCH(F975,Diccionario!$C:$C,0)),"")</f>
        <v>Contabilidad</v>
      </c>
      <c r="N975" t="str">
        <f>IFERROR(INDEX(Diccionario!$N:$N,MATCH(F975,Diccionario!$C:$C,0)),"")</f>
        <v>Mensual</v>
      </c>
    </row>
    <row r="976" spans="1:14" ht="14.25" customHeight="1" x14ac:dyDescent="0.3">
      <c r="A976" t="s">
        <v>549</v>
      </c>
      <c r="B976" t="s">
        <v>522</v>
      </c>
      <c r="C976" t="s">
        <v>523</v>
      </c>
      <c r="D976" t="s">
        <v>451</v>
      </c>
      <c r="E976" t="s">
        <v>524</v>
      </c>
      <c r="F976" t="s">
        <v>377</v>
      </c>
      <c r="H976" t="s">
        <v>571</v>
      </c>
      <c r="I976">
        <v>10300000</v>
      </c>
      <c r="J976" t="s">
        <v>451</v>
      </c>
      <c r="L976" t="str">
        <f>IFERROR(INDEX(Diccionario!$B:$B,MATCH(F976,Diccionario!$C:$C,0)),"")</f>
        <v>Contabilidad</v>
      </c>
      <c r="M976" t="str">
        <f>IFERROR(INDEX(Diccionario!$H:$H,MATCH(F976,Diccionario!$C:$C,0)),"")</f>
        <v>Contabilidad</v>
      </c>
      <c r="N976" t="str">
        <f>IFERROR(INDEX(Diccionario!$N:$N,MATCH(F976,Diccionario!$C:$C,0)),"")</f>
        <v>Mensual</v>
      </c>
    </row>
    <row r="977" spans="1:14" ht="14.25" customHeight="1" x14ac:dyDescent="0.3">
      <c r="A977" t="s">
        <v>551</v>
      </c>
      <c r="B977" t="s">
        <v>522</v>
      </c>
      <c r="C977" t="s">
        <v>523</v>
      </c>
      <c r="D977" t="s">
        <v>451</v>
      </c>
      <c r="E977" t="s">
        <v>524</v>
      </c>
      <c r="F977" t="s">
        <v>377</v>
      </c>
      <c r="H977" t="s">
        <v>565</v>
      </c>
      <c r="I977">
        <v>97900000</v>
      </c>
      <c r="J977" t="s">
        <v>451</v>
      </c>
      <c r="L977" t="str">
        <f>IFERROR(INDEX(Diccionario!$B:$B,MATCH(F977,Diccionario!$C:$C,0)),"")</f>
        <v>Contabilidad</v>
      </c>
      <c r="M977" t="str">
        <f>IFERROR(INDEX(Diccionario!$H:$H,MATCH(F977,Diccionario!$C:$C,0)),"")</f>
        <v>Contabilidad</v>
      </c>
      <c r="N977" t="str">
        <f>IFERROR(INDEX(Diccionario!$N:$N,MATCH(F977,Diccionario!$C:$C,0)),"")</f>
        <v>Mensual</v>
      </c>
    </row>
    <row r="978" spans="1:14" ht="14.25" customHeight="1" x14ac:dyDescent="0.3">
      <c r="A978" t="s">
        <v>551</v>
      </c>
      <c r="B978" t="s">
        <v>522</v>
      </c>
      <c r="C978" t="s">
        <v>523</v>
      </c>
      <c r="D978" t="s">
        <v>451</v>
      </c>
      <c r="E978" t="s">
        <v>524</v>
      </c>
      <c r="F978" t="s">
        <v>377</v>
      </c>
      <c r="H978" t="s">
        <v>577</v>
      </c>
      <c r="I978">
        <v>19400000</v>
      </c>
      <c r="J978" t="s">
        <v>451</v>
      </c>
      <c r="L978" t="str">
        <f>IFERROR(INDEX(Diccionario!$B:$B,MATCH(F978,Diccionario!$C:$C,0)),"")</f>
        <v>Contabilidad</v>
      </c>
      <c r="M978" t="str">
        <f>IFERROR(INDEX(Diccionario!$H:$H,MATCH(F978,Diccionario!$C:$C,0)),"")</f>
        <v>Contabilidad</v>
      </c>
      <c r="N978" t="str">
        <f>IFERROR(INDEX(Diccionario!$N:$N,MATCH(F978,Diccionario!$C:$C,0)),"")</f>
        <v>Mensual</v>
      </c>
    </row>
    <row r="979" spans="1:14" ht="14.25" customHeight="1" x14ac:dyDescent="0.3">
      <c r="A979" t="s">
        <v>551</v>
      </c>
      <c r="B979" t="s">
        <v>522</v>
      </c>
      <c r="C979" t="s">
        <v>523</v>
      </c>
      <c r="D979" t="s">
        <v>451</v>
      </c>
      <c r="E979" t="s">
        <v>524</v>
      </c>
      <c r="F979" t="s">
        <v>377</v>
      </c>
      <c r="H979" t="s">
        <v>568</v>
      </c>
      <c r="I979">
        <v>400000</v>
      </c>
      <c r="J979" t="s">
        <v>451</v>
      </c>
      <c r="L979" t="str">
        <f>IFERROR(INDEX(Diccionario!$B:$B,MATCH(F979,Diccionario!$C:$C,0)),"")</f>
        <v>Contabilidad</v>
      </c>
      <c r="M979" t="str">
        <f>IFERROR(INDEX(Diccionario!$H:$H,MATCH(F979,Diccionario!$C:$C,0)),"")</f>
        <v>Contabilidad</v>
      </c>
      <c r="N979" t="str">
        <f>IFERROR(INDEX(Diccionario!$N:$N,MATCH(F979,Diccionario!$C:$C,0)),"")</f>
        <v>Mensual</v>
      </c>
    </row>
    <row r="980" spans="1:14" ht="14.25" customHeight="1" x14ac:dyDescent="0.3">
      <c r="A980" t="s">
        <v>551</v>
      </c>
      <c r="B980" t="s">
        <v>522</v>
      </c>
      <c r="C980" t="s">
        <v>523</v>
      </c>
      <c r="D980" t="s">
        <v>451</v>
      </c>
      <c r="E980" t="s">
        <v>524</v>
      </c>
      <c r="F980" t="s">
        <v>377</v>
      </c>
      <c r="H980" t="s">
        <v>569</v>
      </c>
      <c r="I980">
        <v>20200000</v>
      </c>
      <c r="J980" t="s">
        <v>451</v>
      </c>
      <c r="L980" t="str">
        <f>IFERROR(INDEX(Diccionario!$B:$B,MATCH(F980,Diccionario!$C:$C,0)),"")</f>
        <v>Contabilidad</v>
      </c>
      <c r="M980" t="str">
        <f>IFERROR(INDEX(Diccionario!$H:$H,MATCH(F980,Diccionario!$C:$C,0)),"")</f>
        <v>Contabilidad</v>
      </c>
      <c r="N980" t="str">
        <f>IFERROR(INDEX(Diccionario!$N:$N,MATCH(F980,Diccionario!$C:$C,0)),"")</f>
        <v>Mensual</v>
      </c>
    </row>
    <row r="981" spans="1:14" ht="14.25" customHeight="1" x14ac:dyDescent="0.3">
      <c r="A981" t="s">
        <v>551</v>
      </c>
      <c r="B981" t="s">
        <v>522</v>
      </c>
      <c r="C981" t="s">
        <v>523</v>
      </c>
      <c r="D981" t="s">
        <v>451</v>
      </c>
      <c r="E981" t="s">
        <v>524</v>
      </c>
      <c r="F981" t="s">
        <v>377</v>
      </c>
      <c r="H981" t="s">
        <v>570</v>
      </c>
      <c r="I981">
        <v>10200000</v>
      </c>
      <c r="J981" t="s">
        <v>451</v>
      </c>
      <c r="L981" t="str">
        <f>IFERROR(INDEX(Diccionario!$B:$B,MATCH(F981,Diccionario!$C:$C,0)),"")</f>
        <v>Contabilidad</v>
      </c>
      <c r="M981" t="str">
        <f>IFERROR(INDEX(Diccionario!$H:$H,MATCH(F981,Diccionario!$C:$C,0)),"")</f>
        <v>Contabilidad</v>
      </c>
      <c r="N981" t="str">
        <f>IFERROR(INDEX(Diccionario!$N:$N,MATCH(F981,Diccionario!$C:$C,0)),"")</f>
        <v>Mensual</v>
      </c>
    </row>
    <row r="982" spans="1:14" ht="14.25" customHeight="1" x14ac:dyDescent="0.3">
      <c r="A982" t="s">
        <v>551</v>
      </c>
      <c r="B982" t="s">
        <v>522</v>
      </c>
      <c r="C982" t="s">
        <v>523</v>
      </c>
      <c r="D982" t="s">
        <v>451</v>
      </c>
      <c r="E982" t="s">
        <v>524</v>
      </c>
      <c r="F982" t="s">
        <v>377</v>
      </c>
      <c r="H982" t="s">
        <v>571</v>
      </c>
      <c r="I982">
        <v>11000000</v>
      </c>
      <c r="J982" t="s">
        <v>451</v>
      </c>
      <c r="L982" t="str">
        <f>IFERROR(INDEX(Diccionario!$B:$B,MATCH(F982,Diccionario!$C:$C,0)),"")</f>
        <v>Contabilidad</v>
      </c>
      <c r="M982" t="str">
        <f>IFERROR(INDEX(Diccionario!$H:$H,MATCH(F982,Diccionario!$C:$C,0)),"")</f>
        <v>Contabilidad</v>
      </c>
      <c r="N982" t="str">
        <f>IFERROR(INDEX(Diccionario!$N:$N,MATCH(F982,Diccionario!$C:$C,0)),"")</f>
        <v>Mensual</v>
      </c>
    </row>
    <row r="983" spans="1:14" ht="14.25" customHeight="1" x14ac:dyDescent="0.3">
      <c r="A983" t="s">
        <v>552</v>
      </c>
      <c r="B983" t="s">
        <v>522</v>
      </c>
      <c r="C983" t="s">
        <v>523</v>
      </c>
      <c r="D983" t="s">
        <v>451</v>
      </c>
      <c r="E983" t="s">
        <v>524</v>
      </c>
      <c r="F983" t="s">
        <v>377</v>
      </c>
      <c r="H983" t="s">
        <v>565</v>
      </c>
      <c r="I983">
        <v>81200000</v>
      </c>
      <c r="J983" t="s">
        <v>451</v>
      </c>
      <c r="L983" t="str">
        <f>IFERROR(INDEX(Diccionario!$B:$B,MATCH(F983,Diccionario!$C:$C,0)),"")</f>
        <v>Contabilidad</v>
      </c>
      <c r="M983" t="str">
        <f>IFERROR(INDEX(Diccionario!$H:$H,MATCH(F983,Diccionario!$C:$C,0)),"")</f>
        <v>Contabilidad</v>
      </c>
      <c r="N983" t="str">
        <f>IFERROR(INDEX(Diccionario!$N:$N,MATCH(F983,Diccionario!$C:$C,0)),"")</f>
        <v>Mensual</v>
      </c>
    </row>
    <row r="984" spans="1:14" ht="14.25" customHeight="1" x14ac:dyDescent="0.3">
      <c r="A984" t="s">
        <v>552</v>
      </c>
      <c r="B984" t="s">
        <v>522</v>
      </c>
      <c r="C984" t="s">
        <v>523</v>
      </c>
      <c r="D984" t="s">
        <v>451</v>
      </c>
      <c r="E984" t="s">
        <v>524</v>
      </c>
      <c r="F984" t="s">
        <v>377</v>
      </c>
      <c r="H984" t="s">
        <v>577</v>
      </c>
      <c r="I984">
        <v>25400000</v>
      </c>
      <c r="J984" t="s">
        <v>451</v>
      </c>
      <c r="L984" t="str">
        <f>IFERROR(INDEX(Diccionario!$B:$B,MATCH(F984,Diccionario!$C:$C,0)),"")</f>
        <v>Contabilidad</v>
      </c>
      <c r="M984" t="str">
        <f>IFERROR(INDEX(Diccionario!$H:$H,MATCH(F984,Diccionario!$C:$C,0)),"")</f>
        <v>Contabilidad</v>
      </c>
      <c r="N984" t="str">
        <f>IFERROR(INDEX(Diccionario!$N:$N,MATCH(F984,Diccionario!$C:$C,0)),"")</f>
        <v>Mensual</v>
      </c>
    </row>
    <row r="985" spans="1:14" ht="14.25" customHeight="1" x14ac:dyDescent="0.3">
      <c r="A985" t="s">
        <v>552</v>
      </c>
      <c r="B985" t="s">
        <v>522</v>
      </c>
      <c r="C985" t="s">
        <v>523</v>
      </c>
      <c r="D985" t="s">
        <v>451</v>
      </c>
      <c r="E985" t="s">
        <v>524</v>
      </c>
      <c r="F985" t="s">
        <v>377</v>
      </c>
      <c r="H985" t="s">
        <v>568</v>
      </c>
      <c r="I985">
        <v>256000</v>
      </c>
      <c r="J985" t="s">
        <v>451</v>
      </c>
      <c r="L985" t="str">
        <f>IFERROR(INDEX(Diccionario!$B:$B,MATCH(F985,Diccionario!$C:$C,0)),"")</f>
        <v>Contabilidad</v>
      </c>
      <c r="M985" t="str">
        <f>IFERROR(INDEX(Diccionario!$H:$H,MATCH(F985,Diccionario!$C:$C,0)),"")</f>
        <v>Contabilidad</v>
      </c>
      <c r="N985" t="str">
        <f>IFERROR(INDEX(Diccionario!$N:$N,MATCH(F985,Diccionario!$C:$C,0)),"")</f>
        <v>Mensual</v>
      </c>
    </row>
    <row r="986" spans="1:14" ht="14.25" customHeight="1" x14ac:dyDescent="0.3">
      <c r="A986" t="s">
        <v>552</v>
      </c>
      <c r="B986" t="s">
        <v>522</v>
      </c>
      <c r="C986" t="s">
        <v>523</v>
      </c>
      <c r="D986" t="s">
        <v>451</v>
      </c>
      <c r="E986" t="s">
        <v>524</v>
      </c>
      <c r="F986" t="s">
        <v>377</v>
      </c>
      <c r="H986" t="s">
        <v>569</v>
      </c>
      <c r="I986">
        <v>10900000</v>
      </c>
      <c r="J986" t="s">
        <v>451</v>
      </c>
      <c r="L986" t="str">
        <f>IFERROR(INDEX(Diccionario!$B:$B,MATCH(F986,Diccionario!$C:$C,0)),"")</f>
        <v>Contabilidad</v>
      </c>
      <c r="M986" t="str">
        <f>IFERROR(INDEX(Diccionario!$H:$H,MATCH(F986,Diccionario!$C:$C,0)),"")</f>
        <v>Contabilidad</v>
      </c>
      <c r="N986" t="str">
        <f>IFERROR(INDEX(Diccionario!$N:$N,MATCH(F986,Diccionario!$C:$C,0)),"")</f>
        <v>Mensual</v>
      </c>
    </row>
    <row r="987" spans="1:14" ht="14.25" customHeight="1" x14ac:dyDescent="0.3">
      <c r="A987" t="s">
        <v>552</v>
      </c>
      <c r="B987" t="s">
        <v>522</v>
      </c>
      <c r="C987" t="s">
        <v>523</v>
      </c>
      <c r="D987" t="s">
        <v>451</v>
      </c>
      <c r="E987" t="s">
        <v>524</v>
      </c>
      <c r="F987" t="s">
        <v>377</v>
      </c>
      <c r="H987" t="s">
        <v>570</v>
      </c>
      <c r="I987">
        <v>7600000</v>
      </c>
      <c r="J987" t="s">
        <v>451</v>
      </c>
      <c r="L987" t="str">
        <f>IFERROR(INDEX(Diccionario!$B:$B,MATCH(F987,Diccionario!$C:$C,0)),"")</f>
        <v>Contabilidad</v>
      </c>
      <c r="M987" t="str">
        <f>IFERROR(INDEX(Diccionario!$H:$H,MATCH(F987,Diccionario!$C:$C,0)),"")</f>
        <v>Contabilidad</v>
      </c>
      <c r="N987" t="str">
        <f>IFERROR(INDEX(Diccionario!$N:$N,MATCH(F987,Diccionario!$C:$C,0)),"")</f>
        <v>Mensual</v>
      </c>
    </row>
    <row r="988" spans="1:14" ht="14.25" customHeight="1" x14ac:dyDescent="0.3">
      <c r="A988" t="s">
        <v>552</v>
      </c>
      <c r="B988" t="s">
        <v>522</v>
      </c>
      <c r="C988" t="s">
        <v>523</v>
      </c>
      <c r="D988" t="s">
        <v>451</v>
      </c>
      <c r="E988" t="s">
        <v>524</v>
      </c>
      <c r="F988" t="s">
        <v>377</v>
      </c>
      <c r="H988" t="s">
        <v>571</v>
      </c>
      <c r="I988">
        <v>18500000</v>
      </c>
      <c r="J988" t="s">
        <v>451</v>
      </c>
      <c r="L988" t="str">
        <f>IFERROR(INDEX(Diccionario!$B:$B,MATCH(F988,Diccionario!$C:$C,0)),"")</f>
        <v>Contabilidad</v>
      </c>
      <c r="M988" t="str">
        <f>IFERROR(INDEX(Diccionario!$H:$H,MATCH(F988,Diccionario!$C:$C,0)),"")</f>
        <v>Contabilidad</v>
      </c>
      <c r="N988" t="str">
        <f>IFERROR(INDEX(Diccionario!$N:$N,MATCH(F988,Diccionario!$C:$C,0)),"")</f>
        <v>Mensual</v>
      </c>
    </row>
    <row r="989" spans="1:14" ht="14.25" customHeight="1" x14ac:dyDescent="0.3">
      <c r="A989" t="s">
        <v>553</v>
      </c>
      <c r="B989" t="s">
        <v>522</v>
      </c>
      <c r="C989" t="s">
        <v>523</v>
      </c>
      <c r="D989" t="s">
        <v>451</v>
      </c>
      <c r="E989" t="s">
        <v>524</v>
      </c>
      <c r="F989" t="s">
        <v>377</v>
      </c>
      <c r="H989" t="s">
        <v>565</v>
      </c>
      <c r="I989">
        <v>61100000</v>
      </c>
      <c r="J989" t="s">
        <v>451</v>
      </c>
      <c r="L989" t="str">
        <f>IFERROR(INDEX(Diccionario!$B:$B,MATCH(F989,Diccionario!$C:$C,0)),"")</f>
        <v>Contabilidad</v>
      </c>
      <c r="M989" t="str">
        <f>IFERROR(INDEX(Diccionario!$H:$H,MATCH(F989,Diccionario!$C:$C,0)),"")</f>
        <v>Contabilidad</v>
      </c>
      <c r="N989" t="str">
        <f>IFERROR(INDEX(Diccionario!$N:$N,MATCH(F989,Diccionario!$C:$C,0)),"")</f>
        <v>Mensual</v>
      </c>
    </row>
    <row r="990" spans="1:14" ht="14.25" customHeight="1" x14ac:dyDescent="0.3">
      <c r="A990" t="s">
        <v>553</v>
      </c>
      <c r="B990" t="s">
        <v>522</v>
      </c>
      <c r="C990" t="s">
        <v>523</v>
      </c>
      <c r="D990" t="s">
        <v>451</v>
      </c>
      <c r="E990" t="s">
        <v>524</v>
      </c>
      <c r="F990" t="s">
        <v>377</v>
      </c>
      <c r="H990" t="s">
        <v>577</v>
      </c>
      <c r="I990">
        <v>28900000</v>
      </c>
      <c r="J990" t="s">
        <v>451</v>
      </c>
      <c r="L990" t="str">
        <f>IFERROR(INDEX(Diccionario!$B:$B,MATCH(F990,Diccionario!$C:$C,0)),"")</f>
        <v>Contabilidad</v>
      </c>
      <c r="M990" t="str">
        <f>IFERROR(INDEX(Diccionario!$H:$H,MATCH(F990,Diccionario!$C:$C,0)),"")</f>
        <v>Contabilidad</v>
      </c>
      <c r="N990" t="str">
        <f>IFERROR(INDEX(Diccionario!$N:$N,MATCH(F990,Diccionario!$C:$C,0)),"")</f>
        <v>Mensual</v>
      </c>
    </row>
    <row r="991" spans="1:14" ht="14.25" customHeight="1" x14ac:dyDescent="0.3">
      <c r="A991" t="s">
        <v>553</v>
      </c>
      <c r="B991" t="s">
        <v>522</v>
      </c>
      <c r="C991" t="s">
        <v>523</v>
      </c>
      <c r="D991" t="s">
        <v>451</v>
      </c>
      <c r="E991" t="s">
        <v>524</v>
      </c>
      <c r="F991" t="s">
        <v>377</v>
      </c>
      <c r="H991" t="s">
        <v>568</v>
      </c>
      <c r="I991">
        <v>100000</v>
      </c>
      <c r="J991" t="s">
        <v>451</v>
      </c>
      <c r="L991" t="str">
        <f>IFERROR(INDEX(Diccionario!$B:$B,MATCH(F991,Diccionario!$C:$C,0)),"")</f>
        <v>Contabilidad</v>
      </c>
      <c r="M991" t="str">
        <f>IFERROR(INDEX(Diccionario!$H:$H,MATCH(F991,Diccionario!$C:$C,0)),"")</f>
        <v>Contabilidad</v>
      </c>
      <c r="N991" t="str">
        <f>IFERROR(INDEX(Diccionario!$N:$N,MATCH(F991,Diccionario!$C:$C,0)),"")</f>
        <v>Mensual</v>
      </c>
    </row>
    <row r="992" spans="1:14" ht="14.25" customHeight="1" x14ac:dyDescent="0.3">
      <c r="A992" t="s">
        <v>553</v>
      </c>
      <c r="B992" t="s">
        <v>522</v>
      </c>
      <c r="C992" t="s">
        <v>523</v>
      </c>
      <c r="D992" t="s">
        <v>451</v>
      </c>
      <c r="E992" t="s">
        <v>524</v>
      </c>
      <c r="F992" t="s">
        <v>377</v>
      </c>
      <c r="H992" t="s">
        <v>569</v>
      </c>
      <c r="I992">
        <v>23100000</v>
      </c>
      <c r="J992" t="s">
        <v>451</v>
      </c>
      <c r="L992" t="str">
        <f>IFERROR(INDEX(Diccionario!$B:$B,MATCH(F992,Diccionario!$C:$C,0)),"")</f>
        <v>Contabilidad</v>
      </c>
      <c r="M992" t="str">
        <f>IFERROR(INDEX(Diccionario!$H:$H,MATCH(F992,Diccionario!$C:$C,0)),"")</f>
        <v>Contabilidad</v>
      </c>
      <c r="N992" t="str">
        <f>IFERROR(INDEX(Diccionario!$N:$N,MATCH(F992,Diccionario!$C:$C,0)),"")</f>
        <v>Mensual</v>
      </c>
    </row>
    <row r="993" spans="1:14" ht="14.25" customHeight="1" x14ac:dyDescent="0.3">
      <c r="A993" t="s">
        <v>553</v>
      </c>
      <c r="B993" t="s">
        <v>522</v>
      </c>
      <c r="C993" t="s">
        <v>523</v>
      </c>
      <c r="D993" t="s">
        <v>451</v>
      </c>
      <c r="E993" t="s">
        <v>524</v>
      </c>
      <c r="F993" t="s">
        <v>377</v>
      </c>
      <c r="H993" t="s">
        <v>570</v>
      </c>
      <c r="I993">
        <v>7700000</v>
      </c>
      <c r="J993" t="s">
        <v>451</v>
      </c>
      <c r="L993" t="str">
        <f>IFERROR(INDEX(Diccionario!$B:$B,MATCH(F993,Diccionario!$C:$C,0)),"")</f>
        <v>Contabilidad</v>
      </c>
      <c r="M993" t="str">
        <f>IFERROR(INDEX(Diccionario!$H:$H,MATCH(F993,Diccionario!$C:$C,0)),"")</f>
        <v>Contabilidad</v>
      </c>
      <c r="N993" t="str">
        <f>IFERROR(INDEX(Diccionario!$N:$N,MATCH(F993,Diccionario!$C:$C,0)),"")</f>
        <v>Mensual</v>
      </c>
    </row>
    <row r="994" spans="1:14" ht="14.25" customHeight="1" x14ac:dyDescent="0.3">
      <c r="A994" t="s">
        <v>553</v>
      </c>
      <c r="B994" t="s">
        <v>522</v>
      </c>
      <c r="C994" t="s">
        <v>523</v>
      </c>
      <c r="D994" t="s">
        <v>451</v>
      </c>
      <c r="E994" t="s">
        <v>524</v>
      </c>
      <c r="F994" t="s">
        <v>377</v>
      </c>
      <c r="H994" t="s">
        <v>571</v>
      </c>
      <c r="I994">
        <v>9100000</v>
      </c>
      <c r="J994" t="s">
        <v>451</v>
      </c>
      <c r="L994" t="str">
        <f>IFERROR(INDEX(Diccionario!$B:$B,MATCH(F994,Diccionario!$C:$C,0)),"")</f>
        <v>Contabilidad</v>
      </c>
      <c r="M994" t="str">
        <f>IFERROR(INDEX(Diccionario!$H:$H,MATCH(F994,Diccionario!$C:$C,0)),"")</f>
        <v>Contabilidad</v>
      </c>
      <c r="N994" t="str">
        <f>IFERROR(INDEX(Diccionario!$N:$N,MATCH(F994,Diccionario!$C:$C,0)),"")</f>
        <v>Mensual</v>
      </c>
    </row>
    <row r="995" spans="1:14" ht="14.25" customHeight="1" x14ac:dyDescent="0.3">
      <c r="A995" t="s">
        <v>554</v>
      </c>
      <c r="B995" t="s">
        <v>522</v>
      </c>
      <c r="C995" t="s">
        <v>523</v>
      </c>
      <c r="D995" t="s">
        <v>451</v>
      </c>
      <c r="E995" t="s">
        <v>524</v>
      </c>
      <c r="F995" t="s">
        <v>377</v>
      </c>
      <c r="H995" t="s">
        <v>565</v>
      </c>
      <c r="I995">
        <v>54300000</v>
      </c>
      <c r="J995" t="s">
        <v>451</v>
      </c>
      <c r="L995" t="str">
        <f>IFERROR(INDEX(Diccionario!$B:$B,MATCH(F995,Diccionario!$C:$C,0)),"")</f>
        <v>Contabilidad</v>
      </c>
      <c r="M995" t="str">
        <f>IFERROR(INDEX(Diccionario!$H:$H,MATCH(F995,Diccionario!$C:$C,0)),"")</f>
        <v>Contabilidad</v>
      </c>
      <c r="N995" t="str">
        <f>IFERROR(INDEX(Diccionario!$N:$N,MATCH(F995,Diccionario!$C:$C,0)),"")</f>
        <v>Mensual</v>
      </c>
    </row>
    <row r="996" spans="1:14" ht="14.25" customHeight="1" x14ac:dyDescent="0.3">
      <c r="A996" t="s">
        <v>554</v>
      </c>
      <c r="B996" t="s">
        <v>522</v>
      </c>
      <c r="C996" t="s">
        <v>523</v>
      </c>
      <c r="D996" t="s">
        <v>451</v>
      </c>
      <c r="E996" t="s">
        <v>524</v>
      </c>
      <c r="F996" t="s">
        <v>377</v>
      </c>
      <c r="H996" t="s">
        <v>577</v>
      </c>
      <c r="I996">
        <v>30600000</v>
      </c>
      <c r="J996" t="s">
        <v>451</v>
      </c>
      <c r="L996" t="str">
        <f>IFERROR(INDEX(Diccionario!$B:$B,MATCH(F996,Diccionario!$C:$C,0)),"")</f>
        <v>Contabilidad</v>
      </c>
      <c r="M996" t="str">
        <f>IFERROR(INDEX(Diccionario!$H:$H,MATCH(F996,Diccionario!$C:$C,0)),"")</f>
        <v>Contabilidad</v>
      </c>
      <c r="N996" t="str">
        <f>IFERROR(INDEX(Diccionario!$N:$N,MATCH(F996,Diccionario!$C:$C,0)),"")</f>
        <v>Mensual</v>
      </c>
    </row>
    <row r="997" spans="1:14" ht="14.25" customHeight="1" x14ac:dyDescent="0.3">
      <c r="A997" t="s">
        <v>554</v>
      </c>
      <c r="B997" t="s">
        <v>522</v>
      </c>
      <c r="C997" t="s">
        <v>523</v>
      </c>
      <c r="D997" t="s">
        <v>451</v>
      </c>
      <c r="E997" t="s">
        <v>524</v>
      </c>
      <c r="F997" t="s">
        <v>377</v>
      </c>
      <c r="H997" t="s">
        <v>568</v>
      </c>
      <c r="I997">
        <v>2100000</v>
      </c>
      <c r="J997" t="s">
        <v>451</v>
      </c>
      <c r="L997" t="str">
        <f>IFERROR(INDEX(Diccionario!$B:$B,MATCH(F997,Diccionario!$C:$C,0)),"")</f>
        <v>Contabilidad</v>
      </c>
      <c r="M997" t="str">
        <f>IFERROR(INDEX(Diccionario!$H:$H,MATCH(F997,Diccionario!$C:$C,0)),"")</f>
        <v>Contabilidad</v>
      </c>
      <c r="N997" t="str">
        <f>IFERROR(INDEX(Diccionario!$N:$N,MATCH(F997,Diccionario!$C:$C,0)),"")</f>
        <v>Mensual</v>
      </c>
    </row>
    <row r="998" spans="1:14" ht="14.25" customHeight="1" x14ac:dyDescent="0.3">
      <c r="A998" t="s">
        <v>554</v>
      </c>
      <c r="B998" t="s">
        <v>522</v>
      </c>
      <c r="C998" t="s">
        <v>523</v>
      </c>
      <c r="D998" t="s">
        <v>451</v>
      </c>
      <c r="E998" t="s">
        <v>524</v>
      </c>
      <c r="F998" t="s">
        <v>377</v>
      </c>
      <c r="H998" t="s">
        <v>569</v>
      </c>
      <c r="I998">
        <v>12200000</v>
      </c>
      <c r="J998" t="s">
        <v>451</v>
      </c>
      <c r="L998" t="str">
        <f>IFERROR(INDEX(Diccionario!$B:$B,MATCH(F998,Diccionario!$C:$C,0)),"")</f>
        <v>Contabilidad</v>
      </c>
      <c r="M998" t="str">
        <f>IFERROR(INDEX(Diccionario!$H:$H,MATCH(F998,Diccionario!$C:$C,0)),"")</f>
        <v>Contabilidad</v>
      </c>
      <c r="N998" t="str">
        <f>IFERROR(INDEX(Diccionario!$N:$N,MATCH(F998,Diccionario!$C:$C,0)),"")</f>
        <v>Mensual</v>
      </c>
    </row>
    <row r="999" spans="1:14" ht="14.25" customHeight="1" x14ac:dyDescent="0.3">
      <c r="A999" t="s">
        <v>554</v>
      </c>
      <c r="B999" t="s">
        <v>522</v>
      </c>
      <c r="C999" t="s">
        <v>523</v>
      </c>
      <c r="D999" t="s">
        <v>451</v>
      </c>
      <c r="E999" t="s">
        <v>524</v>
      </c>
      <c r="F999" t="s">
        <v>377</v>
      </c>
      <c r="H999" t="s">
        <v>570</v>
      </c>
      <c r="I999">
        <v>9100000</v>
      </c>
      <c r="J999" t="s">
        <v>451</v>
      </c>
      <c r="L999" t="str">
        <f>IFERROR(INDEX(Diccionario!$B:$B,MATCH(F999,Diccionario!$C:$C,0)),"")</f>
        <v>Contabilidad</v>
      </c>
      <c r="M999" t="str">
        <f>IFERROR(INDEX(Diccionario!$H:$H,MATCH(F999,Diccionario!$C:$C,0)),"")</f>
        <v>Contabilidad</v>
      </c>
      <c r="N999" t="str">
        <f>IFERROR(INDEX(Diccionario!$N:$N,MATCH(F999,Diccionario!$C:$C,0)),"")</f>
        <v>Mensual</v>
      </c>
    </row>
    <row r="1000" spans="1:14" ht="14.25" customHeight="1" x14ac:dyDescent="0.3">
      <c r="A1000" t="s">
        <v>554</v>
      </c>
      <c r="B1000" t="s">
        <v>522</v>
      </c>
      <c r="C1000" t="s">
        <v>523</v>
      </c>
      <c r="D1000" t="s">
        <v>451</v>
      </c>
      <c r="E1000" t="s">
        <v>524</v>
      </c>
      <c r="F1000" t="s">
        <v>377</v>
      </c>
      <c r="H1000" t="s">
        <v>571</v>
      </c>
      <c r="I1000">
        <v>11600000</v>
      </c>
      <c r="J1000" t="s">
        <v>451</v>
      </c>
      <c r="L1000" t="str">
        <f>IFERROR(INDEX(Diccionario!$B:$B,MATCH(F1000,Diccionario!$C:$C,0)),"")</f>
        <v>Contabilidad</v>
      </c>
      <c r="M1000" t="str">
        <f>IFERROR(INDEX(Diccionario!$H:$H,MATCH(F1000,Diccionario!$C:$C,0)),"")</f>
        <v>Contabilidad</v>
      </c>
      <c r="N1000" t="str">
        <f>IFERROR(INDEX(Diccionario!$N:$N,MATCH(F1000,Diccionario!$C:$C,0)),"")</f>
        <v>Mensual</v>
      </c>
    </row>
    <row r="1001" spans="1:14" ht="14.25" customHeight="1" x14ac:dyDescent="0.3">
      <c r="A1001" t="s">
        <v>528</v>
      </c>
      <c r="B1001" t="s">
        <v>522</v>
      </c>
      <c r="C1001" t="s">
        <v>523</v>
      </c>
      <c r="E1001" t="s">
        <v>524</v>
      </c>
      <c r="F1001" t="s">
        <v>323</v>
      </c>
      <c r="I1001">
        <v>22.66</v>
      </c>
      <c r="J1001" t="s">
        <v>65</v>
      </c>
      <c r="L1001" t="str">
        <f>IFERROR(INDEX(Diccionario!$B:$B,MATCH(F1001,Diccionario!$C:$C,0)),"")</f>
        <v>Contabilidad</v>
      </c>
      <c r="M1001" t="str">
        <f>IFERROR(INDEX(Diccionario!$H:$H,MATCH(F1001,Diccionario!$C:$C,0)),"")</f>
        <v>Contabilidad</v>
      </c>
      <c r="N1001" t="str">
        <f>IFERROR(INDEX(Diccionario!$N:$N,MATCH(F1001,Diccionario!$C:$C,0)),"")</f>
        <v>Mensual</v>
      </c>
    </row>
    <row r="1002" spans="1:14" ht="14.25" customHeight="1" x14ac:dyDescent="0.3">
      <c r="A1002" t="s">
        <v>529</v>
      </c>
      <c r="B1002" t="s">
        <v>522</v>
      </c>
      <c r="C1002" t="s">
        <v>523</v>
      </c>
      <c r="E1002" t="s">
        <v>524</v>
      </c>
      <c r="F1002" t="s">
        <v>323</v>
      </c>
      <c r="I1002">
        <v>22.39</v>
      </c>
      <c r="J1002" t="s">
        <v>65</v>
      </c>
      <c r="L1002" t="str">
        <f>IFERROR(INDEX(Diccionario!$B:$B,MATCH(F1002,Diccionario!$C:$C,0)),"")</f>
        <v>Contabilidad</v>
      </c>
      <c r="M1002" t="str">
        <f>IFERROR(INDEX(Diccionario!$H:$H,MATCH(F1002,Diccionario!$C:$C,0)),"")</f>
        <v>Contabilidad</v>
      </c>
      <c r="N1002" t="str">
        <f>IFERROR(INDEX(Diccionario!$N:$N,MATCH(F1002,Diccionario!$C:$C,0)),"")</f>
        <v>Mensual</v>
      </c>
    </row>
    <row r="1003" spans="1:14" ht="14.25" customHeight="1" x14ac:dyDescent="0.3">
      <c r="A1003" t="s">
        <v>530</v>
      </c>
      <c r="B1003" t="s">
        <v>522</v>
      </c>
      <c r="C1003" t="s">
        <v>523</v>
      </c>
      <c r="E1003" t="s">
        <v>524</v>
      </c>
      <c r="F1003" t="s">
        <v>323</v>
      </c>
      <c r="I1003">
        <v>24.42</v>
      </c>
      <c r="J1003" t="s">
        <v>65</v>
      </c>
      <c r="L1003" t="str">
        <f>IFERROR(INDEX(Diccionario!$B:$B,MATCH(F1003,Diccionario!$C:$C,0)),"")</f>
        <v>Contabilidad</v>
      </c>
      <c r="M1003" t="str">
        <f>IFERROR(INDEX(Diccionario!$H:$H,MATCH(F1003,Diccionario!$C:$C,0)),"")</f>
        <v>Contabilidad</v>
      </c>
      <c r="N1003" t="str">
        <f>IFERROR(INDEX(Diccionario!$N:$N,MATCH(F1003,Diccionario!$C:$C,0)),"")</f>
        <v>Mensual</v>
      </c>
    </row>
    <row r="1004" spans="1:14" ht="14.25" customHeight="1" x14ac:dyDescent="0.3">
      <c r="A1004" t="s">
        <v>531</v>
      </c>
      <c r="B1004" t="s">
        <v>522</v>
      </c>
      <c r="C1004" t="s">
        <v>523</v>
      </c>
      <c r="E1004" t="s">
        <v>524</v>
      </c>
      <c r="F1004" t="s">
        <v>323</v>
      </c>
      <c r="I1004">
        <v>13.1</v>
      </c>
      <c r="J1004" t="s">
        <v>65</v>
      </c>
      <c r="L1004" t="str">
        <f>IFERROR(INDEX(Diccionario!$B:$B,MATCH(F1004,Diccionario!$C:$C,0)),"")</f>
        <v>Contabilidad</v>
      </c>
      <c r="M1004" t="str">
        <f>IFERROR(INDEX(Diccionario!$H:$H,MATCH(F1004,Diccionario!$C:$C,0)),"")</f>
        <v>Contabilidad</v>
      </c>
      <c r="N1004" t="str">
        <f>IFERROR(INDEX(Diccionario!$N:$N,MATCH(F1004,Diccionario!$C:$C,0)),"")</f>
        <v>Mensual</v>
      </c>
    </row>
    <row r="1005" spans="1:14" ht="14.25" customHeight="1" x14ac:dyDescent="0.3">
      <c r="A1005" t="s">
        <v>532</v>
      </c>
      <c r="B1005" t="s">
        <v>522</v>
      </c>
      <c r="C1005" t="s">
        <v>523</v>
      </c>
      <c r="E1005" t="s">
        <v>524</v>
      </c>
      <c r="F1005" t="s">
        <v>323</v>
      </c>
      <c r="I1005">
        <v>26.07</v>
      </c>
      <c r="J1005" t="s">
        <v>65</v>
      </c>
      <c r="L1005" t="str">
        <f>IFERROR(INDEX(Diccionario!$B:$B,MATCH(F1005,Diccionario!$C:$C,0)),"")</f>
        <v>Contabilidad</v>
      </c>
      <c r="M1005" t="str">
        <f>IFERROR(INDEX(Diccionario!$H:$H,MATCH(F1005,Diccionario!$C:$C,0)),"")</f>
        <v>Contabilidad</v>
      </c>
      <c r="N1005" t="str">
        <f>IFERROR(INDEX(Diccionario!$N:$N,MATCH(F1005,Diccionario!$C:$C,0)),"")</f>
        <v>Mensual</v>
      </c>
    </row>
    <row r="1006" spans="1:14" ht="14.25" customHeight="1" x14ac:dyDescent="0.3">
      <c r="A1006" t="s">
        <v>533</v>
      </c>
      <c r="B1006" t="s">
        <v>522</v>
      </c>
      <c r="C1006" t="s">
        <v>523</v>
      </c>
      <c r="E1006" t="s">
        <v>524</v>
      </c>
      <c r="F1006" t="s">
        <v>323</v>
      </c>
      <c r="I1006">
        <v>25.49</v>
      </c>
      <c r="J1006" t="s">
        <v>65</v>
      </c>
      <c r="L1006" t="str">
        <f>IFERROR(INDEX(Diccionario!$B:$B,MATCH(F1006,Diccionario!$C:$C,0)),"")</f>
        <v>Contabilidad</v>
      </c>
      <c r="M1006" t="str">
        <f>IFERROR(INDEX(Diccionario!$H:$H,MATCH(F1006,Diccionario!$C:$C,0)),"")</f>
        <v>Contabilidad</v>
      </c>
      <c r="N1006" t="str">
        <f>IFERROR(INDEX(Diccionario!$N:$N,MATCH(F1006,Diccionario!$C:$C,0)),"")</f>
        <v>Mensual</v>
      </c>
    </row>
    <row r="1007" spans="1:14" ht="14.25" customHeight="1" x14ac:dyDescent="0.3">
      <c r="A1007" t="s">
        <v>534</v>
      </c>
      <c r="B1007" t="s">
        <v>522</v>
      </c>
      <c r="C1007" t="s">
        <v>523</v>
      </c>
      <c r="E1007" t="s">
        <v>524</v>
      </c>
      <c r="F1007" t="s">
        <v>323</v>
      </c>
      <c r="I1007">
        <v>30.65</v>
      </c>
      <c r="J1007" t="s">
        <v>65</v>
      </c>
      <c r="L1007" t="str">
        <f>IFERROR(INDEX(Diccionario!$B:$B,MATCH(F1007,Diccionario!$C:$C,0)),"")</f>
        <v>Contabilidad</v>
      </c>
      <c r="M1007" t="str">
        <f>IFERROR(INDEX(Diccionario!$H:$H,MATCH(F1007,Diccionario!$C:$C,0)),"")</f>
        <v>Contabilidad</v>
      </c>
      <c r="N1007" t="str">
        <f>IFERROR(INDEX(Diccionario!$N:$N,MATCH(F1007,Diccionario!$C:$C,0)),"")</f>
        <v>Mensual</v>
      </c>
    </row>
    <row r="1008" spans="1:14" ht="14.25" customHeight="1" x14ac:dyDescent="0.3">
      <c r="A1008" t="s">
        <v>535</v>
      </c>
      <c r="B1008" t="s">
        <v>522</v>
      </c>
      <c r="C1008" t="s">
        <v>523</v>
      </c>
      <c r="E1008" t="s">
        <v>524</v>
      </c>
      <c r="F1008" t="s">
        <v>323</v>
      </c>
      <c r="I1008">
        <v>23.39</v>
      </c>
      <c r="J1008" t="s">
        <v>65</v>
      </c>
      <c r="L1008" t="str">
        <f>IFERROR(INDEX(Diccionario!$B:$B,MATCH(F1008,Diccionario!$C:$C,0)),"")</f>
        <v>Contabilidad</v>
      </c>
      <c r="M1008" t="str">
        <f>IFERROR(INDEX(Diccionario!$H:$H,MATCH(F1008,Diccionario!$C:$C,0)),"")</f>
        <v>Contabilidad</v>
      </c>
      <c r="N1008" t="str">
        <f>IFERROR(INDEX(Diccionario!$N:$N,MATCH(F1008,Diccionario!$C:$C,0)),"")</f>
        <v>Mensual</v>
      </c>
    </row>
    <row r="1009" spans="1:14" ht="14.25" customHeight="1" x14ac:dyDescent="0.3">
      <c r="A1009" t="s">
        <v>536</v>
      </c>
      <c r="B1009" t="s">
        <v>522</v>
      </c>
      <c r="C1009" t="s">
        <v>523</v>
      </c>
      <c r="E1009" t="s">
        <v>524</v>
      </c>
      <c r="F1009" t="s">
        <v>323</v>
      </c>
      <c r="I1009">
        <v>14.18</v>
      </c>
      <c r="J1009" t="s">
        <v>65</v>
      </c>
      <c r="L1009" t="str">
        <f>IFERROR(INDEX(Diccionario!$B:$B,MATCH(F1009,Diccionario!$C:$C,0)),"")</f>
        <v>Contabilidad</v>
      </c>
      <c r="M1009" t="str">
        <f>IFERROR(INDEX(Diccionario!$H:$H,MATCH(F1009,Diccionario!$C:$C,0)),"")</f>
        <v>Contabilidad</v>
      </c>
      <c r="N1009" t="str">
        <f>IFERROR(INDEX(Diccionario!$N:$N,MATCH(F1009,Diccionario!$C:$C,0)),"")</f>
        <v>Mensual</v>
      </c>
    </row>
    <row r="1010" spans="1:14" ht="14.25" customHeight="1" x14ac:dyDescent="0.3">
      <c r="A1010" t="s">
        <v>538</v>
      </c>
      <c r="B1010" t="s">
        <v>522</v>
      </c>
      <c r="C1010" t="s">
        <v>523</v>
      </c>
      <c r="E1010" t="s">
        <v>524</v>
      </c>
      <c r="F1010" t="s">
        <v>323</v>
      </c>
      <c r="I1010">
        <v>8.2100000000000009</v>
      </c>
      <c r="J1010" t="s">
        <v>65</v>
      </c>
      <c r="L1010" t="str">
        <f>IFERROR(INDEX(Diccionario!$B:$B,MATCH(F1010,Diccionario!$C:$C,0)),"")</f>
        <v>Contabilidad</v>
      </c>
      <c r="M1010" t="str">
        <f>IFERROR(INDEX(Diccionario!$H:$H,MATCH(F1010,Diccionario!$C:$C,0)),"")</f>
        <v>Contabilidad</v>
      </c>
      <c r="N1010" t="str">
        <f>IFERROR(INDEX(Diccionario!$N:$N,MATCH(F1010,Diccionario!$C:$C,0)),"")</f>
        <v>Mensual</v>
      </c>
    </row>
    <row r="1011" spans="1:14" ht="14.25" customHeight="1" x14ac:dyDescent="0.3">
      <c r="A1011" t="s">
        <v>539</v>
      </c>
      <c r="B1011" t="s">
        <v>522</v>
      </c>
      <c r="C1011" t="s">
        <v>523</v>
      </c>
      <c r="E1011" t="s">
        <v>524</v>
      </c>
      <c r="F1011" t="s">
        <v>323</v>
      </c>
      <c r="I1011">
        <v>29.93</v>
      </c>
      <c r="J1011" t="s">
        <v>65</v>
      </c>
      <c r="L1011" t="str">
        <f>IFERROR(INDEX(Diccionario!$B:$B,MATCH(F1011,Diccionario!$C:$C,0)),"")</f>
        <v>Contabilidad</v>
      </c>
      <c r="M1011" t="str">
        <f>IFERROR(INDEX(Diccionario!$H:$H,MATCH(F1011,Diccionario!$C:$C,0)),"")</f>
        <v>Contabilidad</v>
      </c>
      <c r="N1011" t="str">
        <f>IFERROR(INDEX(Diccionario!$N:$N,MATCH(F1011,Diccionario!$C:$C,0)),"")</f>
        <v>Mensual</v>
      </c>
    </row>
    <row r="1012" spans="1:14" ht="14.25" customHeight="1" x14ac:dyDescent="0.3">
      <c r="A1012" t="s">
        <v>540</v>
      </c>
      <c r="B1012" t="s">
        <v>522</v>
      </c>
      <c r="C1012" t="s">
        <v>523</v>
      </c>
      <c r="E1012" t="s">
        <v>524</v>
      </c>
      <c r="F1012" t="s">
        <v>323</v>
      </c>
      <c r="I1012">
        <v>26.97</v>
      </c>
      <c r="J1012" t="s">
        <v>65</v>
      </c>
      <c r="L1012" t="str">
        <f>IFERROR(INDEX(Diccionario!$B:$B,MATCH(F1012,Diccionario!$C:$C,0)),"")</f>
        <v>Contabilidad</v>
      </c>
      <c r="M1012" t="str">
        <f>IFERROR(INDEX(Diccionario!$H:$H,MATCH(F1012,Diccionario!$C:$C,0)),"")</f>
        <v>Contabilidad</v>
      </c>
      <c r="N1012" t="str">
        <f>IFERROR(INDEX(Diccionario!$N:$N,MATCH(F1012,Diccionario!$C:$C,0)),"")</f>
        <v>Mensual</v>
      </c>
    </row>
    <row r="1013" spans="1:14" ht="14.25" customHeight="1" x14ac:dyDescent="0.3">
      <c r="A1013" t="s">
        <v>541</v>
      </c>
      <c r="B1013" t="s">
        <v>522</v>
      </c>
      <c r="C1013" t="s">
        <v>523</v>
      </c>
      <c r="E1013" t="s">
        <v>524</v>
      </c>
      <c r="F1013" t="s">
        <v>323</v>
      </c>
      <c r="I1013">
        <v>21.93</v>
      </c>
      <c r="J1013" t="s">
        <v>65</v>
      </c>
      <c r="L1013" t="str">
        <f>IFERROR(INDEX(Diccionario!$B:$B,MATCH(F1013,Diccionario!$C:$C,0)),"")</f>
        <v>Contabilidad</v>
      </c>
      <c r="M1013" t="str">
        <f>IFERROR(INDEX(Diccionario!$H:$H,MATCH(F1013,Diccionario!$C:$C,0)),"")</f>
        <v>Contabilidad</v>
      </c>
      <c r="N1013" t="str">
        <f>IFERROR(INDEX(Diccionario!$N:$N,MATCH(F1013,Diccionario!$C:$C,0)),"")</f>
        <v>Mensual</v>
      </c>
    </row>
    <row r="1014" spans="1:14" ht="14.25" customHeight="1" x14ac:dyDescent="0.3">
      <c r="A1014" t="s">
        <v>542</v>
      </c>
      <c r="B1014" t="s">
        <v>522</v>
      </c>
      <c r="C1014" t="s">
        <v>523</v>
      </c>
      <c r="E1014" t="s">
        <v>524</v>
      </c>
      <c r="F1014" t="s">
        <v>323</v>
      </c>
      <c r="I1014">
        <v>19.54</v>
      </c>
      <c r="J1014" t="s">
        <v>65</v>
      </c>
      <c r="L1014" t="str">
        <f>IFERROR(INDEX(Diccionario!$B:$B,MATCH(F1014,Diccionario!$C:$C,0)),"")</f>
        <v>Contabilidad</v>
      </c>
      <c r="M1014" t="str">
        <f>IFERROR(INDEX(Diccionario!$H:$H,MATCH(F1014,Diccionario!$C:$C,0)),"")</f>
        <v>Contabilidad</v>
      </c>
      <c r="N1014" t="str">
        <f>IFERROR(INDEX(Diccionario!$N:$N,MATCH(F1014,Diccionario!$C:$C,0)),"")</f>
        <v>Mensual</v>
      </c>
    </row>
    <row r="1015" spans="1:14" ht="14.25" customHeight="1" x14ac:dyDescent="0.3">
      <c r="A1015" t="s">
        <v>543</v>
      </c>
      <c r="B1015" t="s">
        <v>522</v>
      </c>
      <c r="C1015" t="s">
        <v>523</v>
      </c>
      <c r="E1015" t="s">
        <v>524</v>
      </c>
      <c r="F1015" t="s">
        <v>323</v>
      </c>
      <c r="I1015">
        <v>46.64</v>
      </c>
      <c r="J1015" t="s">
        <v>65</v>
      </c>
      <c r="L1015" t="str">
        <f>IFERROR(INDEX(Diccionario!$B:$B,MATCH(F1015,Diccionario!$C:$C,0)),"")</f>
        <v>Contabilidad</v>
      </c>
      <c r="M1015" t="str">
        <f>IFERROR(INDEX(Diccionario!$H:$H,MATCH(F1015,Diccionario!$C:$C,0)),"")</f>
        <v>Contabilidad</v>
      </c>
      <c r="N1015" t="str">
        <f>IFERROR(INDEX(Diccionario!$N:$N,MATCH(F1015,Diccionario!$C:$C,0)),"")</f>
        <v>Mensual</v>
      </c>
    </row>
    <row r="1016" spans="1:14" ht="14.25" customHeight="1" x14ac:dyDescent="0.3">
      <c r="A1016" t="s">
        <v>544</v>
      </c>
      <c r="B1016" t="s">
        <v>522</v>
      </c>
      <c r="C1016" t="s">
        <v>523</v>
      </c>
      <c r="E1016" t="s">
        <v>524</v>
      </c>
      <c r="F1016" t="s">
        <v>323</v>
      </c>
      <c r="I1016">
        <v>7.9</v>
      </c>
      <c r="J1016" t="s">
        <v>65</v>
      </c>
      <c r="L1016" t="str">
        <f>IFERROR(INDEX(Diccionario!$B:$B,MATCH(F1016,Diccionario!$C:$C,0)),"")</f>
        <v>Contabilidad</v>
      </c>
      <c r="M1016" t="str">
        <f>IFERROR(INDEX(Diccionario!$H:$H,MATCH(F1016,Diccionario!$C:$C,0)),"")</f>
        <v>Contabilidad</v>
      </c>
      <c r="N1016" t="str">
        <f>IFERROR(INDEX(Diccionario!$N:$N,MATCH(F1016,Diccionario!$C:$C,0)),"")</f>
        <v>Mensual</v>
      </c>
    </row>
    <row r="1017" spans="1:14" ht="14.25" customHeight="1" x14ac:dyDescent="0.3">
      <c r="A1017" t="s">
        <v>545</v>
      </c>
      <c r="B1017" t="s">
        <v>522</v>
      </c>
      <c r="C1017" t="s">
        <v>523</v>
      </c>
      <c r="E1017" t="s">
        <v>524</v>
      </c>
      <c r="F1017" t="s">
        <v>323</v>
      </c>
      <c r="I1017">
        <v>13.35</v>
      </c>
      <c r="J1017" t="s">
        <v>65</v>
      </c>
      <c r="L1017" t="str">
        <f>IFERROR(INDEX(Diccionario!$B:$B,MATCH(F1017,Diccionario!$C:$C,0)),"")</f>
        <v>Contabilidad</v>
      </c>
      <c r="M1017" t="str">
        <f>IFERROR(INDEX(Diccionario!$H:$H,MATCH(F1017,Diccionario!$C:$C,0)),"")</f>
        <v>Contabilidad</v>
      </c>
      <c r="N1017" t="str">
        <f>IFERROR(INDEX(Diccionario!$N:$N,MATCH(F1017,Diccionario!$C:$C,0)),"")</f>
        <v>Mensual</v>
      </c>
    </row>
    <row r="1018" spans="1:14" ht="14.25" customHeight="1" x14ac:dyDescent="0.3">
      <c r="A1018" t="s">
        <v>546</v>
      </c>
      <c r="B1018" t="s">
        <v>522</v>
      </c>
      <c r="C1018" t="s">
        <v>523</v>
      </c>
      <c r="E1018" t="s">
        <v>524</v>
      </c>
      <c r="F1018" t="s">
        <v>323</v>
      </c>
      <c r="I1018">
        <v>25.04</v>
      </c>
      <c r="J1018" t="s">
        <v>65</v>
      </c>
      <c r="L1018" t="str">
        <f>IFERROR(INDEX(Diccionario!$B:$B,MATCH(F1018,Diccionario!$C:$C,0)),"")</f>
        <v>Contabilidad</v>
      </c>
      <c r="M1018" t="str">
        <f>IFERROR(INDEX(Diccionario!$H:$H,MATCH(F1018,Diccionario!$C:$C,0)),"")</f>
        <v>Contabilidad</v>
      </c>
      <c r="N1018" t="str">
        <f>IFERROR(INDEX(Diccionario!$N:$N,MATCH(F1018,Diccionario!$C:$C,0)),"")</f>
        <v>Mensual</v>
      </c>
    </row>
    <row r="1019" spans="1:14" ht="14.25" customHeight="1" x14ac:dyDescent="0.3">
      <c r="A1019" t="s">
        <v>547</v>
      </c>
      <c r="B1019" t="s">
        <v>522</v>
      </c>
      <c r="C1019" t="s">
        <v>523</v>
      </c>
      <c r="E1019" t="s">
        <v>524</v>
      </c>
      <c r="F1019" t="s">
        <v>323</v>
      </c>
      <c r="I1019">
        <v>39.69</v>
      </c>
      <c r="J1019" t="s">
        <v>65</v>
      </c>
      <c r="L1019" t="str">
        <f>IFERROR(INDEX(Diccionario!$B:$B,MATCH(F1019,Diccionario!$C:$C,0)),"")</f>
        <v>Contabilidad</v>
      </c>
      <c r="M1019" t="str">
        <f>IFERROR(INDEX(Diccionario!$H:$H,MATCH(F1019,Diccionario!$C:$C,0)),"")</f>
        <v>Contabilidad</v>
      </c>
      <c r="N1019" t="str">
        <f>IFERROR(INDEX(Diccionario!$N:$N,MATCH(F1019,Diccionario!$C:$C,0)),"")</f>
        <v>Mensual</v>
      </c>
    </row>
    <row r="1020" spans="1:14" ht="14.25" customHeight="1" x14ac:dyDescent="0.3">
      <c r="A1020" t="s">
        <v>548</v>
      </c>
      <c r="B1020" t="s">
        <v>522</v>
      </c>
      <c r="C1020" t="s">
        <v>523</v>
      </c>
      <c r="E1020" t="s">
        <v>524</v>
      </c>
      <c r="F1020" t="s">
        <v>323</v>
      </c>
      <c r="I1020">
        <v>20.96</v>
      </c>
      <c r="J1020" t="s">
        <v>65</v>
      </c>
      <c r="L1020" t="str">
        <f>IFERROR(INDEX(Diccionario!$B:$B,MATCH(F1020,Diccionario!$C:$C,0)),"")</f>
        <v>Contabilidad</v>
      </c>
      <c r="M1020" t="str">
        <f>IFERROR(INDEX(Diccionario!$H:$H,MATCH(F1020,Diccionario!$C:$C,0)),"")</f>
        <v>Contabilidad</v>
      </c>
      <c r="N1020" t="str">
        <f>IFERROR(INDEX(Diccionario!$N:$N,MATCH(F1020,Diccionario!$C:$C,0)),"")</f>
        <v>Mensual</v>
      </c>
    </row>
    <row r="1021" spans="1:14" ht="14.25" customHeight="1" x14ac:dyDescent="0.3">
      <c r="A1021" t="s">
        <v>549</v>
      </c>
      <c r="B1021" t="s">
        <v>522</v>
      </c>
      <c r="C1021" t="s">
        <v>523</v>
      </c>
      <c r="E1021" t="s">
        <v>524</v>
      </c>
      <c r="F1021" t="s">
        <v>323</v>
      </c>
      <c r="I1021">
        <v>10.55</v>
      </c>
      <c r="J1021" t="s">
        <v>65</v>
      </c>
      <c r="L1021" t="str">
        <f>IFERROR(INDEX(Diccionario!$B:$B,MATCH(F1021,Diccionario!$C:$C,0)),"")</f>
        <v>Contabilidad</v>
      </c>
      <c r="M1021" t="str">
        <f>IFERROR(INDEX(Diccionario!$H:$H,MATCH(F1021,Diccionario!$C:$C,0)),"")</f>
        <v>Contabilidad</v>
      </c>
      <c r="N1021" t="str">
        <f>IFERROR(INDEX(Diccionario!$N:$N,MATCH(F1021,Diccionario!$C:$C,0)),"")</f>
        <v>Mensual</v>
      </c>
    </row>
    <row r="1022" spans="1:14" ht="14.25" customHeight="1" x14ac:dyDescent="0.3">
      <c r="A1022" t="s">
        <v>551</v>
      </c>
      <c r="B1022" t="s">
        <v>522</v>
      </c>
      <c r="C1022" t="s">
        <v>523</v>
      </c>
      <c r="E1022" t="s">
        <v>524</v>
      </c>
      <c r="F1022" t="s">
        <v>323</v>
      </c>
      <c r="I1022">
        <v>23.86</v>
      </c>
      <c r="J1022" t="s">
        <v>65</v>
      </c>
      <c r="L1022" t="str">
        <f>IFERROR(INDEX(Diccionario!$B:$B,MATCH(F1022,Diccionario!$C:$C,0)),"")</f>
        <v>Contabilidad</v>
      </c>
      <c r="M1022" t="str">
        <f>IFERROR(INDEX(Diccionario!$H:$H,MATCH(F1022,Diccionario!$C:$C,0)),"")</f>
        <v>Contabilidad</v>
      </c>
      <c r="N1022" t="str">
        <f>IFERROR(INDEX(Diccionario!$N:$N,MATCH(F1022,Diccionario!$C:$C,0)),"")</f>
        <v>Mensual</v>
      </c>
    </row>
    <row r="1023" spans="1:14" ht="14.25" customHeight="1" x14ac:dyDescent="0.3">
      <c r="A1023" t="s">
        <v>552</v>
      </c>
      <c r="B1023" t="s">
        <v>522</v>
      </c>
      <c r="C1023" t="s">
        <v>523</v>
      </c>
      <c r="E1023" t="s">
        <v>524</v>
      </c>
      <c r="F1023" t="s">
        <v>323</v>
      </c>
      <c r="I1023">
        <v>35.68</v>
      </c>
      <c r="J1023" t="s">
        <v>65</v>
      </c>
      <c r="L1023" t="str">
        <f>IFERROR(INDEX(Diccionario!$B:$B,MATCH(F1023,Diccionario!$C:$C,0)),"")</f>
        <v>Contabilidad</v>
      </c>
      <c r="M1023" t="str">
        <f>IFERROR(INDEX(Diccionario!$H:$H,MATCH(F1023,Diccionario!$C:$C,0)),"")</f>
        <v>Contabilidad</v>
      </c>
      <c r="N1023" t="str">
        <f>IFERROR(INDEX(Diccionario!$N:$N,MATCH(F1023,Diccionario!$C:$C,0)),"")</f>
        <v>Mensual</v>
      </c>
    </row>
    <row r="1024" spans="1:14" ht="14.25" customHeight="1" x14ac:dyDescent="0.3">
      <c r="A1024" t="s">
        <v>553</v>
      </c>
      <c r="B1024" t="s">
        <v>522</v>
      </c>
      <c r="C1024" t="s">
        <v>523</v>
      </c>
      <c r="E1024" t="s">
        <v>524</v>
      </c>
      <c r="F1024" t="s">
        <v>323</v>
      </c>
      <c r="I1024">
        <v>25.72</v>
      </c>
      <c r="J1024" t="s">
        <v>65</v>
      </c>
      <c r="L1024" t="str">
        <f>IFERROR(INDEX(Diccionario!$B:$B,MATCH(F1024,Diccionario!$C:$C,0)),"")</f>
        <v>Contabilidad</v>
      </c>
      <c r="M1024" t="str">
        <f>IFERROR(INDEX(Diccionario!$H:$H,MATCH(F1024,Diccionario!$C:$C,0)),"")</f>
        <v>Contabilidad</v>
      </c>
      <c r="N1024" t="str">
        <f>IFERROR(INDEX(Diccionario!$N:$N,MATCH(F1024,Diccionario!$C:$C,0)),"")</f>
        <v>Mensual</v>
      </c>
    </row>
    <row r="1025" spans="1:14" ht="14.25" customHeight="1" x14ac:dyDescent="0.3">
      <c r="A1025" t="s">
        <v>554</v>
      </c>
      <c r="B1025" t="s">
        <v>522</v>
      </c>
      <c r="C1025" t="s">
        <v>523</v>
      </c>
      <c r="E1025" t="s">
        <v>524</v>
      </c>
      <c r="F1025" t="s">
        <v>323</v>
      </c>
      <c r="I1025">
        <v>22.96</v>
      </c>
      <c r="J1025" t="s">
        <v>65</v>
      </c>
      <c r="L1025" t="str">
        <f>IFERROR(INDEX(Diccionario!$B:$B,MATCH(F1025,Diccionario!$C:$C,0)),"")</f>
        <v>Contabilidad</v>
      </c>
      <c r="M1025" t="str">
        <f>IFERROR(INDEX(Diccionario!$H:$H,MATCH(F1025,Diccionario!$C:$C,0)),"")</f>
        <v>Contabilidad</v>
      </c>
      <c r="N1025" t="str">
        <f>IFERROR(INDEX(Diccionario!$N:$N,MATCH(F1025,Diccionario!$C:$C,0)),"")</f>
        <v>Mensual</v>
      </c>
    </row>
    <row r="1026" spans="1:14" ht="14.25" customHeight="1" x14ac:dyDescent="0.3">
      <c r="A1026" t="s">
        <v>521</v>
      </c>
      <c r="B1026" t="s">
        <v>522</v>
      </c>
      <c r="C1026" t="s">
        <v>523</v>
      </c>
      <c r="D1026" t="s">
        <v>451</v>
      </c>
      <c r="E1026" t="s">
        <v>524</v>
      </c>
      <c r="F1026" t="s">
        <v>402</v>
      </c>
      <c r="I1026">
        <v>393759551</v>
      </c>
      <c r="J1026" t="s">
        <v>451</v>
      </c>
      <c r="L1026" t="str">
        <f>IFERROR(INDEX(Diccionario!$B:$B,MATCH(F1026,Diccionario!$C:$C,0)),"")</f>
        <v>Finanzas</v>
      </c>
      <c r="M1026" t="str">
        <f>IFERROR(INDEX(Diccionario!$H:$H,MATCH(F1026,Diccionario!$C:$C,0)),"")</f>
        <v>Finanzas</v>
      </c>
      <c r="N1026" t="str">
        <f>IFERROR(INDEX(Diccionario!$N:$N,MATCH(F1026,Diccionario!$C:$C,0)),"")</f>
        <v>Mensual</v>
      </c>
    </row>
    <row r="1027" spans="1:14" ht="14.25" customHeight="1" x14ac:dyDescent="0.3">
      <c r="A1027" t="s">
        <v>526</v>
      </c>
      <c r="B1027" t="s">
        <v>522</v>
      </c>
      <c r="C1027" t="s">
        <v>523</v>
      </c>
      <c r="D1027" t="s">
        <v>451</v>
      </c>
      <c r="E1027" t="s">
        <v>524</v>
      </c>
      <c r="F1027" t="s">
        <v>402</v>
      </c>
      <c r="I1027">
        <v>546983304</v>
      </c>
      <c r="J1027" t="s">
        <v>451</v>
      </c>
      <c r="L1027" t="str">
        <f>IFERROR(INDEX(Diccionario!$B:$B,MATCH(F1027,Diccionario!$C:$C,0)),"")</f>
        <v>Finanzas</v>
      </c>
      <c r="M1027" t="str">
        <f>IFERROR(INDEX(Diccionario!$H:$H,MATCH(F1027,Diccionario!$C:$C,0)),"")</f>
        <v>Finanzas</v>
      </c>
      <c r="N1027" t="str">
        <f>IFERROR(INDEX(Diccionario!$N:$N,MATCH(F1027,Diccionario!$C:$C,0)),"")</f>
        <v>Mensual</v>
      </c>
    </row>
    <row r="1028" spans="1:14" ht="14.25" customHeight="1" x14ac:dyDescent="0.3">
      <c r="A1028" t="s">
        <v>527</v>
      </c>
      <c r="B1028" t="s">
        <v>522</v>
      </c>
      <c r="C1028" t="s">
        <v>523</v>
      </c>
      <c r="D1028" t="s">
        <v>451</v>
      </c>
      <c r="E1028" t="s">
        <v>524</v>
      </c>
      <c r="F1028" t="s">
        <v>402</v>
      </c>
      <c r="I1028">
        <v>543692148</v>
      </c>
      <c r="J1028" t="s">
        <v>451</v>
      </c>
      <c r="L1028" t="str">
        <f>IFERROR(INDEX(Diccionario!$B:$B,MATCH(F1028,Diccionario!$C:$C,0)),"")</f>
        <v>Finanzas</v>
      </c>
      <c r="M1028" t="str">
        <f>IFERROR(INDEX(Diccionario!$H:$H,MATCH(F1028,Diccionario!$C:$C,0)),"")</f>
        <v>Finanzas</v>
      </c>
      <c r="N1028" t="str">
        <f>IFERROR(INDEX(Diccionario!$N:$N,MATCH(F1028,Diccionario!$C:$C,0)),"")</f>
        <v>Mensual</v>
      </c>
    </row>
    <row r="1029" spans="1:14" ht="14.25" customHeight="1" x14ac:dyDescent="0.3">
      <c r="A1029" t="s">
        <v>528</v>
      </c>
      <c r="B1029" t="s">
        <v>522</v>
      </c>
      <c r="C1029" t="s">
        <v>523</v>
      </c>
      <c r="D1029" t="s">
        <v>451</v>
      </c>
      <c r="E1029" t="s">
        <v>524</v>
      </c>
      <c r="F1029" t="s">
        <v>402</v>
      </c>
      <c r="I1029">
        <v>529778177</v>
      </c>
      <c r="J1029" t="s">
        <v>451</v>
      </c>
      <c r="L1029" t="str">
        <f>IFERROR(INDEX(Diccionario!$B:$B,MATCH(F1029,Diccionario!$C:$C,0)),"")</f>
        <v>Finanzas</v>
      </c>
      <c r="M1029" t="str">
        <f>IFERROR(INDEX(Diccionario!$H:$H,MATCH(F1029,Diccionario!$C:$C,0)),"")</f>
        <v>Finanzas</v>
      </c>
      <c r="N1029" t="str">
        <f>IFERROR(INDEX(Diccionario!$N:$N,MATCH(F1029,Diccionario!$C:$C,0)),"")</f>
        <v>Mensual</v>
      </c>
    </row>
    <row r="1030" spans="1:14" ht="14.25" customHeight="1" x14ac:dyDescent="0.3">
      <c r="A1030" t="s">
        <v>529</v>
      </c>
      <c r="B1030" t="s">
        <v>522</v>
      </c>
      <c r="C1030" t="s">
        <v>523</v>
      </c>
      <c r="D1030" t="s">
        <v>451</v>
      </c>
      <c r="E1030" t="s">
        <v>524</v>
      </c>
      <c r="F1030" t="s">
        <v>402</v>
      </c>
      <c r="I1030">
        <v>605227323</v>
      </c>
      <c r="J1030" t="s">
        <v>451</v>
      </c>
      <c r="L1030" t="str">
        <f>IFERROR(INDEX(Diccionario!$B:$B,MATCH(F1030,Diccionario!$C:$C,0)),"")</f>
        <v>Finanzas</v>
      </c>
      <c r="M1030" t="str">
        <f>IFERROR(INDEX(Diccionario!$H:$H,MATCH(F1030,Diccionario!$C:$C,0)),"")</f>
        <v>Finanzas</v>
      </c>
      <c r="N1030" t="str">
        <f>IFERROR(INDEX(Diccionario!$N:$N,MATCH(F1030,Diccionario!$C:$C,0)),"")</f>
        <v>Mensual</v>
      </c>
    </row>
    <row r="1031" spans="1:14" ht="14.25" customHeight="1" x14ac:dyDescent="0.3">
      <c r="A1031" t="s">
        <v>530</v>
      </c>
      <c r="B1031" t="s">
        <v>522</v>
      </c>
      <c r="C1031" t="s">
        <v>523</v>
      </c>
      <c r="D1031" t="s">
        <v>451</v>
      </c>
      <c r="E1031" t="s">
        <v>524</v>
      </c>
      <c r="F1031" t="s">
        <v>402</v>
      </c>
      <c r="I1031">
        <v>547523725</v>
      </c>
      <c r="J1031" t="s">
        <v>451</v>
      </c>
      <c r="L1031" t="str">
        <f>IFERROR(INDEX(Diccionario!$B:$B,MATCH(F1031,Diccionario!$C:$C,0)),"")</f>
        <v>Finanzas</v>
      </c>
      <c r="M1031" t="str">
        <f>IFERROR(INDEX(Diccionario!$H:$H,MATCH(F1031,Diccionario!$C:$C,0)),"")</f>
        <v>Finanzas</v>
      </c>
      <c r="N1031" t="str">
        <f>IFERROR(INDEX(Diccionario!$N:$N,MATCH(F1031,Diccionario!$C:$C,0)),"")</f>
        <v>Mensual</v>
      </c>
    </row>
    <row r="1032" spans="1:14" ht="14.25" customHeight="1" x14ac:dyDescent="0.3">
      <c r="A1032" t="s">
        <v>531</v>
      </c>
      <c r="B1032" t="s">
        <v>522</v>
      </c>
      <c r="C1032" t="s">
        <v>523</v>
      </c>
      <c r="D1032" t="s">
        <v>451</v>
      </c>
      <c r="E1032" t="s">
        <v>524</v>
      </c>
      <c r="F1032" t="s">
        <v>402</v>
      </c>
      <c r="I1032">
        <v>578363325</v>
      </c>
      <c r="J1032" t="s">
        <v>451</v>
      </c>
      <c r="L1032" t="str">
        <f>IFERROR(INDEX(Diccionario!$B:$B,MATCH(F1032,Diccionario!$C:$C,0)),"")</f>
        <v>Finanzas</v>
      </c>
      <c r="M1032" t="str">
        <f>IFERROR(INDEX(Diccionario!$H:$H,MATCH(F1032,Diccionario!$C:$C,0)),"")</f>
        <v>Finanzas</v>
      </c>
      <c r="N1032" t="str">
        <f>IFERROR(INDEX(Diccionario!$N:$N,MATCH(F1032,Diccionario!$C:$C,0)),"")</f>
        <v>Mensual</v>
      </c>
    </row>
    <row r="1033" spans="1:14" ht="14.25" customHeight="1" x14ac:dyDescent="0.3">
      <c r="A1033" t="s">
        <v>532</v>
      </c>
      <c r="B1033" t="s">
        <v>522</v>
      </c>
      <c r="C1033" t="s">
        <v>523</v>
      </c>
      <c r="D1033" t="s">
        <v>451</v>
      </c>
      <c r="E1033" t="s">
        <v>524</v>
      </c>
      <c r="F1033" t="s">
        <v>402</v>
      </c>
      <c r="I1033">
        <v>602616989</v>
      </c>
      <c r="J1033" t="s">
        <v>451</v>
      </c>
      <c r="L1033" t="str">
        <f>IFERROR(INDEX(Diccionario!$B:$B,MATCH(F1033,Diccionario!$C:$C,0)),"")</f>
        <v>Finanzas</v>
      </c>
      <c r="M1033" t="str">
        <f>IFERROR(INDEX(Diccionario!$H:$H,MATCH(F1033,Diccionario!$C:$C,0)),"")</f>
        <v>Finanzas</v>
      </c>
      <c r="N1033" t="str">
        <f>IFERROR(INDEX(Diccionario!$N:$N,MATCH(F1033,Diccionario!$C:$C,0)),"")</f>
        <v>Mensual</v>
      </c>
    </row>
    <row r="1034" spans="1:14" ht="14.25" customHeight="1" x14ac:dyDescent="0.3">
      <c r="A1034" t="s">
        <v>533</v>
      </c>
      <c r="B1034" t="s">
        <v>522</v>
      </c>
      <c r="C1034" t="s">
        <v>523</v>
      </c>
      <c r="D1034" t="s">
        <v>451</v>
      </c>
      <c r="E1034" t="s">
        <v>524</v>
      </c>
      <c r="F1034" t="s">
        <v>402</v>
      </c>
      <c r="I1034">
        <v>594469220</v>
      </c>
      <c r="J1034" t="s">
        <v>451</v>
      </c>
      <c r="L1034" t="str">
        <f>IFERROR(INDEX(Diccionario!$B:$B,MATCH(F1034,Diccionario!$C:$C,0)),"")</f>
        <v>Finanzas</v>
      </c>
      <c r="M1034" t="str">
        <f>IFERROR(INDEX(Diccionario!$H:$H,MATCH(F1034,Diccionario!$C:$C,0)),"")</f>
        <v>Finanzas</v>
      </c>
      <c r="N1034" t="str">
        <f>IFERROR(INDEX(Diccionario!$N:$N,MATCH(F1034,Diccionario!$C:$C,0)),"")</f>
        <v>Mensual</v>
      </c>
    </row>
    <row r="1035" spans="1:14" ht="14.25" customHeight="1" x14ac:dyDescent="0.3">
      <c r="A1035" t="s">
        <v>534</v>
      </c>
      <c r="B1035" t="s">
        <v>522</v>
      </c>
      <c r="C1035" t="s">
        <v>523</v>
      </c>
      <c r="D1035" t="s">
        <v>451</v>
      </c>
      <c r="E1035" t="s">
        <v>524</v>
      </c>
      <c r="F1035" t="s">
        <v>402</v>
      </c>
      <c r="I1035">
        <v>627068547</v>
      </c>
      <c r="J1035" t="s">
        <v>451</v>
      </c>
      <c r="L1035" t="str">
        <f>IFERROR(INDEX(Diccionario!$B:$B,MATCH(F1035,Diccionario!$C:$C,0)),"")</f>
        <v>Finanzas</v>
      </c>
      <c r="M1035" t="str">
        <f>IFERROR(INDEX(Diccionario!$H:$H,MATCH(F1035,Diccionario!$C:$C,0)),"")</f>
        <v>Finanzas</v>
      </c>
      <c r="N1035" t="str">
        <f>IFERROR(INDEX(Diccionario!$N:$N,MATCH(F1035,Diccionario!$C:$C,0)),"")</f>
        <v>Mensual</v>
      </c>
    </row>
    <row r="1036" spans="1:14" ht="14.25" customHeight="1" x14ac:dyDescent="0.3">
      <c r="A1036" t="s">
        <v>535</v>
      </c>
      <c r="B1036" t="s">
        <v>522</v>
      </c>
      <c r="C1036" t="s">
        <v>523</v>
      </c>
      <c r="D1036" t="s">
        <v>451</v>
      </c>
      <c r="E1036" t="s">
        <v>524</v>
      </c>
      <c r="F1036" t="s">
        <v>402</v>
      </c>
      <c r="I1036">
        <v>702199047</v>
      </c>
      <c r="J1036" t="s">
        <v>451</v>
      </c>
      <c r="L1036" t="str">
        <f>IFERROR(INDEX(Diccionario!$B:$B,MATCH(F1036,Diccionario!$C:$C,0)),"")</f>
        <v>Finanzas</v>
      </c>
      <c r="M1036" t="str">
        <f>IFERROR(INDEX(Diccionario!$H:$H,MATCH(F1036,Diccionario!$C:$C,0)),"")</f>
        <v>Finanzas</v>
      </c>
      <c r="N1036" t="str">
        <f>IFERROR(INDEX(Diccionario!$N:$N,MATCH(F1036,Diccionario!$C:$C,0)),"")</f>
        <v>Mensual</v>
      </c>
    </row>
    <row r="1037" spans="1:14" ht="14.25" customHeight="1" x14ac:dyDescent="0.3">
      <c r="A1037" t="s">
        <v>536</v>
      </c>
      <c r="B1037" t="s">
        <v>522</v>
      </c>
      <c r="C1037" t="s">
        <v>523</v>
      </c>
      <c r="D1037" t="s">
        <v>451</v>
      </c>
      <c r="E1037" t="s">
        <v>524</v>
      </c>
      <c r="F1037" t="s">
        <v>402</v>
      </c>
      <c r="I1037">
        <v>895000000</v>
      </c>
      <c r="J1037" t="s">
        <v>451</v>
      </c>
      <c r="L1037" t="str">
        <f>IFERROR(INDEX(Diccionario!$B:$B,MATCH(F1037,Diccionario!$C:$C,0)),"")</f>
        <v>Finanzas</v>
      </c>
      <c r="M1037" t="str">
        <f>IFERROR(INDEX(Diccionario!$H:$H,MATCH(F1037,Diccionario!$C:$C,0)),"")</f>
        <v>Finanzas</v>
      </c>
      <c r="N1037" t="str">
        <f>IFERROR(INDEX(Diccionario!$N:$N,MATCH(F1037,Diccionario!$C:$C,0)),"")</f>
        <v>Mensual</v>
      </c>
    </row>
    <row r="1038" spans="1:14" ht="14.25" customHeight="1" x14ac:dyDescent="0.3">
      <c r="A1038" t="s">
        <v>537</v>
      </c>
      <c r="B1038" t="s">
        <v>522</v>
      </c>
      <c r="C1038" t="s">
        <v>523</v>
      </c>
      <c r="D1038" t="s">
        <v>451</v>
      </c>
      <c r="E1038" t="s">
        <v>524</v>
      </c>
      <c r="F1038" t="s">
        <v>402</v>
      </c>
      <c r="I1038">
        <v>507300096</v>
      </c>
      <c r="J1038" t="s">
        <v>451</v>
      </c>
      <c r="L1038" t="str">
        <f>IFERROR(INDEX(Diccionario!$B:$B,MATCH(F1038,Diccionario!$C:$C,0)),"")</f>
        <v>Finanzas</v>
      </c>
      <c r="M1038" t="str">
        <f>IFERROR(INDEX(Diccionario!$H:$H,MATCH(F1038,Diccionario!$C:$C,0)),"")</f>
        <v>Finanzas</v>
      </c>
      <c r="N1038" t="str">
        <f>IFERROR(INDEX(Diccionario!$N:$N,MATCH(F1038,Diccionario!$C:$C,0)),"")</f>
        <v>Mensual</v>
      </c>
    </row>
    <row r="1039" spans="1:14" ht="14.25" customHeight="1" x14ac:dyDescent="0.3">
      <c r="A1039" t="s">
        <v>538</v>
      </c>
      <c r="B1039" t="s">
        <v>522</v>
      </c>
      <c r="C1039" t="s">
        <v>523</v>
      </c>
      <c r="D1039" t="s">
        <v>451</v>
      </c>
      <c r="E1039" t="s">
        <v>524</v>
      </c>
      <c r="F1039" t="s">
        <v>402</v>
      </c>
      <c r="I1039">
        <v>571613281</v>
      </c>
      <c r="J1039" t="s">
        <v>451</v>
      </c>
      <c r="L1039" t="str">
        <f>IFERROR(INDEX(Diccionario!$B:$B,MATCH(F1039,Diccionario!$C:$C,0)),"")</f>
        <v>Finanzas</v>
      </c>
      <c r="M1039" t="str">
        <f>IFERROR(INDEX(Diccionario!$H:$H,MATCH(F1039,Diccionario!$C:$C,0)),"")</f>
        <v>Finanzas</v>
      </c>
      <c r="N1039" t="str">
        <f>IFERROR(INDEX(Diccionario!$N:$N,MATCH(F1039,Diccionario!$C:$C,0)),"")</f>
        <v>Mensual</v>
      </c>
    </row>
    <row r="1040" spans="1:14" ht="14.25" customHeight="1" x14ac:dyDescent="0.3">
      <c r="A1040" t="s">
        <v>539</v>
      </c>
      <c r="B1040" t="s">
        <v>522</v>
      </c>
      <c r="C1040" t="s">
        <v>523</v>
      </c>
      <c r="D1040" t="s">
        <v>451</v>
      </c>
      <c r="E1040" t="s">
        <v>524</v>
      </c>
      <c r="F1040" t="s">
        <v>402</v>
      </c>
      <c r="I1040">
        <v>674275375</v>
      </c>
      <c r="J1040" t="s">
        <v>451</v>
      </c>
      <c r="L1040" t="str">
        <f>IFERROR(INDEX(Diccionario!$B:$B,MATCH(F1040,Diccionario!$C:$C,0)),"")</f>
        <v>Finanzas</v>
      </c>
      <c r="M1040" t="str">
        <f>IFERROR(INDEX(Diccionario!$H:$H,MATCH(F1040,Diccionario!$C:$C,0)),"")</f>
        <v>Finanzas</v>
      </c>
      <c r="N1040" t="str">
        <f>IFERROR(INDEX(Diccionario!$N:$N,MATCH(F1040,Diccionario!$C:$C,0)),"")</f>
        <v>Mensual</v>
      </c>
    </row>
    <row r="1041" spans="1:14" ht="14.25" customHeight="1" x14ac:dyDescent="0.3">
      <c r="A1041" t="s">
        <v>540</v>
      </c>
      <c r="B1041" t="s">
        <v>522</v>
      </c>
      <c r="C1041" t="s">
        <v>523</v>
      </c>
      <c r="D1041" t="s">
        <v>451</v>
      </c>
      <c r="E1041" t="s">
        <v>524</v>
      </c>
      <c r="F1041" t="s">
        <v>402</v>
      </c>
      <c r="I1041">
        <v>583911889</v>
      </c>
      <c r="J1041" t="s">
        <v>451</v>
      </c>
      <c r="L1041" t="str">
        <f>IFERROR(INDEX(Diccionario!$B:$B,MATCH(F1041,Diccionario!$C:$C,0)),"")</f>
        <v>Finanzas</v>
      </c>
      <c r="M1041" t="str">
        <f>IFERROR(INDEX(Diccionario!$H:$H,MATCH(F1041,Diccionario!$C:$C,0)),"")</f>
        <v>Finanzas</v>
      </c>
      <c r="N1041" t="str">
        <f>IFERROR(INDEX(Diccionario!$N:$N,MATCH(F1041,Diccionario!$C:$C,0)),"")</f>
        <v>Mensual</v>
      </c>
    </row>
    <row r="1042" spans="1:14" ht="14.25" customHeight="1" x14ac:dyDescent="0.3">
      <c r="A1042" t="s">
        <v>541</v>
      </c>
      <c r="B1042" t="s">
        <v>522</v>
      </c>
      <c r="C1042" t="s">
        <v>523</v>
      </c>
      <c r="D1042" t="s">
        <v>451</v>
      </c>
      <c r="E1042" t="s">
        <v>524</v>
      </c>
      <c r="F1042" t="s">
        <v>402</v>
      </c>
      <c r="I1042">
        <v>697602788</v>
      </c>
      <c r="J1042" t="s">
        <v>451</v>
      </c>
      <c r="L1042" t="str">
        <f>IFERROR(INDEX(Diccionario!$B:$B,MATCH(F1042,Diccionario!$C:$C,0)),"")</f>
        <v>Finanzas</v>
      </c>
      <c r="M1042" t="str">
        <f>IFERROR(INDEX(Diccionario!$H:$H,MATCH(F1042,Diccionario!$C:$C,0)),"")</f>
        <v>Finanzas</v>
      </c>
      <c r="N1042" t="str">
        <f>IFERROR(INDEX(Diccionario!$N:$N,MATCH(F1042,Diccionario!$C:$C,0)),"")</f>
        <v>Mensual</v>
      </c>
    </row>
    <row r="1043" spans="1:14" ht="14.25" customHeight="1" x14ac:dyDescent="0.3">
      <c r="A1043" t="s">
        <v>542</v>
      </c>
      <c r="B1043" t="s">
        <v>522</v>
      </c>
      <c r="C1043" t="s">
        <v>523</v>
      </c>
      <c r="D1043" t="s">
        <v>451</v>
      </c>
      <c r="E1043" t="s">
        <v>524</v>
      </c>
      <c r="F1043" t="s">
        <v>402</v>
      </c>
      <c r="I1043">
        <v>589403143</v>
      </c>
      <c r="J1043" t="s">
        <v>451</v>
      </c>
      <c r="L1043" t="str">
        <f>IFERROR(INDEX(Diccionario!$B:$B,MATCH(F1043,Diccionario!$C:$C,0)),"")</f>
        <v>Finanzas</v>
      </c>
      <c r="M1043" t="str">
        <f>IFERROR(INDEX(Diccionario!$H:$H,MATCH(F1043,Diccionario!$C:$C,0)),"")</f>
        <v>Finanzas</v>
      </c>
      <c r="N1043" t="str">
        <f>IFERROR(INDEX(Diccionario!$N:$N,MATCH(F1043,Diccionario!$C:$C,0)),"")</f>
        <v>Mensual</v>
      </c>
    </row>
    <row r="1044" spans="1:14" ht="14.25" customHeight="1" x14ac:dyDescent="0.3">
      <c r="A1044" t="s">
        <v>543</v>
      </c>
      <c r="B1044" t="s">
        <v>522</v>
      </c>
      <c r="C1044" t="s">
        <v>523</v>
      </c>
      <c r="D1044" t="s">
        <v>451</v>
      </c>
      <c r="E1044" t="s">
        <v>524</v>
      </c>
      <c r="F1044" t="s">
        <v>402</v>
      </c>
      <c r="I1044">
        <v>641951176</v>
      </c>
      <c r="J1044" t="s">
        <v>451</v>
      </c>
      <c r="L1044" t="str">
        <f>IFERROR(INDEX(Diccionario!$B:$B,MATCH(F1044,Diccionario!$C:$C,0)),"")</f>
        <v>Finanzas</v>
      </c>
      <c r="M1044" t="str">
        <f>IFERROR(INDEX(Diccionario!$H:$H,MATCH(F1044,Diccionario!$C:$C,0)),"")</f>
        <v>Finanzas</v>
      </c>
      <c r="N1044" t="str">
        <f>IFERROR(INDEX(Diccionario!$N:$N,MATCH(F1044,Diccionario!$C:$C,0)),"")</f>
        <v>Mensual</v>
      </c>
    </row>
    <row r="1045" spans="1:14" ht="14.25" customHeight="1" x14ac:dyDescent="0.3">
      <c r="A1045" t="s">
        <v>544</v>
      </c>
      <c r="B1045" t="s">
        <v>522</v>
      </c>
      <c r="C1045" t="s">
        <v>523</v>
      </c>
      <c r="D1045" t="s">
        <v>451</v>
      </c>
      <c r="E1045" t="s">
        <v>524</v>
      </c>
      <c r="F1045" t="s">
        <v>402</v>
      </c>
      <c r="I1045">
        <v>631848159</v>
      </c>
      <c r="J1045" t="s">
        <v>451</v>
      </c>
      <c r="L1045" t="str">
        <f>IFERROR(INDEX(Diccionario!$B:$B,MATCH(F1045,Diccionario!$C:$C,0)),"")</f>
        <v>Finanzas</v>
      </c>
      <c r="M1045" t="str">
        <f>IFERROR(INDEX(Diccionario!$H:$H,MATCH(F1045,Diccionario!$C:$C,0)),"")</f>
        <v>Finanzas</v>
      </c>
      <c r="N1045" t="str">
        <f>IFERROR(INDEX(Diccionario!$N:$N,MATCH(F1045,Diccionario!$C:$C,0)),"")</f>
        <v>Mensual</v>
      </c>
    </row>
    <row r="1046" spans="1:14" ht="14.25" customHeight="1" x14ac:dyDescent="0.3">
      <c r="A1046" t="s">
        <v>545</v>
      </c>
      <c r="B1046" t="s">
        <v>522</v>
      </c>
      <c r="C1046" t="s">
        <v>523</v>
      </c>
      <c r="D1046" t="s">
        <v>451</v>
      </c>
      <c r="E1046" t="s">
        <v>524</v>
      </c>
      <c r="F1046" t="s">
        <v>402</v>
      </c>
      <c r="I1046">
        <v>697647109</v>
      </c>
      <c r="J1046" t="s">
        <v>451</v>
      </c>
      <c r="L1046" t="str">
        <f>IFERROR(INDEX(Diccionario!$B:$B,MATCH(F1046,Diccionario!$C:$C,0)),"")</f>
        <v>Finanzas</v>
      </c>
      <c r="M1046" t="str">
        <f>IFERROR(INDEX(Diccionario!$H:$H,MATCH(F1046,Diccionario!$C:$C,0)),"")</f>
        <v>Finanzas</v>
      </c>
      <c r="N1046" t="str">
        <f>IFERROR(INDEX(Diccionario!$N:$N,MATCH(F1046,Diccionario!$C:$C,0)),"")</f>
        <v>Mensual</v>
      </c>
    </row>
    <row r="1047" spans="1:14" ht="14.25" customHeight="1" x14ac:dyDescent="0.3">
      <c r="A1047" t="s">
        <v>546</v>
      </c>
      <c r="B1047" t="s">
        <v>522</v>
      </c>
      <c r="C1047" t="s">
        <v>523</v>
      </c>
      <c r="D1047" t="s">
        <v>451</v>
      </c>
      <c r="E1047" t="s">
        <v>524</v>
      </c>
      <c r="F1047" t="s">
        <v>402</v>
      </c>
      <c r="I1047">
        <v>673186093</v>
      </c>
      <c r="J1047" t="s">
        <v>451</v>
      </c>
      <c r="L1047" t="str">
        <f>IFERROR(INDEX(Diccionario!$B:$B,MATCH(F1047,Diccionario!$C:$C,0)),"")</f>
        <v>Finanzas</v>
      </c>
      <c r="M1047" t="str">
        <f>IFERROR(INDEX(Diccionario!$H:$H,MATCH(F1047,Diccionario!$C:$C,0)),"")</f>
        <v>Finanzas</v>
      </c>
      <c r="N1047" t="str">
        <f>IFERROR(INDEX(Diccionario!$N:$N,MATCH(F1047,Diccionario!$C:$C,0)),"")</f>
        <v>Mensual</v>
      </c>
    </row>
    <row r="1048" spans="1:14" ht="14.25" customHeight="1" x14ac:dyDescent="0.3">
      <c r="A1048" t="s">
        <v>547</v>
      </c>
      <c r="B1048" t="s">
        <v>522</v>
      </c>
      <c r="C1048" t="s">
        <v>523</v>
      </c>
      <c r="D1048" t="s">
        <v>451</v>
      </c>
      <c r="E1048" t="s">
        <v>524</v>
      </c>
      <c r="F1048" t="s">
        <v>402</v>
      </c>
      <c r="I1048">
        <v>676346785</v>
      </c>
      <c r="J1048" t="s">
        <v>451</v>
      </c>
      <c r="L1048" t="str">
        <f>IFERROR(INDEX(Diccionario!$B:$B,MATCH(F1048,Diccionario!$C:$C,0)),"")</f>
        <v>Finanzas</v>
      </c>
      <c r="M1048" t="str">
        <f>IFERROR(INDEX(Diccionario!$H:$H,MATCH(F1048,Diccionario!$C:$C,0)),"")</f>
        <v>Finanzas</v>
      </c>
      <c r="N1048" t="str">
        <f>IFERROR(INDEX(Diccionario!$N:$N,MATCH(F1048,Diccionario!$C:$C,0)),"")</f>
        <v>Mensual</v>
      </c>
    </row>
    <row r="1049" spans="1:14" ht="14.25" customHeight="1" x14ac:dyDescent="0.3">
      <c r="A1049" t="s">
        <v>548</v>
      </c>
      <c r="B1049" t="s">
        <v>522</v>
      </c>
      <c r="C1049" t="s">
        <v>523</v>
      </c>
      <c r="D1049" t="s">
        <v>451</v>
      </c>
      <c r="E1049" t="s">
        <v>524</v>
      </c>
      <c r="F1049" t="s">
        <v>402</v>
      </c>
      <c r="I1049">
        <v>678500265</v>
      </c>
      <c r="J1049" t="s">
        <v>451</v>
      </c>
      <c r="L1049" t="str">
        <f>IFERROR(INDEX(Diccionario!$B:$B,MATCH(F1049,Diccionario!$C:$C,0)),"")</f>
        <v>Finanzas</v>
      </c>
      <c r="M1049" t="str">
        <f>IFERROR(INDEX(Diccionario!$H:$H,MATCH(F1049,Diccionario!$C:$C,0)),"")</f>
        <v>Finanzas</v>
      </c>
      <c r="N1049" t="str">
        <f>IFERROR(INDEX(Diccionario!$N:$N,MATCH(F1049,Diccionario!$C:$C,0)),"")</f>
        <v>Mensual</v>
      </c>
    </row>
    <row r="1050" spans="1:14" ht="14.25" customHeight="1" x14ac:dyDescent="0.3">
      <c r="A1050" t="s">
        <v>549</v>
      </c>
      <c r="B1050" t="s">
        <v>522</v>
      </c>
      <c r="C1050" t="s">
        <v>523</v>
      </c>
      <c r="D1050" t="s">
        <v>451</v>
      </c>
      <c r="E1050" t="s">
        <v>524</v>
      </c>
      <c r="F1050" t="s">
        <v>402</v>
      </c>
      <c r="I1050">
        <v>580720049</v>
      </c>
      <c r="J1050" t="s">
        <v>451</v>
      </c>
      <c r="L1050" t="str">
        <f>IFERROR(INDEX(Diccionario!$B:$B,MATCH(F1050,Diccionario!$C:$C,0)),"")</f>
        <v>Finanzas</v>
      </c>
      <c r="M1050" t="str">
        <f>IFERROR(INDEX(Diccionario!$H:$H,MATCH(F1050,Diccionario!$C:$C,0)),"")</f>
        <v>Finanzas</v>
      </c>
      <c r="N1050" t="str">
        <f>IFERROR(INDEX(Diccionario!$N:$N,MATCH(F1050,Diccionario!$C:$C,0)),"")</f>
        <v>Mensual</v>
      </c>
    </row>
    <row r="1051" spans="1:14" ht="14.25" customHeight="1" x14ac:dyDescent="0.3">
      <c r="A1051" t="s">
        <v>551</v>
      </c>
      <c r="B1051" t="s">
        <v>522</v>
      </c>
      <c r="C1051" t="s">
        <v>523</v>
      </c>
      <c r="D1051" t="s">
        <v>451</v>
      </c>
      <c r="E1051" t="s">
        <v>524</v>
      </c>
      <c r="F1051" t="s">
        <v>402</v>
      </c>
      <c r="I1051">
        <v>678104625</v>
      </c>
      <c r="J1051" t="s">
        <v>451</v>
      </c>
      <c r="L1051" t="str">
        <f>IFERROR(INDEX(Diccionario!$B:$B,MATCH(F1051,Diccionario!$C:$C,0)),"")</f>
        <v>Finanzas</v>
      </c>
      <c r="M1051" t="str">
        <f>IFERROR(INDEX(Diccionario!$H:$H,MATCH(F1051,Diccionario!$C:$C,0)),"")</f>
        <v>Finanzas</v>
      </c>
      <c r="N1051" t="str">
        <f>IFERROR(INDEX(Diccionario!$N:$N,MATCH(F1051,Diccionario!$C:$C,0)),"")</f>
        <v>Mensual</v>
      </c>
    </row>
    <row r="1052" spans="1:14" ht="14.25" customHeight="1" x14ac:dyDescent="0.3">
      <c r="A1052" t="s">
        <v>552</v>
      </c>
      <c r="B1052" t="s">
        <v>522</v>
      </c>
      <c r="C1052" t="s">
        <v>523</v>
      </c>
      <c r="D1052" t="s">
        <v>451</v>
      </c>
      <c r="E1052" t="s">
        <v>524</v>
      </c>
      <c r="F1052" t="s">
        <v>402</v>
      </c>
      <c r="I1052">
        <v>714287498</v>
      </c>
      <c r="J1052" t="s">
        <v>451</v>
      </c>
      <c r="L1052" t="str">
        <f>IFERROR(INDEX(Diccionario!$B:$B,MATCH(F1052,Diccionario!$C:$C,0)),"")</f>
        <v>Finanzas</v>
      </c>
      <c r="M1052" t="str">
        <f>IFERROR(INDEX(Diccionario!$H:$H,MATCH(F1052,Diccionario!$C:$C,0)),"")</f>
        <v>Finanzas</v>
      </c>
      <c r="N1052" t="str">
        <f>IFERROR(INDEX(Diccionario!$N:$N,MATCH(F1052,Diccionario!$C:$C,0)),"")</f>
        <v>Mensual</v>
      </c>
    </row>
    <row r="1053" spans="1:14" ht="14.25" customHeight="1" x14ac:dyDescent="0.3">
      <c r="A1053" t="s">
        <v>553</v>
      </c>
      <c r="B1053" t="s">
        <v>522</v>
      </c>
      <c r="C1053" t="s">
        <v>523</v>
      </c>
      <c r="D1053" t="s">
        <v>451</v>
      </c>
      <c r="E1053" t="s">
        <v>524</v>
      </c>
      <c r="F1053" t="s">
        <v>402</v>
      </c>
      <c r="I1053">
        <v>728855485</v>
      </c>
      <c r="J1053" t="s">
        <v>451</v>
      </c>
      <c r="L1053" t="str">
        <f>IFERROR(INDEX(Diccionario!$B:$B,MATCH(F1053,Diccionario!$C:$C,0)),"")</f>
        <v>Finanzas</v>
      </c>
      <c r="M1053" t="str">
        <f>IFERROR(INDEX(Diccionario!$H:$H,MATCH(F1053,Diccionario!$C:$C,0)),"")</f>
        <v>Finanzas</v>
      </c>
      <c r="N1053" t="str">
        <f>IFERROR(INDEX(Diccionario!$N:$N,MATCH(F1053,Diccionario!$C:$C,0)),"")</f>
        <v>Mensual</v>
      </c>
    </row>
    <row r="1054" spans="1:14" ht="14.25" customHeight="1" x14ac:dyDescent="0.3">
      <c r="A1054" t="s">
        <v>554</v>
      </c>
      <c r="B1054" t="s">
        <v>522</v>
      </c>
      <c r="C1054" t="s">
        <v>523</v>
      </c>
      <c r="D1054" t="s">
        <v>451</v>
      </c>
      <c r="E1054" t="s">
        <v>524</v>
      </c>
      <c r="F1054" t="s">
        <v>402</v>
      </c>
      <c r="I1054">
        <v>774122623</v>
      </c>
      <c r="J1054" t="s">
        <v>451</v>
      </c>
      <c r="L1054" t="str">
        <f>IFERROR(INDEX(Diccionario!$B:$B,MATCH(F1054,Diccionario!$C:$C,0)),"")</f>
        <v>Finanzas</v>
      </c>
      <c r="M1054" t="str">
        <f>IFERROR(INDEX(Diccionario!$H:$H,MATCH(F1054,Diccionario!$C:$C,0)),"")</f>
        <v>Finanzas</v>
      </c>
      <c r="N1054" t="str">
        <f>IFERROR(INDEX(Diccionario!$N:$N,MATCH(F1054,Diccionario!$C:$C,0)),"")</f>
        <v>Mensual</v>
      </c>
    </row>
    <row r="1055" spans="1:14" ht="14.25" customHeight="1" x14ac:dyDescent="0.3">
      <c r="A1055" t="s">
        <v>521</v>
      </c>
      <c r="B1055" t="s">
        <v>522</v>
      </c>
      <c r="C1055" t="s">
        <v>523</v>
      </c>
      <c r="D1055" t="s">
        <v>451</v>
      </c>
      <c r="E1055" t="s">
        <v>524</v>
      </c>
      <c r="F1055" t="s">
        <v>367</v>
      </c>
      <c r="I1055">
        <v>24800000</v>
      </c>
      <c r="J1055" t="s">
        <v>451</v>
      </c>
      <c r="L1055" t="str">
        <f>IFERROR(INDEX(Diccionario!$B:$B,MATCH(F1055,Diccionario!$C:$C,0)),"")</f>
        <v>Finanzas</v>
      </c>
      <c r="M1055" t="str">
        <f>IFERROR(INDEX(Diccionario!$H:$H,MATCH(F1055,Diccionario!$C:$C,0)),"")</f>
        <v>Finanzas</v>
      </c>
      <c r="N1055" t="str">
        <f>IFERROR(INDEX(Diccionario!$N:$N,MATCH(F1055,Diccionario!$C:$C,0)),"")</f>
        <v>Mensual</v>
      </c>
    </row>
    <row r="1056" spans="1:14" ht="14.25" customHeight="1" x14ac:dyDescent="0.3">
      <c r="A1056" t="s">
        <v>526</v>
      </c>
      <c r="B1056" t="s">
        <v>522</v>
      </c>
      <c r="C1056" t="s">
        <v>523</v>
      </c>
      <c r="D1056" t="s">
        <v>451</v>
      </c>
      <c r="E1056" t="s">
        <v>524</v>
      </c>
      <c r="F1056" t="s">
        <v>367</v>
      </c>
      <c r="I1056">
        <v>118729053</v>
      </c>
      <c r="J1056" t="s">
        <v>451</v>
      </c>
      <c r="L1056" t="str">
        <f>IFERROR(INDEX(Diccionario!$B:$B,MATCH(F1056,Diccionario!$C:$C,0)),"")</f>
        <v>Finanzas</v>
      </c>
      <c r="M1056" t="str">
        <f>IFERROR(INDEX(Diccionario!$H:$H,MATCH(F1056,Diccionario!$C:$C,0)),"")</f>
        <v>Finanzas</v>
      </c>
      <c r="N1056" t="str">
        <f>IFERROR(INDEX(Diccionario!$N:$N,MATCH(F1056,Diccionario!$C:$C,0)),"")</f>
        <v>Mensual</v>
      </c>
    </row>
    <row r="1057" spans="1:14" ht="14.25" customHeight="1" x14ac:dyDescent="0.3">
      <c r="A1057" t="s">
        <v>527</v>
      </c>
      <c r="B1057" t="s">
        <v>522</v>
      </c>
      <c r="C1057" t="s">
        <v>523</v>
      </c>
      <c r="D1057" t="s">
        <v>451</v>
      </c>
      <c r="E1057" t="s">
        <v>524</v>
      </c>
      <c r="F1057" t="s">
        <v>367</v>
      </c>
      <c r="I1057">
        <v>12750000</v>
      </c>
      <c r="J1057" t="s">
        <v>451</v>
      </c>
      <c r="L1057" t="str">
        <f>IFERROR(INDEX(Diccionario!$B:$B,MATCH(F1057,Diccionario!$C:$C,0)),"")</f>
        <v>Finanzas</v>
      </c>
      <c r="M1057" t="str">
        <f>IFERROR(INDEX(Diccionario!$H:$H,MATCH(F1057,Diccionario!$C:$C,0)),"")</f>
        <v>Finanzas</v>
      </c>
      <c r="N1057" t="str">
        <f>IFERROR(INDEX(Diccionario!$N:$N,MATCH(F1057,Diccionario!$C:$C,0)),"")</f>
        <v>Mensual</v>
      </c>
    </row>
    <row r="1058" spans="1:14" ht="14.25" customHeight="1" x14ac:dyDescent="0.3">
      <c r="A1058" t="s">
        <v>528</v>
      </c>
      <c r="B1058" t="s">
        <v>522</v>
      </c>
      <c r="C1058" t="s">
        <v>523</v>
      </c>
      <c r="D1058" t="s">
        <v>451</v>
      </c>
      <c r="E1058" t="s">
        <v>524</v>
      </c>
      <c r="F1058" t="s">
        <v>367</v>
      </c>
      <c r="I1058">
        <v>39644578</v>
      </c>
      <c r="J1058" t="s">
        <v>451</v>
      </c>
      <c r="L1058" t="str">
        <f>IFERROR(INDEX(Diccionario!$B:$B,MATCH(F1058,Diccionario!$C:$C,0)),"")</f>
        <v>Finanzas</v>
      </c>
      <c r="M1058" t="str">
        <f>IFERROR(INDEX(Diccionario!$H:$H,MATCH(F1058,Diccionario!$C:$C,0)),"")</f>
        <v>Finanzas</v>
      </c>
      <c r="N1058" t="str">
        <f>IFERROR(INDEX(Diccionario!$N:$N,MATCH(F1058,Diccionario!$C:$C,0)),"")</f>
        <v>Mensual</v>
      </c>
    </row>
    <row r="1059" spans="1:14" ht="14.25" customHeight="1" x14ac:dyDescent="0.3">
      <c r="A1059" t="s">
        <v>529</v>
      </c>
      <c r="B1059" t="s">
        <v>522</v>
      </c>
      <c r="C1059" t="s">
        <v>523</v>
      </c>
      <c r="D1059" t="s">
        <v>451</v>
      </c>
      <c r="E1059" t="s">
        <v>524</v>
      </c>
      <c r="F1059" t="s">
        <v>367</v>
      </c>
      <c r="I1059">
        <v>43120258</v>
      </c>
      <c r="J1059" t="s">
        <v>451</v>
      </c>
      <c r="L1059" t="str">
        <f>IFERROR(INDEX(Diccionario!$B:$B,MATCH(F1059,Diccionario!$C:$C,0)),"")</f>
        <v>Finanzas</v>
      </c>
      <c r="M1059" t="str">
        <f>IFERROR(INDEX(Diccionario!$H:$H,MATCH(F1059,Diccionario!$C:$C,0)),"")</f>
        <v>Finanzas</v>
      </c>
      <c r="N1059" t="str">
        <f>IFERROR(INDEX(Diccionario!$N:$N,MATCH(F1059,Diccionario!$C:$C,0)),"")</f>
        <v>Mensual</v>
      </c>
    </row>
    <row r="1060" spans="1:14" ht="14.25" customHeight="1" x14ac:dyDescent="0.3">
      <c r="A1060" t="s">
        <v>530</v>
      </c>
      <c r="B1060" t="s">
        <v>522</v>
      </c>
      <c r="C1060" t="s">
        <v>523</v>
      </c>
      <c r="D1060" t="s">
        <v>451</v>
      </c>
      <c r="E1060" t="s">
        <v>524</v>
      </c>
      <c r="F1060" t="s">
        <v>367</v>
      </c>
      <c r="I1060">
        <v>104205606</v>
      </c>
      <c r="J1060" t="s">
        <v>451</v>
      </c>
      <c r="L1060" t="str">
        <f>IFERROR(INDEX(Diccionario!$B:$B,MATCH(F1060,Diccionario!$C:$C,0)),"")</f>
        <v>Finanzas</v>
      </c>
      <c r="M1060" t="str">
        <f>IFERROR(INDEX(Diccionario!$H:$H,MATCH(F1060,Diccionario!$C:$C,0)),"")</f>
        <v>Finanzas</v>
      </c>
      <c r="N1060" t="str">
        <f>IFERROR(INDEX(Diccionario!$N:$N,MATCH(F1060,Diccionario!$C:$C,0)),"")</f>
        <v>Mensual</v>
      </c>
    </row>
    <row r="1061" spans="1:14" ht="14.25" customHeight="1" x14ac:dyDescent="0.3">
      <c r="A1061" t="s">
        <v>531</v>
      </c>
      <c r="B1061" t="s">
        <v>522</v>
      </c>
      <c r="C1061" t="s">
        <v>523</v>
      </c>
      <c r="D1061" t="s">
        <v>451</v>
      </c>
      <c r="E1061" t="s">
        <v>524</v>
      </c>
      <c r="F1061" t="s">
        <v>367</v>
      </c>
      <c r="I1061">
        <v>38194640</v>
      </c>
      <c r="J1061" t="s">
        <v>451</v>
      </c>
      <c r="L1061" t="str">
        <f>IFERROR(INDEX(Diccionario!$B:$B,MATCH(F1061,Diccionario!$C:$C,0)),"")</f>
        <v>Finanzas</v>
      </c>
      <c r="M1061" t="str">
        <f>IFERROR(INDEX(Diccionario!$H:$H,MATCH(F1061,Diccionario!$C:$C,0)),"")</f>
        <v>Finanzas</v>
      </c>
      <c r="N1061" t="str">
        <f>IFERROR(INDEX(Diccionario!$N:$N,MATCH(F1061,Diccionario!$C:$C,0)),"")</f>
        <v>Mensual</v>
      </c>
    </row>
    <row r="1062" spans="1:14" ht="14.25" customHeight="1" x14ac:dyDescent="0.3">
      <c r="A1062" t="s">
        <v>532</v>
      </c>
      <c r="B1062" t="s">
        <v>522</v>
      </c>
      <c r="C1062" t="s">
        <v>523</v>
      </c>
      <c r="D1062" t="s">
        <v>451</v>
      </c>
      <c r="E1062" t="s">
        <v>524</v>
      </c>
      <c r="F1062" t="s">
        <v>367</v>
      </c>
      <c r="I1062">
        <v>39148433</v>
      </c>
      <c r="J1062" t="s">
        <v>451</v>
      </c>
      <c r="L1062" t="str">
        <f>IFERROR(INDEX(Diccionario!$B:$B,MATCH(F1062,Diccionario!$C:$C,0)),"")</f>
        <v>Finanzas</v>
      </c>
      <c r="M1062" t="str">
        <f>IFERROR(INDEX(Diccionario!$H:$H,MATCH(F1062,Diccionario!$C:$C,0)),"")</f>
        <v>Finanzas</v>
      </c>
      <c r="N1062" t="str">
        <f>IFERROR(INDEX(Diccionario!$N:$N,MATCH(F1062,Diccionario!$C:$C,0)),"")</f>
        <v>Mensual</v>
      </c>
    </row>
    <row r="1063" spans="1:14" ht="14.25" customHeight="1" x14ac:dyDescent="0.3">
      <c r="A1063" t="s">
        <v>533</v>
      </c>
      <c r="B1063" t="s">
        <v>522</v>
      </c>
      <c r="C1063" t="s">
        <v>523</v>
      </c>
      <c r="D1063" t="s">
        <v>451</v>
      </c>
      <c r="E1063" t="s">
        <v>524</v>
      </c>
      <c r="F1063" t="s">
        <v>367</v>
      </c>
      <c r="I1063">
        <v>38448771</v>
      </c>
      <c r="J1063" t="s">
        <v>451</v>
      </c>
      <c r="L1063" t="str">
        <f>IFERROR(INDEX(Diccionario!$B:$B,MATCH(F1063,Diccionario!$C:$C,0)),"")</f>
        <v>Finanzas</v>
      </c>
      <c r="M1063" t="str">
        <f>IFERROR(INDEX(Diccionario!$H:$H,MATCH(F1063,Diccionario!$C:$C,0)),"")</f>
        <v>Finanzas</v>
      </c>
      <c r="N1063" t="str">
        <f>IFERROR(INDEX(Diccionario!$N:$N,MATCH(F1063,Diccionario!$C:$C,0)),"")</f>
        <v>Mensual</v>
      </c>
    </row>
    <row r="1064" spans="1:14" ht="14.25" customHeight="1" x14ac:dyDescent="0.3">
      <c r="A1064" t="s">
        <v>534</v>
      </c>
      <c r="B1064" t="s">
        <v>522</v>
      </c>
      <c r="C1064" t="s">
        <v>523</v>
      </c>
      <c r="D1064" t="s">
        <v>451</v>
      </c>
      <c r="E1064" t="s">
        <v>524</v>
      </c>
      <c r="F1064" t="s">
        <v>367</v>
      </c>
      <c r="I1064">
        <v>17301320</v>
      </c>
      <c r="J1064" t="s">
        <v>451</v>
      </c>
      <c r="L1064" t="str">
        <f>IFERROR(INDEX(Diccionario!$B:$B,MATCH(F1064,Diccionario!$C:$C,0)),"")</f>
        <v>Finanzas</v>
      </c>
      <c r="M1064" t="str">
        <f>IFERROR(INDEX(Diccionario!$H:$H,MATCH(F1064,Diccionario!$C:$C,0)),"")</f>
        <v>Finanzas</v>
      </c>
      <c r="N1064" t="str">
        <f>IFERROR(INDEX(Diccionario!$N:$N,MATCH(F1064,Diccionario!$C:$C,0)),"")</f>
        <v>Mensual</v>
      </c>
    </row>
    <row r="1065" spans="1:14" ht="14.25" customHeight="1" x14ac:dyDescent="0.3">
      <c r="A1065" t="s">
        <v>535</v>
      </c>
      <c r="B1065" t="s">
        <v>522</v>
      </c>
      <c r="C1065" t="s">
        <v>523</v>
      </c>
      <c r="D1065" t="s">
        <v>451</v>
      </c>
      <c r="E1065" t="s">
        <v>524</v>
      </c>
      <c r="F1065" t="s">
        <v>367</v>
      </c>
      <c r="I1065">
        <v>25645918</v>
      </c>
      <c r="J1065" t="s">
        <v>451</v>
      </c>
      <c r="L1065" t="str">
        <f>IFERROR(INDEX(Diccionario!$B:$B,MATCH(F1065,Diccionario!$C:$C,0)),"")</f>
        <v>Finanzas</v>
      </c>
      <c r="M1065" t="str">
        <f>IFERROR(INDEX(Diccionario!$H:$H,MATCH(F1065,Diccionario!$C:$C,0)),"")</f>
        <v>Finanzas</v>
      </c>
      <c r="N1065" t="str">
        <f>IFERROR(INDEX(Diccionario!$N:$N,MATCH(F1065,Diccionario!$C:$C,0)),"")</f>
        <v>Mensual</v>
      </c>
    </row>
    <row r="1066" spans="1:14" ht="14.25" customHeight="1" x14ac:dyDescent="0.3">
      <c r="A1066" t="s">
        <v>536</v>
      </c>
      <c r="B1066" t="s">
        <v>522</v>
      </c>
      <c r="C1066" t="s">
        <v>523</v>
      </c>
      <c r="D1066" t="s">
        <v>451</v>
      </c>
      <c r="E1066" t="s">
        <v>524</v>
      </c>
      <c r="F1066" t="s">
        <v>367</v>
      </c>
      <c r="I1066">
        <v>252667553</v>
      </c>
      <c r="J1066" t="s">
        <v>451</v>
      </c>
      <c r="L1066" t="str">
        <f>IFERROR(INDEX(Diccionario!$B:$B,MATCH(F1066,Diccionario!$C:$C,0)),"")</f>
        <v>Finanzas</v>
      </c>
      <c r="M1066" t="str">
        <f>IFERROR(INDEX(Diccionario!$H:$H,MATCH(F1066,Diccionario!$C:$C,0)),"")</f>
        <v>Finanzas</v>
      </c>
      <c r="N1066" t="str">
        <f>IFERROR(INDEX(Diccionario!$N:$N,MATCH(F1066,Diccionario!$C:$C,0)),"")</f>
        <v>Mensual</v>
      </c>
    </row>
    <row r="1067" spans="1:14" ht="14.25" customHeight="1" x14ac:dyDescent="0.3">
      <c r="A1067" t="s">
        <v>537</v>
      </c>
      <c r="B1067" t="s">
        <v>522</v>
      </c>
      <c r="C1067" t="s">
        <v>523</v>
      </c>
      <c r="D1067" t="s">
        <v>451</v>
      </c>
      <c r="E1067" t="s">
        <v>524</v>
      </c>
      <c r="F1067" t="s">
        <v>367</v>
      </c>
      <c r="I1067">
        <v>5800000</v>
      </c>
      <c r="J1067" t="s">
        <v>451</v>
      </c>
      <c r="L1067" t="str">
        <f>IFERROR(INDEX(Diccionario!$B:$B,MATCH(F1067,Diccionario!$C:$C,0)),"")</f>
        <v>Finanzas</v>
      </c>
      <c r="M1067" t="str">
        <f>IFERROR(INDEX(Diccionario!$H:$H,MATCH(F1067,Diccionario!$C:$C,0)),"")</f>
        <v>Finanzas</v>
      </c>
      <c r="N1067" t="str">
        <f>IFERROR(INDEX(Diccionario!$N:$N,MATCH(F1067,Diccionario!$C:$C,0)),"")</f>
        <v>Mensual</v>
      </c>
    </row>
    <row r="1068" spans="1:14" ht="14.25" customHeight="1" x14ac:dyDescent="0.3">
      <c r="A1068" t="s">
        <v>538</v>
      </c>
      <c r="B1068" t="s">
        <v>522</v>
      </c>
      <c r="C1068" t="s">
        <v>523</v>
      </c>
      <c r="D1068" t="s">
        <v>451</v>
      </c>
      <c r="E1068" t="s">
        <v>524</v>
      </c>
      <c r="F1068" t="s">
        <v>367</v>
      </c>
      <c r="I1068">
        <v>0</v>
      </c>
      <c r="J1068" t="s">
        <v>451</v>
      </c>
      <c r="L1068" t="str">
        <f>IFERROR(INDEX(Diccionario!$B:$B,MATCH(F1068,Diccionario!$C:$C,0)),"")</f>
        <v>Finanzas</v>
      </c>
      <c r="M1068" t="str">
        <f>IFERROR(INDEX(Diccionario!$H:$H,MATCH(F1068,Diccionario!$C:$C,0)),"")</f>
        <v>Finanzas</v>
      </c>
      <c r="N1068" t="str">
        <f>IFERROR(INDEX(Diccionario!$N:$N,MATCH(F1068,Diccionario!$C:$C,0)),"")</f>
        <v>Mensual</v>
      </c>
    </row>
    <row r="1069" spans="1:14" ht="14.25" customHeight="1" x14ac:dyDescent="0.3">
      <c r="A1069" t="s">
        <v>539</v>
      </c>
      <c r="B1069" t="s">
        <v>522</v>
      </c>
      <c r="C1069" t="s">
        <v>523</v>
      </c>
      <c r="D1069" t="s">
        <v>451</v>
      </c>
      <c r="E1069" t="s">
        <v>524</v>
      </c>
      <c r="F1069" t="s">
        <v>367</v>
      </c>
      <c r="I1069">
        <v>2546881</v>
      </c>
      <c r="J1069" t="s">
        <v>451</v>
      </c>
      <c r="L1069" t="str">
        <f>IFERROR(INDEX(Diccionario!$B:$B,MATCH(F1069,Diccionario!$C:$C,0)),"")</f>
        <v>Finanzas</v>
      </c>
      <c r="M1069" t="str">
        <f>IFERROR(INDEX(Diccionario!$H:$H,MATCH(F1069,Diccionario!$C:$C,0)),"")</f>
        <v>Finanzas</v>
      </c>
      <c r="N1069" t="str">
        <f>IFERROR(INDEX(Diccionario!$N:$N,MATCH(F1069,Diccionario!$C:$C,0)),"")</f>
        <v>Mensual</v>
      </c>
    </row>
    <row r="1070" spans="1:14" ht="14.25" customHeight="1" x14ac:dyDescent="0.3">
      <c r="A1070" t="s">
        <v>540</v>
      </c>
      <c r="B1070" t="s">
        <v>522</v>
      </c>
      <c r="C1070" t="s">
        <v>523</v>
      </c>
      <c r="D1070" t="s">
        <v>451</v>
      </c>
      <c r="E1070" t="s">
        <v>524</v>
      </c>
      <c r="F1070" t="s">
        <v>367</v>
      </c>
      <c r="I1070">
        <v>2546881</v>
      </c>
      <c r="J1070" t="s">
        <v>451</v>
      </c>
      <c r="L1070" t="str">
        <f>IFERROR(INDEX(Diccionario!$B:$B,MATCH(F1070,Diccionario!$C:$C,0)),"")</f>
        <v>Finanzas</v>
      </c>
      <c r="M1070" t="str">
        <f>IFERROR(INDEX(Diccionario!$H:$H,MATCH(F1070,Diccionario!$C:$C,0)),"")</f>
        <v>Finanzas</v>
      </c>
      <c r="N1070" t="str">
        <f>IFERROR(INDEX(Diccionario!$N:$N,MATCH(F1070,Diccionario!$C:$C,0)),"")</f>
        <v>Mensual</v>
      </c>
    </row>
    <row r="1071" spans="1:14" ht="14.25" customHeight="1" x14ac:dyDescent="0.3">
      <c r="A1071" t="s">
        <v>541</v>
      </c>
      <c r="B1071" t="s">
        <v>522</v>
      </c>
      <c r="C1071" t="s">
        <v>523</v>
      </c>
      <c r="D1071" t="s">
        <v>451</v>
      </c>
      <c r="E1071" t="s">
        <v>524</v>
      </c>
      <c r="F1071" t="s">
        <v>367</v>
      </c>
      <c r="I1071">
        <v>26543424</v>
      </c>
      <c r="J1071" t="s">
        <v>451</v>
      </c>
      <c r="L1071" t="str">
        <f>IFERROR(INDEX(Diccionario!$B:$B,MATCH(F1071,Diccionario!$C:$C,0)),"")</f>
        <v>Finanzas</v>
      </c>
      <c r="M1071" t="str">
        <f>IFERROR(INDEX(Diccionario!$H:$H,MATCH(F1071,Diccionario!$C:$C,0)),"")</f>
        <v>Finanzas</v>
      </c>
      <c r="N1071" t="str">
        <f>IFERROR(INDEX(Diccionario!$N:$N,MATCH(F1071,Diccionario!$C:$C,0)),"")</f>
        <v>Mensual</v>
      </c>
    </row>
    <row r="1072" spans="1:14" ht="14.25" customHeight="1" x14ac:dyDescent="0.3">
      <c r="A1072" t="s">
        <v>542</v>
      </c>
      <c r="B1072" t="s">
        <v>522</v>
      </c>
      <c r="C1072" t="s">
        <v>523</v>
      </c>
      <c r="D1072" t="s">
        <v>451</v>
      </c>
      <c r="E1072" t="s">
        <v>524</v>
      </c>
      <c r="F1072" t="s">
        <v>367</v>
      </c>
      <c r="I1072">
        <v>21130000</v>
      </c>
      <c r="J1072" t="s">
        <v>451</v>
      </c>
      <c r="L1072" t="str">
        <f>IFERROR(INDEX(Diccionario!$B:$B,MATCH(F1072,Diccionario!$C:$C,0)),"")</f>
        <v>Finanzas</v>
      </c>
      <c r="M1072" t="str">
        <f>IFERROR(INDEX(Diccionario!$H:$H,MATCH(F1072,Diccionario!$C:$C,0)),"")</f>
        <v>Finanzas</v>
      </c>
      <c r="N1072" t="str">
        <f>IFERROR(INDEX(Diccionario!$N:$N,MATCH(F1072,Diccionario!$C:$C,0)),"")</f>
        <v>Mensual</v>
      </c>
    </row>
    <row r="1073" spans="1:14" ht="14.25" customHeight="1" x14ac:dyDescent="0.3">
      <c r="A1073" t="s">
        <v>543</v>
      </c>
      <c r="B1073" t="s">
        <v>522</v>
      </c>
      <c r="C1073" t="s">
        <v>523</v>
      </c>
      <c r="D1073" t="s">
        <v>451</v>
      </c>
      <c r="E1073" t="s">
        <v>524</v>
      </c>
      <c r="F1073" t="s">
        <v>367</v>
      </c>
      <c r="I1073">
        <v>27206633</v>
      </c>
      <c r="J1073" t="s">
        <v>451</v>
      </c>
      <c r="L1073" t="str">
        <f>IFERROR(INDEX(Diccionario!$B:$B,MATCH(F1073,Diccionario!$C:$C,0)),"")</f>
        <v>Finanzas</v>
      </c>
      <c r="M1073" t="str">
        <f>IFERROR(INDEX(Diccionario!$H:$H,MATCH(F1073,Diccionario!$C:$C,0)),"")</f>
        <v>Finanzas</v>
      </c>
      <c r="N1073" t="str">
        <f>IFERROR(INDEX(Diccionario!$N:$N,MATCH(F1073,Diccionario!$C:$C,0)),"")</f>
        <v>Mensual</v>
      </c>
    </row>
    <row r="1074" spans="1:14" ht="14.25" customHeight="1" x14ac:dyDescent="0.3">
      <c r="A1074" t="s">
        <v>544</v>
      </c>
      <c r="B1074" t="s">
        <v>522</v>
      </c>
      <c r="C1074" t="s">
        <v>523</v>
      </c>
      <c r="D1074" t="s">
        <v>451</v>
      </c>
      <c r="E1074" t="s">
        <v>524</v>
      </c>
      <c r="F1074" t="s">
        <v>367</v>
      </c>
      <c r="I1074">
        <v>30397673</v>
      </c>
      <c r="J1074" t="s">
        <v>451</v>
      </c>
      <c r="L1074" t="str">
        <f>IFERROR(INDEX(Diccionario!$B:$B,MATCH(F1074,Diccionario!$C:$C,0)),"")</f>
        <v>Finanzas</v>
      </c>
      <c r="M1074" t="str">
        <f>IFERROR(INDEX(Diccionario!$H:$H,MATCH(F1074,Diccionario!$C:$C,0)),"")</f>
        <v>Finanzas</v>
      </c>
      <c r="N1074" t="str">
        <f>IFERROR(INDEX(Diccionario!$N:$N,MATCH(F1074,Diccionario!$C:$C,0)),"")</f>
        <v>Mensual</v>
      </c>
    </row>
    <row r="1075" spans="1:14" ht="14.25" customHeight="1" x14ac:dyDescent="0.3">
      <c r="A1075" t="s">
        <v>545</v>
      </c>
      <c r="B1075" t="s">
        <v>522</v>
      </c>
      <c r="C1075" t="s">
        <v>523</v>
      </c>
      <c r="D1075" t="s">
        <v>451</v>
      </c>
      <c r="E1075" t="s">
        <v>524</v>
      </c>
      <c r="F1075" t="s">
        <v>367</v>
      </c>
      <c r="I1075">
        <v>56793147</v>
      </c>
      <c r="J1075" t="s">
        <v>451</v>
      </c>
      <c r="L1075" t="str">
        <f>IFERROR(INDEX(Diccionario!$B:$B,MATCH(F1075,Diccionario!$C:$C,0)),"")</f>
        <v>Finanzas</v>
      </c>
      <c r="M1075" t="str">
        <f>IFERROR(INDEX(Diccionario!$H:$H,MATCH(F1075,Diccionario!$C:$C,0)),"")</f>
        <v>Finanzas</v>
      </c>
      <c r="N1075" t="str">
        <f>IFERROR(INDEX(Diccionario!$N:$N,MATCH(F1075,Diccionario!$C:$C,0)),"")</f>
        <v>Mensual</v>
      </c>
    </row>
    <row r="1076" spans="1:14" ht="14.25" customHeight="1" x14ac:dyDescent="0.3">
      <c r="A1076" t="s">
        <v>546</v>
      </c>
      <c r="B1076" t="s">
        <v>522</v>
      </c>
      <c r="C1076" t="s">
        <v>523</v>
      </c>
      <c r="D1076" t="s">
        <v>451</v>
      </c>
      <c r="E1076" t="s">
        <v>524</v>
      </c>
      <c r="F1076" t="s">
        <v>367</v>
      </c>
      <c r="I1076">
        <v>17650000</v>
      </c>
      <c r="J1076" t="s">
        <v>451</v>
      </c>
      <c r="L1076" t="str">
        <f>IFERROR(INDEX(Diccionario!$B:$B,MATCH(F1076,Diccionario!$C:$C,0)),"")</f>
        <v>Finanzas</v>
      </c>
      <c r="M1076" t="str">
        <f>IFERROR(INDEX(Diccionario!$H:$H,MATCH(F1076,Diccionario!$C:$C,0)),"")</f>
        <v>Finanzas</v>
      </c>
      <c r="N1076" t="str">
        <f>IFERROR(INDEX(Diccionario!$N:$N,MATCH(F1076,Diccionario!$C:$C,0)),"")</f>
        <v>Mensual</v>
      </c>
    </row>
    <row r="1077" spans="1:14" ht="14.25" customHeight="1" x14ac:dyDescent="0.3">
      <c r="A1077" t="s">
        <v>547</v>
      </c>
      <c r="B1077" t="s">
        <v>522</v>
      </c>
      <c r="C1077" t="s">
        <v>523</v>
      </c>
      <c r="D1077" t="s">
        <v>451</v>
      </c>
      <c r="E1077" t="s">
        <v>524</v>
      </c>
      <c r="F1077" t="s">
        <v>367</v>
      </c>
      <c r="I1077">
        <v>1</v>
      </c>
      <c r="J1077" t="s">
        <v>451</v>
      </c>
      <c r="L1077" t="str">
        <f>IFERROR(INDEX(Diccionario!$B:$B,MATCH(F1077,Diccionario!$C:$C,0)),"")</f>
        <v>Finanzas</v>
      </c>
      <c r="M1077" t="str">
        <f>IFERROR(INDEX(Diccionario!$H:$H,MATCH(F1077,Diccionario!$C:$C,0)),"")</f>
        <v>Finanzas</v>
      </c>
      <c r="N1077" t="str">
        <f>IFERROR(INDEX(Diccionario!$N:$N,MATCH(F1077,Diccionario!$C:$C,0)),"")</f>
        <v>Mensual</v>
      </c>
    </row>
    <row r="1078" spans="1:14" ht="14.25" customHeight="1" x14ac:dyDescent="0.3">
      <c r="A1078" t="s">
        <v>548</v>
      </c>
      <c r="B1078" t="s">
        <v>522</v>
      </c>
      <c r="C1078" t="s">
        <v>523</v>
      </c>
      <c r="D1078" t="s">
        <v>451</v>
      </c>
      <c r="E1078" t="s">
        <v>524</v>
      </c>
      <c r="F1078" t="s">
        <v>367</v>
      </c>
      <c r="I1078">
        <v>71452835</v>
      </c>
      <c r="J1078" t="s">
        <v>451</v>
      </c>
      <c r="L1078" t="str">
        <f>IFERROR(INDEX(Diccionario!$B:$B,MATCH(F1078,Diccionario!$C:$C,0)),"")</f>
        <v>Finanzas</v>
      </c>
      <c r="M1078" t="str">
        <f>IFERROR(INDEX(Diccionario!$H:$H,MATCH(F1078,Diccionario!$C:$C,0)),"")</f>
        <v>Finanzas</v>
      </c>
      <c r="N1078" t="str">
        <f>IFERROR(INDEX(Diccionario!$N:$N,MATCH(F1078,Diccionario!$C:$C,0)),"")</f>
        <v>Mensual</v>
      </c>
    </row>
    <row r="1079" spans="1:14" ht="14.25" customHeight="1" x14ac:dyDescent="0.3">
      <c r="A1079" t="s">
        <v>549</v>
      </c>
      <c r="B1079" t="s">
        <v>522</v>
      </c>
      <c r="C1079" t="s">
        <v>523</v>
      </c>
      <c r="D1079" t="s">
        <v>451</v>
      </c>
      <c r="E1079" t="s">
        <v>524</v>
      </c>
      <c r="F1079" t="s">
        <v>367</v>
      </c>
      <c r="I1079">
        <v>40047000</v>
      </c>
      <c r="J1079" t="s">
        <v>451</v>
      </c>
      <c r="L1079" t="str">
        <f>IFERROR(INDEX(Diccionario!$B:$B,MATCH(F1079,Diccionario!$C:$C,0)),"")</f>
        <v>Finanzas</v>
      </c>
      <c r="M1079" t="str">
        <f>IFERROR(INDEX(Diccionario!$H:$H,MATCH(F1079,Diccionario!$C:$C,0)),"")</f>
        <v>Finanzas</v>
      </c>
      <c r="N1079" t="str">
        <f>IFERROR(INDEX(Diccionario!$N:$N,MATCH(F1079,Diccionario!$C:$C,0)),"")</f>
        <v>Mensual</v>
      </c>
    </row>
    <row r="1080" spans="1:14" ht="14.25" customHeight="1" x14ac:dyDescent="0.3">
      <c r="A1080" t="s">
        <v>551</v>
      </c>
      <c r="B1080" t="s">
        <v>522</v>
      </c>
      <c r="C1080" t="s">
        <v>523</v>
      </c>
      <c r="D1080" t="s">
        <v>451</v>
      </c>
      <c r="E1080" t="s">
        <v>524</v>
      </c>
      <c r="F1080" t="s">
        <v>367</v>
      </c>
      <c r="I1080">
        <v>67164125</v>
      </c>
      <c r="J1080" t="s">
        <v>451</v>
      </c>
      <c r="L1080" t="str">
        <f>IFERROR(INDEX(Diccionario!$B:$B,MATCH(F1080,Diccionario!$C:$C,0)),"")</f>
        <v>Finanzas</v>
      </c>
      <c r="M1080" t="str">
        <f>IFERROR(INDEX(Diccionario!$H:$H,MATCH(F1080,Diccionario!$C:$C,0)),"")</f>
        <v>Finanzas</v>
      </c>
      <c r="N1080" t="str">
        <f>IFERROR(INDEX(Diccionario!$N:$N,MATCH(F1080,Diccionario!$C:$C,0)),"")</f>
        <v>Mensual</v>
      </c>
    </row>
    <row r="1081" spans="1:14" ht="14.25" customHeight="1" x14ac:dyDescent="0.3">
      <c r="A1081" t="s">
        <v>552</v>
      </c>
      <c r="B1081" t="s">
        <v>522</v>
      </c>
      <c r="C1081" t="s">
        <v>523</v>
      </c>
      <c r="D1081" t="s">
        <v>451</v>
      </c>
      <c r="E1081" t="s">
        <v>524</v>
      </c>
      <c r="F1081" t="s">
        <v>367</v>
      </c>
      <c r="I1081">
        <v>54801528</v>
      </c>
      <c r="J1081" t="s">
        <v>451</v>
      </c>
      <c r="L1081" t="str">
        <f>IFERROR(INDEX(Diccionario!$B:$B,MATCH(F1081,Diccionario!$C:$C,0)),"")</f>
        <v>Finanzas</v>
      </c>
      <c r="M1081" t="str">
        <f>IFERROR(INDEX(Diccionario!$H:$H,MATCH(F1081,Diccionario!$C:$C,0)),"")</f>
        <v>Finanzas</v>
      </c>
      <c r="N1081" t="str">
        <f>IFERROR(INDEX(Diccionario!$N:$N,MATCH(F1081,Diccionario!$C:$C,0)),"")</f>
        <v>Mensual</v>
      </c>
    </row>
    <row r="1082" spans="1:14" ht="14.25" customHeight="1" x14ac:dyDescent="0.3">
      <c r="A1082" t="s">
        <v>553</v>
      </c>
      <c r="B1082" t="s">
        <v>522</v>
      </c>
      <c r="C1082" t="s">
        <v>523</v>
      </c>
      <c r="D1082" t="s">
        <v>451</v>
      </c>
      <c r="E1082" t="s">
        <v>524</v>
      </c>
      <c r="F1082" t="s">
        <v>367</v>
      </c>
      <c r="I1082">
        <v>30501180</v>
      </c>
      <c r="J1082" t="s">
        <v>451</v>
      </c>
      <c r="L1082" t="str">
        <f>IFERROR(INDEX(Diccionario!$B:$B,MATCH(F1082,Diccionario!$C:$C,0)),"")</f>
        <v>Finanzas</v>
      </c>
      <c r="M1082" t="str">
        <f>IFERROR(INDEX(Diccionario!$H:$H,MATCH(F1082,Diccionario!$C:$C,0)),"")</f>
        <v>Finanzas</v>
      </c>
      <c r="N1082" t="str">
        <f>IFERROR(INDEX(Diccionario!$N:$N,MATCH(F1082,Diccionario!$C:$C,0)),"")</f>
        <v>Mensual</v>
      </c>
    </row>
    <row r="1083" spans="1:14" ht="14.25" customHeight="1" x14ac:dyDescent="0.3">
      <c r="A1083" t="s">
        <v>554</v>
      </c>
      <c r="B1083" t="s">
        <v>522</v>
      </c>
      <c r="C1083" t="s">
        <v>523</v>
      </c>
      <c r="D1083" t="s">
        <v>451</v>
      </c>
      <c r="E1083" t="s">
        <v>524</v>
      </c>
      <c r="F1083" t="s">
        <v>367</v>
      </c>
      <c r="I1083">
        <v>61451942</v>
      </c>
      <c r="J1083" t="s">
        <v>451</v>
      </c>
      <c r="L1083" t="str">
        <f>IFERROR(INDEX(Diccionario!$B:$B,MATCH(F1083,Diccionario!$C:$C,0)),"")</f>
        <v>Finanzas</v>
      </c>
      <c r="M1083" t="str">
        <f>IFERROR(INDEX(Diccionario!$H:$H,MATCH(F1083,Diccionario!$C:$C,0)),"")</f>
        <v>Finanzas</v>
      </c>
      <c r="N1083" t="str">
        <f>IFERROR(INDEX(Diccionario!$N:$N,MATCH(F1083,Diccionario!$C:$C,0)),"")</f>
        <v>Mensual</v>
      </c>
    </row>
    <row r="1084" spans="1:14" ht="14.25" customHeight="1" x14ac:dyDescent="0.3">
      <c r="A1084" t="s">
        <v>541</v>
      </c>
      <c r="B1084" t="s">
        <v>522</v>
      </c>
      <c r="C1084" t="s">
        <v>523</v>
      </c>
      <c r="D1084" t="s">
        <v>451</v>
      </c>
      <c r="E1084" t="s">
        <v>524</v>
      </c>
      <c r="F1084" t="s">
        <v>258</v>
      </c>
      <c r="I1084">
        <v>697602788</v>
      </c>
      <c r="J1084" t="s">
        <v>451</v>
      </c>
      <c r="L1084" t="str">
        <f>IFERROR(INDEX(Diccionario!$B:$B,MATCH(F1084,Diccionario!$C:$C,0)),"")</f>
        <v>Contabilidad</v>
      </c>
      <c r="M1084" t="str">
        <f>IFERROR(INDEX(Diccionario!$H:$H,MATCH(F1084,Diccionario!$C:$C,0)),"")</f>
        <v>Contabilidad</v>
      </c>
      <c r="N1084" t="str">
        <f>IFERROR(INDEX(Diccionario!$N:$N,MATCH(F1084,Diccionario!$C:$C,0)),"")</f>
        <v>Mensual</v>
      </c>
    </row>
    <row r="1085" spans="1:14" ht="14.25" customHeight="1" x14ac:dyDescent="0.3">
      <c r="A1085" t="s">
        <v>542</v>
      </c>
      <c r="B1085" t="s">
        <v>522</v>
      </c>
      <c r="C1085" t="s">
        <v>523</v>
      </c>
      <c r="D1085" t="s">
        <v>451</v>
      </c>
      <c r="E1085" t="s">
        <v>524</v>
      </c>
      <c r="F1085" t="s">
        <v>258</v>
      </c>
      <c r="I1085">
        <v>631984829</v>
      </c>
      <c r="J1085" t="s">
        <v>451</v>
      </c>
      <c r="L1085" t="str">
        <f>IFERROR(INDEX(Diccionario!$B:$B,MATCH(F1085,Diccionario!$C:$C,0)),"")</f>
        <v>Contabilidad</v>
      </c>
      <c r="M1085" t="str">
        <f>IFERROR(INDEX(Diccionario!$H:$H,MATCH(F1085,Diccionario!$C:$C,0)),"")</f>
        <v>Contabilidad</v>
      </c>
      <c r="N1085" t="str">
        <f>IFERROR(INDEX(Diccionario!$N:$N,MATCH(F1085,Diccionario!$C:$C,0)),"")</f>
        <v>Mensual</v>
      </c>
    </row>
    <row r="1086" spans="1:14" ht="14.25" customHeight="1" x14ac:dyDescent="0.3">
      <c r="A1086" t="s">
        <v>543</v>
      </c>
      <c r="B1086" t="s">
        <v>522</v>
      </c>
      <c r="C1086" t="s">
        <v>523</v>
      </c>
      <c r="D1086" t="s">
        <v>451</v>
      </c>
      <c r="E1086" t="s">
        <v>524</v>
      </c>
      <c r="F1086" t="s">
        <v>258</v>
      </c>
      <c r="I1086">
        <v>665215212</v>
      </c>
      <c r="J1086" t="s">
        <v>451</v>
      </c>
      <c r="L1086" t="str">
        <f>IFERROR(INDEX(Diccionario!$B:$B,MATCH(F1086,Diccionario!$C:$C,0)),"")</f>
        <v>Contabilidad</v>
      </c>
      <c r="M1086" t="str">
        <f>IFERROR(INDEX(Diccionario!$H:$H,MATCH(F1086,Diccionario!$C:$C,0)),"")</f>
        <v>Contabilidad</v>
      </c>
      <c r="N1086" t="str">
        <f>IFERROR(INDEX(Diccionario!$N:$N,MATCH(F1086,Diccionario!$C:$C,0)),"")</f>
        <v>Mensual</v>
      </c>
    </row>
    <row r="1087" spans="1:14" ht="14.25" customHeight="1" x14ac:dyDescent="0.3">
      <c r="A1087" t="s">
        <v>544</v>
      </c>
      <c r="B1087" t="s">
        <v>522</v>
      </c>
      <c r="C1087" t="s">
        <v>523</v>
      </c>
      <c r="D1087" t="s">
        <v>451</v>
      </c>
      <c r="E1087" t="s">
        <v>524</v>
      </c>
      <c r="F1087" t="s">
        <v>258</v>
      </c>
      <c r="I1087">
        <v>645143880</v>
      </c>
      <c r="J1087" t="s">
        <v>451</v>
      </c>
      <c r="L1087" t="str">
        <f>IFERROR(INDEX(Diccionario!$B:$B,MATCH(F1087,Diccionario!$C:$C,0)),"")</f>
        <v>Contabilidad</v>
      </c>
      <c r="M1087" t="str">
        <f>IFERROR(INDEX(Diccionario!$H:$H,MATCH(F1087,Diccionario!$C:$C,0)),"")</f>
        <v>Contabilidad</v>
      </c>
      <c r="N1087" t="str">
        <f>IFERROR(INDEX(Diccionario!$N:$N,MATCH(F1087,Diccionario!$C:$C,0)),"")</f>
        <v>Mensual</v>
      </c>
    </row>
    <row r="1088" spans="1:14" ht="14.25" customHeight="1" x14ac:dyDescent="0.3">
      <c r="A1088" t="s">
        <v>545</v>
      </c>
      <c r="B1088" t="s">
        <v>522</v>
      </c>
      <c r="C1088" t="s">
        <v>523</v>
      </c>
      <c r="D1088" t="s">
        <v>451</v>
      </c>
      <c r="E1088" t="s">
        <v>524</v>
      </c>
      <c r="F1088" t="s">
        <v>258</v>
      </c>
      <c r="I1088">
        <v>599113206</v>
      </c>
      <c r="J1088" t="s">
        <v>451</v>
      </c>
      <c r="L1088" t="str">
        <f>IFERROR(INDEX(Diccionario!$B:$B,MATCH(F1088,Diccionario!$C:$C,0)),"")</f>
        <v>Contabilidad</v>
      </c>
      <c r="M1088" t="str">
        <f>IFERROR(INDEX(Diccionario!$H:$H,MATCH(F1088,Diccionario!$C:$C,0)),"")</f>
        <v>Contabilidad</v>
      </c>
      <c r="N1088" t="str">
        <f>IFERROR(INDEX(Diccionario!$N:$N,MATCH(F1088,Diccionario!$C:$C,0)),"")</f>
        <v>Mensual</v>
      </c>
    </row>
    <row r="1089" spans="1:14" ht="14.25" customHeight="1" x14ac:dyDescent="0.3">
      <c r="A1089" t="s">
        <v>546</v>
      </c>
      <c r="B1089" t="s">
        <v>522</v>
      </c>
      <c r="C1089" t="s">
        <v>523</v>
      </c>
      <c r="D1089" t="s">
        <v>451</v>
      </c>
      <c r="E1089" t="s">
        <v>524</v>
      </c>
      <c r="F1089" t="s">
        <v>258</v>
      </c>
      <c r="I1089">
        <v>621530361</v>
      </c>
      <c r="J1089" t="s">
        <v>451</v>
      </c>
      <c r="L1089" t="str">
        <f>IFERROR(INDEX(Diccionario!$B:$B,MATCH(F1089,Diccionario!$C:$C,0)),"")</f>
        <v>Contabilidad</v>
      </c>
      <c r="M1089" t="str">
        <f>IFERROR(INDEX(Diccionario!$H:$H,MATCH(F1089,Diccionario!$C:$C,0)),"")</f>
        <v>Contabilidad</v>
      </c>
      <c r="N1089" t="str">
        <f>IFERROR(INDEX(Diccionario!$N:$N,MATCH(F1089,Diccionario!$C:$C,0)),"")</f>
        <v>Mensual</v>
      </c>
    </row>
    <row r="1090" spans="1:14" ht="14.25" customHeight="1" x14ac:dyDescent="0.3">
      <c r="A1090" t="s">
        <v>547</v>
      </c>
      <c r="B1090" t="s">
        <v>522</v>
      </c>
      <c r="C1090" t="s">
        <v>523</v>
      </c>
      <c r="D1090" t="s">
        <v>451</v>
      </c>
      <c r="E1090" t="s">
        <v>524</v>
      </c>
      <c r="F1090" t="s">
        <v>258</v>
      </c>
      <c r="I1090">
        <v>647442178</v>
      </c>
      <c r="J1090" t="s">
        <v>451</v>
      </c>
      <c r="L1090" t="str">
        <f>IFERROR(INDEX(Diccionario!$B:$B,MATCH(F1090,Diccionario!$C:$C,0)),"")</f>
        <v>Contabilidad</v>
      </c>
      <c r="M1090" t="str">
        <f>IFERROR(INDEX(Diccionario!$H:$H,MATCH(F1090,Diccionario!$C:$C,0)),"")</f>
        <v>Contabilidad</v>
      </c>
      <c r="N1090" t="str">
        <f>IFERROR(INDEX(Diccionario!$N:$N,MATCH(F1090,Diccionario!$C:$C,0)),"")</f>
        <v>Mensual</v>
      </c>
    </row>
    <row r="1091" spans="1:14" ht="14.25" customHeight="1" x14ac:dyDescent="0.3">
      <c r="A1091" t="s">
        <v>548</v>
      </c>
      <c r="B1091" t="s">
        <v>522</v>
      </c>
      <c r="C1091" t="s">
        <v>523</v>
      </c>
      <c r="D1091" t="s">
        <v>451</v>
      </c>
      <c r="E1091" t="s">
        <v>524</v>
      </c>
      <c r="F1091" t="s">
        <v>258</v>
      </c>
      <c r="I1091">
        <v>533747198</v>
      </c>
      <c r="J1091" t="s">
        <v>451</v>
      </c>
      <c r="L1091" t="str">
        <f>IFERROR(INDEX(Diccionario!$B:$B,MATCH(F1091,Diccionario!$C:$C,0)),"")</f>
        <v>Contabilidad</v>
      </c>
      <c r="M1091" t="str">
        <f>IFERROR(INDEX(Diccionario!$H:$H,MATCH(F1091,Diccionario!$C:$C,0)),"")</f>
        <v>Contabilidad</v>
      </c>
      <c r="N1091" t="str">
        <f>IFERROR(INDEX(Diccionario!$N:$N,MATCH(F1091,Diccionario!$C:$C,0)),"")</f>
        <v>Mensual</v>
      </c>
    </row>
    <row r="1092" spans="1:14" ht="14.25" customHeight="1" x14ac:dyDescent="0.3">
      <c r="A1092" t="s">
        <v>549</v>
      </c>
      <c r="B1092" t="s">
        <v>522</v>
      </c>
      <c r="C1092" t="s">
        <v>523</v>
      </c>
      <c r="D1092" t="s">
        <v>451</v>
      </c>
      <c r="E1092" t="s">
        <v>524</v>
      </c>
      <c r="F1092" t="s">
        <v>258</v>
      </c>
      <c r="I1092">
        <v>554242648</v>
      </c>
      <c r="J1092" t="s">
        <v>451</v>
      </c>
      <c r="L1092" t="str">
        <f>IFERROR(INDEX(Diccionario!$B:$B,MATCH(F1092,Diccionario!$C:$C,0)),"")</f>
        <v>Contabilidad</v>
      </c>
      <c r="M1092" t="str">
        <f>IFERROR(INDEX(Diccionario!$H:$H,MATCH(F1092,Diccionario!$C:$C,0)),"")</f>
        <v>Contabilidad</v>
      </c>
      <c r="N1092" t="str">
        <f>IFERROR(INDEX(Diccionario!$N:$N,MATCH(F1092,Diccionario!$C:$C,0)),"")</f>
        <v>Mensual</v>
      </c>
    </row>
    <row r="1093" spans="1:14" ht="14.25" customHeight="1" x14ac:dyDescent="0.3">
      <c r="A1093" t="s">
        <v>551</v>
      </c>
      <c r="B1093" t="s">
        <v>522</v>
      </c>
      <c r="C1093" t="s">
        <v>523</v>
      </c>
      <c r="D1093" t="s">
        <v>451</v>
      </c>
      <c r="E1093" t="s">
        <v>524</v>
      </c>
      <c r="F1093" t="s">
        <v>258</v>
      </c>
      <c r="I1093">
        <v>626918165</v>
      </c>
      <c r="J1093" t="s">
        <v>451</v>
      </c>
      <c r="L1093" t="str">
        <f>IFERROR(INDEX(Diccionario!$B:$B,MATCH(F1093,Diccionario!$C:$C,0)),"")</f>
        <v>Contabilidad</v>
      </c>
      <c r="M1093" t="str">
        <f>IFERROR(INDEX(Diccionario!$H:$H,MATCH(F1093,Diccionario!$C:$C,0)),"")</f>
        <v>Contabilidad</v>
      </c>
      <c r="N1093" t="str">
        <f>IFERROR(INDEX(Diccionario!$N:$N,MATCH(F1093,Diccionario!$C:$C,0)),"")</f>
        <v>Mensual</v>
      </c>
    </row>
    <row r="1094" spans="1:14" ht="14.25" customHeight="1" x14ac:dyDescent="0.3">
      <c r="A1094" t="s">
        <v>552</v>
      </c>
      <c r="B1094" t="s">
        <v>522</v>
      </c>
      <c r="C1094" t="s">
        <v>523</v>
      </c>
      <c r="D1094" t="s">
        <v>451</v>
      </c>
      <c r="E1094" t="s">
        <v>524</v>
      </c>
      <c r="F1094" t="s">
        <v>258</v>
      </c>
      <c r="I1094">
        <v>666914432</v>
      </c>
      <c r="J1094" t="s">
        <v>451</v>
      </c>
      <c r="L1094" t="str">
        <f>IFERROR(INDEX(Diccionario!$B:$B,MATCH(F1094,Diccionario!$C:$C,0)),"")</f>
        <v>Contabilidad</v>
      </c>
      <c r="M1094" t="str">
        <f>IFERROR(INDEX(Diccionario!$H:$H,MATCH(F1094,Diccionario!$C:$C,0)),"")</f>
        <v>Contabilidad</v>
      </c>
      <c r="N1094" t="str">
        <f>IFERROR(INDEX(Diccionario!$N:$N,MATCH(F1094,Diccionario!$C:$C,0)),"")</f>
        <v>Mensual</v>
      </c>
    </row>
    <row r="1095" spans="1:14" ht="14.25" customHeight="1" x14ac:dyDescent="0.3">
      <c r="A1095" t="s">
        <v>553</v>
      </c>
      <c r="B1095" t="s">
        <v>522</v>
      </c>
      <c r="C1095" t="s">
        <v>523</v>
      </c>
      <c r="D1095" t="s">
        <v>451</v>
      </c>
      <c r="E1095" t="s">
        <v>524</v>
      </c>
      <c r="F1095" t="s">
        <v>258</v>
      </c>
      <c r="I1095">
        <v>685135673</v>
      </c>
      <c r="J1095" t="s">
        <v>451</v>
      </c>
      <c r="L1095" t="str">
        <f>IFERROR(INDEX(Diccionario!$B:$B,MATCH(F1095,Diccionario!$C:$C,0)),"")</f>
        <v>Contabilidad</v>
      </c>
      <c r="M1095" t="str">
        <f>IFERROR(INDEX(Diccionario!$H:$H,MATCH(F1095,Diccionario!$C:$C,0)),"")</f>
        <v>Contabilidad</v>
      </c>
      <c r="N1095" t="str">
        <f>IFERROR(INDEX(Diccionario!$N:$N,MATCH(F1095,Diccionario!$C:$C,0)),"")</f>
        <v>Mensual</v>
      </c>
    </row>
    <row r="1096" spans="1:14" ht="14.25" customHeight="1" x14ac:dyDescent="0.3">
      <c r="A1096" t="s">
        <v>554</v>
      </c>
      <c r="B1096" t="s">
        <v>522</v>
      </c>
      <c r="C1096" t="s">
        <v>523</v>
      </c>
      <c r="D1096" t="s">
        <v>451</v>
      </c>
      <c r="E1096" t="s">
        <v>524</v>
      </c>
      <c r="F1096" t="s">
        <v>258</v>
      </c>
      <c r="I1096">
        <v>638091793</v>
      </c>
      <c r="J1096" t="s">
        <v>451</v>
      </c>
      <c r="L1096" t="str">
        <f>IFERROR(INDEX(Diccionario!$B:$B,MATCH(F1096,Diccionario!$C:$C,0)),"")</f>
        <v>Contabilidad</v>
      </c>
      <c r="M1096" t="str">
        <f>IFERROR(INDEX(Diccionario!$H:$H,MATCH(F1096,Diccionario!$C:$C,0)),"")</f>
        <v>Contabilidad</v>
      </c>
      <c r="N1096" t="str">
        <f>IFERROR(INDEX(Diccionario!$N:$N,MATCH(F1096,Diccionario!$C:$C,0)),"")</f>
        <v>Mensual</v>
      </c>
    </row>
    <row r="1097" spans="1:14" ht="14.25" customHeight="1" x14ac:dyDescent="0.3">
      <c r="A1097" t="s">
        <v>541</v>
      </c>
      <c r="B1097" t="s">
        <v>522</v>
      </c>
      <c r="C1097" t="s">
        <v>523</v>
      </c>
      <c r="D1097" t="s">
        <v>451</v>
      </c>
      <c r="E1097" t="s">
        <v>524</v>
      </c>
      <c r="F1097" t="s">
        <v>241</v>
      </c>
      <c r="I1097">
        <v>12236217</v>
      </c>
      <c r="J1097" t="s">
        <v>451</v>
      </c>
      <c r="L1097" t="str">
        <f>IFERROR(INDEX(Diccionario!$B:$B,MATCH(F1097,Diccionario!$C:$C,0)),"")</f>
        <v>Contabilidad</v>
      </c>
      <c r="M1097" t="str">
        <f>IFERROR(INDEX(Diccionario!$H:$H,MATCH(F1097,Diccionario!$C:$C,0)),"")</f>
        <v>Contabilidad</v>
      </c>
      <c r="N1097" t="str">
        <f>IFERROR(INDEX(Diccionario!$N:$N,MATCH(F1097,Diccionario!$C:$C,0)),"")</f>
        <v>Mensual</v>
      </c>
    </row>
    <row r="1098" spans="1:14" ht="14.25" customHeight="1" x14ac:dyDescent="0.3">
      <c r="A1098" t="s">
        <v>542</v>
      </c>
      <c r="B1098" t="s">
        <v>522</v>
      </c>
      <c r="C1098" t="s">
        <v>523</v>
      </c>
      <c r="D1098" t="s">
        <v>451</v>
      </c>
      <c r="E1098" t="s">
        <v>524</v>
      </c>
      <c r="F1098" t="s">
        <v>241</v>
      </c>
      <c r="I1098">
        <v>18476082</v>
      </c>
      <c r="J1098" t="s">
        <v>451</v>
      </c>
      <c r="L1098" t="str">
        <f>IFERROR(INDEX(Diccionario!$B:$B,MATCH(F1098,Diccionario!$C:$C,0)),"")</f>
        <v>Contabilidad</v>
      </c>
      <c r="M1098" t="str">
        <f>IFERROR(INDEX(Diccionario!$H:$H,MATCH(F1098,Diccionario!$C:$C,0)),"")</f>
        <v>Contabilidad</v>
      </c>
      <c r="N1098" t="str">
        <f>IFERROR(INDEX(Diccionario!$N:$N,MATCH(F1098,Diccionario!$C:$C,0)),"")</f>
        <v>Mensual</v>
      </c>
    </row>
    <row r="1099" spans="1:14" ht="14.25" customHeight="1" x14ac:dyDescent="0.3">
      <c r="A1099" t="s">
        <v>543</v>
      </c>
      <c r="B1099" t="s">
        <v>522</v>
      </c>
      <c r="C1099" t="s">
        <v>523</v>
      </c>
      <c r="D1099" t="s">
        <v>451</v>
      </c>
      <c r="E1099" t="s">
        <v>524</v>
      </c>
      <c r="F1099" t="s">
        <v>241</v>
      </c>
      <c r="I1099">
        <v>0</v>
      </c>
      <c r="J1099" t="s">
        <v>451</v>
      </c>
      <c r="L1099" t="str">
        <f>IFERROR(INDEX(Diccionario!$B:$B,MATCH(F1099,Diccionario!$C:$C,0)),"")</f>
        <v>Contabilidad</v>
      </c>
      <c r="M1099" t="str">
        <f>IFERROR(INDEX(Diccionario!$H:$H,MATCH(F1099,Diccionario!$C:$C,0)),"")</f>
        <v>Contabilidad</v>
      </c>
      <c r="N1099" t="str">
        <f>IFERROR(INDEX(Diccionario!$N:$N,MATCH(F1099,Diccionario!$C:$C,0)),"")</f>
        <v>Mensual</v>
      </c>
    </row>
    <row r="1100" spans="1:14" ht="14.25" customHeight="1" x14ac:dyDescent="0.3">
      <c r="A1100" t="s">
        <v>544</v>
      </c>
      <c r="B1100" t="s">
        <v>522</v>
      </c>
      <c r="C1100" t="s">
        <v>523</v>
      </c>
      <c r="D1100" t="s">
        <v>451</v>
      </c>
      <c r="E1100" t="s">
        <v>524</v>
      </c>
      <c r="F1100" t="s">
        <v>241</v>
      </c>
      <c r="I1100">
        <v>30328404</v>
      </c>
      <c r="J1100" t="s">
        <v>451</v>
      </c>
      <c r="L1100" t="str">
        <f>IFERROR(INDEX(Diccionario!$B:$B,MATCH(F1100,Diccionario!$C:$C,0)),"")</f>
        <v>Contabilidad</v>
      </c>
      <c r="M1100" t="str">
        <f>IFERROR(INDEX(Diccionario!$H:$H,MATCH(F1100,Diccionario!$C:$C,0)),"")</f>
        <v>Contabilidad</v>
      </c>
      <c r="N1100" t="str">
        <f>IFERROR(INDEX(Diccionario!$N:$N,MATCH(F1100,Diccionario!$C:$C,0)),"")</f>
        <v>Mensual</v>
      </c>
    </row>
    <row r="1101" spans="1:14" ht="14.25" customHeight="1" x14ac:dyDescent="0.3">
      <c r="A1101" t="s">
        <v>545</v>
      </c>
      <c r="B1101" t="s">
        <v>522</v>
      </c>
      <c r="C1101" t="s">
        <v>523</v>
      </c>
      <c r="D1101" t="s">
        <v>451</v>
      </c>
      <c r="E1101" t="s">
        <v>524</v>
      </c>
      <c r="F1101" t="s">
        <v>241</v>
      </c>
      <c r="I1101">
        <v>66758720</v>
      </c>
      <c r="J1101" t="s">
        <v>451</v>
      </c>
      <c r="L1101" t="str">
        <f>IFERROR(INDEX(Diccionario!$B:$B,MATCH(F1101,Diccionario!$C:$C,0)),"")</f>
        <v>Contabilidad</v>
      </c>
      <c r="M1101" t="str">
        <f>IFERROR(INDEX(Diccionario!$H:$H,MATCH(F1101,Diccionario!$C:$C,0)),"")</f>
        <v>Contabilidad</v>
      </c>
      <c r="N1101" t="str">
        <f>IFERROR(INDEX(Diccionario!$N:$N,MATCH(F1101,Diccionario!$C:$C,0)),"")</f>
        <v>Mensual</v>
      </c>
    </row>
    <row r="1102" spans="1:14" ht="14.25" customHeight="1" x14ac:dyDescent="0.3">
      <c r="A1102" t="s">
        <v>546</v>
      </c>
      <c r="B1102" t="s">
        <v>522</v>
      </c>
      <c r="C1102" t="s">
        <v>523</v>
      </c>
      <c r="D1102" t="s">
        <v>451</v>
      </c>
      <c r="E1102" t="s">
        <v>524</v>
      </c>
      <c r="F1102" t="s">
        <v>241</v>
      </c>
      <c r="I1102">
        <v>9744000</v>
      </c>
      <c r="J1102" t="s">
        <v>451</v>
      </c>
      <c r="L1102" t="str">
        <f>IFERROR(INDEX(Diccionario!$B:$B,MATCH(F1102,Diccionario!$C:$C,0)),"")</f>
        <v>Contabilidad</v>
      </c>
      <c r="M1102" t="str">
        <f>IFERROR(INDEX(Diccionario!$H:$H,MATCH(F1102,Diccionario!$C:$C,0)),"")</f>
        <v>Contabilidad</v>
      </c>
      <c r="N1102" t="str">
        <f>IFERROR(INDEX(Diccionario!$N:$N,MATCH(F1102,Diccionario!$C:$C,0)),"")</f>
        <v>Mensual</v>
      </c>
    </row>
    <row r="1103" spans="1:14" ht="14.25" customHeight="1" x14ac:dyDescent="0.3">
      <c r="A1103" t="s">
        <v>547</v>
      </c>
      <c r="B1103" t="s">
        <v>522</v>
      </c>
      <c r="C1103" t="s">
        <v>523</v>
      </c>
      <c r="D1103" t="s">
        <v>451</v>
      </c>
      <c r="E1103" t="s">
        <v>524</v>
      </c>
      <c r="F1103" t="s">
        <v>241</v>
      </c>
      <c r="I1103">
        <v>4576586</v>
      </c>
      <c r="J1103" t="s">
        <v>451</v>
      </c>
      <c r="L1103" t="str">
        <f>IFERROR(INDEX(Diccionario!$B:$B,MATCH(F1103,Diccionario!$C:$C,0)),"")</f>
        <v>Contabilidad</v>
      </c>
      <c r="M1103" t="str">
        <f>IFERROR(INDEX(Diccionario!$H:$H,MATCH(F1103,Diccionario!$C:$C,0)),"")</f>
        <v>Contabilidad</v>
      </c>
      <c r="N1103" t="str">
        <f>IFERROR(INDEX(Diccionario!$N:$N,MATCH(F1103,Diccionario!$C:$C,0)),"")</f>
        <v>Mensual</v>
      </c>
    </row>
    <row r="1104" spans="1:14" ht="14.25" customHeight="1" x14ac:dyDescent="0.3">
      <c r="A1104" t="s">
        <v>548</v>
      </c>
      <c r="B1104" t="s">
        <v>522</v>
      </c>
      <c r="C1104" t="s">
        <v>523</v>
      </c>
      <c r="D1104" t="s">
        <v>451</v>
      </c>
      <c r="E1104" t="s">
        <v>524</v>
      </c>
      <c r="F1104" t="s">
        <v>241</v>
      </c>
      <c r="I1104">
        <v>121130467</v>
      </c>
      <c r="J1104" t="s">
        <v>451</v>
      </c>
      <c r="L1104" t="str">
        <f>IFERROR(INDEX(Diccionario!$B:$B,MATCH(F1104,Diccionario!$C:$C,0)),"")</f>
        <v>Contabilidad</v>
      </c>
      <c r="M1104" t="str">
        <f>IFERROR(INDEX(Diccionario!$H:$H,MATCH(F1104,Diccionario!$C:$C,0)),"")</f>
        <v>Contabilidad</v>
      </c>
      <c r="N1104" t="str">
        <f>IFERROR(INDEX(Diccionario!$N:$N,MATCH(F1104,Diccionario!$C:$C,0)),"")</f>
        <v>Mensual</v>
      </c>
    </row>
    <row r="1105" spans="1:14" ht="14.25" customHeight="1" x14ac:dyDescent="0.3">
      <c r="A1105" t="s">
        <v>549</v>
      </c>
      <c r="B1105" t="s">
        <v>522</v>
      </c>
      <c r="C1105" t="s">
        <v>523</v>
      </c>
      <c r="D1105" t="s">
        <v>451</v>
      </c>
      <c r="E1105" t="s">
        <v>524</v>
      </c>
      <c r="F1105" t="s">
        <v>241</v>
      </c>
      <c r="I1105">
        <v>42197000</v>
      </c>
      <c r="J1105" t="s">
        <v>451</v>
      </c>
      <c r="L1105" t="str">
        <f>IFERROR(INDEX(Diccionario!$B:$B,MATCH(F1105,Diccionario!$C:$C,0)),"")</f>
        <v>Contabilidad</v>
      </c>
      <c r="M1105" t="str">
        <f>IFERROR(INDEX(Diccionario!$H:$H,MATCH(F1105,Diccionario!$C:$C,0)),"")</f>
        <v>Contabilidad</v>
      </c>
      <c r="N1105" t="str">
        <f>IFERROR(INDEX(Diccionario!$N:$N,MATCH(F1105,Diccionario!$C:$C,0)),"")</f>
        <v>Mensual</v>
      </c>
    </row>
    <row r="1106" spans="1:14" ht="14.25" customHeight="1" x14ac:dyDescent="0.3">
      <c r="A1106" t="s">
        <v>551</v>
      </c>
      <c r="B1106" t="s">
        <v>522</v>
      </c>
      <c r="C1106" t="s">
        <v>523</v>
      </c>
      <c r="D1106" t="s">
        <v>451</v>
      </c>
      <c r="E1106" t="s">
        <v>524</v>
      </c>
      <c r="F1106" t="s">
        <v>241</v>
      </c>
      <c r="I1106">
        <v>67164125</v>
      </c>
      <c r="J1106" t="s">
        <v>451</v>
      </c>
      <c r="L1106" t="str">
        <f>IFERROR(INDEX(Diccionario!$B:$B,MATCH(F1106,Diccionario!$C:$C,0)),"")</f>
        <v>Contabilidad</v>
      </c>
      <c r="M1106" t="str">
        <f>IFERROR(INDEX(Diccionario!$H:$H,MATCH(F1106,Diccionario!$C:$C,0)),"")</f>
        <v>Contabilidad</v>
      </c>
      <c r="N1106" t="str">
        <f>IFERROR(INDEX(Diccionario!$N:$N,MATCH(F1106,Diccionario!$C:$C,0)),"")</f>
        <v>Mensual</v>
      </c>
    </row>
    <row r="1107" spans="1:14" ht="14.25" customHeight="1" x14ac:dyDescent="0.3">
      <c r="A1107" t="s">
        <v>552</v>
      </c>
      <c r="B1107" t="s">
        <v>522</v>
      </c>
      <c r="C1107" t="s">
        <v>523</v>
      </c>
      <c r="D1107" t="s">
        <v>451</v>
      </c>
      <c r="E1107" t="s">
        <v>524</v>
      </c>
      <c r="F1107" t="s">
        <v>241</v>
      </c>
      <c r="I1107">
        <v>20433810</v>
      </c>
      <c r="J1107" t="s">
        <v>451</v>
      </c>
      <c r="L1107" t="str">
        <f>IFERROR(INDEX(Diccionario!$B:$B,MATCH(F1107,Diccionario!$C:$C,0)),"")</f>
        <v>Contabilidad</v>
      </c>
      <c r="M1107" t="str">
        <f>IFERROR(INDEX(Diccionario!$H:$H,MATCH(F1107,Diccionario!$C:$C,0)),"")</f>
        <v>Contabilidad</v>
      </c>
      <c r="N1107" t="str">
        <f>IFERROR(INDEX(Diccionario!$N:$N,MATCH(F1107,Diccionario!$C:$C,0)),"")</f>
        <v>Mensual</v>
      </c>
    </row>
    <row r="1108" spans="1:14" ht="14.25" customHeight="1" x14ac:dyDescent="0.3">
      <c r="A1108" t="s">
        <v>553</v>
      </c>
      <c r="B1108" t="s">
        <v>522</v>
      </c>
      <c r="C1108" t="s">
        <v>523</v>
      </c>
      <c r="D1108" t="s">
        <v>451</v>
      </c>
      <c r="E1108" t="s">
        <v>524</v>
      </c>
      <c r="F1108" t="s">
        <v>241</v>
      </c>
      <c r="I1108">
        <v>19704840</v>
      </c>
      <c r="J1108" t="s">
        <v>451</v>
      </c>
      <c r="L1108" t="str">
        <f>IFERROR(INDEX(Diccionario!$B:$B,MATCH(F1108,Diccionario!$C:$C,0)),"")</f>
        <v>Contabilidad</v>
      </c>
      <c r="M1108" t="str">
        <f>IFERROR(INDEX(Diccionario!$H:$H,MATCH(F1108,Diccionario!$C:$C,0)),"")</f>
        <v>Contabilidad</v>
      </c>
      <c r="N1108" t="str">
        <f>IFERROR(INDEX(Diccionario!$N:$N,MATCH(F1108,Diccionario!$C:$C,0)),"")</f>
        <v>Mensual</v>
      </c>
    </row>
    <row r="1109" spans="1:14" ht="14.25" customHeight="1" x14ac:dyDescent="0.3">
      <c r="A1109" t="s">
        <v>554</v>
      </c>
      <c r="B1109" t="s">
        <v>522</v>
      </c>
      <c r="C1109" t="s">
        <v>523</v>
      </c>
      <c r="D1109" t="s">
        <v>451</v>
      </c>
      <c r="E1109" t="s">
        <v>524</v>
      </c>
      <c r="F1109" t="s">
        <v>241</v>
      </c>
      <c r="I1109">
        <v>57840476</v>
      </c>
      <c r="J1109" t="s">
        <v>451</v>
      </c>
      <c r="L1109" t="str">
        <f>IFERROR(INDEX(Diccionario!$B:$B,MATCH(F1109,Diccionario!$C:$C,0)),"")</f>
        <v>Contabilidad</v>
      </c>
      <c r="M1109" t="str">
        <f>IFERROR(INDEX(Diccionario!$H:$H,MATCH(F1109,Diccionario!$C:$C,0)),"")</f>
        <v>Contabilidad</v>
      </c>
      <c r="N1109" t="str">
        <f>IFERROR(INDEX(Diccionario!$N:$N,MATCH(F1109,Diccionario!$C:$C,0)),"")</f>
        <v>Mensual</v>
      </c>
    </row>
    <row r="1110" spans="1:14" ht="14.25" customHeight="1" x14ac:dyDescent="0.3">
      <c r="A1110" t="s">
        <v>541</v>
      </c>
      <c r="B1110" t="s">
        <v>522</v>
      </c>
      <c r="C1110" t="s">
        <v>523</v>
      </c>
      <c r="D1110" t="s">
        <v>451</v>
      </c>
      <c r="E1110" t="s">
        <v>524</v>
      </c>
      <c r="F1110" t="s">
        <v>249</v>
      </c>
      <c r="I1110">
        <v>0</v>
      </c>
      <c r="J1110" t="s">
        <v>451</v>
      </c>
      <c r="L1110" t="str">
        <f>IFERROR(INDEX(Diccionario!$B:$B,MATCH(F1110,Diccionario!$C:$C,0)),"")</f>
        <v>Contabilidad</v>
      </c>
      <c r="M1110" t="str">
        <f>IFERROR(INDEX(Diccionario!$H:$H,MATCH(F1110,Diccionario!$C:$C,0)),"")</f>
        <v>Contabilidad</v>
      </c>
      <c r="N1110" t="str">
        <f>IFERROR(INDEX(Diccionario!$N:$N,MATCH(F1110,Diccionario!$C:$C,0)),"")</f>
        <v>Mensual</v>
      </c>
    </row>
    <row r="1111" spans="1:14" ht="14.25" customHeight="1" x14ac:dyDescent="0.3">
      <c r="A1111" t="s">
        <v>542</v>
      </c>
      <c r="B1111" t="s">
        <v>522</v>
      </c>
      <c r="C1111" t="s">
        <v>523</v>
      </c>
      <c r="D1111" t="s">
        <v>451</v>
      </c>
      <c r="E1111" t="s">
        <v>524</v>
      </c>
      <c r="F1111" t="s">
        <v>249</v>
      </c>
      <c r="I1111">
        <v>0</v>
      </c>
      <c r="J1111" t="s">
        <v>451</v>
      </c>
      <c r="L1111" t="str">
        <f>IFERROR(INDEX(Diccionario!$B:$B,MATCH(F1111,Diccionario!$C:$C,0)),"")</f>
        <v>Contabilidad</v>
      </c>
      <c r="M1111" t="str">
        <f>IFERROR(INDEX(Diccionario!$H:$H,MATCH(F1111,Diccionario!$C:$C,0)),"")</f>
        <v>Contabilidad</v>
      </c>
      <c r="N1111" t="str">
        <f>IFERROR(INDEX(Diccionario!$N:$N,MATCH(F1111,Diccionario!$C:$C,0)),"")</f>
        <v>Mensual</v>
      </c>
    </row>
    <row r="1112" spans="1:14" ht="14.25" customHeight="1" x14ac:dyDescent="0.3">
      <c r="A1112" t="s">
        <v>545</v>
      </c>
      <c r="B1112" t="s">
        <v>522</v>
      </c>
      <c r="C1112" t="s">
        <v>523</v>
      </c>
      <c r="D1112" t="s">
        <v>451</v>
      </c>
      <c r="E1112" t="s">
        <v>524</v>
      </c>
      <c r="F1112" t="s">
        <v>249</v>
      </c>
      <c r="I1112">
        <v>0</v>
      </c>
      <c r="J1112" t="s">
        <v>451</v>
      </c>
      <c r="L1112" t="str">
        <f>IFERROR(INDEX(Diccionario!$B:$B,MATCH(F1112,Diccionario!$C:$C,0)),"")</f>
        <v>Contabilidad</v>
      </c>
      <c r="M1112" t="str">
        <f>IFERROR(INDEX(Diccionario!$H:$H,MATCH(F1112,Diccionario!$C:$C,0)),"")</f>
        <v>Contabilidad</v>
      </c>
      <c r="N1112" t="str">
        <f>IFERROR(INDEX(Diccionario!$N:$N,MATCH(F1112,Diccionario!$C:$C,0)),"")</f>
        <v>Mensual</v>
      </c>
    </row>
    <row r="1113" spans="1:14" ht="14.25" customHeight="1" x14ac:dyDescent="0.3">
      <c r="A1113" t="s">
        <v>541</v>
      </c>
      <c r="B1113" t="s">
        <v>522</v>
      </c>
      <c r="C1113" t="s">
        <v>523</v>
      </c>
      <c r="D1113" t="s">
        <v>451</v>
      </c>
      <c r="E1113" t="s">
        <v>524</v>
      </c>
      <c r="F1113" t="s">
        <v>246</v>
      </c>
      <c r="I1113">
        <v>70990398</v>
      </c>
      <c r="J1113" t="s">
        <v>451</v>
      </c>
      <c r="L1113" t="str">
        <f>IFERROR(INDEX(Diccionario!$B:$B,MATCH(F1113,Diccionario!$C:$C,0)),"")</f>
        <v>Contabilidad</v>
      </c>
      <c r="M1113" t="str">
        <f>IFERROR(INDEX(Diccionario!$H:$H,MATCH(F1113,Diccionario!$C:$C,0)),"")</f>
        <v>Contabilidad</v>
      </c>
      <c r="N1113" t="str">
        <f>IFERROR(INDEX(Diccionario!$N:$N,MATCH(F1113,Diccionario!$C:$C,0)),"")</f>
        <v>Mensual</v>
      </c>
    </row>
    <row r="1114" spans="1:14" ht="14.25" customHeight="1" x14ac:dyDescent="0.3">
      <c r="A1114" t="s">
        <v>542</v>
      </c>
      <c r="B1114" t="s">
        <v>522</v>
      </c>
      <c r="C1114" t="s">
        <v>523</v>
      </c>
      <c r="D1114" t="s">
        <v>451</v>
      </c>
      <c r="E1114" t="s">
        <v>524</v>
      </c>
      <c r="F1114" t="s">
        <v>246</v>
      </c>
      <c r="I1114">
        <v>39382286</v>
      </c>
      <c r="J1114" t="s">
        <v>451</v>
      </c>
      <c r="L1114" t="str">
        <f>IFERROR(INDEX(Diccionario!$B:$B,MATCH(F1114,Diccionario!$C:$C,0)),"")</f>
        <v>Contabilidad</v>
      </c>
      <c r="M1114" t="str">
        <f>IFERROR(INDEX(Diccionario!$H:$H,MATCH(F1114,Diccionario!$C:$C,0)),"")</f>
        <v>Contabilidad</v>
      </c>
      <c r="N1114" t="str">
        <f>IFERROR(INDEX(Diccionario!$N:$N,MATCH(F1114,Diccionario!$C:$C,0)),"")</f>
        <v>Mensual</v>
      </c>
    </row>
    <row r="1115" spans="1:14" ht="14.25" customHeight="1" x14ac:dyDescent="0.3">
      <c r="A1115" t="s">
        <v>543</v>
      </c>
      <c r="B1115" t="s">
        <v>522</v>
      </c>
      <c r="C1115" t="s">
        <v>523</v>
      </c>
      <c r="D1115" t="s">
        <v>451</v>
      </c>
      <c r="E1115" t="s">
        <v>524</v>
      </c>
      <c r="F1115" t="s">
        <v>246</v>
      </c>
      <c r="I1115">
        <v>33230383</v>
      </c>
      <c r="J1115" t="s">
        <v>451</v>
      </c>
      <c r="L1115" t="str">
        <f>IFERROR(INDEX(Diccionario!$B:$B,MATCH(F1115,Diccionario!$C:$C,0)),"")</f>
        <v>Contabilidad</v>
      </c>
      <c r="M1115" t="str">
        <f>IFERROR(INDEX(Diccionario!$H:$H,MATCH(F1115,Diccionario!$C:$C,0)),"")</f>
        <v>Contabilidad</v>
      </c>
      <c r="N1115" t="str">
        <f>IFERROR(INDEX(Diccionario!$N:$N,MATCH(F1115,Diccionario!$C:$C,0)),"")</f>
        <v>Mensual</v>
      </c>
    </row>
    <row r="1116" spans="1:14" ht="14.25" customHeight="1" x14ac:dyDescent="0.3">
      <c r="A1116" t="s">
        <v>544</v>
      </c>
      <c r="B1116" t="s">
        <v>522</v>
      </c>
      <c r="C1116" t="s">
        <v>523</v>
      </c>
      <c r="D1116" t="s">
        <v>451</v>
      </c>
      <c r="E1116" t="s">
        <v>524</v>
      </c>
      <c r="F1116" t="s">
        <v>246</v>
      </c>
      <c r="I1116">
        <v>10257072</v>
      </c>
      <c r="J1116" t="s">
        <v>451</v>
      </c>
      <c r="L1116" t="str">
        <f>IFERROR(INDEX(Diccionario!$B:$B,MATCH(F1116,Diccionario!$C:$C,0)),"")</f>
        <v>Contabilidad</v>
      </c>
      <c r="M1116" t="str">
        <f>IFERROR(INDEX(Diccionario!$H:$H,MATCH(F1116,Diccionario!$C:$C,0)),"")</f>
        <v>Contabilidad</v>
      </c>
      <c r="N1116" t="str">
        <f>IFERROR(INDEX(Diccionario!$N:$N,MATCH(F1116,Diccionario!$C:$C,0)),"")</f>
        <v>Mensual</v>
      </c>
    </row>
    <row r="1117" spans="1:14" ht="14.25" customHeight="1" x14ac:dyDescent="0.3">
      <c r="A1117" t="s">
        <v>545</v>
      </c>
      <c r="B1117" t="s">
        <v>522</v>
      </c>
      <c r="C1117" t="s">
        <v>523</v>
      </c>
      <c r="D1117" t="s">
        <v>451</v>
      </c>
      <c r="E1117" t="s">
        <v>524</v>
      </c>
      <c r="F1117" t="s">
        <v>246</v>
      </c>
      <c r="I1117">
        <v>20728046</v>
      </c>
      <c r="J1117" t="s">
        <v>451</v>
      </c>
      <c r="L1117" t="str">
        <f>IFERROR(INDEX(Diccionario!$B:$B,MATCH(F1117,Diccionario!$C:$C,0)),"")</f>
        <v>Contabilidad</v>
      </c>
      <c r="M1117" t="str">
        <f>IFERROR(INDEX(Diccionario!$H:$H,MATCH(F1117,Diccionario!$C:$C,0)),"")</f>
        <v>Contabilidad</v>
      </c>
      <c r="N1117" t="str">
        <f>IFERROR(INDEX(Diccionario!$N:$N,MATCH(F1117,Diccionario!$C:$C,0)),"")</f>
        <v>Mensual</v>
      </c>
    </row>
    <row r="1118" spans="1:14" ht="14.25" customHeight="1" x14ac:dyDescent="0.3">
      <c r="A1118" t="s">
        <v>546</v>
      </c>
      <c r="B1118" t="s">
        <v>522</v>
      </c>
      <c r="C1118" t="s">
        <v>523</v>
      </c>
      <c r="D1118" t="s">
        <v>451</v>
      </c>
      <c r="E1118" t="s">
        <v>524</v>
      </c>
      <c r="F1118" t="s">
        <v>246</v>
      </c>
      <c r="I1118">
        <v>32161155</v>
      </c>
      <c r="J1118" t="s">
        <v>451</v>
      </c>
      <c r="L1118" t="str">
        <f>IFERROR(INDEX(Diccionario!$B:$B,MATCH(F1118,Diccionario!$C:$C,0)),"")</f>
        <v>Contabilidad</v>
      </c>
      <c r="M1118" t="str">
        <f>IFERROR(INDEX(Diccionario!$H:$H,MATCH(F1118,Diccionario!$C:$C,0)),"")</f>
        <v>Contabilidad</v>
      </c>
      <c r="N1118" t="str">
        <f>IFERROR(INDEX(Diccionario!$N:$N,MATCH(F1118,Diccionario!$C:$C,0)),"")</f>
        <v>Mensual</v>
      </c>
    </row>
    <row r="1119" spans="1:14" ht="14.25" customHeight="1" x14ac:dyDescent="0.3">
      <c r="A1119" t="s">
        <v>547</v>
      </c>
      <c r="B1119" t="s">
        <v>522</v>
      </c>
      <c r="C1119" t="s">
        <v>523</v>
      </c>
      <c r="D1119" t="s">
        <v>451</v>
      </c>
      <c r="E1119" t="s">
        <v>524</v>
      </c>
      <c r="F1119" t="s">
        <v>246</v>
      </c>
      <c r="I1119">
        <v>30488403</v>
      </c>
      <c r="J1119" t="s">
        <v>451</v>
      </c>
      <c r="L1119" t="str">
        <f>IFERROR(INDEX(Diccionario!$B:$B,MATCH(F1119,Diccionario!$C:$C,0)),"")</f>
        <v>Contabilidad</v>
      </c>
      <c r="M1119" t="str">
        <f>IFERROR(INDEX(Diccionario!$H:$H,MATCH(F1119,Diccionario!$C:$C,0)),"")</f>
        <v>Contabilidad</v>
      </c>
      <c r="N1119" t="str">
        <f>IFERROR(INDEX(Diccionario!$N:$N,MATCH(F1119,Diccionario!$C:$C,0)),"")</f>
        <v>Mensual</v>
      </c>
    </row>
    <row r="1120" spans="1:14" ht="14.25" customHeight="1" x14ac:dyDescent="0.3">
      <c r="A1120" t="s">
        <v>548</v>
      </c>
      <c r="B1120" t="s">
        <v>522</v>
      </c>
      <c r="C1120" t="s">
        <v>523</v>
      </c>
      <c r="D1120" t="s">
        <v>451</v>
      </c>
      <c r="E1120" t="s">
        <v>524</v>
      </c>
      <c r="F1120" t="s">
        <v>246</v>
      </c>
      <c r="I1120">
        <v>7435487</v>
      </c>
      <c r="J1120" t="s">
        <v>451</v>
      </c>
      <c r="L1120" t="str">
        <f>IFERROR(INDEX(Diccionario!$B:$B,MATCH(F1120,Diccionario!$C:$C,0)),"")</f>
        <v>Contabilidad</v>
      </c>
      <c r="M1120" t="str">
        <f>IFERROR(INDEX(Diccionario!$H:$H,MATCH(F1120,Diccionario!$C:$C,0)),"")</f>
        <v>Contabilidad</v>
      </c>
      <c r="N1120" t="str">
        <f>IFERROR(INDEX(Diccionario!$N:$N,MATCH(F1120,Diccionario!$C:$C,0)),"")</f>
        <v>Mensual</v>
      </c>
    </row>
    <row r="1121" spans="1:14" ht="14.25" customHeight="1" x14ac:dyDescent="0.3">
      <c r="A1121" t="s">
        <v>549</v>
      </c>
      <c r="B1121" t="s">
        <v>522</v>
      </c>
      <c r="C1121" t="s">
        <v>523</v>
      </c>
      <c r="D1121" t="s">
        <v>451</v>
      </c>
      <c r="E1121" t="s">
        <v>524</v>
      </c>
      <c r="F1121" t="s">
        <v>246</v>
      </c>
      <c r="I1121">
        <v>62692450</v>
      </c>
      <c r="J1121" t="s">
        <v>451</v>
      </c>
      <c r="L1121" t="str">
        <f>IFERROR(INDEX(Diccionario!$B:$B,MATCH(F1121,Diccionario!$C:$C,0)),"")</f>
        <v>Contabilidad</v>
      </c>
      <c r="M1121" t="str">
        <f>IFERROR(INDEX(Diccionario!$H:$H,MATCH(F1121,Diccionario!$C:$C,0)),"")</f>
        <v>Contabilidad</v>
      </c>
      <c r="N1121" t="str">
        <f>IFERROR(INDEX(Diccionario!$N:$N,MATCH(F1121,Diccionario!$C:$C,0)),"")</f>
        <v>Mensual</v>
      </c>
    </row>
    <row r="1122" spans="1:14" ht="14.25" customHeight="1" x14ac:dyDescent="0.3">
      <c r="A1122" t="s">
        <v>551</v>
      </c>
      <c r="B1122" t="s">
        <v>522</v>
      </c>
      <c r="C1122" t="s">
        <v>523</v>
      </c>
      <c r="D1122" t="s">
        <v>451</v>
      </c>
      <c r="E1122" t="s">
        <v>524</v>
      </c>
      <c r="F1122" t="s">
        <v>246</v>
      </c>
      <c r="I1122">
        <v>139839642</v>
      </c>
      <c r="J1122" t="s">
        <v>451</v>
      </c>
      <c r="L1122" t="str">
        <f>IFERROR(INDEX(Diccionario!$B:$B,MATCH(F1122,Diccionario!$C:$C,0)),"")</f>
        <v>Contabilidad</v>
      </c>
      <c r="M1122" t="str">
        <f>IFERROR(INDEX(Diccionario!$H:$H,MATCH(F1122,Diccionario!$C:$C,0)),"")</f>
        <v>Contabilidad</v>
      </c>
      <c r="N1122" t="str">
        <f>IFERROR(INDEX(Diccionario!$N:$N,MATCH(F1122,Diccionario!$C:$C,0)),"")</f>
        <v>Mensual</v>
      </c>
    </row>
    <row r="1123" spans="1:14" ht="14.25" customHeight="1" x14ac:dyDescent="0.3">
      <c r="A1123" t="s">
        <v>552</v>
      </c>
      <c r="B1123" t="s">
        <v>522</v>
      </c>
      <c r="C1123" t="s">
        <v>523</v>
      </c>
      <c r="D1123" t="s">
        <v>451</v>
      </c>
      <c r="E1123" t="s">
        <v>524</v>
      </c>
      <c r="F1123" t="s">
        <v>246</v>
      </c>
      <c r="I1123">
        <v>60430077</v>
      </c>
      <c r="J1123" t="s">
        <v>451</v>
      </c>
      <c r="L1123" t="str">
        <f>IFERROR(INDEX(Diccionario!$B:$B,MATCH(F1123,Diccionario!$C:$C,0)),"")</f>
        <v>Contabilidad</v>
      </c>
      <c r="M1123" t="str">
        <f>IFERROR(INDEX(Diccionario!$H:$H,MATCH(F1123,Diccionario!$C:$C,0)),"")</f>
        <v>Contabilidad</v>
      </c>
      <c r="N1123" t="str">
        <f>IFERROR(INDEX(Diccionario!$N:$N,MATCH(F1123,Diccionario!$C:$C,0)),"")</f>
        <v>Mensual</v>
      </c>
    </row>
    <row r="1124" spans="1:14" ht="14.25" customHeight="1" x14ac:dyDescent="0.3">
      <c r="A1124" t="s">
        <v>553</v>
      </c>
      <c r="B1124" t="s">
        <v>522</v>
      </c>
      <c r="C1124" t="s">
        <v>523</v>
      </c>
      <c r="D1124" t="s">
        <v>451</v>
      </c>
      <c r="E1124" t="s">
        <v>524</v>
      </c>
      <c r="F1124" t="s">
        <v>246</v>
      </c>
      <c r="I1124">
        <v>37926081</v>
      </c>
      <c r="J1124" t="s">
        <v>451</v>
      </c>
      <c r="L1124" t="str">
        <f>IFERROR(INDEX(Diccionario!$B:$B,MATCH(F1124,Diccionario!$C:$C,0)),"")</f>
        <v>Contabilidad</v>
      </c>
      <c r="M1124" t="str">
        <f>IFERROR(INDEX(Diccionario!$H:$H,MATCH(F1124,Diccionario!$C:$C,0)),"")</f>
        <v>Contabilidad</v>
      </c>
      <c r="N1124" t="str">
        <f>IFERROR(INDEX(Diccionario!$N:$N,MATCH(F1124,Diccionario!$C:$C,0)),"")</f>
        <v>Mensual</v>
      </c>
    </row>
    <row r="1125" spans="1:14" ht="14.25" customHeight="1" x14ac:dyDescent="0.3">
      <c r="A1125" t="s">
        <v>554</v>
      </c>
      <c r="B1125" t="s">
        <v>522</v>
      </c>
      <c r="C1125" t="s">
        <v>523</v>
      </c>
      <c r="D1125" t="s">
        <v>451</v>
      </c>
      <c r="E1125" t="s">
        <v>524</v>
      </c>
      <c r="F1125" t="s">
        <v>246</v>
      </c>
      <c r="I1125">
        <v>10796596</v>
      </c>
      <c r="J1125" t="s">
        <v>451</v>
      </c>
      <c r="L1125" t="str">
        <f>IFERROR(INDEX(Diccionario!$B:$B,MATCH(F1125,Diccionario!$C:$C,0)),"")</f>
        <v>Contabilidad</v>
      </c>
      <c r="M1125" t="str">
        <f>IFERROR(INDEX(Diccionario!$H:$H,MATCH(F1125,Diccionario!$C:$C,0)),"")</f>
        <v>Contabilidad</v>
      </c>
      <c r="N1125" t="str">
        <f>IFERROR(INDEX(Diccionario!$N:$N,MATCH(F1125,Diccionario!$C:$C,0)),"")</f>
        <v>Mensual</v>
      </c>
    </row>
    <row r="1126" spans="1:14" ht="14.25" customHeight="1" x14ac:dyDescent="0.3">
      <c r="A1126" t="s">
        <v>541</v>
      </c>
      <c r="B1126" t="s">
        <v>522</v>
      </c>
      <c r="C1126" t="s">
        <v>523</v>
      </c>
      <c r="D1126" t="s">
        <v>451</v>
      </c>
      <c r="E1126" t="s">
        <v>524</v>
      </c>
      <c r="F1126" t="s">
        <v>252</v>
      </c>
      <c r="I1126">
        <v>-37514312</v>
      </c>
      <c r="J1126" t="s">
        <v>451</v>
      </c>
      <c r="L1126" t="str">
        <f>IFERROR(INDEX(Diccionario!$B:$B,MATCH(F1126,Diccionario!$C:$C,0)),"")</f>
        <v>Contabilidad</v>
      </c>
      <c r="M1126" t="str">
        <f>IFERROR(INDEX(Diccionario!$H:$H,MATCH(F1126,Diccionario!$C:$C,0)),"")</f>
        <v>Contabilidad</v>
      </c>
      <c r="N1126" t="str">
        <f>IFERROR(INDEX(Diccionario!$N:$N,MATCH(F1126,Diccionario!$C:$C,0)),"")</f>
        <v>Mensual</v>
      </c>
    </row>
    <row r="1127" spans="1:14" ht="14.25" customHeight="1" x14ac:dyDescent="0.3">
      <c r="A1127" t="s">
        <v>542</v>
      </c>
      <c r="B1127" t="s">
        <v>522</v>
      </c>
      <c r="C1127" t="s">
        <v>523</v>
      </c>
      <c r="D1127" t="s">
        <v>451</v>
      </c>
      <c r="E1127" t="s">
        <v>524</v>
      </c>
      <c r="F1127" t="s">
        <v>252</v>
      </c>
      <c r="I1127">
        <v>-29275713</v>
      </c>
      <c r="J1127" t="s">
        <v>451</v>
      </c>
      <c r="L1127" t="str">
        <f>IFERROR(INDEX(Diccionario!$B:$B,MATCH(F1127,Diccionario!$C:$C,0)),"")</f>
        <v>Contabilidad</v>
      </c>
      <c r="M1127" t="str">
        <f>IFERROR(INDEX(Diccionario!$H:$H,MATCH(F1127,Diccionario!$C:$C,0)),"")</f>
        <v>Contabilidad</v>
      </c>
      <c r="N1127" t="str">
        <f>IFERROR(INDEX(Diccionario!$N:$N,MATCH(F1127,Diccionario!$C:$C,0)),"")</f>
        <v>Mensual</v>
      </c>
    </row>
    <row r="1128" spans="1:14" ht="14.25" customHeight="1" x14ac:dyDescent="0.3">
      <c r="A1128" t="s">
        <v>543</v>
      </c>
      <c r="B1128" t="s">
        <v>522</v>
      </c>
      <c r="C1128" t="s">
        <v>523</v>
      </c>
      <c r="D1128" t="s">
        <v>451</v>
      </c>
      <c r="E1128" t="s">
        <v>524</v>
      </c>
      <c r="F1128" t="s">
        <v>252</v>
      </c>
      <c r="I1128">
        <v>-66478867</v>
      </c>
      <c r="J1128" t="s">
        <v>451</v>
      </c>
      <c r="L1128" t="str">
        <f>IFERROR(INDEX(Diccionario!$B:$B,MATCH(F1128,Diccionario!$C:$C,0)),"")</f>
        <v>Contabilidad</v>
      </c>
      <c r="M1128" t="str">
        <f>IFERROR(INDEX(Diccionario!$H:$H,MATCH(F1128,Diccionario!$C:$C,0)),"")</f>
        <v>Contabilidad</v>
      </c>
      <c r="N1128" t="str">
        <f>IFERROR(INDEX(Diccionario!$N:$N,MATCH(F1128,Diccionario!$C:$C,0)),"")</f>
        <v>Mensual</v>
      </c>
    </row>
    <row r="1129" spans="1:14" ht="14.25" customHeight="1" x14ac:dyDescent="0.3">
      <c r="A1129" t="s">
        <v>544</v>
      </c>
      <c r="B1129" t="s">
        <v>522</v>
      </c>
      <c r="C1129" t="s">
        <v>523</v>
      </c>
      <c r="D1129" t="s">
        <v>451</v>
      </c>
      <c r="E1129" t="s">
        <v>524</v>
      </c>
      <c r="F1129" t="s">
        <v>252</v>
      </c>
      <c r="I1129">
        <v>-53026479</v>
      </c>
      <c r="J1129" t="s">
        <v>451</v>
      </c>
      <c r="L1129" t="str">
        <f>IFERROR(INDEX(Diccionario!$B:$B,MATCH(F1129,Diccionario!$C:$C,0)),"")</f>
        <v>Contabilidad</v>
      </c>
      <c r="M1129" t="str">
        <f>IFERROR(INDEX(Diccionario!$H:$H,MATCH(F1129,Diccionario!$C:$C,0)),"")</f>
        <v>Contabilidad</v>
      </c>
      <c r="N1129" t="str">
        <f>IFERROR(INDEX(Diccionario!$N:$N,MATCH(F1129,Diccionario!$C:$C,0)),"")</f>
        <v>Mensual</v>
      </c>
    </row>
    <row r="1130" spans="1:14" ht="14.25" customHeight="1" x14ac:dyDescent="0.3">
      <c r="A1130" t="s">
        <v>545</v>
      </c>
      <c r="B1130" t="s">
        <v>522</v>
      </c>
      <c r="C1130" t="s">
        <v>523</v>
      </c>
      <c r="D1130" t="s">
        <v>451</v>
      </c>
      <c r="E1130" t="s">
        <v>524</v>
      </c>
      <c r="F1130" t="s">
        <v>252</v>
      </c>
      <c r="I1130">
        <v>-47500121</v>
      </c>
      <c r="J1130" t="s">
        <v>451</v>
      </c>
      <c r="L1130" t="str">
        <f>IFERROR(INDEX(Diccionario!$B:$B,MATCH(F1130,Diccionario!$C:$C,0)),"")</f>
        <v>Contabilidad</v>
      </c>
      <c r="M1130" t="str">
        <f>IFERROR(INDEX(Diccionario!$H:$H,MATCH(F1130,Diccionario!$C:$C,0)),"")</f>
        <v>Contabilidad</v>
      </c>
      <c r="N1130" t="str">
        <f>IFERROR(INDEX(Diccionario!$N:$N,MATCH(F1130,Diccionario!$C:$C,0)),"")</f>
        <v>Mensual</v>
      </c>
    </row>
    <row r="1131" spans="1:14" ht="14.25" customHeight="1" x14ac:dyDescent="0.3">
      <c r="A1131" t="s">
        <v>546</v>
      </c>
      <c r="B1131" t="s">
        <v>522</v>
      </c>
      <c r="C1131" t="s">
        <v>523</v>
      </c>
      <c r="D1131" t="s">
        <v>451</v>
      </c>
      <c r="E1131" t="s">
        <v>524</v>
      </c>
      <c r="F1131" t="s">
        <v>252</v>
      </c>
      <c r="I1131">
        <v>-40805021</v>
      </c>
      <c r="J1131" t="s">
        <v>451</v>
      </c>
      <c r="L1131" t="str">
        <f>IFERROR(INDEX(Diccionario!$B:$B,MATCH(F1131,Diccionario!$C:$C,0)),"")</f>
        <v>Contabilidad</v>
      </c>
      <c r="M1131" t="str">
        <f>IFERROR(INDEX(Diccionario!$H:$H,MATCH(F1131,Diccionario!$C:$C,0)),"")</f>
        <v>Contabilidad</v>
      </c>
      <c r="N1131" t="str">
        <f>IFERROR(INDEX(Diccionario!$N:$N,MATCH(F1131,Diccionario!$C:$C,0)),"")</f>
        <v>Mensual</v>
      </c>
    </row>
    <row r="1132" spans="1:14" ht="14.25" customHeight="1" x14ac:dyDescent="0.3">
      <c r="A1132" t="s">
        <v>547</v>
      </c>
      <c r="B1132" t="s">
        <v>522</v>
      </c>
      <c r="C1132" t="s">
        <v>523</v>
      </c>
      <c r="D1132" t="s">
        <v>451</v>
      </c>
      <c r="E1132" t="s">
        <v>524</v>
      </c>
      <c r="F1132" t="s">
        <v>252</v>
      </c>
      <c r="I1132">
        <v>-46520913</v>
      </c>
      <c r="J1132" t="s">
        <v>451</v>
      </c>
      <c r="L1132" t="str">
        <f>IFERROR(INDEX(Diccionario!$B:$B,MATCH(F1132,Diccionario!$C:$C,0)),"")</f>
        <v>Contabilidad</v>
      </c>
      <c r="M1132" t="str">
        <f>IFERROR(INDEX(Diccionario!$H:$H,MATCH(F1132,Diccionario!$C:$C,0)),"")</f>
        <v>Contabilidad</v>
      </c>
      <c r="N1132" t="str">
        <f>IFERROR(INDEX(Diccionario!$N:$N,MATCH(F1132,Diccionario!$C:$C,0)),"")</f>
        <v>Mensual</v>
      </c>
    </row>
    <row r="1133" spans="1:14" ht="14.25" customHeight="1" x14ac:dyDescent="0.3">
      <c r="A1133" t="s">
        <v>548</v>
      </c>
      <c r="B1133" t="s">
        <v>522</v>
      </c>
      <c r="C1133" t="s">
        <v>523</v>
      </c>
      <c r="D1133" t="s">
        <v>451</v>
      </c>
      <c r="E1133" t="s">
        <v>524</v>
      </c>
      <c r="F1133" t="s">
        <v>252</v>
      </c>
      <c r="I1133">
        <v>-63176870</v>
      </c>
      <c r="J1133" t="s">
        <v>451</v>
      </c>
      <c r="L1133" t="str">
        <f>IFERROR(INDEX(Diccionario!$B:$B,MATCH(F1133,Diccionario!$C:$C,0)),"")</f>
        <v>Contabilidad</v>
      </c>
      <c r="M1133" t="str">
        <f>IFERROR(INDEX(Diccionario!$H:$H,MATCH(F1133,Diccionario!$C:$C,0)),"")</f>
        <v>Contabilidad</v>
      </c>
      <c r="N1133" t="str">
        <f>IFERROR(INDEX(Diccionario!$N:$N,MATCH(F1133,Diccionario!$C:$C,0)),"")</f>
        <v>Mensual</v>
      </c>
    </row>
    <row r="1134" spans="1:14" ht="14.25" customHeight="1" x14ac:dyDescent="0.3">
      <c r="A1134" t="s">
        <v>549</v>
      </c>
      <c r="B1134" t="s">
        <v>522</v>
      </c>
      <c r="C1134" t="s">
        <v>523</v>
      </c>
      <c r="D1134" t="s">
        <v>451</v>
      </c>
      <c r="E1134" t="s">
        <v>524</v>
      </c>
      <c r="F1134" t="s">
        <v>252</v>
      </c>
      <c r="I1134">
        <v>-37202034</v>
      </c>
      <c r="J1134" t="s">
        <v>451</v>
      </c>
      <c r="L1134" t="str">
        <f>IFERROR(INDEX(Diccionario!$B:$B,MATCH(F1134,Diccionario!$C:$C,0)),"")</f>
        <v>Contabilidad</v>
      </c>
      <c r="M1134" t="str">
        <f>IFERROR(INDEX(Diccionario!$H:$H,MATCH(F1134,Diccionario!$C:$C,0)),"")</f>
        <v>Contabilidad</v>
      </c>
      <c r="N1134" t="str">
        <f>IFERROR(INDEX(Diccionario!$N:$N,MATCH(F1134,Diccionario!$C:$C,0)),"")</f>
        <v>Mensual</v>
      </c>
    </row>
    <row r="1135" spans="1:14" ht="14.25" customHeight="1" x14ac:dyDescent="0.3">
      <c r="A1135" t="s">
        <v>551</v>
      </c>
      <c r="B1135" t="s">
        <v>522</v>
      </c>
      <c r="C1135" t="s">
        <v>523</v>
      </c>
      <c r="D1135" t="s">
        <v>451</v>
      </c>
      <c r="E1135" t="s">
        <v>524</v>
      </c>
      <c r="F1135" t="s">
        <v>252</v>
      </c>
      <c r="I1135">
        <v>-11016136</v>
      </c>
      <c r="J1135" t="s">
        <v>451</v>
      </c>
      <c r="L1135" t="str">
        <f>IFERROR(INDEX(Diccionario!$B:$B,MATCH(F1135,Diccionario!$C:$C,0)),"")</f>
        <v>Contabilidad</v>
      </c>
      <c r="M1135" t="str">
        <f>IFERROR(INDEX(Diccionario!$H:$H,MATCH(F1135,Diccionario!$C:$C,0)),"")</f>
        <v>Contabilidad</v>
      </c>
      <c r="N1135" t="str">
        <f>IFERROR(INDEX(Diccionario!$N:$N,MATCH(F1135,Diccionario!$C:$C,0)),"")</f>
        <v>Mensual</v>
      </c>
    </row>
    <row r="1136" spans="1:14" ht="14.25" customHeight="1" x14ac:dyDescent="0.3">
      <c r="A1136" t="s">
        <v>552</v>
      </c>
      <c r="B1136" t="s">
        <v>522</v>
      </c>
      <c r="C1136" t="s">
        <v>523</v>
      </c>
      <c r="D1136" t="s">
        <v>451</v>
      </c>
      <c r="E1136" t="s">
        <v>524</v>
      </c>
      <c r="F1136" t="s">
        <v>252</v>
      </c>
      <c r="I1136">
        <v>-25206134</v>
      </c>
      <c r="J1136" t="s">
        <v>451</v>
      </c>
      <c r="L1136" t="str">
        <f>IFERROR(INDEX(Diccionario!$B:$B,MATCH(F1136,Diccionario!$C:$C,0)),"")</f>
        <v>Contabilidad</v>
      </c>
      <c r="M1136" t="str">
        <f>IFERROR(INDEX(Diccionario!$H:$H,MATCH(F1136,Diccionario!$C:$C,0)),"")</f>
        <v>Contabilidad</v>
      </c>
      <c r="N1136" t="str">
        <f>IFERROR(INDEX(Diccionario!$N:$N,MATCH(F1136,Diccionario!$C:$C,0)),"")</f>
        <v>Mensual</v>
      </c>
    </row>
    <row r="1137" spans="1:14" ht="14.25" customHeight="1" x14ac:dyDescent="0.3">
      <c r="A1137" t="s">
        <v>553</v>
      </c>
      <c r="B1137" t="s">
        <v>522</v>
      </c>
      <c r="C1137" t="s">
        <v>523</v>
      </c>
      <c r="D1137" t="s">
        <v>451</v>
      </c>
      <c r="E1137" t="s">
        <v>524</v>
      </c>
      <c r="F1137" t="s">
        <v>252</v>
      </c>
      <c r="I1137">
        <v>-17709872</v>
      </c>
      <c r="J1137" t="s">
        <v>451</v>
      </c>
      <c r="L1137" t="str">
        <f>IFERROR(INDEX(Diccionario!$B:$B,MATCH(F1137,Diccionario!$C:$C,0)),"")</f>
        <v>Contabilidad</v>
      </c>
      <c r="M1137" t="str">
        <f>IFERROR(INDEX(Diccionario!$H:$H,MATCH(F1137,Diccionario!$C:$C,0)),"")</f>
        <v>Contabilidad</v>
      </c>
      <c r="N1137" t="str">
        <f>IFERROR(INDEX(Diccionario!$N:$N,MATCH(F1137,Diccionario!$C:$C,0)),"")</f>
        <v>Mensual</v>
      </c>
    </row>
    <row r="1138" spans="1:14" ht="14.25" customHeight="1" x14ac:dyDescent="0.3">
      <c r="A1138" t="s">
        <v>554</v>
      </c>
      <c r="B1138" t="s">
        <v>522</v>
      </c>
      <c r="C1138" t="s">
        <v>523</v>
      </c>
      <c r="D1138" t="s">
        <v>451</v>
      </c>
      <c r="E1138" t="s">
        <v>524</v>
      </c>
      <c r="F1138" t="s">
        <v>252</v>
      </c>
      <c r="I1138">
        <v>-43867662</v>
      </c>
      <c r="J1138" t="s">
        <v>451</v>
      </c>
      <c r="L1138" t="str">
        <f>IFERROR(INDEX(Diccionario!$B:$B,MATCH(F1138,Diccionario!$C:$C,0)),"")</f>
        <v>Contabilidad</v>
      </c>
      <c r="M1138" t="str">
        <f>IFERROR(INDEX(Diccionario!$H:$H,MATCH(F1138,Diccionario!$C:$C,0)),"")</f>
        <v>Contabilidad</v>
      </c>
      <c r="N1138" t="str">
        <f>IFERROR(INDEX(Diccionario!$N:$N,MATCH(F1138,Diccionario!$C:$C,0)),"")</f>
        <v>Mensual</v>
      </c>
    </row>
    <row r="1139" spans="1:14" ht="14.25" customHeight="1" x14ac:dyDescent="0.3">
      <c r="A1139" t="s">
        <v>541</v>
      </c>
      <c r="B1139" t="s">
        <v>522</v>
      </c>
      <c r="C1139" t="s">
        <v>523</v>
      </c>
      <c r="D1139" t="s">
        <v>451</v>
      </c>
      <c r="E1139" t="s">
        <v>524</v>
      </c>
      <c r="F1139" t="s">
        <v>255</v>
      </c>
      <c r="I1139">
        <v>-11304705</v>
      </c>
      <c r="J1139" t="s">
        <v>451</v>
      </c>
      <c r="L1139" t="str">
        <f>IFERROR(INDEX(Diccionario!$B:$B,MATCH(F1139,Diccionario!$C:$C,0)),"")</f>
        <v>Contabilidad</v>
      </c>
      <c r="M1139" t="str">
        <f>IFERROR(INDEX(Diccionario!$H:$H,MATCH(F1139,Diccionario!$C:$C,0)),"")</f>
        <v>Contabilidad</v>
      </c>
      <c r="N1139" t="str">
        <f>IFERROR(INDEX(Diccionario!$N:$N,MATCH(F1139,Diccionario!$C:$C,0)),"")</f>
        <v>Mensual</v>
      </c>
    </row>
    <row r="1140" spans="1:14" ht="14.25" customHeight="1" x14ac:dyDescent="0.3">
      <c r="A1140" t="s">
        <v>542</v>
      </c>
      <c r="B1140" t="s">
        <v>522</v>
      </c>
      <c r="C1140" t="s">
        <v>523</v>
      </c>
      <c r="D1140" t="s">
        <v>451</v>
      </c>
      <c r="E1140" t="s">
        <v>524</v>
      </c>
      <c r="F1140" t="s">
        <v>255</v>
      </c>
      <c r="I1140">
        <v>-7460000</v>
      </c>
      <c r="J1140" t="s">
        <v>451</v>
      </c>
      <c r="L1140" t="str">
        <f>IFERROR(INDEX(Diccionario!$B:$B,MATCH(F1140,Diccionario!$C:$C,0)),"")</f>
        <v>Contabilidad</v>
      </c>
      <c r="M1140" t="str">
        <f>IFERROR(INDEX(Diccionario!$H:$H,MATCH(F1140,Diccionario!$C:$C,0)),"")</f>
        <v>Contabilidad</v>
      </c>
      <c r="N1140" t="str">
        <f>IFERROR(INDEX(Diccionario!$N:$N,MATCH(F1140,Diccionario!$C:$C,0)),"")</f>
        <v>Mensual</v>
      </c>
    </row>
    <row r="1141" spans="1:14" ht="14.25" customHeight="1" x14ac:dyDescent="0.3">
      <c r="A1141" t="s">
        <v>543</v>
      </c>
      <c r="B1141" t="s">
        <v>522</v>
      </c>
      <c r="C1141" t="s">
        <v>523</v>
      </c>
      <c r="D1141" t="s">
        <v>451</v>
      </c>
      <c r="E1141" t="s">
        <v>524</v>
      </c>
      <c r="F1141" t="s">
        <v>255</v>
      </c>
      <c r="I1141">
        <v>0</v>
      </c>
      <c r="J1141" t="s">
        <v>451</v>
      </c>
      <c r="L1141" t="str">
        <f>IFERROR(INDEX(Diccionario!$B:$B,MATCH(F1141,Diccionario!$C:$C,0)),"")</f>
        <v>Contabilidad</v>
      </c>
      <c r="M1141" t="str">
        <f>IFERROR(INDEX(Diccionario!$H:$H,MATCH(F1141,Diccionario!$C:$C,0)),"")</f>
        <v>Contabilidad</v>
      </c>
      <c r="N1141" t="str">
        <f>IFERROR(INDEX(Diccionario!$N:$N,MATCH(F1141,Diccionario!$C:$C,0)),"")</f>
        <v>Mensual</v>
      </c>
    </row>
    <row r="1142" spans="1:14" ht="14.25" customHeight="1" x14ac:dyDescent="0.3">
      <c r="A1142" t="s">
        <v>544</v>
      </c>
      <c r="B1142" t="s">
        <v>522</v>
      </c>
      <c r="C1142" t="s">
        <v>523</v>
      </c>
      <c r="D1142" t="s">
        <v>451</v>
      </c>
      <c r="E1142" t="s">
        <v>524</v>
      </c>
      <c r="F1142" t="s">
        <v>255</v>
      </c>
      <c r="I1142">
        <v>-11465728</v>
      </c>
      <c r="J1142" t="s">
        <v>451</v>
      </c>
      <c r="L1142" t="str">
        <f>IFERROR(INDEX(Diccionario!$B:$B,MATCH(F1142,Diccionario!$C:$C,0)),"")</f>
        <v>Contabilidad</v>
      </c>
      <c r="M1142" t="str">
        <f>IFERROR(INDEX(Diccionario!$H:$H,MATCH(F1142,Diccionario!$C:$C,0)),"")</f>
        <v>Contabilidad</v>
      </c>
      <c r="N1142" t="str">
        <f>IFERROR(INDEX(Diccionario!$N:$N,MATCH(F1142,Diccionario!$C:$C,0)),"")</f>
        <v>Mensual</v>
      </c>
    </row>
    <row r="1143" spans="1:14" ht="14.25" customHeight="1" x14ac:dyDescent="0.3">
      <c r="A1143" t="s">
        <v>545</v>
      </c>
      <c r="B1143" t="s">
        <v>522</v>
      </c>
      <c r="C1143" t="s">
        <v>523</v>
      </c>
      <c r="D1143" t="s">
        <v>451</v>
      </c>
      <c r="E1143" t="s">
        <v>524</v>
      </c>
      <c r="F1143" t="s">
        <v>255</v>
      </c>
      <c r="I1143">
        <v>-1414500</v>
      </c>
      <c r="J1143" t="s">
        <v>451</v>
      </c>
      <c r="L1143" t="str">
        <f>IFERROR(INDEX(Diccionario!$B:$B,MATCH(F1143,Diccionario!$C:$C,0)),"")</f>
        <v>Contabilidad</v>
      </c>
      <c r="M1143" t="str">
        <f>IFERROR(INDEX(Diccionario!$H:$H,MATCH(F1143,Diccionario!$C:$C,0)),"")</f>
        <v>Contabilidad</v>
      </c>
      <c r="N1143" t="str">
        <f>IFERROR(INDEX(Diccionario!$N:$N,MATCH(F1143,Diccionario!$C:$C,0)),"")</f>
        <v>Mensual</v>
      </c>
    </row>
    <row r="1144" spans="1:14" ht="14.25" customHeight="1" x14ac:dyDescent="0.3">
      <c r="A1144" t="s">
        <v>546</v>
      </c>
      <c r="B1144" t="s">
        <v>522</v>
      </c>
      <c r="C1144" t="s">
        <v>523</v>
      </c>
      <c r="D1144" t="s">
        <v>451</v>
      </c>
      <c r="E1144" t="s">
        <v>524</v>
      </c>
      <c r="F1144" t="s">
        <v>255</v>
      </c>
      <c r="I1144">
        <v>-906843</v>
      </c>
      <c r="J1144" t="s">
        <v>451</v>
      </c>
      <c r="L1144" t="str">
        <f>IFERROR(INDEX(Diccionario!$B:$B,MATCH(F1144,Diccionario!$C:$C,0)),"")</f>
        <v>Contabilidad</v>
      </c>
      <c r="M1144" t="str">
        <f>IFERROR(INDEX(Diccionario!$H:$H,MATCH(F1144,Diccionario!$C:$C,0)),"")</f>
        <v>Contabilidad</v>
      </c>
      <c r="N1144" t="str">
        <f>IFERROR(INDEX(Diccionario!$N:$N,MATCH(F1144,Diccionario!$C:$C,0)),"")</f>
        <v>Mensual</v>
      </c>
    </row>
    <row r="1145" spans="1:14" ht="14.25" customHeight="1" x14ac:dyDescent="0.3">
      <c r="A1145" t="s">
        <v>547</v>
      </c>
      <c r="B1145" t="s">
        <v>522</v>
      </c>
      <c r="C1145" t="s">
        <v>523</v>
      </c>
      <c r="D1145" t="s">
        <v>451</v>
      </c>
      <c r="E1145" t="s">
        <v>524</v>
      </c>
      <c r="F1145" t="s">
        <v>255</v>
      </c>
      <c r="I1145">
        <v>-5800000</v>
      </c>
      <c r="J1145" t="s">
        <v>451</v>
      </c>
      <c r="L1145" t="str">
        <f>IFERROR(INDEX(Diccionario!$B:$B,MATCH(F1145,Diccionario!$C:$C,0)),"")</f>
        <v>Contabilidad</v>
      </c>
      <c r="M1145" t="str">
        <f>IFERROR(INDEX(Diccionario!$H:$H,MATCH(F1145,Diccionario!$C:$C,0)),"")</f>
        <v>Contabilidad</v>
      </c>
      <c r="N1145" t="str">
        <f>IFERROR(INDEX(Diccionario!$N:$N,MATCH(F1145,Diccionario!$C:$C,0)),"")</f>
        <v>Mensual</v>
      </c>
    </row>
    <row r="1146" spans="1:14" ht="14.25" customHeight="1" x14ac:dyDescent="0.3">
      <c r="A1146" t="s">
        <v>548</v>
      </c>
      <c r="B1146" t="s">
        <v>522</v>
      </c>
      <c r="C1146" t="s">
        <v>523</v>
      </c>
      <c r="D1146" t="s">
        <v>451</v>
      </c>
      <c r="E1146" t="s">
        <v>524</v>
      </c>
      <c r="F1146" t="s">
        <v>255</v>
      </c>
      <c r="I1146">
        <v>-1685823</v>
      </c>
      <c r="J1146" t="s">
        <v>451</v>
      </c>
      <c r="L1146" t="str">
        <f>IFERROR(INDEX(Diccionario!$B:$B,MATCH(F1146,Diccionario!$C:$C,0)),"")</f>
        <v>Contabilidad</v>
      </c>
      <c r="M1146" t="str">
        <f>IFERROR(INDEX(Diccionario!$H:$H,MATCH(F1146,Diccionario!$C:$C,0)),"")</f>
        <v>Contabilidad</v>
      </c>
      <c r="N1146" t="str">
        <f>IFERROR(INDEX(Diccionario!$N:$N,MATCH(F1146,Diccionario!$C:$C,0)),"")</f>
        <v>Mensual</v>
      </c>
    </row>
    <row r="1147" spans="1:14" ht="14.25" customHeight="1" x14ac:dyDescent="0.3">
      <c r="A1147" t="s">
        <v>549</v>
      </c>
      <c r="B1147" t="s">
        <v>522</v>
      </c>
      <c r="C1147" t="s">
        <v>523</v>
      </c>
      <c r="D1147" t="s">
        <v>451</v>
      </c>
      <c r="E1147" t="s">
        <v>524</v>
      </c>
      <c r="F1147" t="s">
        <v>255</v>
      </c>
      <c r="I1147">
        <v>-35983665</v>
      </c>
      <c r="J1147" t="s">
        <v>451</v>
      </c>
      <c r="L1147" t="str">
        <f>IFERROR(INDEX(Diccionario!$B:$B,MATCH(F1147,Diccionario!$C:$C,0)),"")</f>
        <v>Contabilidad</v>
      </c>
      <c r="M1147" t="str">
        <f>IFERROR(INDEX(Diccionario!$H:$H,MATCH(F1147,Diccionario!$C:$C,0)),"")</f>
        <v>Contabilidad</v>
      </c>
      <c r="N1147" t="str">
        <f>IFERROR(INDEX(Diccionario!$N:$N,MATCH(F1147,Diccionario!$C:$C,0)),"")</f>
        <v>Mensual</v>
      </c>
    </row>
    <row r="1148" spans="1:14" ht="14.25" customHeight="1" x14ac:dyDescent="0.3">
      <c r="A1148" t="s">
        <v>551</v>
      </c>
      <c r="B1148" t="s">
        <v>522</v>
      </c>
      <c r="C1148" t="s">
        <v>523</v>
      </c>
      <c r="D1148" t="s">
        <v>451</v>
      </c>
      <c r="E1148" t="s">
        <v>524</v>
      </c>
      <c r="F1148" t="s">
        <v>255</v>
      </c>
      <c r="I1148">
        <v>-9736599</v>
      </c>
      <c r="J1148" t="s">
        <v>451</v>
      </c>
      <c r="L1148" t="str">
        <f>IFERROR(INDEX(Diccionario!$B:$B,MATCH(F1148,Diccionario!$C:$C,0)),"")</f>
        <v>Contabilidad</v>
      </c>
      <c r="M1148" t="str">
        <f>IFERROR(INDEX(Diccionario!$H:$H,MATCH(F1148,Diccionario!$C:$C,0)),"")</f>
        <v>Contabilidad</v>
      </c>
      <c r="N1148" t="str">
        <f>IFERROR(INDEX(Diccionario!$N:$N,MATCH(F1148,Diccionario!$C:$C,0)),"")</f>
        <v>Mensual</v>
      </c>
    </row>
    <row r="1149" spans="1:14" ht="14.25" customHeight="1" x14ac:dyDescent="0.3">
      <c r="A1149" t="s">
        <v>552</v>
      </c>
      <c r="B1149" t="s">
        <v>522</v>
      </c>
      <c r="C1149" t="s">
        <v>523</v>
      </c>
      <c r="D1149" t="s">
        <v>451</v>
      </c>
      <c r="E1149" t="s">
        <v>524</v>
      </c>
      <c r="F1149" t="s">
        <v>255</v>
      </c>
      <c r="I1149">
        <v>-11358174</v>
      </c>
      <c r="J1149" t="s">
        <v>451</v>
      </c>
      <c r="L1149" t="str">
        <f>IFERROR(INDEX(Diccionario!$B:$B,MATCH(F1149,Diccionario!$C:$C,0)),"")</f>
        <v>Contabilidad</v>
      </c>
      <c r="M1149" t="str">
        <f>IFERROR(INDEX(Diccionario!$H:$H,MATCH(F1149,Diccionario!$C:$C,0)),"")</f>
        <v>Contabilidad</v>
      </c>
      <c r="N1149" t="str">
        <f>IFERROR(INDEX(Diccionario!$N:$N,MATCH(F1149,Diccionario!$C:$C,0)),"")</f>
        <v>Mensual</v>
      </c>
    </row>
    <row r="1150" spans="1:14" ht="14.25" customHeight="1" x14ac:dyDescent="0.3">
      <c r="A1150" t="s">
        <v>553</v>
      </c>
      <c r="B1150" t="s">
        <v>522</v>
      </c>
      <c r="C1150" t="s">
        <v>523</v>
      </c>
      <c r="D1150" t="s">
        <v>451</v>
      </c>
      <c r="E1150" t="s">
        <v>524</v>
      </c>
      <c r="F1150" t="s">
        <v>255</v>
      </c>
      <c r="I1150">
        <v>-1358174</v>
      </c>
      <c r="J1150" t="s">
        <v>451</v>
      </c>
      <c r="L1150" t="str">
        <f>IFERROR(INDEX(Diccionario!$B:$B,MATCH(F1150,Diccionario!$C:$C,0)),"")</f>
        <v>Contabilidad</v>
      </c>
      <c r="M1150" t="str">
        <f>IFERROR(INDEX(Diccionario!$H:$H,MATCH(F1150,Diccionario!$C:$C,0)),"")</f>
        <v>Contabilidad</v>
      </c>
      <c r="N1150" t="str">
        <f>IFERROR(INDEX(Diccionario!$N:$N,MATCH(F1150,Diccionario!$C:$C,0)),"")</f>
        <v>Mensual</v>
      </c>
    </row>
    <row r="1151" spans="1:14" ht="14.25" customHeight="1" x14ac:dyDescent="0.3">
      <c r="A1151" t="s">
        <v>554</v>
      </c>
      <c r="B1151" t="s">
        <v>522</v>
      </c>
      <c r="C1151" t="s">
        <v>523</v>
      </c>
      <c r="D1151" t="s">
        <v>451</v>
      </c>
      <c r="E1151" t="s">
        <v>524</v>
      </c>
      <c r="F1151" t="s">
        <v>255</v>
      </c>
      <c r="I1151">
        <v>0</v>
      </c>
      <c r="J1151" t="s">
        <v>451</v>
      </c>
      <c r="L1151" t="str">
        <f>IFERROR(INDEX(Diccionario!$B:$B,MATCH(F1151,Diccionario!$C:$C,0)),"")</f>
        <v>Contabilidad</v>
      </c>
      <c r="M1151" t="str">
        <f>IFERROR(INDEX(Diccionario!$H:$H,MATCH(F1151,Diccionario!$C:$C,0)),"")</f>
        <v>Contabilidad</v>
      </c>
      <c r="N1151" t="str">
        <f>IFERROR(INDEX(Diccionario!$N:$N,MATCH(F1151,Diccionario!$C:$C,0)),"")</f>
        <v>Mensual</v>
      </c>
    </row>
    <row r="1152" spans="1:14" ht="14.25" customHeight="1" x14ac:dyDescent="0.3">
      <c r="A1152" t="s">
        <v>541</v>
      </c>
      <c r="B1152" t="s">
        <v>522</v>
      </c>
      <c r="C1152" t="s">
        <v>523</v>
      </c>
      <c r="D1152" t="s">
        <v>451</v>
      </c>
      <c r="E1152" t="s">
        <v>524</v>
      </c>
      <c r="F1152" t="s">
        <v>398</v>
      </c>
      <c r="I1152">
        <v>780829403</v>
      </c>
      <c r="J1152" t="s">
        <v>451</v>
      </c>
      <c r="L1152" t="str">
        <f>IFERROR(INDEX(Diccionario!$B:$B,MATCH(F1152,Diccionario!$C:$C,0)),"")</f>
        <v>Finanzas</v>
      </c>
      <c r="M1152" t="str">
        <f>IFERROR(INDEX(Diccionario!$H:$H,MATCH(F1152,Diccionario!$C:$C,0)),"")</f>
        <v>Finanzas</v>
      </c>
      <c r="N1152" t="str">
        <f>IFERROR(INDEX(Diccionario!$N:$N,MATCH(F1152,Diccionario!$C:$C,0)),"")</f>
        <v>Mensual</v>
      </c>
    </row>
    <row r="1153" spans="1:14" ht="14.25" customHeight="1" x14ac:dyDescent="0.3">
      <c r="A1153" t="s">
        <v>542</v>
      </c>
      <c r="B1153" t="s">
        <v>522</v>
      </c>
      <c r="C1153" t="s">
        <v>523</v>
      </c>
      <c r="D1153" t="s">
        <v>451</v>
      </c>
      <c r="E1153" t="s">
        <v>524</v>
      </c>
      <c r="F1153" t="s">
        <v>398</v>
      </c>
      <c r="I1153">
        <v>689843197</v>
      </c>
      <c r="J1153" t="s">
        <v>451</v>
      </c>
      <c r="L1153" t="str">
        <f>IFERROR(INDEX(Diccionario!$B:$B,MATCH(F1153,Diccionario!$C:$C,0)),"")</f>
        <v>Finanzas</v>
      </c>
      <c r="M1153" t="str">
        <f>IFERROR(INDEX(Diccionario!$H:$H,MATCH(F1153,Diccionario!$C:$C,0)),"")</f>
        <v>Finanzas</v>
      </c>
      <c r="N1153" t="str">
        <f>IFERROR(INDEX(Diccionario!$N:$N,MATCH(F1153,Diccionario!$C:$C,0)),"")</f>
        <v>Mensual</v>
      </c>
    </row>
    <row r="1154" spans="1:14" ht="14.25" customHeight="1" x14ac:dyDescent="0.3">
      <c r="A1154" t="s">
        <v>543</v>
      </c>
      <c r="B1154" t="s">
        <v>522</v>
      </c>
      <c r="C1154" t="s">
        <v>523</v>
      </c>
      <c r="D1154" t="s">
        <v>451</v>
      </c>
      <c r="E1154" t="s">
        <v>524</v>
      </c>
      <c r="F1154" t="s">
        <v>398</v>
      </c>
      <c r="I1154">
        <v>698445595</v>
      </c>
      <c r="J1154" t="s">
        <v>451</v>
      </c>
      <c r="L1154" t="str">
        <f>IFERROR(INDEX(Diccionario!$B:$B,MATCH(F1154,Diccionario!$C:$C,0)),"")</f>
        <v>Finanzas</v>
      </c>
      <c r="M1154" t="str">
        <f>IFERROR(INDEX(Diccionario!$H:$H,MATCH(F1154,Diccionario!$C:$C,0)),"")</f>
        <v>Finanzas</v>
      </c>
      <c r="N1154" t="str">
        <f>IFERROR(INDEX(Diccionario!$N:$N,MATCH(F1154,Diccionario!$C:$C,0)),"")</f>
        <v>Mensual</v>
      </c>
    </row>
    <row r="1155" spans="1:14" ht="14.25" customHeight="1" x14ac:dyDescent="0.3">
      <c r="A1155" t="s">
        <v>544</v>
      </c>
      <c r="B1155" t="s">
        <v>522</v>
      </c>
      <c r="C1155" t="s">
        <v>523</v>
      </c>
      <c r="D1155" t="s">
        <v>451</v>
      </c>
      <c r="E1155" t="s">
        <v>524</v>
      </c>
      <c r="F1155" t="s">
        <v>398</v>
      </c>
      <c r="I1155">
        <v>685729356</v>
      </c>
      <c r="J1155" t="s">
        <v>451</v>
      </c>
      <c r="L1155" t="str">
        <f>IFERROR(INDEX(Diccionario!$B:$B,MATCH(F1155,Diccionario!$C:$C,0)),"")</f>
        <v>Finanzas</v>
      </c>
      <c r="M1155" t="str">
        <f>IFERROR(INDEX(Diccionario!$H:$H,MATCH(F1155,Diccionario!$C:$C,0)),"")</f>
        <v>Finanzas</v>
      </c>
      <c r="N1155" t="str">
        <f>IFERROR(INDEX(Diccionario!$N:$N,MATCH(F1155,Diccionario!$C:$C,0)),"")</f>
        <v>Mensual</v>
      </c>
    </row>
    <row r="1156" spans="1:14" ht="14.25" customHeight="1" x14ac:dyDescent="0.3">
      <c r="A1156" t="s">
        <v>545</v>
      </c>
      <c r="B1156" t="s">
        <v>522</v>
      </c>
      <c r="C1156" t="s">
        <v>523</v>
      </c>
      <c r="D1156" t="s">
        <v>451</v>
      </c>
      <c r="E1156" t="s">
        <v>524</v>
      </c>
      <c r="F1156" t="s">
        <v>398</v>
      </c>
      <c r="I1156">
        <v>686599972</v>
      </c>
      <c r="J1156" t="s">
        <v>451</v>
      </c>
      <c r="L1156" t="str">
        <f>IFERROR(INDEX(Diccionario!$B:$B,MATCH(F1156,Diccionario!$C:$C,0)),"")</f>
        <v>Finanzas</v>
      </c>
      <c r="M1156" t="str">
        <f>IFERROR(INDEX(Diccionario!$H:$H,MATCH(F1156,Diccionario!$C:$C,0)),"")</f>
        <v>Finanzas</v>
      </c>
      <c r="N1156" t="str">
        <f>IFERROR(INDEX(Diccionario!$N:$N,MATCH(F1156,Diccionario!$C:$C,0)),"")</f>
        <v>Mensual</v>
      </c>
    </row>
    <row r="1157" spans="1:14" ht="14.25" customHeight="1" x14ac:dyDescent="0.3">
      <c r="A1157" t="s">
        <v>546</v>
      </c>
      <c r="B1157" t="s">
        <v>522</v>
      </c>
      <c r="C1157" t="s">
        <v>523</v>
      </c>
      <c r="D1157" t="s">
        <v>451</v>
      </c>
      <c r="E1157" t="s">
        <v>524</v>
      </c>
      <c r="F1157" t="s">
        <v>398</v>
      </c>
      <c r="I1157">
        <v>663435516</v>
      </c>
      <c r="J1157" t="s">
        <v>451</v>
      </c>
      <c r="L1157" t="str">
        <f>IFERROR(INDEX(Diccionario!$B:$B,MATCH(F1157,Diccionario!$C:$C,0)),"")</f>
        <v>Finanzas</v>
      </c>
      <c r="M1157" t="str">
        <f>IFERROR(INDEX(Diccionario!$H:$H,MATCH(F1157,Diccionario!$C:$C,0)),"")</f>
        <v>Finanzas</v>
      </c>
      <c r="N1157" t="str">
        <f>IFERROR(INDEX(Diccionario!$N:$N,MATCH(F1157,Diccionario!$C:$C,0)),"")</f>
        <v>Mensual</v>
      </c>
    </row>
    <row r="1158" spans="1:14" ht="14.25" customHeight="1" x14ac:dyDescent="0.3">
      <c r="A1158" t="s">
        <v>547</v>
      </c>
      <c r="B1158" t="s">
        <v>522</v>
      </c>
      <c r="C1158" t="s">
        <v>523</v>
      </c>
      <c r="D1158" t="s">
        <v>451</v>
      </c>
      <c r="E1158" t="s">
        <v>524</v>
      </c>
      <c r="F1158" t="s">
        <v>398</v>
      </c>
      <c r="I1158">
        <v>682507167</v>
      </c>
      <c r="J1158" t="s">
        <v>451</v>
      </c>
      <c r="L1158" t="str">
        <f>IFERROR(INDEX(Diccionario!$B:$B,MATCH(F1158,Diccionario!$C:$C,0)),"")</f>
        <v>Finanzas</v>
      </c>
      <c r="M1158" t="str">
        <f>IFERROR(INDEX(Diccionario!$H:$H,MATCH(F1158,Diccionario!$C:$C,0)),"")</f>
        <v>Finanzas</v>
      </c>
      <c r="N1158" t="str">
        <f>IFERROR(INDEX(Diccionario!$N:$N,MATCH(F1158,Diccionario!$C:$C,0)),"")</f>
        <v>Mensual</v>
      </c>
    </row>
    <row r="1159" spans="1:14" ht="14.25" customHeight="1" x14ac:dyDescent="0.3">
      <c r="A1159" t="s">
        <v>548</v>
      </c>
      <c r="B1159" t="s">
        <v>522</v>
      </c>
      <c r="C1159" t="s">
        <v>523</v>
      </c>
      <c r="D1159" t="s">
        <v>451</v>
      </c>
      <c r="E1159" t="s">
        <v>524</v>
      </c>
      <c r="F1159" t="s">
        <v>398</v>
      </c>
      <c r="I1159">
        <v>662313152</v>
      </c>
      <c r="J1159" t="s">
        <v>451</v>
      </c>
      <c r="L1159" t="str">
        <f>IFERROR(INDEX(Diccionario!$B:$B,MATCH(F1159,Diccionario!$C:$C,0)),"")</f>
        <v>Finanzas</v>
      </c>
      <c r="M1159" t="str">
        <f>IFERROR(INDEX(Diccionario!$H:$H,MATCH(F1159,Diccionario!$C:$C,0)),"")</f>
        <v>Finanzas</v>
      </c>
      <c r="N1159" t="str">
        <f>IFERROR(INDEX(Diccionario!$N:$N,MATCH(F1159,Diccionario!$C:$C,0)),"")</f>
        <v>Mensual</v>
      </c>
    </row>
    <row r="1160" spans="1:14" ht="14.25" customHeight="1" x14ac:dyDescent="0.3">
      <c r="A1160" t="s">
        <v>549</v>
      </c>
      <c r="B1160" t="s">
        <v>522</v>
      </c>
      <c r="C1160" t="s">
        <v>523</v>
      </c>
      <c r="D1160" t="s">
        <v>451</v>
      </c>
      <c r="E1160" t="s">
        <v>524</v>
      </c>
      <c r="F1160" t="s">
        <v>398</v>
      </c>
      <c r="I1160">
        <v>659132098</v>
      </c>
      <c r="J1160" t="s">
        <v>451</v>
      </c>
      <c r="L1160" t="str">
        <f>IFERROR(INDEX(Diccionario!$B:$B,MATCH(F1160,Diccionario!$C:$C,0)),"")</f>
        <v>Finanzas</v>
      </c>
      <c r="M1160" t="str">
        <f>IFERROR(INDEX(Diccionario!$H:$H,MATCH(F1160,Diccionario!$C:$C,0)),"")</f>
        <v>Finanzas</v>
      </c>
      <c r="N1160" t="str">
        <f>IFERROR(INDEX(Diccionario!$N:$N,MATCH(F1160,Diccionario!$C:$C,0)),"")</f>
        <v>Mensual</v>
      </c>
    </row>
    <row r="1161" spans="1:14" ht="14.25" customHeight="1" x14ac:dyDescent="0.3">
      <c r="A1161" t="s">
        <v>551</v>
      </c>
      <c r="B1161" t="s">
        <v>522</v>
      </c>
      <c r="C1161" t="s">
        <v>523</v>
      </c>
      <c r="D1161" t="s">
        <v>451</v>
      </c>
      <c r="E1161" t="s">
        <v>524</v>
      </c>
      <c r="F1161" t="s">
        <v>398</v>
      </c>
      <c r="I1161">
        <v>833921932</v>
      </c>
      <c r="J1161" t="s">
        <v>451</v>
      </c>
      <c r="L1161" t="str">
        <f>IFERROR(INDEX(Diccionario!$B:$B,MATCH(F1161,Diccionario!$C:$C,0)),"")</f>
        <v>Finanzas</v>
      </c>
      <c r="M1161" t="str">
        <f>IFERROR(INDEX(Diccionario!$H:$H,MATCH(F1161,Diccionario!$C:$C,0)),"")</f>
        <v>Finanzas</v>
      </c>
      <c r="N1161" t="str">
        <f>IFERROR(INDEX(Diccionario!$N:$N,MATCH(F1161,Diccionario!$C:$C,0)),"")</f>
        <v>Mensual</v>
      </c>
    </row>
    <row r="1162" spans="1:14" ht="14.25" customHeight="1" x14ac:dyDescent="0.3">
      <c r="A1162" t="s">
        <v>552</v>
      </c>
      <c r="B1162" t="s">
        <v>522</v>
      </c>
      <c r="C1162" t="s">
        <v>523</v>
      </c>
      <c r="D1162" t="s">
        <v>451</v>
      </c>
      <c r="E1162" t="s">
        <v>524</v>
      </c>
      <c r="F1162" t="s">
        <v>398</v>
      </c>
      <c r="I1162">
        <v>747778319</v>
      </c>
      <c r="J1162" t="s">
        <v>451</v>
      </c>
      <c r="L1162" t="str">
        <f>IFERROR(INDEX(Diccionario!$B:$B,MATCH(F1162,Diccionario!$C:$C,0)),"")</f>
        <v>Finanzas</v>
      </c>
      <c r="M1162" t="str">
        <f>IFERROR(INDEX(Diccionario!$H:$H,MATCH(F1162,Diccionario!$C:$C,0)),"")</f>
        <v>Finanzas</v>
      </c>
      <c r="N1162" t="str">
        <f>IFERROR(INDEX(Diccionario!$N:$N,MATCH(F1162,Diccionario!$C:$C,0)),"")</f>
        <v>Mensual</v>
      </c>
    </row>
    <row r="1163" spans="1:14" ht="14.25" customHeight="1" x14ac:dyDescent="0.3">
      <c r="A1163" t="s">
        <v>553</v>
      </c>
      <c r="B1163" t="s">
        <v>522</v>
      </c>
      <c r="C1163" t="s">
        <v>523</v>
      </c>
      <c r="D1163" t="s">
        <v>451</v>
      </c>
      <c r="E1163" t="s">
        <v>524</v>
      </c>
      <c r="F1163" t="s">
        <v>398</v>
      </c>
      <c r="I1163">
        <v>742766594</v>
      </c>
      <c r="J1163" t="s">
        <v>451</v>
      </c>
      <c r="L1163" t="str">
        <f>IFERROR(INDEX(Diccionario!$B:$B,MATCH(F1163,Diccionario!$C:$C,0)),"")</f>
        <v>Finanzas</v>
      </c>
      <c r="M1163" t="str">
        <f>IFERROR(INDEX(Diccionario!$H:$H,MATCH(F1163,Diccionario!$C:$C,0)),"")</f>
        <v>Finanzas</v>
      </c>
      <c r="N1163" t="str">
        <f>IFERROR(INDEX(Diccionario!$N:$N,MATCH(F1163,Diccionario!$C:$C,0)),"")</f>
        <v>Mensual</v>
      </c>
    </row>
    <row r="1164" spans="1:14" ht="14.25" customHeight="1" x14ac:dyDescent="0.3">
      <c r="A1164" t="s">
        <v>554</v>
      </c>
      <c r="B1164" t="s">
        <v>522</v>
      </c>
      <c r="C1164" t="s">
        <v>523</v>
      </c>
      <c r="D1164" t="s">
        <v>451</v>
      </c>
      <c r="E1164" t="s">
        <v>524</v>
      </c>
      <c r="F1164" t="s">
        <v>398</v>
      </c>
      <c r="I1164">
        <v>706728865</v>
      </c>
      <c r="J1164" t="s">
        <v>451</v>
      </c>
      <c r="L1164" t="str">
        <f>IFERROR(INDEX(Diccionario!$B:$B,MATCH(F1164,Diccionario!$C:$C,0)),"")</f>
        <v>Finanzas</v>
      </c>
      <c r="M1164" t="str">
        <f>IFERROR(INDEX(Diccionario!$H:$H,MATCH(F1164,Diccionario!$C:$C,0)),"")</f>
        <v>Finanzas</v>
      </c>
      <c r="N1164" t="str">
        <f>IFERROR(INDEX(Diccionario!$N:$N,MATCH(F1164,Diccionario!$C:$C,0)),"")</f>
        <v>Mensual</v>
      </c>
    </row>
    <row r="1165" spans="1:14" ht="14.25" customHeight="1" x14ac:dyDescent="0.3">
      <c r="A1165" t="s">
        <v>552</v>
      </c>
      <c r="B1165" t="s">
        <v>522</v>
      </c>
      <c r="C1165" t="s">
        <v>523</v>
      </c>
      <c r="E1165" t="s">
        <v>524</v>
      </c>
      <c r="F1165" t="s">
        <v>213</v>
      </c>
      <c r="H1165" t="s">
        <v>579</v>
      </c>
      <c r="I1165">
        <v>78.599999999999994</v>
      </c>
      <c r="J1165" t="s">
        <v>65</v>
      </c>
      <c r="L1165" t="str">
        <f>IFERROR(INDEX(Diccionario!$B:$B,MATCH(F1165,Diccionario!$C:$C,0)),"")</f>
        <v>Customer Success</v>
      </c>
      <c r="M1165" t="str">
        <f>IFERROR(INDEX(Diccionario!$H:$H,MATCH(F1165,Diccionario!$C:$C,0)),"")</f>
        <v>CS</v>
      </c>
      <c r="N1165" t="str">
        <f>IFERROR(INDEX(Diccionario!$N:$N,MATCH(F1165,Diccionario!$C:$C,0)),"")</f>
        <v>Mensual</v>
      </c>
    </row>
    <row r="1166" spans="1:14" ht="14.25" customHeight="1" x14ac:dyDescent="0.3">
      <c r="A1166" t="s">
        <v>553</v>
      </c>
      <c r="B1166" t="s">
        <v>522</v>
      </c>
      <c r="C1166" t="s">
        <v>523</v>
      </c>
      <c r="E1166" t="s">
        <v>524</v>
      </c>
      <c r="F1166" t="s">
        <v>213</v>
      </c>
      <c r="H1166" t="s">
        <v>579</v>
      </c>
      <c r="I1166">
        <v>100</v>
      </c>
      <c r="J1166" t="s">
        <v>65</v>
      </c>
      <c r="L1166" t="str">
        <f>IFERROR(INDEX(Diccionario!$B:$B,MATCH(F1166,Diccionario!$C:$C,0)),"")</f>
        <v>Customer Success</v>
      </c>
      <c r="M1166" t="str">
        <f>IFERROR(INDEX(Diccionario!$H:$H,MATCH(F1166,Diccionario!$C:$C,0)),"")</f>
        <v>CS</v>
      </c>
      <c r="N1166" t="str">
        <f>IFERROR(INDEX(Diccionario!$N:$N,MATCH(F1166,Diccionario!$C:$C,0)),"")</f>
        <v>Mensual</v>
      </c>
    </row>
    <row r="1167" spans="1:14" ht="14.25" customHeight="1" x14ac:dyDescent="0.3">
      <c r="A1167" t="s">
        <v>554</v>
      </c>
      <c r="B1167" t="s">
        <v>522</v>
      </c>
      <c r="C1167" t="s">
        <v>523</v>
      </c>
      <c r="E1167" t="s">
        <v>524</v>
      </c>
      <c r="F1167" t="s">
        <v>213</v>
      </c>
      <c r="H1167" t="s">
        <v>579</v>
      </c>
      <c r="I1167">
        <v>91.7</v>
      </c>
      <c r="J1167" t="s">
        <v>65</v>
      </c>
      <c r="L1167" t="str">
        <f>IFERROR(INDEX(Diccionario!$B:$B,MATCH(F1167,Diccionario!$C:$C,0)),"")</f>
        <v>Customer Success</v>
      </c>
      <c r="M1167" t="str">
        <f>IFERROR(INDEX(Diccionario!$H:$H,MATCH(F1167,Diccionario!$C:$C,0)),"")</f>
        <v>CS</v>
      </c>
      <c r="N1167" t="str">
        <f>IFERROR(INDEX(Diccionario!$N:$N,MATCH(F1167,Diccionario!$C:$C,0)),"")</f>
        <v>Mensual</v>
      </c>
    </row>
    <row r="1168" spans="1:14" ht="14.25" customHeight="1" x14ac:dyDescent="0.3">
      <c r="A1168" t="s">
        <v>552</v>
      </c>
      <c r="B1168" t="s">
        <v>522</v>
      </c>
      <c r="C1168" t="s">
        <v>523</v>
      </c>
      <c r="E1168" t="s">
        <v>524</v>
      </c>
      <c r="F1168" t="s">
        <v>213</v>
      </c>
      <c r="H1168" t="s">
        <v>580</v>
      </c>
      <c r="I1168">
        <v>14.3</v>
      </c>
      <c r="J1168" t="s">
        <v>65</v>
      </c>
      <c r="L1168" t="str">
        <f>IFERROR(INDEX(Diccionario!$B:$B,MATCH(F1168,Diccionario!$C:$C,0)),"")</f>
        <v>Customer Success</v>
      </c>
      <c r="M1168" t="str">
        <f>IFERROR(INDEX(Diccionario!$H:$H,MATCH(F1168,Diccionario!$C:$C,0)),"")</f>
        <v>CS</v>
      </c>
      <c r="N1168" t="str">
        <f>IFERROR(INDEX(Diccionario!$N:$N,MATCH(F1168,Diccionario!$C:$C,0)),"")</f>
        <v>Mensual</v>
      </c>
    </row>
    <row r="1169" spans="1:14" ht="14.25" customHeight="1" x14ac:dyDescent="0.3">
      <c r="A1169" t="s">
        <v>553</v>
      </c>
      <c r="B1169" t="s">
        <v>522</v>
      </c>
      <c r="C1169" t="s">
        <v>523</v>
      </c>
      <c r="E1169" t="s">
        <v>524</v>
      </c>
      <c r="F1169" t="s">
        <v>213</v>
      </c>
      <c r="H1169" t="s">
        <v>580</v>
      </c>
      <c r="I1169">
        <v>0</v>
      </c>
      <c r="J1169" t="s">
        <v>65</v>
      </c>
      <c r="L1169" t="str">
        <f>IFERROR(INDEX(Diccionario!$B:$B,MATCH(F1169,Diccionario!$C:$C,0)),"")</f>
        <v>Customer Success</v>
      </c>
      <c r="M1169" t="str">
        <f>IFERROR(INDEX(Diccionario!$H:$H,MATCH(F1169,Diccionario!$C:$C,0)),"")</f>
        <v>CS</v>
      </c>
      <c r="N1169" t="str">
        <f>IFERROR(INDEX(Diccionario!$N:$N,MATCH(F1169,Diccionario!$C:$C,0)),"")</f>
        <v>Mensual</v>
      </c>
    </row>
    <row r="1170" spans="1:14" ht="14.25" customHeight="1" x14ac:dyDescent="0.3">
      <c r="A1170" t="s">
        <v>554</v>
      </c>
      <c r="B1170" t="s">
        <v>522</v>
      </c>
      <c r="C1170" t="s">
        <v>523</v>
      </c>
      <c r="E1170" t="s">
        <v>524</v>
      </c>
      <c r="F1170" t="s">
        <v>213</v>
      </c>
      <c r="H1170" t="s">
        <v>580</v>
      </c>
      <c r="I1170">
        <v>8.3000000000000007</v>
      </c>
      <c r="J1170" t="s">
        <v>65</v>
      </c>
      <c r="L1170" t="str">
        <f>IFERROR(INDEX(Diccionario!$B:$B,MATCH(F1170,Diccionario!$C:$C,0)),"")</f>
        <v>Customer Success</v>
      </c>
      <c r="M1170" t="str">
        <f>IFERROR(INDEX(Diccionario!$H:$H,MATCH(F1170,Diccionario!$C:$C,0)),"")</f>
        <v>CS</v>
      </c>
      <c r="N1170" t="str">
        <f>IFERROR(INDEX(Diccionario!$N:$N,MATCH(F1170,Diccionario!$C:$C,0)),"")</f>
        <v>Mensual</v>
      </c>
    </row>
    <row r="1171" spans="1:14" ht="14.25" customHeight="1" x14ac:dyDescent="0.3">
      <c r="A1171" t="s">
        <v>552</v>
      </c>
      <c r="B1171" t="s">
        <v>522</v>
      </c>
      <c r="C1171" t="s">
        <v>523</v>
      </c>
      <c r="E1171" t="s">
        <v>524</v>
      </c>
      <c r="F1171" t="s">
        <v>213</v>
      </c>
      <c r="H1171" t="s">
        <v>581</v>
      </c>
      <c r="I1171">
        <v>7.1</v>
      </c>
      <c r="J1171" t="s">
        <v>65</v>
      </c>
      <c r="L1171" t="str">
        <f>IFERROR(INDEX(Diccionario!$B:$B,MATCH(F1171,Diccionario!$C:$C,0)),"")</f>
        <v>Customer Success</v>
      </c>
      <c r="M1171" t="str">
        <f>IFERROR(INDEX(Diccionario!$H:$H,MATCH(F1171,Diccionario!$C:$C,0)),"")</f>
        <v>CS</v>
      </c>
      <c r="N1171" t="str">
        <f>IFERROR(INDEX(Diccionario!$N:$N,MATCH(F1171,Diccionario!$C:$C,0)),"")</f>
        <v>Mensual</v>
      </c>
    </row>
    <row r="1172" spans="1:14" ht="14.25" customHeight="1" x14ac:dyDescent="0.3">
      <c r="A1172" t="s">
        <v>553</v>
      </c>
      <c r="B1172" t="s">
        <v>522</v>
      </c>
      <c r="C1172" t="s">
        <v>523</v>
      </c>
      <c r="E1172" t="s">
        <v>524</v>
      </c>
      <c r="F1172" t="s">
        <v>213</v>
      </c>
      <c r="H1172" t="s">
        <v>581</v>
      </c>
      <c r="I1172">
        <v>0</v>
      </c>
      <c r="J1172" t="s">
        <v>65</v>
      </c>
      <c r="L1172" t="str">
        <f>IFERROR(INDEX(Diccionario!$B:$B,MATCH(F1172,Diccionario!$C:$C,0)),"")</f>
        <v>Customer Success</v>
      </c>
      <c r="M1172" t="str">
        <f>IFERROR(INDEX(Diccionario!$H:$H,MATCH(F1172,Diccionario!$C:$C,0)),"")</f>
        <v>CS</v>
      </c>
      <c r="N1172" t="str">
        <f>IFERROR(INDEX(Diccionario!$N:$N,MATCH(F1172,Diccionario!$C:$C,0)),"")</f>
        <v>Mensual</v>
      </c>
    </row>
    <row r="1173" spans="1:14" ht="14.25" customHeight="1" x14ac:dyDescent="0.3">
      <c r="A1173" t="s">
        <v>541</v>
      </c>
      <c r="B1173" t="s">
        <v>522</v>
      </c>
      <c r="C1173" t="s">
        <v>523</v>
      </c>
      <c r="E1173" t="s">
        <v>524</v>
      </c>
      <c r="F1173" t="s">
        <v>382</v>
      </c>
      <c r="H1173" t="s">
        <v>582</v>
      </c>
      <c r="I1173">
        <v>33.9</v>
      </c>
      <c r="J1173" t="s">
        <v>65</v>
      </c>
      <c r="L1173" t="str">
        <f>IFERROR(INDEX(Diccionario!$B:$B,MATCH(F1173,Diccionario!$C:$C,0)),"")</f>
        <v>Ventas</v>
      </c>
      <c r="M1173" t="str">
        <f>IFERROR(INDEX(Diccionario!$H:$H,MATCH(F1173,Diccionario!$C:$C,0)),"")</f>
        <v>Comercial</v>
      </c>
      <c r="N1173" t="str">
        <f>IFERROR(INDEX(Diccionario!$N:$N,MATCH(F1173,Diccionario!$C:$C,0)),"")</f>
        <v>Mensual</v>
      </c>
    </row>
    <row r="1174" spans="1:14" ht="14.25" customHeight="1" x14ac:dyDescent="0.3">
      <c r="A1174" t="s">
        <v>542</v>
      </c>
      <c r="B1174" t="s">
        <v>522</v>
      </c>
      <c r="C1174" t="s">
        <v>523</v>
      </c>
      <c r="E1174" t="s">
        <v>524</v>
      </c>
      <c r="F1174" t="s">
        <v>382</v>
      </c>
      <c r="H1174" t="s">
        <v>582</v>
      </c>
      <c r="I1174">
        <v>40</v>
      </c>
      <c r="J1174" t="s">
        <v>65</v>
      </c>
      <c r="L1174" t="str">
        <f>IFERROR(INDEX(Diccionario!$B:$B,MATCH(F1174,Diccionario!$C:$C,0)),"")</f>
        <v>Ventas</v>
      </c>
      <c r="M1174" t="str">
        <f>IFERROR(INDEX(Diccionario!$H:$H,MATCH(F1174,Diccionario!$C:$C,0)),"")</f>
        <v>Comercial</v>
      </c>
      <c r="N1174" t="str">
        <f>IFERROR(INDEX(Diccionario!$N:$N,MATCH(F1174,Diccionario!$C:$C,0)),"")</f>
        <v>Mensual</v>
      </c>
    </row>
    <row r="1175" spans="1:14" ht="14.25" customHeight="1" x14ac:dyDescent="0.3">
      <c r="A1175" t="s">
        <v>543</v>
      </c>
      <c r="B1175" t="s">
        <v>522</v>
      </c>
      <c r="C1175" t="s">
        <v>523</v>
      </c>
      <c r="E1175" t="s">
        <v>524</v>
      </c>
      <c r="F1175" t="s">
        <v>382</v>
      </c>
      <c r="H1175" t="s">
        <v>582</v>
      </c>
      <c r="I1175">
        <v>37</v>
      </c>
      <c r="J1175" t="s">
        <v>65</v>
      </c>
      <c r="L1175" t="str">
        <f>IFERROR(INDEX(Diccionario!$B:$B,MATCH(F1175,Diccionario!$C:$C,0)),"")</f>
        <v>Ventas</v>
      </c>
      <c r="M1175" t="str">
        <f>IFERROR(INDEX(Diccionario!$H:$H,MATCH(F1175,Diccionario!$C:$C,0)),"")</f>
        <v>Comercial</v>
      </c>
      <c r="N1175" t="str">
        <f>IFERROR(INDEX(Diccionario!$N:$N,MATCH(F1175,Diccionario!$C:$C,0)),"")</f>
        <v>Mensual</v>
      </c>
    </row>
    <row r="1176" spans="1:14" ht="14.25" customHeight="1" x14ac:dyDescent="0.3">
      <c r="A1176" t="s">
        <v>544</v>
      </c>
      <c r="B1176" t="s">
        <v>522</v>
      </c>
      <c r="C1176" t="s">
        <v>523</v>
      </c>
      <c r="E1176" t="s">
        <v>524</v>
      </c>
      <c r="F1176" t="s">
        <v>382</v>
      </c>
      <c r="H1176" t="s">
        <v>582</v>
      </c>
      <c r="I1176">
        <v>37</v>
      </c>
      <c r="J1176" t="s">
        <v>65</v>
      </c>
      <c r="L1176" t="str">
        <f>IFERROR(INDEX(Diccionario!$B:$B,MATCH(F1176,Diccionario!$C:$C,0)),"")</f>
        <v>Ventas</v>
      </c>
      <c r="M1176" t="str">
        <f>IFERROR(INDEX(Diccionario!$H:$H,MATCH(F1176,Diccionario!$C:$C,0)),"")</f>
        <v>Comercial</v>
      </c>
      <c r="N1176" t="str">
        <f>IFERROR(INDEX(Diccionario!$N:$N,MATCH(F1176,Diccionario!$C:$C,0)),"")</f>
        <v>Mensual</v>
      </c>
    </row>
    <row r="1177" spans="1:14" ht="14.25" customHeight="1" x14ac:dyDescent="0.3">
      <c r="A1177" t="s">
        <v>545</v>
      </c>
      <c r="B1177" t="s">
        <v>522</v>
      </c>
      <c r="C1177" t="s">
        <v>523</v>
      </c>
      <c r="E1177" t="s">
        <v>524</v>
      </c>
      <c r="F1177" t="s">
        <v>382</v>
      </c>
      <c r="H1177" t="s">
        <v>582</v>
      </c>
      <c r="I1177">
        <v>20.9</v>
      </c>
      <c r="J1177" t="s">
        <v>65</v>
      </c>
      <c r="L1177" t="str">
        <f>IFERROR(INDEX(Diccionario!$B:$B,MATCH(F1177,Diccionario!$C:$C,0)),"")</f>
        <v>Ventas</v>
      </c>
      <c r="M1177" t="str">
        <f>IFERROR(INDEX(Diccionario!$H:$H,MATCH(F1177,Diccionario!$C:$C,0)),"")</f>
        <v>Comercial</v>
      </c>
      <c r="N1177" t="str">
        <f>IFERROR(INDEX(Diccionario!$N:$N,MATCH(F1177,Diccionario!$C:$C,0)),"")</f>
        <v>Mensual</v>
      </c>
    </row>
    <row r="1178" spans="1:14" ht="14.25" customHeight="1" x14ac:dyDescent="0.3">
      <c r="A1178" t="s">
        <v>546</v>
      </c>
      <c r="B1178" t="s">
        <v>522</v>
      </c>
      <c r="C1178" t="s">
        <v>523</v>
      </c>
      <c r="E1178" t="s">
        <v>524</v>
      </c>
      <c r="F1178" t="s">
        <v>382</v>
      </c>
      <c r="H1178" t="s">
        <v>582</v>
      </c>
      <c r="I1178">
        <v>21</v>
      </c>
      <c r="J1178" t="s">
        <v>65</v>
      </c>
      <c r="L1178" t="str">
        <f>IFERROR(INDEX(Diccionario!$B:$B,MATCH(F1178,Diccionario!$C:$C,0)),"")</f>
        <v>Ventas</v>
      </c>
      <c r="M1178" t="str">
        <f>IFERROR(INDEX(Diccionario!$H:$H,MATCH(F1178,Diccionario!$C:$C,0)),"")</f>
        <v>Comercial</v>
      </c>
      <c r="N1178" t="str">
        <f>IFERROR(INDEX(Diccionario!$N:$N,MATCH(F1178,Diccionario!$C:$C,0)),"")</f>
        <v>Mensual</v>
      </c>
    </row>
    <row r="1179" spans="1:14" ht="14.25" customHeight="1" x14ac:dyDescent="0.3">
      <c r="A1179" t="s">
        <v>547</v>
      </c>
      <c r="B1179" t="s">
        <v>522</v>
      </c>
      <c r="C1179" t="s">
        <v>523</v>
      </c>
      <c r="E1179" t="s">
        <v>524</v>
      </c>
      <c r="F1179" t="s">
        <v>382</v>
      </c>
      <c r="H1179" t="s">
        <v>582</v>
      </c>
      <c r="I1179">
        <v>28</v>
      </c>
      <c r="J1179" t="s">
        <v>65</v>
      </c>
      <c r="L1179" t="str">
        <f>IFERROR(INDEX(Diccionario!$B:$B,MATCH(F1179,Diccionario!$C:$C,0)),"")</f>
        <v>Ventas</v>
      </c>
      <c r="M1179" t="str">
        <f>IFERROR(INDEX(Diccionario!$H:$H,MATCH(F1179,Diccionario!$C:$C,0)),"")</f>
        <v>Comercial</v>
      </c>
      <c r="N1179" t="str">
        <f>IFERROR(INDEX(Diccionario!$N:$N,MATCH(F1179,Diccionario!$C:$C,0)),"")</f>
        <v>Mensual</v>
      </c>
    </row>
    <row r="1180" spans="1:14" ht="14.25" customHeight="1" x14ac:dyDescent="0.3">
      <c r="A1180" t="s">
        <v>548</v>
      </c>
      <c r="B1180" t="s">
        <v>522</v>
      </c>
      <c r="C1180" t="s">
        <v>523</v>
      </c>
      <c r="E1180" t="s">
        <v>524</v>
      </c>
      <c r="F1180" t="s">
        <v>382</v>
      </c>
      <c r="H1180" t="s">
        <v>582</v>
      </c>
      <c r="I1180">
        <v>16</v>
      </c>
      <c r="J1180" t="s">
        <v>65</v>
      </c>
      <c r="L1180" t="str">
        <f>IFERROR(INDEX(Diccionario!$B:$B,MATCH(F1180,Diccionario!$C:$C,0)),"")</f>
        <v>Ventas</v>
      </c>
      <c r="M1180" t="str">
        <f>IFERROR(INDEX(Diccionario!$H:$H,MATCH(F1180,Diccionario!$C:$C,0)),"")</f>
        <v>Comercial</v>
      </c>
      <c r="N1180" t="str">
        <f>IFERROR(INDEX(Diccionario!$N:$N,MATCH(F1180,Diccionario!$C:$C,0)),"")</f>
        <v>Mensual</v>
      </c>
    </row>
    <row r="1181" spans="1:14" ht="14.25" customHeight="1" x14ac:dyDescent="0.3">
      <c r="A1181" t="s">
        <v>549</v>
      </c>
      <c r="B1181" t="s">
        <v>522</v>
      </c>
      <c r="C1181" t="s">
        <v>523</v>
      </c>
      <c r="E1181" t="s">
        <v>524</v>
      </c>
      <c r="F1181" t="s">
        <v>382</v>
      </c>
      <c r="H1181" t="s">
        <v>582</v>
      </c>
      <c r="I1181">
        <v>40</v>
      </c>
      <c r="J1181" t="s">
        <v>65</v>
      </c>
      <c r="L1181" t="str">
        <f>IFERROR(INDEX(Diccionario!$B:$B,MATCH(F1181,Diccionario!$C:$C,0)),"")</f>
        <v>Ventas</v>
      </c>
      <c r="M1181" t="str">
        <f>IFERROR(INDEX(Diccionario!$H:$H,MATCH(F1181,Diccionario!$C:$C,0)),"")</f>
        <v>Comercial</v>
      </c>
      <c r="N1181" t="str">
        <f>IFERROR(INDEX(Diccionario!$N:$N,MATCH(F1181,Diccionario!$C:$C,0)),"")</f>
        <v>Mensual</v>
      </c>
    </row>
    <row r="1182" spans="1:14" ht="14.25" customHeight="1" x14ac:dyDescent="0.3">
      <c r="A1182" t="s">
        <v>551</v>
      </c>
      <c r="B1182" t="s">
        <v>522</v>
      </c>
      <c r="C1182" t="s">
        <v>523</v>
      </c>
      <c r="E1182" t="s">
        <v>524</v>
      </c>
      <c r="F1182" t="s">
        <v>382</v>
      </c>
      <c r="H1182" t="s">
        <v>582</v>
      </c>
      <c r="I1182">
        <v>25</v>
      </c>
      <c r="J1182" t="s">
        <v>65</v>
      </c>
      <c r="L1182" t="str">
        <f>IFERROR(INDEX(Diccionario!$B:$B,MATCH(F1182,Diccionario!$C:$C,0)),"")</f>
        <v>Ventas</v>
      </c>
      <c r="M1182" t="str">
        <f>IFERROR(INDEX(Diccionario!$H:$H,MATCH(F1182,Diccionario!$C:$C,0)),"")</f>
        <v>Comercial</v>
      </c>
      <c r="N1182" t="str">
        <f>IFERROR(INDEX(Diccionario!$N:$N,MATCH(F1182,Diccionario!$C:$C,0)),"")</f>
        <v>Mensual</v>
      </c>
    </row>
    <row r="1183" spans="1:14" ht="14.25" customHeight="1" x14ac:dyDescent="0.3">
      <c r="A1183" t="s">
        <v>552</v>
      </c>
      <c r="B1183" t="s">
        <v>522</v>
      </c>
      <c r="C1183" t="s">
        <v>523</v>
      </c>
      <c r="E1183" t="s">
        <v>524</v>
      </c>
      <c r="F1183" t="s">
        <v>382</v>
      </c>
      <c r="H1183" t="s">
        <v>582</v>
      </c>
      <c r="I1183">
        <v>23</v>
      </c>
      <c r="J1183" t="s">
        <v>65</v>
      </c>
      <c r="L1183" t="str">
        <f>IFERROR(INDEX(Diccionario!$B:$B,MATCH(F1183,Diccionario!$C:$C,0)),"")</f>
        <v>Ventas</v>
      </c>
      <c r="M1183" t="str">
        <f>IFERROR(INDEX(Diccionario!$H:$H,MATCH(F1183,Diccionario!$C:$C,0)),"")</f>
        <v>Comercial</v>
      </c>
      <c r="N1183" t="str">
        <f>IFERROR(INDEX(Diccionario!$N:$N,MATCH(F1183,Diccionario!$C:$C,0)),"")</f>
        <v>Mensual</v>
      </c>
    </row>
    <row r="1184" spans="1:14" ht="14.25" customHeight="1" x14ac:dyDescent="0.3">
      <c r="A1184" t="s">
        <v>553</v>
      </c>
      <c r="B1184" t="s">
        <v>522</v>
      </c>
      <c r="C1184" t="s">
        <v>523</v>
      </c>
      <c r="E1184" t="s">
        <v>524</v>
      </c>
      <c r="F1184" t="s">
        <v>382</v>
      </c>
      <c r="H1184" t="s">
        <v>582</v>
      </c>
      <c r="I1184">
        <v>27</v>
      </c>
      <c r="J1184" t="s">
        <v>65</v>
      </c>
      <c r="L1184" t="str">
        <f>IFERROR(INDEX(Diccionario!$B:$B,MATCH(F1184,Diccionario!$C:$C,0)),"")</f>
        <v>Ventas</v>
      </c>
      <c r="M1184" t="str">
        <f>IFERROR(INDEX(Diccionario!$H:$H,MATCH(F1184,Diccionario!$C:$C,0)),"")</f>
        <v>Comercial</v>
      </c>
      <c r="N1184" t="str">
        <f>IFERROR(INDEX(Diccionario!$N:$N,MATCH(F1184,Diccionario!$C:$C,0)),"")</f>
        <v>Mensual</v>
      </c>
    </row>
    <row r="1185" spans="1:14" ht="14.25" customHeight="1" x14ac:dyDescent="0.3">
      <c r="A1185" t="s">
        <v>554</v>
      </c>
      <c r="B1185" t="s">
        <v>522</v>
      </c>
      <c r="C1185" t="s">
        <v>523</v>
      </c>
      <c r="E1185" t="s">
        <v>524</v>
      </c>
      <c r="F1185" t="s">
        <v>382</v>
      </c>
      <c r="H1185" t="s">
        <v>582</v>
      </c>
      <c r="I1185">
        <v>15</v>
      </c>
      <c r="J1185" t="s">
        <v>65</v>
      </c>
      <c r="L1185" t="str">
        <f>IFERROR(INDEX(Diccionario!$B:$B,MATCH(F1185,Diccionario!$C:$C,0)),"")</f>
        <v>Ventas</v>
      </c>
      <c r="M1185" t="str">
        <f>IFERROR(INDEX(Diccionario!$H:$H,MATCH(F1185,Diccionario!$C:$C,0)),"")</f>
        <v>Comercial</v>
      </c>
      <c r="N1185" t="str">
        <f>IFERROR(INDEX(Diccionario!$N:$N,MATCH(F1185,Diccionario!$C:$C,0)),"")</f>
        <v>Mensual</v>
      </c>
    </row>
    <row r="1186" spans="1:14" ht="14.25" customHeight="1" x14ac:dyDescent="0.3">
      <c r="A1186" t="s">
        <v>541</v>
      </c>
      <c r="B1186" t="s">
        <v>522</v>
      </c>
      <c r="C1186" t="s">
        <v>523</v>
      </c>
      <c r="E1186" t="s">
        <v>524</v>
      </c>
      <c r="F1186" t="s">
        <v>382</v>
      </c>
      <c r="H1186" t="s">
        <v>583</v>
      </c>
      <c r="I1186">
        <v>51.53</v>
      </c>
      <c r="J1186" t="s">
        <v>65</v>
      </c>
      <c r="L1186" t="str">
        <f>IFERROR(INDEX(Diccionario!$B:$B,MATCH(F1186,Diccionario!$C:$C,0)),"")</f>
        <v>Ventas</v>
      </c>
      <c r="M1186" t="str">
        <f>IFERROR(INDEX(Diccionario!$H:$H,MATCH(F1186,Diccionario!$C:$C,0)),"")</f>
        <v>Comercial</v>
      </c>
      <c r="N1186" t="str">
        <f>IFERROR(INDEX(Diccionario!$N:$N,MATCH(F1186,Diccionario!$C:$C,0)),"")</f>
        <v>Mensual</v>
      </c>
    </row>
    <row r="1187" spans="1:14" ht="14.25" customHeight="1" x14ac:dyDescent="0.3">
      <c r="A1187" t="s">
        <v>542</v>
      </c>
      <c r="B1187" t="s">
        <v>522</v>
      </c>
      <c r="C1187" t="s">
        <v>523</v>
      </c>
      <c r="E1187" t="s">
        <v>524</v>
      </c>
      <c r="F1187" t="s">
        <v>382</v>
      </c>
      <c r="H1187" t="s">
        <v>583</v>
      </c>
      <c r="I1187">
        <v>56</v>
      </c>
      <c r="J1187" t="s">
        <v>65</v>
      </c>
      <c r="L1187" t="str">
        <f>IFERROR(INDEX(Diccionario!$B:$B,MATCH(F1187,Diccionario!$C:$C,0)),"")</f>
        <v>Ventas</v>
      </c>
      <c r="M1187" t="str">
        <f>IFERROR(INDEX(Diccionario!$H:$H,MATCH(F1187,Diccionario!$C:$C,0)),"")</f>
        <v>Comercial</v>
      </c>
      <c r="N1187" t="str">
        <f>IFERROR(INDEX(Diccionario!$N:$N,MATCH(F1187,Diccionario!$C:$C,0)),"")</f>
        <v>Mensual</v>
      </c>
    </row>
    <row r="1188" spans="1:14" ht="14.25" customHeight="1" x14ac:dyDescent="0.3">
      <c r="A1188" t="s">
        <v>543</v>
      </c>
      <c r="B1188" t="s">
        <v>522</v>
      </c>
      <c r="C1188" t="s">
        <v>523</v>
      </c>
      <c r="E1188" t="s">
        <v>524</v>
      </c>
      <c r="F1188" t="s">
        <v>382</v>
      </c>
      <c r="H1188" t="s">
        <v>583</v>
      </c>
      <c r="I1188">
        <v>59</v>
      </c>
      <c r="J1188" t="s">
        <v>65</v>
      </c>
      <c r="L1188" t="str">
        <f>IFERROR(INDEX(Diccionario!$B:$B,MATCH(F1188,Diccionario!$C:$C,0)),"")</f>
        <v>Ventas</v>
      </c>
      <c r="M1188" t="str">
        <f>IFERROR(INDEX(Diccionario!$H:$H,MATCH(F1188,Diccionario!$C:$C,0)),"")</f>
        <v>Comercial</v>
      </c>
      <c r="N1188" t="str">
        <f>IFERROR(INDEX(Diccionario!$N:$N,MATCH(F1188,Diccionario!$C:$C,0)),"")</f>
        <v>Mensual</v>
      </c>
    </row>
    <row r="1189" spans="1:14" ht="14.25" customHeight="1" x14ac:dyDescent="0.3">
      <c r="A1189" t="s">
        <v>544</v>
      </c>
      <c r="B1189" t="s">
        <v>522</v>
      </c>
      <c r="C1189" t="s">
        <v>523</v>
      </c>
      <c r="E1189" t="s">
        <v>524</v>
      </c>
      <c r="F1189" t="s">
        <v>382</v>
      </c>
      <c r="H1189" t="s">
        <v>583</v>
      </c>
      <c r="I1189">
        <v>49.6</v>
      </c>
      <c r="J1189" t="s">
        <v>65</v>
      </c>
      <c r="L1189" t="str">
        <f>IFERROR(INDEX(Diccionario!$B:$B,MATCH(F1189,Diccionario!$C:$C,0)),"")</f>
        <v>Ventas</v>
      </c>
      <c r="M1189" t="str">
        <f>IFERROR(INDEX(Diccionario!$H:$H,MATCH(F1189,Diccionario!$C:$C,0)),"")</f>
        <v>Comercial</v>
      </c>
      <c r="N1189" t="str">
        <f>IFERROR(INDEX(Diccionario!$N:$N,MATCH(F1189,Diccionario!$C:$C,0)),"")</f>
        <v>Mensual</v>
      </c>
    </row>
    <row r="1190" spans="1:14" ht="14.25" customHeight="1" x14ac:dyDescent="0.3">
      <c r="A1190" t="s">
        <v>545</v>
      </c>
      <c r="B1190" t="s">
        <v>522</v>
      </c>
      <c r="C1190" t="s">
        <v>523</v>
      </c>
      <c r="E1190" t="s">
        <v>524</v>
      </c>
      <c r="F1190" t="s">
        <v>382</v>
      </c>
      <c r="H1190" t="s">
        <v>583</v>
      </c>
      <c r="I1190">
        <v>61.7</v>
      </c>
      <c r="J1190" t="s">
        <v>65</v>
      </c>
      <c r="L1190" t="str">
        <f>IFERROR(INDEX(Diccionario!$B:$B,MATCH(F1190,Diccionario!$C:$C,0)),"")</f>
        <v>Ventas</v>
      </c>
      <c r="M1190" t="str">
        <f>IFERROR(INDEX(Diccionario!$H:$H,MATCH(F1190,Diccionario!$C:$C,0)),"")</f>
        <v>Comercial</v>
      </c>
      <c r="N1190" t="str">
        <f>IFERROR(INDEX(Diccionario!$N:$N,MATCH(F1190,Diccionario!$C:$C,0)),"")</f>
        <v>Mensual</v>
      </c>
    </row>
    <row r="1191" spans="1:14" ht="14.25" customHeight="1" x14ac:dyDescent="0.3">
      <c r="A1191" t="s">
        <v>546</v>
      </c>
      <c r="B1191" t="s">
        <v>522</v>
      </c>
      <c r="C1191" t="s">
        <v>523</v>
      </c>
      <c r="E1191" t="s">
        <v>524</v>
      </c>
      <c r="F1191" t="s">
        <v>382</v>
      </c>
      <c r="H1191" t="s">
        <v>583</v>
      </c>
      <c r="I1191">
        <v>65</v>
      </c>
      <c r="J1191" t="s">
        <v>65</v>
      </c>
      <c r="L1191" t="str">
        <f>IFERROR(INDEX(Diccionario!$B:$B,MATCH(F1191,Diccionario!$C:$C,0)),"")</f>
        <v>Ventas</v>
      </c>
      <c r="M1191" t="str">
        <f>IFERROR(INDEX(Diccionario!$H:$H,MATCH(F1191,Diccionario!$C:$C,0)),"")</f>
        <v>Comercial</v>
      </c>
      <c r="N1191" t="str">
        <f>IFERROR(INDEX(Diccionario!$N:$N,MATCH(F1191,Diccionario!$C:$C,0)),"")</f>
        <v>Mensual</v>
      </c>
    </row>
    <row r="1192" spans="1:14" ht="14.25" customHeight="1" x14ac:dyDescent="0.3">
      <c r="A1192" t="s">
        <v>547</v>
      </c>
      <c r="B1192" t="s">
        <v>522</v>
      </c>
      <c r="C1192" t="s">
        <v>523</v>
      </c>
      <c r="E1192" t="s">
        <v>524</v>
      </c>
      <c r="F1192" t="s">
        <v>382</v>
      </c>
      <c r="H1192" t="s">
        <v>583</v>
      </c>
      <c r="I1192">
        <v>67</v>
      </c>
      <c r="J1192" t="s">
        <v>65</v>
      </c>
      <c r="L1192" t="str">
        <f>IFERROR(INDEX(Diccionario!$B:$B,MATCH(F1192,Diccionario!$C:$C,0)),"")</f>
        <v>Ventas</v>
      </c>
      <c r="M1192" t="str">
        <f>IFERROR(INDEX(Diccionario!$H:$H,MATCH(F1192,Diccionario!$C:$C,0)),"")</f>
        <v>Comercial</v>
      </c>
      <c r="N1192" t="str">
        <f>IFERROR(INDEX(Diccionario!$N:$N,MATCH(F1192,Diccionario!$C:$C,0)),"")</f>
        <v>Mensual</v>
      </c>
    </row>
    <row r="1193" spans="1:14" ht="14.25" customHeight="1" x14ac:dyDescent="0.3">
      <c r="A1193" t="s">
        <v>548</v>
      </c>
      <c r="B1193" t="s">
        <v>522</v>
      </c>
      <c r="C1193" t="s">
        <v>523</v>
      </c>
      <c r="E1193" t="s">
        <v>524</v>
      </c>
      <c r="F1193" t="s">
        <v>382</v>
      </c>
      <c r="H1193" t="s">
        <v>583</v>
      </c>
      <c r="I1193">
        <v>77</v>
      </c>
      <c r="J1193" t="s">
        <v>65</v>
      </c>
      <c r="L1193" t="str">
        <f>IFERROR(INDEX(Diccionario!$B:$B,MATCH(F1193,Diccionario!$C:$C,0)),"")</f>
        <v>Ventas</v>
      </c>
      <c r="M1193" t="str">
        <f>IFERROR(INDEX(Diccionario!$H:$H,MATCH(F1193,Diccionario!$C:$C,0)),"")</f>
        <v>Comercial</v>
      </c>
      <c r="N1193" t="str">
        <f>IFERROR(INDEX(Diccionario!$N:$N,MATCH(F1193,Diccionario!$C:$C,0)),"")</f>
        <v>Mensual</v>
      </c>
    </row>
    <row r="1194" spans="1:14" ht="14.25" customHeight="1" x14ac:dyDescent="0.3">
      <c r="A1194" t="s">
        <v>549</v>
      </c>
      <c r="B1194" t="s">
        <v>522</v>
      </c>
      <c r="C1194" t="s">
        <v>523</v>
      </c>
      <c r="E1194" t="s">
        <v>524</v>
      </c>
      <c r="F1194" t="s">
        <v>382</v>
      </c>
      <c r="H1194" t="s">
        <v>583</v>
      </c>
      <c r="I1194">
        <v>55</v>
      </c>
      <c r="J1194" t="s">
        <v>65</v>
      </c>
      <c r="L1194" t="str">
        <f>IFERROR(INDEX(Diccionario!$B:$B,MATCH(F1194,Diccionario!$C:$C,0)),"")</f>
        <v>Ventas</v>
      </c>
      <c r="M1194" t="str">
        <f>IFERROR(INDEX(Diccionario!$H:$H,MATCH(F1194,Diccionario!$C:$C,0)),"")</f>
        <v>Comercial</v>
      </c>
      <c r="N1194" t="str">
        <f>IFERROR(INDEX(Diccionario!$N:$N,MATCH(F1194,Diccionario!$C:$C,0)),"")</f>
        <v>Mensual</v>
      </c>
    </row>
    <row r="1195" spans="1:14" ht="14.25" customHeight="1" x14ac:dyDescent="0.3">
      <c r="A1195" t="s">
        <v>551</v>
      </c>
      <c r="B1195" t="s">
        <v>522</v>
      </c>
      <c r="C1195" t="s">
        <v>523</v>
      </c>
      <c r="E1195" t="s">
        <v>524</v>
      </c>
      <c r="F1195" t="s">
        <v>382</v>
      </c>
      <c r="H1195" t="s">
        <v>583</v>
      </c>
      <c r="I1195">
        <v>64</v>
      </c>
      <c r="J1195" t="s">
        <v>65</v>
      </c>
      <c r="L1195" t="str">
        <f>IFERROR(INDEX(Diccionario!$B:$B,MATCH(F1195,Diccionario!$C:$C,0)),"")</f>
        <v>Ventas</v>
      </c>
      <c r="M1195" t="str">
        <f>IFERROR(INDEX(Diccionario!$H:$H,MATCH(F1195,Diccionario!$C:$C,0)),"")</f>
        <v>Comercial</v>
      </c>
      <c r="N1195" t="str">
        <f>IFERROR(INDEX(Diccionario!$N:$N,MATCH(F1195,Diccionario!$C:$C,0)),"")</f>
        <v>Mensual</v>
      </c>
    </row>
    <row r="1196" spans="1:14" ht="14.25" customHeight="1" x14ac:dyDescent="0.3">
      <c r="A1196" t="s">
        <v>552</v>
      </c>
      <c r="B1196" t="s">
        <v>522</v>
      </c>
      <c r="C1196" t="s">
        <v>523</v>
      </c>
      <c r="E1196" t="s">
        <v>524</v>
      </c>
      <c r="F1196" t="s">
        <v>382</v>
      </c>
      <c r="H1196" t="s">
        <v>583</v>
      </c>
      <c r="I1196">
        <v>65</v>
      </c>
      <c r="J1196" t="s">
        <v>65</v>
      </c>
      <c r="L1196" t="str">
        <f>IFERROR(INDEX(Diccionario!$B:$B,MATCH(F1196,Diccionario!$C:$C,0)),"")</f>
        <v>Ventas</v>
      </c>
      <c r="M1196" t="str">
        <f>IFERROR(INDEX(Diccionario!$H:$H,MATCH(F1196,Diccionario!$C:$C,0)),"")</f>
        <v>Comercial</v>
      </c>
      <c r="N1196" t="str">
        <f>IFERROR(INDEX(Diccionario!$N:$N,MATCH(F1196,Diccionario!$C:$C,0)),"")</f>
        <v>Mensual</v>
      </c>
    </row>
    <row r="1197" spans="1:14" ht="14.25" customHeight="1" x14ac:dyDescent="0.3">
      <c r="A1197" t="s">
        <v>553</v>
      </c>
      <c r="B1197" t="s">
        <v>522</v>
      </c>
      <c r="C1197" t="s">
        <v>523</v>
      </c>
      <c r="E1197" t="s">
        <v>524</v>
      </c>
      <c r="F1197" t="s">
        <v>382</v>
      </c>
      <c r="H1197" t="s">
        <v>583</v>
      </c>
      <c r="I1197">
        <v>67</v>
      </c>
      <c r="J1197" t="s">
        <v>65</v>
      </c>
      <c r="L1197" t="str">
        <f>IFERROR(INDEX(Diccionario!$B:$B,MATCH(F1197,Diccionario!$C:$C,0)),"")</f>
        <v>Ventas</v>
      </c>
      <c r="M1197" t="str">
        <f>IFERROR(INDEX(Diccionario!$H:$H,MATCH(F1197,Diccionario!$C:$C,0)),"")</f>
        <v>Comercial</v>
      </c>
      <c r="N1197" t="str">
        <f>IFERROR(INDEX(Diccionario!$N:$N,MATCH(F1197,Diccionario!$C:$C,0)),"")</f>
        <v>Mensual</v>
      </c>
    </row>
    <row r="1198" spans="1:14" ht="14.25" customHeight="1" x14ac:dyDescent="0.3">
      <c r="A1198" t="s">
        <v>554</v>
      </c>
      <c r="B1198" t="s">
        <v>522</v>
      </c>
      <c r="C1198" t="s">
        <v>523</v>
      </c>
      <c r="E1198" t="s">
        <v>524</v>
      </c>
      <c r="F1198" t="s">
        <v>382</v>
      </c>
      <c r="H1198" t="s">
        <v>583</v>
      </c>
      <c r="I1198">
        <v>78</v>
      </c>
      <c r="J1198" t="s">
        <v>65</v>
      </c>
      <c r="L1198" t="str">
        <f>IFERROR(INDEX(Diccionario!$B:$B,MATCH(F1198,Diccionario!$C:$C,0)),"")</f>
        <v>Ventas</v>
      </c>
      <c r="M1198" t="str">
        <f>IFERROR(INDEX(Diccionario!$H:$H,MATCH(F1198,Diccionario!$C:$C,0)),"")</f>
        <v>Comercial</v>
      </c>
      <c r="N1198" t="str">
        <f>IFERROR(INDEX(Diccionario!$N:$N,MATCH(F1198,Diccionario!$C:$C,0)),"")</f>
        <v>Mensual</v>
      </c>
    </row>
    <row r="1199" spans="1:14" ht="14.25" customHeight="1" x14ac:dyDescent="0.3">
      <c r="A1199" t="s">
        <v>541</v>
      </c>
      <c r="B1199" t="s">
        <v>522</v>
      </c>
      <c r="C1199" t="s">
        <v>523</v>
      </c>
      <c r="E1199" t="s">
        <v>524</v>
      </c>
      <c r="F1199" t="s">
        <v>382</v>
      </c>
      <c r="H1199" t="s">
        <v>584</v>
      </c>
      <c r="I1199">
        <v>14.57</v>
      </c>
      <c r="J1199" t="s">
        <v>65</v>
      </c>
      <c r="L1199" t="str">
        <f>IFERROR(INDEX(Diccionario!$B:$B,MATCH(F1199,Diccionario!$C:$C,0)),"")</f>
        <v>Ventas</v>
      </c>
      <c r="M1199" t="str">
        <f>IFERROR(INDEX(Diccionario!$H:$H,MATCH(F1199,Diccionario!$C:$C,0)),"")</f>
        <v>Comercial</v>
      </c>
      <c r="N1199" t="str">
        <f>IFERROR(INDEX(Diccionario!$N:$N,MATCH(F1199,Diccionario!$C:$C,0)),"")</f>
        <v>Mensual</v>
      </c>
    </row>
    <row r="1200" spans="1:14" ht="14.25" customHeight="1" x14ac:dyDescent="0.3">
      <c r="A1200" t="s">
        <v>542</v>
      </c>
      <c r="B1200" t="s">
        <v>522</v>
      </c>
      <c r="C1200" t="s">
        <v>523</v>
      </c>
      <c r="E1200" t="s">
        <v>524</v>
      </c>
      <c r="F1200" t="s">
        <v>382</v>
      </c>
      <c r="H1200" t="s">
        <v>584</v>
      </c>
      <c r="I1200">
        <v>4</v>
      </c>
      <c r="J1200" t="s">
        <v>65</v>
      </c>
      <c r="L1200" t="str">
        <f>IFERROR(INDEX(Diccionario!$B:$B,MATCH(F1200,Diccionario!$C:$C,0)),"")</f>
        <v>Ventas</v>
      </c>
      <c r="M1200" t="str">
        <f>IFERROR(INDEX(Diccionario!$H:$H,MATCH(F1200,Diccionario!$C:$C,0)),"")</f>
        <v>Comercial</v>
      </c>
      <c r="N1200" t="str">
        <f>IFERROR(INDEX(Diccionario!$N:$N,MATCH(F1200,Diccionario!$C:$C,0)),"")</f>
        <v>Mensual</v>
      </c>
    </row>
    <row r="1201" spans="1:14" ht="14.25" customHeight="1" x14ac:dyDescent="0.3">
      <c r="A1201" t="s">
        <v>543</v>
      </c>
      <c r="B1201" t="s">
        <v>522</v>
      </c>
      <c r="C1201" t="s">
        <v>523</v>
      </c>
      <c r="E1201" t="s">
        <v>524</v>
      </c>
      <c r="F1201" t="s">
        <v>382</v>
      </c>
      <c r="H1201" t="s">
        <v>584</v>
      </c>
      <c r="I1201">
        <v>4</v>
      </c>
      <c r="J1201" t="s">
        <v>65</v>
      </c>
      <c r="L1201" t="str">
        <f>IFERROR(INDEX(Diccionario!$B:$B,MATCH(F1201,Diccionario!$C:$C,0)),"")</f>
        <v>Ventas</v>
      </c>
      <c r="M1201" t="str">
        <f>IFERROR(INDEX(Diccionario!$H:$H,MATCH(F1201,Diccionario!$C:$C,0)),"")</f>
        <v>Comercial</v>
      </c>
      <c r="N1201" t="str">
        <f>IFERROR(INDEX(Diccionario!$N:$N,MATCH(F1201,Diccionario!$C:$C,0)),"")</f>
        <v>Mensual</v>
      </c>
    </row>
    <row r="1202" spans="1:14" ht="14.25" customHeight="1" x14ac:dyDescent="0.3">
      <c r="A1202" t="s">
        <v>544</v>
      </c>
      <c r="B1202" t="s">
        <v>522</v>
      </c>
      <c r="C1202" t="s">
        <v>523</v>
      </c>
      <c r="E1202" t="s">
        <v>524</v>
      </c>
      <c r="F1202" t="s">
        <v>382</v>
      </c>
      <c r="H1202" t="s">
        <v>584</v>
      </c>
      <c r="I1202">
        <v>13.1</v>
      </c>
      <c r="J1202" t="s">
        <v>65</v>
      </c>
      <c r="L1202" t="str">
        <f>IFERROR(INDEX(Diccionario!$B:$B,MATCH(F1202,Diccionario!$C:$C,0)),"")</f>
        <v>Ventas</v>
      </c>
      <c r="M1202" t="str">
        <f>IFERROR(INDEX(Diccionario!$H:$H,MATCH(F1202,Diccionario!$C:$C,0)),"")</f>
        <v>Comercial</v>
      </c>
      <c r="N1202" t="str">
        <f>IFERROR(INDEX(Diccionario!$N:$N,MATCH(F1202,Diccionario!$C:$C,0)),"")</f>
        <v>Mensual</v>
      </c>
    </row>
    <row r="1203" spans="1:14" ht="14.25" customHeight="1" x14ac:dyDescent="0.3">
      <c r="A1203" t="s">
        <v>545</v>
      </c>
      <c r="B1203" t="s">
        <v>522</v>
      </c>
      <c r="C1203" t="s">
        <v>523</v>
      </c>
      <c r="E1203" t="s">
        <v>524</v>
      </c>
      <c r="F1203" t="s">
        <v>382</v>
      </c>
      <c r="H1203" t="s">
        <v>584</v>
      </c>
      <c r="I1203">
        <v>17.37</v>
      </c>
      <c r="J1203" t="s">
        <v>65</v>
      </c>
      <c r="L1203" t="str">
        <f>IFERROR(INDEX(Diccionario!$B:$B,MATCH(F1203,Diccionario!$C:$C,0)),"")</f>
        <v>Ventas</v>
      </c>
      <c r="M1203" t="str">
        <f>IFERROR(INDEX(Diccionario!$H:$H,MATCH(F1203,Diccionario!$C:$C,0)),"")</f>
        <v>Comercial</v>
      </c>
      <c r="N1203" t="str">
        <f>IFERROR(INDEX(Diccionario!$N:$N,MATCH(F1203,Diccionario!$C:$C,0)),"")</f>
        <v>Mensual</v>
      </c>
    </row>
    <row r="1204" spans="1:14" ht="14.25" customHeight="1" x14ac:dyDescent="0.3">
      <c r="A1204" t="s">
        <v>546</v>
      </c>
      <c r="B1204" t="s">
        <v>522</v>
      </c>
      <c r="C1204" t="s">
        <v>523</v>
      </c>
      <c r="E1204" t="s">
        <v>524</v>
      </c>
      <c r="F1204" t="s">
        <v>382</v>
      </c>
      <c r="H1204" t="s">
        <v>584</v>
      </c>
      <c r="I1204">
        <v>10</v>
      </c>
      <c r="J1204" t="s">
        <v>65</v>
      </c>
      <c r="L1204" t="str">
        <f>IFERROR(INDEX(Diccionario!$B:$B,MATCH(F1204,Diccionario!$C:$C,0)),"")</f>
        <v>Ventas</v>
      </c>
      <c r="M1204" t="str">
        <f>IFERROR(INDEX(Diccionario!$H:$H,MATCH(F1204,Diccionario!$C:$C,0)),"")</f>
        <v>Comercial</v>
      </c>
      <c r="N1204" t="str">
        <f>IFERROR(INDEX(Diccionario!$N:$N,MATCH(F1204,Diccionario!$C:$C,0)),"")</f>
        <v>Mensual</v>
      </c>
    </row>
    <row r="1205" spans="1:14" ht="14.25" customHeight="1" x14ac:dyDescent="0.3">
      <c r="A1205" t="s">
        <v>547</v>
      </c>
      <c r="B1205" t="s">
        <v>522</v>
      </c>
      <c r="C1205" t="s">
        <v>523</v>
      </c>
      <c r="E1205" t="s">
        <v>524</v>
      </c>
      <c r="F1205" t="s">
        <v>382</v>
      </c>
      <c r="H1205" t="s">
        <v>584</v>
      </c>
      <c r="I1205">
        <v>5</v>
      </c>
      <c r="J1205" t="s">
        <v>65</v>
      </c>
      <c r="L1205" t="str">
        <f>IFERROR(INDEX(Diccionario!$B:$B,MATCH(F1205,Diccionario!$C:$C,0)),"")</f>
        <v>Ventas</v>
      </c>
      <c r="M1205" t="str">
        <f>IFERROR(INDEX(Diccionario!$H:$H,MATCH(F1205,Diccionario!$C:$C,0)),"")</f>
        <v>Comercial</v>
      </c>
      <c r="N1205" t="str">
        <f>IFERROR(INDEX(Diccionario!$N:$N,MATCH(F1205,Diccionario!$C:$C,0)),"")</f>
        <v>Mensual</v>
      </c>
    </row>
    <row r="1206" spans="1:14" ht="14.25" customHeight="1" x14ac:dyDescent="0.3">
      <c r="A1206" t="s">
        <v>548</v>
      </c>
      <c r="B1206" t="s">
        <v>522</v>
      </c>
      <c r="C1206" t="s">
        <v>523</v>
      </c>
      <c r="E1206" t="s">
        <v>524</v>
      </c>
      <c r="F1206" t="s">
        <v>382</v>
      </c>
      <c r="H1206" t="s">
        <v>584</v>
      </c>
      <c r="I1206">
        <v>7</v>
      </c>
      <c r="J1206" t="s">
        <v>65</v>
      </c>
      <c r="L1206" t="str">
        <f>IFERROR(INDEX(Diccionario!$B:$B,MATCH(F1206,Diccionario!$C:$C,0)),"")</f>
        <v>Ventas</v>
      </c>
      <c r="M1206" t="str">
        <f>IFERROR(INDEX(Diccionario!$H:$H,MATCH(F1206,Diccionario!$C:$C,0)),"")</f>
        <v>Comercial</v>
      </c>
      <c r="N1206" t="str">
        <f>IFERROR(INDEX(Diccionario!$N:$N,MATCH(F1206,Diccionario!$C:$C,0)),"")</f>
        <v>Mensual</v>
      </c>
    </row>
    <row r="1207" spans="1:14" ht="14.25" customHeight="1" x14ac:dyDescent="0.3">
      <c r="A1207" t="s">
        <v>549</v>
      </c>
      <c r="B1207" t="s">
        <v>522</v>
      </c>
      <c r="C1207" t="s">
        <v>523</v>
      </c>
      <c r="E1207" t="s">
        <v>524</v>
      </c>
      <c r="F1207" t="s">
        <v>382</v>
      </c>
      <c r="H1207" t="s">
        <v>584</v>
      </c>
      <c r="I1207">
        <v>5</v>
      </c>
      <c r="J1207" t="s">
        <v>65</v>
      </c>
      <c r="L1207" t="str">
        <f>IFERROR(INDEX(Diccionario!$B:$B,MATCH(F1207,Diccionario!$C:$C,0)),"")</f>
        <v>Ventas</v>
      </c>
      <c r="M1207" t="str">
        <f>IFERROR(INDEX(Diccionario!$H:$H,MATCH(F1207,Diccionario!$C:$C,0)),"")</f>
        <v>Comercial</v>
      </c>
      <c r="N1207" t="str">
        <f>IFERROR(INDEX(Diccionario!$N:$N,MATCH(F1207,Diccionario!$C:$C,0)),"")</f>
        <v>Mensual</v>
      </c>
    </row>
    <row r="1208" spans="1:14" ht="14.25" customHeight="1" x14ac:dyDescent="0.3">
      <c r="A1208" t="s">
        <v>551</v>
      </c>
      <c r="B1208" t="s">
        <v>522</v>
      </c>
      <c r="C1208" t="s">
        <v>523</v>
      </c>
      <c r="E1208" t="s">
        <v>524</v>
      </c>
      <c r="F1208" t="s">
        <v>382</v>
      </c>
      <c r="H1208" t="s">
        <v>584</v>
      </c>
      <c r="I1208">
        <v>11</v>
      </c>
      <c r="J1208" t="s">
        <v>65</v>
      </c>
      <c r="L1208" t="str">
        <f>IFERROR(INDEX(Diccionario!$B:$B,MATCH(F1208,Diccionario!$C:$C,0)),"")</f>
        <v>Ventas</v>
      </c>
      <c r="M1208" t="str">
        <f>IFERROR(INDEX(Diccionario!$H:$H,MATCH(F1208,Diccionario!$C:$C,0)),"")</f>
        <v>Comercial</v>
      </c>
      <c r="N1208" t="str">
        <f>IFERROR(INDEX(Diccionario!$N:$N,MATCH(F1208,Diccionario!$C:$C,0)),"")</f>
        <v>Mensual</v>
      </c>
    </row>
    <row r="1209" spans="1:14" ht="14.25" customHeight="1" x14ac:dyDescent="0.3">
      <c r="A1209" t="s">
        <v>552</v>
      </c>
      <c r="B1209" t="s">
        <v>522</v>
      </c>
      <c r="C1209" t="s">
        <v>523</v>
      </c>
      <c r="E1209" t="s">
        <v>524</v>
      </c>
      <c r="F1209" t="s">
        <v>382</v>
      </c>
      <c r="H1209" t="s">
        <v>584</v>
      </c>
      <c r="I1209">
        <v>12</v>
      </c>
      <c r="J1209" t="s">
        <v>65</v>
      </c>
      <c r="L1209" t="str">
        <f>IFERROR(INDEX(Diccionario!$B:$B,MATCH(F1209,Diccionario!$C:$C,0)),"")</f>
        <v>Ventas</v>
      </c>
      <c r="M1209" t="str">
        <f>IFERROR(INDEX(Diccionario!$H:$H,MATCH(F1209,Diccionario!$C:$C,0)),"")</f>
        <v>Comercial</v>
      </c>
      <c r="N1209" t="str">
        <f>IFERROR(INDEX(Diccionario!$N:$N,MATCH(F1209,Diccionario!$C:$C,0)),"")</f>
        <v>Mensual</v>
      </c>
    </row>
    <row r="1210" spans="1:14" ht="14.25" customHeight="1" x14ac:dyDescent="0.3">
      <c r="A1210" t="s">
        <v>553</v>
      </c>
      <c r="B1210" t="s">
        <v>522</v>
      </c>
      <c r="C1210" t="s">
        <v>523</v>
      </c>
      <c r="E1210" t="s">
        <v>524</v>
      </c>
      <c r="F1210" t="s">
        <v>382</v>
      </c>
      <c r="H1210" t="s">
        <v>584</v>
      </c>
      <c r="I1210">
        <v>6</v>
      </c>
      <c r="J1210" t="s">
        <v>65</v>
      </c>
      <c r="L1210" t="str">
        <f>IFERROR(INDEX(Diccionario!$B:$B,MATCH(F1210,Diccionario!$C:$C,0)),"")</f>
        <v>Ventas</v>
      </c>
      <c r="M1210" t="str">
        <f>IFERROR(INDEX(Diccionario!$H:$H,MATCH(F1210,Diccionario!$C:$C,0)),"")</f>
        <v>Comercial</v>
      </c>
      <c r="N1210" t="str">
        <f>IFERROR(INDEX(Diccionario!$N:$N,MATCH(F1210,Diccionario!$C:$C,0)),"")</f>
        <v>Mensual</v>
      </c>
    </row>
    <row r="1211" spans="1:14" ht="14.25" customHeight="1" x14ac:dyDescent="0.3">
      <c r="A1211" t="s">
        <v>554</v>
      </c>
      <c r="B1211" t="s">
        <v>522</v>
      </c>
      <c r="C1211" t="s">
        <v>523</v>
      </c>
      <c r="E1211" t="s">
        <v>524</v>
      </c>
      <c r="F1211" t="s">
        <v>382</v>
      </c>
      <c r="H1211" t="s">
        <v>584</v>
      </c>
      <c r="I1211">
        <v>7</v>
      </c>
      <c r="J1211" t="s">
        <v>65</v>
      </c>
      <c r="L1211" t="str">
        <f>IFERROR(INDEX(Diccionario!$B:$B,MATCH(F1211,Diccionario!$C:$C,0)),"")</f>
        <v>Ventas</v>
      </c>
      <c r="M1211" t="str">
        <f>IFERROR(INDEX(Diccionario!$H:$H,MATCH(F1211,Diccionario!$C:$C,0)),"")</f>
        <v>Comercial</v>
      </c>
      <c r="N1211" t="str">
        <f>IFERROR(INDEX(Diccionario!$N:$N,MATCH(F1211,Diccionario!$C:$C,0)),"")</f>
        <v>Mensual</v>
      </c>
    </row>
    <row r="1212" spans="1:14" ht="14.25" customHeight="1" x14ac:dyDescent="0.3">
      <c r="A1212" t="s">
        <v>554</v>
      </c>
      <c r="B1212" t="s">
        <v>522</v>
      </c>
      <c r="C1212" t="s">
        <v>523</v>
      </c>
      <c r="E1212" t="s">
        <v>524</v>
      </c>
      <c r="F1212" t="s">
        <v>279</v>
      </c>
      <c r="H1212" t="s">
        <v>585</v>
      </c>
      <c r="I1212">
        <v>11</v>
      </c>
      <c r="J1212" t="s">
        <v>65</v>
      </c>
      <c r="L1212" t="str">
        <f>IFERROR(INDEX(Diccionario!$B:$B,MATCH(F1212,Diccionario!$C:$C,0)),"")</f>
        <v>Contabilidad</v>
      </c>
      <c r="M1212" t="str">
        <f>IFERROR(INDEX(Diccionario!$H:$H,MATCH(F1212,Diccionario!$C:$C,0)),"")</f>
        <v>Contabilidad</v>
      </c>
      <c r="N1212" t="str">
        <f>IFERROR(INDEX(Diccionario!$N:$N,MATCH(F1212,Diccionario!$C:$C,0)),"")</f>
        <v>Mensual</v>
      </c>
    </row>
    <row r="1213" spans="1:14" ht="14.25" customHeight="1" x14ac:dyDescent="0.3">
      <c r="A1213" t="s">
        <v>554</v>
      </c>
      <c r="B1213" t="s">
        <v>522</v>
      </c>
      <c r="C1213" t="s">
        <v>523</v>
      </c>
      <c r="E1213" t="s">
        <v>524</v>
      </c>
      <c r="F1213" t="s">
        <v>279</v>
      </c>
      <c r="H1213" t="s">
        <v>586</v>
      </c>
      <c r="I1213">
        <v>7</v>
      </c>
      <c r="J1213" t="s">
        <v>65</v>
      </c>
      <c r="L1213" t="str">
        <f>IFERROR(INDEX(Diccionario!$B:$B,MATCH(F1213,Diccionario!$C:$C,0)),"")</f>
        <v>Contabilidad</v>
      </c>
      <c r="M1213" t="str">
        <f>IFERROR(INDEX(Diccionario!$H:$H,MATCH(F1213,Diccionario!$C:$C,0)),"")</f>
        <v>Contabilidad</v>
      </c>
      <c r="N1213" t="str">
        <f>IFERROR(INDEX(Diccionario!$N:$N,MATCH(F1213,Diccionario!$C:$C,0)),"")</f>
        <v>Mensual</v>
      </c>
    </row>
    <row r="1214" spans="1:14" ht="14.25" customHeight="1" x14ac:dyDescent="0.3">
      <c r="A1214" t="s">
        <v>554</v>
      </c>
      <c r="B1214" t="s">
        <v>522</v>
      </c>
      <c r="C1214" t="s">
        <v>523</v>
      </c>
      <c r="E1214" t="s">
        <v>524</v>
      </c>
      <c r="F1214" t="s">
        <v>279</v>
      </c>
      <c r="H1214" t="s">
        <v>587</v>
      </c>
      <c r="I1214">
        <v>5</v>
      </c>
      <c r="J1214" t="s">
        <v>65</v>
      </c>
      <c r="L1214" t="str">
        <f>IFERROR(INDEX(Diccionario!$B:$B,MATCH(F1214,Diccionario!$C:$C,0)),"")</f>
        <v>Contabilidad</v>
      </c>
      <c r="M1214" t="str">
        <f>IFERROR(INDEX(Diccionario!$H:$H,MATCH(F1214,Diccionario!$C:$C,0)),"")</f>
        <v>Contabilidad</v>
      </c>
      <c r="N1214" t="str">
        <f>IFERROR(INDEX(Diccionario!$N:$N,MATCH(F1214,Diccionario!$C:$C,0)),"")</f>
        <v>Mensual</v>
      </c>
    </row>
    <row r="1215" spans="1:14" ht="14.25" customHeight="1" x14ac:dyDescent="0.3">
      <c r="A1215" t="s">
        <v>554</v>
      </c>
      <c r="B1215" t="s">
        <v>522</v>
      </c>
      <c r="C1215" t="s">
        <v>523</v>
      </c>
      <c r="E1215" t="s">
        <v>524</v>
      </c>
      <c r="F1215" t="s">
        <v>279</v>
      </c>
      <c r="H1215" t="s">
        <v>588</v>
      </c>
      <c r="I1215">
        <v>6</v>
      </c>
      <c r="J1215" t="s">
        <v>65</v>
      </c>
      <c r="L1215" t="str">
        <f>IFERROR(INDEX(Diccionario!$B:$B,MATCH(F1215,Diccionario!$C:$C,0)),"")</f>
        <v>Contabilidad</v>
      </c>
      <c r="M1215" t="str">
        <f>IFERROR(INDEX(Diccionario!$H:$H,MATCH(F1215,Diccionario!$C:$C,0)),"")</f>
        <v>Contabilidad</v>
      </c>
      <c r="N1215" t="str">
        <f>IFERROR(INDEX(Diccionario!$N:$N,MATCH(F1215,Diccionario!$C:$C,0)),"")</f>
        <v>Mensual</v>
      </c>
    </row>
    <row r="1216" spans="1:14" ht="14.25" customHeight="1" x14ac:dyDescent="0.3">
      <c r="A1216" t="s">
        <v>554</v>
      </c>
      <c r="B1216" t="s">
        <v>522</v>
      </c>
      <c r="C1216" t="s">
        <v>523</v>
      </c>
      <c r="E1216" t="s">
        <v>524</v>
      </c>
      <c r="F1216" t="s">
        <v>279</v>
      </c>
      <c r="H1216" t="s">
        <v>589</v>
      </c>
      <c r="I1216">
        <v>4</v>
      </c>
      <c r="J1216" t="s">
        <v>65</v>
      </c>
      <c r="L1216" t="str">
        <f>IFERROR(INDEX(Diccionario!$B:$B,MATCH(F1216,Diccionario!$C:$C,0)),"")</f>
        <v>Contabilidad</v>
      </c>
      <c r="M1216" t="str">
        <f>IFERROR(INDEX(Diccionario!$H:$H,MATCH(F1216,Diccionario!$C:$C,0)),"")</f>
        <v>Contabilidad</v>
      </c>
      <c r="N1216" t="str">
        <f>IFERROR(INDEX(Diccionario!$N:$N,MATCH(F1216,Diccionario!$C:$C,0)),"")</f>
        <v>Mensual</v>
      </c>
    </row>
    <row r="1217" spans="1:14" ht="14.25" customHeight="1" x14ac:dyDescent="0.3">
      <c r="A1217" t="s">
        <v>554</v>
      </c>
      <c r="B1217" t="s">
        <v>522</v>
      </c>
      <c r="C1217" t="s">
        <v>523</v>
      </c>
      <c r="E1217" t="s">
        <v>524</v>
      </c>
      <c r="F1217" t="s">
        <v>279</v>
      </c>
      <c r="H1217" t="s">
        <v>590</v>
      </c>
      <c r="I1217">
        <v>4</v>
      </c>
      <c r="J1217" t="s">
        <v>65</v>
      </c>
      <c r="L1217" t="str">
        <f>IFERROR(INDEX(Diccionario!$B:$B,MATCH(F1217,Diccionario!$C:$C,0)),"")</f>
        <v>Contabilidad</v>
      </c>
      <c r="M1217" t="str">
        <f>IFERROR(INDEX(Diccionario!$H:$H,MATCH(F1217,Diccionario!$C:$C,0)),"")</f>
        <v>Contabilidad</v>
      </c>
      <c r="N1217" t="str">
        <f>IFERROR(INDEX(Diccionario!$N:$N,MATCH(F1217,Diccionario!$C:$C,0)),"")</f>
        <v>Mensual</v>
      </c>
    </row>
    <row r="1218" spans="1:14" ht="14.25" customHeight="1" x14ac:dyDescent="0.3">
      <c r="A1218" t="s">
        <v>554</v>
      </c>
      <c r="B1218" t="s">
        <v>522</v>
      </c>
      <c r="C1218" t="s">
        <v>523</v>
      </c>
      <c r="E1218" t="s">
        <v>524</v>
      </c>
      <c r="F1218" t="s">
        <v>279</v>
      </c>
      <c r="H1218" t="s">
        <v>591</v>
      </c>
      <c r="I1218">
        <v>4</v>
      </c>
      <c r="J1218" t="s">
        <v>65</v>
      </c>
      <c r="L1218" t="str">
        <f>IFERROR(INDEX(Diccionario!$B:$B,MATCH(F1218,Diccionario!$C:$C,0)),"")</f>
        <v>Contabilidad</v>
      </c>
      <c r="M1218" t="str">
        <f>IFERROR(INDEX(Diccionario!$H:$H,MATCH(F1218,Diccionario!$C:$C,0)),"")</f>
        <v>Contabilidad</v>
      </c>
      <c r="N1218" t="str">
        <f>IFERROR(INDEX(Diccionario!$N:$N,MATCH(F1218,Diccionario!$C:$C,0)),"")</f>
        <v>Mensual</v>
      </c>
    </row>
    <row r="1219" spans="1:14" ht="14.25" customHeight="1" x14ac:dyDescent="0.3">
      <c r="A1219" t="s">
        <v>554</v>
      </c>
      <c r="B1219" t="s">
        <v>522</v>
      </c>
      <c r="C1219" t="s">
        <v>523</v>
      </c>
      <c r="E1219" t="s">
        <v>524</v>
      </c>
      <c r="F1219" t="s">
        <v>279</v>
      </c>
      <c r="H1219" t="s">
        <v>576</v>
      </c>
      <c r="I1219">
        <v>59</v>
      </c>
      <c r="J1219" t="s">
        <v>65</v>
      </c>
      <c r="L1219" t="str">
        <f>IFERROR(INDEX(Diccionario!$B:$B,MATCH(F1219,Diccionario!$C:$C,0)),"")</f>
        <v>Contabilidad</v>
      </c>
      <c r="M1219" t="str">
        <f>IFERROR(INDEX(Diccionario!$H:$H,MATCH(F1219,Diccionario!$C:$C,0)),"")</f>
        <v>Contabilidad</v>
      </c>
      <c r="N1219" t="str">
        <f>IFERROR(INDEX(Diccionario!$N:$N,MATCH(F1219,Diccionario!$C:$C,0)),"")</f>
        <v>Mensual</v>
      </c>
    </row>
    <row r="1220" spans="1:14" ht="14.25" customHeight="1" x14ac:dyDescent="0.3">
      <c r="A1220" t="s">
        <v>592</v>
      </c>
      <c r="B1220" t="s">
        <v>522</v>
      </c>
      <c r="C1220" t="s">
        <v>523</v>
      </c>
      <c r="E1220" t="s">
        <v>524</v>
      </c>
      <c r="F1220" t="s">
        <v>387</v>
      </c>
      <c r="H1220" t="s">
        <v>593</v>
      </c>
      <c r="I1220">
        <v>84</v>
      </c>
      <c r="J1220" t="s">
        <v>65</v>
      </c>
      <c r="K1220" t="s">
        <v>594</v>
      </c>
      <c r="L1220" t="str">
        <f>IFERROR(INDEX(Diccionario!$B:$B,MATCH(F1220,Diccionario!$C:$C,0)),"")</f>
        <v>Finanzas</v>
      </c>
      <c r="M1220" t="str">
        <f>IFERROR(INDEX(Diccionario!$H:$H,MATCH(F1220,Diccionario!$C:$C,0)),"")</f>
        <v>Finanzas</v>
      </c>
      <c r="N1220" t="str">
        <f>IFERROR(INDEX(Diccionario!$N:$N,MATCH(F1220,Diccionario!$C:$C,0)),"")</f>
        <v>Mensual</v>
      </c>
    </row>
    <row r="1221" spans="1:14" ht="14.25" customHeight="1" x14ac:dyDescent="0.3">
      <c r="A1221" t="s">
        <v>548</v>
      </c>
      <c r="B1221" t="s">
        <v>522</v>
      </c>
      <c r="C1221" t="s">
        <v>523</v>
      </c>
      <c r="E1221" t="s">
        <v>524</v>
      </c>
      <c r="F1221" t="s">
        <v>387</v>
      </c>
      <c r="H1221" t="s">
        <v>593</v>
      </c>
      <c r="I1221">
        <v>89.9</v>
      </c>
      <c r="J1221" t="s">
        <v>65</v>
      </c>
      <c r="K1221" t="s">
        <v>595</v>
      </c>
      <c r="L1221" t="str">
        <f>IFERROR(INDEX(Diccionario!$B:$B,MATCH(F1221,Diccionario!$C:$C,0)),"")</f>
        <v>Finanzas</v>
      </c>
      <c r="M1221" t="str">
        <f>IFERROR(INDEX(Diccionario!$H:$H,MATCH(F1221,Diccionario!$C:$C,0)),"")</f>
        <v>Finanzas</v>
      </c>
      <c r="N1221" t="str">
        <f>IFERROR(INDEX(Diccionario!$N:$N,MATCH(F1221,Diccionario!$C:$C,0)),"")</f>
        <v>Mensual</v>
      </c>
    </row>
    <row r="1222" spans="1:14" ht="14.25" customHeight="1" x14ac:dyDescent="0.3">
      <c r="A1222" t="s">
        <v>554</v>
      </c>
      <c r="B1222" t="s">
        <v>522</v>
      </c>
      <c r="C1222" t="s">
        <v>523</v>
      </c>
      <c r="E1222" t="s">
        <v>524</v>
      </c>
      <c r="F1222" t="s">
        <v>387</v>
      </c>
      <c r="H1222" t="s">
        <v>593</v>
      </c>
      <c r="I1222">
        <v>92.9</v>
      </c>
      <c r="J1222" t="s">
        <v>65</v>
      </c>
      <c r="K1222" t="s">
        <v>596</v>
      </c>
      <c r="L1222" t="str">
        <f>IFERROR(INDEX(Diccionario!$B:$B,MATCH(F1222,Diccionario!$C:$C,0)),"")</f>
        <v>Finanzas</v>
      </c>
      <c r="M1222" t="str">
        <f>IFERROR(INDEX(Diccionario!$H:$H,MATCH(F1222,Diccionario!$C:$C,0)),"")</f>
        <v>Finanzas</v>
      </c>
      <c r="N1222" t="str">
        <f>IFERROR(INDEX(Diccionario!$N:$N,MATCH(F1222,Diccionario!$C:$C,0)),"")</f>
        <v>Mensual</v>
      </c>
    </row>
    <row r="1223" spans="1:14" ht="14.25" customHeight="1" x14ac:dyDescent="0.3">
      <c r="A1223" t="s">
        <v>592</v>
      </c>
      <c r="B1223" t="s">
        <v>522</v>
      </c>
      <c r="C1223" t="s">
        <v>523</v>
      </c>
      <c r="E1223" t="s">
        <v>524</v>
      </c>
      <c r="F1223" t="s">
        <v>387</v>
      </c>
      <c r="H1223" t="s">
        <v>597</v>
      </c>
      <c r="I1223">
        <v>16</v>
      </c>
      <c r="J1223" t="s">
        <v>65</v>
      </c>
      <c r="K1223" t="s">
        <v>594</v>
      </c>
      <c r="L1223" t="str">
        <f>IFERROR(INDEX(Diccionario!$B:$B,MATCH(F1223,Diccionario!$C:$C,0)),"")</f>
        <v>Finanzas</v>
      </c>
      <c r="M1223" t="str">
        <f>IFERROR(INDEX(Diccionario!$H:$H,MATCH(F1223,Diccionario!$C:$C,0)),"")</f>
        <v>Finanzas</v>
      </c>
      <c r="N1223" t="str">
        <f>IFERROR(INDEX(Diccionario!$N:$N,MATCH(F1223,Diccionario!$C:$C,0)),"")</f>
        <v>Mensual</v>
      </c>
    </row>
    <row r="1224" spans="1:14" ht="14.25" customHeight="1" x14ac:dyDescent="0.3">
      <c r="A1224" t="s">
        <v>548</v>
      </c>
      <c r="B1224" t="s">
        <v>522</v>
      </c>
      <c r="C1224" t="s">
        <v>523</v>
      </c>
      <c r="E1224" t="s">
        <v>524</v>
      </c>
      <c r="F1224" t="s">
        <v>387</v>
      </c>
      <c r="H1224" t="s">
        <v>597</v>
      </c>
      <c r="I1224">
        <v>3.1</v>
      </c>
      <c r="J1224" t="s">
        <v>65</v>
      </c>
      <c r="K1224" t="s">
        <v>595</v>
      </c>
      <c r="L1224" t="str">
        <f>IFERROR(INDEX(Diccionario!$B:$B,MATCH(F1224,Diccionario!$C:$C,0)),"")</f>
        <v>Finanzas</v>
      </c>
      <c r="M1224" t="str">
        <f>IFERROR(INDEX(Diccionario!$H:$H,MATCH(F1224,Diccionario!$C:$C,0)),"")</f>
        <v>Finanzas</v>
      </c>
      <c r="N1224" t="str">
        <f>IFERROR(INDEX(Diccionario!$N:$N,MATCH(F1224,Diccionario!$C:$C,0)),"")</f>
        <v>Mensual</v>
      </c>
    </row>
    <row r="1225" spans="1:14" ht="14.25" customHeight="1" x14ac:dyDescent="0.3">
      <c r="A1225" t="s">
        <v>554</v>
      </c>
      <c r="B1225" t="s">
        <v>522</v>
      </c>
      <c r="C1225" t="s">
        <v>523</v>
      </c>
      <c r="E1225" t="s">
        <v>524</v>
      </c>
      <c r="F1225" t="s">
        <v>387</v>
      </c>
      <c r="H1225" t="s">
        <v>597</v>
      </c>
      <c r="I1225">
        <v>3.3</v>
      </c>
      <c r="J1225" t="s">
        <v>65</v>
      </c>
      <c r="K1225" t="s">
        <v>596</v>
      </c>
      <c r="L1225" t="str">
        <f>IFERROR(INDEX(Diccionario!$B:$B,MATCH(F1225,Diccionario!$C:$C,0)),"")</f>
        <v>Finanzas</v>
      </c>
      <c r="M1225" t="str">
        <f>IFERROR(INDEX(Diccionario!$H:$H,MATCH(F1225,Diccionario!$C:$C,0)),"")</f>
        <v>Finanzas</v>
      </c>
      <c r="N1225" t="str">
        <f>IFERROR(INDEX(Diccionario!$N:$N,MATCH(F1225,Diccionario!$C:$C,0)),"")</f>
        <v>Mensual</v>
      </c>
    </row>
    <row r="1226" spans="1:14" ht="14.25" customHeight="1" x14ac:dyDescent="0.3">
      <c r="A1226" t="s">
        <v>592</v>
      </c>
      <c r="B1226" t="s">
        <v>522</v>
      </c>
      <c r="C1226" t="s">
        <v>523</v>
      </c>
      <c r="E1226" t="s">
        <v>524</v>
      </c>
      <c r="F1226" t="s">
        <v>387</v>
      </c>
      <c r="H1226" t="s">
        <v>598</v>
      </c>
      <c r="I1226">
        <v>0</v>
      </c>
      <c r="J1226" t="s">
        <v>65</v>
      </c>
      <c r="K1226" t="s">
        <v>594</v>
      </c>
      <c r="L1226" t="str">
        <f>IFERROR(INDEX(Diccionario!$B:$B,MATCH(F1226,Diccionario!$C:$C,0)),"")</f>
        <v>Finanzas</v>
      </c>
      <c r="M1226" t="str">
        <f>IFERROR(INDEX(Diccionario!$H:$H,MATCH(F1226,Diccionario!$C:$C,0)),"")</f>
        <v>Finanzas</v>
      </c>
      <c r="N1226" t="str">
        <f>IFERROR(INDEX(Diccionario!$N:$N,MATCH(F1226,Diccionario!$C:$C,0)),"")</f>
        <v>Mensual</v>
      </c>
    </row>
    <row r="1227" spans="1:14" ht="14.25" customHeight="1" x14ac:dyDescent="0.3">
      <c r="A1227" t="s">
        <v>548</v>
      </c>
      <c r="B1227" t="s">
        <v>522</v>
      </c>
      <c r="C1227" t="s">
        <v>523</v>
      </c>
      <c r="E1227" t="s">
        <v>524</v>
      </c>
      <c r="F1227" t="s">
        <v>387</v>
      </c>
      <c r="H1227" t="s">
        <v>598</v>
      </c>
      <c r="I1227">
        <v>4.2</v>
      </c>
      <c r="J1227" t="s">
        <v>65</v>
      </c>
      <c r="K1227" t="s">
        <v>595</v>
      </c>
      <c r="L1227" t="str">
        <f>IFERROR(INDEX(Diccionario!$B:$B,MATCH(F1227,Diccionario!$C:$C,0)),"")</f>
        <v>Finanzas</v>
      </c>
      <c r="M1227" t="str">
        <f>IFERROR(INDEX(Diccionario!$H:$H,MATCH(F1227,Diccionario!$C:$C,0)),"")</f>
        <v>Finanzas</v>
      </c>
      <c r="N1227" t="str">
        <f>IFERROR(INDEX(Diccionario!$N:$N,MATCH(F1227,Diccionario!$C:$C,0)),"")</f>
        <v>Mensual</v>
      </c>
    </row>
    <row r="1228" spans="1:14" ht="14.25" customHeight="1" x14ac:dyDescent="0.3">
      <c r="A1228" t="s">
        <v>554</v>
      </c>
      <c r="B1228" t="s">
        <v>522</v>
      </c>
      <c r="C1228" t="s">
        <v>523</v>
      </c>
      <c r="E1228" t="s">
        <v>524</v>
      </c>
      <c r="F1228" t="s">
        <v>387</v>
      </c>
      <c r="H1228" t="s">
        <v>598</v>
      </c>
      <c r="I1228">
        <v>0.6</v>
      </c>
      <c r="J1228" t="s">
        <v>65</v>
      </c>
      <c r="K1228" t="s">
        <v>596</v>
      </c>
      <c r="L1228" t="str">
        <f>IFERROR(INDEX(Diccionario!$B:$B,MATCH(F1228,Diccionario!$C:$C,0)),"")</f>
        <v>Finanzas</v>
      </c>
      <c r="M1228" t="str">
        <f>IFERROR(INDEX(Diccionario!$H:$H,MATCH(F1228,Diccionario!$C:$C,0)),"")</f>
        <v>Finanzas</v>
      </c>
      <c r="N1228" t="str">
        <f>IFERROR(INDEX(Diccionario!$N:$N,MATCH(F1228,Diccionario!$C:$C,0)),"")</f>
        <v>Mensual</v>
      </c>
    </row>
    <row r="1229" spans="1:14" ht="14.25" customHeight="1" x14ac:dyDescent="0.3">
      <c r="A1229" t="s">
        <v>592</v>
      </c>
      <c r="B1229" t="s">
        <v>522</v>
      </c>
      <c r="C1229" t="s">
        <v>523</v>
      </c>
      <c r="E1229" t="s">
        <v>524</v>
      </c>
      <c r="F1229" t="s">
        <v>387</v>
      </c>
      <c r="H1229" t="s">
        <v>221</v>
      </c>
      <c r="I1229">
        <v>0</v>
      </c>
      <c r="J1229" t="s">
        <v>65</v>
      </c>
      <c r="K1229" t="s">
        <v>594</v>
      </c>
      <c r="L1229" t="str">
        <f>IFERROR(INDEX(Diccionario!$B:$B,MATCH(F1229,Diccionario!$C:$C,0)),"")</f>
        <v>Finanzas</v>
      </c>
      <c r="M1229" t="str">
        <f>IFERROR(INDEX(Diccionario!$H:$H,MATCH(F1229,Diccionario!$C:$C,0)),"")</f>
        <v>Finanzas</v>
      </c>
      <c r="N1229" t="str">
        <f>IFERROR(INDEX(Diccionario!$N:$N,MATCH(F1229,Diccionario!$C:$C,0)),"")</f>
        <v>Mensual</v>
      </c>
    </row>
    <row r="1230" spans="1:14" ht="14.25" customHeight="1" x14ac:dyDescent="0.3">
      <c r="A1230" t="s">
        <v>548</v>
      </c>
      <c r="B1230" t="s">
        <v>522</v>
      </c>
      <c r="C1230" t="s">
        <v>523</v>
      </c>
      <c r="E1230" t="s">
        <v>524</v>
      </c>
      <c r="F1230" t="s">
        <v>387</v>
      </c>
      <c r="H1230" t="s">
        <v>221</v>
      </c>
      <c r="I1230">
        <v>3.1</v>
      </c>
      <c r="J1230" t="s">
        <v>65</v>
      </c>
      <c r="K1230" t="s">
        <v>595</v>
      </c>
      <c r="L1230" t="str">
        <f>IFERROR(INDEX(Diccionario!$B:$B,MATCH(F1230,Diccionario!$C:$C,0)),"")</f>
        <v>Finanzas</v>
      </c>
      <c r="M1230" t="str">
        <f>IFERROR(INDEX(Diccionario!$H:$H,MATCH(F1230,Diccionario!$C:$C,0)),"")</f>
        <v>Finanzas</v>
      </c>
      <c r="N1230" t="str">
        <f>IFERROR(INDEX(Diccionario!$N:$N,MATCH(F1230,Diccionario!$C:$C,0)),"")</f>
        <v>Mensual</v>
      </c>
    </row>
    <row r="1231" spans="1:14" ht="14.25" customHeight="1" x14ac:dyDescent="0.3">
      <c r="A1231" t="s">
        <v>554</v>
      </c>
      <c r="B1231" t="s">
        <v>522</v>
      </c>
      <c r="C1231" t="s">
        <v>523</v>
      </c>
      <c r="E1231" t="s">
        <v>524</v>
      </c>
      <c r="F1231" t="s">
        <v>387</v>
      </c>
      <c r="H1231" t="s">
        <v>221</v>
      </c>
      <c r="I1231">
        <v>3.2</v>
      </c>
      <c r="J1231" t="s">
        <v>65</v>
      </c>
      <c r="K1231" t="s">
        <v>596</v>
      </c>
      <c r="L1231" t="str">
        <f>IFERROR(INDEX(Diccionario!$B:$B,MATCH(F1231,Diccionario!$C:$C,0)),"")</f>
        <v>Finanzas</v>
      </c>
      <c r="M1231" t="str">
        <f>IFERROR(INDEX(Diccionario!$H:$H,MATCH(F1231,Diccionario!$C:$C,0)),"")</f>
        <v>Finanzas</v>
      </c>
      <c r="N1231" t="str">
        <f>IFERROR(INDEX(Diccionario!$N:$N,MATCH(F1231,Diccionario!$C:$C,0)),"")</f>
        <v>Mensual</v>
      </c>
    </row>
    <row r="1232" spans="1:14" ht="14.25" customHeight="1" x14ac:dyDescent="0.3">
      <c r="A1232" t="s">
        <v>554</v>
      </c>
      <c r="B1232" t="s">
        <v>522</v>
      </c>
      <c r="C1232" t="s">
        <v>523</v>
      </c>
      <c r="E1232" t="s">
        <v>524</v>
      </c>
      <c r="F1232" t="s">
        <v>326</v>
      </c>
      <c r="H1232" t="s">
        <v>599</v>
      </c>
      <c r="I1232">
        <v>39.049999999999997</v>
      </c>
      <c r="J1232" t="s">
        <v>65</v>
      </c>
      <c r="L1232" t="str">
        <f>IFERROR(INDEX(Diccionario!$B:$B,MATCH(F1232,Diccionario!$C:$C,0)),"")</f>
        <v>Contabilidad</v>
      </c>
      <c r="M1232" t="str">
        <f>IFERROR(INDEX(Diccionario!$H:$H,MATCH(F1232,Diccionario!$C:$C,0)),"")</f>
        <v>Contabilidad</v>
      </c>
      <c r="N1232" t="str">
        <f>IFERROR(INDEX(Diccionario!$N:$N,MATCH(F1232,Diccionario!$C:$C,0)),"")</f>
        <v>Mensual</v>
      </c>
    </row>
    <row r="1233" spans="1:14" ht="14.25" customHeight="1" x14ac:dyDescent="0.3">
      <c r="A1233" t="s">
        <v>554</v>
      </c>
      <c r="B1233" t="s">
        <v>522</v>
      </c>
      <c r="C1233" t="s">
        <v>523</v>
      </c>
      <c r="E1233" t="s">
        <v>524</v>
      </c>
      <c r="F1233" t="s">
        <v>326</v>
      </c>
      <c r="H1233" t="s">
        <v>600</v>
      </c>
      <c r="I1233">
        <v>22</v>
      </c>
      <c r="J1233" t="s">
        <v>65</v>
      </c>
      <c r="L1233" t="str">
        <f>IFERROR(INDEX(Diccionario!$B:$B,MATCH(F1233,Diccionario!$C:$C,0)),"")</f>
        <v>Contabilidad</v>
      </c>
      <c r="M1233" t="str">
        <f>IFERROR(INDEX(Diccionario!$H:$H,MATCH(F1233,Diccionario!$C:$C,0)),"")</f>
        <v>Contabilidad</v>
      </c>
      <c r="N1233" t="str">
        <f>IFERROR(INDEX(Diccionario!$N:$N,MATCH(F1233,Diccionario!$C:$C,0)),"")</f>
        <v>Mensual</v>
      </c>
    </row>
    <row r="1234" spans="1:14" ht="14.25" customHeight="1" x14ac:dyDescent="0.3">
      <c r="A1234" t="s">
        <v>554</v>
      </c>
      <c r="B1234" t="s">
        <v>522</v>
      </c>
      <c r="C1234" t="s">
        <v>523</v>
      </c>
      <c r="E1234" t="s">
        <v>524</v>
      </c>
      <c r="F1234" t="s">
        <v>326</v>
      </c>
      <c r="H1234" t="s">
        <v>190</v>
      </c>
      <c r="I1234">
        <v>20.12</v>
      </c>
      <c r="J1234" t="s">
        <v>65</v>
      </c>
      <c r="L1234" t="str">
        <f>IFERROR(INDEX(Diccionario!$B:$B,MATCH(F1234,Diccionario!$C:$C,0)),"")</f>
        <v>Contabilidad</v>
      </c>
      <c r="M1234" t="str">
        <f>IFERROR(INDEX(Diccionario!$H:$H,MATCH(F1234,Diccionario!$C:$C,0)),"")</f>
        <v>Contabilidad</v>
      </c>
      <c r="N1234" t="str">
        <f>IFERROR(INDEX(Diccionario!$N:$N,MATCH(F1234,Diccionario!$C:$C,0)),"")</f>
        <v>Mensual</v>
      </c>
    </row>
    <row r="1235" spans="1:14" ht="14.25" customHeight="1" x14ac:dyDescent="0.3">
      <c r="A1235" t="s">
        <v>554</v>
      </c>
      <c r="B1235" t="s">
        <v>522</v>
      </c>
      <c r="C1235" t="s">
        <v>523</v>
      </c>
      <c r="E1235" t="s">
        <v>524</v>
      </c>
      <c r="F1235" t="s">
        <v>326</v>
      </c>
      <c r="H1235" t="s">
        <v>601</v>
      </c>
      <c r="I1235">
        <v>18.829999999999998</v>
      </c>
      <c r="J1235" t="s">
        <v>65</v>
      </c>
      <c r="L1235" t="str">
        <f>IFERROR(INDEX(Diccionario!$B:$B,MATCH(F1235,Diccionario!$C:$C,0)),"")</f>
        <v>Contabilidad</v>
      </c>
      <c r="M1235" t="str">
        <f>IFERROR(INDEX(Diccionario!$H:$H,MATCH(F1235,Diccionario!$C:$C,0)),"")</f>
        <v>Contabilidad</v>
      </c>
      <c r="N1235" t="str">
        <f>IFERROR(INDEX(Diccionario!$N:$N,MATCH(F1235,Diccionario!$C:$C,0)),"")</f>
        <v>Mensual</v>
      </c>
    </row>
    <row r="1236" spans="1:14" ht="14.25" customHeight="1" x14ac:dyDescent="0.3">
      <c r="A1236" t="s">
        <v>537</v>
      </c>
      <c r="B1236" t="s">
        <v>522</v>
      </c>
      <c r="C1236" t="s">
        <v>523</v>
      </c>
      <c r="E1236" t="s">
        <v>524</v>
      </c>
      <c r="F1236" t="s">
        <v>155</v>
      </c>
      <c r="H1236" t="s">
        <v>602</v>
      </c>
      <c r="I1236">
        <v>233</v>
      </c>
      <c r="J1236" t="s">
        <v>158</v>
      </c>
      <c r="L1236" t="str">
        <f>IFERROR(INDEX(Diccionario!$B:$B,MATCH(F1236,Diccionario!$C:$C,0)),"")</f>
        <v>Marketing</v>
      </c>
      <c r="M1236" t="str">
        <f>IFERROR(INDEX(Diccionario!$H:$H,MATCH(F1236,Diccionario!$C:$C,0)),"")</f>
        <v>Marketing</v>
      </c>
      <c r="N1236" t="str">
        <f>IFERROR(INDEX(Diccionario!$N:$N,MATCH(F1236,Diccionario!$C:$C,0)),"")</f>
        <v>Mensual</v>
      </c>
    </row>
    <row r="1237" spans="1:14" ht="14.25" customHeight="1" x14ac:dyDescent="0.3">
      <c r="A1237" t="s">
        <v>538</v>
      </c>
      <c r="B1237" t="s">
        <v>522</v>
      </c>
      <c r="C1237" t="s">
        <v>523</v>
      </c>
      <c r="E1237" t="s">
        <v>524</v>
      </c>
      <c r="F1237" t="s">
        <v>155</v>
      </c>
      <c r="H1237" t="s">
        <v>602</v>
      </c>
      <c r="I1237">
        <v>191</v>
      </c>
      <c r="J1237" t="s">
        <v>158</v>
      </c>
      <c r="L1237" t="str">
        <f>IFERROR(INDEX(Diccionario!$B:$B,MATCH(F1237,Diccionario!$C:$C,0)),"")</f>
        <v>Marketing</v>
      </c>
      <c r="M1237" t="str">
        <f>IFERROR(INDEX(Diccionario!$H:$H,MATCH(F1237,Diccionario!$C:$C,0)),"")</f>
        <v>Marketing</v>
      </c>
      <c r="N1237" t="str">
        <f>IFERROR(INDEX(Diccionario!$N:$N,MATCH(F1237,Diccionario!$C:$C,0)),"")</f>
        <v>Mensual</v>
      </c>
    </row>
    <row r="1238" spans="1:14" ht="14.25" customHeight="1" x14ac:dyDescent="0.3">
      <c r="A1238" t="s">
        <v>539</v>
      </c>
      <c r="B1238" t="s">
        <v>522</v>
      </c>
      <c r="C1238" t="s">
        <v>523</v>
      </c>
      <c r="E1238" t="s">
        <v>524</v>
      </c>
      <c r="F1238" t="s">
        <v>155</v>
      </c>
      <c r="H1238" t="s">
        <v>602</v>
      </c>
      <c r="I1238">
        <v>117</v>
      </c>
      <c r="J1238" t="s">
        <v>158</v>
      </c>
      <c r="L1238" t="str">
        <f>IFERROR(INDEX(Diccionario!$B:$B,MATCH(F1238,Diccionario!$C:$C,0)),"")</f>
        <v>Marketing</v>
      </c>
      <c r="M1238" t="str">
        <f>IFERROR(INDEX(Diccionario!$H:$H,MATCH(F1238,Diccionario!$C:$C,0)),"")</f>
        <v>Marketing</v>
      </c>
      <c r="N1238" t="str">
        <f>IFERROR(INDEX(Diccionario!$N:$N,MATCH(F1238,Diccionario!$C:$C,0)),"")</f>
        <v>Mensual</v>
      </c>
    </row>
    <row r="1239" spans="1:14" ht="14.25" customHeight="1" x14ac:dyDescent="0.3">
      <c r="A1239" t="s">
        <v>540</v>
      </c>
      <c r="B1239" t="s">
        <v>522</v>
      </c>
      <c r="C1239" t="s">
        <v>523</v>
      </c>
      <c r="E1239" t="s">
        <v>524</v>
      </c>
      <c r="F1239" t="s">
        <v>155</v>
      </c>
      <c r="H1239" t="s">
        <v>602</v>
      </c>
      <c r="I1239">
        <v>119</v>
      </c>
      <c r="J1239" t="s">
        <v>158</v>
      </c>
      <c r="L1239" t="str">
        <f>IFERROR(INDEX(Diccionario!$B:$B,MATCH(F1239,Diccionario!$C:$C,0)),"")</f>
        <v>Marketing</v>
      </c>
      <c r="M1239" t="str">
        <f>IFERROR(INDEX(Diccionario!$H:$H,MATCH(F1239,Diccionario!$C:$C,0)),"")</f>
        <v>Marketing</v>
      </c>
      <c r="N1239" t="str">
        <f>IFERROR(INDEX(Diccionario!$N:$N,MATCH(F1239,Diccionario!$C:$C,0)),"")</f>
        <v>Mensual</v>
      </c>
    </row>
    <row r="1240" spans="1:14" ht="14.25" customHeight="1" x14ac:dyDescent="0.3">
      <c r="A1240" t="s">
        <v>541</v>
      </c>
      <c r="B1240" t="s">
        <v>522</v>
      </c>
      <c r="C1240" t="s">
        <v>523</v>
      </c>
      <c r="E1240" t="s">
        <v>524</v>
      </c>
      <c r="F1240" t="s">
        <v>155</v>
      </c>
      <c r="H1240" t="s">
        <v>602</v>
      </c>
      <c r="I1240">
        <v>172</v>
      </c>
      <c r="J1240" t="s">
        <v>158</v>
      </c>
      <c r="L1240" t="str">
        <f>IFERROR(INDEX(Diccionario!$B:$B,MATCH(F1240,Diccionario!$C:$C,0)),"")</f>
        <v>Marketing</v>
      </c>
      <c r="M1240" t="str">
        <f>IFERROR(INDEX(Diccionario!$H:$H,MATCH(F1240,Diccionario!$C:$C,0)),"")</f>
        <v>Marketing</v>
      </c>
      <c r="N1240" t="str">
        <f>IFERROR(INDEX(Diccionario!$N:$N,MATCH(F1240,Diccionario!$C:$C,0)),"")</f>
        <v>Mensual</v>
      </c>
    </row>
    <row r="1241" spans="1:14" ht="14.25" customHeight="1" x14ac:dyDescent="0.3">
      <c r="A1241" t="s">
        <v>542</v>
      </c>
      <c r="B1241" t="s">
        <v>522</v>
      </c>
      <c r="C1241" t="s">
        <v>523</v>
      </c>
      <c r="E1241" t="s">
        <v>524</v>
      </c>
      <c r="F1241" t="s">
        <v>155</v>
      </c>
      <c r="H1241" t="s">
        <v>602</v>
      </c>
      <c r="I1241">
        <v>238</v>
      </c>
      <c r="J1241" t="s">
        <v>158</v>
      </c>
      <c r="L1241" t="str">
        <f>IFERROR(INDEX(Diccionario!$B:$B,MATCH(F1241,Diccionario!$C:$C,0)),"")</f>
        <v>Marketing</v>
      </c>
      <c r="M1241" t="str">
        <f>IFERROR(INDEX(Diccionario!$H:$H,MATCH(F1241,Diccionario!$C:$C,0)),"")</f>
        <v>Marketing</v>
      </c>
      <c r="N1241" t="str">
        <f>IFERROR(INDEX(Diccionario!$N:$N,MATCH(F1241,Diccionario!$C:$C,0)),"")</f>
        <v>Mensual</v>
      </c>
    </row>
    <row r="1242" spans="1:14" ht="14.25" customHeight="1" x14ac:dyDescent="0.3">
      <c r="A1242" t="s">
        <v>543</v>
      </c>
      <c r="B1242" t="s">
        <v>522</v>
      </c>
      <c r="C1242" t="s">
        <v>523</v>
      </c>
      <c r="E1242" t="s">
        <v>524</v>
      </c>
      <c r="F1242" t="s">
        <v>155</v>
      </c>
      <c r="H1242" t="s">
        <v>602</v>
      </c>
      <c r="I1242">
        <v>230</v>
      </c>
      <c r="J1242" t="s">
        <v>158</v>
      </c>
      <c r="L1242" t="str">
        <f>IFERROR(INDEX(Diccionario!$B:$B,MATCH(F1242,Diccionario!$C:$C,0)),"")</f>
        <v>Marketing</v>
      </c>
      <c r="M1242" t="str">
        <f>IFERROR(INDEX(Diccionario!$H:$H,MATCH(F1242,Diccionario!$C:$C,0)),"")</f>
        <v>Marketing</v>
      </c>
      <c r="N1242" t="str">
        <f>IFERROR(INDEX(Diccionario!$N:$N,MATCH(F1242,Diccionario!$C:$C,0)),"")</f>
        <v>Mensual</v>
      </c>
    </row>
    <row r="1243" spans="1:14" ht="14.25" customHeight="1" x14ac:dyDescent="0.3">
      <c r="A1243" t="s">
        <v>544</v>
      </c>
      <c r="B1243" t="s">
        <v>522</v>
      </c>
      <c r="C1243" t="s">
        <v>523</v>
      </c>
      <c r="E1243" t="s">
        <v>524</v>
      </c>
      <c r="F1243" t="s">
        <v>155</v>
      </c>
      <c r="H1243" t="s">
        <v>602</v>
      </c>
      <c r="I1243">
        <v>413</v>
      </c>
      <c r="J1243" t="s">
        <v>158</v>
      </c>
      <c r="L1243" t="str">
        <f>IFERROR(INDEX(Diccionario!$B:$B,MATCH(F1243,Diccionario!$C:$C,0)),"")</f>
        <v>Marketing</v>
      </c>
      <c r="M1243" t="str">
        <f>IFERROR(INDEX(Diccionario!$H:$H,MATCH(F1243,Diccionario!$C:$C,0)),"")</f>
        <v>Marketing</v>
      </c>
      <c r="N1243" t="str">
        <f>IFERROR(INDEX(Diccionario!$N:$N,MATCH(F1243,Diccionario!$C:$C,0)),"")</f>
        <v>Mensual</v>
      </c>
    </row>
    <row r="1244" spans="1:14" ht="14.25" customHeight="1" x14ac:dyDescent="0.3">
      <c r="A1244" t="s">
        <v>545</v>
      </c>
      <c r="B1244" t="s">
        <v>522</v>
      </c>
      <c r="C1244" t="s">
        <v>523</v>
      </c>
      <c r="E1244" t="s">
        <v>524</v>
      </c>
      <c r="F1244" t="s">
        <v>155</v>
      </c>
      <c r="H1244" t="s">
        <v>602</v>
      </c>
      <c r="I1244">
        <v>777</v>
      </c>
      <c r="J1244" t="s">
        <v>158</v>
      </c>
      <c r="L1244" t="str">
        <f>IFERROR(INDEX(Diccionario!$B:$B,MATCH(F1244,Diccionario!$C:$C,0)),"")</f>
        <v>Marketing</v>
      </c>
      <c r="M1244" t="str">
        <f>IFERROR(INDEX(Diccionario!$H:$H,MATCH(F1244,Diccionario!$C:$C,0)),"")</f>
        <v>Marketing</v>
      </c>
      <c r="N1244" t="str">
        <f>IFERROR(INDEX(Diccionario!$N:$N,MATCH(F1244,Diccionario!$C:$C,0)),"")</f>
        <v>Mensual</v>
      </c>
    </row>
    <row r="1245" spans="1:14" ht="14.25" customHeight="1" x14ac:dyDescent="0.3">
      <c r="A1245" t="s">
        <v>546</v>
      </c>
      <c r="B1245" t="s">
        <v>522</v>
      </c>
      <c r="C1245" t="s">
        <v>523</v>
      </c>
      <c r="E1245" t="s">
        <v>524</v>
      </c>
      <c r="F1245" t="s">
        <v>155</v>
      </c>
      <c r="H1245" t="s">
        <v>602</v>
      </c>
      <c r="I1245">
        <v>124</v>
      </c>
      <c r="J1245" t="s">
        <v>158</v>
      </c>
      <c r="L1245" t="str">
        <f>IFERROR(INDEX(Diccionario!$B:$B,MATCH(F1245,Diccionario!$C:$C,0)),"")</f>
        <v>Marketing</v>
      </c>
      <c r="M1245" t="str">
        <f>IFERROR(INDEX(Diccionario!$H:$H,MATCH(F1245,Diccionario!$C:$C,0)),"")</f>
        <v>Marketing</v>
      </c>
      <c r="N1245" t="str">
        <f>IFERROR(INDEX(Diccionario!$N:$N,MATCH(F1245,Diccionario!$C:$C,0)),"")</f>
        <v>Mensual</v>
      </c>
    </row>
    <row r="1246" spans="1:14" ht="14.25" customHeight="1" x14ac:dyDescent="0.3">
      <c r="A1246" t="s">
        <v>547</v>
      </c>
      <c r="B1246" t="s">
        <v>522</v>
      </c>
      <c r="C1246" t="s">
        <v>523</v>
      </c>
      <c r="E1246" t="s">
        <v>524</v>
      </c>
      <c r="F1246" t="s">
        <v>155</v>
      </c>
      <c r="H1246" t="s">
        <v>602</v>
      </c>
      <c r="I1246">
        <v>114</v>
      </c>
      <c r="J1246" t="s">
        <v>158</v>
      </c>
      <c r="L1246" t="str">
        <f>IFERROR(INDEX(Diccionario!$B:$B,MATCH(F1246,Diccionario!$C:$C,0)),"")</f>
        <v>Marketing</v>
      </c>
      <c r="M1246" t="str">
        <f>IFERROR(INDEX(Diccionario!$H:$H,MATCH(F1246,Diccionario!$C:$C,0)),"")</f>
        <v>Marketing</v>
      </c>
      <c r="N1246" t="str">
        <f>IFERROR(INDEX(Diccionario!$N:$N,MATCH(F1246,Diccionario!$C:$C,0)),"")</f>
        <v>Mensual</v>
      </c>
    </row>
    <row r="1247" spans="1:14" ht="14.25" customHeight="1" x14ac:dyDescent="0.3">
      <c r="A1247" t="s">
        <v>548</v>
      </c>
      <c r="B1247" t="s">
        <v>522</v>
      </c>
      <c r="C1247" t="s">
        <v>523</v>
      </c>
      <c r="E1247" t="s">
        <v>524</v>
      </c>
      <c r="F1247" t="s">
        <v>155</v>
      </c>
      <c r="H1247" t="s">
        <v>602</v>
      </c>
      <c r="I1247">
        <v>514</v>
      </c>
      <c r="J1247" t="s">
        <v>158</v>
      </c>
      <c r="L1247" t="str">
        <f>IFERROR(INDEX(Diccionario!$B:$B,MATCH(F1247,Diccionario!$C:$C,0)),"")</f>
        <v>Marketing</v>
      </c>
      <c r="M1247" t="str">
        <f>IFERROR(INDEX(Diccionario!$H:$H,MATCH(F1247,Diccionario!$C:$C,0)),"")</f>
        <v>Marketing</v>
      </c>
      <c r="N1247" t="str">
        <f>IFERROR(INDEX(Diccionario!$N:$N,MATCH(F1247,Diccionario!$C:$C,0)),"")</f>
        <v>Mensual</v>
      </c>
    </row>
    <row r="1248" spans="1:14" ht="14.25" customHeight="1" x14ac:dyDescent="0.3">
      <c r="A1248" t="s">
        <v>549</v>
      </c>
      <c r="B1248" t="s">
        <v>522</v>
      </c>
      <c r="C1248" t="s">
        <v>523</v>
      </c>
      <c r="E1248" t="s">
        <v>524</v>
      </c>
      <c r="F1248" t="s">
        <v>155</v>
      </c>
      <c r="H1248" t="s">
        <v>602</v>
      </c>
      <c r="I1248">
        <v>237</v>
      </c>
      <c r="J1248" t="s">
        <v>158</v>
      </c>
      <c r="L1248" t="str">
        <f>IFERROR(INDEX(Diccionario!$B:$B,MATCH(F1248,Diccionario!$C:$C,0)),"")</f>
        <v>Marketing</v>
      </c>
      <c r="M1248" t="str">
        <f>IFERROR(INDEX(Diccionario!$H:$H,MATCH(F1248,Diccionario!$C:$C,0)),"")</f>
        <v>Marketing</v>
      </c>
      <c r="N1248" t="str">
        <f>IFERROR(INDEX(Diccionario!$N:$N,MATCH(F1248,Diccionario!$C:$C,0)),"")</f>
        <v>Mensual</v>
      </c>
    </row>
    <row r="1249" spans="1:14" ht="14.25" customHeight="1" x14ac:dyDescent="0.3">
      <c r="A1249" t="s">
        <v>551</v>
      </c>
      <c r="B1249" t="s">
        <v>522</v>
      </c>
      <c r="C1249" t="s">
        <v>523</v>
      </c>
      <c r="E1249" t="s">
        <v>524</v>
      </c>
      <c r="F1249" t="s">
        <v>155</v>
      </c>
      <c r="H1249" t="s">
        <v>602</v>
      </c>
      <c r="I1249">
        <v>359</v>
      </c>
      <c r="J1249" t="s">
        <v>158</v>
      </c>
      <c r="L1249" t="str">
        <f>IFERROR(INDEX(Diccionario!$B:$B,MATCH(F1249,Diccionario!$C:$C,0)),"")</f>
        <v>Marketing</v>
      </c>
      <c r="M1249" t="str">
        <f>IFERROR(INDEX(Diccionario!$H:$H,MATCH(F1249,Diccionario!$C:$C,0)),"")</f>
        <v>Marketing</v>
      </c>
      <c r="N1249" t="str">
        <f>IFERROR(INDEX(Diccionario!$N:$N,MATCH(F1249,Diccionario!$C:$C,0)),"")</f>
        <v>Mensual</v>
      </c>
    </row>
    <row r="1250" spans="1:14" ht="14.25" customHeight="1" x14ac:dyDescent="0.3">
      <c r="A1250" t="s">
        <v>552</v>
      </c>
      <c r="B1250" t="s">
        <v>522</v>
      </c>
      <c r="C1250" t="s">
        <v>523</v>
      </c>
      <c r="E1250" t="s">
        <v>524</v>
      </c>
      <c r="F1250" t="s">
        <v>155</v>
      </c>
      <c r="H1250" t="s">
        <v>602</v>
      </c>
      <c r="I1250">
        <v>294</v>
      </c>
      <c r="J1250" t="s">
        <v>158</v>
      </c>
      <c r="L1250" t="str">
        <f>IFERROR(INDEX(Diccionario!$B:$B,MATCH(F1250,Diccionario!$C:$C,0)),"")</f>
        <v>Marketing</v>
      </c>
      <c r="M1250" t="str">
        <f>IFERROR(INDEX(Diccionario!$H:$H,MATCH(F1250,Diccionario!$C:$C,0)),"")</f>
        <v>Marketing</v>
      </c>
      <c r="N1250" t="str">
        <f>IFERROR(INDEX(Diccionario!$N:$N,MATCH(F1250,Diccionario!$C:$C,0)),"")</f>
        <v>Mensual</v>
      </c>
    </row>
    <row r="1251" spans="1:14" ht="14.25" customHeight="1" x14ac:dyDescent="0.3">
      <c r="A1251" t="s">
        <v>553</v>
      </c>
      <c r="B1251" t="s">
        <v>522</v>
      </c>
      <c r="C1251" t="s">
        <v>523</v>
      </c>
      <c r="E1251" t="s">
        <v>524</v>
      </c>
      <c r="F1251" t="s">
        <v>155</v>
      </c>
      <c r="H1251" t="s">
        <v>602</v>
      </c>
      <c r="I1251">
        <v>156</v>
      </c>
      <c r="J1251" t="s">
        <v>158</v>
      </c>
      <c r="L1251" t="str">
        <f>IFERROR(INDEX(Diccionario!$B:$B,MATCH(F1251,Diccionario!$C:$C,0)),"")</f>
        <v>Marketing</v>
      </c>
      <c r="M1251" t="str">
        <f>IFERROR(INDEX(Diccionario!$H:$H,MATCH(F1251,Diccionario!$C:$C,0)),"")</f>
        <v>Marketing</v>
      </c>
      <c r="N1251" t="str">
        <f>IFERROR(INDEX(Diccionario!$N:$N,MATCH(F1251,Diccionario!$C:$C,0)),"")</f>
        <v>Mensual</v>
      </c>
    </row>
    <row r="1252" spans="1:14" ht="14.25" customHeight="1" x14ac:dyDescent="0.3">
      <c r="A1252" t="s">
        <v>554</v>
      </c>
      <c r="B1252" t="s">
        <v>522</v>
      </c>
      <c r="C1252" t="s">
        <v>523</v>
      </c>
      <c r="E1252" t="s">
        <v>524</v>
      </c>
      <c r="F1252" t="s">
        <v>155</v>
      </c>
      <c r="H1252" t="s">
        <v>602</v>
      </c>
      <c r="I1252">
        <v>211</v>
      </c>
      <c r="J1252" t="s">
        <v>158</v>
      </c>
      <c r="L1252" t="str">
        <f>IFERROR(INDEX(Diccionario!$B:$B,MATCH(F1252,Diccionario!$C:$C,0)),"")</f>
        <v>Marketing</v>
      </c>
      <c r="M1252" t="str">
        <f>IFERROR(INDEX(Diccionario!$H:$H,MATCH(F1252,Diccionario!$C:$C,0)),"")</f>
        <v>Marketing</v>
      </c>
      <c r="N1252" t="str">
        <f>IFERROR(INDEX(Diccionario!$N:$N,MATCH(F1252,Diccionario!$C:$C,0)),"")</f>
        <v>Mensual</v>
      </c>
    </row>
    <row r="1253" spans="1:14" ht="14.25" customHeight="1" x14ac:dyDescent="0.3">
      <c r="A1253" t="s">
        <v>603</v>
      </c>
      <c r="B1253" t="s">
        <v>522</v>
      </c>
      <c r="C1253" t="s">
        <v>523</v>
      </c>
      <c r="E1253" t="s">
        <v>524</v>
      </c>
      <c r="F1253" t="s">
        <v>155</v>
      </c>
      <c r="H1253" t="s">
        <v>602</v>
      </c>
      <c r="I1253">
        <v>20</v>
      </c>
      <c r="J1253" t="s">
        <v>158</v>
      </c>
      <c r="L1253" t="str">
        <f>IFERROR(INDEX(Diccionario!$B:$B,MATCH(F1253,Diccionario!$C:$C,0)),"")</f>
        <v>Marketing</v>
      </c>
      <c r="M1253" t="str">
        <f>IFERROR(INDEX(Diccionario!$H:$H,MATCH(F1253,Diccionario!$C:$C,0)),"")</f>
        <v>Marketing</v>
      </c>
      <c r="N1253" t="str">
        <f>IFERROR(INDEX(Diccionario!$N:$N,MATCH(F1253,Diccionario!$C:$C,0)),"")</f>
        <v>Mensual</v>
      </c>
    </row>
    <row r="1254" spans="1:14" ht="14.25" customHeight="1" x14ac:dyDescent="0.3">
      <c r="A1254" t="s">
        <v>539</v>
      </c>
      <c r="B1254" t="s">
        <v>522</v>
      </c>
      <c r="C1254" t="s">
        <v>523</v>
      </c>
      <c r="D1254" t="s">
        <v>451</v>
      </c>
      <c r="E1254" t="s">
        <v>524</v>
      </c>
      <c r="F1254" t="s">
        <v>151</v>
      </c>
      <c r="H1254" t="s">
        <v>602</v>
      </c>
      <c r="I1254">
        <v>149675351</v>
      </c>
      <c r="J1254" t="s">
        <v>451</v>
      </c>
      <c r="K1254" t="s">
        <v>604</v>
      </c>
      <c r="L1254" t="str">
        <f>IFERROR(INDEX(Diccionario!$B:$B,MATCH(F1254,Diccionario!$C:$C,0)),"")</f>
        <v>Marketing</v>
      </c>
      <c r="M1254" t="str">
        <f>IFERROR(INDEX(Diccionario!$H:$H,MATCH(F1254,Diccionario!$C:$C,0)),"")</f>
        <v>Marketing</v>
      </c>
      <c r="N1254" t="str">
        <f>IFERROR(INDEX(Diccionario!$N:$N,MATCH(F1254,Diccionario!$C:$C,0)),"")</f>
        <v>Mensual</v>
      </c>
    </row>
    <row r="1255" spans="1:14" ht="14.25" customHeight="1" x14ac:dyDescent="0.3">
      <c r="A1255" t="s">
        <v>542</v>
      </c>
      <c r="B1255" t="s">
        <v>522</v>
      </c>
      <c r="C1255" t="s">
        <v>523</v>
      </c>
      <c r="D1255" t="s">
        <v>451</v>
      </c>
      <c r="E1255" t="s">
        <v>524</v>
      </c>
      <c r="F1255" t="s">
        <v>151</v>
      </c>
      <c r="H1255" t="s">
        <v>602</v>
      </c>
      <c r="I1255">
        <v>186879929</v>
      </c>
      <c r="J1255" t="s">
        <v>451</v>
      </c>
      <c r="K1255" t="s">
        <v>605</v>
      </c>
      <c r="L1255" t="str">
        <f>IFERROR(INDEX(Diccionario!$B:$B,MATCH(F1255,Diccionario!$C:$C,0)),"")</f>
        <v>Marketing</v>
      </c>
      <c r="M1255" t="str">
        <f>IFERROR(INDEX(Diccionario!$H:$H,MATCH(F1255,Diccionario!$C:$C,0)),"")</f>
        <v>Marketing</v>
      </c>
      <c r="N1255" t="str">
        <f>IFERROR(INDEX(Diccionario!$N:$N,MATCH(F1255,Diccionario!$C:$C,0)),"")</f>
        <v>Mensual</v>
      </c>
    </row>
    <row r="1256" spans="1:14" ht="14.25" customHeight="1" x14ac:dyDescent="0.3">
      <c r="A1256" t="s">
        <v>545</v>
      </c>
      <c r="B1256" t="s">
        <v>522</v>
      </c>
      <c r="C1256" t="s">
        <v>523</v>
      </c>
      <c r="D1256" t="s">
        <v>451</v>
      </c>
      <c r="E1256" t="s">
        <v>524</v>
      </c>
      <c r="F1256" t="s">
        <v>151</v>
      </c>
      <c r="H1256" t="s">
        <v>602</v>
      </c>
      <c r="I1256">
        <v>195425338</v>
      </c>
      <c r="J1256" t="s">
        <v>451</v>
      </c>
      <c r="K1256" t="s">
        <v>606</v>
      </c>
      <c r="L1256" t="str">
        <f>IFERROR(INDEX(Diccionario!$B:$B,MATCH(F1256,Diccionario!$C:$C,0)),"")</f>
        <v>Marketing</v>
      </c>
      <c r="M1256" t="str">
        <f>IFERROR(INDEX(Diccionario!$H:$H,MATCH(F1256,Diccionario!$C:$C,0)),"")</f>
        <v>Marketing</v>
      </c>
      <c r="N1256" t="str">
        <f>IFERROR(INDEX(Diccionario!$N:$N,MATCH(F1256,Diccionario!$C:$C,0)),"")</f>
        <v>Mensual</v>
      </c>
    </row>
    <row r="1257" spans="1:14" ht="14.25" customHeight="1" x14ac:dyDescent="0.3">
      <c r="A1257" t="s">
        <v>548</v>
      </c>
      <c r="B1257" t="s">
        <v>522</v>
      </c>
      <c r="C1257" t="s">
        <v>523</v>
      </c>
      <c r="D1257" t="s">
        <v>451</v>
      </c>
      <c r="E1257" t="s">
        <v>524</v>
      </c>
      <c r="F1257" t="s">
        <v>151</v>
      </c>
      <c r="H1257" t="s">
        <v>602</v>
      </c>
      <c r="I1257">
        <v>78267175</v>
      </c>
      <c r="J1257" t="s">
        <v>451</v>
      </c>
      <c r="K1257" t="s">
        <v>607</v>
      </c>
      <c r="L1257" t="str">
        <f>IFERROR(INDEX(Diccionario!$B:$B,MATCH(F1257,Diccionario!$C:$C,0)),"")</f>
        <v>Marketing</v>
      </c>
      <c r="M1257" t="str">
        <f>IFERROR(INDEX(Diccionario!$H:$H,MATCH(F1257,Diccionario!$C:$C,0)),"")</f>
        <v>Marketing</v>
      </c>
      <c r="N1257" t="str">
        <f>IFERROR(INDEX(Diccionario!$N:$N,MATCH(F1257,Diccionario!$C:$C,0)),"")</f>
        <v>Mensual</v>
      </c>
    </row>
    <row r="1258" spans="1:14" ht="14.25" customHeight="1" x14ac:dyDescent="0.3">
      <c r="A1258" t="s">
        <v>552</v>
      </c>
      <c r="B1258" t="s">
        <v>522</v>
      </c>
      <c r="C1258" t="s">
        <v>523</v>
      </c>
      <c r="D1258" t="s">
        <v>451</v>
      </c>
      <c r="E1258" t="s">
        <v>524</v>
      </c>
      <c r="F1258" t="s">
        <v>151</v>
      </c>
      <c r="H1258" t="s">
        <v>602</v>
      </c>
      <c r="I1258">
        <v>80204146</v>
      </c>
      <c r="J1258" t="s">
        <v>451</v>
      </c>
      <c r="K1258" t="s">
        <v>608</v>
      </c>
      <c r="L1258" t="str">
        <f>IFERROR(INDEX(Diccionario!$B:$B,MATCH(F1258,Diccionario!$C:$C,0)),"")</f>
        <v>Marketing</v>
      </c>
      <c r="M1258" t="str">
        <f>IFERROR(INDEX(Diccionario!$H:$H,MATCH(F1258,Diccionario!$C:$C,0)),"")</f>
        <v>Marketing</v>
      </c>
      <c r="N1258" t="str">
        <f>IFERROR(INDEX(Diccionario!$N:$N,MATCH(F1258,Diccionario!$C:$C,0)),"")</f>
        <v>Mensual</v>
      </c>
    </row>
    <row r="1259" spans="1:14" ht="14.25" customHeight="1" x14ac:dyDescent="0.3">
      <c r="A1259" t="s">
        <v>603</v>
      </c>
      <c r="B1259" t="s">
        <v>522</v>
      </c>
      <c r="C1259" t="s">
        <v>523</v>
      </c>
      <c r="D1259" t="s">
        <v>451</v>
      </c>
      <c r="E1259" t="s">
        <v>524</v>
      </c>
      <c r="F1259" t="s">
        <v>151</v>
      </c>
      <c r="H1259" t="s">
        <v>602</v>
      </c>
      <c r="I1259">
        <v>62603918</v>
      </c>
      <c r="J1259" t="s">
        <v>451</v>
      </c>
      <c r="K1259" t="s">
        <v>609</v>
      </c>
      <c r="L1259" t="str">
        <f>IFERROR(INDEX(Diccionario!$B:$B,MATCH(F1259,Diccionario!$C:$C,0)),"")</f>
        <v>Marketing</v>
      </c>
      <c r="M1259" t="str">
        <f>IFERROR(INDEX(Diccionario!$H:$H,MATCH(F1259,Diccionario!$C:$C,0)),"")</f>
        <v>Marketing</v>
      </c>
      <c r="N1259" t="str">
        <f>IFERROR(INDEX(Diccionario!$N:$N,MATCH(F1259,Diccionario!$C:$C,0)),"")</f>
        <v>Mensual</v>
      </c>
    </row>
    <row r="1260" spans="1:14" ht="14.25" customHeight="1" x14ac:dyDescent="0.3">
      <c r="A1260" t="s">
        <v>539</v>
      </c>
      <c r="B1260" t="s">
        <v>522</v>
      </c>
      <c r="C1260" t="s">
        <v>523</v>
      </c>
      <c r="D1260" t="s">
        <v>451</v>
      </c>
      <c r="E1260" t="s">
        <v>524</v>
      </c>
      <c r="F1260" t="s">
        <v>162</v>
      </c>
      <c r="H1260" t="s">
        <v>602</v>
      </c>
      <c r="I1260">
        <v>53536660.289999999</v>
      </c>
      <c r="J1260" t="s">
        <v>451</v>
      </c>
      <c r="K1260" t="s">
        <v>610</v>
      </c>
      <c r="L1260" t="str">
        <f>IFERROR(INDEX(Diccionario!$B:$B,MATCH(F1260,Diccionario!$C:$C,0)),"")</f>
        <v>Marketing</v>
      </c>
      <c r="M1260" t="str">
        <f>IFERROR(INDEX(Diccionario!$H:$H,MATCH(F1260,Diccionario!$C:$C,0)),"")</f>
        <v>Comercial/Mktg</v>
      </c>
      <c r="N1260" t="str">
        <f>IFERROR(INDEX(Diccionario!$N:$N,MATCH(F1260,Diccionario!$C:$C,0)),"")</f>
        <v>Trimestral</v>
      </c>
    </row>
    <row r="1261" spans="1:14" ht="14.25" customHeight="1" x14ac:dyDescent="0.3">
      <c r="A1261" t="s">
        <v>542</v>
      </c>
      <c r="B1261" t="s">
        <v>522</v>
      </c>
      <c r="C1261" t="s">
        <v>523</v>
      </c>
      <c r="D1261" t="s">
        <v>451</v>
      </c>
      <c r="E1261" t="s">
        <v>524</v>
      </c>
      <c r="F1261" t="s">
        <v>162</v>
      </c>
      <c r="H1261" t="s">
        <v>602</v>
      </c>
      <c r="I1261">
        <v>50289915.590000004</v>
      </c>
      <c r="J1261" t="s">
        <v>451</v>
      </c>
      <c r="K1261" t="s">
        <v>611</v>
      </c>
      <c r="L1261" t="str">
        <f>IFERROR(INDEX(Diccionario!$B:$B,MATCH(F1261,Diccionario!$C:$C,0)),"")</f>
        <v>Marketing</v>
      </c>
      <c r="M1261" t="str">
        <f>IFERROR(INDEX(Diccionario!$H:$H,MATCH(F1261,Diccionario!$C:$C,0)),"")</f>
        <v>Comercial/Mktg</v>
      </c>
      <c r="N1261" t="str">
        <f>IFERROR(INDEX(Diccionario!$N:$N,MATCH(F1261,Diccionario!$C:$C,0)),"")</f>
        <v>Trimestral</v>
      </c>
    </row>
    <row r="1262" spans="1:14" ht="14.25" customHeight="1" x14ac:dyDescent="0.3">
      <c r="A1262" t="s">
        <v>545</v>
      </c>
      <c r="B1262" t="s">
        <v>522</v>
      </c>
      <c r="C1262" t="s">
        <v>523</v>
      </c>
      <c r="D1262" t="s">
        <v>451</v>
      </c>
      <c r="E1262" t="s">
        <v>524</v>
      </c>
      <c r="F1262" t="s">
        <v>162</v>
      </c>
      <c r="H1262" t="s">
        <v>602</v>
      </c>
      <c r="I1262">
        <v>34710372</v>
      </c>
      <c r="J1262" t="s">
        <v>451</v>
      </c>
      <c r="K1262" t="s">
        <v>612</v>
      </c>
      <c r="L1262" t="str">
        <f>IFERROR(INDEX(Diccionario!$B:$B,MATCH(F1262,Diccionario!$C:$C,0)),"")</f>
        <v>Marketing</v>
      </c>
      <c r="M1262" t="str">
        <f>IFERROR(INDEX(Diccionario!$H:$H,MATCH(F1262,Diccionario!$C:$C,0)),"")</f>
        <v>Comercial/Mktg</v>
      </c>
      <c r="N1262" t="str">
        <f>IFERROR(INDEX(Diccionario!$N:$N,MATCH(F1262,Diccionario!$C:$C,0)),"")</f>
        <v>Trimestral</v>
      </c>
    </row>
    <row r="1263" spans="1:14" ht="14.25" customHeight="1" x14ac:dyDescent="0.3">
      <c r="A1263" t="s">
        <v>548</v>
      </c>
      <c r="B1263" t="s">
        <v>522</v>
      </c>
      <c r="C1263" t="s">
        <v>523</v>
      </c>
      <c r="D1263" t="s">
        <v>451</v>
      </c>
      <c r="E1263" t="s">
        <v>524</v>
      </c>
      <c r="F1263" t="s">
        <v>162</v>
      </c>
      <c r="H1263" t="s">
        <v>602</v>
      </c>
      <c r="I1263">
        <v>42374152.850000001</v>
      </c>
      <c r="J1263" t="s">
        <v>451</v>
      </c>
      <c r="K1263" t="s">
        <v>613</v>
      </c>
      <c r="L1263" t="str">
        <f>IFERROR(INDEX(Diccionario!$B:$B,MATCH(F1263,Diccionario!$C:$C,0)),"")</f>
        <v>Marketing</v>
      </c>
      <c r="M1263" t="str">
        <f>IFERROR(INDEX(Diccionario!$H:$H,MATCH(F1263,Diccionario!$C:$C,0)),"")</f>
        <v>Comercial/Mktg</v>
      </c>
      <c r="N1263" t="str">
        <f>IFERROR(INDEX(Diccionario!$N:$N,MATCH(F1263,Diccionario!$C:$C,0)),"")</f>
        <v>Trimestral</v>
      </c>
    </row>
    <row r="1264" spans="1:14" ht="14.25" customHeight="1" x14ac:dyDescent="0.3">
      <c r="A1264" t="s">
        <v>552</v>
      </c>
      <c r="B1264" t="s">
        <v>522</v>
      </c>
      <c r="C1264" t="s">
        <v>523</v>
      </c>
      <c r="D1264" t="s">
        <v>451</v>
      </c>
      <c r="E1264" t="s">
        <v>524</v>
      </c>
      <c r="F1264" t="s">
        <v>162</v>
      </c>
      <c r="H1264" t="s">
        <v>602</v>
      </c>
      <c r="I1264">
        <v>117722903.69</v>
      </c>
      <c r="J1264" t="s">
        <v>451</v>
      </c>
      <c r="K1264" t="s">
        <v>614</v>
      </c>
      <c r="L1264" t="str">
        <f>IFERROR(INDEX(Diccionario!$B:$B,MATCH(F1264,Diccionario!$C:$C,0)),"")</f>
        <v>Marketing</v>
      </c>
      <c r="M1264" t="str">
        <f>IFERROR(INDEX(Diccionario!$H:$H,MATCH(F1264,Diccionario!$C:$C,0)),"")</f>
        <v>Comercial/Mktg</v>
      </c>
      <c r="N1264" t="str">
        <f>IFERROR(INDEX(Diccionario!$N:$N,MATCH(F1264,Diccionario!$C:$C,0)),"")</f>
        <v>Trimestral</v>
      </c>
    </row>
    <row r="1265" spans="1:14" ht="14.25" customHeight="1" x14ac:dyDescent="0.3">
      <c r="A1265" t="s">
        <v>603</v>
      </c>
      <c r="B1265" t="s">
        <v>522</v>
      </c>
      <c r="C1265" t="s">
        <v>523</v>
      </c>
      <c r="D1265" t="s">
        <v>451</v>
      </c>
      <c r="E1265" t="s">
        <v>524</v>
      </c>
      <c r="F1265" t="s">
        <v>162</v>
      </c>
      <c r="H1265" t="s">
        <v>602</v>
      </c>
      <c r="I1265">
        <v>45216106.909999996</v>
      </c>
      <c r="J1265" t="s">
        <v>451</v>
      </c>
      <c r="K1265" t="s">
        <v>615</v>
      </c>
      <c r="L1265" t="str">
        <f>IFERROR(INDEX(Diccionario!$B:$B,MATCH(F1265,Diccionario!$C:$C,0)),"")</f>
        <v>Marketing</v>
      </c>
      <c r="M1265" t="str">
        <f>IFERROR(INDEX(Diccionario!$H:$H,MATCH(F1265,Diccionario!$C:$C,0)),"")</f>
        <v>Comercial/Mktg</v>
      </c>
      <c r="N1265" t="str">
        <f>IFERROR(INDEX(Diccionario!$N:$N,MATCH(F1265,Diccionario!$C:$C,0)),"")</f>
        <v>Trimestral</v>
      </c>
    </row>
    <row r="1266" spans="1:14" ht="14.25" customHeight="1" x14ac:dyDescent="0.3">
      <c r="A1266" t="s">
        <v>539</v>
      </c>
      <c r="B1266" t="s">
        <v>522</v>
      </c>
      <c r="C1266" t="s">
        <v>523</v>
      </c>
      <c r="D1266" t="s">
        <v>451</v>
      </c>
      <c r="E1266" t="s">
        <v>524</v>
      </c>
      <c r="F1266" t="s">
        <v>169</v>
      </c>
      <c r="H1266" t="s">
        <v>602</v>
      </c>
      <c r="I1266">
        <v>294011510</v>
      </c>
      <c r="J1266" t="s">
        <v>451</v>
      </c>
      <c r="K1266" t="s">
        <v>616</v>
      </c>
      <c r="L1266" t="str">
        <f>IFERROR(INDEX(Diccionario!$B:$B,MATCH(F1266,Diccionario!$C:$C,0)),"")</f>
        <v>Marketing</v>
      </c>
      <c r="M1266" t="str">
        <f>IFERROR(INDEX(Diccionario!$H:$H,MATCH(F1266,Diccionario!$C:$C,0)),"")</f>
        <v>Comercial/Mktg</v>
      </c>
      <c r="N1266" t="str">
        <f>IFERROR(INDEX(Diccionario!$N:$N,MATCH(F1266,Diccionario!$C:$C,0)),"")</f>
        <v>Trimestral</v>
      </c>
    </row>
    <row r="1267" spans="1:14" ht="14.25" customHeight="1" x14ac:dyDescent="0.3">
      <c r="A1267" t="s">
        <v>542</v>
      </c>
      <c r="B1267" t="s">
        <v>522</v>
      </c>
      <c r="C1267" t="s">
        <v>523</v>
      </c>
      <c r="D1267" t="s">
        <v>451</v>
      </c>
      <c r="E1267" t="s">
        <v>524</v>
      </c>
      <c r="F1267" t="s">
        <v>169</v>
      </c>
      <c r="H1267" t="s">
        <v>602</v>
      </c>
      <c r="I1267">
        <v>476285903</v>
      </c>
      <c r="J1267" t="s">
        <v>451</v>
      </c>
      <c r="K1267" t="s">
        <v>617</v>
      </c>
      <c r="L1267" t="str">
        <f>IFERROR(INDEX(Diccionario!$B:$B,MATCH(F1267,Diccionario!$C:$C,0)),"")</f>
        <v>Marketing</v>
      </c>
      <c r="M1267" t="str">
        <f>IFERROR(INDEX(Diccionario!$H:$H,MATCH(F1267,Diccionario!$C:$C,0)),"")</f>
        <v>Comercial/Mktg</v>
      </c>
      <c r="N1267" t="str">
        <f>IFERROR(INDEX(Diccionario!$N:$N,MATCH(F1267,Diccionario!$C:$C,0)),"")</f>
        <v>Trimestral</v>
      </c>
    </row>
    <row r="1268" spans="1:14" ht="14.25" customHeight="1" x14ac:dyDescent="0.3">
      <c r="A1268" t="s">
        <v>545</v>
      </c>
      <c r="B1268" t="s">
        <v>522</v>
      </c>
      <c r="C1268" t="s">
        <v>523</v>
      </c>
      <c r="D1268" t="s">
        <v>451</v>
      </c>
      <c r="E1268" t="s">
        <v>524</v>
      </c>
      <c r="F1268" t="s">
        <v>169</v>
      </c>
      <c r="H1268" t="s">
        <v>602</v>
      </c>
      <c r="I1268">
        <v>408296920</v>
      </c>
      <c r="J1268" t="s">
        <v>451</v>
      </c>
      <c r="K1268" t="s">
        <v>618</v>
      </c>
      <c r="L1268" t="str">
        <f>IFERROR(INDEX(Diccionario!$B:$B,MATCH(F1268,Diccionario!$C:$C,0)),"")</f>
        <v>Marketing</v>
      </c>
      <c r="M1268" t="str">
        <f>IFERROR(INDEX(Diccionario!$H:$H,MATCH(F1268,Diccionario!$C:$C,0)),"")</f>
        <v>Comercial/Mktg</v>
      </c>
      <c r="N1268" t="str">
        <f>IFERROR(INDEX(Diccionario!$N:$N,MATCH(F1268,Diccionario!$C:$C,0)),"")</f>
        <v>Trimestral</v>
      </c>
    </row>
    <row r="1269" spans="1:14" ht="14.25" customHeight="1" x14ac:dyDescent="0.3">
      <c r="A1269" t="s">
        <v>548</v>
      </c>
      <c r="B1269" t="s">
        <v>522</v>
      </c>
      <c r="C1269" t="s">
        <v>523</v>
      </c>
      <c r="D1269" t="s">
        <v>451</v>
      </c>
      <c r="E1269" t="s">
        <v>524</v>
      </c>
      <c r="F1269" t="s">
        <v>169</v>
      </c>
      <c r="H1269" t="s">
        <v>602</v>
      </c>
      <c r="I1269">
        <v>359574204</v>
      </c>
      <c r="J1269" t="s">
        <v>451</v>
      </c>
      <c r="K1269" t="s">
        <v>619</v>
      </c>
      <c r="L1269" t="str">
        <f>IFERROR(INDEX(Diccionario!$B:$B,MATCH(F1269,Diccionario!$C:$C,0)),"")</f>
        <v>Marketing</v>
      </c>
      <c r="M1269" t="str">
        <f>IFERROR(INDEX(Diccionario!$H:$H,MATCH(F1269,Diccionario!$C:$C,0)),"")</f>
        <v>Comercial/Mktg</v>
      </c>
      <c r="N1269" t="str">
        <f>IFERROR(INDEX(Diccionario!$N:$N,MATCH(F1269,Diccionario!$C:$C,0)),"")</f>
        <v>Trimestral</v>
      </c>
    </row>
    <row r="1270" spans="1:14" ht="14.25" customHeight="1" x14ac:dyDescent="0.3">
      <c r="A1270" t="s">
        <v>552</v>
      </c>
      <c r="B1270" t="s">
        <v>522</v>
      </c>
      <c r="C1270" t="s">
        <v>523</v>
      </c>
      <c r="D1270" t="s">
        <v>451</v>
      </c>
      <c r="E1270" t="s">
        <v>524</v>
      </c>
      <c r="F1270" t="s">
        <v>169</v>
      </c>
      <c r="H1270" t="s">
        <v>602</v>
      </c>
      <c r="I1270">
        <v>152508916</v>
      </c>
      <c r="J1270" t="s">
        <v>451</v>
      </c>
      <c r="K1270" t="s">
        <v>620</v>
      </c>
      <c r="L1270" t="str">
        <f>IFERROR(INDEX(Diccionario!$B:$B,MATCH(F1270,Diccionario!$C:$C,0)),"")</f>
        <v>Marketing</v>
      </c>
      <c r="M1270" t="str">
        <f>IFERROR(INDEX(Diccionario!$H:$H,MATCH(F1270,Diccionario!$C:$C,0)),"")</f>
        <v>Comercial/Mktg</v>
      </c>
      <c r="N1270" t="str">
        <f>IFERROR(INDEX(Diccionario!$N:$N,MATCH(F1270,Diccionario!$C:$C,0)),"")</f>
        <v>Trimestral</v>
      </c>
    </row>
    <row r="1271" spans="1:14" ht="14.25" customHeight="1" x14ac:dyDescent="0.3">
      <c r="A1271" t="s">
        <v>603</v>
      </c>
      <c r="B1271" t="s">
        <v>522</v>
      </c>
      <c r="C1271" t="s">
        <v>523</v>
      </c>
      <c r="D1271" t="s">
        <v>451</v>
      </c>
      <c r="E1271" t="s">
        <v>524</v>
      </c>
      <c r="F1271" t="s">
        <v>169</v>
      </c>
      <c r="H1271" t="s">
        <v>602</v>
      </c>
      <c r="I1271">
        <v>115723005</v>
      </c>
      <c r="J1271" t="s">
        <v>451</v>
      </c>
      <c r="K1271" t="s">
        <v>621</v>
      </c>
      <c r="L1271" t="str">
        <f>IFERROR(INDEX(Diccionario!$B:$B,MATCH(F1271,Diccionario!$C:$C,0)),"")</f>
        <v>Marketing</v>
      </c>
      <c r="M1271" t="str">
        <f>IFERROR(INDEX(Diccionario!$H:$H,MATCH(F1271,Diccionario!$C:$C,0)),"")</f>
        <v>Comercial/Mktg</v>
      </c>
      <c r="N1271" t="str">
        <f>IFERROR(INDEX(Diccionario!$N:$N,MATCH(F1271,Diccionario!$C:$C,0)),"")</f>
        <v>Trimestral</v>
      </c>
    </row>
    <row r="1272" spans="1:14" ht="14.25" customHeight="1" x14ac:dyDescent="0.3">
      <c r="A1272" t="s">
        <v>539</v>
      </c>
      <c r="B1272" t="s">
        <v>522</v>
      </c>
      <c r="C1272" t="s">
        <v>523</v>
      </c>
      <c r="E1272" t="s">
        <v>524</v>
      </c>
      <c r="F1272" t="s">
        <v>174</v>
      </c>
      <c r="H1272" t="s">
        <v>602</v>
      </c>
      <c r="I1272">
        <v>5</v>
      </c>
      <c r="J1272" t="s">
        <v>177</v>
      </c>
      <c r="K1272" t="s">
        <v>616</v>
      </c>
      <c r="L1272" t="str">
        <f>IFERROR(INDEX(Diccionario!$B:$B,MATCH(F1272,Diccionario!$C:$C,0)),"")</f>
        <v>Marketing</v>
      </c>
      <c r="M1272" t="str">
        <f>IFERROR(INDEX(Diccionario!$H:$H,MATCH(F1272,Diccionario!$C:$C,0)),"")</f>
        <v>Comercial/Mktg</v>
      </c>
      <c r="N1272" t="str">
        <f>IFERROR(INDEX(Diccionario!$N:$N,MATCH(F1272,Diccionario!$C:$C,0)),"")</f>
        <v>Trimestral</v>
      </c>
    </row>
    <row r="1273" spans="1:14" ht="14.25" customHeight="1" x14ac:dyDescent="0.3">
      <c r="A1273" t="s">
        <v>542</v>
      </c>
      <c r="B1273" t="s">
        <v>522</v>
      </c>
      <c r="C1273" t="s">
        <v>523</v>
      </c>
      <c r="E1273" t="s">
        <v>524</v>
      </c>
      <c r="F1273" t="s">
        <v>174</v>
      </c>
      <c r="H1273" t="s">
        <v>602</v>
      </c>
      <c r="I1273">
        <v>9</v>
      </c>
      <c r="J1273" t="s">
        <v>177</v>
      </c>
      <c r="K1273" t="s">
        <v>617</v>
      </c>
      <c r="L1273" t="str">
        <f>IFERROR(INDEX(Diccionario!$B:$B,MATCH(F1273,Diccionario!$C:$C,0)),"")</f>
        <v>Marketing</v>
      </c>
      <c r="M1273" t="str">
        <f>IFERROR(INDEX(Diccionario!$H:$H,MATCH(F1273,Diccionario!$C:$C,0)),"")</f>
        <v>Comercial/Mktg</v>
      </c>
      <c r="N1273" t="str">
        <f>IFERROR(INDEX(Diccionario!$N:$N,MATCH(F1273,Diccionario!$C:$C,0)),"")</f>
        <v>Trimestral</v>
      </c>
    </row>
    <row r="1274" spans="1:14" ht="14.25" customHeight="1" x14ac:dyDescent="0.3">
      <c r="A1274" t="s">
        <v>545</v>
      </c>
      <c r="B1274" t="s">
        <v>522</v>
      </c>
      <c r="C1274" t="s">
        <v>523</v>
      </c>
      <c r="E1274" t="s">
        <v>524</v>
      </c>
      <c r="F1274" t="s">
        <v>174</v>
      </c>
      <c r="H1274" t="s">
        <v>602</v>
      </c>
      <c r="I1274">
        <v>12</v>
      </c>
      <c r="J1274" t="s">
        <v>177</v>
      </c>
      <c r="K1274" t="s">
        <v>618</v>
      </c>
      <c r="L1274" t="str">
        <f>IFERROR(INDEX(Diccionario!$B:$B,MATCH(F1274,Diccionario!$C:$C,0)),"")</f>
        <v>Marketing</v>
      </c>
      <c r="M1274" t="str">
        <f>IFERROR(INDEX(Diccionario!$H:$H,MATCH(F1274,Diccionario!$C:$C,0)),"")</f>
        <v>Comercial/Mktg</v>
      </c>
      <c r="N1274" t="str">
        <f>IFERROR(INDEX(Diccionario!$N:$N,MATCH(F1274,Diccionario!$C:$C,0)),"")</f>
        <v>Trimestral</v>
      </c>
    </row>
    <row r="1275" spans="1:14" ht="14.25" customHeight="1" x14ac:dyDescent="0.3">
      <c r="A1275" t="s">
        <v>548</v>
      </c>
      <c r="B1275" t="s">
        <v>522</v>
      </c>
      <c r="C1275" t="s">
        <v>523</v>
      </c>
      <c r="E1275" t="s">
        <v>524</v>
      </c>
      <c r="F1275" t="s">
        <v>174</v>
      </c>
      <c r="H1275" t="s">
        <v>602</v>
      </c>
      <c r="I1275">
        <v>8</v>
      </c>
      <c r="J1275" t="s">
        <v>177</v>
      </c>
      <c r="K1275" t="s">
        <v>619</v>
      </c>
      <c r="L1275" t="str">
        <f>IFERROR(INDEX(Diccionario!$B:$B,MATCH(F1275,Diccionario!$C:$C,0)),"")</f>
        <v>Marketing</v>
      </c>
      <c r="M1275" t="str">
        <f>IFERROR(INDEX(Diccionario!$H:$H,MATCH(F1275,Diccionario!$C:$C,0)),"")</f>
        <v>Comercial/Mktg</v>
      </c>
      <c r="N1275" t="str">
        <f>IFERROR(INDEX(Diccionario!$N:$N,MATCH(F1275,Diccionario!$C:$C,0)),"")</f>
        <v>Trimestral</v>
      </c>
    </row>
    <row r="1276" spans="1:14" ht="14.25" customHeight="1" x14ac:dyDescent="0.3">
      <c r="A1276" t="s">
        <v>552</v>
      </c>
      <c r="B1276" t="s">
        <v>522</v>
      </c>
      <c r="C1276" t="s">
        <v>523</v>
      </c>
      <c r="E1276" t="s">
        <v>524</v>
      </c>
      <c r="F1276" t="s">
        <v>174</v>
      </c>
      <c r="H1276" t="s">
        <v>602</v>
      </c>
      <c r="I1276">
        <v>1.3</v>
      </c>
      <c r="J1276" t="s">
        <v>177</v>
      </c>
      <c r="K1276" t="s">
        <v>620</v>
      </c>
      <c r="L1276" t="str">
        <f>IFERROR(INDEX(Diccionario!$B:$B,MATCH(F1276,Diccionario!$C:$C,0)),"")</f>
        <v>Marketing</v>
      </c>
      <c r="M1276" t="str">
        <f>IFERROR(INDEX(Diccionario!$H:$H,MATCH(F1276,Diccionario!$C:$C,0)),"")</f>
        <v>Comercial/Mktg</v>
      </c>
      <c r="N1276" t="str">
        <f>IFERROR(INDEX(Diccionario!$N:$N,MATCH(F1276,Diccionario!$C:$C,0)),"")</f>
        <v>Trimestral</v>
      </c>
    </row>
    <row r="1277" spans="1:14" ht="14.25" customHeight="1" x14ac:dyDescent="0.3">
      <c r="A1277" t="s">
        <v>603</v>
      </c>
      <c r="B1277" t="s">
        <v>522</v>
      </c>
      <c r="C1277" t="s">
        <v>523</v>
      </c>
      <c r="E1277" t="s">
        <v>524</v>
      </c>
      <c r="F1277" t="s">
        <v>174</v>
      </c>
      <c r="H1277" t="s">
        <v>602</v>
      </c>
      <c r="I1277">
        <v>2.56</v>
      </c>
      <c r="J1277" t="s">
        <v>177</v>
      </c>
      <c r="K1277" t="s">
        <v>621</v>
      </c>
      <c r="L1277" t="str">
        <f>IFERROR(INDEX(Diccionario!$B:$B,MATCH(F1277,Diccionario!$C:$C,0)),"")</f>
        <v>Marketing</v>
      </c>
      <c r="M1277" t="str">
        <f>IFERROR(INDEX(Diccionario!$H:$H,MATCH(F1277,Diccionario!$C:$C,0)),"")</f>
        <v>Comercial/Mktg</v>
      </c>
      <c r="N1277" t="str">
        <f>IFERROR(INDEX(Diccionario!$N:$N,MATCH(F1277,Diccionario!$C:$C,0)),"")</f>
        <v>Trimestral</v>
      </c>
    </row>
    <row r="1278" spans="1:14" ht="14.25" customHeight="1" x14ac:dyDescent="0.3">
      <c r="A1278" t="s">
        <v>539</v>
      </c>
      <c r="B1278" t="s">
        <v>522</v>
      </c>
      <c r="C1278" t="s">
        <v>523</v>
      </c>
      <c r="E1278" t="s">
        <v>524</v>
      </c>
      <c r="F1278" t="s">
        <v>181</v>
      </c>
      <c r="H1278" t="s">
        <v>602</v>
      </c>
      <c r="I1278">
        <v>2.1</v>
      </c>
      <c r="J1278" t="s">
        <v>101</v>
      </c>
      <c r="K1278" t="s">
        <v>616</v>
      </c>
      <c r="L1278" t="str">
        <f>IFERROR(INDEX(Diccionario!$B:$B,MATCH(F1278,Diccionario!$C:$C,0)),"")</f>
        <v>Marketing</v>
      </c>
      <c r="M1278" t="str">
        <f>IFERROR(INDEX(Diccionario!$H:$H,MATCH(F1278,Diccionario!$C:$C,0)),"")</f>
        <v>Comercial/Mktg</v>
      </c>
      <c r="N1278" t="str">
        <f>IFERROR(INDEX(Diccionario!$N:$N,MATCH(F1278,Diccionario!$C:$C,0)),"")</f>
        <v>Trimestral</v>
      </c>
    </row>
    <row r="1279" spans="1:14" ht="14.25" customHeight="1" x14ac:dyDescent="0.3">
      <c r="A1279" t="s">
        <v>542</v>
      </c>
      <c r="B1279" t="s">
        <v>522</v>
      </c>
      <c r="C1279" t="s">
        <v>523</v>
      </c>
      <c r="E1279" t="s">
        <v>524</v>
      </c>
      <c r="F1279" t="s">
        <v>181</v>
      </c>
      <c r="H1279" t="s">
        <v>602</v>
      </c>
      <c r="I1279">
        <v>1.8</v>
      </c>
      <c r="J1279" t="s">
        <v>101</v>
      </c>
      <c r="K1279" t="s">
        <v>617</v>
      </c>
      <c r="L1279" t="str">
        <f>IFERROR(INDEX(Diccionario!$B:$B,MATCH(F1279,Diccionario!$C:$C,0)),"")</f>
        <v>Marketing</v>
      </c>
      <c r="M1279" t="str">
        <f>IFERROR(INDEX(Diccionario!$H:$H,MATCH(F1279,Diccionario!$C:$C,0)),"")</f>
        <v>Comercial/Mktg</v>
      </c>
      <c r="N1279" t="str">
        <f>IFERROR(INDEX(Diccionario!$N:$N,MATCH(F1279,Diccionario!$C:$C,0)),"")</f>
        <v>Trimestral</v>
      </c>
    </row>
    <row r="1280" spans="1:14" ht="14.25" customHeight="1" x14ac:dyDescent="0.3">
      <c r="A1280" t="s">
        <v>545</v>
      </c>
      <c r="B1280" t="s">
        <v>522</v>
      </c>
      <c r="C1280" t="s">
        <v>523</v>
      </c>
      <c r="E1280" t="s">
        <v>524</v>
      </c>
      <c r="F1280" t="s">
        <v>181</v>
      </c>
      <c r="H1280" t="s">
        <v>602</v>
      </c>
      <c r="I1280">
        <v>1.3</v>
      </c>
      <c r="J1280" t="s">
        <v>101</v>
      </c>
      <c r="K1280" t="s">
        <v>618</v>
      </c>
      <c r="L1280" t="str">
        <f>IFERROR(INDEX(Diccionario!$B:$B,MATCH(F1280,Diccionario!$C:$C,0)),"")</f>
        <v>Marketing</v>
      </c>
      <c r="M1280" t="str">
        <f>IFERROR(INDEX(Diccionario!$H:$H,MATCH(F1280,Diccionario!$C:$C,0)),"")</f>
        <v>Comercial/Mktg</v>
      </c>
      <c r="N1280" t="str">
        <f>IFERROR(INDEX(Diccionario!$N:$N,MATCH(F1280,Diccionario!$C:$C,0)),"")</f>
        <v>Trimestral</v>
      </c>
    </row>
    <row r="1281" spans="1:14" ht="14.25" customHeight="1" x14ac:dyDescent="0.3">
      <c r="A1281" t="s">
        <v>548</v>
      </c>
      <c r="B1281" t="s">
        <v>522</v>
      </c>
      <c r="C1281" t="s">
        <v>523</v>
      </c>
      <c r="E1281" t="s">
        <v>524</v>
      </c>
      <c r="F1281" t="s">
        <v>181</v>
      </c>
      <c r="H1281" t="s">
        <v>602</v>
      </c>
      <c r="I1281">
        <v>1.7</v>
      </c>
      <c r="J1281" t="s">
        <v>101</v>
      </c>
      <c r="K1281" t="s">
        <v>619</v>
      </c>
      <c r="L1281" t="str">
        <f>IFERROR(INDEX(Diccionario!$B:$B,MATCH(F1281,Diccionario!$C:$C,0)),"")</f>
        <v>Marketing</v>
      </c>
      <c r="M1281" t="str">
        <f>IFERROR(INDEX(Diccionario!$H:$H,MATCH(F1281,Diccionario!$C:$C,0)),"")</f>
        <v>Comercial/Mktg</v>
      </c>
      <c r="N1281" t="str">
        <f>IFERROR(INDEX(Diccionario!$N:$N,MATCH(F1281,Diccionario!$C:$C,0)),"")</f>
        <v>Trimestral</v>
      </c>
    </row>
    <row r="1282" spans="1:14" ht="14.25" customHeight="1" x14ac:dyDescent="0.3">
      <c r="A1282" t="s">
        <v>552</v>
      </c>
      <c r="B1282" t="s">
        <v>522</v>
      </c>
      <c r="C1282" t="s">
        <v>523</v>
      </c>
      <c r="E1282" t="s">
        <v>524</v>
      </c>
      <c r="F1282" t="s">
        <v>181</v>
      </c>
      <c r="H1282" t="s">
        <v>602</v>
      </c>
      <c r="I1282">
        <v>5</v>
      </c>
      <c r="J1282" t="s">
        <v>101</v>
      </c>
      <c r="K1282" t="s">
        <v>620</v>
      </c>
      <c r="L1282" t="str">
        <f>IFERROR(INDEX(Diccionario!$B:$B,MATCH(F1282,Diccionario!$C:$C,0)),"")</f>
        <v>Marketing</v>
      </c>
      <c r="M1282" t="str">
        <f>IFERROR(INDEX(Diccionario!$H:$H,MATCH(F1282,Diccionario!$C:$C,0)),"")</f>
        <v>Comercial/Mktg</v>
      </c>
      <c r="N1282" t="str">
        <f>IFERROR(INDEX(Diccionario!$N:$N,MATCH(F1282,Diccionario!$C:$C,0)),"")</f>
        <v>Trimestral</v>
      </c>
    </row>
    <row r="1283" spans="1:14" ht="14.25" customHeight="1" x14ac:dyDescent="0.3">
      <c r="A1283" t="s">
        <v>603</v>
      </c>
      <c r="B1283" t="s">
        <v>522</v>
      </c>
      <c r="C1283" t="s">
        <v>523</v>
      </c>
      <c r="E1283" t="s">
        <v>524</v>
      </c>
      <c r="F1283" t="s">
        <v>181</v>
      </c>
      <c r="H1283" t="s">
        <v>602</v>
      </c>
      <c r="I1283">
        <v>2.9</v>
      </c>
      <c r="J1283" t="s">
        <v>101</v>
      </c>
      <c r="K1283" t="s">
        <v>621</v>
      </c>
      <c r="L1283" t="str">
        <f>IFERROR(INDEX(Diccionario!$B:$B,MATCH(F1283,Diccionario!$C:$C,0)),"")</f>
        <v>Marketing</v>
      </c>
      <c r="M1283" t="str">
        <f>IFERROR(INDEX(Diccionario!$H:$H,MATCH(F1283,Diccionario!$C:$C,0)),"")</f>
        <v>Comercial/Mktg</v>
      </c>
      <c r="N1283" t="str">
        <f>IFERROR(INDEX(Diccionario!$N:$N,MATCH(F1283,Diccionario!$C:$C,0)),"")</f>
        <v>Trimestral</v>
      </c>
    </row>
    <row r="1284" spans="1:14" ht="14.25" customHeight="1" x14ac:dyDescent="0.3">
      <c r="A1284" t="s">
        <v>554</v>
      </c>
      <c r="B1284" t="s">
        <v>522</v>
      </c>
      <c r="C1284" t="s">
        <v>523</v>
      </c>
      <c r="D1284" t="s">
        <v>451</v>
      </c>
      <c r="E1284" t="s">
        <v>524</v>
      </c>
      <c r="F1284" t="s">
        <v>169</v>
      </c>
      <c r="H1284" t="s">
        <v>622</v>
      </c>
      <c r="I1284">
        <f>Calc_LTV_Fin!B11</f>
        <v>415355550</v>
      </c>
      <c r="J1284" t="s">
        <v>451</v>
      </c>
      <c r="K1284" t="s">
        <v>623</v>
      </c>
      <c r="L1284" t="str">
        <f>IFERROR(INDEX(Diccionario!$B:$B,MATCH(F1284,Diccionario!$C:$C,0)),"")</f>
        <v>Marketing</v>
      </c>
      <c r="M1284" t="str">
        <f>IFERROR(INDEX(Diccionario!$H:$H,MATCH(F1284,Diccionario!$C:$C,0)),"")</f>
        <v>Comercial/Mktg</v>
      </c>
      <c r="N1284" t="str">
        <f>IFERROR(INDEX(Diccionario!$N:$N,MATCH(F1284,Diccionario!$C:$C,0)),"")</f>
        <v>Trimestral</v>
      </c>
    </row>
    <row r="1285" spans="1:14" ht="14.25" customHeight="1" x14ac:dyDescent="0.3">
      <c r="A1285" t="s">
        <v>554</v>
      </c>
      <c r="B1285" t="s">
        <v>522</v>
      </c>
      <c r="C1285" t="s">
        <v>523</v>
      </c>
      <c r="E1285" t="s">
        <v>524</v>
      </c>
      <c r="F1285" t="s">
        <v>181</v>
      </c>
      <c r="H1285" t="s">
        <v>622</v>
      </c>
      <c r="I1285">
        <f>Calc_LTV_Fin!B12</f>
        <v>15.327244049954167</v>
      </c>
      <c r="J1285" t="s">
        <v>101</v>
      </c>
      <c r="K1285" t="s">
        <v>623</v>
      </c>
      <c r="L1285" t="str">
        <f>IFERROR(INDEX(Diccionario!$B:$B,MATCH(F1285,Diccionario!$C:$C,0)),"")</f>
        <v>Marketing</v>
      </c>
      <c r="M1285" t="str">
        <f>IFERROR(INDEX(Diccionario!$H:$H,MATCH(F1285,Diccionario!$C:$C,0)),"")</f>
        <v>Comercial/Mktg</v>
      </c>
      <c r="N1285" t="str">
        <f>IFERROR(INDEX(Diccionario!$N:$N,MATCH(F1285,Diccionario!$C:$C,0)),"")</f>
        <v>Trimestral</v>
      </c>
    </row>
    <row r="1286" spans="1:14" ht="14.25" customHeight="1" x14ac:dyDescent="0.3">
      <c r="A1286" t="s">
        <v>554</v>
      </c>
      <c r="B1286" t="s">
        <v>522</v>
      </c>
      <c r="C1286" t="s">
        <v>523</v>
      </c>
      <c r="E1286" t="s">
        <v>524</v>
      </c>
      <c r="F1286" t="s">
        <v>174</v>
      </c>
      <c r="H1286" t="s">
        <v>622</v>
      </c>
      <c r="I1286">
        <f>Calc_LTV_Fin!B13</f>
        <v>6.396402077682561</v>
      </c>
      <c r="J1286" t="s">
        <v>177</v>
      </c>
      <c r="K1286" t="s">
        <v>623</v>
      </c>
      <c r="L1286" t="str">
        <f>IFERROR(INDEX(Diccionario!$B:$B,MATCH(F1286,Diccionario!$C:$C,0)),"")</f>
        <v>Marketing</v>
      </c>
      <c r="M1286" t="str">
        <f>IFERROR(INDEX(Diccionario!$H:$H,MATCH(F1286,Diccionario!$C:$C,0)),"")</f>
        <v>Comercial/Mktg</v>
      </c>
      <c r="N1286" t="str">
        <f>IFERROR(INDEX(Diccionario!$N:$N,MATCH(F1286,Diccionario!$C:$C,0)),"")</f>
        <v>Trimestral</v>
      </c>
    </row>
    <row r="1287" spans="1:14" ht="14.25" customHeight="1" x14ac:dyDescent="0.3">
      <c r="A1287" t="s">
        <v>624</v>
      </c>
      <c r="B1287" t="s">
        <v>522</v>
      </c>
      <c r="C1287" t="s">
        <v>523</v>
      </c>
      <c r="D1287" t="s">
        <v>451</v>
      </c>
      <c r="E1287" t="s">
        <v>524</v>
      </c>
      <c r="F1287" t="s">
        <v>136</v>
      </c>
      <c r="I1287">
        <v>0</v>
      </c>
      <c r="J1287" t="s">
        <v>451</v>
      </c>
      <c r="K1287" t="s">
        <v>625</v>
      </c>
      <c r="L1287" t="str">
        <f>IFERROR(INDEX(Diccionario!$B:$B,MATCH(F1287,Diccionario!$C:$C,0)),"")</f>
        <v>Ventas</v>
      </c>
      <c r="M1287" t="str">
        <f>IFERROR(INDEX(Diccionario!$H:$H,MATCH(F1287,Diccionario!$C:$C,0)),"")</f>
        <v>Ventas</v>
      </c>
      <c r="N1287" t="str">
        <f>IFERROR(INDEX(Diccionario!$N:$N,MATCH(F1287,Diccionario!$C:$C,0)),"")</f>
        <v>Mensual</v>
      </c>
    </row>
    <row r="1288" spans="1:14" ht="14.25" customHeight="1" x14ac:dyDescent="0.3">
      <c r="A1288" t="s">
        <v>624</v>
      </c>
      <c r="B1288" t="s">
        <v>522</v>
      </c>
      <c r="C1288" t="s">
        <v>523</v>
      </c>
      <c r="D1288" t="s">
        <v>451</v>
      </c>
      <c r="E1288" t="s">
        <v>524</v>
      </c>
      <c r="F1288" t="s">
        <v>430</v>
      </c>
      <c r="I1288">
        <v>0</v>
      </c>
      <c r="J1288" t="s">
        <v>158</v>
      </c>
      <c r="K1288" t="s">
        <v>626</v>
      </c>
      <c r="L1288" t="str">
        <f>IFERROR(INDEX(Diccionario!$B:$B,MATCH(F1288,Diccionario!$C:$C,0)),"")</f>
        <v>Ventas</v>
      </c>
      <c r="M1288" t="str">
        <f>IFERROR(INDEX(Diccionario!$H:$H,MATCH(F1288,Diccionario!$C:$C,0)),"")</f>
        <v>Ventas</v>
      </c>
      <c r="N1288" t="str">
        <f>IFERROR(INDEX(Diccionario!$N:$N,MATCH(F1288,Diccionario!$C:$C,0)),"")</f>
        <v>Mensual</v>
      </c>
    </row>
    <row r="1289" spans="1:14" ht="14.25" customHeight="1" x14ac:dyDescent="0.3">
      <c r="A1289" t="s">
        <v>551</v>
      </c>
      <c r="B1289" t="s">
        <v>522</v>
      </c>
      <c r="C1289" t="s">
        <v>523</v>
      </c>
      <c r="D1289" t="s">
        <v>451</v>
      </c>
      <c r="E1289" t="s">
        <v>524</v>
      </c>
      <c r="F1289" t="s">
        <v>146</v>
      </c>
      <c r="I1289">
        <v>9022720</v>
      </c>
      <c r="J1289" t="s">
        <v>451</v>
      </c>
      <c r="K1289" t="s">
        <v>627</v>
      </c>
      <c r="L1289" t="str">
        <f>IFERROR(INDEX(Diccionario!$B:$B,MATCH(F1289,Diccionario!$C:$C,0)),"")</f>
        <v>Ventas</v>
      </c>
      <c r="M1289" t="str">
        <f>IFERROR(INDEX(Diccionario!$H:$H,MATCH(F1289,Diccionario!$C:$C,0)),"")</f>
        <v>Ventas</v>
      </c>
      <c r="N1289" t="str">
        <f>IFERROR(INDEX(Diccionario!$N:$N,MATCH(F1289,Diccionario!$C:$C,0)),"")</f>
        <v>Mensual</v>
      </c>
    </row>
    <row r="1290" spans="1:14" ht="14.25" customHeight="1" x14ac:dyDescent="0.3">
      <c r="A1290" t="s">
        <v>552</v>
      </c>
      <c r="B1290" t="s">
        <v>522</v>
      </c>
      <c r="C1290" t="s">
        <v>523</v>
      </c>
      <c r="D1290" t="s">
        <v>451</v>
      </c>
      <c r="E1290" t="s">
        <v>524</v>
      </c>
      <c r="F1290" t="s">
        <v>146</v>
      </c>
      <c r="I1290">
        <v>270528826</v>
      </c>
      <c r="J1290" t="s">
        <v>451</v>
      </c>
      <c r="K1290" t="s">
        <v>627</v>
      </c>
      <c r="L1290" t="str">
        <f>IFERROR(INDEX(Diccionario!$B:$B,MATCH(F1290,Diccionario!$C:$C,0)),"")</f>
        <v>Ventas</v>
      </c>
      <c r="M1290" t="str">
        <f>IFERROR(INDEX(Diccionario!$H:$H,MATCH(F1290,Diccionario!$C:$C,0)),"")</f>
        <v>Ventas</v>
      </c>
      <c r="N1290" t="str">
        <f>IFERROR(INDEX(Diccionario!$N:$N,MATCH(F1290,Diccionario!$C:$C,0)),"")</f>
        <v>Mensual</v>
      </c>
    </row>
    <row r="1291" spans="1:14" ht="14.25" customHeight="1" x14ac:dyDescent="0.3">
      <c r="A1291" t="s">
        <v>553</v>
      </c>
      <c r="B1291" t="s">
        <v>522</v>
      </c>
      <c r="C1291" t="s">
        <v>523</v>
      </c>
      <c r="D1291" t="s">
        <v>451</v>
      </c>
      <c r="E1291" t="s">
        <v>524</v>
      </c>
      <c r="F1291" t="s">
        <v>146</v>
      </c>
      <c r="I1291">
        <v>307827060</v>
      </c>
      <c r="J1291" t="s">
        <v>451</v>
      </c>
      <c r="K1291" t="s">
        <v>627</v>
      </c>
      <c r="L1291" t="str">
        <f>IFERROR(INDEX(Diccionario!$B:$B,MATCH(F1291,Diccionario!$C:$C,0)),"")</f>
        <v>Ventas</v>
      </c>
      <c r="M1291" t="str">
        <f>IFERROR(INDEX(Diccionario!$H:$H,MATCH(F1291,Diccionario!$C:$C,0)),"")</f>
        <v>Ventas</v>
      </c>
      <c r="N1291" t="str">
        <f>IFERROR(INDEX(Diccionario!$N:$N,MATCH(F1291,Diccionario!$C:$C,0)),"")</f>
        <v>Mensual</v>
      </c>
    </row>
    <row r="1292" spans="1:14" ht="14.25" customHeight="1" x14ac:dyDescent="0.3">
      <c r="A1292" t="s">
        <v>554</v>
      </c>
      <c r="B1292" t="s">
        <v>522</v>
      </c>
      <c r="C1292" t="s">
        <v>523</v>
      </c>
      <c r="D1292" t="s">
        <v>451</v>
      </c>
      <c r="E1292" t="s">
        <v>524</v>
      </c>
      <c r="F1292" t="s">
        <v>146</v>
      </c>
      <c r="I1292">
        <v>106463773</v>
      </c>
      <c r="J1292" t="s">
        <v>451</v>
      </c>
      <c r="K1292" t="s">
        <v>627</v>
      </c>
      <c r="L1292" t="str">
        <f>IFERROR(INDEX(Diccionario!$B:$B,MATCH(F1292,Diccionario!$C:$C,0)),"")</f>
        <v>Ventas</v>
      </c>
      <c r="M1292" t="str">
        <f>IFERROR(INDEX(Diccionario!$H:$H,MATCH(F1292,Diccionario!$C:$C,0)),"")</f>
        <v>Ventas</v>
      </c>
      <c r="N1292" t="str">
        <f>IFERROR(INDEX(Diccionario!$N:$N,MATCH(F1292,Diccionario!$C:$C,0)),"")</f>
        <v>Mensual</v>
      </c>
    </row>
    <row r="1293" spans="1:14" ht="14.25" customHeight="1" x14ac:dyDescent="0.3">
      <c r="A1293" t="s">
        <v>624</v>
      </c>
      <c r="B1293" t="s">
        <v>522</v>
      </c>
      <c r="C1293" t="s">
        <v>523</v>
      </c>
      <c r="D1293" t="s">
        <v>451</v>
      </c>
      <c r="E1293" t="s">
        <v>524</v>
      </c>
      <c r="F1293" t="s">
        <v>146</v>
      </c>
      <c r="I1293">
        <v>40159561</v>
      </c>
      <c r="J1293" t="s">
        <v>451</v>
      </c>
      <c r="K1293" t="s">
        <v>627</v>
      </c>
      <c r="L1293" t="str">
        <f>IFERROR(INDEX(Diccionario!$B:$B,MATCH(F1293,Diccionario!$C:$C,0)),"")</f>
        <v>Ventas</v>
      </c>
      <c r="M1293" t="str">
        <f>IFERROR(INDEX(Diccionario!$H:$H,MATCH(F1293,Diccionario!$C:$C,0)),"")</f>
        <v>Ventas</v>
      </c>
      <c r="N1293" t="str">
        <f>IFERROR(INDEX(Diccionario!$N:$N,MATCH(F1293,Diccionario!$C:$C,0)),"")</f>
        <v>Mensual</v>
      </c>
    </row>
    <row r="1294" spans="1:14" ht="14.25" customHeight="1" x14ac:dyDescent="0.3">
      <c r="A1294" t="s">
        <v>624</v>
      </c>
      <c r="B1294" t="s">
        <v>522</v>
      </c>
      <c r="C1294" t="s">
        <v>523</v>
      </c>
      <c r="D1294" t="s">
        <v>451</v>
      </c>
      <c r="E1294" t="s">
        <v>524</v>
      </c>
      <c r="F1294" t="s">
        <v>126</v>
      </c>
      <c r="H1294" t="s">
        <v>628</v>
      </c>
      <c r="I1294">
        <v>366554852</v>
      </c>
      <c r="J1294" t="s">
        <v>451</v>
      </c>
      <c r="K1294" t="s">
        <v>629</v>
      </c>
      <c r="L1294" t="str">
        <f>IFERROR(INDEX(Diccionario!$B:$B,MATCH(F1294,Diccionario!$C:$C,0)),"")</f>
        <v>Ventas</v>
      </c>
      <c r="M1294" t="str">
        <f>IFERROR(INDEX(Diccionario!$H:$H,MATCH(F1294,Diccionario!$C:$C,0)),"")</f>
        <v>Ventas</v>
      </c>
      <c r="N1294" t="str">
        <f>IFERROR(INDEX(Diccionario!$N:$N,MATCH(F1294,Diccionario!$C:$C,0)),"")</f>
        <v>Mensual</v>
      </c>
    </row>
    <row r="1295" spans="1:14" ht="14.25" customHeight="1" x14ac:dyDescent="0.3">
      <c r="A1295" t="s">
        <v>624</v>
      </c>
      <c r="B1295" t="s">
        <v>522</v>
      </c>
      <c r="C1295" t="s">
        <v>523</v>
      </c>
      <c r="D1295" t="s">
        <v>451</v>
      </c>
      <c r="E1295" t="s">
        <v>524</v>
      </c>
      <c r="F1295" t="s">
        <v>132</v>
      </c>
      <c r="H1295" t="s">
        <v>628</v>
      </c>
      <c r="I1295">
        <v>251946912</v>
      </c>
      <c r="J1295" t="s">
        <v>451</v>
      </c>
      <c r="K1295" t="s">
        <v>629</v>
      </c>
      <c r="L1295" t="str">
        <f>IFERROR(INDEX(Diccionario!$B:$B,MATCH(F1295,Diccionario!$C:$C,0)),"")</f>
        <v>Ventas</v>
      </c>
      <c r="M1295" t="str">
        <f>IFERROR(INDEX(Diccionario!$H:$H,MATCH(F1295,Diccionario!$C:$C,0)),"")</f>
        <v>Ventas</v>
      </c>
      <c r="N1295" t="str">
        <f>IFERROR(INDEX(Diccionario!$N:$N,MATCH(F1295,Diccionario!$C:$C,0)),"")</f>
        <v>Mensual</v>
      </c>
    </row>
    <row r="1296" spans="1:14" ht="14.25" customHeight="1" x14ac:dyDescent="0.3">
      <c r="A1296" t="s">
        <v>624</v>
      </c>
      <c r="B1296" t="s">
        <v>522</v>
      </c>
      <c r="C1296" t="s">
        <v>523</v>
      </c>
      <c r="D1296" t="s">
        <v>451</v>
      </c>
      <c r="E1296" t="s">
        <v>524</v>
      </c>
      <c r="F1296" t="s">
        <v>126</v>
      </c>
      <c r="H1296" t="s">
        <v>630</v>
      </c>
      <c r="I1296">
        <v>218860706</v>
      </c>
      <c r="J1296" t="s">
        <v>451</v>
      </c>
      <c r="K1296" t="s">
        <v>629</v>
      </c>
      <c r="L1296" t="str">
        <f>IFERROR(INDEX(Diccionario!$B:$B,MATCH(F1296,Diccionario!$C:$C,0)),"")</f>
        <v>Ventas</v>
      </c>
      <c r="M1296" t="str">
        <f>IFERROR(INDEX(Diccionario!$H:$H,MATCH(F1296,Diccionario!$C:$C,0)),"")</f>
        <v>Ventas</v>
      </c>
      <c r="N1296" t="str">
        <f>IFERROR(INDEX(Diccionario!$N:$N,MATCH(F1296,Diccionario!$C:$C,0)),"")</f>
        <v>Mensual</v>
      </c>
    </row>
    <row r="1297" spans="1:14" ht="14.25" customHeight="1" x14ac:dyDescent="0.3">
      <c r="A1297" t="s">
        <v>624</v>
      </c>
      <c r="B1297" t="s">
        <v>522</v>
      </c>
      <c r="C1297" t="s">
        <v>523</v>
      </c>
      <c r="D1297" t="s">
        <v>451</v>
      </c>
      <c r="E1297" t="s">
        <v>524</v>
      </c>
      <c r="F1297" t="s">
        <v>132</v>
      </c>
      <c r="H1297" t="s">
        <v>630</v>
      </c>
      <c r="I1297">
        <v>204094777</v>
      </c>
      <c r="J1297" t="s">
        <v>451</v>
      </c>
      <c r="K1297" t="s">
        <v>629</v>
      </c>
      <c r="L1297" t="str">
        <f>IFERROR(INDEX(Diccionario!$B:$B,MATCH(F1297,Diccionario!$C:$C,0)),"")</f>
        <v>Ventas</v>
      </c>
      <c r="M1297" t="str">
        <f>IFERROR(INDEX(Diccionario!$H:$H,MATCH(F1297,Diccionario!$C:$C,0)),"")</f>
        <v>Ventas</v>
      </c>
      <c r="N1297" t="str">
        <f>IFERROR(INDEX(Diccionario!$N:$N,MATCH(F1297,Diccionario!$C:$C,0)),"")</f>
        <v>Mensual</v>
      </c>
    </row>
    <row r="1298" spans="1:14" ht="14.25" customHeight="1" x14ac:dyDescent="0.3">
      <c r="A1298" t="s">
        <v>624</v>
      </c>
      <c r="B1298" t="s">
        <v>522</v>
      </c>
      <c r="C1298" t="s">
        <v>523</v>
      </c>
      <c r="D1298" t="s">
        <v>451</v>
      </c>
      <c r="E1298" t="s">
        <v>524</v>
      </c>
      <c r="F1298" t="s">
        <v>126</v>
      </c>
      <c r="H1298" t="s">
        <v>631</v>
      </c>
      <c r="I1298">
        <v>187535825</v>
      </c>
      <c r="J1298" t="s">
        <v>451</v>
      </c>
      <c r="K1298" t="s">
        <v>629</v>
      </c>
      <c r="L1298" t="str">
        <f>IFERROR(INDEX(Diccionario!$B:$B,MATCH(F1298,Diccionario!$C:$C,0)),"")</f>
        <v>Ventas</v>
      </c>
      <c r="M1298" t="str">
        <f>IFERROR(INDEX(Diccionario!$H:$H,MATCH(F1298,Diccionario!$C:$C,0)),"")</f>
        <v>Ventas</v>
      </c>
      <c r="N1298" t="str">
        <f>IFERROR(INDEX(Diccionario!$N:$N,MATCH(F1298,Diccionario!$C:$C,0)),"")</f>
        <v>Mensual</v>
      </c>
    </row>
    <row r="1299" spans="1:14" ht="14.25" customHeight="1" x14ac:dyDescent="0.3">
      <c r="A1299" t="s">
        <v>624</v>
      </c>
      <c r="B1299" t="s">
        <v>522</v>
      </c>
      <c r="C1299" t="s">
        <v>523</v>
      </c>
      <c r="D1299" t="s">
        <v>451</v>
      </c>
      <c r="E1299" t="s">
        <v>524</v>
      </c>
      <c r="F1299" t="s">
        <v>132</v>
      </c>
      <c r="H1299" t="s">
        <v>631</v>
      </c>
      <c r="I1299">
        <v>150661388</v>
      </c>
      <c r="J1299" t="s">
        <v>451</v>
      </c>
      <c r="K1299" t="s">
        <v>629</v>
      </c>
      <c r="L1299" t="str">
        <f>IFERROR(INDEX(Diccionario!$B:$B,MATCH(F1299,Diccionario!$C:$C,0)),"")</f>
        <v>Ventas</v>
      </c>
      <c r="M1299" t="str">
        <f>IFERROR(INDEX(Diccionario!$H:$H,MATCH(F1299,Diccionario!$C:$C,0)),"")</f>
        <v>Ventas</v>
      </c>
      <c r="N1299" t="str">
        <f>IFERROR(INDEX(Diccionario!$N:$N,MATCH(F1299,Diccionario!$C:$C,0)),"")</f>
        <v>Mensual</v>
      </c>
    </row>
    <row r="1300" spans="1:14" ht="14.25" customHeight="1" x14ac:dyDescent="0.3">
      <c r="A1300" t="s">
        <v>624</v>
      </c>
      <c r="B1300" t="s">
        <v>522</v>
      </c>
      <c r="C1300" t="s">
        <v>523</v>
      </c>
      <c r="D1300" t="s">
        <v>451</v>
      </c>
      <c r="E1300" t="s">
        <v>524</v>
      </c>
      <c r="F1300" t="s">
        <v>126</v>
      </c>
      <c r="H1300" t="s">
        <v>632</v>
      </c>
      <c r="I1300">
        <v>86737300</v>
      </c>
      <c r="J1300" t="s">
        <v>451</v>
      </c>
      <c r="K1300" t="s">
        <v>629</v>
      </c>
      <c r="L1300" t="str">
        <f>IFERROR(INDEX(Diccionario!$B:$B,MATCH(F1300,Diccionario!$C:$C,0)),"")</f>
        <v>Ventas</v>
      </c>
      <c r="M1300" t="str">
        <f>IFERROR(INDEX(Diccionario!$H:$H,MATCH(F1300,Diccionario!$C:$C,0)),"")</f>
        <v>Ventas</v>
      </c>
      <c r="N1300" t="str">
        <f>IFERROR(INDEX(Diccionario!$N:$N,MATCH(F1300,Diccionario!$C:$C,0)),"")</f>
        <v>Mensual</v>
      </c>
    </row>
    <row r="1301" spans="1:14" ht="14.25" customHeight="1" x14ac:dyDescent="0.3">
      <c r="A1301" t="s">
        <v>624</v>
      </c>
      <c r="B1301" t="s">
        <v>522</v>
      </c>
      <c r="C1301" t="s">
        <v>523</v>
      </c>
      <c r="D1301" t="s">
        <v>451</v>
      </c>
      <c r="E1301" t="s">
        <v>524</v>
      </c>
      <c r="F1301" t="s">
        <v>132</v>
      </c>
      <c r="H1301" t="s">
        <v>632</v>
      </c>
      <c r="I1301">
        <v>82400435</v>
      </c>
      <c r="J1301" t="s">
        <v>451</v>
      </c>
      <c r="K1301" t="s">
        <v>629</v>
      </c>
      <c r="L1301" t="str">
        <f>IFERROR(INDEX(Diccionario!$B:$B,MATCH(F1301,Diccionario!$C:$C,0)),"")</f>
        <v>Ventas</v>
      </c>
      <c r="M1301" t="str">
        <f>IFERROR(INDEX(Diccionario!$H:$H,MATCH(F1301,Diccionario!$C:$C,0)),"")</f>
        <v>Ventas</v>
      </c>
      <c r="N1301" t="str">
        <f>IFERROR(INDEX(Diccionario!$N:$N,MATCH(F1301,Diccionario!$C:$C,0)),"")</f>
        <v>Mensual</v>
      </c>
    </row>
    <row r="1302" spans="1:14" ht="14.25" customHeight="1" x14ac:dyDescent="0.3">
      <c r="A1302" t="s">
        <v>624</v>
      </c>
      <c r="B1302" t="s">
        <v>576</v>
      </c>
      <c r="C1302" t="s">
        <v>523</v>
      </c>
      <c r="D1302" t="s">
        <v>451</v>
      </c>
      <c r="E1302" t="s">
        <v>524</v>
      </c>
      <c r="F1302" t="s">
        <v>126</v>
      </c>
      <c r="H1302" t="s">
        <v>631</v>
      </c>
      <c r="I1302">
        <v>39017160</v>
      </c>
      <c r="J1302" t="s">
        <v>451</v>
      </c>
      <c r="K1302" t="s">
        <v>629</v>
      </c>
      <c r="L1302" t="str">
        <f>IFERROR(INDEX(Diccionario!$B:$B,MATCH(F1302,Diccionario!$C:$C,0)),"")</f>
        <v>Ventas</v>
      </c>
      <c r="M1302" t="str">
        <f>IFERROR(INDEX(Diccionario!$H:$H,MATCH(F1302,Diccionario!$C:$C,0)),"")</f>
        <v>Ventas</v>
      </c>
      <c r="N1302" t="str">
        <f>IFERROR(INDEX(Diccionario!$N:$N,MATCH(F1302,Diccionario!$C:$C,0)),"")</f>
        <v>Mensual</v>
      </c>
    </row>
    <row r="1303" spans="1:14" ht="14.25" customHeight="1" x14ac:dyDescent="0.3">
      <c r="A1303" t="s">
        <v>624</v>
      </c>
      <c r="B1303" t="s">
        <v>576</v>
      </c>
      <c r="C1303" t="s">
        <v>523</v>
      </c>
      <c r="D1303" t="s">
        <v>451</v>
      </c>
      <c r="E1303" t="s">
        <v>524</v>
      </c>
      <c r="F1303" t="s">
        <v>132</v>
      </c>
      <c r="H1303" t="s">
        <v>631</v>
      </c>
      <c r="I1303">
        <v>28600028</v>
      </c>
      <c r="J1303" t="s">
        <v>451</v>
      </c>
      <c r="K1303" t="s">
        <v>629</v>
      </c>
      <c r="L1303" t="str">
        <f>IFERROR(INDEX(Diccionario!$B:$B,MATCH(F1303,Diccionario!$C:$C,0)),"")</f>
        <v>Ventas</v>
      </c>
      <c r="M1303" t="str">
        <f>IFERROR(INDEX(Diccionario!$H:$H,MATCH(F1303,Diccionario!$C:$C,0)),"")</f>
        <v>Ventas</v>
      </c>
      <c r="N1303" t="str">
        <f>IFERROR(INDEX(Diccionario!$N:$N,MATCH(F1303,Diccionario!$C:$C,0)),"")</f>
        <v>Mensual</v>
      </c>
    </row>
    <row r="1304" spans="1:14" ht="14.25" customHeight="1" x14ac:dyDescent="0.3">
      <c r="A1304" t="s">
        <v>624</v>
      </c>
      <c r="B1304" t="s">
        <v>522</v>
      </c>
      <c r="C1304" t="s">
        <v>523</v>
      </c>
      <c r="D1304" t="s">
        <v>451</v>
      </c>
      <c r="E1304" t="s">
        <v>524</v>
      </c>
      <c r="F1304" t="s">
        <v>126</v>
      </c>
      <c r="H1304" t="s">
        <v>633</v>
      </c>
      <c r="I1304">
        <v>20373000</v>
      </c>
      <c r="J1304" t="s">
        <v>451</v>
      </c>
      <c r="K1304" t="s">
        <v>629</v>
      </c>
      <c r="L1304" t="str">
        <f>IFERROR(INDEX(Diccionario!$B:$B,MATCH(F1304,Diccionario!$C:$C,0)),"")</f>
        <v>Ventas</v>
      </c>
      <c r="M1304" t="str">
        <f>IFERROR(INDEX(Diccionario!$H:$H,MATCH(F1304,Diccionario!$C:$C,0)),"")</f>
        <v>Ventas</v>
      </c>
      <c r="N1304" t="str">
        <f>IFERROR(INDEX(Diccionario!$N:$N,MATCH(F1304,Diccionario!$C:$C,0)),"")</f>
        <v>Mensual</v>
      </c>
    </row>
    <row r="1305" spans="1:14" ht="14.25" customHeight="1" x14ac:dyDescent="0.3">
      <c r="A1305" t="s">
        <v>624</v>
      </c>
      <c r="B1305" t="s">
        <v>522</v>
      </c>
      <c r="C1305" t="s">
        <v>523</v>
      </c>
      <c r="D1305" t="s">
        <v>451</v>
      </c>
      <c r="E1305" t="s">
        <v>524</v>
      </c>
      <c r="F1305" t="s">
        <v>132</v>
      </c>
      <c r="H1305" t="s">
        <v>633</v>
      </c>
      <c r="I1305">
        <v>16298400</v>
      </c>
      <c r="J1305" t="s">
        <v>451</v>
      </c>
      <c r="K1305" t="s">
        <v>629</v>
      </c>
      <c r="L1305" t="str">
        <f>IFERROR(INDEX(Diccionario!$B:$B,MATCH(F1305,Diccionario!$C:$C,0)),"")</f>
        <v>Ventas</v>
      </c>
      <c r="M1305" t="str">
        <f>IFERROR(INDEX(Diccionario!$H:$H,MATCH(F1305,Diccionario!$C:$C,0)),"")</f>
        <v>Ventas</v>
      </c>
      <c r="N1305" t="str">
        <f>IFERROR(INDEX(Diccionario!$N:$N,MATCH(F1305,Diccionario!$C:$C,0)),"")</f>
        <v>Mensual</v>
      </c>
    </row>
    <row r="1306" spans="1:14" ht="14.25" customHeight="1" x14ac:dyDescent="0.3">
      <c r="A1306" t="s">
        <v>624</v>
      </c>
      <c r="B1306" t="s">
        <v>576</v>
      </c>
      <c r="C1306" t="s">
        <v>523</v>
      </c>
      <c r="D1306" t="s">
        <v>451</v>
      </c>
      <c r="E1306" t="s">
        <v>524</v>
      </c>
      <c r="F1306" t="s">
        <v>126</v>
      </c>
      <c r="H1306" t="s">
        <v>634</v>
      </c>
      <c r="I1306">
        <v>0</v>
      </c>
      <c r="J1306" t="s">
        <v>451</v>
      </c>
      <c r="K1306" t="s">
        <v>629</v>
      </c>
      <c r="L1306" t="str">
        <f>IFERROR(INDEX(Diccionario!$B:$B,MATCH(F1306,Diccionario!$C:$C,0)),"")</f>
        <v>Ventas</v>
      </c>
      <c r="M1306" t="str">
        <f>IFERROR(INDEX(Diccionario!$H:$H,MATCH(F1306,Diccionario!$C:$C,0)),"")</f>
        <v>Ventas</v>
      </c>
      <c r="N1306" t="str">
        <f>IFERROR(INDEX(Diccionario!$N:$N,MATCH(F1306,Diccionario!$C:$C,0)),"")</f>
        <v>Mensual</v>
      </c>
    </row>
    <row r="1307" spans="1:14" ht="14.25" customHeight="1" x14ac:dyDescent="0.3">
      <c r="A1307" t="s">
        <v>624</v>
      </c>
      <c r="B1307" t="s">
        <v>576</v>
      </c>
      <c r="C1307" t="s">
        <v>523</v>
      </c>
      <c r="D1307" t="s">
        <v>451</v>
      </c>
      <c r="E1307" t="s">
        <v>524</v>
      </c>
      <c r="F1307" t="s">
        <v>132</v>
      </c>
      <c r="H1307" t="s">
        <v>634</v>
      </c>
      <c r="I1307">
        <v>0</v>
      </c>
      <c r="J1307" t="s">
        <v>451</v>
      </c>
      <c r="K1307" t="s">
        <v>629</v>
      </c>
      <c r="L1307" t="str">
        <f>IFERROR(INDEX(Diccionario!$B:$B,MATCH(F1307,Diccionario!$C:$C,0)),"")</f>
        <v>Ventas</v>
      </c>
      <c r="M1307" t="str">
        <f>IFERROR(INDEX(Diccionario!$H:$H,MATCH(F1307,Diccionario!$C:$C,0)),"")</f>
        <v>Ventas</v>
      </c>
      <c r="N1307" t="str">
        <f>IFERROR(INDEX(Diccionario!$N:$N,MATCH(F1307,Diccionario!$C:$C,0)),"")</f>
        <v>Mensual</v>
      </c>
    </row>
    <row r="1308" spans="1:14" ht="14.25" customHeight="1" x14ac:dyDescent="0.3">
      <c r="A1308" t="s">
        <v>603</v>
      </c>
      <c r="B1308" t="s">
        <v>522</v>
      </c>
      <c r="C1308" t="s">
        <v>523</v>
      </c>
      <c r="D1308" t="s">
        <v>451</v>
      </c>
      <c r="E1308" t="s">
        <v>524</v>
      </c>
      <c r="F1308" t="s">
        <v>406</v>
      </c>
      <c r="I1308">
        <v>751453314</v>
      </c>
      <c r="J1308" t="s">
        <v>451</v>
      </c>
      <c r="K1308" t="s">
        <v>635</v>
      </c>
      <c r="L1308" t="s">
        <v>35</v>
      </c>
      <c r="M1308" t="s">
        <v>35</v>
      </c>
      <c r="N1308" t="s">
        <v>24</v>
      </c>
    </row>
    <row r="1309" spans="1:14" ht="14.25" customHeight="1" x14ac:dyDescent="0.3">
      <c r="A1309" t="s">
        <v>603</v>
      </c>
      <c r="B1309" t="s">
        <v>522</v>
      </c>
      <c r="C1309" t="s">
        <v>523</v>
      </c>
      <c r="D1309" t="s">
        <v>451</v>
      </c>
      <c r="E1309" t="s">
        <v>524</v>
      </c>
      <c r="F1309" t="s">
        <v>72</v>
      </c>
      <c r="I1309">
        <v>718109664</v>
      </c>
      <c r="J1309" t="s">
        <v>451</v>
      </c>
      <c r="K1309" t="s">
        <v>636</v>
      </c>
      <c r="L1309" t="s">
        <v>35</v>
      </c>
      <c r="M1309" t="s">
        <v>35</v>
      </c>
      <c r="N1309" t="s">
        <v>24</v>
      </c>
    </row>
    <row r="1310" spans="1:14" ht="14.25" customHeight="1" x14ac:dyDescent="0.3">
      <c r="A1310" t="s">
        <v>603</v>
      </c>
      <c r="B1310" t="s">
        <v>522</v>
      </c>
      <c r="C1310" t="s">
        <v>523</v>
      </c>
      <c r="D1310" t="s">
        <v>451</v>
      </c>
      <c r="E1310" t="s">
        <v>524</v>
      </c>
      <c r="F1310" t="s">
        <v>76</v>
      </c>
      <c r="I1310">
        <v>33343650</v>
      </c>
      <c r="J1310" t="s">
        <v>451</v>
      </c>
      <c r="K1310" t="s">
        <v>637</v>
      </c>
      <c r="L1310" t="s">
        <v>35</v>
      </c>
      <c r="M1310" t="s">
        <v>35</v>
      </c>
      <c r="N1310" t="s">
        <v>24</v>
      </c>
    </row>
    <row r="1311" spans="1:14" ht="14.25" customHeight="1" x14ac:dyDescent="0.3">
      <c r="A1311" t="s">
        <v>603</v>
      </c>
      <c r="B1311" t="s">
        <v>522</v>
      </c>
      <c r="C1311" t="s">
        <v>523</v>
      </c>
      <c r="D1311" t="s">
        <v>451</v>
      </c>
      <c r="E1311" t="s">
        <v>524</v>
      </c>
      <c r="F1311" t="s">
        <v>80</v>
      </c>
      <c r="I1311">
        <v>34975495</v>
      </c>
      <c r="J1311" t="s">
        <v>451</v>
      </c>
      <c r="K1311" t="s">
        <v>638</v>
      </c>
      <c r="L1311" t="s">
        <v>35</v>
      </c>
      <c r="M1311" t="s">
        <v>35</v>
      </c>
      <c r="N1311" t="s">
        <v>24</v>
      </c>
    </row>
    <row r="1312" spans="1:14" ht="14.25" customHeight="1" x14ac:dyDescent="0.3">
      <c r="A1312" t="s">
        <v>603</v>
      </c>
      <c r="B1312" t="s">
        <v>522</v>
      </c>
      <c r="C1312" t="s">
        <v>523</v>
      </c>
      <c r="D1312" t="s">
        <v>451</v>
      </c>
      <c r="E1312" t="s">
        <v>524</v>
      </c>
      <c r="F1312" t="s">
        <v>112</v>
      </c>
      <c r="I1312">
        <v>4480477715</v>
      </c>
      <c r="J1312" t="s">
        <v>451</v>
      </c>
      <c r="K1312" t="s">
        <v>555</v>
      </c>
      <c r="L1312" t="s">
        <v>111</v>
      </c>
      <c r="M1312" t="s">
        <v>35</v>
      </c>
      <c r="N1312" t="s">
        <v>24</v>
      </c>
    </row>
    <row r="1313" spans="1:14" ht="14.25" customHeight="1" x14ac:dyDescent="0.3">
      <c r="A1313" t="s">
        <v>603</v>
      </c>
      <c r="B1313" t="s">
        <v>522</v>
      </c>
      <c r="C1313" t="s">
        <v>523</v>
      </c>
      <c r="D1313" t="s">
        <v>451</v>
      </c>
      <c r="E1313" t="s">
        <v>524</v>
      </c>
      <c r="F1313" t="s">
        <v>269</v>
      </c>
      <c r="I1313">
        <v>1799431102</v>
      </c>
      <c r="J1313" t="s">
        <v>451</v>
      </c>
      <c r="K1313" t="s">
        <v>639</v>
      </c>
      <c r="L1313" t="s">
        <v>36</v>
      </c>
      <c r="M1313" t="s">
        <v>36</v>
      </c>
      <c r="N1313" t="s">
        <v>24</v>
      </c>
    </row>
    <row r="1314" spans="1:14" ht="14.25" customHeight="1" x14ac:dyDescent="0.3">
      <c r="A1314" t="s">
        <v>603</v>
      </c>
      <c r="B1314" t="s">
        <v>522</v>
      </c>
      <c r="C1314" t="s">
        <v>523</v>
      </c>
      <c r="D1314" t="s">
        <v>451</v>
      </c>
      <c r="E1314" t="s">
        <v>524</v>
      </c>
      <c r="F1314" t="s">
        <v>273</v>
      </c>
      <c r="I1314">
        <v>579012623.10000002</v>
      </c>
      <c r="J1314" t="s">
        <v>451</v>
      </c>
      <c r="K1314" t="s">
        <v>640</v>
      </c>
      <c r="L1314" t="s">
        <v>36</v>
      </c>
      <c r="M1314" t="s">
        <v>36</v>
      </c>
      <c r="N1314" t="s">
        <v>24</v>
      </c>
    </row>
    <row r="1315" spans="1:14" ht="14.25" customHeight="1" x14ac:dyDescent="0.3">
      <c r="A1315" t="s">
        <v>603</v>
      </c>
      <c r="B1315" t="s">
        <v>522</v>
      </c>
      <c r="C1315" t="s">
        <v>523</v>
      </c>
      <c r="D1315" t="s">
        <v>451</v>
      </c>
      <c r="E1315" t="s">
        <v>524</v>
      </c>
      <c r="F1315" t="s">
        <v>276</v>
      </c>
      <c r="I1315">
        <v>1503241757.0999999</v>
      </c>
      <c r="J1315" t="s">
        <v>451</v>
      </c>
      <c r="K1315" t="s">
        <v>640</v>
      </c>
      <c r="L1315" t="s">
        <v>36</v>
      </c>
      <c r="M1315" t="s">
        <v>36</v>
      </c>
      <c r="N1315" t="s">
        <v>24</v>
      </c>
    </row>
    <row r="1316" spans="1:14" ht="14.25" customHeight="1" x14ac:dyDescent="0.3">
      <c r="A1316" t="s">
        <v>603</v>
      </c>
      <c r="B1316" t="s">
        <v>522</v>
      </c>
      <c r="C1316" t="s">
        <v>523</v>
      </c>
      <c r="D1316" t="s">
        <v>451</v>
      </c>
      <c r="E1316" t="s">
        <v>524</v>
      </c>
      <c r="F1316" t="s">
        <v>344</v>
      </c>
      <c r="I1316">
        <v>61936947</v>
      </c>
      <c r="J1316" t="s">
        <v>451</v>
      </c>
      <c r="K1316" t="s">
        <v>640</v>
      </c>
      <c r="L1316" t="s">
        <v>36</v>
      </c>
      <c r="M1316" t="s">
        <v>36</v>
      </c>
      <c r="N1316" t="s">
        <v>24</v>
      </c>
    </row>
    <row r="1317" spans="1:14" ht="14.25" customHeight="1" x14ac:dyDescent="0.3">
      <c r="A1317" t="s">
        <v>603</v>
      </c>
      <c r="B1317" t="s">
        <v>522</v>
      </c>
      <c r="C1317" t="s">
        <v>523</v>
      </c>
      <c r="D1317" t="s">
        <v>451</v>
      </c>
      <c r="E1317" t="s">
        <v>524</v>
      </c>
      <c r="F1317" t="s">
        <v>290</v>
      </c>
      <c r="I1317">
        <v>70.760000000000005</v>
      </c>
      <c r="J1317" t="s">
        <v>293</v>
      </c>
      <c r="K1317" t="s">
        <v>641</v>
      </c>
      <c r="L1317" t="s">
        <v>36</v>
      </c>
      <c r="M1317" t="s">
        <v>36</v>
      </c>
      <c r="N1317" t="s">
        <v>24</v>
      </c>
    </row>
    <row r="1318" spans="1:14" ht="14.25" customHeight="1" x14ac:dyDescent="0.3">
      <c r="A1318" t="s">
        <v>603</v>
      </c>
      <c r="B1318" t="s">
        <v>522</v>
      </c>
      <c r="C1318" t="s">
        <v>523</v>
      </c>
      <c r="D1318" t="s">
        <v>451</v>
      </c>
      <c r="E1318" t="s">
        <v>524</v>
      </c>
      <c r="F1318" t="s">
        <v>348</v>
      </c>
      <c r="I1318">
        <v>27.81</v>
      </c>
      <c r="J1318" t="s">
        <v>65</v>
      </c>
      <c r="K1318" t="s">
        <v>642</v>
      </c>
      <c r="L1318" t="s">
        <v>36</v>
      </c>
      <c r="M1318" t="s">
        <v>36</v>
      </c>
      <c r="N1318" t="s">
        <v>24</v>
      </c>
    </row>
    <row r="1319" spans="1:14" ht="14.25" customHeight="1" x14ac:dyDescent="0.3">
      <c r="A1319" t="s">
        <v>603</v>
      </c>
      <c r="B1319" t="s">
        <v>522</v>
      </c>
      <c r="C1319" t="s">
        <v>523</v>
      </c>
      <c r="D1319" t="s">
        <v>451</v>
      </c>
      <c r="E1319" t="s">
        <v>524</v>
      </c>
      <c r="F1319" t="s">
        <v>352</v>
      </c>
      <c r="I1319">
        <v>20.3</v>
      </c>
      <c r="J1319" t="s">
        <v>65</v>
      </c>
      <c r="K1319" t="s">
        <v>642</v>
      </c>
      <c r="L1319" t="s">
        <v>36</v>
      </c>
      <c r="M1319" t="s">
        <v>36</v>
      </c>
      <c r="N1319" t="s">
        <v>24</v>
      </c>
    </row>
    <row r="1320" spans="1:14" ht="14.25" customHeight="1" x14ac:dyDescent="0.3">
      <c r="A1320" t="s">
        <v>603</v>
      </c>
      <c r="B1320" t="s">
        <v>522</v>
      </c>
      <c r="C1320" t="s">
        <v>523</v>
      </c>
      <c r="D1320" t="s">
        <v>451</v>
      </c>
      <c r="E1320" t="s">
        <v>524</v>
      </c>
      <c r="F1320" t="s">
        <v>355</v>
      </c>
      <c r="I1320">
        <v>46.47</v>
      </c>
      <c r="J1320" t="s">
        <v>65</v>
      </c>
      <c r="K1320" t="s">
        <v>643</v>
      </c>
      <c r="L1320" t="s">
        <v>36</v>
      </c>
      <c r="M1320" t="s">
        <v>36</v>
      </c>
      <c r="N1320" t="s">
        <v>24</v>
      </c>
    </row>
    <row r="1321" spans="1:14" ht="14.25" customHeight="1" x14ac:dyDescent="0.3">
      <c r="A1321" t="s">
        <v>603</v>
      </c>
      <c r="B1321" t="s">
        <v>522</v>
      </c>
      <c r="C1321" t="s">
        <v>523</v>
      </c>
      <c r="D1321" t="s">
        <v>451</v>
      </c>
      <c r="E1321" t="s">
        <v>524</v>
      </c>
      <c r="F1321" t="s">
        <v>359</v>
      </c>
      <c r="I1321">
        <v>17.100000000000001</v>
      </c>
      <c r="J1321" t="s">
        <v>65</v>
      </c>
      <c r="K1321" t="s">
        <v>644</v>
      </c>
      <c r="L1321" t="s">
        <v>36</v>
      </c>
      <c r="M1321" t="s">
        <v>36</v>
      </c>
      <c r="N1321" t="s">
        <v>24</v>
      </c>
    </row>
    <row r="1322" spans="1:14" ht="14.25" customHeight="1" x14ac:dyDescent="0.3">
      <c r="A1322" t="s">
        <v>603</v>
      </c>
      <c r="B1322" t="s">
        <v>522</v>
      </c>
      <c r="C1322" t="s">
        <v>523</v>
      </c>
      <c r="D1322" t="s">
        <v>451</v>
      </c>
      <c r="E1322" t="s">
        <v>524</v>
      </c>
      <c r="F1322" t="s">
        <v>363</v>
      </c>
      <c r="I1322">
        <v>0.25</v>
      </c>
      <c r="J1322" t="s">
        <v>65</v>
      </c>
      <c r="K1322" t="s">
        <v>645</v>
      </c>
      <c r="L1322" t="s">
        <v>36</v>
      </c>
      <c r="M1322" t="s">
        <v>36</v>
      </c>
      <c r="N1322" t="s">
        <v>24</v>
      </c>
    </row>
    <row r="1323" spans="1:14" ht="14.25" customHeight="1" x14ac:dyDescent="0.3">
      <c r="A1323" t="s">
        <v>603</v>
      </c>
      <c r="B1323" t="s">
        <v>522</v>
      </c>
      <c r="C1323" t="s">
        <v>523</v>
      </c>
      <c r="D1323" t="s">
        <v>451</v>
      </c>
      <c r="E1323" t="s">
        <v>524</v>
      </c>
      <c r="F1323" t="s">
        <v>304</v>
      </c>
      <c r="H1323" t="s">
        <v>561</v>
      </c>
      <c r="I1323">
        <v>5500000</v>
      </c>
      <c r="J1323" t="s">
        <v>451</v>
      </c>
      <c r="L1323" t="s">
        <v>36</v>
      </c>
      <c r="M1323" t="s">
        <v>36</v>
      </c>
      <c r="N1323" t="s">
        <v>24</v>
      </c>
    </row>
    <row r="1324" spans="1:14" ht="14.25" customHeight="1" x14ac:dyDescent="0.3">
      <c r="A1324" t="s">
        <v>603</v>
      </c>
      <c r="B1324" t="s">
        <v>522</v>
      </c>
      <c r="C1324" t="s">
        <v>523</v>
      </c>
      <c r="D1324" t="s">
        <v>451</v>
      </c>
      <c r="E1324" t="s">
        <v>524</v>
      </c>
      <c r="F1324" t="s">
        <v>304</v>
      </c>
      <c r="H1324" t="s">
        <v>562</v>
      </c>
      <c r="I1324">
        <v>268800000</v>
      </c>
      <c r="J1324" t="s">
        <v>451</v>
      </c>
      <c r="L1324" t="s">
        <v>36</v>
      </c>
      <c r="M1324" t="s">
        <v>36</v>
      </c>
      <c r="N1324" t="s">
        <v>24</v>
      </c>
    </row>
    <row r="1325" spans="1:14" ht="14.25" customHeight="1" x14ac:dyDescent="0.3">
      <c r="A1325" t="s">
        <v>603</v>
      </c>
      <c r="B1325" t="s">
        <v>522</v>
      </c>
      <c r="C1325" t="s">
        <v>523</v>
      </c>
      <c r="D1325" t="s">
        <v>451</v>
      </c>
      <c r="E1325" t="s">
        <v>524</v>
      </c>
      <c r="F1325" t="s">
        <v>304</v>
      </c>
      <c r="H1325" t="s">
        <v>563</v>
      </c>
      <c r="I1325">
        <v>188500000</v>
      </c>
      <c r="J1325" t="s">
        <v>451</v>
      </c>
      <c r="L1325" t="s">
        <v>36</v>
      </c>
      <c r="M1325" t="s">
        <v>36</v>
      </c>
      <c r="N1325" t="s">
        <v>24</v>
      </c>
    </row>
    <row r="1326" spans="1:14" ht="14.25" customHeight="1" x14ac:dyDescent="0.3">
      <c r="A1326" t="s">
        <v>603</v>
      </c>
      <c r="B1326" t="s">
        <v>522</v>
      </c>
      <c r="C1326" t="s">
        <v>523</v>
      </c>
      <c r="D1326" t="s">
        <v>451</v>
      </c>
      <c r="E1326" t="s">
        <v>524</v>
      </c>
      <c r="F1326" t="s">
        <v>304</v>
      </c>
      <c r="H1326" t="s">
        <v>190</v>
      </c>
      <c r="I1326">
        <v>146800000</v>
      </c>
      <c r="J1326" t="s">
        <v>451</v>
      </c>
      <c r="L1326" t="s">
        <v>36</v>
      </c>
      <c r="M1326" t="s">
        <v>36</v>
      </c>
      <c r="N1326" t="s">
        <v>24</v>
      </c>
    </row>
    <row r="1327" spans="1:14" ht="14.25" customHeight="1" x14ac:dyDescent="0.3">
      <c r="A1327" t="s">
        <v>603</v>
      </c>
      <c r="B1327" t="s">
        <v>522</v>
      </c>
      <c r="C1327" t="s">
        <v>523</v>
      </c>
      <c r="D1327" t="s">
        <v>451</v>
      </c>
      <c r="E1327" t="s">
        <v>524</v>
      </c>
      <c r="F1327" t="s">
        <v>304</v>
      </c>
      <c r="H1327" t="s">
        <v>564</v>
      </c>
      <c r="I1327">
        <v>112200000</v>
      </c>
      <c r="J1327" t="s">
        <v>451</v>
      </c>
      <c r="L1327" t="s">
        <v>36</v>
      </c>
      <c r="M1327" t="s">
        <v>36</v>
      </c>
      <c r="N1327" t="s">
        <v>24</v>
      </c>
    </row>
    <row r="1328" spans="1:14" ht="14.25" customHeight="1" x14ac:dyDescent="0.3">
      <c r="A1328" t="s">
        <v>603</v>
      </c>
      <c r="B1328" t="s">
        <v>522</v>
      </c>
      <c r="C1328" t="s">
        <v>523</v>
      </c>
      <c r="D1328" t="s">
        <v>451</v>
      </c>
      <c r="E1328" t="s">
        <v>524</v>
      </c>
      <c r="F1328" t="s">
        <v>309</v>
      </c>
      <c r="H1328" t="s">
        <v>565</v>
      </c>
      <c r="I1328">
        <v>57300000</v>
      </c>
      <c r="J1328" t="s">
        <v>451</v>
      </c>
      <c r="L1328" t="s">
        <v>36</v>
      </c>
      <c r="M1328" t="s">
        <v>36</v>
      </c>
      <c r="N1328" t="s">
        <v>24</v>
      </c>
    </row>
    <row r="1329" spans="1:14" ht="14.25" customHeight="1" x14ac:dyDescent="0.3">
      <c r="A1329" t="s">
        <v>603</v>
      </c>
      <c r="B1329" t="s">
        <v>522</v>
      </c>
      <c r="C1329" t="s">
        <v>523</v>
      </c>
      <c r="D1329" t="s">
        <v>451</v>
      </c>
      <c r="E1329" t="s">
        <v>524</v>
      </c>
      <c r="F1329" t="s">
        <v>309</v>
      </c>
      <c r="H1329" t="s">
        <v>566</v>
      </c>
      <c r="I1329">
        <v>19500000</v>
      </c>
      <c r="J1329" t="s">
        <v>451</v>
      </c>
      <c r="L1329" t="s">
        <v>36</v>
      </c>
      <c r="M1329" t="s">
        <v>36</v>
      </c>
      <c r="N1329" t="s">
        <v>24</v>
      </c>
    </row>
    <row r="1330" spans="1:14" ht="14.25" customHeight="1" x14ac:dyDescent="0.3">
      <c r="A1330" t="s">
        <v>603</v>
      </c>
      <c r="B1330" t="s">
        <v>522</v>
      </c>
      <c r="C1330" t="s">
        <v>523</v>
      </c>
      <c r="D1330" t="s">
        <v>451</v>
      </c>
      <c r="E1330" t="s">
        <v>524</v>
      </c>
      <c r="F1330" t="s">
        <v>309</v>
      </c>
      <c r="H1330" t="s">
        <v>567</v>
      </c>
      <c r="I1330">
        <v>10000000</v>
      </c>
      <c r="J1330" t="s">
        <v>451</v>
      </c>
      <c r="L1330" t="s">
        <v>36</v>
      </c>
      <c r="M1330" t="s">
        <v>36</v>
      </c>
      <c r="N1330" t="s">
        <v>24</v>
      </c>
    </row>
    <row r="1331" spans="1:14" ht="14.25" customHeight="1" x14ac:dyDescent="0.3">
      <c r="A1331" t="s">
        <v>603</v>
      </c>
      <c r="B1331" t="s">
        <v>522</v>
      </c>
      <c r="C1331" t="s">
        <v>523</v>
      </c>
      <c r="D1331" t="s">
        <v>451</v>
      </c>
      <c r="E1331" t="s">
        <v>524</v>
      </c>
      <c r="F1331" t="s">
        <v>309</v>
      </c>
      <c r="H1331" t="s">
        <v>568</v>
      </c>
      <c r="I1331">
        <v>900000</v>
      </c>
      <c r="J1331" t="s">
        <v>451</v>
      </c>
      <c r="L1331" t="s">
        <v>36</v>
      </c>
      <c r="M1331" t="s">
        <v>36</v>
      </c>
      <c r="N1331" t="s">
        <v>24</v>
      </c>
    </row>
    <row r="1332" spans="1:14" ht="14.25" customHeight="1" x14ac:dyDescent="0.3">
      <c r="A1332" t="s">
        <v>603</v>
      </c>
      <c r="B1332" t="s">
        <v>522</v>
      </c>
      <c r="C1332" t="s">
        <v>523</v>
      </c>
      <c r="D1332" t="s">
        <v>451</v>
      </c>
      <c r="E1332" t="s">
        <v>524</v>
      </c>
      <c r="F1332" t="s">
        <v>309</v>
      </c>
      <c r="H1332" t="s">
        <v>569</v>
      </c>
      <c r="I1332">
        <v>3400000</v>
      </c>
      <c r="J1332" t="s">
        <v>451</v>
      </c>
      <c r="L1332" t="s">
        <v>36</v>
      </c>
      <c r="M1332" t="s">
        <v>36</v>
      </c>
      <c r="N1332" t="s">
        <v>24</v>
      </c>
    </row>
    <row r="1333" spans="1:14" ht="14.25" customHeight="1" x14ac:dyDescent="0.3">
      <c r="A1333" t="s">
        <v>603</v>
      </c>
      <c r="B1333" t="s">
        <v>522</v>
      </c>
      <c r="C1333" t="s">
        <v>523</v>
      </c>
      <c r="D1333" t="s">
        <v>451</v>
      </c>
      <c r="E1333" t="s">
        <v>524</v>
      </c>
      <c r="F1333" t="s">
        <v>309</v>
      </c>
      <c r="H1333" t="s">
        <v>570</v>
      </c>
      <c r="I1333">
        <v>80000</v>
      </c>
      <c r="J1333" t="s">
        <v>451</v>
      </c>
      <c r="L1333" t="s">
        <v>36</v>
      </c>
      <c r="M1333" t="s">
        <v>36</v>
      </c>
      <c r="N1333" t="s">
        <v>24</v>
      </c>
    </row>
    <row r="1334" spans="1:14" ht="14.25" customHeight="1" x14ac:dyDescent="0.3">
      <c r="A1334" t="s">
        <v>603</v>
      </c>
      <c r="B1334" t="s">
        <v>522</v>
      </c>
      <c r="C1334" t="s">
        <v>523</v>
      </c>
      <c r="E1334" t="s">
        <v>524</v>
      </c>
      <c r="F1334" t="s">
        <v>279</v>
      </c>
      <c r="H1334" t="s">
        <v>646</v>
      </c>
      <c r="I1334">
        <v>17</v>
      </c>
      <c r="J1334" t="s">
        <v>65</v>
      </c>
      <c r="K1334" t="s">
        <v>640</v>
      </c>
      <c r="L1334" t="s">
        <v>36</v>
      </c>
      <c r="M1334" t="s">
        <v>36</v>
      </c>
      <c r="N1334" t="s">
        <v>24</v>
      </c>
    </row>
    <row r="1335" spans="1:14" ht="14.25" customHeight="1" x14ac:dyDescent="0.3">
      <c r="A1335" t="s">
        <v>603</v>
      </c>
      <c r="B1335" t="s">
        <v>522</v>
      </c>
      <c r="C1335" t="s">
        <v>523</v>
      </c>
      <c r="E1335" t="s">
        <v>524</v>
      </c>
      <c r="F1335" t="s">
        <v>279</v>
      </c>
      <c r="H1335" t="s">
        <v>647</v>
      </c>
      <c r="I1335">
        <v>9.6</v>
      </c>
      <c r="J1335" t="s">
        <v>65</v>
      </c>
      <c r="K1335" t="s">
        <v>640</v>
      </c>
      <c r="L1335" t="s">
        <v>36</v>
      </c>
      <c r="M1335" t="s">
        <v>36</v>
      </c>
      <c r="N1335" t="s">
        <v>24</v>
      </c>
    </row>
    <row r="1336" spans="1:14" ht="14.25" customHeight="1" x14ac:dyDescent="0.3">
      <c r="A1336" t="s">
        <v>603</v>
      </c>
      <c r="B1336" t="s">
        <v>522</v>
      </c>
      <c r="C1336" t="s">
        <v>523</v>
      </c>
      <c r="E1336" t="s">
        <v>524</v>
      </c>
      <c r="F1336" t="s">
        <v>279</v>
      </c>
      <c r="H1336" t="s">
        <v>648</v>
      </c>
      <c r="I1336">
        <v>5.3</v>
      </c>
      <c r="J1336" t="s">
        <v>65</v>
      </c>
      <c r="K1336" t="s">
        <v>640</v>
      </c>
      <c r="L1336" t="s">
        <v>36</v>
      </c>
      <c r="M1336" t="s">
        <v>36</v>
      </c>
      <c r="N1336" t="s">
        <v>24</v>
      </c>
    </row>
    <row r="1337" spans="1:14" ht="14.25" customHeight="1" x14ac:dyDescent="0.3">
      <c r="A1337" t="s">
        <v>603</v>
      </c>
      <c r="B1337" t="s">
        <v>522</v>
      </c>
      <c r="C1337" t="s">
        <v>523</v>
      </c>
      <c r="E1337" t="s">
        <v>524</v>
      </c>
      <c r="F1337" t="s">
        <v>279</v>
      </c>
      <c r="H1337" t="s">
        <v>649</v>
      </c>
      <c r="I1337">
        <v>4.9000000000000004</v>
      </c>
      <c r="J1337" t="s">
        <v>65</v>
      </c>
      <c r="K1337" t="s">
        <v>640</v>
      </c>
      <c r="L1337" t="s">
        <v>36</v>
      </c>
      <c r="M1337" t="s">
        <v>36</v>
      </c>
      <c r="N1337" t="s">
        <v>24</v>
      </c>
    </row>
    <row r="1338" spans="1:14" ht="14.25" customHeight="1" x14ac:dyDescent="0.3">
      <c r="A1338" t="s">
        <v>603</v>
      </c>
      <c r="B1338" t="s">
        <v>522</v>
      </c>
      <c r="C1338" t="s">
        <v>523</v>
      </c>
      <c r="E1338" t="s">
        <v>524</v>
      </c>
      <c r="F1338" t="s">
        <v>279</v>
      </c>
      <c r="H1338" t="s">
        <v>587</v>
      </c>
      <c r="I1338">
        <v>4.9000000000000004</v>
      </c>
      <c r="J1338" t="s">
        <v>65</v>
      </c>
      <c r="K1338" t="s">
        <v>640</v>
      </c>
      <c r="L1338" t="s">
        <v>36</v>
      </c>
      <c r="M1338" t="s">
        <v>36</v>
      </c>
      <c r="N1338" t="s">
        <v>24</v>
      </c>
    </row>
    <row r="1339" spans="1:14" ht="14.25" customHeight="1" x14ac:dyDescent="0.3">
      <c r="A1339" t="s">
        <v>603</v>
      </c>
      <c r="B1339" t="s">
        <v>522</v>
      </c>
      <c r="C1339" t="s">
        <v>523</v>
      </c>
      <c r="E1339" t="s">
        <v>524</v>
      </c>
      <c r="F1339" t="s">
        <v>279</v>
      </c>
      <c r="H1339" t="s">
        <v>650</v>
      </c>
      <c r="I1339">
        <v>4.8</v>
      </c>
      <c r="J1339" t="s">
        <v>65</v>
      </c>
      <c r="K1339" t="s">
        <v>640</v>
      </c>
      <c r="L1339" t="s">
        <v>36</v>
      </c>
      <c r="M1339" t="s">
        <v>36</v>
      </c>
      <c r="N1339" t="s">
        <v>24</v>
      </c>
    </row>
    <row r="1340" spans="1:14" ht="14.25" customHeight="1" x14ac:dyDescent="0.3">
      <c r="A1340" t="s">
        <v>603</v>
      </c>
      <c r="B1340" t="s">
        <v>522</v>
      </c>
      <c r="C1340" t="s">
        <v>523</v>
      </c>
      <c r="E1340" t="s">
        <v>524</v>
      </c>
      <c r="F1340" t="s">
        <v>279</v>
      </c>
      <c r="H1340" t="s">
        <v>576</v>
      </c>
      <c r="I1340">
        <v>53.5</v>
      </c>
      <c r="J1340" t="s">
        <v>65</v>
      </c>
      <c r="K1340" t="s">
        <v>640</v>
      </c>
      <c r="L1340" t="s">
        <v>36</v>
      </c>
      <c r="M1340" t="s">
        <v>36</v>
      </c>
      <c r="N1340" t="s">
        <v>24</v>
      </c>
    </row>
    <row r="1341" spans="1:14" ht="14.25" customHeight="1" x14ac:dyDescent="0.3">
      <c r="A1341" t="s">
        <v>549</v>
      </c>
      <c r="B1341" t="s">
        <v>522</v>
      </c>
      <c r="C1341" t="s">
        <v>523</v>
      </c>
      <c r="D1341" t="s">
        <v>451</v>
      </c>
      <c r="E1341" t="s">
        <v>524</v>
      </c>
      <c r="F1341" t="s">
        <v>442</v>
      </c>
      <c r="I1341">
        <v>612247701</v>
      </c>
      <c r="J1341" t="s">
        <v>451</v>
      </c>
      <c r="K1341" t="s">
        <v>651</v>
      </c>
      <c r="L1341" t="s">
        <v>35</v>
      </c>
      <c r="M1341" t="s">
        <v>35</v>
      </c>
      <c r="N1341" t="s">
        <v>24</v>
      </c>
    </row>
    <row r="1342" spans="1:14" ht="14.25" customHeight="1" x14ac:dyDescent="0.3">
      <c r="A1342" t="s">
        <v>551</v>
      </c>
      <c r="B1342" t="s">
        <v>522</v>
      </c>
      <c r="C1342" t="s">
        <v>523</v>
      </c>
      <c r="D1342" t="s">
        <v>451</v>
      </c>
      <c r="E1342" t="s">
        <v>524</v>
      </c>
      <c r="F1342" t="s">
        <v>442</v>
      </c>
      <c r="I1342">
        <v>744218137</v>
      </c>
      <c r="J1342" t="s">
        <v>451</v>
      </c>
      <c r="K1342" t="s">
        <v>651</v>
      </c>
      <c r="L1342" t="s">
        <v>35</v>
      </c>
      <c r="M1342" t="s">
        <v>35</v>
      </c>
      <c r="N1342" t="s">
        <v>24</v>
      </c>
    </row>
    <row r="1343" spans="1:14" ht="14.25" customHeight="1" x14ac:dyDescent="0.3">
      <c r="A1343" t="s">
        <v>552</v>
      </c>
      <c r="B1343" t="s">
        <v>522</v>
      </c>
      <c r="C1343" t="s">
        <v>523</v>
      </c>
      <c r="D1343" t="s">
        <v>451</v>
      </c>
      <c r="E1343" t="s">
        <v>524</v>
      </c>
      <c r="F1343" t="s">
        <v>442</v>
      </c>
      <c r="I1343">
        <v>787041187</v>
      </c>
      <c r="J1343" t="s">
        <v>451</v>
      </c>
      <c r="K1343" t="s">
        <v>651</v>
      </c>
      <c r="L1343" t="s">
        <v>35</v>
      </c>
      <c r="M1343" t="s">
        <v>35</v>
      </c>
      <c r="N1343" t="s">
        <v>24</v>
      </c>
    </row>
    <row r="1344" spans="1:14" ht="14.25" customHeight="1" x14ac:dyDescent="0.3">
      <c r="A1344" t="s">
        <v>553</v>
      </c>
      <c r="B1344" t="s">
        <v>522</v>
      </c>
      <c r="C1344" t="s">
        <v>523</v>
      </c>
      <c r="D1344" t="s">
        <v>451</v>
      </c>
      <c r="E1344" t="s">
        <v>524</v>
      </c>
      <c r="F1344" t="s">
        <v>442</v>
      </c>
      <c r="I1344">
        <v>750867662</v>
      </c>
      <c r="J1344" t="s">
        <v>451</v>
      </c>
      <c r="K1344" t="s">
        <v>651</v>
      </c>
      <c r="L1344" t="s">
        <v>35</v>
      </c>
      <c r="M1344" t="s">
        <v>35</v>
      </c>
      <c r="N1344" t="s">
        <v>24</v>
      </c>
    </row>
    <row r="1345" spans="1:14" ht="14.25" customHeight="1" x14ac:dyDescent="0.3">
      <c r="A1345" t="s">
        <v>554</v>
      </c>
      <c r="B1345" t="s">
        <v>522</v>
      </c>
      <c r="C1345" t="s">
        <v>523</v>
      </c>
      <c r="D1345" t="s">
        <v>451</v>
      </c>
      <c r="E1345" t="s">
        <v>524</v>
      </c>
      <c r="F1345" t="s">
        <v>442</v>
      </c>
      <c r="I1345">
        <v>826514746</v>
      </c>
      <c r="J1345" t="s">
        <v>451</v>
      </c>
      <c r="K1345" t="s">
        <v>651</v>
      </c>
      <c r="L1345" t="s">
        <v>35</v>
      </c>
      <c r="M1345" t="s">
        <v>35</v>
      </c>
      <c r="N1345" t="s">
        <v>24</v>
      </c>
    </row>
    <row r="1346" spans="1:14" ht="14.25" customHeight="1" x14ac:dyDescent="0.3">
      <c r="A1346" t="s">
        <v>603</v>
      </c>
      <c r="B1346" t="s">
        <v>522</v>
      </c>
      <c r="C1346" t="s">
        <v>523</v>
      </c>
      <c r="D1346" t="s">
        <v>451</v>
      </c>
      <c r="E1346" t="s">
        <v>524</v>
      </c>
      <c r="F1346" t="s">
        <v>442</v>
      </c>
      <c r="I1346">
        <v>751453314</v>
      </c>
      <c r="J1346" t="s">
        <v>451</v>
      </c>
      <c r="K1346" t="s">
        <v>651</v>
      </c>
      <c r="L1346" t="s">
        <v>35</v>
      </c>
      <c r="M1346" t="s">
        <v>35</v>
      </c>
      <c r="N1346" t="s">
        <v>24</v>
      </c>
    </row>
    <row r="1347" spans="1:14" x14ac:dyDescent="0.3">
      <c r="A1347" t="s">
        <v>549</v>
      </c>
      <c r="B1347" t="s">
        <v>522</v>
      </c>
      <c r="C1347" t="s">
        <v>523</v>
      </c>
      <c r="D1347" t="s">
        <v>451</v>
      </c>
      <c r="E1347" t="s">
        <v>524</v>
      </c>
      <c r="F1347" t="s">
        <v>448</v>
      </c>
      <c r="I1347">
        <v>689690890</v>
      </c>
      <c r="J1347" t="s">
        <v>451</v>
      </c>
      <c r="K1347" t="s">
        <v>651</v>
      </c>
      <c r="L1347" t="s">
        <v>35</v>
      </c>
      <c r="M1347" t="s">
        <v>35</v>
      </c>
      <c r="N1347" t="s">
        <v>24</v>
      </c>
    </row>
    <row r="1348" spans="1:14" x14ac:dyDescent="0.3">
      <c r="A1348" t="s">
        <v>551</v>
      </c>
      <c r="B1348" t="s">
        <v>522</v>
      </c>
      <c r="C1348" t="s">
        <v>523</v>
      </c>
      <c r="D1348" t="s">
        <v>451</v>
      </c>
      <c r="E1348" t="s">
        <v>524</v>
      </c>
      <c r="F1348" t="s">
        <v>448</v>
      </c>
      <c r="I1348">
        <v>744218137</v>
      </c>
      <c r="J1348" t="s">
        <v>451</v>
      </c>
      <c r="K1348" t="s">
        <v>651</v>
      </c>
      <c r="L1348" t="s">
        <v>35</v>
      </c>
      <c r="M1348" t="s">
        <v>35</v>
      </c>
      <c r="N1348" t="s">
        <v>24</v>
      </c>
    </row>
    <row r="1349" spans="1:14" x14ac:dyDescent="0.3">
      <c r="A1349" t="s">
        <v>552</v>
      </c>
      <c r="B1349" t="s">
        <v>522</v>
      </c>
      <c r="C1349" t="s">
        <v>523</v>
      </c>
      <c r="D1349" t="s">
        <v>451</v>
      </c>
      <c r="E1349" t="s">
        <v>524</v>
      </c>
      <c r="F1349" t="s">
        <v>448</v>
      </c>
      <c r="I1349">
        <v>839105106</v>
      </c>
      <c r="J1349" t="s">
        <v>451</v>
      </c>
      <c r="K1349" t="s">
        <v>651</v>
      </c>
      <c r="L1349" t="s">
        <v>35</v>
      </c>
      <c r="M1349" t="s">
        <v>35</v>
      </c>
      <c r="N1349" t="s">
        <v>24</v>
      </c>
    </row>
    <row r="1350" spans="1:14" x14ac:dyDescent="0.3">
      <c r="A1350" t="s">
        <v>553</v>
      </c>
      <c r="B1350" t="s">
        <v>522</v>
      </c>
      <c r="C1350" t="s">
        <v>523</v>
      </c>
      <c r="D1350" t="s">
        <v>451</v>
      </c>
      <c r="E1350" t="s">
        <v>524</v>
      </c>
      <c r="F1350" t="s">
        <v>448</v>
      </c>
      <c r="I1350">
        <v>819197300</v>
      </c>
      <c r="J1350" t="s">
        <v>451</v>
      </c>
      <c r="K1350" t="s">
        <v>651</v>
      </c>
      <c r="L1350" t="s">
        <v>35</v>
      </c>
      <c r="M1350" t="s">
        <v>35</v>
      </c>
      <c r="N1350" t="s">
        <v>24</v>
      </c>
    </row>
    <row r="1351" spans="1:14" x14ac:dyDescent="0.3">
      <c r="A1351" t="s">
        <v>554</v>
      </c>
      <c r="B1351" t="s">
        <v>522</v>
      </c>
      <c r="C1351" t="s">
        <v>523</v>
      </c>
      <c r="D1351" t="s">
        <v>451</v>
      </c>
      <c r="E1351" t="s">
        <v>524</v>
      </c>
      <c r="F1351" t="s">
        <v>448</v>
      </c>
      <c r="I1351">
        <v>881948086</v>
      </c>
      <c r="J1351" t="s">
        <v>451</v>
      </c>
      <c r="K1351" t="s">
        <v>651</v>
      </c>
      <c r="L1351" t="s">
        <v>35</v>
      </c>
      <c r="M1351" t="s">
        <v>35</v>
      </c>
      <c r="N1351" t="s">
        <v>24</v>
      </c>
    </row>
    <row r="1352" spans="1:14" x14ac:dyDescent="0.3">
      <c r="A1352" t="s">
        <v>603</v>
      </c>
      <c r="B1352" t="s">
        <v>522</v>
      </c>
      <c r="C1352" t="s">
        <v>523</v>
      </c>
      <c r="D1352" t="s">
        <v>451</v>
      </c>
      <c r="E1352" t="s">
        <v>524</v>
      </c>
      <c r="F1352" t="s">
        <v>448</v>
      </c>
      <c r="I1352">
        <v>929451219</v>
      </c>
      <c r="J1352" t="s">
        <v>451</v>
      </c>
      <c r="K1352" t="s">
        <v>651</v>
      </c>
      <c r="L1352" t="s">
        <v>35</v>
      </c>
      <c r="M1352" t="s">
        <v>35</v>
      </c>
      <c r="N1352" t="s">
        <v>24</v>
      </c>
    </row>
    <row r="1353" spans="1:14" x14ac:dyDescent="0.3">
      <c r="A1353" t="s">
        <v>549</v>
      </c>
      <c r="B1353" t="s">
        <v>522</v>
      </c>
      <c r="C1353" t="s">
        <v>523</v>
      </c>
      <c r="D1353" t="s">
        <v>451</v>
      </c>
      <c r="E1353" t="s">
        <v>524</v>
      </c>
      <c r="F1353" t="s">
        <v>453</v>
      </c>
      <c r="I1353">
        <v>-77443189</v>
      </c>
      <c r="J1353" t="s">
        <v>451</v>
      </c>
      <c r="K1353" t="s">
        <v>651</v>
      </c>
      <c r="L1353" t="s">
        <v>35</v>
      </c>
      <c r="M1353" t="s">
        <v>35</v>
      </c>
      <c r="N1353" t="s">
        <v>24</v>
      </c>
    </row>
    <row r="1354" spans="1:14" x14ac:dyDescent="0.3">
      <c r="A1354" t="s">
        <v>551</v>
      </c>
      <c r="B1354" t="s">
        <v>522</v>
      </c>
      <c r="C1354" t="s">
        <v>523</v>
      </c>
      <c r="D1354" t="s">
        <v>451</v>
      </c>
      <c r="E1354" t="s">
        <v>524</v>
      </c>
      <c r="F1354" t="s">
        <v>453</v>
      </c>
      <c r="I1354">
        <v>0</v>
      </c>
      <c r="J1354" t="s">
        <v>451</v>
      </c>
      <c r="K1354" t="s">
        <v>651</v>
      </c>
      <c r="L1354" t="s">
        <v>35</v>
      </c>
      <c r="M1354" t="s">
        <v>35</v>
      </c>
      <c r="N1354" t="s">
        <v>24</v>
      </c>
    </row>
    <row r="1355" spans="1:14" x14ac:dyDescent="0.3">
      <c r="A1355" t="s">
        <v>552</v>
      </c>
      <c r="B1355" t="s">
        <v>522</v>
      </c>
      <c r="C1355" t="s">
        <v>523</v>
      </c>
      <c r="D1355" t="s">
        <v>451</v>
      </c>
      <c r="E1355" t="s">
        <v>524</v>
      </c>
      <c r="F1355" t="s">
        <v>453</v>
      </c>
      <c r="I1355">
        <v>-52063919</v>
      </c>
      <c r="J1355" t="s">
        <v>451</v>
      </c>
      <c r="K1355" t="s">
        <v>651</v>
      </c>
      <c r="L1355" t="s">
        <v>35</v>
      </c>
      <c r="M1355" t="s">
        <v>35</v>
      </c>
      <c r="N1355" t="s">
        <v>24</v>
      </c>
    </row>
    <row r="1356" spans="1:14" x14ac:dyDescent="0.3">
      <c r="A1356" t="s">
        <v>553</v>
      </c>
      <c r="B1356" t="s">
        <v>522</v>
      </c>
      <c r="C1356" t="s">
        <v>523</v>
      </c>
      <c r="D1356" t="s">
        <v>451</v>
      </c>
      <c r="E1356" t="s">
        <v>524</v>
      </c>
      <c r="F1356" t="s">
        <v>453</v>
      </c>
      <c r="I1356">
        <v>-68329638</v>
      </c>
      <c r="J1356" t="s">
        <v>451</v>
      </c>
      <c r="K1356" t="s">
        <v>651</v>
      </c>
      <c r="L1356" t="s">
        <v>35</v>
      </c>
      <c r="M1356" t="s">
        <v>35</v>
      </c>
      <c r="N1356" t="s">
        <v>24</v>
      </c>
    </row>
    <row r="1357" spans="1:14" x14ac:dyDescent="0.3">
      <c r="A1357" t="s">
        <v>554</v>
      </c>
      <c r="B1357" t="s">
        <v>522</v>
      </c>
      <c r="C1357" t="s">
        <v>523</v>
      </c>
      <c r="D1357" t="s">
        <v>451</v>
      </c>
      <c r="E1357" t="s">
        <v>524</v>
      </c>
      <c r="F1357" t="s">
        <v>453</v>
      </c>
      <c r="I1357">
        <v>-55433340</v>
      </c>
      <c r="J1357" t="s">
        <v>451</v>
      </c>
      <c r="K1357" t="s">
        <v>651</v>
      </c>
      <c r="L1357" t="s">
        <v>35</v>
      </c>
      <c r="M1357" t="s">
        <v>35</v>
      </c>
      <c r="N1357" t="s">
        <v>24</v>
      </c>
    </row>
    <row r="1358" spans="1:14" x14ac:dyDescent="0.3">
      <c r="A1358" t="s">
        <v>603</v>
      </c>
      <c r="B1358" t="s">
        <v>522</v>
      </c>
      <c r="C1358" t="s">
        <v>523</v>
      </c>
      <c r="D1358" t="s">
        <v>451</v>
      </c>
      <c r="E1358" t="s">
        <v>524</v>
      </c>
      <c r="F1358" t="s">
        <v>453</v>
      </c>
      <c r="I1358">
        <v>-177997905</v>
      </c>
      <c r="J1358" t="s">
        <v>451</v>
      </c>
      <c r="K1358" t="s">
        <v>651</v>
      </c>
      <c r="L1358" t="s">
        <v>35</v>
      </c>
      <c r="M1358" t="s">
        <v>35</v>
      </c>
      <c r="N1358" t="s">
        <v>24</v>
      </c>
    </row>
    <row r="1359" spans="1:14" x14ac:dyDescent="0.3">
      <c r="A1359" t="s">
        <v>549</v>
      </c>
      <c r="B1359" t="s">
        <v>522</v>
      </c>
      <c r="C1359" t="s">
        <v>523</v>
      </c>
      <c r="D1359" t="s">
        <v>451</v>
      </c>
      <c r="E1359" t="s">
        <v>524</v>
      </c>
      <c r="F1359" t="s">
        <v>457</v>
      </c>
      <c r="I1359">
        <v>238535794</v>
      </c>
      <c r="J1359" t="s">
        <v>451</v>
      </c>
      <c r="K1359" t="s">
        <v>651</v>
      </c>
      <c r="L1359" t="s">
        <v>35</v>
      </c>
      <c r="M1359" t="s">
        <v>35</v>
      </c>
      <c r="N1359" t="s">
        <v>24</v>
      </c>
    </row>
    <row r="1360" spans="1:14" x14ac:dyDescent="0.3">
      <c r="A1360" t="s">
        <v>551</v>
      </c>
      <c r="B1360" t="s">
        <v>522</v>
      </c>
      <c r="C1360" t="s">
        <v>523</v>
      </c>
      <c r="D1360" t="s">
        <v>451</v>
      </c>
      <c r="E1360" t="s">
        <v>524</v>
      </c>
      <c r="F1360" t="s">
        <v>457</v>
      </c>
      <c r="I1360">
        <v>343308791</v>
      </c>
      <c r="J1360" t="s">
        <v>451</v>
      </c>
      <c r="K1360" t="s">
        <v>651</v>
      </c>
      <c r="L1360" t="s">
        <v>35</v>
      </c>
      <c r="M1360" t="s">
        <v>35</v>
      </c>
      <c r="N1360" t="s">
        <v>24</v>
      </c>
    </row>
    <row r="1361" spans="1:14" x14ac:dyDescent="0.3">
      <c r="A1361" t="s">
        <v>552</v>
      </c>
      <c r="B1361" t="s">
        <v>522</v>
      </c>
      <c r="C1361" t="s">
        <v>523</v>
      </c>
      <c r="D1361" t="s">
        <v>451</v>
      </c>
      <c r="E1361" t="s">
        <v>524</v>
      </c>
      <c r="F1361" t="s">
        <v>457</v>
      </c>
      <c r="I1361">
        <v>455639201</v>
      </c>
      <c r="J1361" t="s">
        <v>451</v>
      </c>
      <c r="K1361" t="s">
        <v>651</v>
      </c>
      <c r="L1361" t="s">
        <v>35</v>
      </c>
      <c r="M1361" t="s">
        <v>35</v>
      </c>
      <c r="N1361" t="s">
        <v>24</v>
      </c>
    </row>
    <row r="1362" spans="1:14" x14ac:dyDescent="0.3">
      <c r="A1362" t="s">
        <v>553</v>
      </c>
      <c r="B1362" t="s">
        <v>522</v>
      </c>
      <c r="C1362" t="s">
        <v>523</v>
      </c>
      <c r="D1362" t="s">
        <v>451</v>
      </c>
      <c r="E1362" t="s">
        <v>524</v>
      </c>
      <c r="F1362" t="s">
        <v>457</v>
      </c>
      <c r="I1362">
        <v>379273594</v>
      </c>
      <c r="J1362" t="s">
        <v>451</v>
      </c>
      <c r="K1362" t="s">
        <v>651</v>
      </c>
      <c r="L1362" t="s">
        <v>35</v>
      </c>
      <c r="M1362" t="s">
        <v>35</v>
      </c>
      <c r="N1362" t="s">
        <v>24</v>
      </c>
    </row>
    <row r="1363" spans="1:14" x14ac:dyDescent="0.3">
      <c r="A1363" t="s">
        <v>554</v>
      </c>
      <c r="B1363" t="s">
        <v>522</v>
      </c>
      <c r="C1363" t="s">
        <v>523</v>
      </c>
      <c r="D1363" t="s">
        <v>451</v>
      </c>
      <c r="E1363" t="s">
        <v>524</v>
      </c>
      <c r="F1363" t="s">
        <v>457</v>
      </c>
      <c r="I1363">
        <v>355470523</v>
      </c>
      <c r="J1363" t="s">
        <v>451</v>
      </c>
      <c r="K1363" t="s">
        <v>651</v>
      </c>
      <c r="L1363" t="s">
        <v>35</v>
      </c>
      <c r="M1363" t="s">
        <v>35</v>
      </c>
      <c r="N1363" t="s">
        <v>24</v>
      </c>
    </row>
    <row r="1364" spans="1:14" x14ac:dyDescent="0.3">
      <c r="A1364" t="s">
        <v>603</v>
      </c>
      <c r="B1364" t="s">
        <v>522</v>
      </c>
      <c r="C1364" t="s">
        <v>523</v>
      </c>
      <c r="D1364" t="s">
        <v>451</v>
      </c>
      <c r="E1364" t="s">
        <v>524</v>
      </c>
      <c r="F1364" t="s">
        <v>457</v>
      </c>
      <c r="I1364">
        <v>348477606</v>
      </c>
      <c r="J1364" t="s">
        <v>451</v>
      </c>
      <c r="K1364" t="s">
        <v>651</v>
      </c>
      <c r="L1364" t="s">
        <v>35</v>
      </c>
      <c r="M1364" t="s">
        <v>35</v>
      </c>
      <c r="N1364" t="s">
        <v>24</v>
      </c>
    </row>
    <row r="1365" spans="1:14" x14ac:dyDescent="0.3">
      <c r="A1365" t="s">
        <v>549</v>
      </c>
      <c r="B1365" t="s">
        <v>522</v>
      </c>
      <c r="C1365" t="s">
        <v>523</v>
      </c>
      <c r="D1365" t="s">
        <v>451</v>
      </c>
      <c r="E1365" t="s">
        <v>524</v>
      </c>
      <c r="F1365" t="s">
        <v>461</v>
      </c>
      <c r="I1365">
        <v>373711907</v>
      </c>
      <c r="J1365" t="s">
        <v>451</v>
      </c>
      <c r="K1365" t="s">
        <v>651</v>
      </c>
      <c r="L1365" t="s">
        <v>35</v>
      </c>
      <c r="M1365" t="s">
        <v>35</v>
      </c>
      <c r="N1365" t="s">
        <v>24</v>
      </c>
    </row>
    <row r="1366" spans="1:14" x14ac:dyDescent="0.3">
      <c r="A1366" t="s">
        <v>551</v>
      </c>
      <c r="B1366" t="s">
        <v>522</v>
      </c>
      <c r="C1366" t="s">
        <v>523</v>
      </c>
      <c r="D1366" t="s">
        <v>451</v>
      </c>
      <c r="E1366" t="s">
        <v>524</v>
      </c>
      <c r="F1366" t="s">
        <v>461</v>
      </c>
      <c r="I1366">
        <v>400909346</v>
      </c>
      <c r="J1366" t="s">
        <v>451</v>
      </c>
      <c r="K1366" t="s">
        <v>651</v>
      </c>
      <c r="L1366" t="s">
        <v>35</v>
      </c>
      <c r="M1366" t="s">
        <v>35</v>
      </c>
      <c r="N1366" t="s">
        <v>24</v>
      </c>
    </row>
    <row r="1367" spans="1:14" x14ac:dyDescent="0.3">
      <c r="A1367" t="s">
        <v>552</v>
      </c>
      <c r="B1367" t="s">
        <v>522</v>
      </c>
      <c r="C1367" t="s">
        <v>523</v>
      </c>
      <c r="D1367" t="s">
        <v>451</v>
      </c>
      <c r="E1367" t="s">
        <v>524</v>
      </c>
      <c r="F1367" t="s">
        <v>461</v>
      </c>
      <c r="I1367">
        <v>331401986</v>
      </c>
      <c r="J1367" t="s">
        <v>451</v>
      </c>
      <c r="K1367" t="s">
        <v>651</v>
      </c>
      <c r="L1367" t="s">
        <v>35</v>
      </c>
      <c r="M1367" t="s">
        <v>35</v>
      </c>
      <c r="N1367" t="s">
        <v>24</v>
      </c>
    </row>
    <row r="1368" spans="1:14" x14ac:dyDescent="0.3">
      <c r="A1368" t="s">
        <v>553</v>
      </c>
      <c r="B1368" t="s">
        <v>522</v>
      </c>
      <c r="C1368" t="s">
        <v>523</v>
      </c>
      <c r="D1368" t="s">
        <v>451</v>
      </c>
      <c r="E1368" t="s">
        <v>524</v>
      </c>
      <c r="F1368" t="s">
        <v>461</v>
      </c>
      <c r="I1368">
        <v>371594068</v>
      </c>
      <c r="J1368" t="s">
        <v>451</v>
      </c>
      <c r="K1368" t="s">
        <v>651</v>
      </c>
      <c r="L1368" t="s">
        <v>35</v>
      </c>
      <c r="M1368" t="s">
        <v>35</v>
      </c>
      <c r="N1368" t="s">
        <v>24</v>
      </c>
    </row>
    <row r="1369" spans="1:14" x14ac:dyDescent="0.3">
      <c r="A1369" t="s">
        <v>554</v>
      </c>
      <c r="B1369" t="s">
        <v>522</v>
      </c>
      <c r="C1369" t="s">
        <v>523</v>
      </c>
      <c r="D1369" t="s">
        <v>451</v>
      </c>
      <c r="E1369" t="s">
        <v>524</v>
      </c>
      <c r="F1369" t="s">
        <v>461</v>
      </c>
      <c r="I1369">
        <v>471044223</v>
      </c>
      <c r="J1369" t="s">
        <v>451</v>
      </c>
      <c r="K1369" t="s">
        <v>651</v>
      </c>
      <c r="L1369" t="s">
        <v>35</v>
      </c>
      <c r="M1369" t="s">
        <v>35</v>
      </c>
      <c r="N1369" t="s">
        <v>24</v>
      </c>
    </row>
    <row r="1370" spans="1:14" x14ac:dyDescent="0.3">
      <c r="A1370" t="s">
        <v>603</v>
      </c>
      <c r="B1370" t="s">
        <v>522</v>
      </c>
      <c r="C1370" t="s">
        <v>523</v>
      </c>
      <c r="D1370" t="s">
        <v>451</v>
      </c>
      <c r="E1370" t="s">
        <v>524</v>
      </c>
      <c r="F1370" t="s">
        <v>461</v>
      </c>
      <c r="I1370">
        <v>402975708</v>
      </c>
      <c r="J1370" t="s">
        <v>451</v>
      </c>
      <c r="K1370" t="s">
        <v>651</v>
      </c>
      <c r="L1370" t="s">
        <v>35</v>
      </c>
      <c r="M1370" t="s">
        <v>35</v>
      </c>
      <c r="N1370" t="s">
        <v>24</v>
      </c>
    </row>
    <row r="1371" spans="1:14" x14ac:dyDescent="0.3">
      <c r="A1371" t="s">
        <v>549</v>
      </c>
      <c r="B1371" t="s">
        <v>522</v>
      </c>
      <c r="C1371" t="s">
        <v>523</v>
      </c>
      <c r="D1371" t="s">
        <v>451</v>
      </c>
      <c r="E1371" t="s">
        <v>524</v>
      </c>
      <c r="F1371" t="s">
        <v>465</v>
      </c>
      <c r="I1371">
        <v>98722435</v>
      </c>
      <c r="J1371" t="s">
        <v>451</v>
      </c>
      <c r="K1371" t="s">
        <v>651</v>
      </c>
      <c r="L1371" t="s">
        <v>35</v>
      </c>
      <c r="M1371" t="s">
        <v>35</v>
      </c>
      <c r="N1371" t="s">
        <v>24</v>
      </c>
    </row>
    <row r="1372" spans="1:14" x14ac:dyDescent="0.3">
      <c r="A1372" t="s">
        <v>551</v>
      </c>
      <c r="B1372" t="s">
        <v>522</v>
      </c>
      <c r="C1372" t="s">
        <v>523</v>
      </c>
      <c r="D1372" t="s">
        <v>451</v>
      </c>
      <c r="E1372" t="s">
        <v>524</v>
      </c>
      <c r="F1372" t="s">
        <v>465</v>
      </c>
      <c r="I1372">
        <v>105633472</v>
      </c>
      <c r="J1372" t="s">
        <v>451</v>
      </c>
      <c r="K1372" t="s">
        <v>651</v>
      </c>
      <c r="L1372" t="s">
        <v>35</v>
      </c>
      <c r="M1372" t="s">
        <v>35</v>
      </c>
      <c r="N1372" t="s">
        <v>24</v>
      </c>
    </row>
    <row r="1373" spans="1:14" x14ac:dyDescent="0.3">
      <c r="A1373" t="s">
        <v>552</v>
      </c>
      <c r="B1373" t="s">
        <v>522</v>
      </c>
      <c r="C1373" t="s">
        <v>523</v>
      </c>
      <c r="D1373" t="s">
        <v>451</v>
      </c>
      <c r="E1373" t="s">
        <v>524</v>
      </c>
      <c r="F1373" t="s">
        <v>465</v>
      </c>
      <c r="I1373">
        <v>141811865</v>
      </c>
      <c r="J1373" t="s">
        <v>451</v>
      </c>
      <c r="K1373" t="s">
        <v>651</v>
      </c>
      <c r="L1373" t="s">
        <v>35</v>
      </c>
      <c r="M1373" t="s">
        <v>35</v>
      </c>
      <c r="N1373" t="s">
        <v>24</v>
      </c>
    </row>
    <row r="1374" spans="1:14" x14ac:dyDescent="0.3">
      <c r="A1374" t="s">
        <v>553</v>
      </c>
      <c r="B1374" t="s">
        <v>522</v>
      </c>
      <c r="C1374" t="s">
        <v>523</v>
      </c>
      <c r="D1374" t="s">
        <v>451</v>
      </c>
      <c r="E1374" t="s">
        <v>524</v>
      </c>
      <c r="F1374" t="s">
        <v>465</v>
      </c>
      <c r="I1374">
        <v>114280887</v>
      </c>
      <c r="J1374" t="s">
        <v>451</v>
      </c>
      <c r="K1374" t="s">
        <v>651</v>
      </c>
      <c r="L1374" t="s">
        <v>35</v>
      </c>
      <c r="M1374" t="s">
        <v>35</v>
      </c>
      <c r="N1374" t="s">
        <v>24</v>
      </c>
    </row>
    <row r="1375" spans="1:14" x14ac:dyDescent="0.3">
      <c r="A1375" t="s">
        <v>554</v>
      </c>
      <c r="B1375" t="s">
        <v>522</v>
      </c>
      <c r="C1375" t="s">
        <v>523</v>
      </c>
      <c r="D1375" t="s">
        <v>451</v>
      </c>
      <c r="E1375" t="s">
        <v>524</v>
      </c>
      <c r="F1375" t="s">
        <v>465</v>
      </c>
      <c r="I1375">
        <v>116808824</v>
      </c>
      <c r="J1375" t="s">
        <v>451</v>
      </c>
      <c r="K1375" t="s">
        <v>651</v>
      </c>
      <c r="L1375" t="s">
        <v>35</v>
      </c>
      <c r="M1375" t="s">
        <v>35</v>
      </c>
      <c r="N1375" t="s">
        <v>24</v>
      </c>
    </row>
    <row r="1376" spans="1:14" x14ac:dyDescent="0.3">
      <c r="A1376" t="s">
        <v>603</v>
      </c>
      <c r="B1376" t="s">
        <v>522</v>
      </c>
      <c r="C1376" t="s">
        <v>523</v>
      </c>
      <c r="D1376" t="s">
        <v>451</v>
      </c>
      <c r="E1376" t="s">
        <v>524</v>
      </c>
      <c r="F1376" t="s">
        <v>465</v>
      </c>
      <c r="I1376">
        <v>112288693</v>
      </c>
      <c r="J1376" t="s">
        <v>451</v>
      </c>
      <c r="K1376" t="s">
        <v>651</v>
      </c>
      <c r="L1376" t="s">
        <v>35</v>
      </c>
      <c r="M1376" t="s">
        <v>35</v>
      </c>
      <c r="N1376" t="s">
        <v>24</v>
      </c>
    </row>
    <row r="1377" spans="1:14" x14ac:dyDescent="0.3">
      <c r="A1377" t="s">
        <v>549</v>
      </c>
      <c r="B1377" t="s">
        <v>522</v>
      </c>
      <c r="C1377" t="s">
        <v>523</v>
      </c>
      <c r="D1377" t="s">
        <v>451</v>
      </c>
      <c r="E1377" t="s">
        <v>524</v>
      </c>
      <c r="F1377" t="s">
        <v>469</v>
      </c>
      <c r="I1377">
        <v>73409852</v>
      </c>
      <c r="J1377" t="s">
        <v>451</v>
      </c>
      <c r="K1377" t="s">
        <v>651</v>
      </c>
      <c r="L1377" t="s">
        <v>35</v>
      </c>
      <c r="M1377" t="s">
        <v>35</v>
      </c>
      <c r="N1377" t="s">
        <v>24</v>
      </c>
    </row>
    <row r="1378" spans="1:14" x14ac:dyDescent="0.3">
      <c r="A1378" t="s">
        <v>551</v>
      </c>
      <c r="B1378" t="s">
        <v>522</v>
      </c>
      <c r="C1378" t="s">
        <v>523</v>
      </c>
      <c r="D1378" t="s">
        <v>451</v>
      </c>
      <c r="E1378" t="s">
        <v>524</v>
      </c>
      <c r="F1378" t="s">
        <v>469</v>
      </c>
      <c r="I1378">
        <v>75509638</v>
      </c>
      <c r="J1378" t="s">
        <v>451</v>
      </c>
      <c r="K1378" t="s">
        <v>651</v>
      </c>
      <c r="L1378" t="s">
        <v>35</v>
      </c>
      <c r="M1378" t="s">
        <v>35</v>
      </c>
      <c r="N1378" t="s">
        <v>24</v>
      </c>
    </row>
    <row r="1379" spans="1:14" x14ac:dyDescent="0.3">
      <c r="A1379" t="s">
        <v>552</v>
      </c>
      <c r="B1379" t="s">
        <v>522</v>
      </c>
      <c r="C1379" t="s">
        <v>523</v>
      </c>
      <c r="D1379" t="s">
        <v>451</v>
      </c>
      <c r="E1379" t="s">
        <v>524</v>
      </c>
      <c r="F1379" t="s">
        <v>469</v>
      </c>
      <c r="I1379">
        <v>72217138</v>
      </c>
      <c r="J1379" t="s">
        <v>451</v>
      </c>
      <c r="K1379" t="s">
        <v>651</v>
      </c>
      <c r="L1379" t="s">
        <v>35</v>
      </c>
      <c r="M1379" t="s">
        <v>35</v>
      </c>
      <c r="N1379" t="s">
        <v>24</v>
      </c>
    </row>
    <row r="1380" spans="1:14" x14ac:dyDescent="0.3">
      <c r="A1380" t="s">
        <v>553</v>
      </c>
      <c r="B1380" t="s">
        <v>522</v>
      </c>
      <c r="C1380" t="s">
        <v>523</v>
      </c>
      <c r="D1380" t="s">
        <v>451</v>
      </c>
      <c r="E1380" t="s">
        <v>524</v>
      </c>
      <c r="F1380" t="s">
        <v>469</v>
      </c>
      <c r="I1380">
        <v>122384514</v>
      </c>
      <c r="J1380" t="s">
        <v>451</v>
      </c>
      <c r="K1380" t="s">
        <v>651</v>
      </c>
      <c r="L1380" t="s">
        <v>35</v>
      </c>
      <c r="M1380" t="s">
        <v>35</v>
      </c>
      <c r="N1380" t="s">
        <v>24</v>
      </c>
    </row>
    <row r="1381" spans="1:14" x14ac:dyDescent="0.3">
      <c r="A1381" t="s">
        <v>554</v>
      </c>
      <c r="B1381" t="s">
        <v>522</v>
      </c>
      <c r="C1381" t="s">
        <v>523</v>
      </c>
      <c r="D1381" t="s">
        <v>451</v>
      </c>
      <c r="E1381" t="s">
        <v>524</v>
      </c>
      <c r="F1381" t="s">
        <v>469</v>
      </c>
      <c r="I1381">
        <v>120992711</v>
      </c>
      <c r="J1381" t="s">
        <v>451</v>
      </c>
      <c r="K1381" t="s">
        <v>651</v>
      </c>
      <c r="L1381" t="s">
        <v>35</v>
      </c>
      <c r="M1381" t="s">
        <v>35</v>
      </c>
      <c r="N1381" t="s">
        <v>24</v>
      </c>
    </row>
    <row r="1382" spans="1:14" x14ac:dyDescent="0.3">
      <c r="A1382" t="s">
        <v>603</v>
      </c>
      <c r="B1382" t="s">
        <v>522</v>
      </c>
      <c r="C1382" t="s">
        <v>523</v>
      </c>
      <c r="D1382" t="s">
        <v>451</v>
      </c>
      <c r="E1382" t="s">
        <v>524</v>
      </c>
      <c r="F1382" t="s">
        <v>469</v>
      </c>
      <c r="I1382">
        <v>108908060</v>
      </c>
      <c r="J1382" t="s">
        <v>451</v>
      </c>
      <c r="K1382" t="s">
        <v>651</v>
      </c>
      <c r="L1382" t="s">
        <v>35</v>
      </c>
      <c r="M1382" t="s">
        <v>35</v>
      </c>
      <c r="N1382" t="s">
        <v>24</v>
      </c>
    </row>
    <row r="1383" spans="1:14" x14ac:dyDescent="0.3">
      <c r="A1383" t="s">
        <v>549</v>
      </c>
      <c r="B1383" t="s">
        <v>522</v>
      </c>
      <c r="C1383" t="s">
        <v>523</v>
      </c>
      <c r="D1383" t="s">
        <v>451</v>
      </c>
      <c r="E1383" t="s">
        <v>524</v>
      </c>
      <c r="F1383" t="s">
        <v>472</v>
      </c>
      <c r="I1383">
        <v>131600259</v>
      </c>
      <c r="J1383" t="s">
        <v>451</v>
      </c>
      <c r="K1383" t="s">
        <v>651</v>
      </c>
      <c r="L1383" t="s">
        <v>35</v>
      </c>
      <c r="M1383" t="s">
        <v>35</v>
      </c>
      <c r="N1383" t="s">
        <v>24</v>
      </c>
    </row>
    <row r="1384" spans="1:14" x14ac:dyDescent="0.3">
      <c r="A1384" t="s">
        <v>551</v>
      </c>
      <c r="B1384" t="s">
        <v>522</v>
      </c>
      <c r="C1384" t="s">
        <v>523</v>
      </c>
      <c r="D1384" t="s">
        <v>451</v>
      </c>
      <c r="E1384" t="s">
        <v>524</v>
      </c>
      <c r="F1384" t="s">
        <v>472</v>
      </c>
      <c r="I1384">
        <v>173632204</v>
      </c>
      <c r="J1384" t="s">
        <v>451</v>
      </c>
      <c r="K1384" t="s">
        <v>651</v>
      </c>
      <c r="L1384" t="s">
        <v>35</v>
      </c>
      <c r="M1384" t="s">
        <v>35</v>
      </c>
      <c r="N1384" t="s">
        <v>24</v>
      </c>
    </row>
    <row r="1385" spans="1:14" x14ac:dyDescent="0.3">
      <c r="A1385" t="s">
        <v>552</v>
      </c>
      <c r="B1385" t="s">
        <v>522</v>
      </c>
      <c r="C1385" t="s">
        <v>523</v>
      </c>
      <c r="D1385" t="s">
        <v>451</v>
      </c>
      <c r="E1385" t="s">
        <v>524</v>
      </c>
      <c r="F1385" t="s">
        <v>472</v>
      </c>
      <c r="I1385">
        <v>139615776</v>
      </c>
      <c r="J1385" t="s">
        <v>451</v>
      </c>
      <c r="K1385" t="s">
        <v>651</v>
      </c>
      <c r="L1385" t="s">
        <v>35</v>
      </c>
      <c r="M1385" t="s">
        <v>35</v>
      </c>
      <c r="N1385" t="s">
        <v>24</v>
      </c>
    </row>
    <row r="1386" spans="1:14" x14ac:dyDescent="0.3">
      <c r="A1386" t="s">
        <v>553</v>
      </c>
      <c r="B1386" t="s">
        <v>522</v>
      </c>
      <c r="C1386" t="s">
        <v>523</v>
      </c>
      <c r="D1386" t="s">
        <v>451</v>
      </c>
      <c r="E1386" t="s">
        <v>524</v>
      </c>
      <c r="F1386" t="s">
        <v>472</v>
      </c>
      <c r="I1386">
        <v>130090415</v>
      </c>
      <c r="J1386" t="s">
        <v>451</v>
      </c>
      <c r="K1386" t="s">
        <v>651</v>
      </c>
      <c r="L1386" t="s">
        <v>35</v>
      </c>
      <c r="M1386" t="s">
        <v>35</v>
      </c>
      <c r="N1386" t="s">
        <v>24</v>
      </c>
    </row>
    <row r="1387" spans="1:14" x14ac:dyDescent="0.3">
      <c r="A1387" t="s">
        <v>554</v>
      </c>
      <c r="B1387" t="s">
        <v>522</v>
      </c>
      <c r="C1387" t="s">
        <v>523</v>
      </c>
      <c r="D1387" t="s">
        <v>451</v>
      </c>
      <c r="E1387" t="s">
        <v>524</v>
      </c>
      <c r="F1387" t="s">
        <v>472</v>
      </c>
      <c r="I1387">
        <v>120233213</v>
      </c>
      <c r="J1387" t="s">
        <v>451</v>
      </c>
      <c r="K1387" t="s">
        <v>651</v>
      </c>
      <c r="L1387" t="s">
        <v>35</v>
      </c>
      <c r="M1387" t="s">
        <v>35</v>
      </c>
      <c r="N1387" t="s">
        <v>24</v>
      </c>
    </row>
    <row r="1388" spans="1:14" x14ac:dyDescent="0.3">
      <c r="A1388" t="s">
        <v>603</v>
      </c>
      <c r="B1388" t="s">
        <v>522</v>
      </c>
      <c r="C1388" t="s">
        <v>523</v>
      </c>
      <c r="D1388" t="s">
        <v>451</v>
      </c>
      <c r="E1388" t="s">
        <v>524</v>
      </c>
      <c r="F1388" t="s">
        <v>472</v>
      </c>
      <c r="I1388">
        <v>146803460</v>
      </c>
      <c r="J1388" t="s">
        <v>451</v>
      </c>
      <c r="K1388" t="s">
        <v>651</v>
      </c>
      <c r="L1388" t="s">
        <v>35</v>
      </c>
      <c r="M1388" t="s">
        <v>35</v>
      </c>
      <c r="N1388" t="s">
        <v>24</v>
      </c>
    </row>
    <row r="1389" spans="1:14" x14ac:dyDescent="0.3">
      <c r="A1389" t="s">
        <v>549</v>
      </c>
      <c r="B1389" t="s">
        <v>522</v>
      </c>
      <c r="C1389" t="s">
        <v>523</v>
      </c>
      <c r="D1389" t="s">
        <v>451</v>
      </c>
      <c r="E1389" t="s">
        <v>524</v>
      </c>
      <c r="F1389" t="s">
        <v>475</v>
      </c>
      <c r="I1389">
        <v>69979361</v>
      </c>
      <c r="J1389" t="s">
        <v>451</v>
      </c>
      <c r="K1389" t="s">
        <v>651</v>
      </c>
      <c r="L1389" t="s">
        <v>35</v>
      </c>
      <c r="M1389" t="s">
        <v>35</v>
      </c>
      <c r="N1389" t="s">
        <v>24</v>
      </c>
    </row>
    <row r="1390" spans="1:14" x14ac:dyDescent="0.3">
      <c r="A1390" t="s">
        <v>551</v>
      </c>
      <c r="B1390" t="s">
        <v>522</v>
      </c>
      <c r="C1390" t="s">
        <v>523</v>
      </c>
      <c r="D1390" t="s">
        <v>451</v>
      </c>
      <c r="E1390" t="s">
        <v>524</v>
      </c>
      <c r="F1390" t="s">
        <v>475</v>
      </c>
      <c r="I1390">
        <v>46134032</v>
      </c>
      <c r="J1390" t="s">
        <v>451</v>
      </c>
      <c r="K1390" t="s">
        <v>651</v>
      </c>
      <c r="L1390" t="s">
        <v>35</v>
      </c>
      <c r="M1390" t="s">
        <v>35</v>
      </c>
      <c r="N1390" t="s">
        <v>24</v>
      </c>
    </row>
    <row r="1391" spans="1:14" x14ac:dyDescent="0.3">
      <c r="A1391" t="s">
        <v>552</v>
      </c>
      <c r="B1391" t="s">
        <v>522</v>
      </c>
      <c r="C1391" t="s">
        <v>523</v>
      </c>
      <c r="D1391" t="s">
        <v>451</v>
      </c>
      <c r="E1391" t="s">
        <v>524</v>
      </c>
      <c r="F1391" t="s">
        <v>475</v>
      </c>
      <c r="I1391">
        <v>-22242793</v>
      </c>
      <c r="J1391" t="s">
        <v>451</v>
      </c>
      <c r="K1391" t="s">
        <v>651</v>
      </c>
      <c r="L1391" t="s">
        <v>35</v>
      </c>
      <c r="M1391" t="s">
        <v>35</v>
      </c>
      <c r="N1391" t="s">
        <v>24</v>
      </c>
    </row>
    <row r="1392" spans="1:14" x14ac:dyDescent="0.3">
      <c r="A1392" t="s">
        <v>553</v>
      </c>
      <c r="B1392" t="s">
        <v>522</v>
      </c>
      <c r="C1392" t="s">
        <v>523</v>
      </c>
      <c r="D1392" t="s">
        <v>451</v>
      </c>
      <c r="E1392" t="s">
        <v>524</v>
      </c>
      <c r="F1392" t="s">
        <v>475</v>
      </c>
      <c r="I1392">
        <v>4838252</v>
      </c>
      <c r="J1392" t="s">
        <v>451</v>
      </c>
      <c r="K1392" t="s">
        <v>651</v>
      </c>
      <c r="L1392" t="s">
        <v>35</v>
      </c>
      <c r="M1392" t="s">
        <v>35</v>
      </c>
      <c r="N1392" t="s">
        <v>24</v>
      </c>
    </row>
    <row r="1393" spans="1:14" x14ac:dyDescent="0.3">
      <c r="A1393" t="s">
        <v>554</v>
      </c>
      <c r="B1393" t="s">
        <v>522</v>
      </c>
      <c r="C1393" t="s">
        <v>523</v>
      </c>
      <c r="D1393" t="s">
        <v>451</v>
      </c>
      <c r="E1393" t="s">
        <v>524</v>
      </c>
      <c r="F1393" t="s">
        <v>475</v>
      </c>
      <c r="I1393">
        <v>113009475</v>
      </c>
      <c r="J1393" t="s">
        <v>451</v>
      </c>
      <c r="K1393" t="s">
        <v>651</v>
      </c>
      <c r="L1393" t="s">
        <v>35</v>
      </c>
      <c r="M1393" t="s">
        <v>35</v>
      </c>
      <c r="N1393" t="s">
        <v>24</v>
      </c>
    </row>
    <row r="1394" spans="1:14" x14ac:dyDescent="0.3">
      <c r="A1394" t="s">
        <v>603</v>
      </c>
      <c r="B1394" t="s">
        <v>522</v>
      </c>
      <c r="C1394" t="s">
        <v>523</v>
      </c>
      <c r="D1394" t="s">
        <v>451</v>
      </c>
      <c r="E1394" t="s">
        <v>524</v>
      </c>
      <c r="F1394" t="s">
        <v>475</v>
      </c>
      <c r="I1394">
        <v>34975495</v>
      </c>
      <c r="J1394" t="s">
        <v>451</v>
      </c>
      <c r="K1394" t="s">
        <v>651</v>
      </c>
      <c r="L1394" t="s">
        <v>35</v>
      </c>
      <c r="M1394" t="s">
        <v>35</v>
      </c>
      <c r="N1394" t="s">
        <v>24</v>
      </c>
    </row>
    <row r="1395" spans="1:14" x14ac:dyDescent="0.3">
      <c r="A1395" t="s">
        <v>549</v>
      </c>
      <c r="B1395" t="s">
        <v>522</v>
      </c>
      <c r="C1395" t="s">
        <v>523</v>
      </c>
      <c r="D1395" t="s">
        <v>451</v>
      </c>
      <c r="E1395" t="s">
        <v>524</v>
      </c>
      <c r="F1395" t="s">
        <v>479</v>
      </c>
      <c r="I1395">
        <v>597687</v>
      </c>
      <c r="J1395" t="s">
        <v>451</v>
      </c>
      <c r="K1395" t="s">
        <v>651</v>
      </c>
      <c r="L1395" t="s">
        <v>35</v>
      </c>
      <c r="M1395" t="s">
        <v>35</v>
      </c>
      <c r="N1395" t="s">
        <v>24</v>
      </c>
    </row>
    <row r="1396" spans="1:14" x14ac:dyDescent="0.3">
      <c r="A1396" t="s">
        <v>551</v>
      </c>
      <c r="B1396" t="s">
        <v>522</v>
      </c>
      <c r="C1396" t="s">
        <v>523</v>
      </c>
      <c r="D1396" t="s">
        <v>451</v>
      </c>
      <c r="E1396" t="s">
        <v>524</v>
      </c>
      <c r="F1396" t="s">
        <v>479</v>
      </c>
      <c r="I1396">
        <v>13488976</v>
      </c>
      <c r="J1396" t="s">
        <v>451</v>
      </c>
      <c r="K1396" t="s">
        <v>651</v>
      </c>
      <c r="L1396" t="s">
        <v>35</v>
      </c>
      <c r="M1396" t="s">
        <v>35</v>
      </c>
      <c r="N1396" t="s">
        <v>24</v>
      </c>
    </row>
    <row r="1397" spans="1:14" x14ac:dyDescent="0.3">
      <c r="A1397" t="s">
        <v>552</v>
      </c>
      <c r="B1397" t="s">
        <v>522</v>
      </c>
      <c r="C1397" t="s">
        <v>523</v>
      </c>
      <c r="D1397" t="s">
        <v>451</v>
      </c>
      <c r="E1397" t="s">
        <v>524</v>
      </c>
      <c r="F1397" t="s">
        <v>479</v>
      </c>
      <c r="I1397">
        <v>-10197660</v>
      </c>
      <c r="J1397" t="s">
        <v>451</v>
      </c>
      <c r="K1397" t="s">
        <v>651</v>
      </c>
      <c r="L1397" t="s">
        <v>35</v>
      </c>
      <c r="M1397" t="s">
        <v>35</v>
      </c>
      <c r="N1397" t="s">
        <v>24</v>
      </c>
    </row>
    <row r="1398" spans="1:14" x14ac:dyDescent="0.3">
      <c r="A1398" t="s">
        <v>553</v>
      </c>
      <c r="B1398" t="s">
        <v>522</v>
      </c>
      <c r="C1398" t="s">
        <v>523</v>
      </c>
      <c r="D1398" t="s">
        <v>451</v>
      </c>
      <c r="E1398" t="s">
        <v>524</v>
      </c>
      <c r="F1398" t="s">
        <v>479</v>
      </c>
      <c r="I1398">
        <v>906545</v>
      </c>
      <c r="J1398" t="s">
        <v>451</v>
      </c>
      <c r="K1398" t="s">
        <v>651</v>
      </c>
      <c r="L1398" t="s">
        <v>35</v>
      </c>
      <c r="M1398" t="s">
        <v>35</v>
      </c>
      <c r="N1398" t="s">
        <v>24</v>
      </c>
    </row>
    <row r="1399" spans="1:14" x14ac:dyDescent="0.3">
      <c r="A1399" t="s">
        <v>554</v>
      </c>
      <c r="B1399" t="s">
        <v>522</v>
      </c>
      <c r="C1399" t="s">
        <v>523</v>
      </c>
      <c r="D1399" t="s">
        <v>451</v>
      </c>
      <c r="E1399" t="s">
        <v>524</v>
      </c>
      <c r="F1399" t="s">
        <v>479</v>
      </c>
      <c r="I1399">
        <v>1366339</v>
      </c>
      <c r="J1399" t="s">
        <v>451</v>
      </c>
      <c r="K1399" t="s">
        <v>651</v>
      </c>
      <c r="L1399" t="s">
        <v>35</v>
      </c>
      <c r="M1399" t="s">
        <v>35</v>
      </c>
      <c r="N1399" t="s">
        <v>24</v>
      </c>
    </row>
    <row r="1400" spans="1:14" x14ac:dyDescent="0.3">
      <c r="A1400" t="s">
        <v>603</v>
      </c>
      <c r="B1400" t="s">
        <v>522</v>
      </c>
      <c r="C1400" t="s">
        <v>523</v>
      </c>
      <c r="D1400" t="s">
        <v>451</v>
      </c>
      <c r="E1400" t="s">
        <v>524</v>
      </c>
      <c r="F1400" t="s">
        <v>479</v>
      </c>
      <c r="I1400">
        <v>3920249</v>
      </c>
      <c r="J1400" t="s">
        <v>451</v>
      </c>
      <c r="K1400" t="s">
        <v>651</v>
      </c>
      <c r="L1400" t="s">
        <v>35</v>
      </c>
      <c r="M1400" t="s">
        <v>35</v>
      </c>
      <c r="N1400" t="s">
        <v>24</v>
      </c>
    </row>
    <row r="1401" spans="1:14" x14ac:dyDescent="0.3">
      <c r="A1401" t="s">
        <v>549</v>
      </c>
      <c r="B1401" t="s">
        <v>522</v>
      </c>
      <c r="C1401" t="s">
        <v>523</v>
      </c>
      <c r="D1401" t="s">
        <v>451</v>
      </c>
      <c r="E1401" t="s">
        <v>524</v>
      </c>
      <c r="F1401" t="s">
        <v>482</v>
      </c>
      <c r="I1401">
        <v>7091551</v>
      </c>
      <c r="J1401" t="s">
        <v>451</v>
      </c>
      <c r="K1401" t="s">
        <v>651</v>
      </c>
      <c r="L1401" t="s">
        <v>35</v>
      </c>
      <c r="M1401" t="s">
        <v>35</v>
      </c>
      <c r="N1401" t="s">
        <v>24</v>
      </c>
    </row>
    <row r="1402" spans="1:14" x14ac:dyDescent="0.3">
      <c r="A1402" t="s">
        <v>551</v>
      </c>
      <c r="B1402" t="s">
        <v>522</v>
      </c>
      <c r="C1402" t="s">
        <v>523</v>
      </c>
      <c r="D1402" t="s">
        <v>451</v>
      </c>
      <c r="E1402" t="s">
        <v>524</v>
      </c>
      <c r="F1402" t="s">
        <v>482</v>
      </c>
      <c r="I1402">
        <v>5574093</v>
      </c>
      <c r="J1402" t="s">
        <v>451</v>
      </c>
      <c r="K1402" t="s">
        <v>651</v>
      </c>
      <c r="L1402" t="s">
        <v>35</v>
      </c>
      <c r="M1402" t="s">
        <v>35</v>
      </c>
      <c r="N1402" t="s">
        <v>24</v>
      </c>
    </row>
    <row r="1403" spans="1:14" x14ac:dyDescent="0.3">
      <c r="A1403" t="s">
        <v>552</v>
      </c>
      <c r="B1403" t="s">
        <v>522</v>
      </c>
      <c r="C1403" t="s">
        <v>523</v>
      </c>
      <c r="D1403" t="s">
        <v>451</v>
      </c>
      <c r="E1403" t="s">
        <v>524</v>
      </c>
      <c r="F1403" t="s">
        <v>482</v>
      </c>
      <c r="I1403">
        <v>5497554</v>
      </c>
      <c r="J1403" t="s">
        <v>451</v>
      </c>
      <c r="K1403" t="s">
        <v>651</v>
      </c>
      <c r="L1403" t="s">
        <v>35</v>
      </c>
      <c r="M1403" t="s">
        <v>35</v>
      </c>
      <c r="N1403" t="s">
        <v>24</v>
      </c>
    </row>
    <row r="1404" spans="1:14" x14ac:dyDescent="0.3">
      <c r="A1404" t="s">
        <v>553</v>
      </c>
      <c r="B1404" t="s">
        <v>522</v>
      </c>
      <c r="C1404" t="s">
        <v>523</v>
      </c>
      <c r="D1404" t="s">
        <v>451</v>
      </c>
      <c r="E1404" t="s">
        <v>524</v>
      </c>
      <c r="F1404" t="s">
        <v>482</v>
      </c>
      <c r="I1404">
        <v>5038594</v>
      </c>
      <c r="J1404" t="s">
        <v>451</v>
      </c>
      <c r="K1404" t="s">
        <v>651</v>
      </c>
      <c r="L1404" t="s">
        <v>35</v>
      </c>
      <c r="M1404" t="s">
        <v>35</v>
      </c>
      <c r="N1404" t="s">
        <v>24</v>
      </c>
    </row>
    <row r="1405" spans="1:14" x14ac:dyDescent="0.3">
      <c r="A1405" t="s">
        <v>554</v>
      </c>
      <c r="B1405" t="s">
        <v>522</v>
      </c>
      <c r="C1405" t="s">
        <v>523</v>
      </c>
      <c r="D1405" t="s">
        <v>451</v>
      </c>
      <c r="E1405" t="s">
        <v>524</v>
      </c>
      <c r="F1405" t="s">
        <v>482</v>
      </c>
      <c r="I1405">
        <v>6000846</v>
      </c>
      <c r="J1405" t="s">
        <v>451</v>
      </c>
      <c r="K1405" t="s">
        <v>651</v>
      </c>
      <c r="L1405" t="s">
        <v>35</v>
      </c>
      <c r="M1405" t="s">
        <v>35</v>
      </c>
      <c r="N1405" t="s">
        <v>24</v>
      </c>
    </row>
    <row r="1406" spans="1:14" x14ac:dyDescent="0.3">
      <c r="A1406" t="s">
        <v>603</v>
      </c>
      <c r="B1406" t="s">
        <v>522</v>
      </c>
      <c r="C1406" t="s">
        <v>523</v>
      </c>
      <c r="D1406" t="s">
        <v>451</v>
      </c>
      <c r="E1406" t="s">
        <v>524</v>
      </c>
      <c r="F1406" t="s">
        <v>482</v>
      </c>
      <c r="I1406">
        <v>5552094</v>
      </c>
      <c r="J1406" t="s">
        <v>451</v>
      </c>
      <c r="K1406" t="s">
        <v>651</v>
      </c>
      <c r="L1406" t="s">
        <v>35</v>
      </c>
      <c r="M1406" t="s">
        <v>35</v>
      </c>
      <c r="N1406" t="s">
        <v>24</v>
      </c>
    </row>
    <row r="1407" spans="1:14" x14ac:dyDescent="0.3">
      <c r="A1407" t="s">
        <v>549</v>
      </c>
      <c r="B1407" t="s">
        <v>522</v>
      </c>
      <c r="C1407" t="s">
        <v>523</v>
      </c>
      <c r="D1407" t="s">
        <v>451</v>
      </c>
      <c r="E1407" t="s">
        <v>524</v>
      </c>
      <c r="F1407" t="s">
        <v>485</v>
      </c>
      <c r="I1407">
        <v>63485497</v>
      </c>
      <c r="J1407" t="s">
        <v>451</v>
      </c>
      <c r="K1407" t="s">
        <v>651</v>
      </c>
      <c r="L1407" t="s">
        <v>35</v>
      </c>
      <c r="M1407" t="s">
        <v>35</v>
      </c>
      <c r="N1407" t="s">
        <v>24</v>
      </c>
    </row>
    <row r="1408" spans="1:14" x14ac:dyDescent="0.3">
      <c r="A1408" t="s">
        <v>551</v>
      </c>
      <c r="B1408" t="s">
        <v>522</v>
      </c>
      <c r="C1408" t="s">
        <v>523</v>
      </c>
      <c r="D1408" t="s">
        <v>451</v>
      </c>
      <c r="E1408" t="s">
        <v>524</v>
      </c>
      <c r="F1408" t="s">
        <v>485</v>
      </c>
      <c r="I1408">
        <v>54048915</v>
      </c>
      <c r="J1408" t="s">
        <v>451</v>
      </c>
      <c r="K1408" t="s">
        <v>651</v>
      </c>
      <c r="L1408" t="s">
        <v>35</v>
      </c>
      <c r="M1408" t="s">
        <v>35</v>
      </c>
      <c r="N1408" t="s">
        <v>24</v>
      </c>
    </row>
    <row r="1409" spans="1:14" x14ac:dyDescent="0.3">
      <c r="A1409" t="s">
        <v>552</v>
      </c>
      <c r="B1409" t="s">
        <v>522</v>
      </c>
      <c r="C1409" t="s">
        <v>523</v>
      </c>
      <c r="D1409" t="s">
        <v>451</v>
      </c>
      <c r="E1409" t="s">
        <v>524</v>
      </c>
      <c r="F1409" t="s">
        <v>485</v>
      </c>
      <c r="I1409">
        <v>-37938007</v>
      </c>
      <c r="J1409" t="s">
        <v>451</v>
      </c>
      <c r="K1409" t="s">
        <v>651</v>
      </c>
      <c r="L1409" t="s">
        <v>35</v>
      </c>
      <c r="M1409" t="s">
        <v>35</v>
      </c>
      <c r="N1409" t="s">
        <v>24</v>
      </c>
    </row>
    <row r="1410" spans="1:14" x14ac:dyDescent="0.3">
      <c r="A1410" t="s">
        <v>553</v>
      </c>
      <c r="B1410" t="s">
        <v>522</v>
      </c>
      <c r="C1410" t="s">
        <v>523</v>
      </c>
      <c r="D1410" t="s">
        <v>451</v>
      </c>
      <c r="E1410" t="s">
        <v>524</v>
      </c>
      <c r="F1410" t="s">
        <v>485</v>
      </c>
      <c r="I1410">
        <v>706203</v>
      </c>
      <c r="J1410" t="s">
        <v>451</v>
      </c>
      <c r="K1410" t="s">
        <v>651</v>
      </c>
      <c r="L1410" t="s">
        <v>35</v>
      </c>
      <c r="M1410" t="s">
        <v>35</v>
      </c>
      <c r="N1410" t="s">
        <v>24</v>
      </c>
    </row>
    <row r="1411" spans="1:14" x14ac:dyDescent="0.3">
      <c r="A1411" t="s">
        <v>554</v>
      </c>
      <c r="B1411" t="s">
        <v>522</v>
      </c>
      <c r="C1411" t="s">
        <v>523</v>
      </c>
      <c r="D1411" t="s">
        <v>451</v>
      </c>
      <c r="E1411" t="s">
        <v>524</v>
      </c>
      <c r="F1411" t="s">
        <v>485</v>
      </c>
      <c r="I1411">
        <v>108374968</v>
      </c>
      <c r="J1411" t="s">
        <v>451</v>
      </c>
      <c r="K1411" t="s">
        <v>651</v>
      </c>
      <c r="L1411" t="s">
        <v>35</v>
      </c>
      <c r="M1411" t="s">
        <v>35</v>
      </c>
      <c r="N1411" t="s">
        <v>24</v>
      </c>
    </row>
    <row r="1412" spans="1:14" x14ac:dyDescent="0.3">
      <c r="A1412" t="s">
        <v>603</v>
      </c>
      <c r="B1412" t="s">
        <v>522</v>
      </c>
      <c r="C1412" t="s">
        <v>523</v>
      </c>
      <c r="D1412" t="s">
        <v>451</v>
      </c>
      <c r="E1412" t="s">
        <v>524</v>
      </c>
      <c r="F1412" t="s">
        <v>485</v>
      </c>
      <c r="I1412">
        <v>33343650</v>
      </c>
      <c r="J1412" t="s">
        <v>451</v>
      </c>
      <c r="K1412" t="s">
        <v>651</v>
      </c>
      <c r="L1412" t="s">
        <v>35</v>
      </c>
      <c r="M1412" t="s">
        <v>35</v>
      </c>
      <c r="N1412" t="s">
        <v>24</v>
      </c>
    </row>
    <row r="1413" spans="1:14" x14ac:dyDescent="0.3">
      <c r="A1413" t="s">
        <v>553</v>
      </c>
      <c r="B1413" t="s">
        <v>652</v>
      </c>
      <c r="C1413" t="s">
        <v>653</v>
      </c>
      <c r="D1413" t="s">
        <v>496</v>
      </c>
      <c r="E1413" t="s">
        <v>524</v>
      </c>
      <c r="F1413" t="s">
        <v>442</v>
      </c>
      <c r="G1413" t="s">
        <v>654</v>
      </c>
      <c r="I1413">
        <v>17616.150000000001</v>
      </c>
      <c r="J1413" t="s">
        <v>496</v>
      </c>
      <c r="K1413" t="s">
        <v>655</v>
      </c>
      <c r="L1413" t="s">
        <v>221</v>
      </c>
      <c r="M1413" t="s">
        <v>35</v>
      </c>
      <c r="N1413" t="s">
        <v>24</v>
      </c>
    </row>
    <row r="1414" spans="1:14" x14ac:dyDescent="0.3">
      <c r="A1414" t="s">
        <v>553</v>
      </c>
      <c r="B1414" t="s">
        <v>656</v>
      </c>
      <c r="C1414" t="s">
        <v>657</v>
      </c>
      <c r="D1414" t="s">
        <v>496</v>
      </c>
      <c r="E1414" t="s">
        <v>524</v>
      </c>
      <c r="F1414" t="s">
        <v>442</v>
      </c>
      <c r="G1414" t="s">
        <v>654</v>
      </c>
      <c r="I1414">
        <v>2988.97</v>
      </c>
      <c r="J1414" t="s">
        <v>496</v>
      </c>
      <c r="K1414" t="s">
        <v>655</v>
      </c>
      <c r="L1414" t="s">
        <v>221</v>
      </c>
      <c r="M1414" t="s">
        <v>35</v>
      </c>
      <c r="N1414" t="s">
        <v>24</v>
      </c>
    </row>
    <row r="1415" spans="1:14" x14ac:dyDescent="0.3">
      <c r="A1415" t="s">
        <v>553</v>
      </c>
      <c r="B1415" t="s">
        <v>658</v>
      </c>
      <c r="C1415" t="s">
        <v>659</v>
      </c>
      <c r="D1415" t="s">
        <v>496</v>
      </c>
      <c r="E1415" t="s">
        <v>524</v>
      </c>
      <c r="F1415" t="s">
        <v>442</v>
      </c>
      <c r="G1415" t="s">
        <v>654</v>
      </c>
      <c r="I1415">
        <v>0</v>
      </c>
      <c r="J1415" t="s">
        <v>496</v>
      </c>
      <c r="K1415" t="s">
        <v>655</v>
      </c>
      <c r="L1415" t="s">
        <v>221</v>
      </c>
      <c r="M1415" t="s">
        <v>35</v>
      </c>
      <c r="N1415" t="s">
        <v>24</v>
      </c>
    </row>
    <row r="1416" spans="1:14" x14ac:dyDescent="0.3">
      <c r="A1416" t="s">
        <v>553</v>
      </c>
      <c r="B1416" t="s">
        <v>522</v>
      </c>
      <c r="C1416" t="s">
        <v>523</v>
      </c>
      <c r="D1416" t="s">
        <v>496</v>
      </c>
      <c r="E1416" t="s">
        <v>524</v>
      </c>
      <c r="F1416" t="s">
        <v>442</v>
      </c>
      <c r="G1416" t="s">
        <v>654</v>
      </c>
      <c r="I1416">
        <v>207564.28</v>
      </c>
      <c r="J1416" t="s">
        <v>496</v>
      </c>
      <c r="K1416" t="s">
        <v>655</v>
      </c>
      <c r="L1416" t="s">
        <v>221</v>
      </c>
      <c r="M1416" t="s">
        <v>35</v>
      </c>
      <c r="N1416" t="s">
        <v>24</v>
      </c>
    </row>
    <row r="1417" spans="1:14" x14ac:dyDescent="0.3">
      <c r="A1417" t="s">
        <v>553</v>
      </c>
      <c r="B1417" t="s">
        <v>660</v>
      </c>
      <c r="C1417" t="s">
        <v>661</v>
      </c>
      <c r="D1417" t="s">
        <v>496</v>
      </c>
      <c r="E1417" t="s">
        <v>524</v>
      </c>
      <c r="F1417" t="s">
        <v>442</v>
      </c>
      <c r="G1417" t="s">
        <v>654</v>
      </c>
      <c r="I1417">
        <v>228169.4</v>
      </c>
      <c r="J1417" t="s">
        <v>496</v>
      </c>
      <c r="K1417" t="s">
        <v>662</v>
      </c>
      <c r="L1417" t="s">
        <v>221</v>
      </c>
      <c r="M1417" t="s">
        <v>35</v>
      </c>
      <c r="N1417" t="s">
        <v>24</v>
      </c>
    </row>
    <row r="1418" spans="1:14" x14ac:dyDescent="0.3">
      <c r="A1418" t="s">
        <v>554</v>
      </c>
      <c r="B1418" t="s">
        <v>652</v>
      </c>
      <c r="C1418" t="s">
        <v>653</v>
      </c>
      <c r="D1418" t="s">
        <v>496</v>
      </c>
      <c r="E1418" t="s">
        <v>524</v>
      </c>
      <c r="F1418" t="s">
        <v>442</v>
      </c>
      <c r="G1418" t="s">
        <v>654</v>
      </c>
      <c r="I1418">
        <v>9716.4500000000007</v>
      </c>
      <c r="J1418" t="s">
        <v>496</v>
      </c>
      <c r="K1418" t="s">
        <v>655</v>
      </c>
      <c r="L1418" t="s">
        <v>221</v>
      </c>
      <c r="M1418" t="s">
        <v>35</v>
      </c>
      <c r="N1418" t="s">
        <v>24</v>
      </c>
    </row>
    <row r="1419" spans="1:14" x14ac:dyDescent="0.3">
      <c r="A1419" t="s">
        <v>554</v>
      </c>
      <c r="B1419" t="s">
        <v>656</v>
      </c>
      <c r="C1419" t="s">
        <v>657</v>
      </c>
      <c r="D1419" t="s">
        <v>496</v>
      </c>
      <c r="E1419" t="s">
        <v>524</v>
      </c>
      <c r="F1419" t="s">
        <v>442</v>
      </c>
      <c r="G1419" t="s">
        <v>654</v>
      </c>
      <c r="I1419">
        <v>819.21</v>
      </c>
      <c r="J1419" t="s">
        <v>496</v>
      </c>
      <c r="K1419" t="s">
        <v>655</v>
      </c>
      <c r="L1419" t="s">
        <v>221</v>
      </c>
      <c r="M1419" t="s">
        <v>35</v>
      </c>
      <c r="N1419" t="s">
        <v>24</v>
      </c>
    </row>
    <row r="1420" spans="1:14" x14ac:dyDescent="0.3">
      <c r="A1420" t="s">
        <v>554</v>
      </c>
      <c r="B1420" t="s">
        <v>658</v>
      </c>
      <c r="C1420" t="s">
        <v>659</v>
      </c>
      <c r="D1420" t="s">
        <v>496</v>
      </c>
      <c r="E1420" t="s">
        <v>524</v>
      </c>
      <c r="F1420" t="s">
        <v>442</v>
      </c>
      <c r="G1420" t="s">
        <v>654</v>
      </c>
      <c r="I1420">
        <v>0</v>
      </c>
      <c r="J1420" t="s">
        <v>496</v>
      </c>
      <c r="K1420" t="s">
        <v>655</v>
      </c>
      <c r="L1420" t="s">
        <v>221</v>
      </c>
      <c r="M1420" t="s">
        <v>35</v>
      </c>
      <c r="N1420" t="s">
        <v>24</v>
      </c>
    </row>
    <row r="1421" spans="1:14" x14ac:dyDescent="0.3">
      <c r="A1421" t="s">
        <v>554</v>
      </c>
      <c r="B1421" t="s">
        <v>522</v>
      </c>
      <c r="C1421" t="s">
        <v>523</v>
      </c>
      <c r="D1421" t="s">
        <v>496</v>
      </c>
      <c r="E1421" t="s">
        <v>524</v>
      </c>
      <c r="F1421" t="s">
        <v>442</v>
      </c>
      <c r="G1421" t="s">
        <v>654</v>
      </c>
      <c r="I1421">
        <v>222539.06</v>
      </c>
      <c r="J1421" t="s">
        <v>496</v>
      </c>
      <c r="K1421" t="s">
        <v>655</v>
      </c>
      <c r="L1421" t="s">
        <v>221</v>
      </c>
      <c r="M1421" t="s">
        <v>35</v>
      </c>
      <c r="N1421" t="s">
        <v>24</v>
      </c>
    </row>
    <row r="1422" spans="1:14" x14ac:dyDescent="0.3">
      <c r="A1422" t="s">
        <v>554</v>
      </c>
      <c r="B1422" t="s">
        <v>660</v>
      </c>
      <c r="C1422" t="s">
        <v>661</v>
      </c>
      <c r="D1422" t="s">
        <v>496</v>
      </c>
      <c r="E1422" t="s">
        <v>524</v>
      </c>
      <c r="F1422" t="s">
        <v>442</v>
      </c>
      <c r="G1422" t="s">
        <v>654</v>
      </c>
      <c r="I1422">
        <v>233074.72</v>
      </c>
      <c r="J1422" t="s">
        <v>496</v>
      </c>
      <c r="K1422" t="s">
        <v>662</v>
      </c>
      <c r="L1422" t="s">
        <v>221</v>
      </c>
      <c r="M1422" t="s">
        <v>35</v>
      </c>
      <c r="N1422" t="s">
        <v>24</v>
      </c>
    </row>
    <row r="1423" spans="1:14" x14ac:dyDescent="0.3">
      <c r="A1423" t="s">
        <v>603</v>
      </c>
      <c r="B1423" t="s">
        <v>652</v>
      </c>
      <c r="C1423" t="s">
        <v>653</v>
      </c>
      <c r="D1423" t="s">
        <v>496</v>
      </c>
      <c r="E1423" t="s">
        <v>524</v>
      </c>
      <c r="F1423" t="s">
        <v>442</v>
      </c>
      <c r="G1423" t="s">
        <v>654</v>
      </c>
      <c r="I1423">
        <v>5664.45</v>
      </c>
      <c r="J1423" t="s">
        <v>496</v>
      </c>
      <c r="K1423" t="s">
        <v>655</v>
      </c>
      <c r="L1423" t="s">
        <v>221</v>
      </c>
      <c r="M1423" t="s">
        <v>35</v>
      </c>
      <c r="N1423" t="s">
        <v>24</v>
      </c>
    </row>
    <row r="1424" spans="1:14" x14ac:dyDescent="0.3">
      <c r="A1424" t="s">
        <v>603</v>
      </c>
      <c r="B1424" t="s">
        <v>656</v>
      </c>
      <c r="C1424" t="s">
        <v>657</v>
      </c>
      <c r="D1424" t="s">
        <v>496</v>
      </c>
      <c r="E1424" t="s">
        <v>524</v>
      </c>
      <c r="F1424" t="s">
        <v>442</v>
      </c>
      <c r="G1424" t="s">
        <v>654</v>
      </c>
      <c r="I1424">
        <v>1821.51</v>
      </c>
      <c r="J1424" t="s">
        <v>496</v>
      </c>
      <c r="K1424" t="s">
        <v>655</v>
      </c>
      <c r="L1424" t="s">
        <v>221</v>
      </c>
      <c r="M1424" t="s">
        <v>35</v>
      </c>
      <c r="N1424" t="s">
        <v>24</v>
      </c>
    </row>
    <row r="1425" spans="1:14" x14ac:dyDescent="0.3">
      <c r="A1425" t="s">
        <v>603</v>
      </c>
      <c r="B1425" t="s">
        <v>658</v>
      </c>
      <c r="C1425" t="s">
        <v>659</v>
      </c>
      <c r="D1425" t="s">
        <v>496</v>
      </c>
      <c r="E1425" t="s">
        <v>524</v>
      </c>
      <c r="F1425" t="s">
        <v>442</v>
      </c>
      <c r="G1425" t="s">
        <v>654</v>
      </c>
      <c r="I1425">
        <v>0</v>
      </c>
      <c r="J1425" t="s">
        <v>496</v>
      </c>
      <c r="K1425" t="s">
        <v>663</v>
      </c>
      <c r="L1425" t="s">
        <v>221</v>
      </c>
      <c r="M1425" t="s">
        <v>35</v>
      </c>
      <c r="N1425" t="s">
        <v>24</v>
      </c>
    </row>
    <row r="1426" spans="1:14" x14ac:dyDescent="0.3">
      <c r="A1426" t="s">
        <v>603</v>
      </c>
      <c r="B1426" t="s">
        <v>522</v>
      </c>
      <c r="C1426" t="s">
        <v>523</v>
      </c>
      <c r="D1426" t="s">
        <v>496</v>
      </c>
      <c r="E1426" t="s">
        <v>524</v>
      </c>
      <c r="F1426" t="s">
        <v>442</v>
      </c>
      <c r="G1426" t="s">
        <v>654</v>
      </c>
      <c r="I1426">
        <v>214378.26</v>
      </c>
      <c r="J1426" t="s">
        <v>496</v>
      </c>
      <c r="K1426" t="s">
        <v>655</v>
      </c>
      <c r="L1426" t="s">
        <v>221</v>
      </c>
      <c r="M1426" t="s">
        <v>35</v>
      </c>
      <c r="N1426" t="s">
        <v>24</v>
      </c>
    </row>
    <row r="1427" spans="1:14" x14ac:dyDescent="0.3">
      <c r="A1427" t="s">
        <v>603</v>
      </c>
      <c r="B1427" t="s">
        <v>660</v>
      </c>
      <c r="C1427" t="s">
        <v>661</v>
      </c>
      <c r="D1427" t="s">
        <v>496</v>
      </c>
      <c r="E1427" t="s">
        <v>524</v>
      </c>
      <c r="F1427" t="s">
        <v>442</v>
      </c>
      <c r="G1427" t="s">
        <v>654</v>
      </c>
      <c r="I1427">
        <v>221864.22</v>
      </c>
      <c r="J1427" t="s">
        <v>496</v>
      </c>
      <c r="K1427" t="s">
        <v>663</v>
      </c>
      <c r="L1427" t="s">
        <v>221</v>
      </c>
      <c r="M1427" t="s">
        <v>35</v>
      </c>
      <c r="N1427" t="s">
        <v>24</v>
      </c>
    </row>
    <row r="1428" spans="1:14" x14ac:dyDescent="0.3">
      <c r="A1428" t="s">
        <v>553</v>
      </c>
      <c r="B1428" t="s">
        <v>652</v>
      </c>
      <c r="C1428" t="s">
        <v>653</v>
      </c>
      <c r="D1428" t="s">
        <v>496</v>
      </c>
      <c r="E1428" t="s">
        <v>524</v>
      </c>
      <c r="F1428" t="s">
        <v>479</v>
      </c>
      <c r="G1428" t="s">
        <v>654</v>
      </c>
      <c r="I1428">
        <v>0</v>
      </c>
      <c r="J1428" t="s">
        <v>496</v>
      </c>
      <c r="K1428" t="s">
        <v>655</v>
      </c>
      <c r="L1428" t="s">
        <v>221</v>
      </c>
      <c r="M1428" t="s">
        <v>35</v>
      </c>
      <c r="N1428" t="s">
        <v>24</v>
      </c>
    </row>
    <row r="1429" spans="1:14" x14ac:dyDescent="0.3">
      <c r="A1429" t="s">
        <v>553</v>
      </c>
      <c r="B1429" t="s">
        <v>656</v>
      </c>
      <c r="C1429" t="s">
        <v>657</v>
      </c>
      <c r="D1429" t="s">
        <v>496</v>
      </c>
      <c r="E1429" t="s">
        <v>524</v>
      </c>
      <c r="F1429" t="s">
        <v>479</v>
      </c>
      <c r="G1429" t="s">
        <v>654</v>
      </c>
      <c r="I1429">
        <v>0</v>
      </c>
      <c r="J1429" t="s">
        <v>496</v>
      </c>
      <c r="K1429" t="s">
        <v>655</v>
      </c>
      <c r="L1429" t="s">
        <v>221</v>
      </c>
      <c r="M1429" t="s">
        <v>35</v>
      </c>
      <c r="N1429" t="s">
        <v>24</v>
      </c>
    </row>
    <row r="1430" spans="1:14" x14ac:dyDescent="0.3">
      <c r="A1430" t="s">
        <v>553</v>
      </c>
      <c r="B1430" t="s">
        <v>658</v>
      </c>
      <c r="C1430" t="s">
        <v>659</v>
      </c>
      <c r="D1430" t="s">
        <v>496</v>
      </c>
      <c r="E1430" t="s">
        <v>524</v>
      </c>
      <c r="F1430" t="s">
        <v>479</v>
      </c>
      <c r="G1430" t="s">
        <v>654</v>
      </c>
      <c r="I1430">
        <v>0</v>
      </c>
      <c r="J1430" t="s">
        <v>496</v>
      </c>
      <c r="K1430" t="s">
        <v>655</v>
      </c>
      <c r="L1430" t="s">
        <v>221</v>
      </c>
      <c r="M1430" t="s">
        <v>35</v>
      </c>
      <c r="N1430" t="s">
        <v>24</v>
      </c>
    </row>
    <row r="1431" spans="1:14" x14ac:dyDescent="0.3">
      <c r="A1431" t="s">
        <v>553</v>
      </c>
      <c r="B1431" t="s">
        <v>522</v>
      </c>
      <c r="C1431" t="s">
        <v>523</v>
      </c>
      <c r="D1431" t="s">
        <v>496</v>
      </c>
      <c r="E1431" t="s">
        <v>524</v>
      </c>
      <c r="F1431" t="s">
        <v>479</v>
      </c>
      <c r="G1431" t="s">
        <v>654</v>
      </c>
      <c r="I1431">
        <v>250.6</v>
      </c>
      <c r="J1431" t="s">
        <v>496</v>
      </c>
      <c r="K1431" t="s">
        <v>655</v>
      </c>
      <c r="L1431" t="s">
        <v>221</v>
      </c>
      <c r="M1431" t="s">
        <v>35</v>
      </c>
      <c r="N1431" t="s">
        <v>24</v>
      </c>
    </row>
    <row r="1432" spans="1:14" x14ac:dyDescent="0.3">
      <c r="A1432" t="s">
        <v>553</v>
      </c>
      <c r="B1432" t="s">
        <v>660</v>
      </c>
      <c r="C1432" t="s">
        <v>661</v>
      </c>
      <c r="D1432" t="s">
        <v>496</v>
      </c>
      <c r="E1432" t="s">
        <v>524</v>
      </c>
      <c r="F1432" t="s">
        <v>479</v>
      </c>
      <c r="G1432" t="s">
        <v>654</v>
      </c>
      <c r="I1432">
        <v>250.6</v>
      </c>
      <c r="J1432" t="s">
        <v>496</v>
      </c>
      <c r="K1432" t="s">
        <v>662</v>
      </c>
      <c r="L1432" t="s">
        <v>221</v>
      </c>
      <c r="M1432" t="s">
        <v>35</v>
      </c>
      <c r="N1432" t="s">
        <v>24</v>
      </c>
    </row>
    <row r="1433" spans="1:14" x14ac:dyDescent="0.3">
      <c r="A1433" t="s">
        <v>554</v>
      </c>
      <c r="B1433" t="s">
        <v>652</v>
      </c>
      <c r="C1433" t="s">
        <v>653</v>
      </c>
      <c r="D1433" t="s">
        <v>496</v>
      </c>
      <c r="E1433" t="s">
        <v>524</v>
      </c>
      <c r="F1433" t="s">
        <v>479</v>
      </c>
      <c r="G1433" t="s">
        <v>654</v>
      </c>
      <c r="I1433">
        <v>0</v>
      </c>
      <c r="J1433" t="s">
        <v>496</v>
      </c>
      <c r="K1433" t="s">
        <v>655</v>
      </c>
      <c r="L1433" t="s">
        <v>221</v>
      </c>
      <c r="M1433" t="s">
        <v>35</v>
      </c>
      <c r="N1433" t="s">
        <v>24</v>
      </c>
    </row>
    <row r="1434" spans="1:14" x14ac:dyDescent="0.3">
      <c r="A1434" t="s">
        <v>554</v>
      </c>
      <c r="B1434" t="s">
        <v>656</v>
      </c>
      <c r="C1434" t="s">
        <v>657</v>
      </c>
      <c r="D1434" t="s">
        <v>496</v>
      </c>
      <c r="E1434" t="s">
        <v>524</v>
      </c>
      <c r="F1434" t="s">
        <v>479</v>
      </c>
      <c r="G1434" t="s">
        <v>654</v>
      </c>
      <c r="I1434">
        <v>0</v>
      </c>
      <c r="J1434" t="s">
        <v>496</v>
      </c>
      <c r="K1434" t="s">
        <v>655</v>
      </c>
      <c r="L1434" t="s">
        <v>221</v>
      </c>
      <c r="M1434" t="s">
        <v>35</v>
      </c>
      <c r="N1434" t="s">
        <v>24</v>
      </c>
    </row>
    <row r="1435" spans="1:14" x14ac:dyDescent="0.3">
      <c r="A1435" t="s">
        <v>554</v>
      </c>
      <c r="B1435" t="s">
        <v>658</v>
      </c>
      <c r="C1435" t="s">
        <v>659</v>
      </c>
      <c r="D1435" t="s">
        <v>496</v>
      </c>
      <c r="E1435" t="s">
        <v>524</v>
      </c>
      <c r="F1435" t="s">
        <v>479</v>
      </c>
      <c r="G1435" t="s">
        <v>654</v>
      </c>
      <c r="I1435">
        <v>0</v>
      </c>
      <c r="J1435" t="s">
        <v>496</v>
      </c>
      <c r="K1435" t="s">
        <v>655</v>
      </c>
      <c r="L1435" t="s">
        <v>221</v>
      </c>
      <c r="M1435" t="s">
        <v>35</v>
      </c>
      <c r="N1435" t="s">
        <v>24</v>
      </c>
    </row>
    <row r="1436" spans="1:14" x14ac:dyDescent="0.3">
      <c r="A1436" t="s">
        <v>554</v>
      </c>
      <c r="B1436" t="s">
        <v>522</v>
      </c>
      <c r="C1436" t="s">
        <v>523</v>
      </c>
      <c r="D1436" t="s">
        <v>496</v>
      </c>
      <c r="E1436" t="s">
        <v>524</v>
      </c>
      <c r="F1436" t="s">
        <v>479</v>
      </c>
      <c r="G1436" t="s">
        <v>654</v>
      </c>
      <c r="I1436">
        <v>367.89</v>
      </c>
      <c r="J1436" t="s">
        <v>496</v>
      </c>
      <c r="K1436" t="s">
        <v>655</v>
      </c>
      <c r="L1436" t="s">
        <v>221</v>
      </c>
      <c r="M1436" t="s">
        <v>35</v>
      </c>
      <c r="N1436" t="s">
        <v>24</v>
      </c>
    </row>
    <row r="1437" spans="1:14" x14ac:dyDescent="0.3">
      <c r="A1437" t="s">
        <v>554</v>
      </c>
      <c r="B1437" t="s">
        <v>660</v>
      </c>
      <c r="C1437" t="s">
        <v>661</v>
      </c>
      <c r="D1437" t="s">
        <v>496</v>
      </c>
      <c r="E1437" t="s">
        <v>524</v>
      </c>
      <c r="F1437" t="s">
        <v>479</v>
      </c>
      <c r="G1437" t="s">
        <v>654</v>
      </c>
      <c r="I1437">
        <v>367.89</v>
      </c>
      <c r="J1437" t="s">
        <v>496</v>
      </c>
      <c r="K1437" t="s">
        <v>662</v>
      </c>
      <c r="L1437" t="s">
        <v>221</v>
      </c>
      <c r="M1437" t="s">
        <v>35</v>
      </c>
      <c r="N1437" t="s">
        <v>24</v>
      </c>
    </row>
    <row r="1438" spans="1:14" x14ac:dyDescent="0.3">
      <c r="A1438" t="s">
        <v>603</v>
      </c>
      <c r="B1438" t="s">
        <v>652</v>
      </c>
      <c r="C1438" t="s">
        <v>653</v>
      </c>
      <c r="D1438" t="s">
        <v>496</v>
      </c>
      <c r="E1438" t="s">
        <v>524</v>
      </c>
      <c r="F1438" t="s">
        <v>479</v>
      </c>
      <c r="G1438" t="s">
        <v>654</v>
      </c>
      <c r="I1438">
        <v>0</v>
      </c>
      <c r="J1438" t="s">
        <v>496</v>
      </c>
      <c r="K1438" t="s">
        <v>655</v>
      </c>
      <c r="L1438" t="s">
        <v>221</v>
      </c>
      <c r="M1438" t="s">
        <v>35</v>
      </c>
      <c r="N1438" t="s">
        <v>24</v>
      </c>
    </row>
    <row r="1439" spans="1:14" x14ac:dyDescent="0.3">
      <c r="A1439" t="s">
        <v>603</v>
      </c>
      <c r="B1439" t="s">
        <v>656</v>
      </c>
      <c r="C1439" t="s">
        <v>657</v>
      </c>
      <c r="D1439" t="s">
        <v>496</v>
      </c>
      <c r="E1439" t="s">
        <v>524</v>
      </c>
      <c r="F1439" t="s">
        <v>479</v>
      </c>
      <c r="G1439" t="s">
        <v>654</v>
      </c>
      <c r="I1439">
        <v>0</v>
      </c>
      <c r="J1439" t="s">
        <v>496</v>
      </c>
      <c r="K1439" t="s">
        <v>655</v>
      </c>
      <c r="L1439" t="s">
        <v>221</v>
      </c>
      <c r="M1439" t="s">
        <v>35</v>
      </c>
      <c r="N1439" t="s">
        <v>24</v>
      </c>
    </row>
    <row r="1440" spans="1:14" x14ac:dyDescent="0.3">
      <c r="A1440" t="s">
        <v>603</v>
      </c>
      <c r="B1440" t="s">
        <v>658</v>
      </c>
      <c r="C1440" t="s">
        <v>659</v>
      </c>
      <c r="D1440" t="s">
        <v>496</v>
      </c>
      <c r="E1440" t="s">
        <v>524</v>
      </c>
      <c r="F1440" t="s">
        <v>479</v>
      </c>
      <c r="G1440" t="s">
        <v>654</v>
      </c>
      <c r="I1440">
        <v>0</v>
      </c>
      <c r="J1440" t="s">
        <v>496</v>
      </c>
      <c r="K1440" t="s">
        <v>655</v>
      </c>
      <c r="L1440" t="s">
        <v>221</v>
      </c>
      <c r="M1440" t="s">
        <v>35</v>
      </c>
      <c r="N1440" t="s">
        <v>24</v>
      </c>
    </row>
    <row r="1441" spans="1:14" x14ac:dyDescent="0.3">
      <c r="A1441" t="s">
        <v>603</v>
      </c>
      <c r="B1441" t="s">
        <v>522</v>
      </c>
      <c r="C1441" t="s">
        <v>523</v>
      </c>
      <c r="D1441" t="s">
        <v>496</v>
      </c>
      <c r="E1441" t="s">
        <v>524</v>
      </c>
      <c r="F1441" t="s">
        <v>479</v>
      </c>
      <c r="G1441" t="s">
        <v>654</v>
      </c>
      <c r="I1441">
        <v>1118.3900000000001</v>
      </c>
      <c r="J1441" t="s">
        <v>496</v>
      </c>
      <c r="K1441" t="s">
        <v>655</v>
      </c>
      <c r="L1441" t="s">
        <v>221</v>
      </c>
      <c r="M1441" t="s">
        <v>35</v>
      </c>
      <c r="N1441" t="s">
        <v>24</v>
      </c>
    </row>
    <row r="1442" spans="1:14" x14ac:dyDescent="0.3">
      <c r="A1442" t="s">
        <v>603</v>
      </c>
      <c r="B1442" t="s">
        <v>660</v>
      </c>
      <c r="C1442" t="s">
        <v>661</v>
      </c>
      <c r="D1442" t="s">
        <v>496</v>
      </c>
      <c r="E1442" t="s">
        <v>524</v>
      </c>
      <c r="F1442" t="s">
        <v>479</v>
      </c>
      <c r="G1442" t="s">
        <v>654</v>
      </c>
      <c r="I1442">
        <v>1118.3900000000001</v>
      </c>
      <c r="J1442" t="s">
        <v>496</v>
      </c>
      <c r="K1442" t="s">
        <v>662</v>
      </c>
      <c r="L1442" t="s">
        <v>221</v>
      </c>
      <c r="M1442" t="s">
        <v>35</v>
      </c>
      <c r="N1442" t="s">
        <v>24</v>
      </c>
    </row>
    <row r="1443" spans="1:14" x14ac:dyDescent="0.3">
      <c r="A1443" t="s">
        <v>553</v>
      </c>
      <c r="B1443" t="s">
        <v>652</v>
      </c>
      <c r="C1443" t="s">
        <v>653</v>
      </c>
      <c r="D1443" t="s">
        <v>496</v>
      </c>
      <c r="E1443" t="s">
        <v>524</v>
      </c>
      <c r="F1443" t="s">
        <v>457</v>
      </c>
      <c r="G1443" t="s">
        <v>654</v>
      </c>
      <c r="I1443">
        <v>0</v>
      </c>
      <c r="J1443" t="s">
        <v>496</v>
      </c>
      <c r="K1443" t="s">
        <v>655</v>
      </c>
      <c r="L1443" t="s">
        <v>221</v>
      </c>
      <c r="M1443" t="s">
        <v>35</v>
      </c>
      <c r="N1443" t="s">
        <v>24</v>
      </c>
    </row>
    <row r="1444" spans="1:14" x14ac:dyDescent="0.3">
      <c r="A1444" t="s">
        <v>553</v>
      </c>
      <c r="B1444" t="s">
        <v>656</v>
      </c>
      <c r="C1444" t="s">
        <v>657</v>
      </c>
      <c r="D1444" t="s">
        <v>496</v>
      </c>
      <c r="E1444" t="s">
        <v>524</v>
      </c>
      <c r="F1444" t="s">
        <v>457</v>
      </c>
      <c r="G1444" t="s">
        <v>654</v>
      </c>
      <c r="I1444">
        <v>0</v>
      </c>
      <c r="J1444" t="s">
        <v>496</v>
      </c>
      <c r="K1444" t="s">
        <v>655</v>
      </c>
      <c r="L1444" t="s">
        <v>221</v>
      </c>
      <c r="M1444" t="s">
        <v>35</v>
      </c>
      <c r="N1444" t="s">
        <v>24</v>
      </c>
    </row>
    <row r="1445" spans="1:14" x14ac:dyDescent="0.3">
      <c r="A1445" t="s">
        <v>553</v>
      </c>
      <c r="B1445" t="s">
        <v>658</v>
      </c>
      <c r="C1445" t="s">
        <v>659</v>
      </c>
      <c r="D1445" t="s">
        <v>496</v>
      </c>
      <c r="E1445" t="s">
        <v>524</v>
      </c>
      <c r="F1445" t="s">
        <v>457</v>
      </c>
      <c r="G1445" t="s">
        <v>654</v>
      </c>
      <c r="I1445">
        <v>0</v>
      </c>
      <c r="J1445" t="s">
        <v>496</v>
      </c>
      <c r="K1445" t="s">
        <v>655</v>
      </c>
      <c r="L1445" t="s">
        <v>221</v>
      </c>
      <c r="M1445" t="s">
        <v>35</v>
      </c>
      <c r="N1445" t="s">
        <v>24</v>
      </c>
    </row>
    <row r="1446" spans="1:14" x14ac:dyDescent="0.3">
      <c r="A1446" t="s">
        <v>553</v>
      </c>
      <c r="B1446" t="s">
        <v>522</v>
      </c>
      <c r="C1446" t="s">
        <v>523</v>
      </c>
      <c r="D1446" t="s">
        <v>496</v>
      </c>
      <c r="E1446" t="s">
        <v>524</v>
      </c>
      <c r="F1446" t="s">
        <v>457</v>
      </c>
      <c r="G1446" t="s">
        <v>654</v>
      </c>
      <c r="I1446">
        <v>104843.58</v>
      </c>
      <c r="J1446" t="s">
        <v>496</v>
      </c>
      <c r="K1446" t="s">
        <v>655</v>
      </c>
      <c r="L1446" t="s">
        <v>221</v>
      </c>
      <c r="M1446" t="s">
        <v>35</v>
      </c>
      <c r="N1446" t="s">
        <v>24</v>
      </c>
    </row>
    <row r="1447" spans="1:14" x14ac:dyDescent="0.3">
      <c r="A1447" t="s">
        <v>553</v>
      </c>
      <c r="B1447" t="s">
        <v>660</v>
      </c>
      <c r="C1447" t="s">
        <v>661</v>
      </c>
      <c r="D1447" t="s">
        <v>496</v>
      </c>
      <c r="E1447" t="s">
        <v>524</v>
      </c>
      <c r="F1447" t="s">
        <v>457</v>
      </c>
      <c r="G1447" t="s">
        <v>654</v>
      </c>
      <c r="I1447">
        <v>104843.58</v>
      </c>
      <c r="J1447" t="s">
        <v>496</v>
      </c>
      <c r="K1447" t="s">
        <v>662</v>
      </c>
      <c r="L1447" t="s">
        <v>221</v>
      </c>
      <c r="M1447" t="s">
        <v>35</v>
      </c>
      <c r="N1447" t="s">
        <v>24</v>
      </c>
    </row>
    <row r="1448" spans="1:14" x14ac:dyDescent="0.3">
      <c r="A1448" t="s">
        <v>554</v>
      </c>
      <c r="B1448" t="s">
        <v>652</v>
      </c>
      <c r="C1448" t="s">
        <v>653</v>
      </c>
      <c r="D1448" t="s">
        <v>496</v>
      </c>
      <c r="E1448" t="s">
        <v>524</v>
      </c>
      <c r="F1448" t="s">
        <v>457</v>
      </c>
      <c r="G1448" t="s">
        <v>654</v>
      </c>
      <c r="I1448">
        <v>0</v>
      </c>
      <c r="J1448" t="s">
        <v>496</v>
      </c>
      <c r="K1448" t="s">
        <v>655</v>
      </c>
      <c r="L1448" t="s">
        <v>221</v>
      </c>
      <c r="M1448" t="s">
        <v>35</v>
      </c>
      <c r="N1448" t="s">
        <v>24</v>
      </c>
    </row>
    <row r="1449" spans="1:14" x14ac:dyDescent="0.3">
      <c r="A1449" t="s">
        <v>554</v>
      </c>
      <c r="B1449" t="s">
        <v>656</v>
      </c>
      <c r="C1449" t="s">
        <v>657</v>
      </c>
      <c r="D1449" t="s">
        <v>496</v>
      </c>
      <c r="E1449" t="s">
        <v>524</v>
      </c>
      <c r="F1449" t="s">
        <v>457</v>
      </c>
      <c r="G1449" t="s">
        <v>654</v>
      </c>
      <c r="I1449">
        <v>4478.38</v>
      </c>
      <c r="J1449" t="s">
        <v>496</v>
      </c>
      <c r="K1449" t="s">
        <v>655</v>
      </c>
      <c r="L1449" t="s">
        <v>221</v>
      </c>
      <c r="M1449" t="s">
        <v>35</v>
      </c>
      <c r="N1449" t="s">
        <v>24</v>
      </c>
    </row>
    <row r="1450" spans="1:14" x14ac:dyDescent="0.3">
      <c r="A1450" t="s">
        <v>554</v>
      </c>
      <c r="B1450" t="s">
        <v>658</v>
      </c>
      <c r="C1450" t="s">
        <v>659</v>
      </c>
      <c r="D1450" t="s">
        <v>496</v>
      </c>
      <c r="E1450" t="s">
        <v>524</v>
      </c>
      <c r="F1450" t="s">
        <v>457</v>
      </c>
      <c r="G1450" t="s">
        <v>654</v>
      </c>
      <c r="I1450">
        <v>0</v>
      </c>
      <c r="J1450" t="s">
        <v>496</v>
      </c>
      <c r="K1450" t="s">
        <v>655</v>
      </c>
      <c r="L1450" t="s">
        <v>221</v>
      </c>
      <c r="M1450" t="s">
        <v>35</v>
      </c>
      <c r="N1450" t="s">
        <v>24</v>
      </c>
    </row>
    <row r="1451" spans="1:14" x14ac:dyDescent="0.3">
      <c r="A1451" t="s">
        <v>554</v>
      </c>
      <c r="B1451" t="s">
        <v>522</v>
      </c>
      <c r="C1451" t="s">
        <v>523</v>
      </c>
      <c r="D1451" t="s">
        <v>496</v>
      </c>
      <c r="E1451" t="s">
        <v>524</v>
      </c>
      <c r="F1451" t="s">
        <v>457</v>
      </c>
      <c r="G1451" t="s">
        <v>654</v>
      </c>
      <c r="I1451">
        <v>95710.42</v>
      </c>
      <c r="J1451" t="s">
        <v>496</v>
      </c>
      <c r="K1451" t="s">
        <v>655</v>
      </c>
      <c r="L1451" t="s">
        <v>221</v>
      </c>
      <c r="M1451" t="s">
        <v>35</v>
      </c>
      <c r="N1451" t="s">
        <v>24</v>
      </c>
    </row>
    <row r="1452" spans="1:14" x14ac:dyDescent="0.3">
      <c r="A1452" t="s">
        <v>554</v>
      </c>
      <c r="B1452" t="s">
        <v>660</v>
      </c>
      <c r="C1452" t="s">
        <v>661</v>
      </c>
      <c r="D1452" t="s">
        <v>496</v>
      </c>
      <c r="E1452" t="s">
        <v>524</v>
      </c>
      <c r="F1452" t="s">
        <v>457</v>
      </c>
      <c r="G1452" t="s">
        <v>654</v>
      </c>
      <c r="I1452">
        <v>100188.8</v>
      </c>
      <c r="J1452" t="s">
        <v>496</v>
      </c>
      <c r="K1452" t="s">
        <v>662</v>
      </c>
      <c r="L1452" t="s">
        <v>221</v>
      </c>
      <c r="M1452" t="s">
        <v>35</v>
      </c>
      <c r="N1452" t="s">
        <v>24</v>
      </c>
    </row>
    <row r="1453" spans="1:14" x14ac:dyDescent="0.3">
      <c r="A1453" t="s">
        <v>603</v>
      </c>
      <c r="B1453" t="s">
        <v>652</v>
      </c>
      <c r="C1453" t="s">
        <v>653</v>
      </c>
      <c r="D1453" t="s">
        <v>496</v>
      </c>
      <c r="E1453" t="s">
        <v>524</v>
      </c>
      <c r="F1453" t="s">
        <v>457</v>
      </c>
      <c r="G1453" t="s">
        <v>654</v>
      </c>
      <c r="I1453">
        <v>0</v>
      </c>
      <c r="J1453" t="s">
        <v>496</v>
      </c>
      <c r="K1453" t="s">
        <v>655</v>
      </c>
      <c r="L1453" t="s">
        <v>221</v>
      </c>
      <c r="M1453" t="s">
        <v>35</v>
      </c>
      <c r="N1453" t="s">
        <v>24</v>
      </c>
    </row>
    <row r="1454" spans="1:14" x14ac:dyDescent="0.3">
      <c r="A1454" t="s">
        <v>603</v>
      </c>
      <c r="B1454" t="s">
        <v>656</v>
      </c>
      <c r="C1454" t="s">
        <v>657</v>
      </c>
      <c r="D1454" t="s">
        <v>496</v>
      </c>
      <c r="E1454" t="s">
        <v>524</v>
      </c>
      <c r="F1454" t="s">
        <v>457</v>
      </c>
      <c r="G1454" t="s">
        <v>654</v>
      </c>
      <c r="I1454">
        <v>0</v>
      </c>
      <c r="J1454" t="s">
        <v>496</v>
      </c>
      <c r="K1454" t="s">
        <v>655</v>
      </c>
      <c r="L1454" t="s">
        <v>221</v>
      </c>
      <c r="M1454" t="s">
        <v>35</v>
      </c>
      <c r="N1454" t="s">
        <v>24</v>
      </c>
    </row>
    <row r="1455" spans="1:14" x14ac:dyDescent="0.3">
      <c r="A1455" t="s">
        <v>603</v>
      </c>
      <c r="B1455" t="s">
        <v>658</v>
      </c>
      <c r="C1455" t="s">
        <v>659</v>
      </c>
      <c r="D1455" t="s">
        <v>496</v>
      </c>
      <c r="E1455" t="s">
        <v>524</v>
      </c>
      <c r="F1455" t="s">
        <v>457</v>
      </c>
      <c r="G1455" t="s">
        <v>654</v>
      </c>
      <c r="I1455">
        <v>0</v>
      </c>
      <c r="J1455" t="s">
        <v>496</v>
      </c>
      <c r="K1455" t="s">
        <v>655</v>
      </c>
      <c r="L1455" t="s">
        <v>221</v>
      </c>
      <c r="M1455" t="s">
        <v>35</v>
      </c>
      <c r="N1455" t="s">
        <v>24</v>
      </c>
    </row>
    <row r="1456" spans="1:14" x14ac:dyDescent="0.3">
      <c r="A1456" t="s">
        <v>603</v>
      </c>
      <c r="B1456" t="s">
        <v>522</v>
      </c>
      <c r="C1456" t="s">
        <v>523</v>
      </c>
      <c r="D1456" t="s">
        <v>496</v>
      </c>
      <c r="E1456" t="s">
        <v>524</v>
      </c>
      <c r="F1456" t="s">
        <v>457</v>
      </c>
      <c r="G1456" t="s">
        <v>654</v>
      </c>
      <c r="I1456">
        <v>99415.39</v>
      </c>
      <c r="J1456" t="s">
        <v>496</v>
      </c>
      <c r="K1456" t="s">
        <v>655</v>
      </c>
      <c r="L1456" t="s">
        <v>221</v>
      </c>
      <c r="M1456" t="s">
        <v>35</v>
      </c>
      <c r="N1456" t="s">
        <v>24</v>
      </c>
    </row>
    <row r="1457" spans="1:14" x14ac:dyDescent="0.3">
      <c r="A1457" t="s">
        <v>603</v>
      </c>
      <c r="B1457" t="s">
        <v>660</v>
      </c>
      <c r="C1457" t="s">
        <v>661</v>
      </c>
      <c r="D1457" t="s">
        <v>496</v>
      </c>
      <c r="E1457" t="s">
        <v>524</v>
      </c>
      <c r="F1457" t="s">
        <v>457</v>
      </c>
      <c r="G1457" t="s">
        <v>654</v>
      </c>
      <c r="I1457">
        <v>99415.39</v>
      </c>
      <c r="J1457" t="s">
        <v>496</v>
      </c>
      <c r="K1457" t="s">
        <v>662</v>
      </c>
      <c r="L1457" t="s">
        <v>221</v>
      </c>
      <c r="M1457" t="s">
        <v>35</v>
      </c>
      <c r="N1457" t="s">
        <v>24</v>
      </c>
    </row>
    <row r="1458" spans="1:14" x14ac:dyDescent="0.3">
      <c r="A1458" t="s">
        <v>553</v>
      </c>
      <c r="B1458" t="s">
        <v>652</v>
      </c>
      <c r="C1458" t="s">
        <v>653</v>
      </c>
      <c r="D1458" t="s">
        <v>496</v>
      </c>
      <c r="E1458" t="s">
        <v>524</v>
      </c>
      <c r="F1458" t="s">
        <v>465</v>
      </c>
      <c r="G1458" t="s">
        <v>654</v>
      </c>
      <c r="I1458">
        <v>-46372.59</v>
      </c>
      <c r="J1458" t="s">
        <v>496</v>
      </c>
      <c r="K1458" t="s">
        <v>655</v>
      </c>
      <c r="L1458" t="s">
        <v>221</v>
      </c>
      <c r="M1458" t="s">
        <v>35</v>
      </c>
      <c r="N1458" t="s">
        <v>24</v>
      </c>
    </row>
    <row r="1459" spans="1:14" x14ac:dyDescent="0.3">
      <c r="A1459" t="s">
        <v>553</v>
      </c>
      <c r="B1459" t="s">
        <v>656</v>
      </c>
      <c r="C1459" t="s">
        <v>657</v>
      </c>
      <c r="D1459" t="s">
        <v>496</v>
      </c>
      <c r="E1459" t="s">
        <v>524</v>
      </c>
      <c r="F1459" t="s">
        <v>465</v>
      </c>
      <c r="G1459" t="s">
        <v>654</v>
      </c>
      <c r="I1459">
        <v>0</v>
      </c>
      <c r="J1459" t="s">
        <v>496</v>
      </c>
      <c r="K1459" t="s">
        <v>655</v>
      </c>
      <c r="L1459" t="s">
        <v>221</v>
      </c>
      <c r="M1459" t="s">
        <v>35</v>
      </c>
      <c r="N1459" t="s">
        <v>24</v>
      </c>
    </row>
    <row r="1460" spans="1:14" x14ac:dyDescent="0.3">
      <c r="A1460" t="s">
        <v>553</v>
      </c>
      <c r="B1460" t="s">
        <v>658</v>
      </c>
      <c r="C1460" t="s">
        <v>659</v>
      </c>
      <c r="D1460" t="s">
        <v>496</v>
      </c>
      <c r="E1460" t="s">
        <v>524</v>
      </c>
      <c r="F1460" t="s">
        <v>465</v>
      </c>
      <c r="G1460" t="s">
        <v>654</v>
      </c>
      <c r="I1460">
        <v>-17320.22</v>
      </c>
      <c r="J1460" t="s">
        <v>496</v>
      </c>
      <c r="K1460" t="s">
        <v>655</v>
      </c>
      <c r="L1460" t="s">
        <v>221</v>
      </c>
      <c r="M1460" t="s">
        <v>35</v>
      </c>
      <c r="N1460" t="s">
        <v>24</v>
      </c>
    </row>
    <row r="1461" spans="1:14" x14ac:dyDescent="0.3">
      <c r="A1461" t="s">
        <v>553</v>
      </c>
      <c r="B1461" t="s">
        <v>522</v>
      </c>
      <c r="C1461" t="s">
        <v>523</v>
      </c>
      <c r="D1461" t="s">
        <v>496</v>
      </c>
      <c r="E1461" t="s">
        <v>524</v>
      </c>
      <c r="F1461" t="s">
        <v>465</v>
      </c>
      <c r="G1461" t="s">
        <v>654</v>
      </c>
      <c r="I1461">
        <v>31590.959999999999</v>
      </c>
      <c r="J1461" t="s">
        <v>496</v>
      </c>
      <c r="K1461" t="s">
        <v>655</v>
      </c>
      <c r="L1461" t="s">
        <v>221</v>
      </c>
      <c r="M1461" t="s">
        <v>35</v>
      </c>
      <c r="N1461" t="s">
        <v>24</v>
      </c>
    </row>
    <row r="1462" spans="1:14" x14ac:dyDescent="0.3">
      <c r="A1462" t="s">
        <v>553</v>
      </c>
      <c r="B1462" t="s">
        <v>660</v>
      </c>
      <c r="C1462" t="s">
        <v>661</v>
      </c>
      <c r="D1462" t="s">
        <v>496</v>
      </c>
      <c r="E1462" t="s">
        <v>524</v>
      </c>
      <c r="F1462" t="s">
        <v>465</v>
      </c>
      <c r="G1462" t="s">
        <v>654</v>
      </c>
      <c r="I1462">
        <v>-32101.85</v>
      </c>
      <c r="J1462" t="s">
        <v>496</v>
      </c>
      <c r="K1462" t="s">
        <v>662</v>
      </c>
      <c r="L1462" t="s">
        <v>221</v>
      </c>
      <c r="M1462" t="s">
        <v>35</v>
      </c>
      <c r="N1462" t="s">
        <v>24</v>
      </c>
    </row>
    <row r="1463" spans="1:14" x14ac:dyDescent="0.3">
      <c r="A1463" t="s">
        <v>554</v>
      </c>
      <c r="B1463" t="s">
        <v>652</v>
      </c>
      <c r="C1463" t="s">
        <v>653</v>
      </c>
      <c r="D1463" t="s">
        <v>496</v>
      </c>
      <c r="E1463" t="s">
        <v>524</v>
      </c>
      <c r="F1463" t="s">
        <v>465</v>
      </c>
      <c r="G1463" t="s">
        <v>654</v>
      </c>
      <c r="I1463">
        <v>21616.02</v>
      </c>
      <c r="J1463" t="s">
        <v>496</v>
      </c>
      <c r="K1463" t="s">
        <v>655</v>
      </c>
      <c r="L1463" t="s">
        <v>221</v>
      </c>
      <c r="M1463" t="s">
        <v>35</v>
      </c>
      <c r="N1463" t="s">
        <v>24</v>
      </c>
    </row>
    <row r="1464" spans="1:14" x14ac:dyDescent="0.3">
      <c r="A1464" t="s">
        <v>554</v>
      </c>
      <c r="B1464" t="s">
        <v>656</v>
      </c>
      <c r="C1464" t="s">
        <v>657</v>
      </c>
      <c r="D1464" t="s">
        <v>496</v>
      </c>
      <c r="E1464" t="s">
        <v>524</v>
      </c>
      <c r="F1464" t="s">
        <v>465</v>
      </c>
      <c r="G1464" t="s">
        <v>654</v>
      </c>
      <c r="I1464">
        <v>0</v>
      </c>
      <c r="J1464" t="s">
        <v>496</v>
      </c>
      <c r="K1464" t="s">
        <v>655</v>
      </c>
      <c r="L1464" t="s">
        <v>221</v>
      </c>
      <c r="M1464" t="s">
        <v>35</v>
      </c>
      <c r="N1464" t="s">
        <v>24</v>
      </c>
    </row>
    <row r="1465" spans="1:14" x14ac:dyDescent="0.3">
      <c r="A1465" t="s">
        <v>554</v>
      </c>
      <c r="B1465" t="s">
        <v>658</v>
      </c>
      <c r="C1465" t="s">
        <v>659</v>
      </c>
      <c r="D1465" t="s">
        <v>496</v>
      </c>
      <c r="E1465" t="s">
        <v>524</v>
      </c>
      <c r="F1465" t="s">
        <v>465</v>
      </c>
      <c r="G1465" t="s">
        <v>654</v>
      </c>
      <c r="I1465">
        <v>57.8</v>
      </c>
      <c r="J1465" t="s">
        <v>496</v>
      </c>
      <c r="K1465" t="s">
        <v>655</v>
      </c>
      <c r="L1465" t="s">
        <v>221</v>
      </c>
      <c r="M1465" t="s">
        <v>35</v>
      </c>
      <c r="N1465" t="s">
        <v>24</v>
      </c>
    </row>
    <row r="1466" spans="1:14" x14ac:dyDescent="0.3">
      <c r="A1466" t="s">
        <v>554</v>
      </c>
      <c r="B1466" t="s">
        <v>522</v>
      </c>
      <c r="C1466" t="s">
        <v>523</v>
      </c>
      <c r="D1466" t="s">
        <v>496</v>
      </c>
      <c r="E1466" t="s">
        <v>524</v>
      </c>
      <c r="F1466" t="s">
        <v>465</v>
      </c>
      <c r="G1466" t="s">
        <v>654</v>
      </c>
      <c r="I1466">
        <v>31450.77</v>
      </c>
      <c r="J1466" t="s">
        <v>496</v>
      </c>
      <c r="K1466" t="s">
        <v>655</v>
      </c>
      <c r="L1466" t="s">
        <v>221</v>
      </c>
      <c r="M1466" t="s">
        <v>35</v>
      </c>
      <c r="N1466" t="s">
        <v>24</v>
      </c>
    </row>
    <row r="1467" spans="1:14" x14ac:dyDescent="0.3">
      <c r="A1467" t="s">
        <v>554</v>
      </c>
      <c r="B1467" t="s">
        <v>660</v>
      </c>
      <c r="C1467" t="s">
        <v>661</v>
      </c>
      <c r="D1467" t="s">
        <v>496</v>
      </c>
      <c r="E1467" t="s">
        <v>524</v>
      </c>
      <c r="F1467" t="s">
        <v>465</v>
      </c>
      <c r="G1467" t="s">
        <v>654</v>
      </c>
      <c r="I1467">
        <v>53124.59</v>
      </c>
      <c r="J1467" t="s">
        <v>496</v>
      </c>
      <c r="K1467" t="s">
        <v>662</v>
      </c>
      <c r="L1467" t="s">
        <v>221</v>
      </c>
      <c r="M1467" t="s">
        <v>35</v>
      </c>
      <c r="N1467" t="s">
        <v>24</v>
      </c>
    </row>
    <row r="1468" spans="1:14" x14ac:dyDescent="0.3">
      <c r="A1468" t="s">
        <v>603</v>
      </c>
      <c r="B1468" t="s">
        <v>652</v>
      </c>
      <c r="C1468" t="s">
        <v>653</v>
      </c>
      <c r="D1468" t="s">
        <v>496</v>
      </c>
      <c r="E1468" t="s">
        <v>524</v>
      </c>
      <c r="F1468" t="s">
        <v>465</v>
      </c>
      <c r="G1468" t="s">
        <v>654</v>
      </c>
      <c r="I1468">
        <v>25433.27</v>
      </c>
      <c r="J1468" t="s">
        <v>496</v>
      </c>
      <c r="K1468" t="s">
        <v>655</v>
      </c>
      <c r="L1468" t="s">
        <v>221</v>
      </c>
      <c r="M1468" t="s">
        <v>35</v>
      </c>
      <c r="N1468" t="s">
        <v>24</v>
      </c>
    </row>
    <row r="1469" spans="1:14" x14ac:dyDescent="0.3">
      <c r="A1469" t="s">
        <v>603</v>
      </c>
      <c r="B1469" t="s">
        <v>656</v>
      </c>
      <c r="C1469" t="s">
        <v>657</v>
      </c>
      <c r="D1469" t="s">
        <v>496</v>
      </c>
      <c r="E1469" t="s">
        <v>524</v>
      </c>
      <c r="F1469" t="s">
        <v>465</v>
      </c>
      <c r="G1469" t="s">
        <v>654</v>
      </c>
      <c r="I1469">
        <v>0</v>
      </c>
      <c r="J1469" t="s">
        <v>496</v>
      </c>
      <c r="K1469" t="s">
        <v>655</v>
      </c>
      <c r="L1469" t="s">
        <v>221</v>
      </c>
      <c r="M1469" t="s">
        <v>35</v>
      </c>
      <c r="N1469" t="s">
        <v>24</v>
      </c>
    </row>
    <row r="1470" spans="1:14" x14ac:dyDescent="0.3">
      <c r="A1470" t="s">
        <v>603</v>
      </c>
      <c r="B1470" t="s">
        <v>658</v>
      </c>
      <c r="C1470" t="s">
        <v>659</v>
      </c>
      <c r="D1470" t="s">
        <v>496</v>
      </c>
      <c r="E1470" t="s">
        <v>524</v>
      </c>
      <c r="F1470" t="s">
        <v>465</v>
      </c>
      <c r="G1470" t="s">
        <v>654</v>
      </c>
      <c r="I1470">
        <v>71.989999999999995</v>
      </c>
      <c r="J1470" t="s">
        <v>496</v>
      </c>
      <c r="K1470" t="s">
        <v>655</v>
      </c>
      <c r="L1470" t="s">
        <v>221</v>
      </c>
      <c r="M1470" t="s">
        <v>35</v>
      </c>
      <c r="N1470" t="s">
        <v>24</v>
      </c>
    </row>
    <row r="1471" spans="1:14" x14ac:dyDescent="0.3">
      <c r="A1471" t="s">
        <v>603</v>
      </c>
      <c r="B1471" t="s">
        <v>522</v>
      </c>
      <c r="C1471" t="s">
        <v>523</v>
      </c>
      <c r="D1471" t="s">
        <v>496</v>
      </c>
      <c r="E1471" t="s">
        <v>524</v>
      </c>
      <c r="F1471" t="s">
        <v>465</v>
      </c>
      <c r="G1471" t="s">
        <v>654</v>
      </c>
      <c r="I1471">
        <v>32034.26</v>
      </c>
      <c r="J1471" t="s">
        <v>496</v>
      </c>
      <c r="K1471" t="s">
        <v>655</v>
      </c>
      <c r="L1471" t="s">
        <v>221</v>
      </c>
      <c r="M1471" t="s">
        <v>35</v>
      </c>
      <c r="N1471" t="s">
        <v>24</v>
      </c>
    </row>
    <row r="1472" spans="1:14" x14ac:dyDescent="0.3">
      <c r="A1472" t="s">
        <v>603</v>
      </c>
      <c r="B1472" t="s">
        <v>660</v>
      </c>
      <c r="C1472" t="s">
        <v>661</v>
      </c>
      <c r="D1472" t="s">
        <v>496</v>
      </c>
      <c r="E1472" t="s">
        <v>524</v>
      </c>
      <c r="F1472" t="s">
        <v>465</v>
      </c>
      <c r="G1472" t="s">
        <v>654</v>
      </c>
      <c r="I1472">
        <v>57539.519999999997</v>
      </c>
      <c r="J1472" t="s">
        <v>496</v>
      </c>
      <c r="K1472" t="s">
        <v>662</v>
      </c>
      <c r="L1472" t="s">
        <v>221</v>
      </c>
      <c r="M1472" t="s">
        <v>35</v>
      </c>
      <c r="N1472" t="s">
        <v>24</v>
      </c>
    </row>
    <row r="1473" spans="1:14" x14ac:dyDescent="0.3">
      <c r="A1473" t="s">
        <v>553</v>
      </c>
      <c r="B1473" t="s">
        <v>652</v>
      </c>
      <c r="C1473" t="s">
        <v>653</v>
      </c>
      <c r="D1473" t="s">
        <v>496</v>
      </c>
      <c r="E1473" t="s">
        <v>524</v>
      </c>
      <c r="F1473" t="s">
        <v>472</v>
      </c>
      <c r="G1473" t="s">
        <v>654</v>
      </c>
      <c r="I1473">
        <v>0</v>
      </c>
      <c r="J1473" t="s">
        <v>496</v>
      </c>
      <c r="K1473" t="s">
        <v>655</v>
      </c>
      <c r="L1473" t="s">
        <v>221</v>
      </c>
      <c r="M1473" t="s">
        <v>35</v>
      </c>
      <c r="N1473" t="s">
        <v>24</v>
      </c>
    </row>
    <row r="1474" spans="1:14" x14ac:dyDescent="0.3">
      <c r="A1474" t="s">
        <v>553</v>
      </c>
      <c r="B1474" t="s">
        <v>656</v>
      </c>
      <c r="C1474" t="s">
        <v>657</v>
      </c>
      <c r="D1474" t="s">
        <v>496</v>
      </c>
      <c r="E1474" t="s">
        <v>524</v>
      </c>
      <c r="F1474" t="s">
        <v>472</v>
      </c>
      <c r="G1474" t="s">
        <v>654</v>
      </c>
      <c r="I1474">
        <v>0</v>
      </c>
      <c r="J1474" t="s">
        <v>496</v>
      </c>
      <c r="K1474" t="s">
        <v>655</v>
      </c>
      <c r="L1474" t="s">
        <v>221</v>
      </c>
      <c r="M1474" t="s">
        <v>35</v>
      </c>
      <c r="N1474" t="s">
        <v>24</v>
      </c>
    </row>
    <row r="1475" spans="1:14" x14ac:dyDescent="0.3">
      <c r="A1475" t="s">
        <v>553</v>
      </c>
      <c r="B1475" t="s">
        <v>658</v>
      </c>
      <c r="C1475" t="s">
        <v>659</v>
      </c>
      <c r="D1475" t="s">
        <v>496</v>
      </c>
      <c r="E1475" t="s">
        <v>524</v>
      </c>
      <c r="F1475" t="s">
        <v>472</v>
      </c>
      <c r="G1475" t="s">
        <v>654</v>
      </c>
      <c r="I1475">
        <v>0</v>
      </c>
      <c r="J1475" t="s">
        <v>496</v>
      </c>
      <c r="K1475" t="s">
        <v>655</v>
      </c>
      <c r="L1475" t="s">
        <v>221</v>
      </c>
      <c r="M1475" t="s">
        <v>35</v>
      </c>
      <c r="N1475" t="s">
        <v>24</v>
      </c>
    </row>
    <row r="1476" spans="1:14" x14ac:dyDescent="0.3">
      <c r="A1476" t="s">
        <v>553</v>
      </c>
      <c r="B1476" t="s">
        <v>522</v>
      </c>
      <c r="C1476" t="s">
        <v>523</v>
      </c>
      <c r="D1476" t="s">
        <v>496</v>
      </c>
      <c r="E1476" t="s">
        <v>524</v>
      </c>
      <c r="F1476" t="s">
        <v>472</v>
      </c>
      <c r="G1476" t="s">
        <v>654</v>
      </c>
      <c r="I1476">
        <v>35961.230000000003</v>
      </c>
      <c r="J1476" t="s">
        <v>496</v>
      </c>
      <c r="K1476" t="s">
        <v>655</v>
      </c>
      <c r="L1476" t="s">
        <v>221</v>
      </c>
      <c r="M1476" t="s">
        <v>35</v>
      </c>
      <c r="N1476" t="s">
        <v>24</v>
      </c>
    </row>
    <row r="1477" spans="1:14" x14ac:dyDescent="0.3">
      <c r="A1477" t="s">
        <v>553</v>
      </c>
      <c r="B1477" t="s">
        <v>660</v>
      </c>
      <c r="C1477" t="s">
        <v>661</v>
      </c>
      <c r="D1477" t="s">
        <v>496</v>
      </c>
      <c r="E1477" t="s">
        <v>524</v>
      </c>
      <c r="F1477" t="s">
        <v>472</v>
      </c>
      <c r="G1477" t="s">
        <v>654</v>
      </c>
      <c r="I1477">
        <v>35961.230000000003</v>
      </c>
      <c r="J1477" t="s">
        <v>496</v>
      </c>
      <c r="K1477" t="s">
        <v>662</v>
      </c>
      <c r="L1477" t="s">
        <v>221</v>
      </c>
      <c r="M1477" t="s">
        <v>35</v>
      </c>
      <c r="N1477" t="s">
        <v>24</v>
      </c>
    </row>
    <row r="1478" spans="1:14" x14ac:dyDescent="0.3">
      <c r="A1478" t="s">
        <v>554</v>
      </c>
      <c r="B1478" t="s">
        <v>652</v>
      </c>
      <c r="C1478" t="s">
        <v>653</v>
      </c>
      <c r="D1478" t="s">
        <v>496</v>
      </c>
      <c r="E1478" t="s">
        <v>524</v>
      </c>
      <c r="F1478" t="s">
        <v>472</v>
      </c>
      <c r="G1478" t="s">
        <v>654</v>
      </c>
      <c r="I1478">
        <v>4000</v>
      </c>
      <c r="J1478" t="s">
        <v>496</v>
      </c>
      <c r="K1478" t="s">
        <v>655</v>
      </c>
      <c r="L1478" t="s">
        <v>221</v>
      </c>
      <c r="M1478" t="s">
        <v>35</v>
      </c>
      <c r="N1478" t="s">
        <v>24</v>
      </c>
    </row>
    <row r="1479" spans="1:14" x14ac:dyDescent="0.3">
      <c r="A1479" t="s">
        <v>554</v>
      </c>
      <c r="B1479" t="s">
        <v>656</v>
      </c>
      <c r="C1479" t="s">
        <v>657</v>
      </c>
      <c r="D1479" t="s">
        <v>496</v>
      </c>
      <c r="E1479" t="s">
        <v>524</v>
      </c>
      <c r="F1479" t="s">
        <v>472</v>
      </c>
      <c r="G1479" t="s">
        <v>654</v>
      </c>
      <c r="I1479">
        <v>0</v>
      </c>
      <c r="J1479" t="s">
        <v>496</v>
      </c>
      <c r="K1479" t="s">
        <v>655</v>
      </c>
      <c r="L1479" t="s">
        <v>221</v>
      </c>
      <c r="M1479" t="s">
        <v>35</v>
      </c>
      <c r="N1479" t="s">
        <v>24</v>
      </c>
    </row>
    <row r="1480" spans="1:14" x14ac:dyDescent="0.3">
      <c r="A1480" t="s">
        <v>554</v>
      </c>
      <c r="B1480" t="s">
        <v>658</v>
      </c>
      <c r="C1480" t="s">
        <v>659</v>
      </c>
      <c r="D1480" t="s">
        <v>496</v>
      </c>
      <c r="E1480" t="s">
        <v>524</v>
      </c>
      <c r="F1480" t="s">
        <v>472</v>
      </c>
      <c r="G1480" t="s">
        <v>654</v>
      </c>
      <c r="I1480">
        <v>1300</v>
      </c>
      <c r="J1480" t="s">
        <v>496</v>
      </c>
      <c r="K1480" t="s">
        <v>655</v>
      </c>
      <c r="L1480" t="s">
        <v>221</v>
      </c>
      <c r="M1480" t="s">
        <v>35</v>
      </c>
      <c r="N1480" t="s">
        <v>24</v>
      </c>
    </row>
    <row r="1481" spans="1:14" x14ac:dyDescent="0.3">
      <c r="A1481" t="s">
        <v>554</v>
      </c>
      <c r="B1481" t="s">
        <v>522</v>
      </c>
      <c r="C1481" t="s">
        <v>523</v>
      </c>
      <c r="D1481" t="s">
        <v>496</v>
      </c>
      <c r="E1481" t="s">
        <v>524</v>
      </c>
      <c r="F1481" t="s">
        <v>472</v>
      </c>
      <c r="G1481" t="s">
        <v>654</v>
      </c>
      <c r="I1481">
        <v>32372.79</v>
      </c>
      <c r="J1481" t="s">
        <v>496</v>
      </c>
      <c r="K1481" t="s">
        <v>655</v>
      </c>
      <c r="L1481" t="s">
        <v>221</v>
      </c>
      <c r="M1481" t="s">
        <v>35</v>
      </c>
      <c r="N1481" t="s">
        <v>24</v>
      </c>
    </row>
    <row r="1482" spans="1:14" x14ac:dyDescent="0.3">
      <c r="A1482" t="s">
        <v>554</v>
      </c>
      <c r="B1482" t="s">
        <v>660</v>
      </c>
      <c r="C1482" t="s">
        <v>661</v>
      </c>
      <c r="D1482" t="s">
        <v>496</v>
      </c>
      <c r="E1482" t="s">
        <v>524</v>
      </c>
      <c r="F1482" t="s">
        <v>472</v>
      </c>
      <c r="G1482" t="s">
        <v>654</v>
      </c>
      <c r="I1482">
        <v>37672.79</v>
      </c>
      <c r="J1482" t="s">
        <v>496</v>
      </c>
      <c r="K1482" t="s">
        <v>662</v>
      </c>
      <c r="L1482" t="s">
        <v>221</v>
      </c>
      <c r="M1482" t="s">
        <v>35</v>
      </c>
      <c r="N1482" t="s">
        <v>24</v>
      </c>
    </row>
    <row r="1483" spans="1:14" x14ac:dyDescent="0.3">
      <c r="A1483" t="s">
        <v>603</v>
      </c>
      <c r="B1483" t="s">
        <v>652</v>
      </c>
      <c r="C1483" t="s">
        <v>653</v>
      </c>
      <c r="D1483" t="s">
        <v>496</v>
      </c>
      <c r="E1483" t="s">
        <v>524</v>
      </c>
      <c r="F1483" t="s">
        <v>472</v>
      </c>
      <c r="G1483" t="s">
        <v>654</v>
      </c>
      <c r="I1483">
        <v>2535</v>
      </c>
      <c r="J1483" t="s">
        <v>496</v>
      </c>
      <c r="K1483" t="s">
        <v>655</v>
      </c>
      <c r="L1483" t="s">
        <v>221</v>
      </c>
      <c r="M1483" t="s">
        <v>35</v>
      </c>
      <c r="N1483" t="s">
        <v>24</v>
      </c>
    </row>
    <row r="1484" spans="1:14" x14ac:dyDescent="0.3">
      <c r="A1484" t="s">
        <v>603</v>
      </c>
      <c r="B1484" t="s">
        <v>656</v>
      </c>
      <c r="C1484" t="s">
        <v>657</v>
      </c>
      <c r="D1484" t="s">
        <v>496</v>
      </c>
      <c r="E1484" t="s">
        <v>524</v>
      </c>
      <c r="F1484" t="s">
        <v>472</v>
      </c>
      <c r="G1484" t="s">
        <v>654</v>
      </c>
      <c r="I1484">
        <v>0</v>
      </c>
      <c r="J1484" t="s">
        <v>496</v>
      </c>
      <c r="K1484" t="s">
        <v>655</v>
      </c>
      <c r="L1484" t="s">
        <v>221</v>
      </c>
      <c r="M1484" t="s">
        <v>35</v>
      </c>
      <c r="N1484" t="s">
        <v>24</v>
      </c>
    </row>
    <row r="1485" spans="1:14" x14ac:dyDescent="0.3">
      <c r="A1485" t="s">
        <v>603</v>
      </c>
      <c r="B1485" t="s">
        <v>658</v>
      </c>
      <c r="C1485" t="s">
        <v>659</v>
      </c>
      <c r="D1485" t="s">
        <v>496</v>
      </c>
      <c r="E1485" t="s">
        <v>524</v>
      </c>
      <c r="F1485" t="s">
        <v>472</v>
      </c>
      <c r="G1485" t="s">
        <v>654</v>
      </c>
      <c r="I1485">
        <v>2550</v>
      </c>
      <c r="J1485" t="s">
        <v>496</v>
      </c>
      <c r="K1485" t="s">
        <v>655</v>
      </c>
      <c r="L1485" t="s">
        <v>221</v>
      </c>
      <c r="M1485" t="s">
        <v>35</v>
      </c>
      <c r="N1485" t="s">
        <v>24</v>
      </c>
    </row>
    <row r="1486" spans="1:14" x14ac:dyDescent="0.3">
      <c r="A1486" t="s">
        <v>603</v>
      </c>
      <c r="B1486" t="s">
        <v>522</v>
      </c>
      <c r="C1486" t="s">
        <v>523</v>
      </c>
      <c r="D1486" t="s">
        <v>496</v>
      </c>
      <c r="E1486" t="s">
        <v>524</v>
      </c>
      <c r="F1486" t="s">
        <v>472</v>
      </c>
      <c r="G1486" t="s">
        <v>654</v>
      </c>
      <c r="I1486">
        <v>41880.81</v>
      </c>
      <c r="J1486" t="s">
        <v>496</v>
      </c>
      <c r="K1486" t="s">
        <v>655</v>
      </c>
      <c r="L1486" t="s">
        <v>221</v>
      </c>
      <c r="M1486" t="s">
        <v>35</v>
      </c>
      <c r="N1486" t="s">
        <v>24</v>
      </c>
    </row>
    <row r="1487" spans="1:14" x14ac:dyDescent="0.3">
      <c r="A1487" t="s">
        <v>603</v>
      </c>
      <c r="B1487" t="s">
        <v>660</v>
      </c>
      <c r="C1487" t="s">
        <v>661</v>
      </c>
      <c r="D1487" t="s">
        <v>496</v>
      </c>
      <c r="E1487" t="s">
        <v>524</v>
      </c>
      <c r="F1487" t="s">
        <v>472</v>
      </c>
      <c r="G1487" t="s">
        <v>654</v>
      </c>
      <c r="I1487">
        <v>46965.81</v>
      </c>
      <c r="J1487" t="s">
        <v>496</v>
      </c>
      <c r="K1487" t="s">
        <v>662</v>
      </c>
      <c r="L1487" t="s">
        <v>221</v>
      </c>
      <c r="M1487" t="s">
        <v>35</v>
      </c>
      <c r="N1487" t="s">
        <v>24</v>
      </c>
    </row>
    <row r="1488" spans="1:14" x14ac:dyDescent="0.3">
      <c r="A1488" t="s">
        <v>553</v>
      </c>
      <c r="B1488" t="s">
        <v>652</v>
      </c>
      <c r="C1488" t="s">
        <v>653</v>
      </c>
      <c r="D1488" t="s">
        <v>496</v>
      </c>
      <c r="E1488" t="s">
        <v>524</v>
      </c>
      <c r="F1488" t="s">
        <v>469</v>
      </c>
      <c r="G1488" t="s">
        <v>654</v>
      </c>
      <c r="I1488">
        <v>0</v>
      </c>
      <c r="J1488" t="s">
        <v>496</v>
      </c>
      <c r="K1488" t="s">
        <v>655</v>
      </c>
      <c r="L1488" t="s">
        <v>221</v>
      </c>
      <c r="M1488" t="s">
        <v>35</v>
      </c>
      <c r="N1488" t="s">
        <v>24</v>
      </c>
    </row>
    <row r="1489" spans="1:14" x14ac:dyDescent="0.3">
      <c r="A1489" t="s">
        <v>553</v>
      </c>
      <c r="B1489" t="s">
        <v>656</v>
      </c>
      <c r="C1489" t="s">
        <v>657</v>
      </c>
      <c r="D1489" t="s">
        <v>496</v>
      </c>
      <c r="E1489" t="s">
        <v>524</v>
      </c>
      <c r="F1489" t="s">
        <v>469</v>
      </c>
      <c r="G1489" t="s">
        <v>654</v>
      </c>
      <c r="I1489">
        <v>0</v>
      </c>
      <c r="J1489" t="s">
        <v>496</v>
      </c>
      <c r="K1489" t="s">
        <v>655</v>
      </c>
      <c r="L1489" t="s">
        <v>221</v>
      </c>
      <c r="M1489" t="s">
        <v>35</v>
      </c>
      <c r="N1489" t="s">
        <v>24</v>
      </c>
    </row>
    <row r="1490" spans="1:14" x14ac:dyDescent="0.3">
      <c r="A1490" t="s">
        <v>553</v>
      </c>
      <c r="B1490" t="s">
        <v>658</v>
      </c>
      <c r="C1490" t="s">
        <v>659</v>
      </c>
      <c r="D1490" t="s">
        <v>496</v>
      </c>
      <c r="E1490" t="s">
        <v>524</v>
      </c>
      <c r="F1490" t="s">
        <v>469</v>
      </c>
      <c r="G1490" t="s">
        <v>654</v>
      </c>
      <c r="I1490">
        <v>0</v>
      </c>
      <c r="J1490" t="s">
        <v>496</v>
      </c>
      <c r="K1490" t="s">
        <v>655</v>
      </c>
      <c r="L1490" t="s">
        <v>221</v>
      </c>
      <c r="M1490" t="s">
        <v>35</v>
      </c>
      <c r="N1490" t="s">
        <v>24</v>
      </c>
    </row>
    <row r="1491" spans="1:14" x14ac:dyDescent="0.3">
      <c r="A1491" t="s">
        <v>553</v>
      </c>
      <c r="B1491" t="s">
        <v>522</v>
      </c>
      <c r="C1491" t="s">
        <v>523</v>
      </c>
      <c r="D1491" t="s">
        <v>496</v>
      </c>
      <c r="E1491" t="s">
        <v>524</v>
      </c>
      <c r="F1491" t="s">
        <v>469</v>
      </c>
      <c r="G1491" t="s">
        <v>654</v>
      </c>
      <c r="I1491">
        <v>33831.07</v>
      </c>
      <c r="J1491" t="s">
        <v>496</v>
      </c>
      <c r="K1491" t="s">
        <v>655</v>
      </c>
      <c r="L1491" t="s">
        <v>221</v>
      </c>
      <c r="M1491" t="s">
        <v>35</v>
      </c>
      <c r="N1491" t="s">
        <v>24</v>
      </c>
    </row>
    <row r="1492" spans="1:14" x14ac:dyDescent="0.3">
      <c r="A1492" t="s">
        <v>553</v>
      </c>
      <c r="B1492" t="s">
        <v>660</v>
      </c>
      <c r="C1492" t="s">
        <v>661</v>
      </c>
      <c r="D1492" t="s">
        <v>496</v>
      </c>
      <c r="E1492" t="s">
        <v>524</v>
      </c>
      <c r="F1492" t="s">
        <v>469</v>
      </c>
      <c r="G1492" t="s">
        <v>654</v>
      </c>
      <c r="I1492">
        <v>33831.07</v>
      </c>
      <c r="J1492" t="s">
        <v>496</v>
      </c>
      <c r="K1492" t="s">
        <v>662</v>
      </c>
      <c r="L1492" t="s">
        <v>221</v>
      </c>
      <c r="M1492" t="s">
        <v>35</v>
      </c>
      <c r="N1492" t="s">
        <v>24</v>
      </c>
    </row>
    <row r="1493" spans="1:14" x14ac:dyDescent="0.3">
      <c r="A1493" t="s">
        <v>554</v>
      </c>
      <c r="B1493" t="s">
        <v>652</v>
      </c>
      <c r="C1493" t="s">
        <v>653</v>
      </c>
      <c r="D1493" t="s">
        <v>496</v>
      </c>
      <c r="E1493" t="s">
        <v>524</v>
      </c>
      <c r="F1493" t="s">
        <v>469</v>
      </c>
      <c r="G1493" t="s">
        <v>654</v>
      </c>
      <c r="I1493">
        <v>7500</v>
      </c>
      <c r="J1493" t="s">
        <v>496</v>
      </c>
      <c r="K1493" t="s">
        <v>655</v>
      </c>
      <c r="L1493" t="s">
        <v>221</v>
      </c>
      <c r="M1493" t="s">
        <v>35</v>
      </c>
      <c r="N1493" t="s">
        <v>24</v>
      </c>
    </row>
    <row r="1494" spans="1:14" x14ac:dyDescent="0.3">
      <c r="A1494" t="s">
        <v>554</v>
      </c>
      <c r="B1494" t="s">
        <v>656</v>
      </c>
      <c r="C1494" t="s">
        <v>657</v>
      </c>
      <c r="D1494" t="s">
        <v>496</v>
      </c>
      <c r="E1494" t="s">
        <v>524</v>
      </c>
      <c r="F1494" t="s">
        <v>469</v>
      </c>
      <c r="G1494" t="s">
        <v>654</v>
      </c>
      <c r="I1494">
        <v>0</v>
      </c>
      <c r="J1494" t="s">
        <v>496</v>
      </c>
      <c r="K1494" t="s">
        <v>655</v>
      </c>
      <c r="L1494" t="s">
        <v>221</v>
      </c>
      <c r="M1494" t="s">
        <v>35</v>
      </c>
      <c r="N1494" t="s">
        <v>24</v>
      </c>
    </row>
    <row r="1495" spans="1:14" x14ac:dyDescent="0.3">
      <c r="A1495" t="s">
        <v>554</v>
      </c>
      <c r="B1495" t="s">
        <v>658</v>
      </c>
      <c r="C1495" t="s">
        <v>659</v>
      </c>
      <c r="D1495" t="s">
        <v>496</v>
      </c>
      <c r="E1495" t="s">
        <v>524</v>
      </c>
      <c r="F1495" t="s">
        <v>469</v>
      </c>
      <c r="G1495" t="s">
        <v>654</v>
      </c>
      <c r="I1495">
        <v>0</v>
      </c>
      <c r="J1495" t="s">
        <v>496</v>
      </c>
      <c r="K1495" t="s">
        <v>655</v>
      </c>
      <c r="L1495" t="s">
        <v>221</v>
      </c>
      <c r="M1495" t="s">
        <v>35</v>
      </c>
      <c r="N1495" t="s">
        <v>24</v>
      </c>
    </row>
    <row r="1496" spans="1:14" x14ac:dyDescent="0.3">
      <c r="A1496" t="s">
        <v>554</v>
      </c>
      <c r="B1496" t="s">
        <v>522</v>
      </c>
      <c r="C1496" t="s">
        <v>523</v>
      </c>
      <c r="D1496" t="s">
        <v>496</v>
      </c>
      <c r="E1496" t="s">
        <v>524</v>
      </c>
      <c r="F1496" t="s">
        <v>469</v>
      </c>
      <c r="G1496" t="s">
        <v>654</v>
      </c>
      <c r="I1496">
        <v>32577.279999999999</v>
      </c>
      <c r="J1496" t="s">
        <v>496</v>
      </c>
      <c r="K1496" t="s">
        <v>655</v>
      </c>
      <c r="L1496" t="s">
        <v>221</v>
      </c>
      <c r="M1496" t="s">
        <v>35</v>
      </c>
      <c r="N1496" t="s">
        <v>24</v>
      </c>
    </row>
    <row r="1497" spans="1:14" x14ac:dyDescent="0.3">
      <c r="A1497" t="s">
        <v>554</v>
      </c>
      <c r="B1497" t="s">
        <v>660</v>
      </c>
      <c r="C1497" t="s">
        <v>661</v>
      </c>
      <c r="D1497" t="s">
        <v>496</v>
      </c>
      <c r="E1497" t="s">
        <v>524</v>
      </c>
      <c r="F1497" t="s">
        <v>469</v>
      </c>
      <c r="G1497" t="s">
        <v>654</v>
      </c>
      <c r="I1497">
        <v>40077.279999999999</v>
      </c>
      <c r="J1497" t="s">
        <v>496</v>
      </c>
      <c r="K1497" t="s">
        <v>662</v>
      </c>
      <c r="L1497" t="s">
        <v>221</v>
      </c>
      <c r="M1497" t="s">
        <v>35</v>
      </c>
      <c r="N1497" t="s">
        <v>24</v>
      </c>
    </row>
    <row r="1498" spans="1:14" x14ac:dyDescent="0.3">
      <c r="A1498" t="s">
        <v>603</v>
      </c>
      <c r="B1498" t="s">
        <v>652</v>
      </c>
      <c r="C1498" t="s">
        <v>653</v>
      </c>
      <c r="D1498" t="s">
        <v>496</v>
      </c>
      <c r="E1498" t="s">
        <v>524</v>
      </c>
      <c r="F1498" t="s">
        <v>469</v>
      </c>
      <c r="G1498" t="s">
        <v>654</v>
      </c>
      <c r="I1498">
        <v>0</v>
      </c>
      <c r="J1498" t="s">
        <v>496</v>
      </c>
      <c r="K1498" t="s">
        <v>655</v>
      </c>
      <c r="L1498" t="s">
        <v>221</v>
      </c>
      <c r="M1498" t="s">
        <v>35</v>
      </c>
      <c r="N1498" t="s">
        <v>24</v>
      </c>
    </row>
    <row r="1499" spans="1:14" x14ac:dyDescent="0.3">
      <c r="A1499" t="s">
        <v>603</v>
      </c>
      <c r="B1499" t="s">
        <v>656</v>
      </c>
      <c r="C1499" t="s">
        <v>657</v>
      </c>
      <c r="D1499" t="s">
        <v>496</v>
      </c>
      <c r="E1499" t="s">
        <v>524</v>
      </c>
      <c r="F1499" t="s">
        <v>469</v>
      </c>
      <c r="G1499" t="s">
        <v>654</v>
      </c>
      <c r="I1499">
        <v>0</v>
      </c>
      <c r="J1499" t="s">
        <v>496</v>
      </c>
      <c r="K1499" t="s">
        <v>655</v>
      </c>
      <c r="L1499" t="s">
        <v>221</v>
      </c>
      <c r="M1499" t="s">
        <v>35</v>
      </c>
      <c r="N1499" t="s">
        <v>24</v>
      </c>
    </row>
    <row r="1500" spans="1:14" x14ac:dyDescent="0.3">
      <c r="A1500" t="s">
        <v>603</v>
      </c>
      <c r="B1500" t="s">
        <v>658</v>
      </c>
      <c r="C1500" t="s">
        <v>659</v>
      </c>
      <c r="D1500" t="s">
        <v>496</v>
      </c>
      <c r="E1500" t="s">
        <v>524</v>
      </c>
      <c r="F1500" t="s">
        <v>469</v>
      </c>
      <c r="G1500" t="s">
        <v>654</v>
      </c>
      <c r="I1500">
        <v>0</v>
      </c>
      <c r="J1500" t="s">
        <v>496</v>
      </c>
      <c r="K1500" t="s">
        <v>655</v>
      </c>
      <c r="L1500" t="s">
        <v>221</v>
      </c>
      <c r="M1500" t="s">
        <v>35</v>
      </c>
      <c r="N1500" t="s">
        <v>24</v>
      </c>
    </row>
    <row r="1501" spans="1:14" x14ac:dyDescent="0.3">
      <c r="A1501" t="s">
        <v>603</v>
      </c>
      <c r="B1501" t="s">
        <v>522</v>
      </c>
      <c r="C1501" t="s">
        <v>523</v>
      </c>
      <c r="D1501" t="s">
        <v>496</v>
      </c>
      <c r="E1501" t="s">
        <v>524</v>
      </c>
      <c r="F1501" t="s">
        <v>469</v>
      </c>
      <c r="G1501" t="s">
        <v>654</v>
      </c>
      <c r="I1501">
        <v>31069.82</v>
      </c>
      <c r="J1501" t="s">
        <v>496</v>
      </c>
      <c r="K1501" t="s">
        <v>655</v>
      </c>
      <c r="L1501" t="s">
        <v>221</v>
      </c>
      <c r="M1501" t="s">
        <v>35</v>
      </c>
      <c r="N1501" t="s">
        <v>24</v>
      </c>
    </row>
    <row r="1502" spans="1:14" x14ac:dyDescent="0.3">
      <c r="A1502" t="s">
        <v>603</v>
      </c>
      <c r="B1502" t="s">
        <v>660</v>
      </c>
      <c r="C1502" t="s">
        <v>661</v>
      </c>
      <c r="D1502" t="s">
        <v>496</v>
      </c>
      <c r="E1502" t="s">
        <v>524</v>
      </c>
      <c r="F1502" t="s">
        <v>469</v>
      </c>
      <c r="G1502" t="s">
        <v>654</v>
      </c>
      <c r="I1502">
        <v>31069.82</v>
      </c>
      <c r="J1502" t="s">
        <v>496</v>
      </c>
      <c r="K1502" t="s">
        <v>662</v>
      </c>
      <c r="L1502" t="s">
        <v>221</v>
      </c>
      <c r="M1502" t="s">
        <v>35</v>
      </c>
      <c r="N1502" t="s">
        <v>24</v>
      </c>
    </row>
    <row r="1503" spans="1:14" x14ac:dyDescent="0.3">
      <c r="A1503" t="s">
        <v>553</v>
      </c>
      <c r="B1503" t="s">
        <v>652</v>
      </c>
      <c r="C1503" t="s">
        <v>653</v>
      </c>
      <c r="D1503" t="s">
        <v>496</v>
      </c>
      <c r="E1503" t="s">
        <v>524</v>
      </c>
      <c r="F1503" t="s">
        <v>482</v>
      </c>
      <c r="G1503" t="s">
        <v>654</v>
      </c>
      <c r="I1503">
        <v>0</v>
      </c>
      <c r="J1503" t="s">
        <v>496</v>
      </c>
      <c r="K1503" t="s">
        <v>655</v>
      </c>
      <c r="L1503" t="s">
        <v>221</v>
      </c>
      <c r="M1503" t="s">
        <v>35</v>
      </c>
      <c r="N1503" t="s">
        <v>24</v>
      </c>
    </row>
    <row r="1504" spans="1:14" x14ac:dyDescent="0.3">
      <c r="A1504" t="s">
        <v>553</v>
      </c>
      <c r="B1504" t="s">
        <v>656</v>
      </c>
      <c r="C1504" t="s">
        <v>657</v>
      </c>
      <c r="D1504" t="s">
        <v>496</v>
      </c>
      <c r="E1504" t="s">
        <v>524</v>
      </c>
      <c r="F1504" t="s">
        <v>482</v>
      </c>
      <c r="G1504" t="s">
        <v>654</v>
      </c>
      <c r="I1504">
        <v>-92.64</v>
      </c>
      <c r="J1504" t="s">
        <v>496</v>
      </c>
      <c r="K1504" t="s">
        <v>655</v>
      </c>
      <c r="L1504" t="s">
        <v>221</v>
      </c>
      <c r="M1504" t="s">
        <v>35</v>
      </c>
      <c r="N1504" t="s">
        <v>24</v>
      </c>
    </row>
    <row r="1505" spans="1:14" x14ac:dyDescent="0.3">
      <c r="A1505" t="s">
        <v>553</v>
      </c>
      <c r="B1505" t="s">
        <v>658</v>
      </c>
      <c r="C1505" t="s">
        <v>659</v>
      </c>
      <c r="D1505" t="s">
        <v>496</v>
      </c>
      <c r="E1505" t="s">
        <v>524</v>
      </c>
      <c r="F1505" t="s">
        <v>482</v>
      </c>
      <c r="G1505" t="s">
        <v>654</v>
      </c>
      <c r="I1505">
        <v>267.92</v>
      </c>
      <c r="J1505" t="s">
        <v>496</v>
      </c>
      <c r="K1505" t="s">
        <v>655</v>
      </c>
      <c r="L1505" t="s">
        <v>221</v>
      </c>
      <c r="M1505" t="s">
        <v>35</v>
      </c>
      <c r="N1505" t="s">
        <v>24</v>
      </c>
    </row>
    <row r="1506" spans="1:14" x14ac:dyDescent="0.3">
      <c r="A1506" t="s">
        <v>553</v>
      </c>
      <c r="B1506" t="s">
        <v>522</v>
      </c>
      <c r="C1506" t="s">
        <v>523</v>
      </c>
      <c r="D1506" t="s">
        <v>496</v>
      </c>
      <c r="E1506" t="s">
        <v>524</v>
      </c>
      <c r="F1506" t="s">
        <v>482</v>
      </c>
      <c r="G1506" t="s">
        <v>654</v>
      </c>
      <c r="I1506">
        <v>1392.83</v>
      </c>
      <c r="J1506" t="s">
        <v>496</v>
      </c>
      <c r="K1506" t="s">
        <v>655</v>
      </c>
      <c r="L1506" t="s">
        <v>221</v>
      </c>
      <c r="M1506" t="s">
        <v>35</v>
      </c>
      <c r="N1506" t="s">
        <v>24</v>
      </c>
    </row>
    <row r="1507" spans="1:14" x14ac:dyDescent="0.3">
      <c r="A1507" t="s">
        <v>553</v>
      </c>
      <c r="B1507" t="s">
        <v>660</v>
      </c>
      <c r="C1507" t="s">
        <v>661</v>
      </c>
      <c r="D1507" t="s">
        <v>496</v>
      </c>
      <c r="E1507" t="s">
        <v>524</v>
      </c>
      <c r="F1507" t="s">
        <v>482</v>
      </c>
      <c r="G1507" t="s">
        <v>654</v>
      </c>
      <c r="I1507">
        <v>1568.11</v>
      </c>
      <c r="J1507" t="s">
        <v>496</v>
      </c>
      <c r="K1507" t="s">
        <v>662</v>
      </c>
      <c r="L1507" t="s">
        <v>221</v>
      </c>
      <c r="M1507" t="s">
        <v>35</v>
      </c>
      <c r="N1507" t="s">
        <v>24</v>
      </c>
    </row>
    <row r="1508" spans="1:14" x14ac:dyDescent="0.3">
      <c r="A1508" t="s">
        <v>554</v>
      </c>
      <c r="B1508" t="s">
        <v>652</v>
      </c>
      <c r="C1508" t="s">
        <v>653</v>
      </c>
      <c r="D1508" t="s">
        <v>496</v>
      </c>
      <c r="E1508" t="s">
        <v>524</v>
      </c>
      <c r="F1508" t="s">
        <v>482</v>
      </c>
      <c r="G1508" t="s">
        <v>654</v>
      </c>
      <c r="I1508">
        <v>0</v>
      </c>
      <c r="J1508" t="s">
        <v>496</v>
      </c>
      <c r="K1508" t="s">
        <v>655</v>
      </c>
      <c r="L1508" t="s">
        <v>221</v>
      </c>
      <c r="M1508" t="s">
        <v>35</v>
      </c>
      <c r="N1508" t="s">
        <v>24</v>
      </c>
    </row>
    <row r="1509" spans="1:14" x14ac:dyDescent="0.3">
      <c r="A1509" t="s">
        <v>554</v>
      </c>
      <c r="B1509" t="s">
        <v>656</v>
      </c>
      <c r="C1509" t="s">
        <v>657</v>
      </c>
      <c r="D1509" t="s">
        <v>496</v>
      </c>
      <c r="E1509" t="s">
        <v>524</v>
      </c>
      <c r="F1509" t="s">
        <v>482</v>
      </c>
      <c r="G1509" t="s">
        <v>654</v>
      </c>
      <c r="I1509">
        <v>32.31</v>
      </c>
      <c r="J1509" t="s">
        <v>496</v>
      </c>
      <c r="K1509" t="s">
        <v>655</v>
      </c>
      <c r="L1509" t="s">
        <v>221</v>
      </c>
      <c r="M1509" t="s">
        <v>35</v>
      </c>
      <c r="N1509" t="s">
        <v>24</v>
      </c>
    </row>
    <row r="1510" spans="1:14" x14ac:dyDescent="0.3">
      <c r="A1510" t="s">
        <v>554</v>
      </c>
      <c r="B1510" t="s">
        <v>658</v>
      </c>
      <c r="C1510" t="s">
        <v>659</v>
      </c>
      <c r="D1510" t="s">
        <v>496</v>
      </c>
      <c r="E1510" t="s">
        <v>524</v>
      </c>
      <c r="F1510" t="s">
        <v>482</v>
      </c>
      <c r="G1510" t="s">
        <v>654</v>
      </c>
      <c r="I1510">
        <v>36</v>
      </c>
      <c r="J1510" t="s">
        <v>496</v>
      </c>
      <c r="K1510" t="s">
        <v>655</v>
      </c>
      <c r="L1510" t="s">
        <v>221</v>
      </c>
      <c r="M1510" t="s">
        <v>35</v>
      </c>
      <c r="N1510" t="s">
        <v>24</v>
      </c>
    </row>
    <row r="1511" spans="1:14" x14ac:dyDescent="0.3">
      <c r="A1511" t="s">
        <v>554</v>
      </c>
      <c r="B1511" t="s">
        <v>522</v>
      </c>
      <c r="C1511" t="s">
        <v>523</v>
      </c>
      <c r="D1511" t="s">
        <v>496</v>
      </c>
      <c r="E1511" t="s">
        <v>524</v>
      </c>
      <c r="F1511" t="s">
        <v>482</v>
      </c>
      <c r="G1511" t="s">
        <v>654</v>
      </c>
      <c r="I1511">
        <v>1615.73</v>
      </c>
      <c r="J1511" t="s">
        <v>496</v>
      </c>
      <c r="K1511" t="s">
        <v>655</v>
      </c>
      <c r="L1511" t="s">
        <v>221</v>
      </c>
      <c r="M1511" t="s">
        <v>35</v>
      </c>
      <c r="N1511" t="s">
        <v>24</v>
      </c>
    </row>
    <row r="1512" spans="1:14" x14ac:dyDescent="0.3">
      <c r="A1512" t="s">
        <v>554</v>
      </c>
      <c r="B1512" t="s">
        <v>660</v>
      </c>
      <c r="C1512" t="s">
        <v>661</v>
      </c>
      <c r="D1512" t="s">
        <v>496</v>
      </c>
      <c r="E1512" t="s">
        <v>524</v>
      </c>
      <c r="F1512" t="s">
        <v>482</v>
      </c>
      <c r="G1512" t="s">
        <v>654</v>
      </c>
      <c r="I1512">
        <v>1684.04</v>
      </c>
      <c r="J1512" t="s">
        <v>496</v>
      </c>
      <c r="K1512" t="s">
        <v>662</v>
      </c>
      <c r="L1512" t="s">
        <v>221</v>
      </c>
      <c r="M1512" t="s">
        <v>35</v>
      </c>
      <c r="N1512" t="s">
        <v>24</v>
      </c>
    </row>
    <row r="1513" spans="1:14" x14ac:dyDescent="0.3">
      <c r="A1513" t="s">
        <v>603</v>
      </c>
      <c r="B1513" t="s">
        <v>652</v>
      </c>
      <c r="C1513" t="s">
        <v>653</v>
      </c>
      <c r="D1513" t="s">
        <v>496</v>
      </c>
      <c r="E1513" t="s">
        <v>524</v>
      </c>
      <c r="F1513" t="s">
        <v>482</v>
      </c>
      <c r="G1513" t="s">
        <v>654</v>
      </c>
      <c r="I1513">
        <v>0</v>
      </c>
      <c r="J1513" t="s">
        <v>496</v>
      </c>
      <c r="K1513" t="s">
        <v>655</v>
      </c>
      <c r="L1513" t="s">
        <v>221</v>
      </c>
      <c r="M1513" t="s">
        <v>35</v>
      </c>
      <c r="N1513" t="s">
        <v>24</v>
      </c>
    </row>
    <row r="1514" spans="1:14" x14ac:dyDescent="0.3">
      <c r="A1514" t="s">
        <v>603</v>
      </c>
      <c r="B1514" t="s">
        <v>656</v>
      </c>
      <c r="C1514" t="s">
        <v>657</v>
      </c>
      <c r="D1514" t="s">
        <v>496</v>
      </c>
      <c r="E1514" t="s">
        <v>524</v>
      </c>
      <c r="F1514" t="s">
        <v>482</v>
      </c>
      <c r="G1514" t="s">
        <v>654</v>
      </c>
      <c r="I1514">
        <v>11.97</v>
      </c>
      <c r="J1514" t="s">
        <v>496</v>
      </c>
      <c r="K1514" t="s">
        <v>655</v>
      </c>
      <c r="L1514" t="s">
        <v>221</v>
      </c>
      <c r="M1514" t="s">
        <v>35</v>
      </c>
      <c r="N1514" t="s">
        <v>24</v>
      </c>
    </row>
    <row r="1515" spans="1:14" x14ac:dyDescent="0.3">
      <c r="A1515" t="s">
        <v>603</v>
      </c>
      <c r="B1515" t="s">
        <v>658</v>
      </c>
      <c r="C1515" t="s">
        <v>659</v>
      </c>
      <c r="D1515" t="s">
        <v>496</v>
      </c>
      <c r="E1515" t="s">
        <v>524</v>
      </c>
      <c r="F1515" t="s">
        <v>482</v>
      </c>
      <c r="G1515" t="s">
        <v>654</v>
      </c>
      <c r="I1515">
        <v>50</v>
      </c>
      <c r="J1515" t="s">
        <v>496</v>
      </c>
      <c r="K1515" t="s">
        <v>655</v>
      </c>
      <c r="L1515" t="s">
        <v>221</v>
      </c>
      <c r="M1515" t="s">
        <v>35</v>
      </c>
      <c r="N1515" t="s">
        <v>24</v>
      </c>
    </row>
    <row r="1516" spans="1:14" x14ac:dyDescent="0.3">
      <c r="A1516" t="s">
        <v>603</v>
      </c>
      <c r="B1516" t="s">
        <v>522</v>
      </c>
      <c r="C1516" t="s">
        <v>523</v>
      </c>
      <c r="D1516" t="s">
        <v>496</v>
      </c>
      <c r="E1516" t="s">
        <v>524</v>
      </c>
      <c r="F1516" t="s">
        <v>482</v>
      </c>
      <c r="G1516" t="s">
        <v>654</v>
      </c>
      <c r="I1516">
        <v>1583.93</v>
      </c>
      <c r="J1516" t="s">
        <v>496</v>
      </c>
      <c r="K1516" t="s">
        <v>655</v>
      </c>
      <c r="L1516" t="s">
        <v>221</v>
      </c>
      <c r="M1516" t="s">
        <v>35</v>
      </c>
      <c r="N1516" t="s">
        <v>24</v>
      </c>
    </row>
    <row r="1517" spans="1:14" x14ac:dyDescent="0.3">
      <c r="A1517" t="s">
        <v>603</v>
      </c>
      <c r="B1517" t="s">
        <v>660</v>
      </c>
      <c r="C1517" t="s">
        <v>661</v>
      </c>
      <c r="D1517" t="s">
        <v>496</v>
      </c>
      <c r="E1517" t="s">
        <v>524</v>
      </c>
      <c r="F1517" t="s">
        <v>482</v>
      </c>
      <c r="G1517" t="s">
        <v>654</v>
      </c>
      <c r="I1517">
        <v>1645.9</v>
      </c>
      <c r="J1517" t="s">
        <v>496</v>
      </c>
      <c r="K1517" t="s">
        <v>662</v>
      </c>
      <c r="L1517" t="s">
        <v>221</v>
      </c>
      <c r="M1517" t="s">
        <v>35</v>
      </c>
      <c r="N1517" t="s">
        <v>24</v>
      </c>
    </row>
    <row r="1518" spans="1:14" x14ac:dyDescent="0.3">
      <c r="A1518" t="s">
        <v>553</v>
      </c>
      <c r="B1518" t="s">
        <v>652</v>
      </c>
      <c r="C1518" t="s">
        <v>653</v>
      </c>
      <c r="D1518" t="s">
        <v>496</v>
      </c>
      <c r="E1518" t="s">
        <v>524</v>
      </c>
      <c r="F1518" t="s">
        <v>485</v>
      </c>
      <c r="G1518" t="s">
        <v>654</v>
      </c>
      <c r="I1518">
        <v>-28756.44</v>
      </c>
      <c r="J1518" t="s">
        <v>496</v>
      </c>
      <c r="K1518" t="s">
        <v>655</v>
      </c>
      <c r="L1518" t="s">
        <v>221</v>
      </c>
      <c r="M1518" t="s">
        <v>35</v>
      </c>
      <c r="N1518" t="s">
        <v>24</v>
      </c>
    </row>
    <row r="1519" spans="1:14" x14ac:dyDescent="0.3">
      <c r="A1519" t="s">
        <v>553</v>
      </c>
      <c r="B1519" t="s">
        <v>656</v>
      </c>
      <c r="C1519" t="s">
        <v>657</v>
      </c>
      <c r="D1519" t="s">
        <v>496</v>
      </c>
      <c r="E1519" t="s">
        <v>524</v>
      </c>
      <c r="F1519" t="s">
        <v>485</v>
      </c>
      <c r="G1519" t="s">
        <v>654</v>
      </c>
      <c r="I1519">
        <v>3081.61</v>
      </c>
      <c r="J1519" t="s">
        <v>496</v>
      </c>
      <c r="K1519" t="s">
        <v>655</v>
      </c>
      <c r="L1519" t="s">
        <v>221</v>
      </c>
      <c r="M1519" t="s">
        <v>35</v>
      </c>
      <c r="N1519" t="s">
        <v>24</v>
      </c>
    </row>
    <row r="1520" spans="1:14" x14ac:dyDescent="0.3">
      <c r="A1520" t="s">
        <v>553</v>
      </c>
      <c r="B1520" t="s">
        <v>658</v>
      </c>
      <c r="C1520" t="s">
        <v>659</v>
      </c>
      <c r="D1520" t="s">
        <v>496</v>
      </c>
      <c r="E1520" t="s">
        <v>524</v>
      </c>
      <c r="F1520" t="s">
        <v>485</v>
      </c>
      <c r="G1520" t="s">
        <v>654</v>
      </c>
      <c r="I1520">
        <v>-17052.3</v>
      </c>
      <c r="J1520" t="s">
        <v>496</v>
      </c>
      <c r="K1520" t="s">
        <v>655</v>
      </c>
      <c r="L1520" t="s">
        <v>221</v>
      </c>
      <c r="M1520" t="s">
        <v>35</v>
      </c>
      <c r="N1520" t="s">
        <v>24</v>
      </c>
    </row>
    <row r="1521" spans="1:14" x14ac:dyDescent="0.3">
      <c r="A1521" t="s">
        <v>553</v>
      </c>
      <c r="B1521" t="s">
        <v>522</v>
      </c>
      <c r="C1521" t="s">
        <v>523</v>
      </c>
      <c r="D1521" t="s">
        <v>496</v>
      </c>
      <c r="E1521" t="s">
        <v>524</v>
      </c>
      <c r="F1521" t="s">
        <v>485</v>
      </c>
      <c r="G1521" t="s">
        <v>654</v>
      </c>
      <c r="I1521">
        <v>195.22</v>
      </c>
      <c r="J1521" t="s">
        <v>496</v>
      </c>
      <c r="K1521" t="s">
        <v>655</v>
      </c>
      <c r="L1521" t="s">
        <v>221</v>
      </c>
      <c r="M1521" t="s">
        <v>35</v>
      </c>
      <c r="N1521" t="s">
        <v>24</v>
      </c>
    </row>
    <row r="1522" spans="1:14" x14ac:dyDescent="0.3">
      <c r="A1522" t="s">
        <v>553</v>
      </c>
      <c r="B1522" t="s">
        <v>660</v>
      </c>
      <c r="C1522" t="s">
        <v>661</v>
      </c>
      <c r="D1522" t="s">
        <v>496</v>
      </c>
      <c r="E1522" t="s">
        <v>524</v>
      </c>
      <c r="F1522" t="s">
        <v>485</v>
      </c>
      <c r="G1522" t="s">
        <v>654</v>
      </c>
      <c r="I1522">
        <v>-42531.91</v>
      </c>
      <c r="J1522" t="s">
        <v>496</v>
      </c>
      <c r="K1522" t="s">
        <v>662</v>
      </c>
      <c r="L1522" t="s">
        <v>221</v>
      </c>
      <c r="M1522" t="s">
        <v>35</v>
      </c>
      <c r="N1522" t="s">
        <v>24</v>
      </c>
    </row>
    <row r="1523" spans="1:14" x14ac:dyDescent="0.3">
      <c r="A1523" t="s">
        <v>554</v>
      </c>
      <c r="B1523" t="s">
        <v>652</v>
      </c>
      <c r="C1523" t="s">
        <v>653</v>
      </c>
      <c r="D1523" t="s">
        <v>496</v>
      </c>
      <c r="E1523" t="s">
        <v>524</v>
      </c>
      <c r="F1523" t="s">
        <v>485</v>
      </c>
      <c r="G1523" t="s">
        <v>654</v>
      </c>
      <c r="I1523">
        <v>-23399.57</v>
      </c>
      <c r="J1523" t="s">
        <v>496</v>
      </c>
      <c r="K1523" t="s">
        <v>655</v>
      </c>
      <c r="L1523" t="s">
        <v>221</v>
      </c>
      <c r="M1523" t="s">
        <v>35</v>
      </c>
      <c r="N1523" t="s">
        <v>24</v>
      </c>
    </row>
    <row r="1524" spans="1:14" x14ac:dyDescent="0.3">
      <c r="A1524" t="s">
        <v>554</v>
      </c>
      <c r="B1524" t="s">
        <v>656</v>
      </c>
      <c r="C1524" t="s">
        <v>657</v>
      </c>
      <c r="D1524" t="s">
        <v>496</v>
      </c>
      <c r="E1524" t="s">
        <v>524</v>
      </c>
      <c r="F1524" t="s">
        <v>485</v>
      </c>
      <c r="G1524" t="s">
        <v>654</v>
      </c>
      <c r="I1524">
        <v>-3691.48</v>
      </c>
      <c r="J1524" t="s">
        <v>496</v>
      </c>
      <c r="K1524" t="s">
        <v>655</v>
      </c>
      <c r="L1524" t="s">
        <v>221</v>
      </c>
      <c r="M1524" t="s">
        <v>35</v>
      </c>
      <c r="N1524" t="s">
        <v>24</v>
      </c>
    </row>
    <row r="1525" spans="1:14" x14ac:dyDescent="0.3">
      <c r="A1525" t="s">
        <v>554</v>
      </c>
      <c r="B1525" t="s">
        <v>658</v>
      </c>
      <c r="C1525" t="s">
        <v>659</v>
      </c>
      <c r="D1525" t="s">
        <v>496</v>
      </c>
      <c r="E1525" t="s">
        <v>524</v>
      </c>
      <c r="F1525" t="s">
        <v>485</v>
      </c>
      <c r="G1525" t="s">
        <v>654</v>
      </c>
      <c r="I1525">
        <v>-1393.8</v>
      </c>
      <c r="J1525" t="s">
        <v>496</v>
      </c>
      <c r="K1525" t="s">
        <v>655</v>
      </c>
      <c r="L1525" t="s">
        <v>221</v>
      </c>
      <c r="M1525" t="s">
        <v>35</v>
      </c>
      <c r="N1525" t="s">
        <v>24</v>
      </c>
    </row>
    <row r="1526" spans="1:14" x14ac:dyDescent="0.3">
      <c r="A1526" t="s">
        <v>554</v>
      </c>
      <c r="B1526" t="s">
        <v>522</v>
      </c>
      <c r="C1526" t="s">
        <v>523</v>
      </c>
      <c r="D1526" t="s">
        <v>496</v>
      </c>
      <c r="E1526" t="s">
        <v>524</v>
      </c>
      <c r="F1526" t="s">
        <v>485</v>
      </c>
      <c r="G1526" t="s">
        <v>654</v>
      </c>
      <c r="I1526">
        <v>29179.96</v>
      </c>
      <c r="J1526" t="s">
        <v>496</v>
      </c>
      <c r="K1526" t="s">
        <v>655</v>
      </c>
      <c r="L1526" t="s">
        <v>221</v>
      </c>
      <c r="M1526" t="s">
        <v>35</v>
      </c>
      <c r="N1526" t="s">
        <v>24</v>
      </c>
    </row>
    <row r="1527" spans="1:14" x14ac:dyDescent="0.3">
      <c r="A1527" t="s">
        <v>554</v>
      </c>
      <c r="B1527" t="s">
        <v>660</v>
      </c>
      <c r="C1527" t="s">
        <v>661</v>
      </c>
      <c r="D1527" t="s">
        <v>496</v>
      </c>
      <c r="E1527" t="s">
        <v>524</v>
      </c>
      <c r="F1527" t="s">
        <v>485</v>
      </c>
      <c r="G1527" t="s">
        <v>654</v>
      </c>
      <c r="I1527">
        <v>695.11</v>
      </c>
      <c r="J1527" t="s">
        <v>496</v>
      </c>
      <c r="K1527" t="s">
        <v>662</v>
      </c>
      <c r="L1527" t="s">
        <v>221</v>
      </c>
      <c r="M1527" t="s">
        <v>35</v>
      </c>
      <c r="N1527" t="s">
        <v>24</v>
      </c>
    </row>
    <row r="1528" spans="1:14" x14ac:dyDescent="0.3">
      <c r="A1528" t="s">
        <v>603</v>
      </c>
      <c r="B1528" t="s">
        <v>652</v>
      </c>
      <c r="C1528" t="s">
        <v>653</v>
      </c>
      <c r="D1528" t="s">
        <v>496</v>
      </c>
      <c r="E1528" t="s">
        <v>524</v>
      </c>
      <c r="F1528" t="s">
        <v>485</v>
      </c>
      <c r="G1528" t="s">
        <v>654</v>
      </c>
      <c r="I1528">
        <v>-22303.82</v>
      </c>
      <c r="J1528" t="s">
        <v>496</v>
      </c>
      <c r="K1528" t="s">
        <v>655</v>
      </c>
      <c r="L1528" t="s">
        <v>221</v>
      </c>
      <c r="M1528" t="s">
        <v>35</v>
      </c>
      <c r="N1528" t="s">
        <v>24</v>
      </c>
    </row>
    <row r="1529" spans="1:14" x14ac:dyDescent="0.3">
      <c r="A1529" t="s">
        <v>603</v>
      </c>
      <c r="B1529" t="s">
        <v>656</v>
      </c>
      <c r="C1529" t="s">
        <v>657</v>
      </c>
      <c r="D1529" t="s">
        <v>496</v>
      </c>
      <c r="E1529" t="s">
        <v>524</v>
      </c>
      <c r="F1529" t="s">
        <v>485</v>
      </c>
      <c r="G1529" t="s">
        <v>654</v>
      </c>
      <c r="I1529">
        <v>1809.54</v>
      </c>
      <c r="J1529" t="s">
        <v>496</v>
      </c>
      <c r="K1529" t="s">
        <v>655</v>
      </c>
      <c r="L1529" t="s">
        <v>221</v>
      </c>
      <c r="M1529" t="s">
        <v>35</v>
      </c>
      <c r="N1529" t="s">
        <v>24</v>
      </c>
    </row>
    <row r="1530" spans="1:14" x14ac:dyDescent="0.3">
      <c r="A1530" t="s">
        <v>603</v>
      </c>
      <c r="B1530" t="s">
        <v>658</v>
      </c>
      <c r="C1530" t="s">
        <v>659</v>
      </c>
      <c r="D1530" t="s">
        <v>496</v>
      </c>
      <c r="E1530" t="s">
        <v>524</v>
      </c>
      <c r="F1530" t="s">
        <v>485</v>
      </c>
      <c r="G1530" t="s">
        <v>654</v>
      </c>
      <c r="I1530">
        <v>-2671.99</v>
      </c>
      <c r="J1530" t="s">
        <v>496</v>
      </c>
      <c r="K1530" t="s">
        <v>663</v>
      </c>
      <c r="L1530" t="s">
        <v>221</v>
      </c>
      <c r="M1530" t="s">
        <v>35</v>
      </c>
      <c r="N1530" t="s">
        <v>24</v>
      </c>
    </row>
    <row r="1531" spans="1:14" x14ac:dyDescent="0.3">
      <c r="A1531" t="s">
        <v>603</v>
      </c>
      <c r="B1531" t="s">
        <v>522</v>
      </c>
      <c r="C1531" t="s">
        <v>523</v>
      </c>
      <c r="D1531" t="s">
        <v>496</v>
      </c>
      <c r="E1531" t="s">
        <v>524</v>
      </c>
      <c r="F1531" t="s">
        <v>485</v>
      </c>
      <c r="G1531" t="s">
        <v>654</v>
      </c>
      <c r="I1531">
        <v>9512.44</v>
      </c>
      <c r="J1531" t="s">
        <v>496</v>
      </c>
      <c r="K1531" t="s">
        <v>655</v>
      </c>
      <c r="L1531" t="s">
        <v>221</v>
      </c>
      <c r="M1531" t="s">
        <v>35</v>
      </c>
      <c r="N1531" t="s">
        <v>24</v>
      </c>
    </row>
    <row r="1532" spans="1:14" x14ac:dyDescent="0.3">
      <c r="A1532" t="s">
        <v>603</v>
      </c>
      <c r="B1532" t="s">
        <v>660</v>
      </c>
      <c r="C1532" t="s">
        <v>661</v>
      </c>
      <c r="D1532" t="s">
        <v>496</v>
      </c>
      <c r="E1532" t="s">
        <v>524</v>
      </c>
      <c r="F1532" t="s">
        <v>485</v>
      </c>
      <c r="G1532" t="s">
        <v>654</v>
      </c>
      <c r="I1532">
        <v>-13653.83</v>
      </c>
      <c r="J1532" t="s">
        <v>496</v>
      </c>
      <c r="K1532" t="s">
        <v>663</v>
      </c>
      <c r="L1532" t="s">
        <v>221</v>
      </c>
      <c r="M1532" t="s">
        <v>35</v>
      </c>
      <c r="N1532" t="s">
        <v>24</v>
      </c>
    </row>
    <row r="1533" spans="1:14" x14ac:dyDescent="0.3">
      <c r="A1533" t="s">
        <v>553</v>
      </c>
      <c r="B1533" t="s">
        <v>656</v>
      </c>
      <c r="C1533" t="s">
        <v>657</v>
      </c>
      <c r="D1533" t="s">
        <v>496</v>
      </c>
      <c r="E1533" t="s">
        <v>524</v>
      </c>
      <c r="F1533" t="s">
        <v>493</v>
      </c>
      <c r="G1533" t="s">
        <v>664</v>
      </c>
      <c r="I1533">
        <v>22965.15</v>
      </c>
      <c r="J1533" t="s">
        <v>496</v>
      </c>
      <c r="K1533" t="s">
        <v>665</v>
      </c>
      <c r="L1533" t="s">
        <v>221</v>
      </c>
      <c r="M1533" t="s">
        <v>35</v>
      </c>
      <c r="N1533" t="s">
        <v>24</v>
      </c>
    </row>
    <row r="1534" spans="1:14" x14ac:dyDescent="0.3">
      <c r="A1534" t="s">
        <v>554</v>
      </c>
      <c r="B1534" t="s">
        <v>656</v>
      </c>
      <c r="C1534" t="s">
        <v>657</v>
      </c>
      <c r="D1534" t="s">
        <v>496</v>
      </c>
      <c r="E1534" t="s">
        <v>524</v>
      </c>
      <c r="F1534" t="s">
        <v>493</v>
      </c>
      <c r="G1534" t="s">
        <v>664</v>
      </c>
      <c r="I1534">
        <v>0</v>
      </c>
      <c r="J1534" t="s">
        <v>496</v>
      </c>
      <c r="K1534" t="s">
        <v>665</v>
      </c>
      <c r="L1534" t="s">
        <v>221</v>
      </c>
      <c r="M1534" t="s">
        <v>35</v>
      </c>
      <c r="N1534" t="s">
        <v>24</v>
      </c>
    </row>
    <row r="1535" spans="1:14" x14ac:dyDescent="0.3">
      <c r="A1535" t="s">
        <v>603</v>
      </c>
      <c r="B1535" t="s">
        <v>656</v>
      </c>
      <c r="C1535" t="s">
        <v>657</v>
      </c>
      <c r="D1535" t="s">
        <v>496</v>
      </c>
      <c r="E1535" t="s">
        <v>524</v>
      </c>
      <c r="F1535" t="s">
        <v>493</v>
      </c>
      <c r="G1535" t="s">
        <v>664</v>
      </c>
      <c r="I1535">
        <v>1380.84</v>
      </c>
      <c r="J1535" t="s">
        <v>496</v>
      </c>
      <c r="K1535" t="s">
        <v>665</v>
      </c>
      <c r="L1535" t="s">
        <v>221</v>
      </c>
      <c r="M1535" t="s">
        <v>35</v>
      </c>
      <c r="N1535" t="s">
        <v>24</v>
      </c>
    </row>
    <row r="1536" spans="1:14" x14ac:dyDescent="0.3">
      <c r="A1536" t="s">
        <v>553</v>
      </c>
      <c r="B1536" t="s">
        <v>656</v>
      </c>
      <c r="C1536" t="s">
        <v>657</v>
      </c>
      <c r="D1536" t="s">
        <v>496</v>
      </c>
      <c r="E1536" t="s">
        <v>524</v>
      </c>
      <c r="F1536" t="s">
        <v>500</v>
      </c>
      <c r="G1536" t="s">
        <v>664</v>
      </c>
      <c r="I1536">
        <v>6982.98</v>
      </c>
      <c r="J1536" t="s">
        <v>496</v>
      </c>
      <c r="K1536" t="s">
        <v>665</v>
      </c>
      <c r="L1536" t="s">
        <v>221</v>
      </c>
      <c r="M1536" t="s">
        <v>35</v>
      </c>
      <c r="N1536" t="s">
        <v>24</v>
      </c>
    </row>
    <row r="1537" spans="1:14" x14ac:dyDescent="0.3">
      <c r="A1537" t="s">
        <v>554</v>
      </c>
      <c r="B1537" t="s">
        <v>656</v>
      </c>
      <c r="C1537" t="s">
        <v>657</v>
      </c>
      <c r="D1537" t="s">
        <v>496</v>
      </c>
      <c r="E1537" t="s">
        <v>524</v>
      </c>
      <c r="F1537" t="s">
        <v>500</v>
      </c>
      <c r="G1537" t="s">
        <v>664</v>
      </c>
      <c r="I1537">
        <v>6069.63</v>
      </c>
      <c r="J1537" t="s">
        <v>496</v>
      </c>
      <c r="K1537" t="s">
        <v>665</v>
      </c>
      <c r="L1537" t="s">
        <v>221</v>
      </c>
      <c r="M1537" t="s">
        <v>35</v>
      </c>
      <c r="N1537" t="s">
        <v>24</v>
      </c>
    </row>
    <row r="1538" spans="1:14" x14ac:dyDescent="0.3">
      <c r="A1538" t="s">
        <v>603</v>
      </c>
      <c r="B1538" t="s">
        <v>656</v>
      </c>
      <c r="C1538" t="s">
        <v>657</v>
      </c>
      <c r="D1538" t="s">
        <v>496</v>
      </c>
      <c r="E1538" t="s">
        <v>524</v>
      </c>
      <c r="F1538" t="s">
        <v>500</v>
      </c>
      <c r="G1538" t="s">
        <v>664</v>
      </c>
      <c r="I1538">
        <v>2166.36</v>
      </c>
      <c r="J1538" t="s">
        <v>496</v>
      </c>
      <c r="K1538" t="s">
        <v>665</v>
      </c>
      <c r="L1538" t="s">
        <v>221</v>
      </c>
      <c r="M1538" t="s">
        <v>35</v>
      </c>
      <c r="N1538" t="s">
        <v>24</v>
      </c>
    </row>
    <row r="1539" spans="1:14" x14ac:dyDescent="0.3">
      <c r="A1539" t="s">
        <v>553</v>
      </c>
      <c r="B1539" t="s">
        <v>656</v>
      </c>
      <c r="C1539" t="s">
        <v>657</v>
      </c>
      <c r="D1539" t="s">
        <v>496</v>
      </c>
      <c r="E1539" t="s">
        <v>524</v>
      </c>
      <c r="F1539" t="s">
        <v>502</v>
      </c>
      <c r="G1539" t="s">
        <v>664</v>
      </c>
      <c r="I1539">
        <v>15982.17</v>
      </c>
      <c r="J1539" t="s">
        <v>496</v>
      </c>
      <c r="K1539" t="s">
        <v>665</v>
      </c>
      <c r="L1539" t="s">
        <v>221</v>
      </c>
      <c r="M1539" t="s">
        <v>35</v>
      </c>
      <c r="N1539" t="s">
        <v>24</v>
      </c>
    </row>
    <row r="1540" spans="1:14" x14ac:dyDescent="0.3">
      <c r="A1540" t="s">
        <v>554</v>
      </c>
      <c r="B1540" t="s">
        <v>656</v>
      </c>
      <c r="C1540" t="s">
        <v>657</v>
      </c>
      <c r="D1540" t="s">
        <v>496</v>
      </c>
      <c r="E1540" t="s">
        <v>524</v>
      </c>
      <c r="F1540" t="s">
        <v>502</v>
      </c>
      <c r="G1540" t="s">
        <v>664</v>
      </c>
      <c r="I1540">
        <v>-6069.63</v>
      </c>
      <c r="J1540" t="s">
        <v>496</v>
      </c>
      <c r="K1540" t="s">
        <v>665</v>
      </c>
      <c r="L1540" t="s">
        <v>221</v>
      </c>
      <c r="M1540" t="s">
        <v>35</v>
      </c>
      <c r="N1540" t="s">
        <v>24</v>
      </c>
    </row>
    <row r="1541" spans="1:14" x14ac:dyDescent="0.3">
      <c r="A1541" t="s">
        <v>603</v>
      </c>
      <c r="B1541" t="s">
        <v>656</v>
      </c>
      <c r="C1541" t="s">
        <v>657</v>
      </c>
      <c r="D1541" t="s">
        <v>496</v>
      </c>
      <c r="E1541" t="s">
        <v>524</v>
      </c>
      <c r="F1541" t="s">
        <v>502</v>
      </c>
      <c r="G1541" t="s">
        <v>664</v>
      </c>
      <c r="I1541">
        <v>-785.52</v>
      </c>
      <c r="J1541" t="s">
        <v>496</v>
      </c>
      <c r="K1541" t="s">
        <v>665</v>
      </c>
      <c r="L1541" t="s">
        <v>221</v>
      </c>
      <c r="M1541" t="s">
        <v>35</v>
      </c>
      <c r="N1541" t="s">
        <v>24</v>
      </c>
    </row>
    <row r="1542" spans="1:14" x14ac:dyDescent="0.3">
      <c r="A1542" t="s">
        <v>549</v>
      </c>
      <c r="B1542" t="s">
        <v>522</v>
      </c>
      <c r="C1542" t="s">
        <v>523</v>
      </c>
      <c r="D1542" t="s">
        <v>451</v>
      </c>
      <c r="E1542" t="s">
        <v>106</v>
      </c>
      <c r="F1542" t="s">
        <v>406</v>
      </c>
      <c r="I1542">
        <v>744928000</v>
      </c>
      <c r="J1542" t="s">
        <v>451</v>
      </c>
      <c r="K1542" t="s">
        <v>666</v>
      </c>
      <c r="L1542" t="s">
        <v>35</v>
      </c>
      <c r="M1542" t="s">
        <v>35</v>
      </c>
      <c r="N1542" t="s">
        <v>24</v>
      </c>
    </row>
    <row r="1543" spans="1:14" x14ac:dyDescent="0.3">
      <c r="A1543" t="s">
        <v>549</v>
      </c>
      <c r="B1543" t="s">
        <v>522</v>
      </c>
      <c r="C1543" t="s">
        <v>523</v>
      </c>
      <c r="D1543" t="s">
        <v>451</v>
      </c>
      <c r="E1543" t="s">
        <v>106</v>
      </c>
      <c r="F1543" t="s">
        <v>406</v>
      </c>
      <c r="G1543" t="s">
        <v>667</v>
      </c>
      <c r="I1543">
        <v>744928000</v>
      </c>
      <c r="J1543" t="s">
        <v>451</v>
      </c>
      <c r="K1543" t="s">
        <v>668</v>
      </c>
      <c r="L1543" t="s">
        <v>35</v>
      </c>
      <c r="M1543" t="s">
        <v>35</v>
      </c>
      <c r="N1543" t="s">
        <v>24</v>
      </c>
    </row>
    <row r="1544" spans="1:14" x14ac:dyDescent="0.3">
      <c r="A1544" t="s">
        <v>549</v>
      </c>
      <c r="B1544" t="s">
        <v>522</v>
      </c>
      <c r="C1544" t="s">
        <v>523</v>
      </c>
      <c r="D1544" t="s">
        <v>451</v>
      </c>
      <c r="E1544" t="s">
        <v>106</v>
      </c>
      <c r="F1544" t="s">
        <v>406</v>
      </c>
      <c r="G1544" t="s">
        <v>669</v>
      </c>
      <c r="I1544">
        <v>612247701</v>
      </c>
      <c r="J1544" t="s">
        <v>451</v>
      </c>
      <c r="K1544" t="s">
        <v>670</v>
      </c>
      <c r="L1544" t="s">
        <v>35</v>
      </c>
      <c r="M1544" t="s">
        <v>35</v>
      </c>
      <c r="N1544" t="s">
        <v>24</v>
      </c>
    </row>
    <row r="1545" spans="1:14" x14ac:dyDescent="0.3">
      <c r="A1545" t="s">
        <v>551</v>
      </c>
      <c r="B1545" t="s">
        <v>522</v>
      </c>
      <c r="C1545" t="s">
        <v>523</v>
      </c>
      <c r="D1545" t="s">
        <v>451</v>
      </c>
      <c r="E1545" t="s">
        <v>106</v>
      </c>
      <c r="F1545" t="s">
        <v>406</v>
      </c>
      <c r="I1545">
        <v>1417284000</v>
      </c>
      <c r="J1545" t="s">
        <v>451</v>
      </c>
      <c r="K1545" t="s">
        <v>666</v>
      </c>
      <c r="L1545" t="s">
        <v>35</v>
      </c>
      <c r="M1545" t="s">
        <v>35</v>
      </c>
      <c r="N1545" t="s">
        <v>24</v>
      </c>
    </row>
    <row r="1546" spans="1:14" x14ac:dyDescent="0.3">
      <c r="A1546" t="s">
        <v>551</v>
      </c>
      <c r="B1546" t="s">
        <v>522</v>
      </c>
      <c r="C1546" t="s">
        <v>523</v>
      </c>
      <c r="D1546" t="s">
        <v>451</v>
      </c>
      <c r="E1546" t="s">
        <v>106</v>
      </c>
      <c r="F1546" t="s">
        <v>406</v>
      </c>
      <c r="G1546" t="s">
        <v>667</v>
      </c>
      <c r="I1546">
        <v>1417284000</v>
      </c>
      <c r="J1546" t="s">
        <v>451</v>
      </c>
      <c r="K1546" t="s">
        <v>668</v>
      </c>
      <c r="L1546" t="s">
        <v>35</v>
      </c>
      <c r="M1546" t="s">
        <v>35</v>
      </c>
      <c r="N1546" t="s">
        <v>24</v>
      </c>
    </row>
    <row r="1547" spans="1:14" x14ac:dyDescent="0.3">
      <c r="A1547" t="s">
        <v>551</v>
      </c>
      <c r="B1547" t="s">
        <v>522</v>
      </c>
      <c r="C1547" t="s">
        <v>523</v>
      </c>
      <c r="D1547" t="s">
        <v>451</v>
      </c>
      <c r="E1547" t="s">
        <v>106</v>
      </c>
      <c r="F1547" t="s">
        <v>406</v>
      </c>
      <c r="G1547" t="s">
        <v>669</v>
      </c>
      <c r="I1547">
        <v>744218137</v>
      </c>
      <c r="J1547" t="s">
        <v>451</v>
      </c>
      <c r="K1547" t="s">
        <v>670</v>
      </c>
      <c r="L1547" t="s">
        <v>35</v>
      </c>
      <c r="M1547" t="s">
        <v>35</v>
      </c>
      <c r="N1547" t="s">
        <v>24</v>
      </c>
    </row>
    <row r="1548" spans="1:14" x14ac:dyDescent="0.3">
      <c r="A1548" t="s">
        <v>552</v>
      </c>
      <c r="B1548" t="s">
        <v>522</v>
      </c>
      <c r="C1548" t="s">
        <v>523</v>
      </c>
      <c r="D1548" t="s">
        <v>451</v>
      </c>
      <c r="E1548" t="s">
        <v>106</v>
      </c>
      <c r="F1548" t="s">
        <v>406</v>
      </c>
      <c r="I1548">
        <v>1584956000</v>
      </c>
      <c r="J1548" t="s">
        <v>451</v>
      </c>
      <c r="K1548" t="s">
        <v>666</v>
      </c>
      <c r="L1548" t="s">
        <v>35</v>
      </c>
      <c r="M1548" t="s">
        <v>35</v>
      </c>
      <c r="N1548" t="s">
        <v>24</v>
      </c>
    </row>
    <row r="1549" spans="1:14" x14ac:dyDescent="0.3">
      <c r="A1549" t="s">
        <v>552</v>
      </c>
      <c r="B1549" t="s">
        <v>522</v>
      </c>
      <c r="C1549" t="s">
        <v>523</v>
      </c>
      <c r="D1549" t="s">
        <v>451</v>
      </c>
      <c r="E1549" t="s">
        <v>106</v>
      </c>
      <c r="F1549" t="s">
        <v>406</v>
      </c>
      <c r="G1549" t="s">
        <v>667</v>
      </c>
      <c r="I1549">
        <v>1584956000</v>
      </c>
      <c r="J1549" t="s">
        <v>451</v>
      </c>
      <c r="K1549" t="s">
        <v>668</v>
      </c>
      <c r="L1549" t="s">
        <v>35</v>
      </c>
      <c r="M1549" t="s">
        <v>35</v>
      </c>
      <c r="N1549" t="s">
        <v>24</v>
      </c>
    </row>
    <row r="1550" spans="1:14" x14ac:dyDescent="0.3">
      <c r="A1550" t="s">
        <v>552</v>
      </c>
      <c r="B1550" t="s">
        <v>522</v>
      </c>
      <c r="C1550" t="s">
        <v>523</v>
      </c>
      <c r="D1550" t="s">
        <v>451</v>
      </c>
      <c r="E1550" t="s">
        <v>106</v>
      </c>
      <c r="F1550" t="s">
        <v>406</v>
      </c>
      <c r="G1550" t="s">
        <v>669</v>
      </c>
      <c r="I1550">
        <v>787041187</v>
      </c>
      <c r="J1550" t="s">
        <v>451</v>
      </c>
      <c r="K1550" t="s">
        <v>670</v>
      </c>
      <c r="L1550" t="s">
        <v>35</v>
      </c>
      <c r="M1550" t="s">
        <v>35</v>
      </c>
      <c r="N1550" t="s">
        <v>24</v>
      </c>
    </row>
    <row r="1551" spans="1:14" x14ac:dyDescent="0.3">
      <c r="A1551" t="s">
        <v>553</v>
      </c>
      <c r="B1551" t="s">
        <v>522</v>
      </c>
      <c r="C1551" t="s">
        <v>523</v>
      </c>
      <c r="D1551" t="s">
        <v>451</v>
      </c>
      <c r="E1551" t="s">
        <v>106</v>
      </c>
      <c r="F1551" t="s">
        <v>406</v>
      </c>
      <c r="I1551">
        <v>1436764000</v>
      </c>
      <c r="J1551" t="s">
        <v>451</v>
      </c>
      <c r="K1551" t="s">
        <v>666</v>
      </c>
      <c r="L1551" t="s">
        <v>35</v>
      </c>
      <c r="M1551" t="s">
        <v>35</v>
      </c>
      <c r="N1551" t="s">
        <v>24</v>
      </c>
    </row>
    <row r="1552" spans="1:14" x14ac:dyDescent="0.3">
      <c r="A1552" t="s">
        <v>553</v>
      </c>
      <c r="B1552" t="s">
        <v>522</v>
      </c>
      <c r="C1552" t="s">
        <v>523</v>
      </c>
      <c r="D1552" t="s">
        <v>451</v>
      </c>
      <c r="E1552" t="s">
        <v>106</v>
      </c>
      <c r="F1552" t="s">
        <v>406</v>
      </c>
      <c r="G1552" t="s">
        <v>667</v>
      </c>
      <c r="I1552">
        <v>1436764000</v>
      </c>
      <c r="J1552" t="s">
        <v>451</v>
      </c>
      <c r="K1552" t="s">
        <v>668</v>
      </c>
      <c r="L1552" t="s">
        <v>35</v>
      </c>
      <c r="M1552" t="s">
        <v>35</v>
      </c>
      <c r="N1552" t="s">
        <v>24</v>
      </c>
    </row>
    <row r="1553" spans="1:14" x14ac:dyDescent="0.3">
      <c r="A1553" t="s">
        <v>553</v>
      </c>
      <c r="B1553" t="s">
        <v>522</v>
      </c>
      <c r="C1553" t="s">
        <v>523</v>
      </c>
      <c r="D1553" t="s">
        <v>451</v>
      </c>
      <c r="E1553" t="s">
        <v>106</v>
      </c>
      <c r="F1553" t="s">
        <v>406</v>
      </c>
      <c r="G1553" t="s">
        <v>669</v>
      </c>
      <c r="I1553">
        <v>750867662</v>
      </c>
      <c r="J1553" t="s">
        <v>451</v>
      </c>
      <c r="K1553" t="s">
        <v>670</v>
      </c>
      <c r="L1553" t="s">
        <v>35</v>
      </c>
      <c r="M1553" t="s">
        <v>35</v>
      </c>
      <c r="N1553" t="s">
        <v>24</v>
      </c>
    </row>
    <row r="1554" spans="1:14" x14ac:dyDescent="0.3">
      <c r="A1554" t="s">
        <v>554</v>
      </c>
      <c r="B1554" t="s">
        <v>522</v>
      </c>
      <c r="C1554" t="s">
        <v>523</v>
      </c>
      <c r="D1554" t="s">
        <v>451</v>
      </c>
      <c r="E1554" t="s">
        <v>106</v>
      </c>
      <c r="F1554" t="s">
        <v>406</v>
      </c>
      <c r="I1554">
        <v>1328900000</v>
      </c>
      <c r="J1554" t="s">
        <v>451</v>
      </c>
      <c r="K1554" t="s">
        <v>671</v>
      </c>
      <c r="L1554" t="s">
        <v>35</v>
      </c>
      <c r="M1554" t="s">
        <v>35</v>
      </c>
      <c r="N1554" t="s">
        <v>24</v>
      </c>
    </row>
    <row r="1555" spans="1:14" x14ac:dyDescent="0.3">
      <c r="A1555" t="s">
        <v>554</v>
      </c>
      <c r="B1555" t="s">
        <v>522</v>
      </c>
      <c r="C1555" t="s">
        <v>523</v>
      </c>
      <c r="D1555" t="s">
        <v>451</v>
      </c>
      <c r="E1555" t="s">
        <v>106</v>
      </c>
      <c r="F1555" t="s">
        <v>406</v>
      </c>
      <c r="G1555" t="s">
        <v>667</v>
      </c>
      <c r="I1555">
        <v>1612320000</v>
      </c>
      <c r="J1555" t="s">
        <v>451</v>
      </c>
      <c r="K1555" t="s">
        <v>668</v>
      </c>
      <c r="L1555" t="s">
        <v>35</v>
      </c>
      <c r="M1555" t="s">
        <v>35</v>
      </c>
      <c r="N1555" t="s">
        <v>24</v>
      </c>
    </row>
    <row r="1556" spans="1:14" x14ac:dyDescent="0.3">
      <c r="A1556" t="s">
        <v>554</v>
      </c>
      <c r="B1556" t="s">
        <v>522</v>
      </c>
      <c r="C1556" t="s">
        <v>523</v>
      </c>
      <c r="D1556" t="s">
        <v>451</v>
      </c>
      <c r="E1556" t="s">
        <v>106</v>
      </c>
      <c r="F1556" t="s">
        <v>406</v>
      </c>
      <c r="G1556" t="s">
        <v>669</v>
      </c>
      <c r="I1556">
        <v>1328900000</v>
      </c>
      <c r="J1556" t="s">
        <v>451</v>
      </c>
      <c r="K1556" t="s">
        <v>670</v>
      </c>
      <c r="L1556" t="s">
        <v>35</v>
      </c>
      <c r="M1556" t="s">
        <v>35</v>
      </c>
      <c r="N1556" t="s">
        <v>24</v>
      </c>
    </row>
    <row r="1557" spans="1:14" x14ac:dyDescent="0.3">
      <c r="A1557" t="s">
        <v>603</v>
      </c>
      <c r="B1557" t="s">
        <v>522</v>
      </c>
      <c r="C1557" t="s">
        <v>523</v>
      </c>
      <c r="D1557" t="s">
        <v>451</v>
      </c>
      <c r="E1557" t="s">
        <v>106</v>
      </c>
      <c r="F1557" t="s">
        <v>406</v>
      </c>
      <c r="I1557">
        <v>955991587</v>
      </c>
      <c r="J1557" t="s">
        <v>451</v>
      </c>
      <c r="K1557" t="s">
        <v>671</v>
      </c>
      <c r="L1557" t="s">
        <v>35</v>
      </c>
      <c r="M1557" t="s">
        <v>35</v>
      </c>
      <c r="N1557" t="s">
        <v>24</v>
      </c>
    </row>
    <row r="1558" spans="1:14" x14ac:dyDescent="0.3">
      <c r="A1558" t="s">
        <v>603</v>
      </c>
      <c r="B1558" t="s">
        <v>522</v>
      </c>
      <c r="C1558" t="s">
        <v>523</v>
      </c>
      <c r="D1558" t="s">
        <v>451</v>
      </c>
      <c r="E1558" t="s">
        <v>106</v>
      </c>
      <c r="F1558" t="s">
        <v>406</v>
      </c>
      <c r="G1558" t="s">
        <v>667</v>
      </c>
      <c r="I1558">
        <v>1502236000</v>
      </c>
      <c r="J1558" t="s">
        <v>451</v>
      </c>
      <c r="K1558" t="s">
        <v>668</v>
      </c>
      <c r="L1558" t="s">
        <v>35</v>
      </c>
      <c r="M1558" t="s">
        <v>35</v>
      </c>
      <c r="N1558" t="s">
        <v>24</v>
      </c>
    </row>
    <row r="1559" spans="1:14" x14ac:dyDescent="0.3">
      <c r="A1559" t="s">
        <v>603</v>
      </c>
      <c r="B1559" t="s">
        <v>522</v>
      </c>
      <c r="C1559" t="s">
        <v>523</v>
      </c>
      <c r="D1559" t="s">
        <v>451</v>
      </c>
      <c r="E1559" t="s">
        <v>106</v>
      </c>
      <c r="F1559" t="s">
        <v>406</v>
      </c>
      <c r="G1559" t="s">
        <v>669</v>
      </c>
      <c r="I1559">
        <v>955991587</v>
      </c>
      <c r="J1559" t="s">
        <v>451</v>
      </c>
      <c r="K1559" t="s">
        <v>670</v>
      </c>
      <c r="L1559" t="s">
        <v>35</v>
      </c>
      <c r="M1559" t="s">
        <v>35</v>
      </c>
      <c r="N1559" t="s">
        <v>24</v>
      </c>
    </row>
    <row r="1560" spans="1:14" x14ac:dyDescent="0.3">
      <c r="A1560" t="s">
        <v>624</v>
      </c>
      <c r="B1560" t="s">
        <v>522</v>
      </c>
      <c r="C1560" t="s">
        <v>523</v>
      </c>
      <c r="D1560" t="s">
        <v>451</v>
      </c>
      <c r="E1560" t="s">
        <v>106</v>
      </c>
      <c r="F1560" t="s">
        <v>406</v>
      </c>
      <c r="I1560">
        <v>1047406944</v>
      </c>
      <c r="J1560" t="s">
        <v>451</v>
      </c>
      <c r="K1560" t="s">
        <v>671</v>
      </c>
      <c r="L1560" t="s">
        <v>35</v>
      </c>
      <c r="M1560" t="s">
        <v>35</v>
      </c>
      <c r="N1560" t="s">
        <v>24</v>
      </c>
    </row>
    <row r="1561" spans="1:14" x14ac:dyDescent="0.3">
      <c r="A1561" t="s">
        <v>624</v>
      </c>
      <c r="B1561" t="s">
        <v>522</v>
      </c>
      <c r="C1561" t="s">
        <v>523</v>
      </c>
      <c r="D1561" t="s">
        <v>451</v>
      </c>
      <c r="E1561" t="s">
        <v>106</v>
      </c>
      <c r="F1561" t="s">
        <v>406</v>
      </c>
      <c r="G1561" t="s">
        <v>667</v>
      </c>
      <c r="I1561">
        <v>1552340000</v>
      </c>
      <c r="J1561" t="s">
        <v>451</v>
      </c>
      <c r="K1561" t="s">
        <v>668</v>
      </c>
      <c r="L1561" t="s">
        <v>35</v>
      </c>
      <c r="M1561" t="s">
        <v>35</v>
      </c>
      <c r="N1561" t="s">
        <v>24</v>
      </c>
    </row>
    <row r="1562" spans="1:14" x14ac:dyDescent="0.3">
      <c r="A1562" t="s">
        <v>624</v>
      </c>
      <c r="B1562" t="s">
        <v>522</v>
      </c>
      <c r="C1562" t="s">
        <v>523</v>
      </c>
      <c r="D1562" t="s">
        <v>451</v>
      </c>
      <c r="E1562" t="s">
        <v>106</v>
      </c>
      <c r="F1562" t="s">
        <v>406</v>
      </c>
      <c r="G1562" t="s">
        <v>669</v>
      </c>
      <c r="I1562">
        <v>1047406944</v>
      </c>
      <c r="J1562" t="s">
        <v>451</v>
      </c>
      <c r="K1562" t="s">
        <v>670</v>
      </c>
      <c r="L1562" t="s">
        <v>35</v>
      </c>
      <c r="M1562" t="s">
        <v>35</v>
      </c>
      <c r="N1562" t="s">
        <v>24</v>
      </c>
    </row>
    <row r="1563" spans="1:14" x14ac:dyDescent="0.3">
      <c r="A1563" t="s">
        <v>672</v>
      </c>
      <c r="B1563" t="s">
        <v>522</v>
      </c>
      <c r="C1563" t="s">
        <v>523</v>
      </c>
      <c r="D1563" t="s">
        <v>451</v>
      </c>
      <c r="E1563" t="s">
        <v>106</v>
      </c>
      <c r="F1563" t="s">
        <v>406</v>
      </c>
      <c r="I1563">
        <v>1573626071</v>
      </c>
      <c r="J1563" t="s">
        <v>451</v>
      </c>
      <c r="K1563" t="s">
        <v>671</v>
      </c>
      <c r="L1563" t="s">
        <v>35</v>
      </c>
      <c r="M1563" t="s">
        <v>35</v>
      </c>
      <c r="N1563" t="s">
        <v>24</v>
      </c>
    </row>
    <row r="1564" spans="1:14" x14ac:dyDescent="0.3">
      <c r="A1564" t="s">
        <v>672</v>
      </c>
      <c r="B1564" t="s">
        <v>522</v>
      </c>
      <c r="C1564" t="s">
        <v>523</v>
      </c>
      <c r="D1564" t="s">
        <v>451</v>
      </c>
      <c r="E1564" t="s">
        <v>106</v>
      </c>
      <c r="F1564" t="s">
        <v>406</v>
      </c>
      <c r="G1564" t="s">
        <v>667</v>
      </c>
      <c r="I1564">
        <v>1534356000</v>
      </c>
      <c r="J1564" t="s">
        <v>451</v>
      </c>
      <c r="K1564" t="s">
        <v>668</v>
      </c>
      <c r="L1564" t="s">
        <v>35</v>
      </c>
      <c r="M1564" t="s">
        <v>35</v>
      </c>
      <c r="N1564" t="s">
        <v>24</v>
      </c>
    </row>
    <row r="1565" spans="1:14" x14ac:dyDescent="0.3">
      <c r="A1565" t="s">
        <v>672</v>
      </c>
      <c r="B1565" t="s">
        <v>522</v>
      </c>
      <c r="C1565" t="s">
        <v>523</v>
      </c>
      <c r="D1565" t="s">
        <v>451</v>
      </c>
      <c r="E1565" t="s">
        <v>106</v>
      </c>
      <c r="F1565" t="s">
        <v>406</v>
      </c>
      <c r="G1565" t="s">
        <v>669</v>
      </c>
      <c r="I1565">
        <v>1573626071</v>
      </c>
      <c r="J1565" t="s">
        <v>451</v>
      </c>
      <c r="K1565" t="s">
        <v>670</v>
      </c>
      <c r="L1565" t="s">
        <v>35</v>
      </c>
      <c r="M1565" t="s">
        <v>35</v>
      </c>
      <c r="N1565" t="s">
        <v>24</v>
      </c>
    </row>
    <row r="1566" spans="1:14" x14ac:dyDescent="0.3">
      <c r="A1566" t="s">
        <v>673</v>
      </c>
      <c r="B1566" t="s">
        <v>522</v>
      </c>
      <c r="C1566" t="s">
        <v>523</v>
      </c>
      <c r="D1566" t="s">
        <v>451</v>
      </c>
      <c r="E1566" t="s">
        <v>106</v>
      </c>
      <c r="F1566" t="s">
        <v>406</v>
      </c>
      <c r="I1566">
        <v>1665041429</v>
      </c>
      <c r="J1566" t="s">
        <v>451</v>
      </c>
      <c r="K1566" t="s">
        <v>671</v>
      </c>
      <c r="L1566" t="s">
        <v>35</v>
      </c>
      <c r="M1566" t="s">
        <v>35</v>
      </c>
      <c r="N1566" t="s">
        <v>24</v>
      </c>
    </row>
    <row r="1567" spans="1:14" x14ac:dyDescent="0.3">
      <c r="A1567" t="s">
        <v>673</v>
      </c>
      <c r="B1567" t="s">
        <v>522</v>
      </c>
      <c r="C1567" t="s">
        <v>523</v>
      </c>
      <c r="D1567" t="s">
        <v>451</v>
      </c>
      <c r="E1567" t="s">
        <v>106</v>
      </c>
      <c r="F1567" t="s">
        <v>406</v>
      </c>
      <c r="G1567" t="s">
        <v>667</v>
      </c>
      <c r="I1567">
        <v>1697052000</v>
      </c>
      <c r="J1567" t="s">
        <v>451</v>
      </c>
      <c r="K1567" t="s">
        <v>668</v>
      </c>
      <c r="L1567" t="s">
        <v>35</v>
      </c>
      <c r="M1567" t="s">
        <v>35</v>
      </c>
      <c r="N1567" t="s">
        <v>24</v>
      </c>
    </row>
    <row r="1568" spans="1:14" x14ac:dyDescent="0.3">
      <c r="A1568" t="s">
        <v>673</v>
      </c>
      <c r="B1568" t="s">
        <v>522</v>
      </c>
      <c r="C1568" t="s">
        <v>523</v>
      </c>
      <c r="D1568" t="s">
        <v>451</v>
      </c>
      <c r="E1568" t="s">
        <v>106</v>
      </c>
      <c r="F1568" t="s">
        <v>406</v>
      </c>
      <c r="G1568" t="s">
        <v>669</v>
      </c>
      <c r="I1568">
        <v>1665041429</v>
      </c>
      <c r="J1568" t="s">
        <v>451</v>
      </c>
      <c r="K1568" t="s">
        <v>670</v>
      </c>
      <c r="L1568" t="s">
        <v>35</v>
      </c>
      <c r="M1568" t="s">
        <v>35</v>
      </c>
      <c r="N1568" t="s">
        <v>24</v>
      </c>
    </row>
    <row r="1569" spans="1:14" x14ac:dyDescent="0.3">
      <c r="A1569" t="s">
        <v>674</v>
      </c>
      <c r="B1569" t="s">
        <v>522</v>
      </c>
      <c r="C1569" t="s">
        <v>523</v>
      </c>
      <c r="D1569" t="s">
        <v>451</v>
      </c>
      <c r="E1569" t="s">
        <v>106</v>
      </c>
      <c r="F1569" t="s">
        <v>406</v>
      </c>
      <c r="I1569">
        <v>1756456786</v>
      </c>
      <c r="J1569" t="s">
        <v>451</v>
      </c>
      <c r="K1569" t="s">
        <v>671</v>
      </c>
      <c r="L1569" t="s">
        <v>35</v>
      </c>
      <c r="M1569" t="s">
        <v>35</v>
      </c>
      <c r="N1569" t="s">
        <v>24</v>
      </c>
    </row>
    <row r="1570" spans="1:14" x14ac:dyDescent="0.3">
      <c r="A1570" t="s">
        <v>674</v>
      </c>
      <c r="B1570" t="s">
        <v>522</v>
      </c>
      <c r="C1570" t="s">
        <v>523</v>
      </c>
      <c r="D1570" t="s">
        <v>451</v>
      </c>
      <c r="E1570" t="s">
        <v>106</v>
      </c>
      <c r="F1570" t="s">
        <v>406</v>
      </c>
      <c r="G1570" t="s">
        <v>667</v>
      </c>
      <c r="I1570">
        <v>1679816000</v>
      </c>
      <c r="J1570" t="s">
        <v>451</v>
      </c>
      <c r="K1570" t="s">
        <v>668</v>
      </c>
      <c r="L1570" t="s">
        <v>35</v>
      </c>
      <c r="M1570" t="s">
        <v>35</v>
      </c>
      <c r="N1570" t="s">
        <v>24</v>
      </c>
    </row>
    <row r="1571" spans="1:14" x14ac:dyDescent="0.3">
      <c r="A1571" t="s">
        <v>674</v>
      </c>
      <c r="B1571" t="s">
        <v>522</v>
      </c>
      <c r="C1571" t="s">
        <v>523</v>
      </c>
      <c r="D1571" t="s">
        <v>451</v>
      </c>
      <c r="E1571" t="s">
        <v>106</v>
      </c>
      <c r="F1571" t="s">
        <v>406</v>
      </c>
      <c r="G1571" t="s">
        <v>669</v>
      </c>
      <c r="I1571">
        <v>1756456786</v>
      </c>
      <c r="J1571" t="s">
        <v>451</v>
      </c>
      <c r="K1571" t="s">
        <v>670</v>
      </c>
      <c r="L1571" t="s">
        <v>35</v>
      </c>
      <c r="M1571" t="s">
        <v>35</v>
      </c>
      <c r="N1571" t="s">
        <v>24</v>
      </c>
    </row>
    <row r="1572" spans="1:14" x14ac:dyDescent="0.3">
      <c r="A1572" t="s">
        <v>675</v>
      </c>
      <c r="B1572" t="s">
        <v>522</v>
      </c>
      <c r="C1572" t="s">
        <v>523</v>
      </c>
      <c r="D1572" t="s">
        <v>451</v>
      </c>
      <c r="E1572" t="s">
        <v>106</v>
      </c>
      <c r="F1572" t="s">
        <v>406</v>
      </c>
      <c r="I1572">
        <v>1847872143</v>
      </c>
      <c r="J1572" t="s">
        <v>451</v>
      </c>
      <c r="K1572" t="s">
        <v>671</v>
      </c>
      <c r="L1572" t="s">
        <v>35</v>
      </c>
      <c r="M1572" t="s">
        <v>35</v>
      </c>
      <c r="N1572" t="s">
        <v>24</v>
      </c>
    </row>
    <row r="1573" spans="1:14" x14ac:dyDescent="0.3">
      <c r="A1573" t="s">
        <v>675</v>
      </c>
      <c r="B1573" t="s">
        <v>522</v>
      </c>
      <c r="C1573" t="s">
        <v>523</v>
      </c>
      <c r="D1573" t="s">
        <v>451</v>
      </c>
      <c r="E1573" t="s">
        <v>106</v>
      </c>
      <c r="F1573" t="s">
        <v>406</v>
      </c>
      <c r="G1573" t="s">
        <v>667</v>
      </c>
      <c r="I1573">
        <v>1692868000</v>
      </c>
      <c r="J1573" t="s">
        <v>451</v>
      </c>
      <c r="K1573" t="s">
        <v>668</v>
      </c>
      <c r="L1573" t="s">
        <v>35</v>
      </c>
      <c r="M1573" t="s">
        <v>35</v>
      </c>
      <c r="N1573" t="s">
        <v>24</v>
      </c>
    </row>
    <row r="1574" spans="1:14" x14ac:dyDescent="0.3">
      <c r="A1574" t="s">
        <v>675</v>
      </c>
      <c r="B1574" t="s">
        <v>522</v>
      </c>
      <c r="C1574" t="s">
        <v>523</v>
      </c>
      <c r="D1574" t="s">
        <v>451</v>
      </c>
      <c r="E1574" t="s">
        <v>106</v>
      </c>
      <c r="F1574" t="s">
        <v>406</v>
      </c>
      <c r="G1574" t="s">
        <v>669</v>
      </c>
      <c r="I1574">
        <v>1847872143</v>
      </c>
      <c r="J1574" t="s">
        <v>451</v>
      </c>
      <c r="K1574" t="s">
        <v>670</v>
      </c>
      <c r="L1574" t="s">
        <v>35</v>
      </c>
      <c r="M1574" t="s">
        <v>35</v>
      </c>
      <c r="N1574" t="s">
        <v>24</v>
      </c>
    </row>
    <row r="1575" spans="1:14" x14ac:dyDescent="0.3">
      <c r="A1575" t="s">
        <v>676</v>
      </c>
      <c r="B1575" t="s">
        <v>522</v>
      </c>
      <c r="C1575" t="s">
        <v>523</v>
      </c>
      <c r="D1575" t="s">
        <v>451</v>
      </c>
      <c r="E1575" t="s">
        <v>106</v>
      </c>
      <c r="F1575" t="s">
        <v>406</v>
      </c>
      <c r="I1575">
        <v>1939287500</v>
      </c>
      <c r="J1575" t="s">
        <v>451</v>
      </c>
      <c r="K1575" t="s">
        <v>671</v>
      </c>
      <c r="L1575" t="s">
        <v>35</v>
      </c>
      <c r="M1575" t="s">
        <v>35</v>
      </c>
      <c r="N1575" t="s">
        <v>24</v>
      </c>
    </row>
    <row r="1576" spans="1:14" x14ac:dyDescent="0.3">
      <c r="A1576" t="s">
        <v>676</v>
      </c>
      <c r="B1576" t="s">
        <v>522</v>
      </c>
      <c r="C1576" t="s">
        <v>523</v>
      </c>
      <c r="D1576" t="s">
        <v>451</v>
      </c>
      <c r="E1576" t="s">
        <v>106</v>
      </c>
      <c r="F1576" t="s">
        <v>406</v>
      </c>
      <c r="G1576" t="s">
        <v>667</v>
      </c>
      <c r="I1576">
        <v>1767984000</v>
      </c>
      <c r="J1576" t="s">
        <v>451</v>
      </c>
      <c r="K1576" t="s">
        <v>668</v>
      </c>
      <c r="L1576" t="s">
        <v>35</v>
      </c>
      <c r="M1576" t="s">
        <v>35</v>
      </c>
      <c r="N1576" t="s">
        <v>24</v>
      </c>
    </row>
    <row r="1577" spans="1:14" x14ac:dyDescent="0.3">
      <c r="A1577" t="s">
        <v>676</v>
      </c>
      <c r="B1577" t="s">
        <v>522</v>
      </c>
      <c r="C1577" t="s">
        <v>523</v>
      </c>
      <c r="D1577" t="s">
        <v>451</v>
      </c>
      <c r="E1577" t="s">
        <v>106</v>
      </c>
      <c r="F1577" t="s">
        <v>406</v>
      </c>
      <c r="G1577" t="s">
        <v>669</v>
      </c>
      <c r="I1577">
        <v>1939287500</v>
      </c>
      <c r="J1577" t="s">
        <v>451</v>
      </c>
      <c r="K1577" t="s">
        <v>670</v>
      </c>
      <c r="L1577" t="s">
        <v>35</v>
      </c>
      <c r="M1577" t="s">
        <v>35</v>
      </c>
      <c r="N1577" t="s">
        <v>24</v>
      </c>
    </row>
    <row r="1578" spans="1:14" x14ac:dyDescent="0.3">
      <c r="A1578" t="s">
        <v>603</v>
      </c>
      <c r="B1578" t="s">
        <v>652</v>
      </c>
      <c r="C1578" t="s">
        <v>653</v>
      </c>
      <c r="D1578" t="s">
        <v>496</v>
      </c>
      <c r="E1578" t="s">
        <v>524</v>
      </c>
      <c r="F1578" t="s">
        <v>448</v>
      </c>
      <c r="G1578" t="s">
        <v>677</v>
      </c>
      <c r="I1578">
        <v>32997</v>
      </c>
      <c r="J1578" t="s">
        <v>496</v>
      </c>
      <c r="K1578" t="s">
        <v>678</v>
      </c>
      <c r="L1578" t="s">
        <v>221</v>
      </c>
      <c r="M1578" t="s">
        <v>35</v>
      </c>
      <c r="N1578" t="s">
        <v>679</v>
      </c>
    </row>
    <row r="1579" spans="1:14" x14ac:dyDescent="0.3">
      <c r="A1579" t="s">
        <v>603</v>
      </c>
      <c r="B1579" t="s">
        <v>656</v>
      </c>
      <c r="C1579" t="s">
        <v>657</v>
      </c>
      <c r="D1579" t="s">
        <v>496</v>
      </c>
      <c r="E1579" t="s">
        <v>524</v>
      </c>
      <c r="F1579" t="s">
        <v>448</v>
      </c>
      <c r="G1579" t="s">
        <v>677</v>
      </c>
      <c r="I1579">
        <v>4679</v>
      </c>
      <c r="J1579" t="s">
        <v>496</v>
      </c>
      <c r="K1579" t="s">
        <v>678</v>
      </c>
      <c r="L1579" t="s">
        <v>221</v>
      </c>
      <c r="M1579" t="s">
        <v>35</v>
      </c>
      <c r="N1579" t="s">
        <v>679</v>
      </c>
    </row>
    <row r="1580" spans="1:14" x14ac:dyDescent="0.3">
      <c r="A1580" t="s">
        <v>603</v>
      </c>
      <c r="B1580" t="s">
        <v>522</v>
      </c>
      <c r="C1580" t="s">
        <v>523</v>
      </c>
      <c r="D1580" t="s">
        <v>496</v>
      </c>
      <c r="E1580" t="s">
        <v>524</v>
      </c>
      <c r="F1580" t="s">
        <v>448</v>
      </c>
      <c r="G1580" t="s">
        <v>677</v>
      </c>
      <c r="I1580">
        <v>1398926</v>
      </c>
      <c r="J1580" t="s">
        <v>496</v>
      </c>
      <c r="K1580" t="s">
        <v>678</v>
      </c>
      <c r="L1580" t="s">
        <v>221</v>
      </c>
      <c r="M1580" t="s">
        <v>35</v>
      </c>
      <c r="N1580" t="s">
        <v>679</v>
      </c>
    </row>
    <row r="1581" spans="1:14" x14ac:dyDescent="0.3">
      <c r="A1581" t="s">
        <v>603</v>
      </c>
      <c r="B1581" t="s">
        <v>660</v>
      </c>
      <c r="C1581" t="s">
        <v>661</v>
      </c>
      <c r="D1581" t="s">
        <v>496</v>
      </c>
      <c r="E1581" t="s">
        <v>524</v>
      </c>
      <c r="F1581" t="s">
        <v>448</v>
      </c>
      <c r="G1581" t="s">
        <v>677</v>
      </c>
      <c r="I1581">
        <v>1436602</v>
      </c>
      <c r="J1581" t="s">
        <v>496</v>
      </c>
      <c r="K1581" t="s">
        <v>678</v>
      </c>
      <c r="L1581" t="s">
        <v>221</v>
      </c>
      <c r="M1581" t="s">
        <v>35</v>
      </c>
      <c r="N1581" t="s">
        <v>679</v>
      </c>
    </row>
    <row r="1582" spans="1:14" x14ac:dyDescent="0.3">
      <c r="A1582" t="s">
        <v>603</v>
      </c>
      <c r="B1582" t="s">
        <v>522</v>
      </c>
      <c r="C1582" t="s">
        <v>523</v>
      </c>
      <c r="D1582" t="s">
        <v>496</v>
      </c>
      <c r="E1582" t="s">
        <v>524</v>
      </c>
      <c r="F1582" t="s">
        <v>453</v>
      </c>
      <c r="G1582" t="s">
        <v>677</v>
      </c>
      <c r="I1582">
        <v>-123034</v>
      </c>
      <c r="J1582" t="s">
        <v>496</v>
      </c>
      <c r="K1582" t="s">
        <v>678</v>
      </c>
      <c r="L1582" t="s">
        <v>221</v>
      </c>
      <c r="M1582" t="s">
        <v>35</v>
      </c>
      <c r="N1582" t="s">
        <v>679</v>
      </c>
    </row>
    <row r="1583" spans="1:14" x14ac:dyDescent="0.3">
      <c r="A1583" t="s">
        <v>603</v>
      </c>
      <c r="B1583" t="s">
        <v>660</v>
      </c>
      <c r="C1583" t="s">
        <v>661</v>
      </c>
      <c r="D1583" t="s">
        <v>496</v>
      </c>
      <c r="E1583" t="s">
        <v>524</v>
      </c>
      <c r="F1583" t="s">
        <v>453</v>
      </c>
      <c r="G1583" t="s">
        <v>677</v>
      </c>
      <c r="I1583">
        <v>-123034</v>
      </c>
      <c r="J1583" t="s">
        <v>496</v>
      </c>
      <c r="K1583" t="s">
        <v>678</v>
      </c>
      <c r="L1583" t="s">
        <v>221</v>
      </c>
      <c r="M1583" t="s">
        <v>35</v>
      </c>
      <c r="N1583" t="s">
        <v>679</v>
      </c>
    </row>
    <row r="1584" spans="1:14" x14ac:dyDescent="0.3">
      <c r="A1584" t="s">
        <v>603</v>
      </c>
      <c r="B1584" t="s">
        <v>652</v>
      </c>
      <c r="C1584" t="s">
        <v>653</v>
      </c>
      <c r="D1584" t="s">
        <v>496</v>
      </c>
      <c r="E1584" t="s">
        <v>524</v>
      </c>
      <c r="F1584" t="s">
        <v>442</v>
      </c>
      <c r="G1584" t="s">
        <v>677</v>
      </c>
      <c r="I1584">
        <v>32997</v>
      </c>
      <c r="J1584" t="s">
        <v>496</v>
      </c>
      <c r="K1584" t="s">
        <v>678</v>
      </c>
      <c r="L1584" t="s">
        <v>221</v>
      </c>
      <c r="M1584" t="s">
        <v>35</v>
      </c>
      <c r="N1584" t="s">
        <v>679</v>
      </c>
    </row>
    <row r="1585" spans="1:14" x14ac:dyDescent="0.3">
      <c r="A1585" t="s">
        <v>603</v>
      </c>
      <c r="B1585" t="s">
        <v>656</v>
      </c>
      <c r="C1585" t="s">
        <v>657</v>
      </c>
      <c r="D1585" t="s">
        <v>496</v>
      </c>
      <c r="E1585" t="s">
        <v>524</v>
      </c>
      <c r="F1585" t="s">
        <v>442</v>
      </c>
      <c r="G1585" t="s">
        <v>677</v>
      </c>
      <c r="I1585">
        <v>4679</v>
      </c>
      <c r="J1585" t="s">
        <v>496</v>
      </c>
      <c r="K1585" t="s">
        <v>678</v>
      </c>
      <c r="L1585" t="s">
        <v>221</v>
      </c>
      <c r="M1585" t="s">
        <v>35</v>
      </c>
      <c r="N1585" t="s">
        <v>679</v>
      </c>
    </row>
    <row r="1586" spans="1:14" x14ac:dyDescent="0.3">
      <c r="A1586" t="s">
        <v>603</v>
      </c>
      <c r="B1586" t="s">
        <v>522</v>
      </c>
      <c r="C1586" t="s">
        <v>523</v>
      </c>
      <c r="D1586" t="s">
        <v>496</v>
      </c>
      <c r="E1586" t="s">
        <v>524</v>
      </c>
      <c r="F1586" t="s">
        <v>442</v>
      </c>
      <c r="G1586" t="s">
        <v>677</v>
      </c>
      <c r="I1586">
        <v>1275892</v>
      </c>
      <c r="J1586" t="s">
        <v>496</v>
      </c>
      <c r="K1586" t="s">
        <v>678</v>
      </c>
      <c r="L1586" t="s">
        <v>221</v>
      </c>
      <c r="M1586" t="s">
        <v>35</v>
      </c>
      <c r="N1586" t="s">
        <v>679</v>
      </c>
    </row>
    <row r="1587" spans="1:14" x14ac:dyDescent="0.3">
      <c r="A1587" t="s">
        <v>603</v>
      </c>
      <c r="B1587" t="s">
        <v>660</v>
      </c>
      <c r="C1587" t="s">
        <v>661</v>
      </c>
      <c r="D1587" t="s">
        <v>496</v>
      </c>
      <c r="E1587" t="s">
        <v>524</v>
      </c>
      <c r="F1587" t="s">
        <v>442</v>
      </c>
      <c r="G1587" t="s">
        <v>677</v>
      </c>
      <c r="I1587">
        <v>1313567</v>
      </c>
      <c r="J1587" t="s">
        <v>496</v>
      </c>
      <c r="K1587" t="s">
        <v>678</v>
      </c>
      <c r="L1587" t="s">
        <v>221</v>
      </c>
      <c r="M1587" t="s">
        <v>35</v>
      </c>
      <c r="N1587" t="s">
        <v>679</v>
      </c>
    </row>
    <row r="1588" spans="1:14" x14ac:dyDescent="0.3">
      <c r="A1588" t="s">
        <v>603</v>
      </c>
      <c r="B1588" t="s">
        <v>522</v>
      </c>
      <c r="C1588" t="s">
        <v>523</v>
      </c>
      <c r="D1588" t="s">
        <v>496</v>
      </c>
      <c r="E1588" t="s">
        <v>524</v>
      </c>
      <c r="F1588" t="s">
        <v>457</v>
      </c>
      <c r="G1588" t="s">
        <v>677</v>
      </c>
      <c r="I1588">
        <v>605005</v>
      </c>
      <c r="J1588" t="s">
        <v>496</v>
      </c>
      <c r="K1588" t="s">
        <v>678</v>
      </c>
      <c r="L1588" t="s">
        <v>221</v>
      </c>
      <c r="M1588" t="s">
        <v>35</v>
      </c>
      <c r="N1588" t="s">
        <v>679</v>
      </c>
    </row>
    <row r="1589" spans="1:14" x14ac:dyDescent="0.3">
      <c r="A1589" t="s">
        <v>603</v>
      </c>
      <c r="B1589" t="s">
        <v>660</v>
      </c>
      <c r="C1589" t="s">
        <v>661</v>
      </c>
      <c r="D1589" t="s">
        <v>496</v>
      </c>
      <c r="E1589" t="s">
        <v>524</v>
      </c>
      <c r="F1589" t="s">
        <v>457</v>
      </c>
      <c r="G1589" t="s">
        <v>677</v>
      </c>
      <c r="I1589">
        <v>605005</v>
      </c>
      <c r="J1589" t="s">
        <v>496</v>
      </c>
      <c r="K1589" t="s">
        <v>678</v>
      </c>
      <c r="L1589" t="s">
        <v>221</v>
      </c>
      <c r="M1589" t="s">
        <v>35</v>
      </c>
      <c r="N1589" t="s">
        <v>679</v>
      </c>
    </row>
    <row r="1590" spans="1:14" x14ac:dyDescent="0.3">
      <c r="A1590" t="s">
        <v>603</v>
      </c>
      <c r="B1590" t="s">
        <v>652</v>
      </c>
      <c r="C1590" t="s">
        <v>653</v>
      </c>
      <c r="D1590" t="s">
        <v>496</v>
      </c>
      <c r="E1590" t="s">
        <v>524</v>
      </c>
      <c r="F1590" t="s">
        <v>465</v>
      </c>
      <c r="G1590" t="s">
        <v>677</v>
      </c>
      <c r="I1590">
        <v>30736</v>
      </c>
      <c r="J1590" t="s">
        <v>496</v>
      </c>
      <c r="K1590" t="s">
        <v>678</v>
      </c>
      <c r="L1590" t="s">
        <v>221</v>
      </c>
      <c r="M1590" t="s">
        <v>35</v>
      </c>
      <c r="N1590" t="s">
        <v>679</v>
      </c>
    </row>
    <row r="1591" spans="1:14" x14ac:dyDescent="0.3">
      <c r="A1591" t="s">
        <v>603</v>
      </c>
      <c r="B1591" t="s">
        <v>656</v>
      </c>
      <c r="C1591" t="s">
        <v>657</v>
      </c>
      <c r="D1591" t="s">
        <v>496</v>
      </c>
      <c r="E1591" t="s">
        <v>524</v>
      </c>
      <c r="F1591" t="s">
        <v>465</v>
      </c>
      <c r="G1591" t="s">
        <v>677</v>
      </c>
      <c r="I1591">
        <v>1600</v>
      </c>
      <c r="J1591" t="s">
        <v>496</v>
      </c>
      <c r="K1591" t="s">
        <v>678</v>
      </c>
      <c r="L1591" t="s">
        <v>221</v>
      </c>
      <c r="M1591" t="s">
        <v>35</v>
      </c>
      <c r="N1591" t="s">
        <v>679</v>
      </c>
    </row>
    <row r="1592" spans="1:14" x14ac:dyDescent="0.3">
      <c r="A1592" t="s">
        <v>603</v>
      </c>
      <c r="B1592" t="s">
        <v>658</v>
      </c>
      <c r="C1592" t="s">
        <v>659</v>
      </c>
      <c r="D1592" t="s">
        <v>496</v>
      </c>
      <c r="E1592" t="s">
        <v>524</v>
      </c>
      <c r="F1592" t="s">
        <v>465</v>
      </c>
      <c r="G1592" t="s">
        <v>677</v>
      </c>
      <c r="I1592">
        <v>21792</v>
      </c>
      <c r="J1592" t="s">
        <v>496</v>
      </c>
      <c r="K1592" t="s">
        <v>678</v>
      </c>
      <c r="L1592" t="s">
        <v>221</v>
      </c>
      <c r="M1592" t="s">
        <v>35</v>
      </c>
      <c r="N1592" t="s">
        <v>679</v>
      </c>
    </row>
    <row r="1593" spans="1:14" x14ac:dyDescent="0.3">
      <c r="A1593" t="s">
        <v>603</v>
      </c>
      <c r="B1593" t="s">
        <v>522</v>
      </c>
      <c r="C1593" t="s">
        <v>523</v>
      </c>
      <c r="D1593" t="s">
        <v>496</v>
      </c>
      <c r="E1593" t="s">
        <v>524</v>
      </c>
      <c r="F1593" t="s">
        <v>465</v>
      </c>
      <c r="G1593" t="s">
        <v>677</v>
      </c>
      <c r="I1593">
        <v>196717</v>
      </c>
      <c r="J1593" t="s">
        <v>496</v>
      </c>
      <c r="K1593" t="s">
        <v>678</v>
      </c>
      <c r="L1593" t="s">
        <v>221</v>
      </c>
      <c r="M1593" t="s">
        <v>35</v>
      </c>
      <c r="N1593" t="s">
        <v>679</v>
      </c>
    </row>
    <row r="1594" spans="1:14" x14ac:dyDescent="0.3">
      <c r="A1594" t="s">
        <v>603</v>
      </c>
      <c r="B1594" t="s">
        <v>660</v>
      </c>
      <c r="C1594" t="s">
        <v>661</v>
      </c>
      <c r="D1594" t="s">
        <v>496</v>
      </c>
      <c r="E1594" t="s">
        <v>524</v>
      </c>
      <c r="F1594" t="s">
        <v>465</v>
      </c>
      <c r="G1594" t="s">
        <v>677</v>
      </c>
      <c r="I1594">
        <v>250845</v>
      </c>
      <c r="J1594" t="s">
        <v>496</v>
      </c>
      <c r="K1594" t="s">
        <v>678</v>
      </c>
      <c r="L1594" t="s">
        <v>221</v>
      </c>
      <c r="M1594" t="s">
        <v>35</v>
      </c>
      <c r="N1594" t="s">
        <v>679</v>
      </c>
    </row>
    <row r="1595" spans="1:14" x14ac:dyDescent="0.3">
      <c r="A1595" t="s">
        <v>603</v>
      </c>
      <c r="B1595" t="s">
        <v>652</v>
      </c>
      <c r="C1595" t="s">
        <v>653</v>
      </c>
      <c r="D1595" t="s">
        <v>496</v>
      </c>
      <c r="E1595" t="s">
        <v>524</v>
      </c>
      <c r="F1595" t="s">
        <v>472</v>
      </c>
      <c r="G1595" t="s">
        <v>677</v>
      </c>
      <c r="I1595">
        <v>25246</v>
      </c>
      <c r="J1595" t="s">
        <v>496</v>
      </c>
      <c r="K1595" t="s">
        <v>680</v>
      </c>
      <c r="L1595" t="s">
        <v>221</v>
      </c>
      <c r="M1595" t="s">
        <v>35</v>
      </c>
      <c r="N1595" t="s">
        <v>679</v>
      </c>
    </row>
    <row r="1596" spans="1:14" x14ac:dyDescent="0.3">
      <c r="A1596" t="s">
        <v>603</v>
      </c>
      <c r="B1596" t="s">
        <v>522</v>
      </c>
      <c r="C1596" t="s">
        <v>523</v>
      </c>
      <c r="D1596" t="s">
        <v>496</v>
      </c>
      <c r="E1596" t="s">
        <v>524</v>
      </c>
      <c r="F1596" t="s">
        <v>472</v>
      </c>
      <c r="G1596" t="s">
        <v>677</v>
      </c>
      <c r="I1596">
        <v>240203</v>
      </c>
      <c r="J1596" t="s">
        <v>496</v>
      </c>
      <c r="K1596" t="s">
        <v>678</v>
      </c>
      <c r="L1596" t="s">
        <v>221</v>
      </c>
      <c r="M1596" t="s">
        <v>35</v>
      </c>
      <c r="N1596" t="s">
        <v>679</v>
      </c>
    </row>
    <row r="1597" spans="1:14" x14ac:dyDescent="0.3">
      <c r="A1597" t="s">
        <v>603</v>
      </c>
      <c r="B1597" t="s">
        <v>660</v>
      </c>
      <c r="C1597" t="s">
        <v>661</v>
      </c>
      <c r="D1597" t="s">
        <v>496</v>
      </c>
      <c r="E1597" t="s">
        <v>524</v>
      </c>
      <c r="F1597" t="s">
        <v>472</v>
      </c>
      <c r="G1597" t="s">
        <v>677</v>
      </c>
      <c r="I1597">
        <v>265449</v>
      </c>
      <c r="J1597" t="s">
        <v>496</v>
      </c>
      <c r="K1597" t="s">
        <v>680</v>
      </c>
      <c r="L1597" t="s">
        <v>221</v>
      </c>
      <c r="M1597" t="s">
        <v>35</v>
      </c>
      <c r="N1597" t="s">
        <v>679</v>
      </c>
    </row>
    <row r="1598" spans="1:14" x14ac:dyDescent="0.3">
      <c r="A1598" t="s">
        <v>603</v>
      </c>
      <c r="B1598" t="s">
        <v>652</v>
      </c>
      <c r="C1598" t="s">
        <v>653</v>
      </c>
      <c r="D1598" t="s">
        <v>496</v>
      </c>
      <c r="E1598" t="s">
        <v>524</v>
      </c>
      <c r="F1598" t="s">
        <v>469</v>
      </c>
      <c r="G1598" t="s">
        <v>677</v>
      </c>
      <c r="I1598">
        <v>11500</v>
      </c>
      <c r="J1598" t="s">
        <v>496</v>
      </c>
      <c r="K1598" t="s">
        <v>678</v>
      </c>
      <c r="L1598" t="s">
        <v>221</v>
      </c>
      <c r="M1598" t="s">
        <v>35</v>
      </c>
      <c r="N1598" t="s">
        <v>679</v>
      </c>
    </row>
    <row r="1599" spans="1:14" x14ac:dyDescent="0.3">
      <c r="A1599" t="s">
        <v>603</v>
      </c>
      <c r="B1599" t="s">
        <v>656</v>
      </c>
      <c r="C1599" t="s">
        <v>657</v>
      </c>
      <c r="D1599" t="s">
        <v>496</v>
      </c>
      <c r="E1599" t="s">
        <v>524</v>
      </c>
      <c r="F1599" t="s">
        <v>469</v>
      </c>
      <c r="G1599" t="s">
        <v>677</v>
      </c>
      <c r="I1599">
        <v>16797</v>
      </c>
      <c r="J1599" t="s">
        <v>496</v>
      </c>
      <c r="K1599" t="s">
        <v>678</v>
      </c>
      <c r="L1599" t="s">
        <v>221</v>
      </c>
      <c r="M1599" t="s">
        <v>35</v>
      </c>
      <c r="N1599" t="s">
        <v>679</v>
      </c>
    </row>
    <row r="1600" spans="1:14" x14ac:dyDescent="0.3">
      <c r="A1600" t="s">
        <v>603</v>
      </c>
      <c r="B1600" t="s">
        <v>522</v>
      </c>
      <c r="C1600" t="s">
        <v>523</v>
      </c>
      <c r="D1600" t="s">
        <v>496</v>
      </c>
      <c r="E1600" t="s">
        <v>524</v>
      </c>
      <c r="F1600" t="s">
        <v>469</v>
      </c>
      <c r="G1600" t="s">
        <v>677</v>
      </c>
      <c r="I1600">
        <v>163589</v>
      </c>
      <c r="J1600" t="s">
        <v>496</v>
      </c>
      <c r="K1600" t="s">
        <v>678</v>
      </c>
      <c r="L1600" t="s">
        <v>221</v>
      </c>
      <c r="M1600" t="s">
        <v>35</v>
      </c>
      <c r="N1600" t="s">
        <v>679</v>
      </c>
    </row>
    <row r="1601" spans="1:14" x14ac:dyDescent="0.3">
      <c r="A1601" t="s">
        <v>603</v>
      </c>
      <c r="B1601" t="s">
        <v>660</v>
      </c>
      <c r="C1601" t="s">
        <v>661</v>
      </c>
      <c r="D1601" t="s">
        <v>496</v>
      </c>
      <c r="E1601" t="s">
        <v>524</v>
      </c>
      <c r="F1601" t="s">
        <v>469</v>
      </c>
      <c r="G1601" t="s">
        <v>677</v>
      </c>
      <c r="I1601">
        <v>191885</v>
      </c>
      <c r="J1601" t="s">
        <v>496</v>
      </c>
      <c r="K1601" t="s">
        <v>678</v>
      </c>
      <c r="L1601" t="s">
        <v>221</v>
      </c>
      <c r="M1601" t="s">
        <v>35</v>
      </c>
      <c r="N1601" t="s">
        <v>679</v>
      </c>
    </row>
    <row r="1602" spans="1:14" x14ac:dyDescent="0.3">
      <c r="A1602" t="s">
        <v>603</v>
      </c>
      <c r="B1602" t="s">
        <v>522</v>
      </c>
      <c r="C1602" t="s">
        <v>523</v>
      </c>
      <c r="D1602" t="s">
        <v>496</v>
      </c>
      <c r="E1602" t="s">
        <v>524</v>
      </c>
      <c r="F1602" t="s">
        <v>479</v>
      </c>
      <c r="G1602" t="s">
        <v>677</v>
      </c>
      <c r="I1602">
        <v>2876</v>
      </c>
      <c r="J1602" t="s">
        <v>496</v>
      </c>
      <c r="K1602" t="s">
        <v>678</v>
      </c>
      <c r="L1602" t="s">
        <v>221</v>
      </c>
      <c r="M1602" t="s">
        <v>35</v>
      </c>
      <c r="N1602" t="s">
        <v>679</v>
      </c>
    </row>
    <row r="1603" spans="1:14" x14ac:dyDescent="0.3">
      <c r="A1603" t="s">
        <v>603</v>
      </c>
      <c r="B1603" t="s">
        <v>660</v>
      </c>
      <c r="C1603" t="s">
        <v>661</v>
      </c>
      <c r="D1603" t="s">
        <v>496</v>
      </c>
      <c r="E1603" t="s">
        <v>524</v>
      </c>
      <c r="F1603" t="s">
        <v>479</v>
      </c>
      <c r="G1603" t="s">
        <v>677</v>
      </c>
      <c r="I1603">
        <v>2876</v>
      </c>
      <c r="J1603" t="s">
        <v>496</v>
      </c>
      <c r="K1603" t="s">
        <v>678</v>
      </c>
      <c r="L1603" t="s">
        <v>221</v>
      </c>
      <c r="M1603" t="s">
        <v>35</v>
      </c>
      <c r="N1603" t="s">
        <v>679</v>
      </c>
    </row>
    <row r="1604" spans="1:14" x14ac:dyDescent="0.3">
      <c r="A1604" t="s">
        <v>603</v>
      </c>
      <c r="B1604" t="s">
        <v>652</v>
      </c>
      <c r="C1604" t="s">
        <v>653</v>
      </c>
      <c r="D1604" t="s">
        <v>496</v>
      </c>
      <c r="E1604" t="s">
        <v>524</v>
      </c>
      <c r="F1604" t="s">
        <v>482</v>
      </c>
      <c r="G1604" t="s">
        <v>677</v>
      </c>
      <c r="I1604">
        <v>15</v>
      </c>
      <c r="J1604" t="s">
        <v>496</v>
      </c>
      <c r="K1604" t="s">
        <v>678</v>
      </c>
      <c r="L1604" t="s">
        <v>221</v>
      </c>
      <c r="M1604" t="s">
        <v>35</v>
      </c>
      <c r="N1604" t="s">
        <v>679</v>
      </c>
    </row>
    <row r="1605" spans="1:14" x14ac:dyDescent="0.3">
      <c r="A1605" t="s">
        <v>603</v>
      </c>
      <c r="B1605" t="s">
        <v>656</v>
      </c>
      <c r="C1605" t="s">
        <v>657</v>
      </c>
      <c r="D1605" t="s">
        <v>496</v>
      </c>
      <c r="E1605" t="s">
        <v>524</v>
      </c>
      <c r="F1605" t="s">
        <v>482</v>
      </c>
      <c r="G1605" t="s">
        <v>677</v>
      </c>
      <c r="I1605">
        <v>265</v>
      </c>
      <c r="J1605" t="s">
        <v>496</v>
      </c>
      <c r="K1605" t="s">
        <v>678</v>
      </c>
      <c r="L1605" t="s">
        <v>221</v>
      </c>
      <c r="M1605" t="s">
        <v>35</v>
      </c>
      <c r="N1605" t="s">
        <v>679</v>
      </c>
    </row>
    <row r="1606" spans="1:14" x14ac:dyDescent="0.3">
      <c r="A1606" t="s">
        <v>603</v>
      </c>
      <c r="B1606" t="s">
        <v>658</v>
      </c>
      <c r="C1606" t="s">
        <v>659</v>
      </c>
      <c r="D1606" t="s">
        <v>496</v>
      </c>
      <c r="E1606" t="s">
        <v>524</v>
      </c>
      <c r="F1606" t="s">
        <v>482</v>
      </c>
      <c r="G1606" t="s">
        <v>677</v>
      </c>
      <c r="I1606">
        <v>206</v>
      </c>
      <c r="J1606" t="s">
        <v>496</v>
      </c>
      <c r="K1606" t="s">
        <v>678</v>
      </c>
      <c r="L1606" t="s">
        <v>221</v>
      </c>
      <c r="M1606" t="s">
        <v>35</v>
      </c>
      <c r="N1606" t="s">
        <v>679</v>
      </c>
    </row>
    <row r="1607" spans="1:14" x14ac:dyDescent="0.3">
      <c r="A1607" t="s">
        <v>603</v>
      </c>
      <c r="B1607" t="s">
        <v>522</v>
      </c>
      <c r="C1607" t="s">
        <v>523</v>
      </c>
      <c r="D1607" t="s">
        <v>496</v>
      </c>
      <c r="E1607" t="s">
        <v>524</v>
      </c>
      <c r="F1607" t="s">
        <v>482</v>
      </c>
      <c r="G1607" t="s">
        <v>677</v>
      </c>
      <c r="I1607">
        <v>9915</v>
      </c>
      <c r="J1607" t="s">
        <v>496</v>
      </c>
      <c r="K1607" t="s">
        <v>678</v>
      </c>
      <c r="L1607" t="s">
        <v>221</v>
      </c>
      <c r="M1607" t="s">
        <v>35</v>
      </c>
      <c r="N1607" t="s">
        <v>679</v>
      </c>
    </row>
    <row r="1608" spans="1:14" x14ac:dyDescent="0.3">
      <c r="A1608" t="s">
        <v>603</v>
      </c>
      <c r="B1608" t="s">
        <v>660</v>
      </c>
      <c r="C1608" t="s">
        <v>661</v>
      </c>
      <c r="D1608" t="s">
        <v>496</v>
      </c>
      <c r="E1608" t="s">
        <v>524</v>
      </c>
      <c r="F1608" t="s">
        <v>482</v>
      </c>
      <c r="G1608" t="s">
        <v>677</v>
      </c>
      <c r="I1608">
        <v>10401</v>
      </c>
      <c r="J1608" t="s">
        <v>496</v>
      </c>
      <c r="K1608" t="s">
        <v>678</v>
      </c>
      <c r="L1608" t="s">
        <v>221</v>
      </c>
      <c r="M1608" t="s">
        <v>35</v>
      </c>
      <c r="N1608" t="s">
        <v>679</v>
      </c>
    </row>
    <row r="1609" spans="1:14" x14ac:dyDescent="0.3">
      <c r="A1609" t="s">
        <v>603</v>
      </c>
      <c r="B1609" t="s">
        <v>652</v>
      </c>
      <c r="C1609" t="s">
        <v>653</v>
      </c>
      <c r="D1609" t="s">
        <v>496</v>
      </c>
      <c r="E1609" t="s">
        <v>524</v>
      </c>
      <c r="F1609" t="s">
        <v>485</v>
      </c>
      <c r="G1609" t="s">
        <v>677</v>
      </c>
      <c r="I1609">
        <v>-45057</v>
      </c>
      <c r="J1609" t="s">
        <v>496</v>
      </c>
      <c r="K1609" t="s">
        <v>680</v>
      </c>
      <c r="L1609" t="s">
        <v>221</v>
      </c>
      <c r="M1609" t="s">
        <v>35</v>
      </c>
      <c r="N1609" t="s">
        <v>679</v>
      </c>
    </row>
    <row r="1610" spans="1:14" x14ac:dyDescent="0.3">
      <c r="A1610" t="s">
        <v>603</v>
      </c>
      <c r="B1610" t="s">
        <v>656</v>
      </c>
      <c r="C1610" t="s">
        <v>657</v>
      </c>
      <c r="D1610" t="s">
        <v>496</v>
      </c>
      <c r="E1610" t="s">
        <v>524</v>
      </c>
      <c r="F1610" t="s">
        <v>485</v>
      </c>
      <c r="G1610" t="s">
        <v>677</v>
      </c>
      <c r="I1610">
        <v>-13983</v>
      </c>
      <c r="J1610" t="s">
        <v>496</v>
      </c>
      <c r="K1610" t="s">
        <v>678</v>
      </c>
      <c r="L1610" t="s">
        <v>221</v>
      </c>
      <c r="M1610" t="s">
        <v>35</v>
      </c>
      <c r="N1610" t="s">
        <v>679</v>
      </c>
    </row>
    <row r="1611" spans="1:14" x14ac:dyDescent="0.3">
      <c r="A1611" t="s">
        <v>603</v>
      </c>
      <c r="B1611" t="s">
        <v>658</v>
      </c>
      <c r="C1611" t="s">
        <v>659</v>
      </c>
      <c r="D1611" t="s">
        <v>496</v>
      </c>
      <c r="E1611" t="s">
        <v>524</v>
      </c>
      <c r="F1611" t="s">
        <v>485</v>
      </c>
      <c r="G1611" t="s">
        <v>677</v>
      </c>
      <c r="I1611">
        <v>-21998</v>
      </c>
      <c r="J1611" t="s">
        <v>496</v>
      </c>
      <c r="K1611" t="s">
        <v>678</v>
      </c>
      <c r="L1611" t="s">
        <v>221</v>
      </c>
      <c r="M1611" t="s">
        <v>35</v>
      </c>
      <c r="N1611" t="s">
        <v>679</v>
      </c>
    </row>
    <row r="1612" spans="1:14" x14ac:dyDescent="0.3">
      <c r="A1612" t="s">
        <v>603</v>
      </c>
      <c r="B1612" t="s">
        <v>522</v>
      </c>
      <c r="C1612" t="s">
        <v>523</v>
      </c>
      <c r="D1612" t="s">
        <v>496</v>
      </c>
      <c r="E1612" t="s">
        <v>524</v>
      </c>
      <c r="F1612" t="s">
        <v>485</v>
      </c>
      <c r="G1612" t="s">
        <v>677</v>
      </c>
      <c r="I1612">
        <v>63339</v>
      </c>
      <c r="J1612" t="s">
        <v>496</v>
      </c>
      <c r="K1612" t="s">
        <v>678</v>
      </c>
      <c r="L1612" t="s">
        <v>221</v>
      </c>
      <c r="M1612" t="s">
        <v>35</v>
      </c>
      <c r="N1612" t="s">
        <v>679</v>
      </c>
    </row>
    <row r="1613" spans="1:14" x14ac:dyDescent="0.3">
      <c r="A1613" t="s">
        <v>603</v>
      </c>
      <c r="B1613" t="s">
        <v>660</v>
      </c>
      <c r="C1613" t="s">
        <v>661</v>
      </c>
      <c r="D1613" t="s">
        <v>496</v>
      </c>
      <c r="E1613" t="s">
        <v>524</v>
      </c>
      <c r="F1613" t="s">
        <v>485</v>
      </c>
      <c r="G1613" t="s">
        <v>677</v>
      </c>
      <c r="I1613">
        <v>-17700</v>
      </c>
      <c r="J1613" t="s">
        <v>496</v>
      </c>
      <c r="K1613" t="s">
        <v>680</v>
      </c>
      <c r="L1613" t="s">
        <v>221</v>
      </c>
      <c r="M1613" t="s">
        <v>35</v>
      </c>
      <c r="N1613" t="s">
        <v>679</v>
      </c>
    </row>
    <row r="1614" spans="1:14" x14ac:dyDescent="0.3">
      <c r="A1614" t="s">
        <v>603</v>
      </c>
      <c r="B1614" t="s">
        <v>652</v>
      </c>
      <c r="C1614" t="s">
        <v>653</v>
      </c>
      <c r="D1614" t="s">
        <v>496</v>
      </c>
      <c r="E1614" t="s">
        <v>524</v>
      </c>
      <c r="F1614" t="s">
        <v>681</v>
      </c>
      <c r="G1614" t="s">
        <v>677</v>
      </c>
      <c r="I1614">
        <v>10557</v>
      </c>
      <c r="J1614" t="s">
        <v>496</v>
      </c>
      <c r="K1614" t="s">
        <v>680</v>
      </c>
      <c r="L1614" t="s">
        <v>221</v>
      </c>
      <c r="M1614" t="s">
        <v>35</v>
      </c>
      <c r="N1614" t="s">
        <v>679</v>
      </c>
    </row>
    <row r="1615" spans="1:14" x14ac:dyDescent="0.3">
      <c r="A1615" t="s">
        <v>603</v>
      </c>
      <c r="B1615" t="s">
        <v>660</v>
      </c>
      <c r="C1615" t="s">
        <v>661</v>
      </c>
      <c r="D1615" t="s">
        <v>496</v>
      </c>
      <c r="E1615" t="s">
        <v>524</v>
      </c>
      <c r="F1615" t="s">
        <v>681</v>
      </c>
      <c r="G1615" t="s">
        <v>677</v>
      </c>
      <c r="I1615">
        <v>10557</v>
      </c>
      <c r="J1615" t="s">
        <v>496</v>
      </c>
      <c r="K1615" t="s">
        <v>680</v>
      </c>
      <c r="L1615" t="s">
        <v>221</v>
      </c>
      <c r="M1615" t="s">
        <v>35</v>
      </c>
      <c r="N1615" t="s">
        <v>679</v>
      </c>
    </row>
    <row r="1616" spans="1:14" x14ac:dyDescent="0.3">
      <c r="A1616" t="s">
        <v>624</v>
      </c>
      <c r="B1616" t="s">
        <v>522</v>
      </c>
      <c r="C1616" t="s">
        <v>523</v>
      </c>
      <c r="D1616" t="s">
        <v>451</v>
      </c>
      <c r="E1616" t="s">
        <v>524</v>
      </c>
      <c r="F1616" t="s">
        <v>448</v>
      </c>
      <c r="I1616">
        <v>711900651</v>
      </c>
      <c r="J1616" t="s">
        <v>451</v>
      </c>
      <c r="K1616" t="s">
        <v>682</v>
      </c>
      <c r="L1616" t="s">
        <v>35</v>
      </c>
      <c r="M1616" t="s">
        <v>35</v>
      </c>
      <c r="N1616" t="s">
        <v>24</v>
      </c>
    </row>
    <row r="1617" spans="1:14" x14ac:dyDescent="0.3">
      <c r="A1617" t="s">
        <v>624</v>
      </c>
      <c r="B1617" t="s">
        <v>522</v>
      </c>
      <c r="C1617" t="s">
        <v>523</v>
      </c>
      <c r="D1617" t="s">
        <v>496</v>
      </c>
      <c r="E1617" t="s">
        <v>524</v>
      </c>
      <c r="F1617" t="s">
        <v>448</v>
      </c>
      <c r="G1617" t="s">
        <v>654</v>
      </c>
      <c r="I1617">
        <v>203094.48</v>
      </c>
      <c r="J1617" t="s">
        <v>496</v>
      </c>
      <c r="K1617" t="s">
        <v>683</v>
      </c>
      <c r="L1617" t="s">
        <v>221</v>
      </c>
      <c r="M1617" t="s">
        <v>35</v>
      </c>
      <c r="N1617" t="s">
        <v>24</v>
      </c>
    </row>
    <row r="1618" spans="1:14" x14ac:dyDescent="0.3">
      <c r="A1618" t="s">
        <v>624</v>
      </c>
      <c r="B1618" t="s">
        <v>522</v>
      </c>
      <c r="C1618" t="s">
        <v>523</v>
      </c>
      <c r="D1618" t="s">
        <v>451</v>
      </c>
      <c r="E1618" t="s">
        <v>524</v>
      </c>
      <c r="F1618" t="s">
        <v>453</v>
      </c>
      <c r="I1618">
        <v>-32010099</v>
      </c>
      <c r="J1618" t="s">
        <v>451</v>
      </c>
      <c r="K1618" t="s">
        <v>682</v>
      </c>
      <c r="L1618" t="s">
        <v>35</v>
      </c>
      <c r="M1618" t="s">
        <v>35</v>
      </c>
      <c r="N1618" t="s">
        <v>24</v>
      </c>
    </row>
    <row r="1619" spans="1:14" x14ac:dyDescent="0.3">
      <c r="A1619" t="s">
        <v>624</v>
      </c>
      <c r="B1619" t="s">
        <v>522</v>
      </c>
      <c r="C1619" t="s">
        <v>523</v>
      </c>
      <c r="D1619" t="s">
        <v>496</v>
      </c>
      <c r="E1619" t="s">
        <v>524</v>
      </c>
      <c r="F1619" t="s">
        <v>453</v>
      </c>
      <c r="G1619" t="s">
        <v>654</v>
      </c>
      <c r="I1619">
        <v>-9132</v>
      </c>
      <c r="J1619" t="s">
        <v>496</v>
      </c>
      <c r="K1619" t="s">
        <v>683</v>
      </c>
      <c r="L1619" t="s">
        <v>221</v>
      </c>
      <c r="M1619" t="s">
        <v>35</v>
      </c>
      <c r="N1619" t="s">
        <v>24</v>
      </c>
    </row>
    <row r="1620" spans="1:14" x14ac:dyDescent="0.3">
      <c r="A1620" t="s">
        <v>624</v>
      </c>
      <c r="B1620" t="s">
        <v>522</v>
      </c>
      <c r="C1620" t="s">
        <v>523</v>
      </c>
      <c r="D1620" t="s">
        <v>451</v>
      </c>
      <c r="E1620" t="s">
        <v>524</v>
      </c>
      <c r="F1620" t="s">
        <v>442</v>
      </c>
      <c r="I1620">
        <v>679890552</v>
      </c>
      <c r="J1620" t="s">
        <v>451</v>
      </c>
      <c r="K1620" t="s">
        <v>682</v>
      </c>
      <c r="L1620" t="s">
        <v>35</v>
      </c>
      <c r="M1620" t="s">
        <v>35</v>
      </c>
      <c r="N1620" t="s">
        <v>24</v>
      </c>
    </row>
    <row r="1621" spans="1:14" x14ac:dyDescent="0.3">
      <c r="A1621" t="s">
        <v>624</v>
      </c>
      <c r="B1621" t="s">
        <v>522</v>
      </c>
      <c r="C1621" t="s">
        <v>523</v>
      </c>
      <c r="D1621" t="s">
        <v>496</v>
      </c>
      <c r="E1621" t="s">
        <v>524</v>
      </c>
      <c r="F1621" t="s">
        <v>442</v>
      </c>
      <c r="G1621" t="s">
        <v>654</v>
      </c>
      <c r="I1621">
        <v>193962.49</v>
      </c>
      <c r="J1621" t="s">
        <v>496</v>
      </c>
      <c r="K1621" t="s">
        <v>683</v>
      </c>
      <c r="L1621" t="s">
        <v>221</v>
      </c>
      <c r="M1621" t="s">
        <v>35</v>
      </c>
      <c r="N1621" t="s">
        <v>24</v>
      </c>
    </row>
    <row r="1622" spans="1:14" x14ac:dyDescent="0.3">
      <c r="A1622" t="s">
        <v>624</v>
      </c>
      <c r="B1622" t="s">
        <v>522</v>
      </c>
      <c r="C1622" t="s">
        <v>523</v>
      </c>
      <c r="D1622" t="s">
        <v>451</v>
      </c>
      <c r="E1622" t="s">
        <v>524</v>
      </c>
      <c r="F1622" t="s">
        <v>457</v>
      </c>
      <c r="I1622">
        <v>321917837</v>
      </c>
      <c r="J1622" t="s">
        <v>451</v>
      </c>
      <c r="K1622" t="s">
        <v>682</v>
      </c>
      <c r="L1622" t="s">
        <v>35</v>
      </c>
      <c r="M1622" t="s">
        <v>35</v>
      </c>
      <c r="N1622" t="s">
        <v>24</v>
      </c>
    </row>
    <row r="1623" spans="1:14" x14ac:dyDescent="0.3">
      <c r="A1623" t="s">
        <v>624</v>
      </c>
      <c r="B1623" t="s">
        <v>522</v>
      </c>
      <c r="C1623" t="s">
        <v>523</v>
      </c>
      <c r="D1623" t="s">
        <v>496</v>
      </c>
      <c r="E1623" t="s">
        <v>524</v>
      </c>
      <c r="F1623" t="s">
        <v>457</v>
      </c>
      <c r="G1623" t="s">
        <v>654</v>
      </c>
      <c r="I1623">
        <v>91838.29</v>
      </c>
      <c r="J1623" t="s">
        <v>496</v>
      </c>
      <c r="K1623" t="s">
        <v>683</v>
      </c>
      <c r="L1623" t="s">
        <v>221</v>
      </c>
      <c r="M1623" t="s">
        <v>35</v>
      </c>
      <c r="N1623" t="s">
        <v>24</v>
      </c>
    </row>
    <row r="1624" spans="1:14" x14ac:dyDescent="0.3">
      <c r="A1624" t="s">
        <v>624</v>
      </c>
      <c r="B1624" t="s">
        <v>522</v>
      </c>
      <c r="C1624" t="s">
        <v>523</v>
      </c>
      <c r="D1624" t="s">
        <v>451</v>
      </c>
      <c r="E1624" t="s">
        <v>524</v>
      </c>
      <c r="F1624" t="s">
        <v>461</v>
      </c>
      <c r="I1624">
        <v>357972713</v>
      </c>
      <c r="J1624" t="s">
        <v>451</v>
      </c>
      <c r="K1624" t="s">
        <v>682</v>
      </c>
      <c r="L1624" t="s">
        <v>35</v>
      </c>
      <c r="M1624" t="s">
        <v>35</v>
      </c>
      <c r="N1624" t="s">
        <v>24</v>
      </c>
    </row>
    <row r="1625" spans="1:14" x14ac:dyDescent="0.3">
      <c r="A1625" t="s">
        <v>624</v>
      </c>
      <c r="B1625" t="s">
        <v>522</v>
      </c>
      <c r="C1625" t="s">
        <v>523</v>
      </c>
      <c r="D1625" t="s">
        <v>496</v>
      </c>
      <c r="E1625" t="s">
        <v>524</v>
      </c>
      <c r="F1625" t="s">
        <v>461</v>
      </c>
      <c r="G1625" t="s">
        <v>654</v>
      </c>
      <c r="I1625">
        <v>102124.2</v>
      </c>
      <c r="J1625" t="s">
        <v>496</v>
      </c>
      <c r="K1625" t="s">
        <v>683</v>
      </c>
      <c r="L1625" t="s">
        <v>221</v>
      </c>
      <c r="M1625" t="s">
        <v>35</v>
      </c>
      <c r="N1625" t="s">
        <v>24</v>
      </c>
    </row>
    <row r="1626" spans="1:14" x14ac:dyDescent="0.3">
      <c r="A1626" t="s">
        <v>624</v>
      </c>
      <c r="B1626" t="s">
        <v>522</v>
      </c>
      <c r="C1626" t="s">
        <v>523</v>
      </c>
      <c r="D1626" t="s">
        <v>451</v>
      </c>
      <c r="E1626" t="s">
        <v>524</v>
      </c>
      <c r="F1626" t="s">
        <v>465</v>
      </c>
      <c r="I1626">
        <v>107932742</v>
      </c>
      <c r="J1626" t="s">
        <v>451</v>
      </c>
      <c r="K1626" t="s">
        <v>682</v>
      </c>
      <c r="L1626" t="s">
        <v>35</v>
      </c>
      <c r="M1626" t="s">
        <v>35</v>
      </c>
      <c r="N1626" t="s">
        <v>24</v>
      </c>
    </row>
    <row r="1627" spans="1:14" x14ac:dyDescent="0.3">
      <c r="A1627" t="s">
        <v>624</v>
      </c>
      <c r="B1627" t="s">
        <v>522</v>
      </c>
      <c r="C1627" t="s">
        <v>523</v>
      </c>
      <c r="D1627" t="s">
        <v>496</v>
      </c>
      <c r="E1627" t="s">
        <v>524</v>
      </c>
      <c r="F1627" t="s">
        <v>465</v>
      </c>
      <c r="G1627" t="s">
        <v>654</v>
      </c>
      <c r="I1627">
        <v>30791.58</v>
      </c>
      <c r="J1627" t="s">
        <v>496</v>
      </c>
      <c r="K1627" t="s">
        <v>683</v>
      </c>
      <c r="L1627" t="s">
        <v>221</v>
      </c>
      <c r="M1627" t="s">
        <v>35</v>
      </c>
      <c r="N1627" t="s">
        <v>24</v>
      </c>
    </row>
    <row r="1628" spans="1:14" x14ac:dyDescent="0.3">
      <c r="A1628" t="s">
        <v>624</v>
      </c>
      <c r="B1628" t="s">
        <v>522</v>
      </c>
      <c r="C1628" t="s">
        <v>523</v>
      </c>
      <c r="D1628" t="s">
        <v>451</v>
      </c>
      <c r="E1628" t="s">
        <v>524</v>
      </c>
      <c r="F1628" t="s">
        <v>469</v>
      </c>
      <c r="I1628">
        <v>102936374</v>
      </c>
      <c r="J1628" t="s">
        <v>451</v>
      </c>
      <c r="K1628" t="s">
        <v>682</v>
      </c>
      <c r="L1628" t="s">
        <v>35</v>
      </c>
      <c r="M1628" t="s">
        <v>35</v>
      </c>
      <c r="N1628" t="s">
        <v>24</v>
      </c>
    </row>
    <row r="1629" spans="1:14" x14ac:dyDescent="0.3">
      <c r="A1629" t="s">
        <v>624</v>
      </c>
      <c r="B1629" t="s">
        <v>522</v>
      </c>
      <c r="C1629" t="s">
        <v>523</v>
      </c>
      <c r="D1629" t="s">
        <v>496</v>
      </c>
      <c r="E1629" t="s">
        <v>524</v>
      </c>
      <c r="F1629" t="s">
        <v>469</v>
      </c>
      <c r="G1629" t="s">
        <v>654</v>
      </c>
      <c r="I1629">
        <v>29366.19</v>
      </c>
      <c r="J1629" t="s">
        <v>496</v>
      </c>
      <c r="K1629" t="s">
        <v>683</v>
      </c>
      <c r="L1629" t="s">
        <v>221</v>
      </c>
      <c r="M1629" t="s">
        <v>35</v>
      </c>
      <c r="N1629" t="s">
        <v>24</v>
      </c>
    </row>
    <row r="1630" spans="1:14" x14ac:dyDescent="0.3">
      <c r="A1630" t="s">
        <v>624</v>
      </c>
      <c r="B1630" t="s">
        <v>522</v>
      </c>
      <c r="C1630" t="s">
        <v>523</v>
      </c>
      <c r="D1630" t="s">
        <v>451</v>
      </c>
      <c r="E1630" t="s">
        <v>524</v>
      </c>
      <c r="F1630" t="s">
        <v>472</v>
      </c>
      <c r="I1630">
        <v>117761236</v>
      </c>
      <c r="J1630" t="s">
        <v>451</v>
      </c>
      <c r="K1630" t="s">
        <v>682</v>
      </c>
      <c r="L1630" t="s">
        <v>35</v>
      </c>
      <c r="M1630" t="s">
        <v>35</v>
      </c>
      <c r="N1630" t="s">
        <v>24</v>
      </c>
    </row>
    <row r="1631" spans="1:14" x14ac:dyDescent="0.3">
      <c r="A1631" t="s">
        <v>624</v>
      </c>
      <c r="B1631" t="s">
        <v>522</v>
      </c>
      <c r="C1631" t="s">
        <v>523</v>
      </c>
      <c r="D1631" t="s">
        <v>496</v>
      </c>
      <c r="E1631" t="s">
        <v>524</v>
      </c>
      <c r="F1631" t="s">
        <v>472</v>
      </c>
      <c r="G1631" t="s">
        <v>654</v>
      </c>
      <c r="I1631">
        <v>33595.5</v>
      </c>
      <c r="J1631" t="s">
        <v>496</v>
      </c>
      <c r="K1631" t="s">
        <v>683</v>
      </c>
      <c r="L1631" t="s">
        <v>221</v>
      </c>
      <c r="M1631" t="s">
        <v>35</v>
      </c>
      <c r="N1631" t="s">
        <v>24</v>
      </c>
    </row>
    <row r="1632" spans="1:14" x14ac:dyDescent="0.3">
      <c r="A1632" t="s">
        <v>624</v>
      </c>
      <c r="B1632" t="s">
        <v>522</v>
      </c>
      <c r="C1632" t="s">
        <v>523</v>
      </c>
      <c r="D1632" t="s">
        <v>451</v>
      </c>
      <c r="E1632" t="s">
        <v>524</v>
      </c>
      <c r="F1632" t="s">
        <v>475</v>
      </c>
      <c r="I1632">
        <v>29342360</v>
      </c>
      <c r="J1632" t="s">
        <v>451</v>
      </c>
      <c r="K1632" t="s">
        <v>682</v>
      </c>
      <c r="L1632" t="s">
        <v>35</v>
      </c>
      <c r="M1632" t="s">
        <v>35</v>
      </c>
      <c r="N1632" t="s">
        <v>24</v>
      </c>
    </row>
    <row r="1633" spans="1:14" x14ac:dyDescent="0.3">
      <c r="A1633" t="s">
        <v>624</v>
      </c>
      <c r="B1633" t="s">
        <v>522</v>
      </c>
      <c r="C1633" t="s">
        <v>523</v>
      </c>
      <c r="D1633" t="s">
        <v>496</v>
      </c>
      <c r="E1633" t="s">
        <v>524</v>
      </c>
      <c r="F1633" t="s">
        <v>475</v>
      </c>
      <c r="G1633" t="s">
        <v>654</v>
      </c>
      <c r="I1633">
        <v>8370.93</v>
      </c>
      <c r="J1633" t="s">
        <v>496</v>
      </c>
      <c r="K1633" t="s">
        <v>683</v>
      </c>
      <c r="L1633" t="s">
        <v>221</v>
      </c>
      <c r="M1633" t="s">
        <v>35</v>
      </c>
      <c r="N1633" t="s">
        <v>24</v>
      </c>
    </row>
    <row r="1634" spans="1:14" x14ac:dyDescent="0.3">
      <c r="A1634" t="s">
        <v>624</v>
      </c>
      <c r="B1634" t="s">
        <v>522</v>
      </c>
      <c r="C1634" t="s">
        <v>523</v>
      </c>
      <c r="D1634" t="s">
        <v>451</v>
      </c>
      <c r="E1634" t="s">
        <v>524</v>
      </c>
      <c r="F1634" t="s">
        <v>479</v>
      </c>
      <c r="I1634">
        <v>718311</v>
      </c>
      <c r="J1634" t="s">
        <v>451</v>
      </c>
      <c r="K1634" t="s">
        <v>682</v>
      </c>
      <c r="L1634" t="s">
        <v>35</v>
      </c>
      <c r="M1634" t="s">
        <v>35</v>
      </c>
      <c r="N1634" t="s">
        <v>24</v>
      </c>
    </row>
    <row r="1635" spans="1:14" x14ac:dyDescent="0.3">
      <c r="A1635" t="s">
        <v>624</v>
      </c>
      <c r="B1635" t="s">
        <v>522</v>
      </c>
      <c r="C1635" t="s">
        <v>523</v>
      </c>
      <c r="D1635" t="s">
        <v>496</v>
      </c>
      <c r="E1635" t="s">
        <v>524</v>
      </c>
      <c r="F1635" t="s">
        <v>479</v>
      </c>
      <c r="G1635" t="s">
        <v>654</v>
      </c>
      <c r="I1635">
        <v>204.92</v>
      </c>
      <c r="J1635" t="s">
        <v>496</v>
      </c>
      <c r="K1635" t="s">
        <v>683</v>
      </c>
      <c r="L1635" t="s">
        <v>221</v>
      </c>
      <c r="M1635" t="s">
        <v>35</v>
      </c>
      <c r="N1635" t="s">
        <v>24</v>
      </c>
    </row>
    <row r="1636" spans="1:14" x14ac:dyDescent="0.3">
      <c r="A1636" t="s">
        <v>624</v>
      </c>
      <c r="B1636" t="s">
        <v>522</v>
      </c>
      <c r="C1636" t="s">
        <v>523</v>
      </c>
      <c r="D1636" t="s">
        <v>451</v>
      </c>
      <c r="E1636" t="s">
        <v>524</v>
      </c>
      <c r="F1636" t="s">
        <v>482</v>
      </c>
      <c r="I1636">
        <v>5353621</v>
      </c>
      <c r="J1636" t="s">
        <v>451</v>
      </c>
      <c r="K1636" t="s">
        <v>682</v>
      </c>
      <c r="L1636" t="s">
        <v>35</v>
      </c>
      <c r="M1636" t="s">
        <v>35</v>
      </c>
      <c r="N1636" t="s">
        <v>24</v>
      </c>
    </row>
    <row r="1637" spans="1:14" x14ac:dyDescent="0.3">
      <c r="A1637" t="s">
        <v>624</v>
      </c>
      <c r="B1637" t="s">
        <v>522</v>
      </c>
      <c r="C1637" t="s">
        <v>523</v>
      </c>
      <c r="D1637" t="s">
        <v>496</v>
      </c>
      <c r="E1637" t="s">
        <v>524</v>
      </c>
      <c r="F1637" t="s">
        <v>482</v>
      </c>
      <c r="G1637" t="s">
        <v>654</v>
      </c>
      <c r="I1637">
        <v>1527.31</v>
      </c>
      <c r="J1637" t="s">
        <v>496</v>
      </c>
      <c r="K1637" t="s">
        <v>683</v>
      </c>
      <c r="L1637" t="s">
        <v>221</v>
      </c>
      <c r="M1637" t="s">
        <v>35</v>
      </c>
      <c r="N1637" t="s">
        <v>24</v>
      </c>
    </row>
    <row r="1638" spans="1:14" x14ac:dyDescent="0.3">
      <c r="A1638" t="s">
        <v>624</v>
      </c>
      <c r="B1638" t="s">
        <v>522</v>
      </c>
      <c r="C1638" t="s">
        <v>523</v>
      </c>
      <c r="D1638" t="s">
        <v>451</v>
      </c>
      <c r="E1638" t="s">
        <v>524</v>
      </c>
      <c r="F1638" t="s">
        <v>485</v>
      </c>
      <c r="I1638">
        <v>24707051</v>
      </c>
      <c r="J1638" t="s">
        <v>451</v>
      </c>
      <c r="K1638" t="s">
        <v>682</v>
      </c>
      <c r="L1638" t="s">
        <v>35</v>
      </c>
      <c r="M1638" t="s">
        <v>35</v>
      </c>
      <c r="N1638" t="s">
        <v>24</v>
      </c>
    </row>
    <row r="1639" spans="1:14" x14ac:dyDescent="0.3">
      <c r="A1639" t="s">
        <v>624</v>
      </c>
      <c r="B1639" t="s">
        <v>522</v>
      </c>
      <c r="C1639" t="s">
        <v>523</v>
      </c>
      <c r="D1639" t="s">
        <v>496</v>
      </c>
      <c r="E1639" t="s">
        <v>524</v>
      </c>
      <c r="F1639" t="s">
        <v>485</v>
      </c>
      <c r="G1639" t="s">
        <v>654</v>
      </c>
      <c r="I1639">
        <v>7048.55</v>
      </c>
      <c r="J1639" t="s">
        <v>496</v>
      </c>
      <c r="K1639" t="s">
        <v>683</v>
      </c>
      <c r="L1639" t="s">
        <v>221</v>
      </c>
      <c r="M1639" t="s">
        <v>35</v>
      </c>
      <c r="N1639" t="s">
        <v>24</v>
      </c>
    </row>
    <row r="1640" spans="1:14" x14ac:dyDescent="0.3">
      <c r="A1640" t="s">
        <v>624</v>
      </c>
      <c r="B1640" t="s">
        <v>652</v>
      </c>
      <c r="C1640" t="s">
        <v>653</v>
      </c>
      <c r="D1640" t="s">
        <v>496</v>
      </c>
      <c r="E1640" t="s">
        <v>524</v>
      </c>
      <c r="F1640" t="s">
        <v>448</v>
      </c>
      <c r="G1640" t="s">
        <v>684</v>
      </c>
      <c r="I1640">
        <v>6013.45</v>
      </c>
      <c r="J1640" t="s">
        <v>496</v>
      </c>
      <c r="K1640" t="s">
        <v>685</v>
      </c>
      <c r="L1640" t="s">
        <v>221</v>
      </c>
      <c r="M1640" t="s">
        <v>35</v>
      </c>
      <c r="N1640" t="s">
        <v>24</v>
      </c>
    </row>
    <row r="1641" spans="1:14" x14ac:dyDescent="0.3">
      <c r="A1641" t="s">
        <v>624</v>
      </c>
      <c r="B1641" t="s">
        <v>652</v>
      </c>
      <c r="C1641" t="s">
        <v>653</v>
      </c>
      <c r="D1641" t="s">
        <v>496</v>
      </c>
      <c r="E1641" t="s">
        <v>524</v>
      </c>
      <c r="F1641" t="s">
        <v>448</v>
      </c>
      <c r="G1641" t="s">
        <v>654</v>
      </c>
      <c r="I1641">
        <v>6013.45</v>
      </c>
      <c r="J1641" t="s">
        <v>496</v>
      </c>
      <c r="K1641" t="s">
        <v>685</v>
      </c>
      <c r="L1641" t="s">
        <v>221</v>
      </c>
      <c r="M1641" t="s">
        <v>35</v>
      </c>
      <c r="N1641" t="s">
        <v>24</v>
      </c>
    </row>
    <row r="1642" spans="1:14" x14ac:dyDescent="0.3">
      <c r="A1642" t="s">
        <v>624</v>
      </c>
      <c r="B1642" t="s">
        <v>652</v>
      </c>
      <c r="C1642" t="s">
        <v>653</v>
      </c>
      <c r="D1642" t="s">
        <v>496</v>
      </c>
      <c r="E1642" t="s">
        <v>524</v>
      </c>
      <c r="F1642" t="s">
        <v>453</v>
      </c>
      <c r="G1642" t="s">
        <v>684</v>
      </c>
      <c r="I1642">
        <v>0</v>
      </c>
      <c r="J1642" t="s">
        <v>496</v>
      </c>
      <c r="K1642" t="s">
        <v>685</v>
      </c>
      <c r="L1642" t="s">
        <v>221</v>
      </c>
      <c r="M1642" t="s">
        <v>35</v>
      </c>
      <c r="N1642" t="s">
        <v>24</v>
      </c>
    </row>
    <row r="1643" spans="1:14" x14ac:dyDescent="0.3">
      <c r="A1643" t="s">
        <v>624</v>
      </c>
      <c r="B1643" t="s">
        <v>652</v>
      </c>
      <c r="C1643" t="s">
        <v>653</v>
      </c>
      <c r="D1643" t="s">
        <v>496</v>
      </c>
      <c r="E1643" t="s">
        <v>524</v>
      </c>
      <c r="F1643" t="s">
        <v>453</v>
      </c>
      <c r="G1643" t="s">
        <v>654</v>
      </c>
      <c r="I1643">
        <v>0</v>
      </c>
      <c r="J1643" t="s">
        <v>496</v>
      </c>
      <c r="K1643" t="s">
        <v>685</v>
      </c>
      <c r="L1643" t="s">
        <v>221</v>
      </c>
      <c r="M1643" t="s">
        <v>35</v>
      </c>
      <c r="N1643" t="s">
        <v>24</v>
      </c>
    </row>
    <row r="1644" spans="1:14" x14ac:dyDescent="0.3">
      <c r="A1644" t="s">
        <v>624</v>
      </c>
      <c r="B1644" t="s">
        <v>652</v>
      </c>
      <c r="C1644" t="s">
        <v>653</v>
      </c>
      <c r="D1644" t="s">
        <v>496</v>
      </c>
      <c r="E1644" t="s">
        <v>524</v>
      </c>
      <c r="F1644" t="s">
        <v>442</v>
      </c>
      <c r="G1644" t="s">
        <v>684</v>
      </c>
      <c r="I1644">
        <v>6013.45</v>
      </c>
      <c r="J1644" t="s">
        <v>496</v>
      </c>
      <c r="K1644" t="s">
        <v>685</v>
      </c>
      <c r="L1644" t="s">
        <v>221</v>
      </c>
      <c r="M1644" t="s">
        <v>35</v>
      </c>
      <c r="N1644" t="s">
        <v>24</v>
      </c>
    </row>
    <row r="1645" spans="1:14" x14ac:dyDescent="0.3">
      <c r="A1645" t="s">
        <v>624</v>
      </c>
      <c r="B1645" t="s">
        <v>652</v>
      </c>
      <c r="C1645" t="s">
        <v>653</v>
      </c>
      <c r="D1645" t="s">
        <v>496</v>
      </c>
      <c r="E1645" t="s">
        <v>524</v>
      </c>
      <c r="F1645" t="s">
        <v>442</v>
      </c>
      <c r="G1645" t="s">
        <v>654</v>
      </c>
      <c r="I1645">
        <v>6013.45</v>
      </c>
      <c r="J1645" t="s">
        <v>496</v>
      </c>
      <c r="K1645" t="s">
        <v>685</v>
      </c>
      <c r="L1645" t="s">
        <v>221</v>
      </c>
      <c r="M1645" t="s">
        <v>35</v>
      </c>
      <c r="N1645" t="s">
        <v>24</v>
      </c>
    </row>
    <row r="1646" spans="1:14" x14ac:dyDescent="0.3">
      <c r="A1646" t="s">
        <v>624</v>
      </c>
      <c r="B1646" t="s">
        <v>652</v>
      </c>
      <c r="C1646" t="s">
        <v>653</v>
      </c>
      <c r="D1646" t="s">
        <v>496</v>
      </c>
      <c r="E1646" t="s">
        <v>524</v>
      </c>
      <c r="F1646" t="s">
        <v>479</v>
      </c>
      <c r="G1646" t="s">
        <v>684</v>
      </c>
      <c r="I1646">
        <v>10.76</v>
      </c>
      <c r="J1646" t="s">
        <v>496</v>
      </c>
      <c r="K1646" t="s">
        <v>685</v>
      </c>
      <c r="L1646" t="s">
        <v>221</v>
      </c>
      <c r="M1646" t="s">
        <v>35</v>
      </c>
      <c r="N1646" t="s">
        <v>24</v>
      </c>
    </row>
    <row r="1647" spans="1:14" x14ac:dyDescent="0.3">
      <c r="A1647" t="s">
        <v>624</v>
      </c>
      <c r="B1647" t="s">
        <v>652</v>
      </c>
      <c r="C1647" t="s">
        <v>653</v>
      </c>
      <c r="D1647" t="s">
        <v>496</v>
      </c>
      <c r="E1647" t="s">
        <v>524</v>
      </c>
      <c r="F1647" t="s">
        <v>479</v>
      </c>
      <c r="G1647" t="s">
        <v>654</v>
      </c>
      <c r="I1647">
        <v>10.76</v>
      </c>
      <c r="J1647" t="s">
        <v>496</v>
      </c>
      <c r="K1647" t="s">
        <v>685</v>
      </c>
      <c r="L1647" t="s">
        <v>221</v>
      </c>
      <c r="M1647" t="s">
        <v>35</v>
      </c>
      <c r="N1647" t="s">
        <v>24</v>
      </c>
    </row>
    <row r="1648" spans="1:14" x14ac:dyDescent="0.3">
      <c r="A1648" t="s">
        <v>624</v>
      </c>
      <c r="B1648" t="s">
        <v>652</v>
      </c>
      <c r="C1648" t="s">
        <v>653</v>
      </c>
      <c r="D1648" t="s">
        <v>496</v>
      </c>
      <c r="E1648" t="s">
        <v>524</v>
      </c>
      <c r="F1648" t="s">
        <v>457</v>
      </c>
      <c r="G1648" t="s">
        <v>684</v>
      </c>
      <c r="I1648">
        <v>0</v>
      </c>
      <c r="J1648" t="s">
        <v>496</v>
      </c>
      <c r="K1648" t="s">
        <v>685</v>
      </c>
      <c r="L1648" t="s">
        <v>221</v>
      </c>
      <c r="M1648" t="s">
        <v>35</v>
      </c>
      <c r="N1648" t="s">
        <v>24</v>
      </c>
    </row>
    <row r="1649" spans="1:14" x14ac:dyDescent="0.3">
      <c r="A1649" t="s">
        <v>624</v>
      </c>
      <c r="B1649" t="s">
        <v>652</v>
      </c>
      <c r="C1649" t="s">
        <v>653</v>
      </c>
      <c r="D1649" t="s">
        <v>496</v>
      </c>
      <c r="E1649" t="s">
        <v>524</v>
      </c>
      <c r="F1649" t="s">
        <v>457</v>
      </c>
      <c r="G1649" t="s">
        <v>654</v>
      </c>
      <c r="I1649">
        <v>0</v>
      </c>
      <c r="J1649" t="s">
        <v>496</v>
      </c>
      <c r="K1649" t="s">
        <v>685</v>
      </c>
      <c r="L1649" t="s">
        <v>221</v>
      </c>
      <c r="M1649" t="s">
        <v>35</v>
      </c>
      <c r="N1649" t="s">
        <v>24</v>
      </c>
    </row>
    <row r="1650" spans="1:14" x14ac:dyDescent="0.3">
      <c r="A1650" t="s">
        <v>624</v>
      </c>
      <c r="B1650" t="s">
        <v>652</v>
      </c>
      <c r="C1650" t="s">
        <v>653</v>
      </c>
      <c r="D1650" t="s">
        <v>496</v>
      </c>
      <c r="E1650" t="s">
        <v>524</v>
      </c>
      <c r="F1650" t="s">
        <v>465</v>
      </c>
      <c r="G1650" t="s">
        <v>684</v>
      </c>
      <c r="I1650">
        <v>12001.75</v>
      </c>
      <c r="J1650" t="s">
        <v>496</v>
      </c>
      <c r="K1650" t="s">
        <v>685</v>
      </c>
      <c r="L1650" t="s">
        <v>221</v>
      </c>
      <c r="M1650" t="s">
        <v>35</v>
      </c>
      <c r="N1650" t="s">
        <v>24</v>
      </c>
    </row>
    <row r="1651" spans="1:14" x14ac:dyDescent="0.3">
      <c r="A1651" t="s">
        <v>624</v>
      </c>
      <c r="B1651" t="s">
        <v>652</v>
      </c>
      <c r="C1651" t="s">
        <v>653</v>
      </c>
      <c r="D1651" t="s">
        <v>496</v>
      </c>
      <c r="E1651" t="s">
        <v>524</v>
      </c>
      <c r="F1651" t="s">
        <v>465</v>
      </c>
      <c r="G1651" t="s">
        <v>654</v>
      </c>
      <c r="I1651">
        <v>12001.75</v>
      </c>
      <c r="J1651" t="s">
        <v>496</v>
      </c>
      <c r="K1651" t="s">
        <v>685</v>
      </c>
      <c r="L1651" t="s">
        <v>221</v>
      </c>
      <c r="M1651" t="s">
        <v>35</v>
      </c>
      <c r="N1651" t="s">
        <v>24</v>
      </c>
    </row>
    <row r="1652" spans="1:14" x14ac:dyDescent="0.3">
      <c r="A1652" t="s">
        <v>624</v>
      </c>
      <c r="B1652" t="s">
        <v>652</v>
      </c>
      <c r="C1652" t="s">
        <v>653</v>
      </c>
      <c r="D1652" t="s">
        <v>496</v>
      </c>
      <c r="E1652" t="s">
        <v>524</v>
      </c>
      <c r="F1652" t="s">
        <v>472</v>
      </c>
      <c r="G1652" t="s">
        <v>684</v>
      </c>
      <c r="I1652">
        <v>0</v>
      </c>
      <c r="J1652" t="s">
        <v>496</v>
      </c>
      <c r="K1652" t="s">
        <v>685</v>
      </c>
      <c r="L1652" t="s">
        <v>221</v>
      </c>
      <c r="M1652" t="s">
        <v>35</v>
      </c>
      <c r="N1652" t="s">
        <v>24</v>
      </c>
    </row>
    <row r="1653" spans="1:14" x14ac:dyDescent="0.3">
      <c r="A1653" t="s">
        <v>624</v>
      </c>
      <c r="B1653" t="s">
        <v>652</v>
      </c>
      <c r="C1653" t="s">
        <v>653</v>
      </c>
      <c r="D1653" t="s">
        <v>496</v>
      </c>
      <c r="E1653" t="s">
        <v>524</v>
      </c>
      <c r="F1653" t="s">
        <v>472</v>
      </c>
      <c r="G1653" t="s">
        <v>654</v>
      </c>
      <c r="I1653">
        <v>0</v>
      </c>
      <c r="J1653" t="s">
        <v>496</v>
      </c>
      <c r="K1653" t="s">
        <v>685</v>
      </c>
      <c r="L1653" t="s">
        <v>221</v>
      </c>
      <c r="M1653" t="s">
        <v>35</v>
      </c>
      <c r="N1653" t="s">
        <v>24</v>
      </c>
    </row>
    <row r="1654" spans="1:14" x14ac:dyDescent="0.3">
      <c r="A1654" t="s">
        <v>624</v>
      </c>
      <c r="B1654" t="s">
        <v>652</v>
      </c>
      <c r="C1654" t="s">
        <v>653</v>
      </c>
      <c r="D1654" t="s">
        <v>496</v>
      </c>
      <c r="E1654" t="s">
        <v>524</v>
      </c>
      <c r="F1654" t="s">
        <v>469</v>
      </c>
      <c r="G1654" t="s">
        <v>684</v>
      </c>
      <c r="I1654">
        <v>0</v>
      </c>
      <c r="J1654" t="s">
        <v>496</v>
      </c>
      <c r="K1654" t="s">
        <v>685</v>
      </c>
      <c r="L1654" t="s">
        <v>221</v>
      </c>
      <c r="M1654" t="s">
        <v>35</v>
      </c>
      <c r="N1654" t="s">
        <v>24</v>
      </c>
    </row>
    <row r="1655" spans="1:14" x14ac:dyDescent="0.3">
      <c r="A1655" t="s">
        <v>624</v>
      </c>
      <c r="B1655" t="s">
        <v>652</v>
      </c>
      <c r="C1655" t="s">
        <v>653</v>
      </c>
      <c r="D1655" t="s">
        <v>496</v>
      </c>
      <c r="E1655" t="s">
        <v>524</v>
      </c>
      <c r="F1655" t="s">
        <v>469</v>
      </c>
      <c r="G1655" t="s">
        <v>654</v>
      </c>
      <c r="I1655">
        <v>0</v>
      </c>
      <c r="J1655" t="s">
        <v>496</v>
      </c>
      <c r="K1655" t="s">
        <v>685</v>
      </c>
      <c r="L1655" t="s">
        <v>221</v>
      </c>
      <c r="M1655" t="s">
        <v>35</v>
      </c>
      <c r="N1655" t="s">
        <v>24</v>
      </c>
    </row>
    <row r="1656" spans="1:14" x14ac:dyDescent="0.3">
      <c r="A1656" t="s">
        <v>624</v>
      </c>
      <c r="B1656" t="s">
        <v>652</v>
      </c>
      <c r="C1656" t="s">
        <v>653</v>
      </c>
      <c r="D1656" t="s">
        <v>496</v>
      </c>
      <c r="E1656" t="s">
        <v>524</v>
      </c>
      <c r="F1656" t="s">
        <v>482</v>
      </c>
      <c r="G1656" t="s">
        <v>684</v>
      </c>
      <c r="I1656">
        <v>134.28</v>
      </c>
      <c r="J1656" t="s">
        <v>496</v>
      </c>
      <c r="K1656" t="s">
        <v>685</v>
      </c>
      <c r="L1656" t="s">
        <v>221</v>
      </c>
      <c r="M1656" t="s">
        <v>35</v>
      </c>
      <c r="N1656" t="s">
        <v>24</v>
      </c>
    </row>
    <row r="1657" spans="1:14" x14ac:dyDescent="0.3">
      <c r="A1657" t="s">
        <v>624</v>
      </c>
      <c r="B1657" t="s">
        <v>652</v>
      </c>
      <c r="C1657" t="s">
        <v>653</v>
      </c>
      <c r="D1657" t="s">
        <v>496</v>
      </c>
      <c r="E1657" t="s">
        <v>524</v>
      </c>
      <c r="F1657" t="s">
        <v>482</v>
      </c>
      <c r="G1657" t="s">
        <v>654</v>
      </c>
      <c r="I1657">
        <v>134.28</v>
      </c>
      <c r="J1657" t="s">
        <v>496</v>
      </c>
      <c r="K1657" t="s">
        <v>685</v>
      </c>
      <c r="L1657" t="s">
        <v>221</v>
      </c>
      <c r="M1657" t="s">
        <v>35</v>
      </c>
      <c r="N1657" t="s">
        <v>24</v>
      </c>
    </row>
    <row r="1658" spans="1:14" x14ac:dyDescent="0.3">
      <c r="A1658" t="s">
        <v>624</v>
      </c>
      <c r="B1658" t="s">
        <v>652</v>
      </c>
      <c r="C1658" t="s">
        <v>653</v>
      </c>
      <c r="D1658" t="s">
        <v>496</v>
      </c>
      <c r="E1658" t="s">
        <v>524</v>
      </c>
      <c r="F1658" t="s">
        <v>461</v>
      </c>
      <c r="G1658" t="s">
        <v>684</v>
      </c>
      <c r="I1658">
        <v>6013.45</v>
      </c>
      <c r="J1658" t="s">
        <v>496</v>
      </c>
      <c r="K1658" t="s">
        <v>685</v>
      </c>
      <c r="L1658" t="s">
        <v>221</v>
      </c>
      <c r="M1658" t="s">
        <v>35</v>
      </c>
      <c r="N1658" t="s">
        <v>24</v>
      </c>
    </row>
    <row r="1659" spans="1:14" x14ac:dyDescent="0.3">
      <c r="A1659" t="s">
        <v>624</v>
      </c>
      <c r="B1659" t="s">
        <v>652</v>
      </c>
      <c r="C1659" t="s">
        <v>653</v>
      </c>
      <c r="D1659" t="s">
        <v>496</v>
      </c>
      <c r="E1659" t="s">
        <v>524</v>
      </c>
      <c r="F1659" t="s">
        <v>461</v>
      </c>
      <c r="G1659" t="s">
        <v>654</v>
      </c>
      <c r="I1659">
        <v>6013.45</v>
      </c>
      <c r="J1659" t="s">
        <v>496</v>
      </c>
      <c r="K1659" t="s">
        <v>685</v>
      </c>
      <c r="L1659" t="s">
        <v>221</v>
      </c>
      <c r="M1659" t="s">
        <v>35</v>
      </c>
      <c r="N1659" t="s">
        <v>24</v>
      </c>
    </row>
    <row r="1660" spans="1:14" x14ac:dyDescent="0.3">
      <c r="A1660" t="s">
        <v>624</v>
      </c>
      <c r="B1660" t="s">
        <v>652</v>
      </c>
      <c r="C1660" t="s">
        <v>653</v>
      </c>
      <c r="D1660" t="s">
        <v>496</v>
      </c>
      <c r="E1660" t="s">
        <v>524</v>
      </c>
      <c r="F1660" t="s">
        <v>475</v>
      </c>
      <c r="G1660" t="s">
        <v>684</v>
      </c>
      <c r="I1660">
        <v>-5988.3</v>
      </c>
      <c r="J1660" t="s">
        <v>496</v>
      </c>
      <c r="K1660" t="s">
        <v>685</v>
      </c>
      <c r="L1660" t="s">
        <v>221</v>
      </c>
      <c r="M1660" t="s">
        <v>35</v>
      </c>
      <c r="N1660" t="s">
        <v>24</v>
      </c>
    </row>
    <row r="1661" spans="1:14" x14ac:dyDescent="0.3">
      <c r="A1661" t="s">
        <v>624</v>
      </c>
      <c r="B1661" t="s">
        <v>652</v>
      </c>
      <c r="C1661" t="s">
        <v>653</v>
      </c>
      <c r="D1661" t="s">
        <v>496</v>
      </c>
      <c r="E1661" t="s">
        <v>524</v>
      </c>
      <c r="F1661" t="s">
        <v>475</v>
      </c>
      <c r="G1661" t="s">
        <v>654</v>
      </c>
      <c r="I1661">
        <v>-5988.3</v>
      </c>
      <c r="J1661" t="s">
        <v>496</v>
      </c>
      <c r="K1661" t="s">
        <v>685</v>
      </c>
      <c r="L1661" t="s">
        <v>221</v>
      </c>
      <c r="M1661" t="s">
        <v>35</v>
      </c>
      <c r="N1661" t="s">
        <v>24</v>
      </c>
    </row>
    <row r="1662" spans="1:14" x14ac:dyDescent="0.3">
      <c r="A1662" t="s">
        <v>624</v>
      </c>
      <c r="B1662" t="s">
        <v>652</v>
      </c>
      <c r="C1662" t="s">
        <v>653</v>
      </c>
      <c r="D1662" t="s">
        <v>496</v>
      </c>
      <c r="E1662" t="s">
        <v>524</v>
      </c>
      <c r="F1662" t="s">
        <v>485</v>
      </c>
      <c r="G1662" t="s">
        <v>684</v>
      </c>
      <c r="I1662">
        <v>-6111.82</v>
      </c>
      <c r="J1662" t="s">
        <v>496</v>
      </c>
      <c r="K1662" t="s">
        <v>685</v>
      </c>
      <c r="L1662" t="s">
        <v>221</v>
      </c>
      <c r="M1662" t="s">
        <v>35</v>
      </c>
      <c r="N1662" t="s">
        <v>24</v>
      </c>
    </row>
    <row r="1663" spans="1:14" x14ac:dyDescent="0.3">
      <c r="A1663" t="s">
        <v>624</v>
      </c>
      <c r="B1663" t="s">
        <v>652</v>
      </c>
      <c r="C1663" t="s">
        <v>653</v>
      </c>
      <c r="D1663" t="s">
        <v>496</v>
      </c>
      <c r="E1663" t="s">
        <v>524</v>
      </c>
      <c r="F1663" t="s">
        <v>485</v>
      </c>
      <c r="G1663" t="s">
        <v>654</v>
      </c>
      <c r="I1663">
        <v>-6111.82</v>
      </c>
      <c r="J1663" t="s">
        <v>496</v>
      </c>
      <c r="K1663" t="s">
        <v>685</v>
      </c>
      <c r="L1663" t="s">
        <v>221</v>
      </c>
      <c r="M1663" t="s">
        <v>35</v>
      </c>
      <c r="N1663" t="s">
        <v>24</v>
      </c>
    </row>
    <row r="1664" spans="1:14" x14ac:dyDescent="0.3">
      <c r="A1664" t="s">
        <v>624</v>
      </c>
      <c r="B1664" t="s">
        <v>656</v>
      </c>
      <c r="C1664" t="s">
        <v>657</v>
      </c>
      <c r="D1664" t="s">
        <v>686</v>
      </c>
      <c r="E1664" t="s">
        <v>524</v>
      </c>
      <c r="F1664" t="s">
        <v>448</v>
      </c>
      <c r="G1664" t="s">
        <v>687</v>
      </c>
      <c r="I1664">
        <v>6202.25</v>
      </c>
      <c r="J1664" t="s">
        <v>686</v>
      </c>
      <c r="K1664" t="s">
        <v>688</v>
      </c>
      <c r="L1664" t="s">
        <v>221</v>
      </c>
      <c r="M1664" t="s">
        <v>35</v>
      </c>
      <c r="N1664" t="s">
        <v>24</v>
      </c>
    </row>
    <row r="1665" spans="1:14" x14ac:dyDescent="0.3">
      <c r="A1665" t="s">
        <v>624</v>
      </c>
      <c r="B1665" t="s">
        <v>656</v>
      </c>
      <c r="C1665" t="s">
        <v>657</v>
      </c>
      <c r="D1665" t="s">
        <v>496</v>
      </c>
      <c r="E1665" t="s">
        <v>524</v>
      </c>
      <c r="F1665" t="s">
        <v>448</v>
      </c>
      <c r="G1665" t="s">
        <v>654</v>
      </c>
      <c r="I1665">
        <v>1821.51</v>
      </c>
      <c r="J1665" t="s">
        <v>496</v>
      </c>
      <c r="K1665" t="s">
        <v>688</v>
      </c>
      <c r="L1665" t="s">
        <v>221</v>
      </c>
      <c r="M1665" t="s">
        <v>35</v>
      </c>
      <c r="N1665" t="s">
        <v>24</v>
      </c>
    </row>
    <row r="1666" spans="1:14" x14ac:dyDescent="0.3">
      <c r="A1666" t="s">
        <v>624</v>
      </c>
      <c r="B1666" t="s">
        <v>656</v>
      </c>
      <c r="C1666" t="s">
        <v>657</v>
      </c>
      <c r="D1666" t="s">
        <v>686</v>
      </c>
      <c r="E1666" t="s">
        <v>524</v>
      </c>
      <c r="F1666" t="s">
        <v>453</v>
      </c>
      <c r="G1666" t="s">
        <v>687</v>
      </c>
      <c r="I1666">
        <v>0</v>
      </c>
      <c r="J1666" t="s">
        <v>686</v>
      </c>
      <c r="K1666" t="s">
        <v>688</v>
      </c>
      <c r="L1666" t="s">
        <v>221</v>
      </c>
      <c r="M1666" t="s">
        <v>35</v>
      </c>
      <c r="N1666" t="s">
        <v>24</v>
      </c>
    </row>
    <row r="1667" spans="1:14" x14ac:dyDescent="0.3">
      <c r="A1667" t="s">
        <v>624</v>
      </c>
      <c r="B1667" t="s">
        <v>656</v>
      </c>
      <c r="C1667" t="s">
        <v>657</v>
      </c>
      <c r="D1667" t="s">
        <v>496</v>
      </c>
      <c r="E1667" t="s">
        <v>524</v>
      </c>
      <c r="F1667" t="s">
        <v>453</v>
      </c>
      <c r="G1667" t="s">
        <v>654</v>
      </c>
      <c r="I1667">
        <v>0</v>
      </c>
      <c r="J1667" t="s">
        <v>496</v>
      </c>
      <c r="K1667" t="s">
        <v>688</v>
      </c>
      <c r="L1667" t="s">
        <v>221</v>
      </c>
      <c r="M1667" t="s">
        <v>35</v>
      </c>
      <c r="N1667" t="s">
        <v>24</v>
      </c>
    </row>
    <row r="1668" spans="1:14" x14ac:dyDescent="0.3">
      <c r="A1668" t="s">
        <v>624</v>
      </c>
      <c r="B1668" t="s">
        <v>656</v>
      </c>
      <c r="C1668" t="s">
        <v>657</v>
      </c>
      <c r="D1668" t="s">
        <v>686</v>
      </c>
      <c r="E1668" t="s">
        <v>524</v>
      </c>
      <c r="F1668" t="s">
        <v>442</v>
      </c>
      <c r="G1668" t="s">
        <v>687</v>
      </c>
      <c r="I1668">
        <v>6202.25</v>
      </c>
      <c r="J1668" t="s">
        <v>686</v>
      </c>
      <c r="K1668" t="s">
        <v>688</v>
      </c>
      <c r="L1668" t="s">
        <v>221</v>
      </c>
      <c r="M1668" t="s">
        <v>35</v>
      </c>
      <c r="N1668" t="s">
        <v>24</v>
      </c>
    </row>
    <row r="1669" spans="1:14" x14ac:dyDescent="0.3">
      <c r="A1669" t="s">
        <v>624</v>
      </c>
      <c r="B1669" t="s">
        <v>656</v>
      </c>
      <c r="C1669" t="s">
        <v>657</v>
      </c>
      <c r="D1669" t="s">
        <v>496</v>
      </c>
      <c r="E1669" t="s">
        <v>524</v>
      </c>
      <c r="F1669" t="s">
        <v>442</v>
      </c>
      <c r="G1669" t="s">
        <v>654</v>
      </c>
      <c r="I1669">
        <v>1821.51</v>
      </c>
      <c r="J1669" t="s">
        <v>496</v>
      </c>
      <c r="K1669" t="s">
        <v>688</v>
      </c>
      <c r="L1669" t="s">
        <v>221</v>
      </c>
      <c r="M1669" t="s">
        <v>35</v>
      </c>
      <c r="N1669" t="s">
        <v>24</v>
      </c>
    </row>
    <row r="1670" spans="1:14" x14ac:dyDescent="0.3">
      <c r="A1670" t="s">
        <v>624</v>
      </c>
      <c r="B1670" t="s">
        <v>656</v>
      </c>
      <c r="C1670" t="s">
        <v>657</v>
      </c>
      <c r="D1670" t="s">
        <v>686</v>
      </c>
      <c r="E1670" t="s">
        <v>524</v>
      </c>
      <c r="F1670" t="s">
        <v>479</v>
      </c>
      <c r="G1670" t="s">
        <v>687</v>
      </c>
      <c r="I1670">
        <v>0</v>
      </c>
      <c r="J1670" t="s">
        <v>686</v>
      </c>
      <c r="K1670" t="s">
        <v>688</v>
      </c>
      <c r="L1670" t="s">
        <v>221</v>
      </c>
      <c r="M1670" t="s">
        <v>35</v>
      </c>
      <c r="N1670" t="s">
        <v>24</v>
      </c>
    </row>
    <row r="1671" spans="1:14" x14ac:dyDescent="0.3">
      <c r="A1671" t="s">
        <v>624</v>
      </c>
      <c r="B1671" t="s">
        <v>656</v>
      </c>
      <c r="C1671" t="s">
        <v>657</v>
      </c>
      <c r="D1671" t="s">
        <v>496</v>
      </c>
      <c r="E1671" t="s">
        <v>524</v>
      </c>
      <c r="F1671" t="s">
        <v>479</v>
      </c>
      <c r="G1671" t="s">
        <v>654</v>
      </c>
      <c r="I1671">
        <v>0</v>
      </c>
      <c r="J1671" t="s">
        <v>496</v>
      </c>
      <c r="K1671" t="s">
        <v>688</v>
      </c>
      <c r="L1671" t="s">
        <v>221</v>
      </c>
      <c r="M1671" t="s">
        <v>35</v>
      </c>
      <c r="N1671" t="s">
        <v>24</v>
      </c>
    </row>
    <row r="1672" spans="1:14" x14ac:dyDescent="0.3">
      <c r="A1672" t="s">
        <v>624</v>
      </c>
      <c r="B1672" t="s">
        <v>656</v>
      </c>
      <c r="C1672" t="s">
        <v>657</v>
      </c>
      <c r="D1672" t="s">
        <v>686</v>
      </c>
      <c r="E1672" t="s">
        <v>524</v>
      </c>
      <c r="F1672" t="s">
        <v>457</v>
      </c>
      <c r="G1672" t="s">
        <v>687</v>
      </c>
      <c r="I1672">
        <v>0</v>
      </c>
      <c r="J1672" t="s">
        <v>686</v>
      </c>
      <c r="K1672" t="s">
        <v>688</v>
      </c>
      <c r="L1672" t="s">
        <v>221</v>
      </c>
      <c r="M1672" t="s">
        <v>35</v>
      </c>
      <c r="N1672" t="s">
        <v>24</v>
      </c>
    </row>
    <row r="1673" spans="1:14" x14ac:dyDescent="0.3">
      <c r="A1673" t="s">
        <v>624</v>
      </c>
      <c r="B1673" t="s">
        <v>656</v>
      </c>
      <c r="C1673" t="s">
        <v>657</v>
      </c>
      <c r="D1673" t="s">
        <v>496</v>
      </c>
      <c r="E1673" t="s">
        <v>524</v>
      </c>
      <c r="F1673" t="s">
        <v>457</v>
      </c>
      <c r="G1673" t="s">
        <v>654</v>
      </c>
      <c r="I1673">
        <v>0</v>
      </c>
      <c r="J1673" t="s">
        <v>496</v>
      </c>
      <c r="K1673" t="s">
        <v>688</v>
      </c>
      <c r="L1673" t="s">
        <v>221</v>
      </c>
      <c r="M1673" t="s">
        <v>35</v>
      </c>
      <c r="N1673" t="s">
        <v>24</v>
      </c>
    </row>
    <row r="1674" spans="1:14" x14ac:dyDescent="0.3">
      <c r="A1674" t="s">
        <v>624</v>
      </c>
      <c r="B1674" t="s">
        <v>656</v>
      </c>
      <c r="C1674" t="s">
        <v>657</v>
      </c>
      <c r="D1674" t="s">
        <v>686</v>
      </c>
      <c r="E1674" t="s">
        <v>524</v>
      </c>
      <c r="F1674" t="s">
        <v>465</v>
      </c>
      <c r="G1674" t="s">
        <v>687</v>
      </c>
      <c r="I1674">
        <v>878</v>
      </c>
      <c r="J1674" t="s">
        <v>686</v>
      </c>
      <c r="K1674" t="s">
        <v>688</v>
      </c>
      <c r="L1674" t="s">
        <v>221</v>
      </c>
      <c r="M1674" t="s">
        <v>35</v>
      </c>
      <c r="N1674" t="s">
        <v>24</v>
      </c>
    </row>
    <row r="1675" spans="1:14" x14ac:dyDescent="0.3">
      <c r="A1675" t="s">
        <v>624</v>
      </c>
      <c r="B1675" t="s">
        <v>656</v>
      </c>
      <c r="C1675" t="s">
        <v>657</v>
      </c>
      <c r="D1675" t="s">
        <v>496</v>
      </c>
      <c r="E1675" t="s">
        <v>524</v>
      </c>
      <c r="F1675" t="s">
        <v>465</v>
      </c>
      <c r="G1675" t="s">
        <v>654</v>
      </c>
      <c r="I1675">
        <v>257.86</v>
      </c>
      <c r="J1675" t="s">
        <v>496</v>
      </c>
      <c r="K1675" t="s">
        <v>688</v>
      </c>
      <c r="L1675" t="s">
        <v>221</v>
      </c>
      <c r="M1675" t="s">
        <v>35</v>
      </c>
      <c r="N1675" t="s">
        <v>24</v>
      </c>
    </row>
    <row r="1676" spans="1:14" x14ac:dyDescent="0.3">
      <c r="A1676" t="s">
        <v>624</v>
      </c>
      <c r="B1676" t="s">
        <v>656</v>
      </c>
      <c r="C1676" t="s">
        <v>657</v>
      </c>
      <c r="D1676" t="s">
        <v>686</v>
      </c>
      <c r="E1676" t="s">
        <v>524</v>
      </c>
      <c r="F1676" t="s">
        <v>472</v>
      </c>
      <c r="G1676" t="s">
        <v>687</v>
      </c>
      <c r="I1676">
        <v>11218.31</v>
      </c>
      <c r="J1676" t="s">
        <v>686</v>
      </c>
      <c r="K1676" t="s">
        <v>688</v>
      </c>
      <c r="L1676" t="s">
        <v>221</v>
      </c>
      <c r="M1676" t="s">
        <v>35</v>
      </c>
      <c r="N1676" t="s">
        <v>24</v>
      </c>
    </row>
    <row r="1677" spans="1:14" x14ac:dyDescent="0.3">
      <c r="A1677" t="s">
        <v>624</v>
      </c>
      <c r="B1677" t="s">
        <v>656</v>
      </c>
      <c r="C1677" t="s">
        <v>657</v>
      </c>
      <c r="D1677" t="s">
        <v>496</v>
      </c>
      <c r="E1677" t="s">
        <v>524</v>
      </c>
      <c r="F1677" t="s">
        <v>472</v>
      </c>
      <c r="G1677" t="s">
        <v>654</v>
      </c>
      <c r="I1677">
        <v>3294.66</v>
      </c>
      <c r="J1677" t="s">
        <v>496</v>
      </c>
      <c r="K1677" t="s">
        <v>688</v>
      </c>
      <c r="L1677" t="s">
        <v>221</v>
      </c>
      <c r="M1677" t="s">
        <v>35</v>
      </c>
      <c r="N1677" t="s">
        <v>24</v>
      </c>
    </row>
    <row r="1678" spans="1:14" x14ac:dyDescent="0.3">
      <c r="A1678" t="s">
        <v>624</v>
      </c>
      <c r="B1678" t="s">
        <v>656</v>
      </c>
      <c r="C1678" t="s">
        <v>657</v>
      </c>
      <c r="D1678" t="s">
        <v>686</v>
      </c>
      <c r="E1678" t="s">
        <v>524</v>
      </c>
      <c r="F1678" t="s">
        <v>469</v>
      </c>
      <c r="G1678" t="s">
        <v>687</v>
      </c>
      <c r="I1678">
        <v>0</v>
      </c>
      <c r="J1678" t="s">
        <v>686</v>
      </c>
      <c r="K1678" t="s">
        <v>688</v>
      </c>
      <c r="L1678" t="s">
        <v>221</v>
      </c>
      <c r="M1678" t="s">
        <v>35</v>
      </c>
      <c r="N1678" t="s">
        <v>24</v>
      </c>
    </row>
    <row r="1679" spans="1:14" x14ac:dyDescent="0.3">
      <c r="A1679" t="s">
        <v>624</v>
      </c>
      <c r="B1679" t="s">
        <v>656</v>
      </c>
      <c r="C1679" t="s">
        <v>657</v>
      </c>
      <c r="D1679" t="s">
        <v>496</v>
      </c>
      <c r="E1679" t="s">
        <v>524</v>
      </c>
      <c r="F1679" t="s">
        <v>469</v>
      </c>
      <c r="G1679" t="s">
        <v>654</v>
      </c>
      <c r="I1679">
        <v>0</v>
      </c>
      <c r="J1679" t="s">
        <v>496</v>
      </c>
      <c r="K1679" t="s">
        <v>688</v>
      </c>
      <c r="L1679" t="s">
        <v>221</v>
      </c>
      <c r="M1679" t="s">
        <v>35</v>
      </c>
      <c r="N1679" t="s">
        <v>24</v>
      </c>
    </row>
    <row r="1680" spans="1:14" x14ac:dyDescent="0.3">
      <c r="A1680" t="s">
        <v>624</v>
      </c>
      <c r="B1680" t="s">
        <v>656</v>
      </c>
      <c r="C1680" t="s">
        <v>657</v>
      </c>
      <c r="D1680" t="s">
        <v>686</v>
      </c>
      <c r="E1680" t="s">
        <v>524</v>
      </c>
      <c r="F1680" t="s">
        <v>482</v>
      </c>
      <c r="G1680" t="s">
        <v>687</v>
      </c>
      <c r="I1680">
        <v>314.14999999999998</v>
      </c>
      <c r="J1680" t="s">
        <v>686</v>
      </c>
      <c r="K1680" t="s">
        <v>688</v>
      </c>
      <c r="L1680" t="s">
        <v>221</v>
      </c>
      <c r="M1680" t="s">
        <v>35</v>
      </c>
      <c r="N1680" t="s">
        <v>24</v>
      </c>
    </row>
    <row r="1681" spans="1:14" x14ac:dyDescent="0.3">
      <c r="A1681" t="s">
        <v>624</v>
      </c>
      <c r="B1681" t="s">
        <v>656</v>
      </c>
      <c r="C1681" t="s">
        <v>657</v>
      </c>
      <c r="D1681" t="s">
        <v>496</v>
      </c>
      <c r="E1681" t="s">
        <v>524</v>
      </c>
      <c r="F1681" t="s">
        <v>482</v>
      </c>
      <c r="G1681" t="s">
        <v>654</v>
      </c>
      <c r="I1681">
        <v>92.26</v>
      </c>
      <c r="J1681" t="s">
        <v>496</v>
      </c>
      <c r="K1681" t="s">
        <v>688</v>
      </c>
      <c r="L1681" t="s">
        <v>221</v>
      </c>
      <c r="M1681" t="s">
        <v>35</v>
      </c>
      <c r="N1681" t="s">
        <v>24</v>
      </c>
    </row>
    <row r="1682" spans="1:14" x14ac:dyDescent="0.3">
      <c r="A1682" t="s">
        <v>624</v>
      </c>
      <c r="B1682" t="s">
        <v>656</v>
      </c>
      <c r="C1682" t="s">
        <v>657</v>
      </c>
      <c r="D1682" t="s">
        <v>686</v>
      </c>
      <c r="E1682" t="s">
        <v>524</v>
      </c>
      <c r="F1682" t="s">
        <v>461</v>
      </c>
      <c r="G1682" t="s">
        <v>687</v>
      </c>
      <c r="I1682">
        <v>6202.25</v>
      </c>
      <c r="J1682" t="s">
        <v>686</v>
      </c>
      <c r="K1682" t="s">
        <v>688</v>
      </c>
      <c r="L1682" t="s">
        <v>221</v>
      </c>
      <c r="M1682" t="s">
        <v>35</v>
      </c>
      <c r="N1682" t="s">
        <v>24</v>
      </c>
    </row>
    <row r="1683" spans="1:14" x14ac:dyDescent="0.3">
      <c r="A1683" t="s">
        <v>624</v>
      </c>
      <c r="B1683" t="s">
        <v>656</v>
      </c>
      <c r="C1683" t="s">
        <v>657</v>
      </c>
      <c r="D1683" t="s">
        <v>496</v>
      </c>
      <c r="E1683" t="s">
        <v>524</v>
      </c>
      <c r="F1683" t="s">
        <v>461</v>
      </c>
      <c r="G1683" t="s">
        <v>654</v>
      </c>
      <c r="I1683">
        <v>1821.51</v>
      </c>
      <c r="J1683" t="s">
        <v>496</v>
      </c>
      <c r="K1683" t="s">
        <v>688</v>
      </c>
      <c r="L1683" t="s">
        <v>221</v>
      </c>
      <c r="M1683" t="s">
        <v>35</v>
      </c>
      <c r="N1683" t="s">
        <v>24</v>
      </c>
    </row>
    <row r="1684" spans="1:14" x14ac:dyDescent="0.3">
      <c r="A1684" t="s">
        <v>624</v>
      </c>
      <c r="B1684" t="s">
        <v>656</v>
      </c>
      <c r="C1684" t="s">
        <v>657</v>
      </c>
      <c r="D1684" t="s">
        <v>686</v>
      </c>
      <c r="E1684" t="s">
        <v>524</v>
      </c>
      <c r="F1684" t="s">
        <v>475</v>
      </c>
      <c r="G1684" t="s">
        <v>687</v>
      </c>
      <c r="I1684">
        <v>-5894.06</v>
      </c>
      <c r="J1684" t="s">
        <v>686</v>
      </c>
      <c r="K1684" t="s">
        <v>688</v>
      </c>
      <c r="L1684" t="s">
        <v>221</v>
      </c>
      <c r="M1684" t="s">
        <v>35</v>
      </c>
      <c r="N1684" t="s">
        <v>24</v>
      </c>
    </row>
    <row r="1685" spans="1:14" x14ac:dyDescent="0.3">
      <c r="A1685" t="s">
        <v>624</v>
      </c>
      <c r="B1685" t="s">
        <v>656</v>
      </c>
      <c r="C1685" t="s">
        <v>657</v>
      </c>
      <c r="D1685" t="s">
        <v>496</v>
      </c>
      <c r="E1685" t="s">
        <v>524</v>
      </c>
      <c r="F1685" t="s">
        <v>475</v>
      </c>
      <c r="G1685" t="s">
        <v>654</v>
      </c>
      <c r="I1685">
        <v>-1731</v>
      </c>
      <c r="J1685" t="s">
        <v>496</v>
      </c>
      <c r="K1685" t="s">
        <v>688</v>
      </c>
      <c r="L1685" t="s">
        <v>221</v>
      </c>
      <c r="M1685" t="s">
        <v>35</v>
      </c>
      <c r="N1685" t="s">
        <v>24</v>
      </c>
    </row>
    <row r="1686" spans="1:14" x14ac:dyDescent="0.3">
      <c r="A1686" t="s">
        <v>624</v>
      </c>
      <c r="B1686" t="s">
        <v>656</v>
      </c>
      <c r="C1686" t="s">
        <v>657</v>
      </c>
      <c r="D1686" t="s">
        <v>686</v>
      </c>
      <c r="E1686" t="s">
        <v>524</v>
      </c>
      <c r="F1686" t="s">
        <v>485</v>
      </c>
      <c r="G1686" t="s">
        <v>687</v>
      </c>
      <c r="I1686">
        <v>-6208.21</v>
      </c>
      <c r="J1686" t="s">
        <v>686</v>
      </c>
      <c r="K1686" t="s">
        <v>688</v>
      </c>
      <c r="L1686" t="s">
        <v>221</v>
      </c>
      <c r="M1686" t="s">
        <v>35</v>
      </c>
      <c r="N1686" t="s">
        <v>24</v>
      </c>
    </row>
    <row r="1687" spans="1:14" x14ac:dyDescent="0.3">
      <c r="A1687" t="s">
        <v>624</v>
      </c>
      <c r="B1687" t="s">
        <v>656</v>
      </c>
      <c r="C1687" t="s">
        <v>657</v>
      </c>
      <c r="D1687" t="s">
        <v>496</v>
      </c>
      <c r="E1687" t="s">
        <v>524</v>
      </c>
      <c r="F1687" t="s">
        <v>485</v>
      </c>
      <c r="G1687" t="s">
        <v>654</v>
      </c>
      <c r="I1687">
        <v>-1823.26</v>
      </c>
      <c r="J1687" t="s">
        <v>496</v>
      </c>
      <c r="K1687" t="s">
        <v>688</v>
      </c>
      <c r="L1687" t="s">
        <v>221</v>
      </c>
      <c r="M1687" t="s">
        <v>35</v>
      </c>
      <c r="N1687" t="s">
        <v>24</v>
      </c>
    </row>
    <row r="1688" spans="1:14" x14ac:dyDescent="0.3">
      <c r="A1688" t="s">
        <v>624</v>
      </c>
      <c r="B1688" t="s">
        <v>660</v>
      </c>
      <c r="C1688" t="s">
        <v>689</v>
      </c>
      <c r="D1688" t="s">
        <v>496</v>
      </c>
      <c r="E1688" t="s">
        <v>524</v>
      </c>
      <c r="F1688" t="s">
        <v>448</v>
      </c>
      <c r="G1688" t="s">
        <v>654</v>
      </c>
      <c r="I1688">
        <v>345033.44</v>
      </c>
      <c r="J1688" t="s">
        <v>496</v>
      </c>
      <c r="K1688" t="s">
        <v>690</v>
      </c>
      <c r="L1688" t="s">
        <v>221</v>
      </c>
      <c r="M1688" t="s">
        <v>35</v>
      </c>
      <c r="N1688" t="s">
        <v>24</v>
      </c>
    </row>
    <row r="1689" spans="1:14" x14ac:dyDescent="0.3">
      <c r="A1689" t="s">
        <v>624</v>
      </c>
      <c r="B1689" t="s">
        <v>660</v>
      </c>
      <c r="C1689" t="s">
        <v>689</v>
      </c>
      <c r="D1689" t="s">
        <v>496</v>
      </c>
      <c r="E1689" t="s">
        <v>524</v>
      </c>
      <c r="F1689" t="s">
        <v>453</v>
      </c>
      <c r="G1689" t="s">
        <v>654</v>
      </c>
      <c r="I1689">
        <v>-9132</v>
      </c>
      <c r="J1689" t="s">
        <v>496</v>
      </c>
      <c r="K1689" t="s">
        <v>690</v>
      </c>
      <c r="L1689" t="s">
        <v>221</v>
      </c>
      <c r="M1689" t="s">
        <v>35</v>
      </c>
      <c r="N1689" t="s">
        <v>24</v>
      </c>
    </row>
    <row r="1690" spans="1:14" x14ac:dyDescent="0.3">
      <c r="A1690" t="s">
        <v>624</v>
      </c>
      <c r="B1690" t="s">
        <v>660</v>
      </c>
      <c r="C1690" t="s">
        <v>689</v>
      </c>
      <c r="D1690" t="s">
        <v>496</v>
      </c>
      <c r="E1690" t="s">
        <v>524</v>
      </c>
      <c r="F1690" t="s">
        <v>442</v>
      </c>
      <c r="G1690" t="s">
        <v>654</v>
      </c>
      <c r="I1690">
        <v>335901.45</v>
      </c>
      <c r="J1690" t="s">
        <v>496</v>
      </c>
      <c r="K1690" t="s">
        <v>690</v>
      </c>
      <c r="L1690" t="s">
        <v>221</v>
      </c>
      <c r="M1690" t="s">
        <v>35</v>
      </c>
      <c r="N1690" t="s">
        <v>24</v>
      </c>
    </row>
    <row r="1691" spans="1:14" x14ac:dyDescent="0.3">
      <c r="A1691" t="s">
        <v>624</v>
      </c>
      <c r="B1691" t="s">
        <v>660</v>
      </c>
      <c r="C1691" t="s">
        <v>689</v>
      </c>
      <c r="D1691" t="s">
        <v>496</v>
      </c>
      <c r="E1691" t="s">
        <v>524</v>
      </c>
      <c r="F1691" t="s">
        <v>457</v>
      </c>
      <c r="G1691" t="s">
        <v>654</v>
      </c>
      <c r="I1691">
        <v>91838.29</v>
      </c>
      <c r="J1691" t="s">
        <v>496</v>
      </c>
      <c r="K1691" t="s">
        <v>690</v>
      </c>
      <c r="L1691" t="s">
        <v>221</v>
      </c>
      <c r="M1691" t="s">
        <v>35</v>
      </c>
      <c r="N1691" t="s">
        <v>24</v>
      </c>
    </row>
    <row r="1692" spans="1:14" x14ac:dyDescent="0.3">
      <c r="A1692" t="s">
        <v>624</v>
      </c>
      <c r="B1692" t="s">
        <v>660</v>
      </c>
      <c r="C1692" t="s">
        <v>689</v>
      </c>
      <c r="D1692" t="s">
        <v>496</v>
      </c>
      <c r="E1692" t="s">
        <v>524</v>
      </c>
      <c r="F1692" t="s">
        <v>461</v>
      </c>
      <c r="G1692" t="s">
        <v>654</v>
      </c>
      <c r="I1692">
        <v>244063.16</v>
      </c>
      <c r="J1692" t="s">
        <v>496</v>
      </c>
      <c r="K1692" t="s">
        <v>690</v>
      </c>
      <c r="L1692" t="s">
        <v>221</v>
      </c>
      <c r="M1692" t="s">
        <v>35</v>
      </c>
      <c r="N1692" t="s">
        <v>24</v>
      </c>
    </row>
    <row r="1693" spans="1:14" x14ac:dyDescent="0.3">
      <c r="A1693" t="s">
        <v>624</v>
      </c>
      <c r="B1693" t="s">
        <v>660</v>
      </c>
      <c r="C1693" t="s">
        <v>689</v>
      </c>
      <c r="D1693" t="s">
        <v>496</v>
      </c>
      <c r="E1693" t="s">
        <v>524</v>
      </c>
      <c r="F1693" t="s">
        <v>465</v>
      </c>
      <c r="G1693" t="s">
        <v>654</v>
      </c>
      <c r="I1693">
        <v>46098.13</v>
      </c>
      <c r="J1693" t="s">
        <v>496</v>
      </c>
      <c r="K1693" t="s">
        <v>690</v>
      </c>
      <c r="L1693" t="s">
        <v>221</v>
      </c>
      <c r="M1693" t="s">
        <v>35</v>
      </c>
      <c r="N1693" t="s">
        <v>24</v>
      </c>
    </row>
    <row r="1694" spans="1:14" x14ac:dyDescent="0.3">
      <c r="A1694" t="s">
        <v>624</v>
      </c>
      <c r="B1694" t="s">
        <v>660</v>
      </c>
      <c r="C1694" t="s">
        <v>689</v>
      </c>
      <c r="D1694" t="s">
        <v>496</v>
      </c>
      <c r="E1694" t="s">
        <v>524</v>
      </c>
      <c r="F1694" t="s">
        <v>469</v>
      </c>
      <c r="G1694" t="s">
        <v>654</v>
      </c>
      <c r="I1694">
        <v>29366.19</v>
      </c>
      <c r="J1694" t="s">
        <v>496</v>
      </c>
      <c r="K1694" t="s">
        <v>690</v>
      </c>
      <c r="L1694" t="s">
        <v>221</v>
      </c>
      <c r="M1694" t="s">
        <v>35</v>
      </c>
      <c r="N1694" t="s">
        <v>24</v>
      </c>
    </row>
    <row r="1695" spans="1:14" x14ac:dyDescent="0.3">
      <c r="A1695" t="s">
        <v>624</v>
      </c>
      <c r="B1695" t="s">
        <v>660</v>
      </c>
      <c r="C1695" t="s">
        <v>689</v>
      </c>
      <c r="D1695" t="s">
        <v>496</v>
      </c>
      <c r="E1695" t="s">
        <v>524</v>
      </c>
      <c r="F1695" t="s">
        <v>472</v>
      </c>
      <c r="G1695" t="s">
        <v>654</v>
      </c>
      <c r="I1695">
        <v>36890.160000000003</v>
      </c>
      <c r="J1695" t="s">
        <v>496</v>
      </c>
      <c r="K1695" t="s">
        <v>690</v>
      </c>
      <c r="L1695" t="s">
        <v>221</v>
      </c>
      <c r="M1695" t="s">
        <v>35</v>
      </c>
      <c r="N1695" t="s">
        <v>24</v>
      </c>
    </row>
    <row r="1696" spans="1:14" x14ac:dyDescent="0.3">
      <c r="A1696" t="s">
        <v>624</v>
      </c>
      <c r="B1696" t="s">
        <v>660</v>
      </c>
      <c r="C1696" t="s">
        <v>689</v>
      </c>
      <c r="D1696" t="s">
        <v>496</v>
      </c>
      <c r="E1696" t="s">
        <v>524</v>
      </c>
      <c r="F1696" t="s">
        <v>475</v>
      </c>
      <c r="G1696" t="s">
        <v>654</v>
      </c>
      <c r="I1696">
        <v>131708.69</v>
      </c>
      <c r="J1696" t="s">
        <v>496</v>
      </c>
      <c r="K1696" t="s">
        <v>690</v>
      </c>
      <c r="L1696" t="s">
        <v>221</v>
      </c>
      <c r="M1696" t="s">
        <v>35</v>
      </c>
      <c r="N1696" t="s">
        <v>24</v>
      </c>
    </row>
    <row r="1697" spans="1:14" x14ac:dyDescent="0.3">
      <c r="A1697" t="s">
        <v>624</v>
      </c>
      <c r="B1697" t="s">
        <v>660</v>
      </c>
      <c r="C1697" t="s">
        <v>689</v>
      </c>
      <c r="D1697" t="s">
        <v>496</v>
      </c>
      <c r="E1697" t="s">
        <v>524</v>
      </c>
      <c r="F1697" t="s">
        <v>479</v>
      </c>
      <c r="G1697" t="s">
        <v>654</v>
      </c>
      <c r="I1697">
        <v>215.68</v>
      </c>
      <c r="J1697" t="s">
        <v>496</v>
      </c>
      <c r="K1697" t="s">
        <v>690</v>
      </c>
      <c r="L1697" t="s">
        <v>221</v>
      </c>
      <c r="M1697" t="s">
        <v>35</v>
      </c>
      <c r="N1697" t="s">
        <v>24</v>
      </c>
    </row>
    <row r="1698" spans="1:14" x14ac:dyDescent="0.3">
      <c r="A1698" t="s">
        <v>624</v>
      </c>
      <c r="B1698" t="s">
        <v>660</v>
      </c>
      <c r="C1698" t="s">
        <v>689</v>
      </c>
      <c r="D1698" t="s">
        <v>496</v>
      </c>
      <c r="E1698" t="s">
        <v>524</v>
      </c>
      <c r="F1698" t="s">
        <v>482</v>
      </c>
      <c r="G1698" t="s">
        <v>654</v>
      </c>
      <c r="I1698">
        <v>1783.85</v>
      </c>
      <c r="J1698" t="s">
        <v>496</v>
      </c>
      <c r="K1698" t="s">
        <v>690</v>
      </c>
      <c r="L1698" t="s">
        <v>221</v>
      </c>
      <c r="M1698" t="s">
        <v>35</v>
      </c>
      <c r="N1698" t="s">
        <v>24</v>
      </c>
    </row>
    <row r="1699" spans="1:14" x14ac:dyDescent="0.3">
      <c r="A1699" t="s">
        <v>624</v>
      </c>
      <c r="B1699" t="s">
        <v>660</v>
      </c>
      <c r="C1699" t="s">
        <v>689</v>
      </c>
      <c r="D1699" t="s">
        <v>496</v>
      </c>
      <c r="E1699" t="s">
        <v>524</v>
      </c>
      <c r="F1699" t="s">
        <v>485</v>
      </c>
      <c r="G1699" t="s">
        <v>654</v>
      </c>
      <c r="I1699">
        <v>130140.53</v>
      </c>
      <c r="J1699" t="s">
        <v>496</v>
      </c>
      <c r="K1699" t="s">
        <v>690</v>
      </c>
      <c r="L1699" t="s">
        <v>221</v>
      </c>
      <c r="M1699" t="s">
        <v>35</v>
      </c>
      <c r="N1699" t="s">
        <v>24</v>
      </c>
    </row>
    <row r="1700" spans="1:14" x14ac:dyDescent="0.3">
      <c r="A1700" t="s">
        <v>624</v>
      </c>
      <c r="B1700" t="s">
        <v>658</v>
      </c>
      <c r="C1700" t="s">
        <v>659</v>
      </c>
      <c r="D1700" t="s">
        <v>496</v>
      </c>
      <c r="E1700" t="s">
        <v>524</v>
      </c>
      <c r="F1700" t="s">
        <v>448</v>
      </c>
      <c r="G1700" t="s">
        <v>654</v>
      </c>
      <c r="I1700">
        <v>134104</v>
      </c>
      <c r="J1700" t="s">
        <v>496</v>
      </c>
      <c r="K1700" t="s">
        <v>691</v>
      </c>
      <c r="L1700" t="s">
        <v>221</v>
      </c>
      <c r="M1700" t="s">
        <v>35</v>
      </c>
      <c r="N1700" t="s">
        <v>24</v>
      </c>
    </row>
    <row r="1701" spans="1:14" x14ac:dyDescent="0.3">
      <c r="A1701" t="s">
        <v>624</v>
      </c>
      <c r="B1701" t="s">
        <v>658</v>
      </c>
      <c r="C1701" t="s">
        <v>659</v>
      </c>
      <c r="D1701" t="s">
        <v>496</v>
      </c>
      <c r="E1701" t="s">
        <v>524</v>
      </c>
      <c r="F1701" t="s">
        <v>453</v>
      </c>
      <c r="G1701" t="s">
        <v>654</v>
      </c>
      <c r="I1701">
        <v>0</v>
      </c>
      <c r="J1701" t="s">
        <v>496</v>
      </c>
      <c r="K1701" t="s">
        <v>691</v>
      </c>
      <c r="L1701" t="s">
        <v>221</v>
      </c>
      <c r="M1701" t="s">
        <v>35</v>
      </c>
      <c r="N1701" t="s">
        <v>24</v>
      </c>
    </row>
    <row r="1702" spans="1:14" x14ac:dyDescent="0.3">
      <c r="A1702" t="s">
        <v>624</v>
      </c>
      <c r="B1702" t="s">
        <v>658</v>
      </c>
      <c r="C1702" t="s">
        <v>659</v>
      </c>
      <c r="D1702" t="s">
        <v>496</v>
      </c>
      <c r="E1702" t="s">
        <v>524</v>
      </c>
      <c r="F1702" t="s">
        <v>442</v>
      </c>
      <c r="G1702" t="s">
        <v>654</v>
      </c>
      <c r="I1702">
        <v>134104</v>
      </c>
      <c r="J1702" t="s">
        <v>496</v>
      </c>
      <c r="K1702" t="s">
        <v>691</v>
      </c>
      <c r="L1702" t="s">
        <v>221</v>
      </c>
      <c r="M1702" t="s">
        <v>35</v>
      </c>
      <c r="N1702" t="s">
        <v>24</v>
      </c>
    </row>
    <row r="1703" spans="1:14" x14ac:dyDescent="0.3">
      <c r="A1703" t="s">
        <v>624</v>
      </c>
      <c r="B1703" t="s">
        <v>658</v>
      </c>
      <c r="C1703" t="s">
        <v>659</v>
      </c>
      <c r="D1703" t="s">
        <v>496</v>
      </c>
      <c r="E1703" t="s">
        <v>524</v>
      </c>
      <c r="F1703" t="s">
        <v>479</v>
      </c>
      <c r="G1703" t="s">
        <v>654</v>
      </c>
      <c r="I1703">
        <v>0</v>
      </c>
      <c r="J1703" t="s">
        <v>496</v>
      </c>
      <c r="K1703" t="s">
        <v>691</v>
      </c>
      <c r="L1703" t="s">
        <v>221</v>
      </c>
      <c r="M1703" t="s">
        <v>35</v>
      </c>
      <c r="N1703" t="s">
        <v>24</v>
      </c>
    </row>
    <row r="1704" spans="1:14" x14ac:dyDescent="0.3">
      <c r="A1704" t="s">
        <v>624</v>
      </c>
      <c r="B1704" t="s">
        <v>658</v>
      </c>
      <c r="C1704" t="s">
        <v>659</v>
      </c>
      <c r="D1704" t="s">
        <v>496</v>
      </c>
      <c r="E1704" t="s">
        <v>524</v>
      </c>
      <c r="F1704" t="s">
        <v>457</v>
      </c>
      <c r="G1704" t="s">
        <v>654</v>
      </c>
      <c r="I1704">
        <v>0</v>
      </c>
      <c r="J1704" t="s">
        <v>496</v>
      </c>
      <c r="K1704" t="s">
        <v>691</v>
      </c>
      <c r="L1704" t="s">
        <v>221</v>
      </c>
      <c r="M1704" t="s">
        <v>35</v>
      </c>
      <c r="N1704" t="s">
        <v>24</v>
      </c>
    </row>
    <row r="1705" spans="1:14" x14ac:dyDescent="0.3">
      <c r="A1705" t="s">
        <v>624</v>
      </c>
      <c r="B1705" t="s">
        <v>658</v>
      </c>
      <c r="C1705" t="s">
        <v>659</v>
      </c>
      <c r="D1705" t="s">
        <v>496</v>
      </c>
      <c r="E1705" t="s">
        <v>524</v>
      </c>
      <c r="F1705" t="s">
        <v>461</v>
      </c>
      <c r="G1705" t="s">
        <v>654</v>
      </c>
      <c r="I1705">
        <v>134104</v>
      </c>
      <c r="J1705" t="s">
        <v>496</v>
      </c>
      <c r="K1705" t="s">
        <v>691</v>
      </c>
      <c r="L1705" t="s">
        <v>221</v>
      </c>
      <c r="M1705" t="s">
        <v>35</v>
      </c>
      <c r="N1705" t="s">
        <v>24</v>
      </c>
    </row>
    <row r="1706" spans="1:14" x14ac:dyDescent="0.3">
      <c r="A1706" t="s">
        <v>624</v>
      </c>
      <c r="B1706" t="s">
        <v>658</v>
      </c>
      <c r="C1706" t="s">
        <v>659</v>
      </c>
      <c r="D1706" t="s">
        <v>496</v>
      </c>
      <c r="E1706" t="s">
        <v>524</v>
      </c>
      <c r="F1706" t="s">
        <v>465</v>
      </c>
      <c r="G1706" t="s">
        <v>654</v>
      </c>
      <c r="I1706">
        <v>3046.94</v>
      </c>
      <c r="J1706" t="s">
        <v>496</v>
      </c>
      <c r="K1706" t="s">
        <v>691</v>
      </c>
      <c r="L1706" t="s">
        <v>221</v>
      </c>
      <c r="M1706" t="s">
        <v>35</v>
      </c>
      <c r="N1706" t="s">
        <v>24</v>
      </c>
    </row>
    <row r="1707" spans="1:14" x14ac:dyDescent="0.3">
      <c r="A1707" t="s">
        <v>624</v>
      </c>
      <c r="B1707" t="s">
        <v>658</v>
      </c>
      <c r="C1707" t="s">
        <v>659</v>
      </c>
      <c r="D1707" t="s">
        <v>496</v>
      </c>
      <c r="E1707" t="s">
        <v>524</v>
      </c>
      <c r="F1707" t="s">
        <v>472</v>
      </c>
      <c r="G1707" t="s">
        <v>654</v>
      </c>
      <c r="I1707">
        <v>0</v>
      </c>
      <c r="J1707" t="s">
        <v>496</v>
      </c>
      <c r="K1707" t="s">
        <v>691</v>
      </c>
      <c r="L1707" t="s">
        <v>221</v>
      </c>
      <c r="M1707" t="s">
        <v>35</v>
      </c>
      <c r="N1707" t="s">
        <v>24</v>
      </c>
    </row>
    <row r="1708" spans="1:14" x14ac:dyDescent="0.3">
      <c r="A1708" t="s">
        <v>624</v>
      </c>
      <c r="B1708" t="s">
        <v>658</v>
      </c>
      <c r="C1708" t="s">
        <v>659</v>
      </c>
      <c r="D1708" t="s">
        <v>496</v>
      </c>
      <c r="E1708" t="s">
        <v>524</v>
      </c>
      <c r="F1708" t="s">
        <v>469</v>
      </c>
      <c r="G1708" t="s">
        <v>654</v>
      </c>
      <c r="I1708">
        <v>0</v>
      </c>
      <c r="J1708" t="s">
        <v>496</v>
      </c>
      <c r="K1708" t="s">
        <v>691</v>
      </c>
      <c r="L1708" t="s">
        <v>221</v>
      </c>
      <c r="M1708" t="s">
        <v>35</v>
      </c>
      <c r="N1708" t="s">
        <v>24</v>
      </c>
    </row>
    <row r="1709" spans="1:14" x14ac:dyDescent="0.3">
      <c r="A1709" t="s">
        <v>624</v>
      </c>
      <c r="B1709" t="s">
        <v>658</v>
      </c>
      <c r="C1709" t="s">
        <v>659</v>
      </c>
      <c r="D1709" t="s">
        <v>496</v>
      </c>
      <c r="E1709" t="s">
        <v>524</v>
      </c>
      <c r="F1709" t="s">
        <v>482</v>
      </c>
      <c r="G1709" t="s">
        <v>654</v>
      </c>
      <c r="I1709">
        <v>30</v>
      </c>
      <c r="J1709" t="s">
        <v>496</v>
      </c>
      <c r="K1709" t="s">
        <v>691</v>
      </c>
      <c r="L1709" t="s">
        <v>221</v>
      </c>
      <c r="M1709" t="s">
        <v>35</v>
      </c>
      <c r="N1709" t="s">
        <v>24</v>
      </c>
    </row>
    <row r="1710" spans="1:14" x14ac:dyDescent="0.3">
      <c r="A1710" t="s">
        <v>624</v>
      </c>
      <c r="B1710" t="s">
        <v>658</v>
      </c>
      <c r="C1710" t="s">
        <v>659</v>
      </c>
      <c r="D1710" t="s">
        <v>496</v>
      </c>
      <c r="E1710" t="s">
        <v>524</v>
      </c>
      <c r="F1710" t="s">
        <v>475</v>
      </c>
      <c r="G1710" t="s">
        <v>654</v>
      </c>
      <c r="I1710">
        <v>131057.06</v>
      </c>
      <c r="J1710" t="s">
        <v>496</v>
      </c>
      <c r="K1710" t="s">
        <v>691</v>
      </c>
      <c r="L1710" t="s">
        <v>221</v>
      </c>
      <c r="M1710" t="s">
        <v>35</v>
      </c>
      <c r="N1710" t="s">
        <v>24</v>
      </c>
    </row>
    <row r="1711" spans="1:14" x14ac:dyDescent="0.3">
      <c r="A1711" t="s">
        <v>624</v>
      </c>
      <c r="B1711" t="s">
        <v>658</v>
      </c>
      <c r="C1711" t="s">
        <v>659</v>
      </c>
      <c r="D1711" t="s">
        <v>496</v>
      </c>
      <c r="E1711" t="s">
        <v>524</v>
      </c>
      <c r="F1711" t="s">
        <v>485</v>
      </c>
      <c r="G1711" t="s">
        <v>654</v>
      </c>
      <c r="I1711">
        <v>131027.06</v>
      </c>
      <c r="J1711" t="s">
        <v>496</v>
      </c>
      <c r="K1711" t="s">
        <v>691</v>
      </c>
      <c r="L1711" t="s">
        <v>221</v>
      </c>
      <c r="M1711" t="s">
        <v>35</v>
      </c>
      <c r="N1711" t="s">
        <v>24</v>
      </c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workbookViewId="0"/>
  </sheetViews>
  <sheetFormatPr defaultRowHeight="14.4" x14ac:dyDescent="0.3"/>
  <cols>
    <col min="1" max="1" width="34" customWidth="1"/>
    <col min="2" max="2" width="15" customWidth="1"/>
    <col min="3" max="8" width="13" customWidth="1"/>
  </cols>
  <sheetData>
    <row r="1" spans="1:8" ht="12.45" customHeight="1" x14ac:dyDescent="0.3">
      <c r="A1" s="37" t="s">
        <v>692</v>
      </c>
    </row>
    <row r="2" spans="1:8" x14ac:dyDescent="0.3">
      <c r="A2" s="28" t="s">
        <v>693</v>
      </c>
    </row>
    <row r="4" spans="1:8" x14ac:dyDescent="0.3">
      <c r="A4" s="48" t="s">
        <v>694</v>
      </c>
      <c r="B4" s="48" t="s">
        <v>695</v>
      </c>
      <c r="C4" s="48" t="s">
        <v>696</v>
      </c>
      <c r="D4" s="48" t="s">
        <v>697</v>
      </c>
      <c r="E4" s="48" t="s">
        <v>698</v>
      </c>
      <c r="F4" s="48" t="s">
        <v>699</v>
      </c>
      <c r="G4" s="48" t="s">
        <v>700</v>
      </c>
      <c r="H4" s="48" t="s">
        <v>701</v>
      </c>
    </row>
    <row r="5" spans="1:8" x14ac:dyDescent="0.3">
      <c r="A5" t="s">
        <v>702</v>
      </c>
      <c r="B5" s="29">
        <v>689690890</v>
      </c>
      <c r="C5" s="29">
        <v>744218137</v>
      </c>
      <c r="D5" s="29">
        <v>839105106</v>
      </c>
      <c r="E5" s="29">
        <v>819197300</v>
      </c>
      <c r="F5" s="29">
        <v>881948086</v>
      </c>
      <c r="G5" s="29">
        <v>929451219</v>
      </c>
      <c r="H5">
        <v>711900651</v>
      </c>
    </row>
    <row r="6" spans="1:8" x14ac:dyDescent="0.3">
      <c r="A6" t="s">
        <v>703</v>
      </c>
      <c r="B6" s="29">
        <v>-77443189</v>
      </c>
      <c r="C6" s="29">
        <v>0</v>
      </c>
      <c r="D6" s="29">
        <v>-52063919</v>
      </c>
      <c r="E6" s="29">
        <v>-68329638</v>
      </c>
      <c r="F6" s="29">
        <v>-55433340</v>
      </c>
      <c r="G6" s="29">
        <v>-177997905</v>
      </c>
      <c r="H6">
        <v>-32010099</v>
      </c>
    </row>
    <row r="7" spans="1:8" x14ac:dyDescent="0.3">
      <c r="A7" s="30" t="e">
        <f>Ingresos operacionales netos</f>
        <v>#NAME?</v>
      </c>
      <c r="B7" s="31">
        <v>612247701</v>
      </c>
      <c r="C7" s="31">
        <v>744218137</v>
      </c>
      <c r="D7" s="31">
        <v>787041187</v>
      </c>
      <c r="E7" s="31">
        <v>750867662</v>
      </c>
      <c r="F7" s="31">
        <v>826514746</v>
      </c>
      <c r="G7" s="31">
        <v>751453314</v>
      </c>
      <c r="H7">
        <v>679890552</v>
      </c>
    </row>
    <row r="8" spans="1:8" x14ac:dyDescent="0.3">
      <c r="A8" t="s">
        <v>704</v>
      </c>
      <c r="B8" s="29">
        <v>238535794</v>
      </c>
      <c r="C8" s="29">
        <v>343308791</v>
      </c>
      <c r="D8" s="29">
        <v>455639201</v>
      </c>
      <c r="E8" s="29">
        <v>379273594</v>
      </c>
      <c r="F8" s="29">
        <v>355470523</v>
      </c>
      <c r="G8" s="29">
        <v>348477606</v>
      </c>
      <c r="H8">
        <v>321917837</v>
      </c>
    </row>
    <row r="9" spans="1:8" x14ac:dyDescent="0.3">
      <c r="A9" s="30" t="e">
        <f>Utilidad bruta</f>
        <v>#NAME?</v>
      </c>
      <c r="B9" s="31">
        <v>373711907</v>
      </c>
      <c r="C9" s="31">
        <v>400909346</v>
      </c>
      <c r="D9" s="31">
        <v>331401986</v>
      </c>
      <c r="E9" s="31">
        <v>371594068</v>
      </c>
      <c r="F9" s="31">
        <v>471044223</v>
      </c>
      <c r="G9" s="31">
        <v>402975708</v>
      </c>
      <c r="H9">
        <v>357972713</v>
      </c>
    </row>
    <row r="10" spans="1:8" x14ac:dyDescent="0.3">
      <c r="A10" t="s">
        <v>705</v>
      </c>
      <c r="B10" s="29">
        <v>98722435</v>
      </c>
      <c r="C10" s="29">
        <v>105633472</v>
      </c>
      <c r="D10" s="29">
        <v>141811865</v>
      </c>
      <c r="E10" s="29">
        <v>114280887</v>
      </c>
      <c r="F10" s="29">
        <v>116808824</v>
      </c>
      <c r="G10" s="29">
        <v>112288693</v>
      </c>
      <c r="H10">
        <v>107932742</v>
      </c>
    </row>
    <row r="11" spans="1:8" x14ac:dyDescent="0.3">
      <c r="A11" t="s">
        <v>706</v>
      </c>
      <c r="B11" s="29">
        <v>73409852</v>
      </c>
      <c r="C11" s="29">
        <v>75509638</v>
      </c>
      <c r="D11" s="29">
        <v>72217138</v>
      </c>
      <c r="E11" s="29">
        <v>122384514</v>
      </c>
      <c r="F11" s="29">
        <v>120992711</v>
      </c>
      <c r="G11" s="29">
        <v>108908060</v>
      </c>
      <c r="H11">
        <v>102936374</v>
      </c>
    </row>
    <row r="12" spans="1:8" x14ac:dyDescent="0.3">
      <c r="A12" t="s">
        <v>707</v>
      </c>
      <c r="B12" s="29">
        <v>131600259</v>
      </c>
      <c r="C12" s="29">
        <v>173632204</v>
      </c>
      <c r="D12" s="29">
        <v>139615776</v>
      </c>
      <c r="E12" s="29">
        <v>130090415</v>
      </c>
      <c r="F12" s="29">
        <v>120233213</v>
      </c>
      <c r="G12" s="29">
        <v>146803460</v>
      </c>
      <c r="H12">
        <v>117761236</v>
      </c>
    </row>
    <row r="13" spans="1:8" x14ac:dyDescent="0.3">
      <c r="A13" s="30" t="e">
        <f>Utilidad operativa</f>
        <v>#NAME?</v>
      </c>
      <c r="B13" s="31">
        <v>69979361</v>
      </c>
      <c r="C13" s="31">
        <v>46134032</v>
      </c>
      <c r="D13" s="31">
        <v>-22242793</v>
      </c>
      <c r="E13" s="31">
        <v>4838252</v>
      </c>
      <c r="F13" s="31">
        <v>113009475</v>
      </c>
      <c r="G13" s="31">
        <v>34975495</v>
      </c>
      <c r="H13">
        <v>29342360</v>
      </c>
    </row>
    <row r="14" spans="1:8" x14ac:dyDescent="0.3">
      <c r="A14" t="s">
        <v>708</v>
      </c>
      <c r="B14" s="29">
        <v>597687</v>
      </c>
      <c r="C14" s="29">
        <v>13488976</v>
      </c>
      <c r="D14" s="29">
        <v>-10197660</v>
      </c>
      <c r="E14" s="29">
        <v>906545</v>
      </c>
      <c r="F14" s="29">
        <v>1366339</v>
      </c>
      <c r="G14" s="29">
        <v>3920249</v>
      </c>
      <c r="H14">
        <v>718311</v>
      </c>
    </row>
    <row r="15" spans="1:8" x14ac:dyDescent="0.3">
      <c r="A15" t="s">
        <v>709</v>
      </c>
      <c r="B15" s="29">
        <v>7091551</v>
      </c>
      <c r="C15" s="29">
        <v>5574093</v>
      </c>
      <c r="D15" s="29">
        <v>5497554</v>
      </c>
      <c r="E15" s="29">
        <v>5038594</v>
      </c>
      <c r="F15" s="29">
        <v>6000846</v>
      </c>
      <c r="G15" s="29">
        <v>5552094</v>
      </c>
      <c r="H15">
        <v>5353621</v>
      </c>
    </row>
    <row r="16" spans="1:8" x14ac:dyDescent="0.3">
      <c r="A16" s="32" t="e">
        <f>Utilidad neta</f>
        <v>#NAME?</v>
      </c>
      <c r="B16" s="33">
        <v>63485497</v>
      </c>
      <c r="C16" s="33">
        <v>54048915</v>
      </c>
      <c r="D16" s="33">
        <v>-37938007</v>
      </c>
      <c r="E16" s="33">
        <v>706203</v>
      </c>
      <c r="F16" s="33">
        <v>108374968</v>
      </c>
      <c r="G16" s="33">
        <v>33343650</v>
      </c>
      <c r="H16">
        <v>24707051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3"/>
  <sheetViews>
    <sheetView workbookViewId="0"/>
  </sheetViews>
  <sheetFormatPr defaultRowHeight="14.4" x14ac:dyDescent="0.3"/>
  <cols>
    <col min="1" max="1" width="12" customWidth="1"/>
    <col min="2" max="2" width="13" customWidth="1"/>
    <col min="3" max="3" width="17" customWidth="1"/>
    <col min="4" max="4" width="20" customWidth="1"/>
    <col min="5" max="5" width="26" customWidth="1"/>
    <col min="6" max="6" width="12" customWidth="1"/>
    <col min="7" max="7" width="14" customWidth="1"/>
  </cols>
  <sheetData>
    <row r="1" spans="1:7" ht="12.45" customHeight="1" x14ac:dyDescent="0.3">
      <c r="A1" s="37" t="s">
        <v>710</v>
      </c>
    </row>
    <row r="2" spans="1:7" x14ac:dyDescent="0.3">
      <c r="A2" s="28" t="s">
        <v>711</v>
      </c>
    </row>
    <row r="4" spans="1:7" x14ac:dyDescent="0.3">
      <c r="A4" s="48" t="s">
        <v>17</v>
      </c>
      <c r="B4" s="48" t="s">
        <v>27</v>
      </c>
      <c r="C4" s="48" t="s">
        <v>32</v>
      </c>
      <c r="D4" s="48" t="s">
        <v>712</v>
      </c>
      <c r="E4" s="48" t="s">
        <v>513</v>
      </c>
      <c r="F4" s="48" t="s">
        <v>38</v>
      </c>
      <c r="G4" s="48" t="s">
        <v>516</v>
      </c>
    </row>
    <row r="5" spans="1:7" x14ac:dyDescent="0.3">
      <c r="A5" t="s">
        <v>553</v>
      </c>
      <c r="B5" t="s">
        <v>652</v>
      </c>
      <c r="C5" t="s">
        <v>653</v>
      </c>
      <c r="D5" t="s">
        <v>713</v>
      </c>
      <c r="E5" t="s">
        <v>442</v>
      </c>
      <c r="F5" t="s">
        <v>496</v>
      </c>
      <c r="G5">
        <v>17616.150000000001</v>
      </c>
    </row>
    <row r="6" spans="1:7" x14ac:dyDescent="0.3">
      <c r="A6" t="s">
        <v>553</v>
      </c>
      <c r="B6" t="s">
        <v>652</v>
      </c>
      <c r="C6" t="s">
        <v>653</v>
      </c>
      <c r="D6" t="s">
        <v>714</v>
      </c>
      <c r="E6" t="s">
        <v>479</v>
      </c>
      <c r="F6" t="s">
        <v>496</v>
      </c>
      <c r="G6">
        <v>0</v>
      </c>
    </row>
    <row r="7" spans="1:7" x14ac:dyDescent="0.3">
      <c r="A7" t="s">
        <v>553</v>
      </c>
      <c r="B7" t="s">
        <v>652</v>
      </c>
      <c r="C7" t="s">
        <v>653</v>
      </c>
      <c r="D7" t="s">
        <v>715</v>
      </c>
      <c r="E7" t="s">
        <v>457</v>
      </c>
      <c r="F7" t="s">
        <v>496</v>
      </c>
      <c r="G7">
        <v>0</v>
      </c>
    </row>
    <row r="8" spans="1:7" x14ac:dyDescent="0.3">
      <c r="A8" t="s">
        <v>553</v>
      </c>
      <c r="B8" t="s">
        <v>652</v>
      </c>
      <c r="C8" t="s">
        <v>653</v>
      </c>
      <c r="D8" t="s">
        <v>564</v>
      </c>
      <c r="E8" t="s">
        <v>465</v>
      </c>
      <c r="F8" t="s">
        <v>496</v>
      </c>
      <c r="G8">
        <v>-46372.59</v>
      </c>
    </row>
    <row r="9" spans="1:7" x14ac:dyDescent="0.3">
      <c r="A9" t="s">
        <v>553</v>
      </c>
      <c r="B9" t="s">
        <v>652</v>
      </c>
      <c r="C9" t="s">
        <v>653</v>
      </c>
      <c r="D9" t="s">
        <v>53</v>
      </c>
      <c r="E9" t="s">
        <v>472</v>
      </c>
      <c r="F9" t="s">
        <v>496</v>
      </c>
      <c r="G9">
        <v>0</v>
      </c>
    </row>
    <row r="10" spans="1:7" x14ac:dyDescent="0.3">
      <c r="A10" t="s">
        <v>553</v>
      </c>
      <c r="B10" t="s">
        <v>652</v>
      </c>
      <c r="C10" t="s">
        <v>653</v>
      </c>
      <c r="D10" t="s">
        <v>716</v>
      </c>
      <c r="E10" t="s">
        <v>469</v>
      </c>
      <c r="F10" t="s">
        <v>496</v>
      </c>
      <c r="G10">
        <v>0</v>
      </c>
    </row>
    <row r="11" spans="1:7" x14ac:dyDescent="0.3">
      <c r="A11" t="s">
        <v>553</v>
      </c>
      <c r="B11" t="s">
        <v>652</v>
      </c>
      <c r="C11" t="s">
        <v>653</v>
      </c>
      <c r="D11" t="s">
        <v>717</v>
      </c>
      <c r="E11" t="s">
        <v>482</v>
      </c>
      <c r="F11" t="s">
        <v>496</v>
      </c>
      <c r="G11">
        <v>0</v>
      </c>
    </row>
    <row r="12" spans="1:7" x14ac:dyDescent="0.3">
      <c r="A12" t="s">
        <v>553</v>
      </c>
      <c r="B12" t="s">
        <v>652</v>
      </c>
      <c r="C12" t="s">
        <v>653</v>
      </c>
      <c r="D12" t="s">
        <v>718</v>
      </c>
      <c r="E12" t="s">
        <v>485</v>
      </c>
      <c r="F12" t="s">
        <v>496</v>
      </c>
      <c r="G12">
        <v>-28756.44</v>
      </c>
    </row>
    <row r="13" spans="1:7" x14ac:dyDescent="0.3">
      <c r="A13" t="s">
        <v>553</v>
      </c>
      <c r="B13" t="s">
        <v>656</v>
      </c>
      <c r="C13" t="s">
        <v>657</v>
      </c>
      <c r="D13" t="s">
        <v>713</v>
      </c>
      <c r="E13" t="s">
        <v>442</v>
      </c>
      <c r="F13" t="s">
        <v>496</v>
      </c>
      <c r="G13">
        <v>2988.97</v>
      </c>
    </row>
    <row r="14" spans="1:7" x14ac:dyDescent="0.3">
      <c r="A14" t="s">
        <v>553</v>
      </c>
      <c r="B14" t="s">
        <v>656</v>
      </c>
      <c r="C14" t="s">
        <v>657</v>
      </c>
      <c r="D14" t="s">
        <v>714</v>
      </c>
      <c r="E14" t="s">
        <v>479</v>
      </c>
      <c r="F14" t="s">
        <v>496</v>
      </c>
      <c r="G14">
        <v>0</v>
      </c>
    </row>
    <row r="15" spans="1:7" x14ac:dyDescent="0.3">
      <c r="A15" t="s">
        <v>553</v>
      </c>
      <c r="B15" t="s">
        <v>656</v>
      </c>
      <c r="C15" t="s">
        <v>657</v>
      </c>
      <c r="D15" t="s">
        <v>715</v>
      </c>
      <c r="E15" t="s">
        <v>457</v>
      </c>
      <c r="F15" t="s">
        <v>496</v>
      </c>
      <c r="G15">
        <v>0</v>
      </c>
    </row>
    <row r="16" spans="1:7" x14ac:dyDescent="0.3">
      <c r="A16" t="s">
        <v>553</v>
      </c>
      <c r="B16" t="s">
        <v>656</v>
      </c>
      <c r="C16" t="s">
        <v>657</v>
      </c>
      <c r="D16" t="s">
        <v>564</v>
      </c>
      <c r="E16" t="s">
        <v>465</v>
      </c>
      <c r="F16" t="s">
        <v>496</v>
      </c>
      <c r="G16">
        <v>0</v>
      </c>
    </row>
    <row r="17" spans="1:7" x14ac:dyDescent="0.3">
      <c r="A17" t="s">
        <v>553</v>
      </c>
      <c r="B17" t="s">
        <v>656</v>
      </c>
      <c r="C17" t="s">
        <v>657</v>
      </c>
      <c r="D17" t="s">
        <v>53</v>
      </c>
      <c r="E17" t="s">
        <v>472</v>
      </c>
      <c r="F17" t="s">
        <v>496</v>
      </c>
      <c r="G17">
        <v>0</v>
      </c>
    </row>
    <row r="18" spans="1:7" x14ac:dyDescent="0.3">
      <c r="A18" t="s">
        <v>553</v>
      </c>
      <c r="B18" t="s">
        <v>656</v>
      </c>
      <c r="C18" t="s">
        <v>657</v>
      </c>
      <c r="D18" t="s">
        <v>716</v>
      </c>
      <c r="E18" t="s">
        <v>469</v>
      </c>
      <c r="F18" t="s">
        <v>496</v>
      </c>
      <c r="G18">
        <v>0</v>
      </c>
    </row>
    <row r="19" spans="1:7" x14ac:dyDescent="0.3">
      <c r="A19" t="s">
        <v>553</v>
      </c>
      <c r="B19" t="s">
        <v>656</v>
      </c>
      <c r="C19" t="s">
        <v>657</v>
      </c>
      <c r="D19" t="s">
        <v>717</v>
      </c>
      <c r="E19" t="s">
        <v>482</v>
      </c>
      <c r="F19" t="s">
        <v>496</v>
      </c>
      <c r="G19">
        <v>-92.64</v>
      </c>
    </row>
    <row r="20" spans="1:7" x14ac:dyDescent="0.3">
      <c r="A20" t="s">
        <v>553</v>
      </c>
      <c r="B20" t="s">
        <v>656</v>
      </c>
      <c r="C20" t="s">
        <v>657</v>
      </c>
      <c r="D20" t="s">
        <v>718</v>
      </c>
      <c r="E20" t="s">
        <v>485</v>
      </c>
      <c r="F20" t="s">
        <v>496</v>
      </c>
      <c r="G20">
        <v>3081.61</v>
      </c>
    </row>
    <row r="21" spans="1:7" x14ac:dyDescent="0.3">
      <c r="A21" t="s">
        <v>553</v>
      </c>
      <c r="B21" t="s">
        <v>656</v>
      </c>
      <c r="C21" t="s">
        <v>657</v>
      </c>
      <c r="D21" t="s">
        <v>719</v>
      </c>
      <c r="E21" t="s">
        <v>493</v>
      </c>
      <c r="F21" t="s">
        <v>496</v>
      </c>
      <c r="G21">
        <v>22965.15</v>
      </c>
    </row>
    <row r="22" spans="1:7" x14ac:dyDescent="0.3">
      <c r="A22" t="s">
        <v>553</v>
      </c>
      <c r="B22" t="s">
        <v>656</v>
      </c>
      <c r="C22" t="s">
        <v>657</v>
      </c>
      <c r="D22" t="s">
        <v>720</v>
      </c>
      <c r="E22" t="s">
        <v>500</v>
      </c>
      <c r="F22" t="s">
        <v>496</v>
      </c>
      <c r="G22">
        <v>6982.98</v>
      </c>
    </row>
    <row r="23" spans="1:7" x14ac:dyDescent="0.3">
      <c r="A23" t="s">
        <v>553</v>
      </c>
      <c r="B23" t="s">
        <v>656</v>
      </c>
      <c r="C23" t="s">
        <v>657</v>
      </c>
      <c r="D23" t="s">
        <v>721</v>
      </c>
      <c r="E23" t="s">
        <v>502</v>
      </c>
      <c r="F23" t="s">
        <v>496</v>
      </c>
      <c r="G23">
        <v>15982.17</v>
      </c>
    </row>
    <row r="24" spans="1:7" x14ac:dyDescent="0.3">
      <c r="A24" t="s">
        <v>553</v>
      </c>
      <c r="B24" t="s">
        <v>658</v>
      </c>
      <c r="C24" t="s">
        <v>659</v>
      </c>
      <c r="D24" t="s">
        <v>713</v>
      </c>
      <c r="E24" t="s">
        <v>442</v>
      </c>
      <c r="F24" t="s">
        <v>496</v>
      </c>
      <c r="G24">
        <v>0</v>
      </c>
    </row>
    <row r="25" spans="1:7" x14ac:dyDescent="0.3">
      <c r="A25" t="s">
        <v>553</v>
      </c>
      <c r="B25" t="s">
        <v>658</v>
      </c>
      <c r="C25" t="s">
        <v>659</v>
      </c>
      <c r="D25" t="s">
        <v>714</v>
      </c>
      <c r="E25" t="s">
        <v>479</v>
      </c>
      <c r="F25" t="s">
        <v>496</v>
      </c>
      <c r="G25">
        <v>0</v>
      </c>
    </row>
    <row r="26" spans="1:7" x14ac:dyDescent="0.3">
      <c r="A26" t="s">
        <v>553</v>
      </c>
      <c r="B26" t="s">
        <v>658</v>
      </c>
      <c r="C26" t="s">
        <v>659</v>
      </c>
      <c r="D26" t="s">
        <v>715</v>
      </c>
      <c r="E26" t="s">
        <v>457</v>
      </c>
      <c r="F26" t="s">
        <v>496</v>
      </c>
      <c r="G26">
        <v>0</v>
      </c>
    </row>
    <row r="27" spans="1:7" x14ac:dyDescent="0.3">
      <c r="A27" t="s">
        <v>553</v>
      </c>
      <c r="B27" t="s">
        <v>658</v>
      </c>
      <c r="C27" t="s">
        <v>659</v>
      </c>
      <c r="D27" t="s">
        <v>564</v>
      </c>
      <c r="E27" t="s">
        <v>465</v>
      </c>
      <c r="F27" t="s">
        <v>496</v>
      </c>
      <c r="G27">
        <v>-17320.22</v>
      </c>
    </row>
    <row r="28" spans="1:7" x14ac:dyDescent="0.3">
      <c r="A28" t="s">
        <v>553</v>
      </c>
      <c r="B28" t="s">
        <v>658</v>
      </c>
      <c r="C28" t="s">
        <v>659</v>
      </c>
      <c r="D28" t="s">
        <v>53</v>
      </c>
      <c r="E28" t="s">
        <v>472</v>
      </c>
      <c r="F28" t="s">
        <v>496</v>
      </c>
      <c r="G28">
        <v>0</v>
      </c>
    </row>
    <row r="29" spans="1:7" x14ac:dyDescent="0.3">
      <c r="A29" t="s">
        <v>553</v>
      </c>
      <c r="B29" t="s">
        <v>658</v>
      </c>
      <c r="C29" t="s">
        <v>659</v>
      </c>
      <c r="D29" t="s">
        <v>716</v>
      </c>
      <c r="E29" t="s">
        <v>469</v>
      </c>
      <c r="F29" t="s">
        <v>496</v>
      </c>
      <c r="G29">
        <v>0</v>
      </c>
    </row>
    <row r="30" spans="1:7" x14ac:dyDescent="0.3">
      <c r="A30" t="s">
        <v>553</v>
      </c>
      <c r="B30" t="s">
        <v>658</v>
      </c>
      <c r="C30" t="s">
        <v>659</v>
      </c>
      <c r="D30" t="s">
        <v>717</v>
      </c>
      <c r="E30" t="s">
        <v>482</v>
      </c>
      <c r="F30" t="s">
        <v>496</v>
      </c>
      <c r="G30">
        <v>267.92</v>
      </c>
    </row>
    <row r="31" spans="1:7" x14ac:dyDescent="0.3">
      <c r="A31" t="s">
        <v>553</v>
      </c>
      <c r="B31" t="s">
        <v>658</v>
      </c>
      <c r="C31" t="s">
        <v>659</v>
      </c>
      <c r="D31" t="s">
        <v>718</v>
      </c>
      <c r="E31" t="s">
        <v>485</v>
      </c>
      <c r="F31" t="s">
        <v>496</v>
      </c>
      <c r="G31">
        <v>-17052.3</v>
      </c>
    </row>
    <row r="32" spans="1:7" x14ac:dyDescent="0.3">
      <c r="A32" t="s">
        <v>553</v>
      </c>
      <c r="B32" t="s">
        <v>522</v>
      </c>
      <c r="C32" t="s">
        <v>523</v>
      </c>
      <c r="D32" t="s">
        <v>713</v>
      </c>
      <c r="E32" t="s">
        <v>442</v>
      </c>
      <c r="F32" t="s">
        <v>496</v>
      </c>
      <c r="G32">
        <v>207564.28</v>
      </c>
    </row>
    <row r="33" spans="1:7" x14ac:dyDescent="0.3">
      <c r="A33" t="s">
        <v>553</v>
      </c>
      <c r="B33" t="s">
        <v>522</v>
      </c>
      <c r="C33" t="s">
        <v>523</v>
      </c>
      <c r="D33" t="s">
        <v>714</v>
      </c>
      <c r="E33" t="s">
        <v>479</v>
      </c>
      <c r="F33" t="s">
        <v>496</v>
      </c>
      <c r="G33">
        <v>250.6</v>
      </c>
    </row>
    <row r="34" spans="1:7" x14ac:dyDescent="0.3">
      <c r="A34" t="s">
        <v>553</v>
      </c>
      <c r="B34" t="s">
        <v>522</v>
      </c>
      <c r="C34" t="s">
        <v>523</v>
      </c>
      <c r="D34" t="s">
        <v>715</v>
      </c>
      <c r="E34" t="s">
        <v>457</v>
      </c>
      <c r="F34" t="s">
        <v>496</v>
      </c>
      <c r="G34">
        <v>104843.58</v>
      </c>
    </row>
    <row r="35" spans="1:7" x14ac:dyDescent="0.3">
      <c r="A35" t="s">
        <v>553</v>
      </c>
      <c r="B35" t="s">
        <v>522</v>
      </c>
      <c r="C35" t="s">
        <v>523</v>
      </c>
      <c r="D35" t="s">
        <v>564</v>
      </c>
      <c r="E35" t="s">
        <v>465</v>
      </c>
      <c r="F35" t="s">
        <v>496</v>
      </c>
      <c r="G35">
        <v>31590.959999999999</v>
      </c>
    </row>
    <row r="36" spans="1:7" x14ac:dyDescent="0.3">
      <c r="A36" t="s">
        <v>553</v>
      </c>
      <c r="B36" t="s">
        <v>522</v>
      </c>
      <c r="C36" t="s">
        <v>523</v>
      </c>
      <c r="D36" t="s">
        <v>53</v>
      </c>
      <c r="E36" t="s">
        <v>472</v>
      </c>
      <c r="F36" t="s">
        <v>496</v>
      </c>
      <c r="G36">
        <v>35961.230000000003</v>
      </c>
    </row>
    <row r="37" spans="1:7" x14ac:dyDescent="0.3">
      <c r="A37" t="s">
        <v>553</v>
      </c>
      <c r="B37" t="s">
        <v>522</v>
      </c>
      <c r="C37" t="s">
        <v>523</v>
      </c>
      <c r="D37" t="s">
        <v>716</v>
      </c>
      <c r="E37" t="s">
        <v>469</v>
      </c>
      <c r="F37" t="s">
        <v>496</v>
      </c>
      <c r="G37">
        <v>33831.07</v>
      </c>
    </row>
    <row r="38" spans="1:7" x14ac:dyDescent="0.3">
      <c r="A38" t="s">
        <v>553</v>
      </c>
      <c r="B38" t="s">
        <v>522</v>
      </c>
      <c r="C38" t="s">
        <v>523</v>
      </c>
      <c r="D38" t="s">
        <v>717</v>
      </c>
      <c r="E38" t="s">
        <v>482</v>
      </c>
      <c r="F38" t="s">
        <v>496</v>
      </c>
      <c r="G38">
        <v>1392.83</v>
      </c>
    </row>
    <row r="39" spans="1:7" x14ac:dyDescent="0.3">
      <c r="A39" t="s">
        <v>553</v>
      </c>
      <c r="B39" t="s">
        <v>522</v>
      </c>
      <c r="C39" t="s">
        <v>523</v>
      </c>
      <c r="D39" t="s">
        <v>718</v>
      </c>
      <c r="E39" t="s">
        <v>485</v>
      </c>
      <c r="F39" t="s">
        <v>496</v>
      </c>
      <c r="G39">
        <v>195.22</v>
      </c>
    </row>
    <row r="40" spans="1:7" x14ac:dyDescent="0.3">
      <c r="A40" t="s">
        <v>553</v>
      </c>
      <c r="B40" t="s">
        <v>660</v>
      </c>
      <c r="C40" t="s">
        <v>661</v>
      </c>
      <c r="D40" t="s">
        <v>713</v>
      </c>
      <c r="E40" t="s">
        <v>442</v>
      </c>
      <c r="F40" t="s">
        <v>496</v>
      </c>
      <c r="G40">
        <v>228169.4</v>
      </c>
    </row>
    <row r="41" spans="1:7" x14ac:dyDescent="0.3">
      <c r="A41" t="s">
        <v>553</v>
      </c>
      <c r="B41" t="s">
        <v>660</v>
      </c>
      <c r="C41" t="s">
        <v>661</v>
      </c>
      <c r="D41" t="s">
        <v>714</v>
      </c>
      <c r="E41" t="s">
        <v>479</v>
      </c>
      <c r="F41" t="s">
        <v>496</v>
      </c>
      <c r="G41">
        <v>250.6</v>
      </c>
    </row>
    <row r="42" spans="1:7" x14ac:dyDescent="0.3">
      <c r="A42" t="s">
        <v>553</v>
      </c>
      <c r="B42" t="s">
        <v>660</v>
      </c>
      <c r="C42" t="s">
        <v>661</v>
      </c>
      <c r="D42" t="s">
        <v>715</v>
      </c>
      <c r="E42" t="s">
        <v>457</v>
      </c>
      <c r="F42" t="s">
        <v>496</v>
      </c>
      <c r="G42">
        <v>104843.58</v>
      </c>
    </row>
    <row r="43" spans="1:7" x14ac:dyDescent="0.3">
      <c r="A43" t="s">
        <v>553</v>
      </c>
      <c r="B43" t="s">
        <v>660</v>
      </c>
      <c r="C43" t="s">
        <v>661</v>
      </c>
      <c r="D43" t="s">
        <v>564</v>
      </c>
      <c r="E43" t="s">
        <v>465</v>
      </c>
      <c r="F43" t="s">
        <v>496</v>
      </c>
      <c r="G43">
        <v>-32101.85</v>
      </c>
    </row>
    <row r="44" spans="1:7" x14ac:dyDescent="0.3">
      <c r="A44" t="s">
        <v>553</v>
      </c>
      <c r="B44" t="s">
        <v>660</v>
      </c>
      <c r="C44" t="s">
        <v>661</v>
      </c>
      <c r="D44" t="s">
        <v>53</v>
      </c>
      <c r="E44" t="s">
        <v>472</v>
      </c>
      <c r="F44" t="s">
        <v>496</v>
      </c>
      <c r="G44">
        <v>35961.230000000003</v>
      </c>
    </row>
    <row r="45" spans="1:7" x14ac:dyDescent="0.3">
      <c r="A45" t="s">
        <v>553</v>
      </c>
      <c r="B45" t="s">
        <v>660</v>
      </c>
      <c r="C45" t="s">
        <v>661</v>
      </c>
      <c r="D45" t="s">
        <v>716</v>
      </c>
      <c r="E45" t="s">
        <v>469</v>
      </c>
      <c r="F45" t="s">
        <v>496</v>
      </c>
      <c r="G45">
        <v>33831.07</v>
      </c>
    </row>
    <row r="46" spans="1:7" x14ac:dyDescent="0.3">
      <c r="A46" t="s">
        <v>553</v>
      </c>
      <c r="B46" t="s">
        <v>660</v>
      </c>
      <c r="C46" t="s">
        <v>661</v>
      </c>
      <c r="D46" t="s">
        <v>717</v>
      </c>
      <c r="E46" t="s">
        <v>482</v>
      </c>
      <c r="F46" t="s">
        <v>496</v>
      </c>
      <c r="G46">
        <v>1568.11</v>
      </c>
    </row>
    <row r="47" spans="1:7" x14ac:dyDescent="0.3">
      <c r="A47" t="s">
        <v>553</v>
      </c>
      <c r="B47" t="s">
        <v>660</v>
      </c>
      <c r="C47" t="s">
        <v>661</v>
      </c>
      <c r="D47" t="s">
        <v>718</v>
      </c>
      <c r="E47" t="s">
        <v>485</v>
      </c>
      <c r="F47" t="s">
        <v>496</v>
      </c>
      <c r="G47">
        <v>-42531.91</v>
      </c>
    </row>
    <row r="48" spans="1:7" x14ac:dyDescent="0.3">
      <c r="A48" t="s">
        <v>554</v>
      </c>
      <c r="B48" t="s">
        <v>652</v>
      </c>
      <c r="C48" t="s">
        <v>653</v>
      </c>
      <c r="D48" t="s">
        <v>713</v>
      </c>
      <c r="E48" t="s">
        <v>442</v>
      </c>
      <c r="F48" t="s">
        <v>496</v>
      </c>
      <c r="G48">
        <v>9716.4500000000007</v>
      </c>
    </row>
    <row r="49" spans="1:7" x14ac:dyDescent="0.3">
      <c r="A49" t="s">
        <v>554</v>
      </c>
      <c r="B49" t="s">
        <v>652</v>
      </c>
      <c r="C49" t="s">
        <v>653</v>
      </c>
      <c r="D49" t="s">
        <v>714</v>
      </c>
      <c r="E49" t="s">
        <v>479</v>
      </c>
      <c r="F49" t="s">
        <v>496</v>
      </c>
      <c r="G49">
        <v>0</v>
      </c>
    </row>
    <row r="50" spans="1:7" x14ac:dyDescent="0.3">
      <c r="A50" t="s">
        <v>554</v>
      </c>
      <c r="B50" t="s">
        <v>652</v>
      </c>
      <c r="C50" t="s">
        <v>653</v>
      </c>
      <c r="D50" t="s">
        <v>715</v>
      </c>
      <c r="E50" t="s">
        <v>457</v>
      </c>
      <c r="F50" t="s">
        <v>496</v>
      </c>
      <c r="G50">
        <v>0</v>
      </c>
    </row>
    <row r="51" spans="1:7" x14ac:dyDescent="0.3">
      <c r="A51" t="s">
        <v>554</v>
      </c>
      <c r="B51" t="s">
        <v>652</v>
      </c>
      <c r="C51" t="s">
        <v>653</v>
      </c>
      <c r="D51" t="s">
        <v>564</v>
      </c>
      <c r="E51" t="s">
        <v>465</v>
      </c>
      <c r="F51" t="s">
        <v>496</v>
      </c>
      <c r="G51">
        <v>21616.02</v>
      </c>
    </row>
    <row r="52" spans="1:7" x14ac:dyDescent="0.3">
      <c r="A52" t="s">
        <v>554</v>
      </c>
      <c r="B52" t="s">
        <v>652</v>
      </c>
      <c r="C52" t="s">
        <v>653</v>
      </c>
      <c r="D52" t="s">
        <v>53</v>
      </c>
      <c r="E52" t="s">
        <v>472</v>
      </c>
      <c r="F52" t="s">
        <v>496</v>
      </c>
      <c r="G52">
        <v>4000</v>
      </c>
    </row>
    <row r="53" spans="1:7" x14ac:dyDescent="0.3">
      <c r="A53" t="s">
        <v>554</v>
      </c>
      <c r="B53" t="s">
        <v>652</v>
      </c>
      <c r="C53" t="s">
        <v>653</v>
      </c>
      <c r="D53" t="s">
        <v>716</v>
      </c>
      <c r="E53" t="s">
        <v>469</v>
      </c>
      <c r="F53" t="s">
        <v>496</v>
      </c>
      <c r="G53">
        <v>7500</v>
      </c>
    </row>
    <row r="54" spans="1:7" x14ac:dyDescent="0.3">
      <c r="A54" t="s">
        <v>554</v>
      </c>
      <c r="B54" t="s">
        <v>652</v>
      </c>
      <c r="C54" t="s">
        <v>653</v>
      </c>
      <c r="D54" t="s">
        <v>717</v>
      </c>
      <c r="E54" t="s">
        <v>482</v>
      </c>
      <c r="F54" t="s">
        <v>496</v>
      </c>
      <c r="G54">
        <v>0</v>
      </c>
    </row>
    <row r="55" spans="1:7" x14ac:dyDescent="0.3">
      <c r="A55" t="s">
        <v>554</v>
      </c>
      <c r="B55" t="s">
        <v>652</v>
      </c>
      <c r="C55" t="s">
        <v>653</v>
      </c>
      <c r="D55" t="s">
        <v>718</v>
      </c>
      <c r="E55" t="s">
        <v>485</v>
      </c>
      <c r="F55" t="s">
        <v>496</v>
      </c>
      <c r="G55">
        <v>-23399.57</v>
      </c>
    </row>
    <row r="56" spans="1:7" x14ac:dyDescent="0.3">
      <c r="A56" t="s">
        <v>554</v>
      </c>
      <c r="B56" t="s">
        <v>656</v>
      </c>
      <c r="C56" t="s">
        <v>657</v>
      </c>
      <c r="D56" t="s">
        <v>713</v>
      </c>
      <c r="E56" t="s">
        <v>442</v>
      </c>
      <c r="F56" t="s">
        <v>496</v>
      </c>
      <c r="G56">
        <v>819.21</v>
      </c>
    </row>
    <row r="57" spans="1:7" x14ac:dyDescent="0.3">
      <c r="A57" t="s">
        <v>554</v>
      </c>
      <c r="B57" t="s">
        <v>656</v>
      </c>
      <c r="C57" t="s">
        <v>657</v>
      </c>
      <c r="D57" t="s">
        <v>714</v>
      </c>
      <c r="E57" t="s">
        <v>479</v>
      </c>
      <c r="F57" t="s">
        <v>496</v>
      </c>
      <c r="G57">
        <v>0</v>
      </c>
    </row>
    <row r="58" spans="1:7" x14ac:dyDescent="0.3">
      <c r="A58" t="s">
        <v>554</v>
      </c>
      <c r="B58" t="s">
        <v>656</v>
      </c>
      <c r="C58" t="s">
        <v>657</v>
      </c>
      <c r="D58" t="s">
        <v>715</v>
      </c>
      <c r="E58" t="s">
        <v>457</v>
      </c>
      <c r="F58" t="s">
        <v>496</v>
      </c>
      <c r="G58">
        <v>4478.38</v>
      </c>
    </row>
    <row r="59" spans="1:7" x14ac:dyDescent="0.3">
      <c r="A59" t="s">
        <v>554</v>
      </c>
      <c r="B59" t="s">
        <v>656</v>
      </c>
      <c r="C59" t="s">
        <v>657</v>
      </c>
      <c r="D59" t="s">
        <v>564</v>
      </c>
      <c r="E59" t="s">
        <v>465</v>
      </c>
      <c r="F59" t="s">
        <v>496</v>
      </c>
      <c r="G59">
        <v>0</v>
      </c>
    </row>
    <row r="60" spans="1:7" x14ac:dyDescent="0.3">
      <c r="A60" t="s">
        <v>554</v>
      </c>
      <c r="B60" t="s">
        <v>656</v>
      </c>
      <c r="C60" t="s">
        <v>657</v>
      </c>
      <c r="D60" t="s">
        <v>53</v>
      </c>
      <c r="E60" t="s">
        <v>472</v>
      </c>
      <c r="F60" t="s">
        <v>496</v>
      </c>
      <c r="G60">
        <v>0</v>
      </c>
    </row>
    <row r="61" spans="1:7" x14ac:dyDescent="0.3">
      <c r="A61" t="s">
        <v>554</v>
      </c>
      <c r="B61" t="s">
        <v>656</v>
      </c>
      <c r="C61" t="s">
        <v>657</v>
      </c>
      <c r="D61" t="s">
        <v>716</v>
      </c>
      <c r="E61" t="s">
        <v>469</v>
      </c>
      <c r="F61" t="s">
        <v>496</v>
      </c>
      <c r="G61">
        <v>0</v>
      </c>
    </row>
    <row r="62" spans="1:7" x14ac:dyDescent="0.3">
      <c r="A62" t="s">
        <v>554</v>
      </c>
      <c r="B62" t="s">
        <v>656</v>
      </c>
      <c r="C62" t="s">
        <v>657</v>
      </c>
      <c r="D62" t="s">
        <v>717</v>
      </c>
      <c r="E62" t="s">
        <v>482</v>
      </c>
      <c r="F62" t="s">
        <v>496</v>
      </c>
      <c r="G62">
        <v>32.31</v>
      </c>
    </row>
    <row r="63" spans="1:7" x14ac:dyDescent="0.3">
      <c r="A63" t="s">
        <v>554</v>
      </c>
      <c r="B63" t="s">
        <v>656</v>
      </c>
      <c r="C63" t="s">
        <v>657</v>
      </c>
      <c r="D63" t="s">
        <v>718</v>
      </c>
      <c r="E63" t="s">
        <v>485</v>
      </c>
      <c r="F63" t="s">
        <v>496</v>
      </c>
      <c r="G63">
        <v>-3691.48</v>
      </c>
    </row>
    <row r="64" spans="1:7" x14ac:dyDescent="0.3">
      <c r="A64" t="s">
        <v>554</v>
      </c>
      <c r="B64" t="s">
        <v>656</v>
      </c>
      <c r="C64" t="s">
        <v>657</v>
      </c>
      <c r="D64" t="s">
        <v>719</v>
      </c>
      <c r="E64" t="s">
        <v>493</v>
      </c>
      <c r="F64" t="s">
        <v>496</v>
      </c>
      <c r="G64">
        <v>0</v>
      </c>
    </row>
    <row r="65" spans="1:7" x14ac:dyDescent="0.3">
      <c r="A65" t="s">
        <v>554</v>
      </c>
      <c r="B65" t="s">
        <v>656</v>
      </c>
      <c r="C65" t="s">
        <v>657</v>
      </c>
      <c r="D65" t="s">
        <v>720</v>
      </c>
      <c r="E65" t="s">
        <v>500</v>
      </c>
      <c r="F65" t="s">
        <v>496</v>
      </c>
      <c r="G65">
        <v>6069.63</v>
      </c>
    </row>
    <row r="66" spans="1:7" x14ac:dyDescent="0.3">
      <c r="A66" t="s">
        <v>554</v>
      </c>
      <c r="B66" t="s">
        <v>656</v>
      </c>
      <c r="C66" t="s">
        <v>657</v>
      </c>
      <c r="D66" t="s">
        <v>721</v>
      </c>
      <c r="E66" t="s">
        <v>502</v>
      </c>
      <c r="F66" t="s">
        <v>496</v>
      </c>
      <c r="G66">
        <v>-6069.63</v>
      </c>
    </row>
    <row r="67" spans="1:7" x14ac:dyDescent="0.3">
      <c r="A67" t="s">
        <v>554</v>
      </c>
      <c r="B67" t="s">
        <v>658</v>
      </c>
      <c r="C67" t="s">
        <v>659</v>
      </c>
      <c r="D67" t="s">
        <v>713</v>
      </c>
      <c r="E67" t="s">
        <v>442</v>
      </c>
      <c r="F67" t="s">
        <v>496</v>
      </c>
      <c r="G67">
        <v>0</v>
      </c>
    </row>
    <row r="68" spans="1:7" x14ac:dyDescent="0.3">
      <c r="A68" t="s">
        <v>554</v>
      </c>
      <c r="B68" t="s">
        <v>658</v>
      </c>
      <c r="C68" t="s">
        <v>659</v>
      </c>
      <c r="D68" t="s">
        <v>714</v>
      </c>
      <c r="E68" t="s">
        <v>479</v>
      </c>
      <c r="F68" t="s">
        <v>496</v>
      </c>
      <c r="G68">
        <v>0</v>
      </c>
    </row>
    <row r="69" spans="1:7" x14ac:dyDescent="0.3">
      <c r="A69" t="s">
        <v>554</v>
      </c>
      <c r="B69" t="s">
        <v>658</v>
      </c>
      <c r="C69" t="s">
        <v>659</v>
      </c>
      <c r="D69" t="s">
        <v>715</v>
      </c>
      <c r="E69" t="s">
        <v>457</v>
      </c>
      <c r="F69" t="s">
        <v>496</v>
      </c>
      <c r="G69">
        <v>0</v>
      </c>
    </row>
    <row r="70" spans="1:7" x14ac:dyDescent="0.3">
      <c r="A70" t="s">
        <v>554</v>
      </c>
      <c r="B70" t="s">
        <v>658</v>
      </c>
      <c r="C70" t="s">
        <v>659</v>
      </c>
      <c r="D70" t="s">
        <v>564</v>
      </c>
      <c r="E70" t="s">
        <v>465</v>
      </c>
      <c r="F70" t="s">
        <v>496</v>
      </c>
      <c r="G70">
        <v>57.8</v>
      </c>
    </row>
    <row r="71" spans="1:7" x14ac:dyDescent="0.3">
      <c r="A71" t="s">
        <v>554</v>
      </c>
      <c r="B71" t="s">
        <v>658</v>
      </c>
      <c r="C71" t="s">
        <v>659</v>
      </c>
      <c r="D71" t="s">
        <v>53</v>
      </c>
      <c r="E71" t="s">
        <v>472</v>
      </c>
      <c r="F71" t="s">
        <v>496</v>
      </c>
      <c r="G71">
        <v>1300</v>
      </c>
    </row>
    <row r="72" spans="1:7" x14ac:dyDescent="0.3">
      <c r="A72" t="s">
        <v>554</v>
      </c>
      <c r="B72" t="s">
        <v>658</v>
      </c>
      <c r="C72" t="s">
        <v>659</v>
      </c>
      <c r="D72" t="s">
        <v>716</v>
      </c>
      <c r="E72" t="s">
        <v>469</v>
      </c>
      <c r="F72" t="s">
        <v>496</v>
      </c>
      <c r="G72">
        <v>0</v>
      </c>
    </row>
    <row r="73" spans="1:7" x14ac:dyDescent="0.3">
      <c r="A73" t="s">
        <v>554</v>
      </c>
      <c r="B73" t="s">
        <v>658</v>
      </c>
      <c r="C73" t="s">
        <v>659</v>
      </c>
      <c r="D73" t="s">
        <v>717</v>
      </c>
      <c r="E73" t="s">
        <v>482</v>
      </c>
      <c r="F73" t="s">
        <v>496</v>
      </c>
      <c r="G73">
        <v>36</v>
      </c>
    </row>
    <row r="74" spans="1:7" x14ac:dyDescent="0.3">
      <c r="A74" t="s">
        <v>554</v>
      </c>
      <c r="B74" t="s">
        <v>658</v>
      </c>
      <c r="C74" t="s">
        <v>659</v>
      </c>
      <c r="D74" t="s">
        <v>718</v>
      </c>
      <c r="E74" t="s">
        <v>485</v>
      </c>
      <c r="F74" t="s">
        <v>496</v>
      </c>
      <c r="G74">
        <v>-1393.8</v>
      </c>
    </row>
    <row r="75" spans="1:7" x14ac:dyDescent="0.3">
      <c r="A75" t="s">
        <v>554</v>
      </c>
      <c r="B75" t="s">
        <v>522</v>
      </c>
      <c r="C75" t="s">
        <v>523</v>
      </c>
      <c r="D75" t="s">
        <v>713</v>
      </c>
      <c r="E75" t="s">
        <v>442</v>
      </c>
      <c r="F75" t="s">
        <v>496</v>
      </c>
      <c r="G75">
        <v>222539.06</v>
      </c>
    </row>
    <row r="76" spans="1:7" x14ac:dyDescent="0.3">
      <c r="A76" t="s">
        <v>554</v>
      </c>
      <c r="B76" t="s">
        <v>522</v>
      </c>
      <c r="C76" t="s">
        <v>523</v>
      </c>
      <c r="D76" t="s">
        <v>714</v>
      </c>
      <c r="E76" t="s">
        <v>479</v>
      </c>
      <c r="F76" t="s">
        <v>496</v>
      </c>
      <c r="G76">
        <v>367.89</v>
      </c>
    </row>
    <row r="77" spans="1:7" x14ac:dyDescent="0.3">
      <c r="A77" t="s">
        <v>554</v>
      </c>
      <c r="B77" t="s">
        <v>522</v>
      </c>
      <c r="C77" t="s">
        <v>523</v>
      </c>
      <c r="D77" t="s">
        <v>715</v>
      </c>
      <c r="E77" t="s">
        <v>457</v>
      </c>
      <c r="F77" t="s">
        <v>496</v>
      </c>
      <c r="G77">
        <v>95710.42</v>
      </c>
    </row>
    <row r="78" spans="1:7" x14ac:dyDescent="0.3">
      <c r="A78" t="s">
        <v>554</v>
      </c>
      <c r="B78" t="s">
        <v>522</v>
      </c>
      <c r="C78" t="s">
        <v>523</v>
      </c>
      <c r="D78" t="s">
        <v>564</v>
      </c>
      <c r="E78" t="s">
        <v>465</v>
      </c>
      <c r="F78" t="s">
        <v>496</v>
      </c>
      <c r="G78">
        <v>31450.77</v>
      </c>
    </row>
    <row r="79" spans="1:7" x14ac:dyDescent="0.3">
      <c r="A79" t="s">
        <v>554</v>
      </c>
      <c r="B79" t="s">
        <v>522</v>
      </c>
      <c r="C79" t="s">
        <v>523</v>
      </c>
      <c r="D79" t="s">
        <v>53</v>
      </c>
      <c r="E79" t="s">
        <v>472</v>
      </c>
      <c r="F79" t="s">
        <v>496</v>
      </c>
      <c r="G79">
        <v>32372.79</v>
      </c>
    </row>
    <row r="80" spans="1:7" x14ac:dyDescent="0.3">
      <c r="A80" t="s">
        <v>554</v>
      </c>
      <c r="B80" t="s">
        <v>522</v>
      </c>
      <c r="C80" t="s">
        <v>523</v>
      </c>
      <c r="D80" t="s">
        <v>716</v>
      </c>
      <c r="E80" t="s">
        <v>469</v>
      </c>
      <c r="F80" t="s">
        <v>496</v>
      </c>
      <c r="G80">
        <v>32577.279999999999</v>
      </c>
    </row>
    <row r="81" spans="1:7" x14ac:dyDescent="0.3">
      <c r="A81" t="s">
        <v>554</v>
      </c>
      <c r="B81" t="s">
        <v>522</v>
      </c>
      <c r="C81" t="s">
        <v>523</v>
      </c>
      <c r="D81" t="s">
        <v>717</v>
      </c>
      <c r="E81" t="s">
        <v>482</v>
      </c>
      <c r="F81" t="s">
        <v>496</v>
      </c>
      <c r="G81">
        <v>1615.73</v>
      </c>
    </row>
    <row r="82" spans="1:7" x14ac:dyDescent="0.3">
      <c r="A82" t="s">
        <v>554</v>
      </c>
      <c r="B82" t="s">
        <v>522</v>
      </c>
      <c r="C82" t="s">
        <v>523</v>
      </c>
      <c r="D82" t="s">
        <v>718</v>
      </c>
      <c r="E82" t="s">
        <v>485</v>
      </c>
      <c r="F82" t="s">
        <v>496</v>
      </c>
      <c r="G82">
        <v>29179.96</v>
      </c>
    </row>
    <row r="83" spans="1:7" x14ac:dyDescent="0.3">
      <c r="A83" t="s">
        <v>554</v>
      </c>
      <c r="B83" t="s">
        <v>660</v>
      </c>
      <c r="C83" t="s">
        <v>661</v>
      </c>
      <c r="D83" t="s">
        <v>713</v>
      </c>
      <c r="E83" t="s">
        <v>442</v>
      </c>
      <c r="F83" t="s">
        <v>496</v>
      </c>
      <c r="G83">
        <v>233074.72</v>
      </c>
    </row>
    <row r="84" spans="1:7" x14ac:dyDescent="0.3">
      <c r="A84" t="s">
        <v>554</v>
      </c>
      <c r="B84" t="s">
        <v>660</v>
      </c>
      <c r="C84" t="s">
        <v>661</v>
      </c>
      <c r="D84" t="s">
        <v>714</v>
      </c>
      <c r="E84" t="s">
        <v>479</v>
      </c>
      <c r="F84" t="s">
        <v>496</v>
      </c>
      <c r="G84">
        <v>367.89</v>
      </c>
    </row>
    <row r="85" spans="1:7" x14ac:dyDescent="0.3">
      <c r="A85" t="s">
        <v>554</v>
      </c>
      <c r="B85" t="s">
        <v>660</v>
      </c>
      <c r="C85" t="s">
        <v>661</v>
      </c>
      <c r="D85" t="s">
        <v>715</v>
      </c>
      <c r="E85" t="s">
        <v>457</v>
      </c>
      <c r="F85" t="s">
        <v>496</v>
      </c>
      <c r="G85">
        <v>100188.8</v>
      </c>
    </row>
    <row r="86" spans="1:7" x14ac:dyDescent="0.3">
      <c r="A86" t="s">
        <v>554</v>
      </c>
      <c r="B86" t="s">
        <v>660</v>
      </c>
      <c r="C86" t="s">
        <v>661</v>
      </c>
      <c r="D86" t="s">
        <v>564</v>
      </c>
      <c r="E86" t="s">
        <v>465</v>
      </c>
      <c r="F86" t="s">
        <v>496</v>
      </c>
      <c r="G86">
        <v>53124.59</v>
      </c>
    </row>
    <row r="87" spans="1:7" x14ac:dyDescent="0.3">
      <c r="A87" t="s">
        <v>554</v>
      </c>
      <c r="B87" t="s">
        <v>660</v>
      </c>
      <c r="C87" t="s">
        <v>661</v>
      </c>
      <c r="D87" t="s">
        <v>53</v>
      </c>
      <c r="E87" t="s">
        <v>472</v>
      </c>
      <c r="F87" t="s">
        <v>496</v>
      </c>
      <c r="G87">
        <v>37672.79</v>
      </c>
    </row>
    <row r="88" spans="1:7" x14ac:dyDescent="0.3">
      <c r="A88" t="s">
        <v>554</v>
      </c>
      <c r="B88" t="s">
        <v>660</v>
      </c>
      <c r="C88" t="s">
        <v>661</v>
      </c>
      <c r="D88" t="s">
        <v>716</v>
      </c>
      <c r="E88" t="s">
        <v>469</v>
      </c>
      <c r="F88" t="s">
        <v>496</v>
      </c>
      <c r="G88">
        <v>40077.279999999999</v>
      </c>
    </row>
    <row r="89" spans="1:7" x14ac:dyDescent="0.3">
      <c r="A89" t="s">
        <v>554</v>
      </c>
      <c r="B89" t="s">
        <v>660</v>
      </c>
      <c r="C89" t="s">
        <v>661</v>
      </c>
      <c r="D89" t="s">
        <v>717</v>
      </c>
      <c r="E89" t="s">
        <v>482</v>
      </c>
      <c r="F89" t="s">
        <v>496</v>
      </c>
      <c r="G89">
        <v>1684.04</v>
      </c>
    </row>
    <row r="90" spans="1:7" x14ac:dyDescent="0.3">
      <c r="A90" t="s">
        <v>554</v>
      </c>
      <c r="B90" t="s">
        <v>660</v>
      </c>
      <c r="C90" t="s">
        <v>661</v>
      </c>
      <c r="D90" t="s">
        <v>718</v>
      </c>
      <c r="E90" t="s">
        <v>485</v>
      </c>
      <c r="F90" t="s">
        <v>496</v>
      </c>
      <c r="G90">
        <v>695.11</v>
      </c>
    </row>
    <row r="91" spans="1:7" x14ac:dyDescent="0.3">
      <c r="A91" t="s">
        <v>603</v>
      </c>
      <c r="B91" t="s">
        <v>652</v>
      </c>
      <c r="C91" t="s">
        <v>653</v>
      </c>
      <c r="D91" t="s">
        <v>713</v>
      </c>
      <c r="E91" t="s">
        <v>442</v>
      </c>
      <c r="F91" t="s">
        <v>496</v>
      </c>
      <c r="G91">
        <v>5664.45</v>
      </c>
    </row>
    <row r="92" spans="1:7" x14ac:dyDescent="0.3">
      <c r="A92" t="s">
        <v>603</v>
      </c>
      <c r="B92" t="s">
        <v>652</v>
      </c>
      <c r="C92" t="s">
        <v>653</v>
      </c>
      <c r="D92" t="s">
        <v>714</v>
      </c>
      <c r="E92" t="s">
        <v>479</v>
      </c>
      <c r="F92" t="s">
        <v>496</v>
      </c>
      <c r="G92">
        <v>0</v>
      </c>
    </row>
    <row r="93" spans="1:7" x14ac:dyDescent="0.3">
      <c r="A93" t="s">
        <v>603</v>
      </c>
      <c r="B93" t="s">
        <v>652</v>
      </c>
      <c r="C93" t="s">
        <v>653</v>
      </c>
      <c r="D93" t="s">
        <v>715</v>
      </c>
      <c r="E93" t="s">
        <v>457</v>
      </c>
      <c r="F93" t="s">
        <v>496</v>
      </c>
      <c r="G93">
        <v>0</v>
      </c>
    </row>
    <row r="94" spans="1:7" x14ac:dyDescent="0.3">
      <c r="A94" t="s">
        <v>603</v>
      </c>
      <c r="B94" t="s">
        <v>652</v>
      </c>
      <c r="C94" t="s">
        <v>653</v>
      </c>
      <c r="D94" t="s">
        <v>564</v>
      </c>
      <c r="E94" t="s">
        <v>465</v>
      </c>
      <c r="F94" t="s">
        <v>496</v>
      </c>
      <c r="G94">
        <v>25433.27</v>
      </c>
    </row>
    <row r="95" spans="1:7" x14ac:dyDescent="0.3">
      <c r="A95" t="s">
        <v>603</v>
      </c>
      <c r="B95" t="s">
        <v>652</v>
      </c>
      <c r="C95" t="s">
        <v>653</v>
      </c>
      <c r="D95" t="s">
        <v>53</v>
      </c>
      <c r="E95" t="s">
        <v>472</v>
      </c>
      <c r="F95" t="s">
        <v>496</v>
      </c>
      <c r="G95">
        <v>2535</v>
      </c>
    </row>
    <row r="96" spans="1:7" x14ac:dyDescent="0.3">
      <c r="A96" t="s">
        <v>603</v>
      </c>
      <c r="B96" t="s">
        <v>652</v>
      </c>
      <c r="C96" t="s">
        <v>653</v>
      </c>
      <c r="D96" t="s">
        <v>716</v>
      </c>
      <c r="E96" t="s">
        <v>469</v>
      </c>
      <c r="F96" t="s">
        <v>496</v>
      </c>
      <c r="G96">
        <v>0</v>
      </c>
    </row>
    <row r="97" spans="1:7" x14ac:dyDescent="0.3">
      <c r="A97" t="s">
        <v>603</v>
      </c>
      <c r="B97" t="s">
        <v>652</v>
      </c>
      <c r="C97" t="s">
        <v>653</v>
      </c>
      <c r="D97" t="s">
        <v>717</v>
      </c>
      <c r="E97" t="s">
        <v>482</v>
      </c>
      <c r="F97" t="s">
        <v>496</v>
      </c>
      <c r="G97">
        <v>0</v>
      </c>
    </row>
    <row r="98" spans="1:7" x14ac:dyDescent="0.3">
      <c r="A98" t="s">
        <v>603</v>
      </c>
      <c r="B98" t="s">
        <v>652</v>
      </c>
      <c r="C98" t="s">
        <v>653</v>
      </c>
      <c r="D98" t="s">
        <v>718</v>
      </c>
      <c r="E98" t="s">
        <v>485</v>
      </c>
      <c r="F98" t="s">
        <v>496</v>
      </c>
      <c r="G98">
        <v>-22303.82</v>
      </c>
    </row>
    <row r="99" spans="1:7" x14ac:dyDescent="0.3">
      <c r="A99" t="s">
        <v>603</v>
      </c>
      <c r="B99" t="s">
        <v>656</v>
      </c>
      <c r="C99" t="s">
        <v>657</v>
      </c>
      <c r="D99" t="s">
        <v>713</v>
      </c>
      <c r="E99" t="s">
        <v>442</v>
      </c>
      <c r="F99" t="s">
        <v>496</v>
      </c>
      <c r="G99">
        <v>1821.51</v>
      </c>
    </row>
    <row r="100" spans="1:7" x14ac:dyDescent="0.3">
      <c r="A100" t="s">
        <v>603</v>
      </c>
      <c r="B100" t="s">
        <v>656</v>
      </c>
      <c r="C100" t="s">
        <v>657</v>
      </c>
      <c r="D100" t="s">
        <v>714</v>
      </c>
      <c r="E100" t="s">
        <v>479</v>
      </c>
      <c r="F100" t="s">
        <v>496</v>
      </c>
      <c r="G100">
        <v>0</v>
      </c>
    </row>
    <row r="101" spans="1:7" x14ac:dyDescent="0.3">
      <c r="A101" t="s">
        <v>603</v>
      </c>
      <c r="B101" t="s">
        <v>656</v>
      </c>
      <c r="C101" t="s">
        <v>657</v>
      </c>
      <c r="D101" t="s">
        <v>715</v>
      </c>
      <c r="E101" t="s">
        <v>457</v>
      </c>
      <c r="F101" t="s">
        <v>496</v>
      </c>
      <c r="G101">
        <v>0</v>
      </c>
    </row>
    <row r="102" spans="1:7" x14ac:dyDescent="0.3">
      <c r="A102" t="s">
        <v>603</v>
      </c>
      <c r="B102" t="s">
        <v>656</v>
      </c>
      <c r="C102" t="s">
        <v>657</v>
      </c>
      <c r="D102" t="s">
        <v>564</v>
      </c>
      <c r="E102" t="s">
        <v>465</v>
      </c>
      <c r="F102" t="s">
        <v>496</v>
      </c>
      <c r="G102">
        <v>0</v>
      </c>
    </row>
    <row r="103" spans="1:7" x14ac:dyDescent="0.3">
      <c r="A103" t="s">
        <v>603</v>
      </c>
      <c r="B103" t="s">
        <v>656</v>
      </c>
      <c r="C103" t="s">
        <v>657</v>
      </c>
      <c r="D103" t="s">
        <v>53</v>
      </c>
      <c r="E103" t="s">
        <v>472</v>
      </c>
      <c r="F103" t="s">
        <v>496</v>
      </c>
      <c r="G103">
        <v>0</v>
      </c>
    </row>
    <row r="104" spans="1:7" x14ac:dyDescent="0.3">
      <c r="A104" t="s">
        <v>603</v>
      </c>
      <c r="B104" t="s">
        <v>656</v>
      </c>
      <c r="C104" t="s">
        <v>657</v>
      </c>
      <c r="D104" t="s">
        <v>716</v>
      </c>
      <c r="E104" t="s">
        <v>469</v>
      </c>
      <c r="F104" t="s">
        <v>496</v>
      </c>
      <c r="G104">
        <v>0</v>
      </c>
    </row>
    <row r="105" spans="1:7" x14ac:dyDescent="0.3">
      <c r="A105" t="s">
        <v>603</v>
      </c>
      <c r="B105" t="s">
        <v>656</v>
      </c>
      <c r="C105" t="s">
        <v>657</v>
      </c>
      <c r="D105" t="s">
        <v>717</v>
      </c>
      <c r="E105" t="s">
        <v>482</v>
      </c>
      <c r="F105" t="s">
        <v>496</v>
      </c>
      <c r="G105">
        <v>11.97</v>
      </c>
    </row>
    <row r="106" spans="1:7" x14ac:dyDescent="0.3">
      <c r="A106" t="s">
        <v>603</v>
      </c>
      <c r="B106" t="s">
        <v>656</v>
      </c>
      <c r="C106" t="s">
        <v>657</v>
      </c>
      <c r="D106" t="s">
        <v>718</v>
      </c>
      <c r="E106" t="s">
        <v>485</v>
      </c>
      <c r="F106" t="s">
        <v>496</v>
      </c>
      <c r="G106">
        <v>1809.54</v>
      </c>
    </row>
    <row r="107" spans="1:7" x14ac:dyDescent="0.3">
      <c r="A107" t="s">
        <v>603</v>
      </c>
      <c r="B107" t="s">
        <v>656</v>
      </c>
      <c r="C107" t="s">
        <v>657</v>
      </c>
      <c r="D107" t="s">
        <v>719</v>
      </c>
      <c r="E107" t="s">
        <v>493</v>
      </c>
      <c r="F107" t="s">
        <v>496</v>
      </c>
      <c r="G107">
        <v>1380.84</v>
      </c>
    </row>
    <row r="108" spans="1:7" x14ac:dyDescent="0.3">
      <c r="A108" t="s">
        <v>603</v>
      </c>
      <c r="B108" t="s">
        <v>656</v>
      </c>
      <c r="C108" t="s">
        <v>657</v>
      </c>
      <c r="D108" t="s">
        <v>720</v>
      </c>
      <c r="E108" t="s">
        <v>500</v>
      </c>
      <c r="F108" t="s">
        <v>496</v>
      </c>
      <c r="G108">
        <v>2166.36</v>
      </c>
    </row>
    <row r="109" spans="1:7" x14ac:dyDescent="0.3">
      <c r="A109" t="s">
        <v>603</v>
      </c>
      <c r="B109" t="s">
        <v>656</v>
      </c>
      <c r="C109" t="s">
        <v>657</v>
      </c>
      <c r="D109" t="s">
        <v>721</v>
      </c>
      <c r="E109" t="s">
        <v>502</v>
      </c>
      <c r="F109" t="s">
        <v>496</v>
      </c>
      <c r="G109">
        <v>-785.52</v>
      </c>
    </row>
    <row r="110" spans="1:7" x14ac:dyDescent="0.3">
      <c r="A110" t="s">
        <v>603</v>
      </c>
      <c r="B110" t="s">
        <v>658</v>
      </c>
      <c r="C110" t="s">
        <v>659</v>
      </c>
      <c r="D110" t="s">
        <v>713</v>
      </c>
      <c r="E110" t="s">
        <v>442</v>
      </c>
      <c r="F110" t="s">
        <v>496</v>
      </c>
      <c r="G110">
        <v>137010</v>
      </c>
    </row>
    <row r="111" spans="1:7" x14ac:dyDescent="0.3">
      <c r="A111" t="s">
        <v>603</v>
      </c>
      <c r="B111" t="s">
        <v>658</v>
      </c>
      <c r="C111" t="s">
        <v>659</v>
      </c>
      <c r="D111" t="s">
        <v>714</v>
      </c>
      <c r="E111" t="s">
        <v>479</v>
      </c>
      <c r="F111" t="s">
        <v>496</v>
      </c>
      <c r="G111">
        <v>0</v>
      </c>
    </row>
    <row r="112" spans="1:7" x14ac:dyDescent="0.3">
      <c r="A112" t="s">
        <v>603</v>
      </c>
      <c r="B112" t="s">
        <v>658</v>
      </c>
      <c r="C112" t="s">
        <v>659</v>
      </c>
      <c r="D112" t="s">
        <v>715</v>
      </c>
      <c r="E112" t="s">
        <v>457</v>
      </c>
      <c r="F112" t="s">
        <v>496</v>
      </c>
      <c r="G112">
        <v>0</v>
      </c>
    </row>
    <row r="113" spans="1:7" x14ac:dyDescent="0.3">
      <c r="A113" t="s">
        <v>603</v>
      </c>
      <c r="B113" t="s">
        <v>658</v>
      </c>
      <c r="C113" t="s">
        <v>659</v>
      </c>
      <c r="D113" t="s">
        <v>564</v>
      </c>
      <c r="E113" t="s">
        <v>465</v>
      </c>
      <c r="F113" t="s">
        <v>496</v>
      </c>
      <c r="G113">
        <v>71.989999999999995</v>
      </c>
    </row>
    <row r="114" spans="1:7" x14ac:dyDescent="0.3">
      <c r="A114" t="s">
        <v>603</v>
      </c>
      <c r="B114" t="s">
        <v>658</v>
      </c>
      <c r="C114" t="s">
        <v>659</v>
      </c>
      <c r="D114" t="s">
        <v>53</v>
      </c>
      <c r="E114" t="s">
        <v>472</v>
      </c>
      <c r="F114" t="s">
        <v>496</v>
      </c>
      <c r="G114">
        <v>2550</v>
      </c>
    </row>
    <row r="115" spans="1:7" x14ac:dyDescent="0.3">
      <c r="A115" t="s">
        <v>603</v>
      </c>
      <c r="B115" t="s">
        <v>658</v>
      </c>
      <c r="C115" t="s">
        <v>659</v>
      </c>
      <c r="D115" t="s">
        <v>716</v>
      </c>
      <c r="E115" t="s">
        <v>469</v>
      </c>
      <c r="F115" t="s">
        <v>496</v>
      </c>
      <c r="G115">
        <v>0</v>
      </c>
    </row>
    <row r="116" spans="1:7" x14ac:dyDescent="0.3">
      <c r="A116" t="s">
        <v>603</v>
      </c>
      <c r="B116" t="s">
        <v>658</v>
      </c>
      <c r="C116" t="s">
        <v>659</v>
      </c>
      <c r="D116" t="s">
        <v>717</v>
      </c>
      <c r="E116" t="s">
        <v>482</v>
      </c>
      <c r="F116" t="s">
        <v>496</v>
      </c>
      <c r="G116">
        <v>50</v>
      </c>
    </row>
    <row r="117" spans="1:7" x14ac:dyDescent="0.3">
      <c r="A117" t="s">
        <v>603</v>
      </c>
      <c r="B117" t="s">
        <v>658</v>
      </c>
      <c r="C117" t="s">
        <v>659</v>
      </c>
      <c r="D117" t="s">
        <v>718</v>
      </c>
      <c r="E117" t="s">
        <v>485</v>
      </c>
      <c r="F117" t="s">
        <v>496</v>
      </c>
      <c r="G117">
        <v>134338.01</v>
      </c>
    </row>
    <row r="118" spans="1:7" x14ac:dyDescent="0.3">
      <c r="A118" t="s">
        <v>603</v>
      </c>
      <c r="B118" t="s">
        <v>522</v>
      </c>
      <c r="C118" t="s">
        <v>523</v>
      </c>
      <c r="D118" t="s">
        <v>713</v>
      </c>
      <c r="E118" t="s">
        <v>442</v>
      </c>
      <c r="F118" t="s">
        <v>496</v>
      </c>
      <c r="G118">
        <v>214378.26</v>
      </c>
    </row>
    <row r="119" spans="1:7" x14ac:dyDescent="0.3">
      <c r="A119" t="s">
        <v>603</v>
      </c>
      <c r="B119" t="s">
        <v>522</v>
      </c>
      <c r="C119" t="s">
        <v>523</v>
      </c>
      <c r="D119" t="s">
        <v>714</v>
      </c>
      <c r="E119" t="s">
        <v>479</v>
      </c>
      <c r="F119" t="s">
        <v>496</v>
      </c>
      <c r="G119">
        <v>1118.3900000000001</v>
      </c>
    </row>
    <row r="120" spans="1:7" x14ac:dyDescent="0.3">
      <c r="A120" t="s">
        <v>603</v>
      </c>
      <c r="B120" t="s">
        <v>522</v>
      </c>
      <c r="C120" t="s">
        <v>523</v>
      </c>
      <c r="D120" t="s">
        <v>715</v>
      </c>
      <c r="E120" t="s">
        <v>457</v>
      </c>
      <c r="F120" t="s">
        <v>496</v>
      </c>
      <c r="G120">
        <v>99415.39</v>
      </c>
    </row>
    <row r="121" spans="1:7" x14ac:dyDescent="0.3">
      <c r="A121" t="s">
        <v>603</v>
      </c>
      <c r="B121" t="s">
        <v>522</v>
      </c>
      <c r="C121" t="s">
        <v>523</v>
      </c>
      <c r="D121" t="s">
        <v>564</v>
      </c>
      <c r="E121" t="s">
        <v>465</v>
      </c>
      <c r="F121" t="s">
        <v>496</v>
      </c>
      <c r="G121">
        <v>32034.26</v>
      </c>
    </row>
    <row r="122" spans="1:7" x14ac:dyDescent="0.3">
      <c r="A122" t="s">
        <v>603</v>
      </c>
      <c r="B122" t="s">
        <v>522</v>
      </c>
      <c r="C122" t="s">
        <v>523</v>
      </c>
      <c r="D122" t="s">
        <v>53</v>
      </c>
      <c r="E122" t="s">
        <v>472</v>
      </c>
      <c r="F122" t="s">
        <v>496</v>
      </c>
      <c r="G122">
        <v>41880.81</v>
      </c>
    </row>
    <row r="123" spans="1:7" x14ac:dyDescent="0.3">
      <c r="A123" t="s">
        <v>603</v>
      </c>
      <c r="B123" t="s">
        <v>522</v>
      </c>
      <c r="C123" t="s">
        <v>523</v>
      </c>
      <c r="D123" t="s">
        <v>716</v>
      </c>
      <c r="E123" t="s">
        <v>469</v>
      </c>
      <c r="F123" t="s">
        <v>496</v>
      </c>
      <c r="G123">
        <v>31069.82</v>
      </c>
    </row>
    <row r="124" spans="1:7" x14ac:dyDescent="0.3">
      <c r="A124" t="s">
        <v>603</v>
      </c>
      <c r="B124" t="s">
        <v>522</v>
      </c>
      <c r="C124" t="s">
        <v>523</v>
      </c>
      <c r="D124" t="s">
        <v>717</v>
      </c>
      <c r="E124" t="s">
        <v>482</v>
      </c>
      <c r="F124" t="s">
        <v>496</v>
      </c>
      <c r="G124">
        <v>1583.93</v>
      </c>
    </row>
    <row r="125" spans="1:7" x14ac:dyDescent="0.3">
      <c r="A125" t="s">
        <v>603</v>
      </c>
      <c r="B125" t="s">
        <v>522</v>
      </c>
      <c r="C125" t="s">
        <v>523</v>
      </c>
      <c r="D125" t="s">
        <v>718</v>
      </c>
      <c r="E125" t="s">
        <v>485</v>
      </c>
      <c r="F125" t="s">
        <v>496</v>
      </c>
      <c r="G125">
        <v>9512.44</v>
      </c>
    </row>
    <row r="126" spans="1:7" x14ac:dyDescent="0.3">
      <c r="A126" t="s">
        <v>603</v>
      </c>
      <c r="B126" t="s">
        <v>660</v>
      </c>
      <c r="C126" t="s">
        <v>661</v>
      </c>
      <c r="D126" t="s">
        <v>713</v>
      </c>
      <c r="E126" t="s">
        <v>442</v>
      </c>
      <c r="F126" t="s">
        <v>496</v>
      </c>
      <c r="G126">
        <v>358874.22</v>
      </c>
    </row>
    <row r="127" spans="1:7" x14ac:dyDescent="0.3">
      <c r="A127" t="s">
        <v>603</v>
      </c>
      <c r="B127" t="s">
        <v>660</v>
      </c>
      <c r="C127" t="s">
        <v>661</v>
      </c>
      <c r="D127" t="s">
        <v>714</v>
      </c>
      <c r="E127" t="s">
        <v>479</v>
      </c>
      <c r="F127" t="s">
        <v>496</v>
      </c>
      <c r="G127">
        <v>1118.3900000000001</v>
      </c>
    </row>
    <row r="128" spans="1:7" x14ac:dyDescent="0.3">
      <c r="A128" t="s">
        <v>603</v>
      </c>
      <c r="B128" t="s">
        <v>660</v>
      </c>
      <c r="C128" t="s">
        <v>661</v>
      </c>
      <c r="D128" t="s">
        <v>715</v>
      </c>
      <c r="E128" t="s">
        <v>457</v>
      </c>
      <c r="F128" t="s">
        <v>496</v>
      </c>
      <c r="G128">
        <v>99415.39</v>
      </c>
    </row>
    <row r="129" spans="1:7" x14ac:dyDescent="0.3">
      <c r="A129" t="s">
        <v>603</v>
      </c>
      <c r="B129" t="s">
        <v>660</v>
      </c>
      <c r="C129" t="s">
        <v>661</v>
      </c>
      <c r="D129" t="s">
        <v>564</v>
      </c>
      <c r="E129" t="s">
        <v>465</v>
      </c>
      <c r="F129" t="s">
        <v>496</v>
      </c>
      <c r="G129">
        <v>57539.519999999997</v>
      </c>
    </row>
    <row r="130" spans="1:7" x14ac:dyDescent="0.3">
      <c r="A130" t="s">
        <v>603</v>
      </c>
      <c r="B130" t="s">
        <v>660</v>
      </c>
      <c r="C130" t="s">
        <v>661</v>
      </c>
      <c r="D130" t="s">
        <v>53</v>
      </c>
      <c r="E130" t="s">
        <v>472</v>
      </c>
      <c r="F130" t="s">
        <v>496</v>
      </c>
      <c r="G130">
        <v>46965.81</v>
      </c>
    </row>
    <row r="131" spans="1:7" x14ac:dyDescent="0.3">
      <c r="A131" t="s">
        <v>603</v>
      </c>
      <c r="B131" t="s">
        <v>660</v>
      </c>
      <c r="C131" t="s">
        <v>661</v>
      </c>
      <c r="D131" t="s">
        <v>716</v>
      </c>
      <c r="E131" t="s">
        <v>469</v>
      </c>
      <c r="F131" t="s">
        <v>496</v>
      </c>
      <c r="G131">
        <v>31069.82</v>
      </c>
    </row>
    <row r="132" spans="1:7" x14ac:dyDescent="0.3">
      <c r="A132" t="s">
        <v>603</v>
      </c>
      <c r="B132" t="s">
        <v>660</v>
      </c>
      <c r="C132" t="s">
        <v>661</v>
      </c>
      <c r="D132" t="s">
        <v>717</v>
      </c>
      <c r="E132" t="s">
        <v>482</v>
      </c>
      <c r="F132" t="s">
        <v>496</v>
      </c>
      <c r="G132">
        <v>1645.9</v>
      </c>
    </row>
    <row r="133" spans="1:7" x14ac:dyDescent="0.3">
      <c r="A133" t="s">
        <v>603</v>
      </c>
      <c r="B133" t="s">
        <v>660</v>
      </c>
      <c r="C133" t="s">
        <v>661</v>
      </c>
      <c r="D133" t="s">
        <v>718</v>
      </c>
      <c r="E133" t="s">
        <v>485</v>
      </c>
      <c r="F133" t="s">
        <v>496</v>
      </c>
      <c r="G133">
        <v>123356.17</v>
      </c>
    </row>
    <row r="134" spans="1:7" x14ac:dyDescent="0.3">
      <c r="A134" t="s">
        <v>624</v>
      </c>
      <c r="B134" t="s">
        <v>652</v>
      </c>
      <c r="C134" t="s">
        <v>653</v>
      </c>
      <c r="D134" t="s">
        <v>702</v>
      </c>
      <c r="E134" t="s">
        <v>448</v>
      </c>
      <c r="F134" t="s">
        <v>496</v>
      </c>
      <c r="G134">
        <v>6013.45</v>
      </c>
    </row>
    <row r="135" spans="1:7" x14ac:dyDescent="0.3">
      <c r="A135" t="s">
        <v>624</v>
      </c>
      <c r="B135" t="s">
        <v>652</v>
      </c>
      <c r="C135" t="s">
        <v>653</v>
      </c>
      <c r="D135" t="s">
        <v>703</v>
      </c>
      <c r="E135" t="s">
        <v>453</v>
      </c>
      <c r="F135" t="s">
        <v>496</v>
      </c>
      <c r="G135">
        <v>0</v>
      </c>
    </row>
    <row r="136" spans="1:7" x14ac:dyDescent="0.3">
      <c r="A136" t="s">
        <v>624</v>
      </c>
      <c r="B136" t="s">
        <v>652</v>
      </c>
      <c r="C136" t="s">
        <v>653</v>
      </c>
      <c r="D136" t="s">
        <v>713</v>
      </c>
      <c r="E136" t="s">
        <v>442</v>
      </c>
      <c r="F136" t="s">
        <v>496</v>
      </c>
      <c r="G136">
        <v>6013.45</v>
      </c>
    </row>
    <row r="137" spans="1:7" x14ac:dyDescent="0.3">
      <c r="A137" t="s">
        <v>624</v>
      </c>
      <c r="B137" t="s">
        <v>652</v>
      </c>
      <c r="C137" t="s">
        <v>653</v>
      </c>
      <c r="D137" t="s">
        <v>714</v>
      </c>
      <c r="E137" t="s">
        <v>479</v>
      </c>
      <c r="F137" t="s">
        <v>496</v>
      </c>
      <c r="G137">
        <v>10.76</v>
      </c>
    </row>
    <row r="138" spans="1:7" x14ac:dyDescent="0.3">
      <c r="A138" t="s">
        <v>624</v>
      </c>
      <c r="B138" t="s">
        <v>652</v>
      </c>
      <c r="C138" t="s">
        <v>653</v>
      </c>
      <c r="D138" t="s">
        <v>715</v>
      </c>
      <c r="E138" t="s">
        <v>457</v>
      </c>
      <c r="F138" t="s">
        <v>496</v>
      </c>
      <c r="G138">
        <v>0</v>
      </c>
    </row>
    <row r="139" spans="1:7" x14ac:dyDescent="0.3">
      <c r="A139" t="s">
        <v>624</v>
      </c>
      <c r="B139" t="s">
        <v>652</v>
      </c>
      <c r="C139" t="s">
        <v>653</v>
      </c>
      <c r="D139" t="s">
        <v>722</v>
      </c>
      <c r="E139" t="s">
        <v>465</v>
      </c>
      <c r="F139" t="s">
        <v>496</v>
      </c>
      <c r="G139">
        <v>12001.75</v>
      </c>
    </row>
    <row r="140" spans="1:7" x14ac:dyDescent="0.3">
      <c r="A140" t="s">
        <v>624</v>
      </c>
      <c r="B140" t="s">
        <v>652</v>
      </c>
      <c r="C140" t="s">
        <v>653</v>
      </c>
      <c r="D140" t="s">
        <v>53</v>
      </c>
      <c r="E140" t="s">
        <v>472</v>
      </c>
      <c r="F140" t="s">
        <v>496</v>
      </c>
      <c r="G140">
        <v>0</v>
      </c>
    </row>
    <row r="141" spans="1:7" x14ac:dyDescent="0.3">
      <c r="A141" t="s">
        <v>624</v>
      </c>
      <c r="B141" t="s">
        <v>652</v>
      </c>
      <c r="C141" t="s">
        <v>653</v>
      </c>
      <c r="D141" t="s">
        <v>723</v>
      </c>
      <c r="E141" t="s">
        <v>469</v>
      </c>
      <c r="F141" t="s">
        <v>496</v>
      </c>
      <c r="G141">
        <v>0</v>
      </c>
    </row>
    <row r="142" spans="1:7" x14ac:dyDescent="0.3">
      <c r="A142" t="s">
        <v>624</v>
      </c>
      <c r="B142" t="s">
        <v>652</v>
      </c>
      <c r="C142" t="s">
        <v>653</v>
      </c>
      <c r="D142" t="s">
        <v>717</v>
      </c>
      <c r="E142" t="s">
        <v>482</v>
      </c>
      <c r="F142" t="s">
        <v>496</v>
      </c>
      <c r="G142">
        <v>134.28</v>
      </c>
    </row>
    <row r="143" spans="1:7" x14ac:dyDescent="0.3">
      <c r="A143" t="s">
        <v>624</v>
      </c>
      <c r="B143" t="s">
        <v>652</v>
      </c>
      <c r="C143" t="s">
        <v>653</v>
      </c>
      <c r="D143" t="s">
        <v>724</v>
      </c>
      <c r="E143" t="s">
        <v>461</v>
      </c>
      <c r="F143" t="s">
        <v>496</v>
      </c>
      <c r="G143">
        <v>6013.45</v>
      </c>
    </row>
    <row r="144" spans="1:7" x14ac:dyDescent="0.3">
      <c r="A144" t="s">
        <v>624</v>
      </c>
      <c r="B144" t="s">
        <v>652</v>
      </c>
      <c r="C144" t="s">
        <v>653</v>
      </c>
      <c r="D144" t="s">
        <v>725</v>
      </c>
      <c r="E144" t="s">
        <v>475</v>
      </c>
      <c r="F144" t="s">
        <v>496</v>
      </c>
      <c r="G144">
        <v>-5988.3</v>
      </c>
    </row>
    <row r="145" spans="1:7" x14ac:dyDescent="0.3">
      <c r="A145" t="s">
        <v>624</v>
      </c>
      <c r="B145" t="s">
        <v>652</v>
      </c>
      <c r="C145" t="s">
        <v>653</v>
      </c>
      <c r="D145" t="s">
        <v>718</v>
      </c>
      <c r="E145" t="s">
        <v>485</v>
      </c>
      <c r="F145" t="s">
        <v>496</v>
      </c>
      <c r="G145">
        <v>-6111.82</v>
      </c>
    </row>
    <row r="146" spans="1:7" x14ac:dyDescent="0.3">
      <c r="A146" t="s">
        <v>624</v>
      </c>
      <c r="B146" t="s">
        <v>656</v>
      </c>
      <c r="C146" t="s">
        <v>657</v>
      </c>
      <c r="D146" t="s">
        <v>702</v>
      </c>
      <c r="E146" t="s">
        <v>448</v>
      </c>
      <c r="F146" t="s">
        <v>496</v>
      </c>
      <c r="G146">
        <v>1821.51</v>
      </c>
    </row>
    <row r="147" spans="1:7" x14ac:dyDescent="0.3">
      <c r="A147" t="s">
        <v>624</v>
      </c>
      <c r="B147" t="s">
        <v>656</v>
      </c>
      <c r="C147" t="s">
        <v>657</v>
      </c>
      <c r="D147" t="s">
        <v>703</v>
      </c>
      <c r="E147" t="s">
        <v>453</v>
      </c>
      <c r="F147" t="s">
        <v>496</v>
      </c>
      <c r="G147">
        <v>0</v>
      </c>
    </row>
    <row r="148" spans="1:7" x14ac:dyDescent="0.3">
      <c r="A148" t="s">
        <v>624</v>
      </c>
      <c r="B148" t="s">
        <v>656</v>
      </c>
      <c r="C148" t="s">
        <v>657</v>
      </c>
      <c r="D148" t="s">
        <v>713</v>
      </c>
      <c r="E148" t="s">
        <v>442</v>
      </c>
      <c r="F148" t="s">
        <v>496</v>
      </c>
      <c r="G148">
        <v>1821.51</v>
      </c>
    </row>
    <row r="149" spans="1:7" x14ac:dyDescent="0.3">
      <c r="A149" t="s">
        <v>624</v>
      </c>
      <c r="B149" t="s">
        <v>656</v>
      </c>
      <c r="C149" t="s">
        <v>657</v>
      </c>
      <c r="D149" t="s">
        <v>714</v>
      </c>
      <c r="E149" t="s">
        <v>479</v>
      </c>
      <c r="F149" t="s">
        <v>496</v>
      </c>
      <c r="G149">
        <v>0</v>
      </c>
    </row>
    <row r="150" spans="1:7" x14ac:dyDescent="0.3">
      <c r="A150" t="s">
        <v>624</v>
      </c>
      <c r="B150" t="s">
        <v>656</v>
      </c>
      <c r="C150" t="s">
        <v>657</v>
      </c>
      <c r="D150" t="s">
        <v>715</v>
      </c>
      <c r="E150" t="s">
        <v>457</v>
      </c>
      <c r="F150" t="s">
        <v>496</v>
      </c>
      <c r="G150">
        <v>0</v>
      </c>
    </row>
    <row r="151" spans="1:7" x14ac:dyDescent="0.3">
      <c r="A151" t="s">
        <v>624</v>
      </c>
      <c r="B151" t="s">
        <v>656</v>
      </c>
      <c r="C151" t="s">
        <v>657</v>
      </c>
      <c r="D151" t="s">
        <v>722</v>
      </c>
      <c r="E151" t="s">
        <v>465</v>
      </c>
      <c r="F151" t="s">
        <v>496</v>
      </c>
      <c r="G151">
        <v>257.86</v>
      </c>
    </row>
    <row r="152" spans="1:7" x14ac:dyDescent="0.3">
      <c r="A152" t="s">
        <v>624</v>
      </c>
      <c r="B152" t="s">
        <v>656</v>
      </c>
      <c r="C152" t="s">
        <v>657</v>
      </c>
      <c r="D152" t="s">
        <v>53</v>
      </c>
      <c r="E152" t="s">
        <v>472</v>
      </c>
      <c r="F152" t="s">
        <v>496</v>
      </c>
      <c r="G152">
        <v>3294.66</v>
      </c>
    </row>
    <row r="153" spans="1:7" x14ac:dyDescent="0.3">
      <c r="A153" t="s">
        <v>624</v>
      </c>
      <c r="B153" t="s">
        <v>656</v>
      </c>
      <c r="C153" t="s">
        <v>657</v>
      </c>
      <c r="D153" t="s">
        <v>723</v>
      </c>
      <c r="E153" t="s">
        <v>469</v>
      </c>
      <c r="F153" t="s">
        <v>496</v>
      </c>
      <c r="G153">
        <v>0</v>
      </c>
    </row>
    <row r="154" spans="1:7" x14ac:dyDescent="0.3">
      <c r="A154" t="s">
        <v>624</v>
      </c>
      <c r="B154" t="s">
        <v>656</v>
      </c>
      <c r="C154" t="s">
        <v>657</v>
      </c>
      <c r="D154" t="s">
        <v>717</v>
      </c>
      <c r="E154" t="s">
        <v>482</v>
      </c>
      <c r="F154" t="s">
        <v>496</v>
      </c>
      <c r="G154">
        <v>92.26</v>
      </c>
    </row>
    <row r="155" spans="1:7" x14ac:dyDescent="0.3">
      <c r="A155" t="s">
        <v>624</v>
      </c>
      <c r="B155" t="s">
        <v>656</v>
      </c>
      <c r="C155" t="s">
        <v>657</v>
      </c>
      <c r="D155" t="s">
        <v>724</v>
      </c>
      <c r="E155" t="s">
        <v>461</v>
      </c>
      <c r="F155" t="s">
        <v>496</v>
      </c>
      <c r="G155">
        <v>1821.51</v>
      </c>
    </row>
    <row r="156" spans="1:7" x14ac:dyDescent="0.3">
      <c r="A156" t="s">
        <v>624</v>
      </c>
      <c r="B156" t="s">
        <v>656</v>
      </c>
      <c r="C156" t="s">
        <v>657</v>
      </c>
      <c r="D156" t="s">
        <v>725</v>
      </c>
      <c r="E156" t="s">
        <v>475</v>
      </c>
      <c r="F156" t="s">
        <v>496</v>
      </c>
      <c r="G156">
        <v>-1731</v>
      </c>
    </row>
    <row r="157" spans="1:7" x14ac:dyDescent="0.3">
      <c r="A157" t="s">
        <v>624</v>
      </c>
      <c r="B157" t="s">
        <v>656</v>
      </c>
      <c r="C157" t="s">
        <v>657</v>
      </c>
      <c r="D157" t="s">
        <v>718</v>
      </c>
      <c r="E157" t="s">
        <v>485</v>
      </c>
      <c r="F157" t="s">
        <v>496</v>
      </c>
      <c r="G157">
        <v>-1823.26</v>
      </c>
    </row>
    <row r="158" spans="1:7" x14ac:dyDescent="0.3">
      <c r="A158" t="s">
        <v>624</v>
      </c>
      <c r="B158" t="s">
        <v>522</v>
      </c>
      <c r="C158" t="s">
        <v>523</v>
      </c>
      <c r="D158" t="s">
        <v>702</v>
      </c>
      <c r="E158" t="s">
        <v>448</v>
      </c>
      <c r="F158" t="s">
        <v>496</v>
      </c>
      <c r="G158">
        <v>203094.48</v>
      </c>
    </row>
    <row r="159" spans="1:7" x14ac:dyDescent="0.3">
      <c r="A159" t="s">
        <v>624</v>
      </c>
      <c r="B159" t="s">
        <v>522</v>
      </c>
      <c r="C159" t="s">
        <v>523</v>
      </c>
      <c r="D159" t="s">
        <v>703</v>
      </c>
      <c r="E159" t="s">
        <v>453</v>
      </c>
      <c r="F159" t="s">
        <v>496</v>
      </c>
      <c r="G159">
        <v>-9132</v>
      </c>
    </row>
    <row r="160" spans="1:7" x14ac:dyDescent="0.3">
      <c r="A160" t="s">
        <v>624</v>
      </c>
      <c r="B160" t="s">
        <v>522</v>
      </c>
      <c r="C160" t="s">
        <v>523</v>
      </c>
      <c r="D160" t="s">
        <v>713</v>
      </c>
      <c r="E160" t="s">
        <v>442</v>
      </c>
      <c r="F160" t="s">
        <v>496</v>
      </c>
      <c r="G160">
        <v>193962.49</v>
      </c>
    </row>
    <row r="161" spans="1:7" x14ac:dyDescent="0.3">
      <c r="A161" t="s">
        <v>624</v>
      </c>
      <c r="B161" t="s">
        <v>522</v>
      </c>
      <c r="C161" t="s">
        <v>523</v>
      </c>
      <c r="D161" t="s">
        <v>715</v>
      </c>
      <c r="E161" t="s">
        <v>457</v>
      </c>
      <c r="F161" t="s">
        <v>496</v>
      </c>
      <c r="G161">
        <v>91838.29</v>
      </c>
    </row>
    <row r="162" spans="1:7" x14ac:dyDescent="0.3">
      <c r="A162" t="s">
        <v>624</v>
      </c>
      <c r="B162" t="s">
        <v>522</v>
      </c>
      <c r="C162" t="s">
        <v>523</v>
      </c>
      <c r="D162" t="s">
        <v>724</v>
      </c>
      <c r="E162" t="s">
        <v>461</v>
      </c>
      <c r="F162" t="s">
        <v>496</v>
      </c>
      <c r="G162">
        <v>102124.2</v>
      </c>
    </row>
    <row r="163" spans="1:7" x14ac:dyDescent="0.3">
      <c r="A163" t="s">
        <v>624</v>
      </c>
      <c r="B163" t="s">
        <v>522</v>
      </c>
      <c r="C163" t="s">
        <v>523</v>
      </c>
      <c r="D163" t="s">
        <v>722</v>
      </c>
      <c r="E163" t="s">
        <v>465</v>
      </c>
      <c r="F163" t="s">
        <v>496</v>
      </c>
      <c r="G163">
        <v>30791.58</v>
      </c>
    </row>
    <row r="164" spans="1:7" x14ac:dyDescent="0.3">
      <c r="A164" t="s">
        <v>624</v>
      </c>
      <c r="B164" t="s">
        <v>522</v>
      </c>
      <c r="C164" t="s">
        <v>523</v>
      </c>
      <c r="D164" t="s">
        <v>723</v>
      </c>
      <c r="E164" t="s">
        <v>469</v>
      </c>
      <c r="F164" t="s">
        <v>496</v>
      </c>
      <c r="G164">
        <v>29366.19</v>
      </c>
    </row>
    <row r="165" spans="1:7" x14ac:dyDescent="0.3">
      <c r="A165" t="s">
        <v>624</v>
      </c>
      <c r="B165" t="s">
        <v>522</v>
      </c>
      <c r="C165" t="s">
        <v>523</v>
      </c>
      <c r="D165" t="s">
        <v>53</v>
      </c>
      <c r="E165" t="s">
        <v>472</v>
      </c>
      <c r="F165" t="s">
        <v>496</v>
      </c>
      <c r="G165">
        <v>33595.5</v>
      </c>
    </row>
    <row r="166" spans="1:7" x14ac:dyDescent="0.3">
      <c r="A166" t="s">
        <v>624</v>
      </c>
      <c r="B166" t="s">
        <v>522</v>
      </c>
      <c r="C166" t="s">
        <v>523</v>
      </c>
      <c r="D166" t="s">
        <v>725</v>
      </c>
      <c r="E166" t="s">
        <v>475</v>
      </c>
      <c r="F166" t="s">
        <v>496</v>
      </c>
      <c r="G166">
        <v>8370.93</v>
      </c>
    </row>
    <row r="167" spans="1:7" x14ac:dyDescent="0.3">
      <c r="A167" t="s">
        <v>624</v>
      </c>
      <c r="B167" t="s">
        <v>522</v>
      </c>
      <c r="C167" t="s">
        <v>523</v>
      </c>
      <c r="D167" t="s">
        <v>714</v>
      </c>
      <c r="E167" t="s">
        <v>479</v>
      </c>
      <c r="F167" t="s">
        <v>496</v>
      </c>
      <c r="G167">
        <v>204.92</v>
      </c>
    </row>
    <row r="168" spans="1:7" x14ac:dyDescent="0.3">
      <c r="A168" t="s">
        <v>624</v>
      </c>
      <c r="B168" t="s">
        <v>522</v>
      </c>
      <c r="C168" t="s">
        <v>523</v>
      </c>
      <c r="D168" t="s">
        <v>717</v>
      </c>
      <c r="E168" t="s">
        <v>482</v>
      </c>
      <c r="F168" t="s">
        <v>496</v>
      </c>
      <c r="G168">
        <v>1527.31</v>
      </c>
    </row>
    <row r="169" spans="1:7" x14ac:dyDescent="0.3">
      <c r="A169" t="s">
        <v>624</v>
      </c>
      <c r="B169" t="s">
        <v>522</v>
      </c>
      <c r="C169" t="s">
        <v>523</v>
      </c>
      <c r="D169" t="s">
        <v>718</v>
      </c>
      <c r="E169" t="s">
        <v>485</v>
      </c>
      <c r="F169" t="s">
        <v>496</v>
      </c>
      <c r="G169">
        <v>7048.55</v>
      </c>
    </row>
    <row r="170" spans="1:7" x14ac:dyDescent="0.3">
      <c r="A170" t="s">
        <v>624</v>
      </c>
      <c r="B170" t="s">
        <v>660</v>
      </c>
      <c r="C170" t="s">
        <v>689</v>
      </c>
      <c r="D170" t="s">
        <v>702</v>
      </c>
      <c r="E170" t="s">
        <v>448</v>
      </c>
      <c r="F170" t="s">
        <v>496</v>
      </c>
      <c r="G170">
        <v>345033.44</v>
      </c>
    </row>
    <row r="171" spans="1:7" x14ac:dyDescent="0.3">
      <c r="A171" t="s">
        <v>624</v>
      </c>
      <c r="B171" t="s">
        <v>660</v>
      </c>
      <c r="C171" t="s">
        <v>689</v>
      </c>
      <c r="D171" t="s">
        <v>703</v>
      </c>
      <c r="E171" t="s">
        <v>453</v>
      </c>
      <c r="F171" t="s">
        <v>496</v>
      </c>
      <c r="G171">
        <v>-9132</v>
      </c>
    </row>
    <row r="172" spans="1:7" x14ac:dyDescent="0.3">
      <c r="A172" t="s">
        <v>624</v>
      </c>
      <c r="B172" t="s">
        <v>660</v>
      </c>
      <c r="C172" t="s">
        <v>689</v>
      </c>
      <c r="D172" t="s">
        <v>713</v>
      </c>
      <c r="E172" t="s">
        <v>442</v>
      </c>
      <c r="F172" t="s">
        <v>496</v>
      </c>
      <c r="G172">
        <v>335901.45</v>
      </c>
    </row>
    <row r="173" spans="1:7" x14ac:dyDescent="0.3">
      <c r="A173" t="s">
        <v>624</v>
      </c>
      <c r="B173" t="s">
        <v>660</v>
      </c>
      <c r="C173" t="s">
        <v>689</v>
      </c>
      <c r="D173" t="s">
        <v>715</v>
      </c>
      <c r="E173" t="s">
        <v>457</v>
      </c>
      <c r="F173" t="s">
        <v>496</v>
      </c>
      <c r="G173">
        <v>91838.29</v>
      </c>
    </row>
    <row r="174" spans="1:7" x14ac:dyDescent="0.3">
      <c r="A174" t="s">
        <v>624</v>
      </c>
      <c r="B174" t="s">
        <v>660</v>
      </c>
      <c r="C174" t="s">
        <v>689</v>
      </c>
      <c r="D174" t="s">
        <v>724</v>
      </c>
      <c r="E174" t="s">
        <v>461</v>
      </c>
      <c r="F174" t="s">
        <v>496</v>
      </c>
      <c r="G174">
        <v>244063.16</v>
      </c>
    </row>
    <row r="175" spans="1:7" x14ac:dyDescent="0.3">
      <c r="A175" t="s">
        <v>624</v>
      </c>
      <c r="B175" t="s">
        <v>660</v>
      </c>
      <c r="C175" t="s">
        <v>689</v>
      </c>
      <c r="D175" t="s">
        <v>722</v>
      </c>
      <c r="E175" t="s">
        <v>465</v>
      </c>
      <c r="F175" t="s">
        <v>496</v>
      </c>
      <c r="G175">
        <v>46098.13</v>
      </c>
    </row>
    <row r="176" spans="1:7" x14ac:dyDescent="0.3">
      <c r="A176" t="s">
        <v>624</v>
      </c>
      <c r="B176" t="s">
        <v>660</v>
      </c>
      <c r="C176" t="s">
        <v>689</v>
      </c>
      <c r="D176" t="s">
        <v>723</v>
      </c>
      <c r="E176" t="s">
        <v>469</v>
      </c>
      <c r="F176" t="s">
        <v>496</v>
      </c>
      <c r="G176">
        <v>29366.19</v>
      </c>
    </row>
    <row r="177" spans="1:7" x14ac:dyDescent="0.3">
      <c r="A177" t="s">
        <v>624</v>
      </c>
      <c r="B177" t="s">
        <v>660</v>
      </c>
      <c r="C177" t="s">
        <v>689</v>
      </c>
      <c r="D177" t="s">
        <v>53</v>
      </c>
      <c r="E177" t="s">
        <v>472</v>
      </c>
      <c r="F177" t="s">
        <v>496</v>
      </c>
      <c r="G177">
        <v>36890.160000000003</v>
      </c>
    </row>
    <row r="178" spans="1:7" x14ac:dyDescent="0.3">
      <c r="A178" t="s">
        <v>624</v>
      </c>
      <c r="B178" t="s">
        <v>660</v>
      </c>
      <c r="C178" t="s">
        <v>689</v>
      </c>
      <c r="D178" t="s">
        <v>725</v>
      </c>
      <c r="E178" t="s">
        <v>475</v>
      </c>
      <c r="F178" t="s">
        <v>496</v>
      </c>
      <c r="G178">
        <v>131708.69</v>
      </c>
    </row>
    <row r="179" spans="1:7" x14ac:dyDescent="0.3">
      <c r="A179" t="s">
        <v>624</v>
      </c>
      <c r="B179" t="s">
        <v>660</v>
      </c>
      <c r="C179" t="s">
        <v>689</v>
      </c>
      <c r="D179" t="s">
        <v>714</v>
      </c>
      <c r="E179" t="s">
        <v>479</v>
      </c>
      <c r="F179" t="s">
        <v>496</v>
      </c>
      <c r="G179">
        <v>215.68</v>
      </c>
    </row>
    <row r="180" spans="1:7" x14ac:dyDescent="0.3">
      <c r="A180" t="s">
        <v>624</v>
      </c>
      <c r="B180" t="s">
        <v>660</v>
      </c>
      <c r="C180" t="s">
        <v>689</v>
      </c>
      <c r="D180" t="s">
        <v>717</v>
      </c>
      <c r="E180" t="s">
        <v>482</v>
      </c>
      <c r="F180" t="s">
        <v>496</v>
      </c>
      <c r="G180">
        <v>1783.85</v>
      </c>
    </row>
    <row r="181" spans="1:7" x14ac:dyDescent="0.3">
      <c r="A181" t="s">
        <v>624</v>
      </c>
      <c r="B181" t="s">
        <v>660</v>
      </c>
      <c r="C181" t="s">
        <v>689</v>
      </c>
      <c r="D181" t="s">
        <v>718</v>
      </c>
      <c r="E181" t="s">
        <v>485</v>
      </c>
      <c r="F181" t="s">
        <v>496</v>
      </c>
      <c r="G181">
        <v>130140.53</v>
      </c>
    </row>
    <row r="182" spans="1:7" x14ac:dyDescent="0.3">
      <c r="A182" t="s">
        <v>624</v>
      </c>
      <c r="B182" t="s">
        <v>658</v>
      </c>
      <c r="C182" t="s">
        <v>659</v>
      </c>
      <c r="D182" t="s">
        <v>702</v>
      </c>
      <c r="E182" t="s">
        <v>448</v>
      </c>
      <c r="F182" t="s">
        <v>496</v>
      </c>
      <c r="G182">
        <v>134104</v>
      </c>
    </row>
    <row r="183" spans="1:7" x14ac:dyDescent="0.3">
      <c r="A183" t="s">
        <v>624</v>
      </c>
      <c r="B183" t="s">
        <v>658</v>
      </c>
      <c r="C183" t="s">
        <v>659</v>
      </c>
      <c r="D183" t="s">
        <v>703</v>
      </c>
      <c r="E183" t="s">
        <v>453</v>
      </c>
      <c r="F183" t="s">
        <v>496</v>
      </c>
      <c r="G183">
        <v>0</v>
      </c>
    </row>
    <row r="184" spans="1:7" x14ac:dyDescent="0.3">
      <c r="A184" t="s">
        <v>624</v>
      </c>
      <c r="B184" t="s">
        <v>658</v>
      </c>
      <c r="C184" t="s">
        <v>659</v>
      </c>
      <c r="D184" t="s">
        <v>713</v>
      </c>
      <c r="E184" t="s">
        <v>442</v>
      </c>
      <c r="F184" t="s">
        <v>496</v>
      </c>
      <c r="G184">
        <v>134104</v>
      </c>
    </row>
    <row r="185" spans="1:7" x14ac:dyDescent="0.3">
      <c r="A185" t="s">
        <v>624</v>
      </c>
      <c r="B185" t="s">
        <v>658</v>
      </c>
      <c r="C185" t="s">
        <v>659</v>
      </c>
      <c r="D185" t="s">
        <v>714</v>
      </c>
      <c r="E185" t="s">
        <v>479</v>
      </c>
      <c r="F185" t="s">
        <v>496</v>
      </c>
      <c r="G185">
        <v>0</v>
      </c>
    </row>
    <row r="186" spans="1:7" x14ac:dyDescent="0.3">
      <c r="A186" t="s">
        <v>624</v>
      </c>
      <c r="B186" t="s">
        <v>658</v>
      </c>
      <c r="C186" t="s">
        <v>659</v>
      </c>
      <c r="D186" t="s">
        <v>715</v>
      </c>
      <c r="E186" t="s">
        <v>457</v>
      </c>
      <c r="F186" t="s">
        <v>496</v>
      </c>
      <c r="G186">
        <v>0</v>
      </c>
    </row>
    <row r="187" spans="1:7" x14ac:dyDescent="0.3">
      <c r="A187" t="s">
        <v>624</v>
      </c>
      <c r="B187" t="s">
        <v>658</v>
      </c>
      <c r="C187" t="s">
        <v>659</v>
      </c>
      <c r="D187" t="s">
        <v>724</v>
      </c>
      <c r="E187" t="s">
        <v>461</v>
      </c>
      <c r="F187" t="s">
        <v>496</v>
      </c>
      <c r="G187">
        <v>134104</v>
      </c>
    </row>
    <row r="188" spans="1:7" x14ac:dyDescent="0.3">
      <c r="A188" t="s">
        <v>624</v>
      </c>
      <c r="B188" t="s">
        <v>658</v>
      </c>
      <c r="C188" t="s">
        <v>659</v>
      </c>
      <c r="D188" t="s">
        <v>722</v>
      </c>
      <c r="E188" t="s">
        <v>465</v>
      </c>
      <c r="F188" t="s">
        <v>496</v>
      </c>
      <c r="G188">
        <v>3046.94</v>
      </c>
    </row>
    <row r="189" spans="1:7" x14ac:dyDescent="0.3">
      <c r="A189" t="s">
        <v>624</v>
      </c>
      <c r="B189" t="s">
        <v>658</v>
      </c>
      <c r="C189" t="s">
        <v>659</v>
      </c>
      <c r="D189" t="s">
        <v>53</v>
      </c>
      <c r="E189" t="s">
        <v>472</v>
      </c>
      <c r="F189" t="s">
        <v>496</v>
      </c>
      <c r="G189">
        <v>0</v>
      </c>
    </row>
    <row r="190" spans="1:7" x14ac:dyDescent="0.3">
      <c r="A190" t="s">
        <v>624</v>
      </c>
      <c r="B190" t="s">
        <v>658</v>
      </c>
      <c r="C190" t="s">
        <v>659</v>
      </c>
      <c r="D190" t="s">
        <v>723</v>
      </c>
      <c r="E190" t="s">
        <v>469</v>
      </c>
      <c r="F190" t="s">
        <v>496</v>
      </c>
      <c r="G190">
        <v>0</v>
      </c>
    </row>
    <row r="191" spans="1:7" x14ac:dyDescent="0.3">
      <c r="A191" t="s">
        <v>624</v>
      </c>
      <c r="B191" t="s">
        <v>658</v>
      </c>
      <c r="C191" t="s">
        <v>659</v>
      </c>
      <c r="D191" t="s">
        <v>717</v>
      </c>
      <c r="E191" t="s">
        <v>482</v>
      </c>
      <c r="F191" t="s">
        <v>496</v>
      </c>
      <c r="G191">
        <v>30</v>
      </c>
    </row>
    <row r="192" spans="1:7" x14ac:dyDescent="0.3">
      <c r="A192" t="s">
        <v>624</v>
      </c>
      <c r="B192" t="s">
        <v>658</v>
      </c>
      <c r="C192" t="s">
        <v>659</v>
      </c>
      <c r="D192" t="s">
        <v>725</v>
      </c>
      <c r="E192" t="s">
        <v>475</v>
      </c>
      <c r="F192" t="s">
        <v>496</v>
      </c>
      <c r="G192">
        <v>131057.06</v>
      </c>
    </row>
    <row r="193" spans="1:7" x14ac:dyDescent="0.3">
      <c r="A193" t="s">
        <v>624</v>
      </c>
      <c r="B193" t="s">
        <v>658</v>
      </c>
      <c r="C193" t="s">
        <v>659</v>
      </c>
      <c r="D193" t="s">
        <v>718</v>
      </c>
      <c r="E193" t="s">
        <v>485</v>
      </c>
      <c r="F193" t="s">
        <v>496</v>
      </c>
      <c r="G193">
        <v>131027.06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17"/>
  <sheetViews>
    <sheetView workbookViewId="0"/>
  </sheetViews>
  <sheetFormatPr defaultRowHeight="14.4" x14ac:dyDescent="0.3"/>
  <cols>
    <col min="1" max="2" width="12" customWidth="1"/>
    <col min="3" max="3" width="14" customWidth="1"/>
    <col min="4" max="5" width="12" customWidth="1"/>
    <col min="6" max="6" width="26" customWidth="1"/>
    <col min="7" max="7" width="12" customWidth="1"/>
    <col min="8" max="8" width="20" customWidth="1"/>
    <col min="9" max="9" width="16" customWidth="1"/>
    <col min="10" max="10" width="12" customWidth="1"/>
    <col min="11" max="11" width="30" customWidth="1"/>
    <col min="12" max="12" width="14" customWidth="1"/>
    <col min="13" max="13" width="12" customWidth="1"/>
  </cols>
  <sheetData>
    <row r="1" spans="1:13" ht="12.45" customHeight="1" x14ac:dyDescent="0.3">
      <c r="A1" s="37" t="s">
        <v>726</v>
      </c>
    </row>
    <row r="2" spans="1:13" x14ac:dyDescent="0.3">
      <c r="A2" s="28" t="s">
        <v>727</v>
      </c>
    </row>
    <row r="4" spans="1:13" x14ac:dyDescent="0.3">
      <c r="A4" s="48" t="s">
        <v>17</v>
      </c>
      <c r="B4" s="48" t="s">
        <v>27</v>
      </c>
      <c r="C4" s="48" t="s">
        <v>32</v>
      </c>
      <c r="D4" s="48" t="s">
        <v>38</v>
      </c>
      <c r="E4" s="48" t="s">
        <v>44</v>
      </c>
      <c r="F4" s="48" t="s">
        <v>513</v>
      </c>
      <c r="G4" s="48" t="s">
        <v>514</v>
      </c>
      <c r="H4" s="48" t="s">
        <v>515</v>
      </c>
      <c r="I4" s="48" t="s">
        <v>516</v>
      </c>
      <c r="J4" s="48" t="s">
        <v>517</v>
      </c>
      <c r="K4" s="48" t="s">
        <v>518</v>
      </c>
      <c r="L4" s="48" t="s">
        <v>520</v>
      </c>
      <c r="M4" s="48" t="s">
        <v>15</v>
      </c>
    </row>
    <row r="5" spans="1:13" x14ac:dyDescent="0.3">
      <c r="A5" t="s">
        <v>549</v>
      </c>
      <c r="B5" t="s">
        <v>522</v>
      </c>
      <c r="C5" t="s">
        <v>523</v>
      </c>
      <c r="D5" t="s">
        <v>451</v>
      </c>
      <c r="E5" t="s">
        <v>524</v>
      </c>
      <c r="F5" t="s">
        <v>457</v>
      </c>
      <c r="I5">
        <v>238535794</v>
      </c>
      <c r="J5" t="s">
        <v>451</v>
      </c>
      <c r="K5" t="s">
        <v>651</v>
      </c>
      <c r="L5" t="s">
        <v>35</v>
      </c>
      <c r="M5" t="s">
        <v>24</v>
      </c>
    </row>
    <row r="6" spans="1:13" x14ac:dyDescent="0.3">
      <c r="A6" t="s">
        <v>549</v>
      </c>
      <c r="B6" t="s">
        <v>522</v>
      </c>
      <c r="C6" t="s">
        <v>523</v>
      </c>
      <c r="D6" t="s">
        <v>451</v>
      </c>
      <c r="E6" t="s">
        <v>524</v>
      </c>
      <c r="F6" t="s">
        <v>453</v>
      </c>
      <c r="I6">
        <v>-77443189</v>
      </c>
      <c r="J6" t="s">
        <v>451</v>
      </c>
      <c r="K6" t="s">
        <v>651</v>
      </c>
      <c r="L6" t="s">
        <v>35</v>
      </c>
      <c r="M6" t="s">
        <v>24</v>
      </c>
    </row>
    <row r="7" spans="1:13" x14ac:dyDescent="0.3">
      <c r="A7" t="s">
        <v>549</v>
      </c>
      <c r="B7" t="s">
        <v>522</v>
      </c>
      <c r="C7" t="s">
        <v>523</v>
      </c>
      <c r="D7" t="s">
        <v>451</v>
      </c>
      <c r="E7" t="s">
        <v>524</v>
      </c>
      <c r="F7" t="s">
        <v>465</v>
      </c>
      <c r="I7">
        <v>98722435</v>
      </c>
      <c r="J7" t="s">
        <v>451</v>
      </c>
      <c r="K7" t="s">
        <v>651</v>
      </c>
      <c r="L7" t="s">
        <v>35</v>
      </c>
      <c r="M7" t="s">
        <v>24</v>
      </c>
    </row>
    <row r="8" spans="1:13" x14ac:dyDescent="0.3">
      <c r="A8" t="s">
        <v>549</v>
      </c>
      <c r="B8" t="s">
        <v>522</v>
      </c>
      <c r="C8" t="s">
        <v>523</v>
      </c>
      <c r="D8" t="s">
        <v>451</v>
      </c>
      <c r="E8" t="s">
        <v>524</v>
      </c>
      <c r="F8" t="s">
        <v>469</v>
      </c>
      <c r="I8">
        <v>73409852</v>
      </c>
      <c r="J8" t="s">
        <v>451</v>
      </c>
      <c r="K8" t="s">
        <v>651</v>
      </c>
      <c r="L8" t="s">
        <v>35</v>
      </c>
      <c r="M8" t="s">
        <v>24</v>
      </c>
    </row>
    <row r="9" spans="1:13" x14ac:dyDescent="0.3">
      <c r="A9" t="s">
        <v>549</v>
      </c>
      <c r="B9" t="s">
        <v>522</v>
      </c>
      <c r="C9" t="s">
        <v>523</v>
      </c>
      <c r="D9" t="s">
        <v>451</v>
      </c>
      <c r="E9" t="s">
        <v>524</v>
      </c>
      <c r="F9" t="s">
        <v>472</v>
      </c>
      <c r="I9">
        <v>131600259</v>
      </c>
      <c r="J9" t="s">
        <v>451</v>
      </c>
      <c r="K9" t="s">
        <v>651</v>
      </c>
      <c r="L9" t="s">
        <v>35</v>
      </c>
      <c r="M9" t="s">
        <v>24</v>
      </c>
    </row>
    <row r="10" spans="1:13" x14ac:dyDescent="0.3">
      <c r="A10" t="s">
        <v>549</v>
      </c>
      <c r="B10" t="s">
        <v>522</v>
      </c>
      <c r="C10" t="s">
        <v>523</v>
      </c>
      <c r="D10" t="s">
        <v>451</v>
      </c>
      <c r="E10" t="s">
        <v>524</v>
      </c>
      <c r="F10" t="s">
        <v>482</v>
      </c>
      <c r="I10">
        <v>7091551</v>
      </c>
      <c r="J10" t="s">
        <v>451</v>
      </c>
      <c r="K10" t="s">
        <v>651</v>
      </c>
      <c r="L10" t="s">
        <v>35</v>
      </c>
      <c r="M10" t="s">
        <v>24</v>
      </c>
    </row>
    <row r="11" spans="1:13" x14ac:dyDescent="0.3">
      <c r="A11" t="s">
        <v>549</v>
      </c>
      <c r="B11" t="s">
        <v>522</v>
      </c>
      <c r="C11" t="s">
        <v>523</v>
      </c>
      <c r="D11" t="s">
        <v>451</v>
      </c>
      <c r="E11" t="s">
        <v>524</v>
      </c>
      <c r="F11" t="s">
        <v>479</v>
      </c>
      <c r="I11">
        <v>597687</v>
      </c>
      <c r="J11" t="s">
        <v>451</v>
      </c>
      <c r="K11" t="s">
        <v>651</v>
      </c>
      <c r="L11" t="s">
        <v>35</v>
      </c>
      <c r="M11" t="s">
        <v>24</v>
      </c>
    </row>
    <row r="12" spans="1:13" x14ac:dyDescent="0.3">
      <c r="A12" t="s">
        <v>549</v>
      </c>
      <c r="B12" t="s">
        <v>522</v>
      </c>
      <c r="C12" t="s">
        <v>523</v>
      </c>
      <c r="D12" t="s">
        <v>451</v>
      </c>
      <c r="E12" t="s">
        <v>524</v>
      </c>
      <c r="F12" t="s">
        <v>442</v>
      </c>
      <c r="I12">
        <v>612247701</v>
      </c>
      <c r="J12" t="s">
        <v>451</v>
      </c>
      <c r="K12" t="s">
        <v>651</v>
      </c>
      <c r="L12" t="s">
        <v>35</v>
      </c>
      <c r="M12" t="s">
        <v>24</v>
      </c>
    </row>
    <row r="13" spans="1:13" x14ac:dyDescent="0.3">
      <c r="A13" t="s">
        <v>549</v>
      </c>
      <c r="B13" t="s">
        <v>522</v>
      </c>
      <c r="C13" t="s">
        <v>523</v>
      </c>
      <c r="D13" t="s">
        <v>451</v>
      </c>
      <c r="E13" t="s">
        <v>524</v>
      </c>
      <c r="F13" t="s">
        <v>448</v>
      </c>
      <c r="I13">
        <v>689690890</v>
      </c>
      <c r="J13" t="s">
        <v>451</v>
      </c>
      <c r="K13" t="s">
        <v>651</v>
      </c>
      <c r="L13" t="s">
        <v>35</v>
      </c>
      <c r="M13" t="s">
        <v>24</v>
      </c>
    </row>
    <row r="14" spans="1:13" x14ac:dyDescent="0.3">
      <c r="A14" t="s">
        <v>549</v>
      </c>
      <c r="B14" t="s">
        <v>522</v>
      </c>
      <c r="C14" t="s">
        <v>523</v>
      </c>
      <c r="D14" t="s">
        <v>451</v>
      </c>
      <c r="E14" t="s">
        <v>524</v>
      </c>
      <c r="F14" t="s">
        <v>461</v>
      </c>
      <c r="I14">
        <v>373711907</v>
      </c>
      <c r="J14" t="s">
        <v>451</v>
      </c>
      <c r="K14" t="s">
        <v>651</v>
      </c>
      <c r="L14" t="s">
        <v>35</v>
      </c>
      <c r="M14" t="s">
        <v>24</v>
      </c>
    </row>
    <row r="15" spans="1:13" x14ac:dyDescent="0.3">
      <c r="A15" t="s">
        <v>549</v>
      </c>
      <c r="B15" t="s">
        <v>522</v>
      </c>
      <c r="C15" t="s">
        <v>523</v>
      </c>
      <c r="D15" t="s">
        <v>451</v>
      </c>
      <c r="E15" t="s">
        <v>524</v>
      </c>
      <c r="F15" t="s">
        <v>485</v>
      </c>
      <c r="I15">
        <v>63485497</v>
      </c>
      <c r="J15" t="s">
        <v>451</v>
      </c>
      <c r="K15" t="s">
        <v>651</v>
      </c>
      <c r="L15" t="s">
        <v>35</v>
      </c>
      <c r="M15" t="s">
        <v>24</v>
      </c>
    </row>
    <row r="16" spans="1:13" x14ac:dyDescent="0.3">
      <c r="A16" t="s">
        <v>549</v>
      </c>
      <c r="B16" t="s">
        <v>522</v>
      </c>
      <c r="C16" t="s">
        <v>523</v>
      </c>
      <c r="D16" t="s">
        <v>451</v>
      </c>
      <c r="E16" t="s">
        <v>524</v>
      </c>
      <c r="F16" t="s">
        <v>475</v>
      </c>
      <c r="I16">
        <v>69979361</v>
      </c>
      <c r="J16" t="s">
        <v>451</v>
      </c>
      <c r="K16" t="s">
        <v>651</v>
      </c>
      <c r="L16" t="s">
        <v>35</v>
      </c>
      <c r="M16" t="s">
        <v>24</v>
      </c>
    </row>
    <row r="17" spans="1:13" x14ac:dyDescent="0.3">
      <c r="A17" t="s">
        <v>551</v>
      </c>
      <c r="B17" t="s">
        <v>522</v>
      </c>
      <c r="C17" t="s">
        <v>523</v>
      </c>
      <c r="D17" t="s">
        <v>451</v>
      </c>
      <c r="E17" t="s">
        <v>524</v>
      </c>
      <c r="F17" t="s">
        <v>457</v>
      </c>
      <c r="I17">
        <v>343308791</v>
      </c>
      <c r="J17" t="s">
        <v>451</v>
      </c>
      <c r="K17" t="s">
        <v>651</v>
      </c>
      <c r="L17" t="s">
        <v>35</v>
      </c>
      <c r="M17" t="s">
        <v>24</v>
      </c>
    </row>
    <row r="18" spans="1:13" x14ac:dyDescent="0.3">
      <c r="A18" t="s">
        <v>551</v>
      </c>
      <c r="B18" t="s">
        <v>522</v>
      </c>
      <c r="C18" t="s">
        <v>523</v>
      </c>
      <c r="D18" t="s">
        <v>451</v>
      </c>
      <c r="E18" t="s">
        <v>524</v>
      </c>
      <c r="F18" t="s">
        <v>453</v>
      </c>
      <c r="I18">
        <v>0</v>
      </c>
      <c r="J18" t="s">
        <v>451</v>
      </c>
      <c r="K18" t="s">
        <v>651</v>
      </c>
      <c r="L18" t="s">
        <v>35</v>
      </c>
      <c r="M18" t="s">
        <v>24</v>
      </c>
    </row>
    <row r="19" spans="1:13" x14ac:dyDescent="0.3">
      <c r="A19" t="s">
        <v>551</v>
      </c>
      <c r="B19" t="s">
        <v>522</v>
      </c>
      <c r="C19" t="s">
        <v>523</v>
      </c>
      <c r="D19" t="s">
        <v>451</v>
      </c>
      <c r="E19" t="s">
        <v>524</v>
      </c>
      <c r="F19" t="s">
        <v>465</v>
      </c>
      <c r="I19">
        <v>105633472</v>
      </c>
      <c r="J19" t="s">
        <v>451</v>
      </c>
      <c r="K19" t="s">
        <v>651</v>
      </c>
      <c r="L19" t="s">
        <v>35</v>
      </c>
      <c r="M19" t="s">
        <v>24</v>
      </c>
    </row>
    <row r="20" spans="1:13" x14ac:dyDescent="0.3">
      <c r="A20" t="s">
        <v>551</v>
      </c>
      <c r="B20" t="s">
        <v>522</v>
      </c>
      <c r="C20" t="s">
        <v>523</v>
      </c>
      <c r="D20" t="s">
        <v>451</v>
      </c>
      <c r="E20" t="s">
        <v>524</v>
      </c>
      <c r="F20" t="s">
        <v>469</v>
      </c>
      <c r="I20">
        <v>75509638</v>
      </c>
      <c r="J20" t="s">
        <v>451</v>
      </c>
      <c r="K20" t="s">
        <v>651</v>
      </c>
      <c r="L20" t="s">
        <v>35</v>
      </c>
      <c r="M20" t="s">
        <v>24</v>
      </c>
    </row>
    <row r="21" spans="1:13" x14ac:dyDescent="0.3">
      <c r="A21" t="s">
        <v>551</v>
      </c>
      <c r="B21" t="s">
        <v>522</v>
      </c>
      <c r="C21" t="s">
        <v>523</v>
      </c>
      <c r="D21" t="s">
        <v>451</v>
      </c>
      <c r="E21" t="s">
        <v>524</v>
      </c>
      <c r="F21" t="s">
        <v>472</v>
      </c>
      <c r="I21">
        <v>173632204</v>
      </c>
      <c r="J21" t="s">
        <v>451</v>
      </c>
      <c r="K21" t="s">
        <v>651</v>
      </c>
      <c r="L21" t="s">
        <v>35</v>
      </c>
      <c r="M21" t="s">
        <v>24</v>
      </c>
    </row>
    <row r="22" spans="1:13" x14ac:dyDescent="0.3">
      <c r="A22" t="s">
        <v>551</v>
      </c>
      <c r="B22" t="s">
        <v>522</v>
      </c>
      <c r="C22" t="s">
        <v>523</v>
      </c>
      <c r="D22" t="s">
        <v>451</v>
      </c>
      <c r="E22" t="s">
        <v>524</v>
      </c>
      <c r="F22" t="s">
        <v>482</v>
      </c>
      <c r="I22">
        <v>5574093</v>
      </c>
      <c r="J22" t="s">
        <v>451</v>
      </c>
      <c r="K22" t="s">
        <v>651</v>
      </c>
      <c r="L22" t="s">
        <v>35</v>
      </c>
      <c r="M22" t="s">
        <v>24</v>
      </c>
    </row>
    <row r="23" spans="1:13" x14ac:dyDescent="0.3">
      <c r="A23" t="s">
        <v>551</v>
      </c>
      <c r="B23" t="s">
        <v>522</v>
      </c>
      <c r="C23" t="s">
        <v>523</v>
      </c>
      <c r="D23" t="s">
        <v>451</v>
      </c>
      <c r="E23" t="s">
        <v>524</v>
      </c>
      <c r="F23" t="s">
        <v>479</v>
      </c>
      <c r="I23">
        <v>13488976</v>
      </c>
      <c r="J23" t="s">
        <v>451</v>
      </c>
      <c r="K23" t="s">
        <v>651</v>
      </c>
      <c r="L23" t="s">
        <v>35</v>
      </c>
      <c r="M23" t="s">
        <v>24</v>
      </c>
    </row>
    <row r="24" spans="1:13" x14ac:dyDescent="0.3">
      <c r="A24" t="s">
        <v>551</v>
      </c>
      <c r="B24" t="s">
        <v>522</v>
      </c>
      <c r="C24" t="s">
        <v>523</v>
      </c>
      <c r="D24" t="s">
        <v>451</v>
      </c>
      <c r="E24" t="s">
        <v>524</v>
      </c>
      <c r="F24" t="s">
        <v>442</v>
      </c>
      <c r="I24">
        <v>744218137</v>
      </c>
      <c r="J24" t="s">
        <v>451</v>
      </c>
      <c r="K24" t="s">
        <v>651</v>
      </c>
      <c r="L24" t="s">
        <v>35</v>
      </c>
      <c r="M24" t="s">
        <v>24</v>
      </c>
    </row>
    <row r="25" spans="1:13" x14ac:dyDescent="0.3">
      <c r="A25" t="s">
        <v>551</v>
      </c>
      <c r="B25" t="s">
        <v>522</v>
      </c>
      <c r="C25" t="s">
        <v>523</v>
      </c>
      <c r="D25" t="s">
        <v>451</v>
      </c>
      <c r="E25" t="s">
        <v>524</v>
      </c>
      <c r="F25" t="s">
        <v>448</v>
      </c>
      <c r="I25">
        <v>744218137</v>
      </c>
      <c r="J25" t="s">
        <v>451</v>
      </c>
      <c r="K25" t="s">
        <v>651</v>
      </c>
      <c r="L25" t="s">
        <v>35</v>
      </c>
      <c r="M25" t="s">
        <v>24</v>
      </c>
    </row>
    <row r="26" spans="1:13" x14ac:dyDescent="0.3">
      <c r="A26" t="s">
        <v>551</v>
      </c>
      <c r="B26" t="s">
        <v>522</v>
      </c>
      <c r="C26" t="s">
        <v>523</v>
      </c>
      <c r="D26" t="s">
        <v>451</v>
      </c>
      <c r="E26" t="s">
        <v>524</v>
      </c>
      <c r="F26" t="s">
        <v>461</v>
      </c>
      <c r="I26">
        <v>400909346</v>
      </c>
      <c r="J26" t="s">
        <v>451</v>
      </c>
      <c r="K26" t="s">
        <v>651</v>
      </c>
      <c r="L26" t="s">
        <v>35</v>
      </c>
      <c r="M26" t="s">
        <v>24</v>
      </c>
    </row>
    <row r="27" spans="1:13" x14ac:dyDescent="0.3">
      <c r="A27" t="s">
        <v>551</v>
      </c>
      <c r="B27" t="s">
        <v>522</v>
      </c>
      <c r="C27" t="s">
        <v>523</v>
      </c>
      <c r="D27" t="s">
        <v>451</v>
      </c>
      <c r="E27" t="s">
        <v>524</v>
      </c>
      <c r="F27" t="s">
        <v>485</v>
      </c>
      <c r="I27">
        <v>54048915</v>
      </c>
      <c r="J27" t="s">
        <v>451</v>
      </c>
      <c r="K27" t="s">
        <v>651</v>
      </c>
      <c r="L27" t="s">
        <v>35</v>
      </c>
      <c r="M27" t="s">
        <v>24</v>
      </c>
    </row>
    <row r="28" spans="1:13" x14ac:dyDescent="0.3">
      <c r="A28" t="s">
        <v>551</v>
      </c>
      <c r="B28" t="s">
        <v>522</v>
      </c>
      <c r="C28" t="s">
        <v>523</v>
      </c>
      <c r="D28" t="s">
        <v>451</v>
      </c>
      <c r="E28" t="s">
        <v>524</v>
      </c>
      <c r="F28" t="s">
        <v>475</v>
      </c>
      <c r="I28">
        <v>46134032</v>
      </c>
      <c r="J28" t="s">
        <v>451</v>
      </c>
      <c r="K28" t="s">
        <v>651</v>
      </c>
      <c r="L28" t="s">
        <v>35</v>
      </c>
      <c r="M28" t="s">
        <v>24</v>
      </c>
    </row>
    <row r="29" spans="1:13" x14ac:dyDescent="0.3">
      <c r="A29" t="s">
        <v>552</v>
      </c>
      <c r="B29" t="s">
        <v>522</v>
      </c>
      <c r="C29" t="s">
        <v>523</v>
      </c>
      <c r="D29" t="s">
        <v>451</v>
      </c>
      <c r="E29" t="s">
        <v>524</v>
      </c>
      <c r="F29" t="s">
        <v>457</v>
      </c>
      <c r="I29">
        <v>455639201</v>
      </c>
      <c r="J29" t="s">
        <v>451</v>
      </c>
      <c r="K29" t="s">
        <v>651</v>
      </c>
      <c r="L29" t="s">
        <v>35</v>
      </c>
      <c r="M29" t="s">
        <v>24</v>
      </c>
    </row>
    <row r="30" spans="1:13" x14ac:dyDescent="0.3">
      <c r="A30" t="s">
        <v>552</v>
      </c>
      <c r="B30" t="s">
        <v>522</v>
      </c>
      <c r="C30" t="s">
        <v>523</v>
      </c>
      <c r="D30" t="s">
        <v>451</v>
      </c>
      <c r="E30" t="s">
        <v>524</v>
      </c>
      <c r="F30" t="s">
        <v>453</v>
      </c>
      <c r="I30">
        <v>-52063919</v>
      </c>
      <c r="J30" t="s">
        <v>451</v>
      </c>
      <c r="K30" t="s">
        <v>651</v>
      </c>
      <c r="L30" t="s">
        <v>35</v>
      </c>
      <c r="M30" t="s">
        <v>24</v>
      </c>
    </row>
    <row r="31" spans="1:13" x14ac:dyDescent="0.3">
      <c r="A31" t="s">
        <v>552</v>
      </c>
      <c r="B31" t="s">
        <v>522</v>
      </c>
      <c r="C31" t="s">
        <v>523</v>
      </c>
      <c r="D31" t="s">
        <v>451</v>
      </c>
      <c r="E31" t="s">
        <v>524</v>
      </c>
      <c r="F31" t="s">
        <v>465</v>
      </c>
      <c r="I31">
        <v>141811865</v>
      </c>
      <c r="J31" t="s">
        <v>451</v>
      </c>
      <c r="K31" t="s">
        <v>651</v>
      </c>
      <c r="L31" t="s">
        <v>35</v>
      </c>
      <c r="M31" t="s">
        <v>24</v>
      </c>
    </row>
    <row r="32" spans="1:13" x14ac:dyDescent="0.3">
      <c r="A32" t="s">
        <v>552</v>
      </c>
      <c r="B32" t="s">
        <v>522</v>
      </c>
      <c r="C32" t="s">
        <v>523</v>
      </c>
      <c r="D32" t="s">
        <v>451</v>
      </c>
      <c r="E32" t="s">
        <v>524</v>
      </c>
      <c r="F32" t="s">
        <v>469</v>
      </c>
      <c r="I32">
        <v>72217138</v>
      </c>
      <c r="J32" t="s">
        <v>451</v>
      </c>
      <c r="K32" t="s">
        <v>651</v>
      </c>
      <c r="L32" t="s">
        <v>35</v>
      </c>
      <c r="M32" t="s">
        <v>24</v>
      </c>
    </row>
    <row r="33" spans="1:13" x14ac:dyDescent="0.3">
      <c r="A33" t="s">
        <v>552</v>
      </c>
      <c r="B33" t="s">
        <v>522</v>
      </c>
      <c r="C33" t="s">
        <v>523</v>
      </c>
      <c r="D33" t="s">
        <v>451</v>
      </c>
      <c r="E33" t="s">
        <v>524</v>
      </c>
      <c r="F33" t="s">
        <v>472</v>
      </c>
      <c r="I33">
        <v>139615776</v>
      </c>
      <c r="J33" t="s">
        <v>451</v>
      </c>
      <c r="K33" t="s">
        <v>651</v>
      </c>
      <c r="L33" t="s">
        <v>35</v>
      </c>
      <c r="M33" t="s">
        <v>24</v>
      </c>
    </row>
    <row r="34" spans="1:13" x14ac:dyDescent="0.3">
      <c r="A34" t="s">
        <v>552</v>
      </c>
      <c r="B34" t="s">
        <v>522</v>
      </c>
      <c r="C34" t="s">
        <v>523</v>
      </c>
      <c r="D34" t="s">
        <v>451</v>
      </c>
      <c r="E34" t="s">
        <v>524</v>
      </c>
      <c r="F34" t="s">
        <v>482</v>
      </c>
      <c r="I34">
        <v>5497554</v>
      </c>
      <c r="J34" t="s">
        <v>451</v>
      </c>
      <c r="K34" t="s">
        <v>651</v>
      </c>
      <c r="L34" t="s">
        <v>35</v>
      </c>
      <c r="M34" t="s">
        <v>24</v>
      </c>
    </row>
    <row r="35" spans="1:13" x14ac:dyDescent="0.3">
      <c r="A35" t="s">
        <v>552</v>
      </c>
      <c r="B35" t="s">
        <v>522</v>
      </c>
      <c r="C35" t="s">
        <v>523</v>
      </c>
      <c r="D35" t="s">
        <v>451</v>
      </c>
      <c r="E35" t="s">
        <v>524</v>
      </c>
      <c r="F35" t="s">
        <v>479</v>
      </c>
      <c r="I35">
        <v>-10197660</v>
      </c>
      <c r="J35" t="s">
        <v>451</v>
      </c>
      <c r="K35" t="s">
        <v>651</v>
      </c>
      <c r="L35" t="s">
        <v>35</v>
      </c>
      <c r="M35" t="s">
        <v>24</v>
      </c>
    </row>
    <row r="36" spans="1:13" x14ac:dyDescent="0.3">
      <c r="A36" t="s">
        <v>552</v>
      </c>
      <c r="B36" t="s">
        <v>522</v>
      </c>
      <c r="C36" t="s">
        <v>523</v>
      </c>
      <c r="D36" t="s">
        <v>451</v>
      </c>
      <c r="E36" t="s">
        <v>524</v>
      </c>
      <c r="F36" t="s">
        <v>442</v>
      </c>
      <c r="I36">
        <v>787041187</v>
      </c>
      <c r="J36" t="s">
        <v>451</v>
      </c>
      <c r="K36" t="s">
        <v>651</v>
      </c>
      <c r="L36" t="s">
        <v>35</v>
      </c>
      <c r="M36" t="s">
        <v>24</v>
      </c>
    </row>
    <row r="37" spans="1:13" x14ac:dyDescent="0.3">
      <c r="A37" t="s">
        <v>552</v>
      </c>
      <c r="B37" t="s">
        <v>522</v>
      </c>
      <c r="C37" t="s">
        <v>523</v>
      </c>
      <c r="D37" t="s">
        <v>451</v>
      </c>
      <c r="E37" t="s">
        <v>524</v>
      </c>
      <c r="F37" t="s">
        <v>448</v>
      </c>
      <c r="I37">
        <v>839105106</v>
      </c>
      <c r="J37" t="s">
        <v>451</v>
      </c>
      <c r="K37" t="s">
        <v>651</v>
      </c>
      <c r="L37" t="s">
        <v>35</v>
      </c>
      <c r="M37" t="s">
        <v>24</v>
      </c>
    </row>
    <row r="38" spans="1:13" x14ac:dyDescent="0.3">
      <c r="A38" t="s">
        <v>552</v>
      </c>
      <c r="B38" t="s">
        <v>522</v>
      </c>
      <c r="C38" t="s">
        <v>523</v>
      </c>
      <c r="D38" t="s">
        <v>451</v>
      </c>
      <c r="E38" t="s">
        <v>524</v>
      </c>
      <c r="F38" t="s">
        <v>461</v>
      </c>
      <c r="I38">
        <v>331401986</v>
      </c>
      <c r="J38" t="s">
        <v>451</v>
      </c>
      <c r="K38" t="s">
        <v>651</v>
      </c>
      <c r="L38" t="s">
        <v>35</v>
      </c>
      <c r="M38" t="s">
        <v>24</v>
      </c>
    </row>
    <row r="39" spans="1:13" x14ac:dyDescent="0.3">
      <c r="A39" t="s">
        <v>552</v>
      </c>
      <c r="B39" t="s">
        <v>522</v>
      </c>
      <c r="C39" t="s">
        <v>523</v>
      </c>
      <c r="D39" t="s">
        <v>451</v>
      </c>
      <c r="E39" t="s">
        <v>524</v>
      </c>
      <c r="F39" t="s">
        <v>485</v>
      </c>
      <c r="I39">
        <v>-37938007</v>
      </c>
      <c r="J39" t="s">
        <v>451</v>
      </c>
      <c r="K39" t="s">
        <v>651</v>
      </c>
      <c r="L39" t="s">
        <v>35</v>
      </c>
      <c r="M39" t="s">
        <v>24</v>
      </c>
    </row>
    <row r="40" spans="1:13" x14ac:dyDescent="0.3">
      <c r="A40" t="s">
        <v>552</v>
      </c>
      <c r="B40" t="s">
        <v>522</v>
      </c>
      <c r="C40" t="s">
        <v>523</v>
      </c>
      <c r="D40" t="s">
        <v>451</v>
      </c>
      <c r="E40" t="s">
        <v>524</v>
      </c>
      <c r="F40" t="s">
        <v>475</v>
      </c>
      <c r="I40">
        <v>-22242793</v>
      </c>
      <c r="J40" t="s">
        <v>451</v>
      </c>
      <c r="K40" t="s">
        <v>651</v>
      </c>
      <c r="L40" t="s">
        <v>35</v>
      </c>
      <c r="M40" t="s">
        <v>24</v>
      </c>
    </row>
    <row r="41" spans="1:13" x14ac:dyDescent="0.3">
      <c r="A41" t="s">
        <v>553</v>
      </c>
      <c r="B41" t="s">
        <v>656</v>
      </c>
      <c r="C41" t="s">
        <v>657</v>
      </c>
      <c r="D41" t="s">
        <v>496</v>
      </c>
      <c r="E41" t="s">
        <v>524</v>
      </c>
      <c r="F41" t="s">
        <v>500</v>
      </c>
      <c r="G41" t="s">
        <v>664</v>
      </c>
      <c r="I41">
        <v>6982.98</v>
      </c>
      <c r="J41" t="s">
        <v>496</v>
      </c>
      <c r="K41" t="s">
        <v>665</v>
      </c>
      <c r="L41" t="s">
        <v>35</v>
      </c>
      <c r="M41" t="s">
        <v>24</v>
      </c>
    </row>
    <row r="42" spans="1:13" x14ac:dyDescent="0.3">
      <c r="A42" t="s">
        <v>553</v>
      </c>
      <c r="B42" t="s">
        <v>656</v>
      </c>
      <c r="C42" t="s">
        <v>657</v>
      </c>
      <c r="D42" t="s">
        <v>496</v>
      </c>
      <c r="E42" t="s">
        <v>524</v>
      </c>
      <c r="F42" t="s">
        <v>493</v>
      </c>
      <c r="G42" t="s">
        <v>664</v>
      </c>
      <c r="I42">
        <v>22965.15</v>
      </c>
      <c r="J42" t="s">
        <v>496</v>
      </c>
      <c r="K42" t="s">
        <v>665</v>
      </c>
      <c r="L42" t="s">
        <v>35</v>
      </c>
      <c r="M42" t="s">
        <v>24</v>
      </c>
    </row>
    <row r="43" spans="1:13" x14ac:dyDescent="0.3">
      <c r="A43" t="s">
        <v>553</v>
      </c>
      <c r="B43" t="s">
        <v>656</v>
      </c>
      <c r="C43" t="s">
        <v>657</v>
      </c>
      <c r="D43" t="s">
        <v>496</v>
      </c>
      <c r="E43" t="s">
        <v>524</v>
      </c>
      <c r="F43" t="s">
        <v>502</v>
      </c>
      <c r="G43" t="s">
        <v>664</v>
      </c>
      <c r="I43">
        <v>15982.17</v>
      </c>
      <c r="J43" t="s">
        <v>496</v>
      </c>
      <c r="K43" t="s">
        <v>665</v>
      </c>
      <c r="L43" t="s">
        <v>35</v>
      </c>
      <c r="M43" t="s">
        <v>24</v>
      </c>
    </row>
    <row r="44" spans="1:13" x14ac:dyDescent="0.3">
      <c r="A44" t="s">
        <v>553</v>
      </c>
      <c r="B44" t="s">
        <v>522</v>
      </c>
      <c r="C44" t="s">
        <v>523</v>
      </c>
      <c r="D44" t="s">
        <v>451</v>
      </c>
      <c r="E44" t="s">
        <v>524</v>
      </c>
      <c r="F44" t="s">
        <v>457</v>
      </c>
      <c r="I44">
        <v>379273594</v>
      </c>
      <c r="J44" t="s">
        <v>451</v>
      </c>
      <c r="K44" t="s">
        <v>651</v>
      </c>
      <c r="L44" t="s">
        <v>35</v>
      </c>
      <c r="M44" t="s">
        <v>24</v>
      </c>
    </row>
    <row r="45" spans="1:13" x14ac:dyDescent="0.3">
      <c r="A45" t="s">
        <v>553</v>
      </c>
      <c r="B45" t="s">
        <v>522</v>
      </c>
      <c r="C45" t="s">
        <v>523</v>
      </c>
      <c r="D45" t="s">
        <v>496</v>
      </c>
      <c r="E45" t="s">
        <v>524</v>
      </c>
      <c r="F45" t="s">
        <v>457</v>
      </c>
      <c r="G45" t="s">
        <v>654</v>
      </c>
      <c r="I45">
        <v>104843.58</v>
      </c>
      <c r="J45" t="s">
        <v>496</v>
      </c>
      <c r="K45" t="s">
        <v>655</v>
      </c>
      <c r="L45" t="s">
        <v>35</v>
      </c>
      <c r="M45" t="s">
        <v>24</v>
      </c>
    </row>
    <row r="46" spans="1:13" x14ac:dyDescent="0.3">
      <c r="A46" t="s">
        <v>553</v>
      </c>
      <c r="B46" t="s">
        <v>660</v>
      </c>
      <c r="C46" t="s">
        <v>661</v>
      </c>
      <c r="D46" t="s">
        <v>496</v>
      </c>
      <c r="E46" t="s">
        <v>524</v>
      </c>
      <c r="F46" t="s">
        <v>457</v>
      </c>
      <c r="G46" t="s">
        <v>654</v>
      </c>
      <c r="I46">
        <v>104843.58</v>
      </c>
      <c r="J46" t="s">
        <v>496</v>
      </c>
      <c r="K46" t="s">
        <v>662</v>
      </c>
      <c r="L46" t="s">
        <v>35</v>
      </c>
      <c r="M46" t="s">
        <v>24</v>
      </c>
    </row>
    <row r="47" spans="1:13" x14ac:dyDescent="0.3">
      <c r="A47" t="s">
        <v>553</v>
      </c>
      <c r="B47" t="s">
        <v>658</v>
      </c>
      <c r="C47" t="s">
        <v>659</v>
      </c>
      <c r="D47" t="s">
        <v>496</v>
      </c>
      <c r="E47" t="s">
        <v>524</v>
      </c>
      <c r="F47" t="s">
        <v>457</v>
      </c>
      <c r="G47" t="s">
        <v>654</v>
      </c>
      <c r="I47">
        <v>0</v>
      </c>
      <c r="J47" t="s">
        <v>496</v>
      </c>
      <c r="K47" t="s">
        <v>655</v>
      </c>
      <c r="L47" t="s">
        <v>35</v>
      </c>
      <c r="M47" t="s">
        <v>24</v>
      </c>
    </row>
    <row r="48" spans="1:13" x14ac:dyDescent="0.3">
      <c r="A48" t="s">
        <v>553</v>
      </c>
      <c r="B48" t="s">
        <v>652</v>
      </c>
      <c r="C48" t="s">
        <v>653</v>
      </c>
      <c r="D48" t="s">
        <v>496</v>
      </c>
      <c r="E48" t="s">
        <v>524</v>
      </c>
      <c r="F48" t="s">
        <v>457</v>
      </c>
      <c r="G48" t="s">
        <v>654</v>
      </c>
      <c r="I48">
        <v>0</v>
      </c>
      <c r="J48" t="s">
        <v>496</v>
      </c>
      <c r="K48" t="s">
        <v>655</v>
      </c>
      <c r="L48" t="s">
        <v>35</v>
      </c>
      <c r="M48" t="s">
        <v>24</v>
      </c>
    </row>
    <row r="49" spans="1:13" x14ac:dyDescent="0.3">
      <c r="A49" t="s">
        <v>553</v>
      </c>
      <c r="B49" t="s">
        <v>656</v>
      </c>
      <c r="C49" t="s">
        <v>657</v>
      </c>
      <c r="D49" t="s">
        <v>496</v>
      </c>
      <c r="E49" t="s">
        <v>524</v>
      </c>
      <c r="F49" t="s">
        <v>457</v>
      </c>
      <c r="G49" t="s">
        <v>654</v>
      </c>
      <c r="I49">
        <v>0</v>
      </c>
      <c r="J49" t="s">
        <v>496</v>
      </c>
      <c r="K49" t="s">
        <v>655</v>
      </c>
      <c r="L49" t="s">
        <v>35</v>
      </c>
      <c r="M49" t="s">
        <v>24</v>
      </c>
    </row>
    <row r="50" spans="1:13" x14ac:dyDescent="0.3">
      <c r="A50" t="s">
        <v>553</v>
      </c>
      <c r="B50" t="s">
        <v>522</v>
      </c>
      <c r="C50" t="s">
        <v>523</v>
      </c>
      <c r="D50" t="s">
        <v>451</v>
      </c>
      <c r="E50" t="s">
        <v>524</v>
      </c>
      <c r="F50" t="s">
        <v>453</v>
      </c>
      <c r="I50">
        <v>-68329638</v>
      </c>
      <c r="J50" t="s">
        <v>451</v>
      </c>
      <c r="K50" t="s">
        <v>651</v>
      </c>
      <c r="L50" t="s">
        <v>35</v>
      </c>
      <c r="M50" t="s">
        <v>24</v>
      </c>
    </row>
    <row r="51" spans="1:13" x14ac:dyDescent="0.3">
      <c r="A51" t="s">
        <v>553</v>
      </c>
      <c r="B51" t="s">
        <v>522</v>
      </c>
      <c r="C51" t="s">
        <v>523</v>
      </c>
      <c r="D51" t="s">
        <v>451</v>
      </c>
      <c r="E51" t="s">
        <v>524</v>
      </c>
      <c r="F51" t="s">
        <v>465</v>
      </c>
      <c r="I51">
        <v>114280887</v>
      </c>
      <c r="J51" t="s">
        <v>451</v>
      </c>
      <c r="K51" t="s">
        <v>651</v>
      </c>
      <c r="L51" t="s">
        <v>35</v>
      </c>
      <c r="M51" t="s">
        <v>24</v>
      </c>
    </row>
    <row r="52" spans="1:13" x14ac:dyDescent="0.3">
      <c r="A52" t="s">
        <v>553</v>
      </c>
      <c r="B52" t="s">
        <v>522</v>
      </c>
      <c r="C52" t="s">
        <v>523</v>
      </c>
      <c r="D52" t="s">
        <v>496</v>
      </c>
      <c r="E52" t="s">
        <v>524</v>
      </c>
      <c r="F52" t="s">
        <v>465</v>
      </c>
      <c r="G52" t="s">
        <v>654</v>
      </c>
      <c r="I52">
        <v>31590.959999999999</v>
      </c>
      <c r="J52" t="s">
        <v>496</v>
      </c>
      <c r="K52" t="s">
        <v>655</v>
      </c>
      <c r="L52" t="s">
        <v>35</v>
      </c>
      <c r="M52" t="s">
        <v>24</v>
      </c>
    </row>
    <row r="53" spans="1:13" x14ac:dyDescent="0.3">
      <c r="A53" t="s">
        <v>553</v>
      </c>
      <c r="B53" t="s">
        <v>660</v>
      </c>
      <c r="C53" t="s">
        <v>661</v>
      </c>
      <c r="D53" t="s">
        <v>496</v>
      </c>
      <c r="E53" t="s">
        <v>524</v>
      </c>
      <c r="F53" t="s">
        <v>465</v>
      </c>
      <c r="G53" t="s">
        <v>654</v>
      </c>
      <c r="I53">
        <v>-32101.85</v>
      </c>
      <c r="J53" t="s">
        <v>496</v>
      </c>
      <c r="K53" t="s">
        <v>662</v>
      </c>
      <c r="L53" t="s">
        <v>35</v>
      </c>
      <c r="M53" t="s">
        <v>24</v>
      </c>
    </row>
    <row r="54" spans="1:13" x14ac:dyDescent="0.3">
      <c r="A54" t="s">
        <v>553</v>
      </c>
      <c r="B54" t="s">
        <v>658</v>
      </c>
      <c r="C54" t="s">
        <v>659</v>
      </c>
      <c r="D54" t="s">
        <v>496</v>
      </c>
      <c r="E54" t="s">
        <v>524</v>
      </c>
      <c r="F54" t="s">
        <v>465</v>
      </c>
      <c r="G54" t="s">
        <v>654</v>
      </c>
      <c r="I54">
        <v>-17320.22</v>
      </c>
      <c r="J54" t="s">
        <v>496</v>
      </c>
      <c r="K54" t="s">
        <v>655</v>
      </c>
      <c r="L54" t="s">
        <v>35</v>
      </c>
      <c r="M54" t="s">
        <v>24</v>
      </c>
    </row>
    <row r="55" spans="1:13" x14ac:dyDescent="0.3">
      <c r="A55" t="s">
        <v>553</v>
      </c>
      <c r="B55" t="s">
        <v>652</v>
      </c>
      <c r="C55" t="s">
        <v>653</v>
      </c>
      <c r="D55" t="s">
        <v>496</v>
      </c>
      <c r="E55" t="s">
        <v>524</v>
      </c>
      <c r="F55" t="s">
        <v>465</v>
      </c>
      <c r="G55" t="s">
        <v>654</v>
      </c>
      <c r="I55">
        <v>-46372.59</v>
      </c>
      <c r="J55" t="s">
        <v>496</v>
      </c>
      <c r="K55" t="s">
        <v>655</v>
      </c>
      <c r="L55" t="s">
        <v>35</v>
      </c>
      <c r="M55" t="s">
        <v>24</v>
      </c>
    </row>
    <row r="56" spans="1:13" x14ac:dyDescent="0.3">
      <c r="A56" t="s">
        <v>553</v>
      </c>
      <c r="B56" t="s">
        <v>656</v>
      </c>
      <c r="C56" t="s">
        <v>657</v>
      </c>
      <c r="D56" t="s">
        <v>496</v>
      </c>
      <c r="E56" t="s">
        <v>524</v>
      </c>
      <c r="F56" t="s">
        <v>465</v>
      </c>
      <c r="G56" t="s">
        <v>654</v>
      </c>
      <c r="I56">
        <v>0</v>
      </c>
      <c r="J56" t="s">
        <v>496</v>
      </c>
      <c r="K56" t="s">
        <v>655</v>
      </c>
      <c r="L56" t="s">
        <v>35</v>
      </c>
      <c r="M56" t="s">
        <v>24</v>
      </c>
    </row>
    <row r="57" spans="1:13" x14ac:dyDescent="0.3">
      <c r="A57" t="s">
        <v>553</v>
      </c>
      <c r="B57" t="s">
        <v>522</v>
      </c>
      <c r="C57" t="s">
        <v>523</v>
      </c>
      <c r="D57" t="s">
        <v>451</v>
      </c>
      <c r="E57" t="s">
        <v>524</v>
      </c>
      <c r="F57" t="s">
        <v>469</v>
      </c>
      <c r="I57">
        <v>122384514</v>
      </c>
      <c r="J57" t="s">
        <v>451</v>
      </c>
      <c r="K57" t="s">
        <v>651</v>
      </c>
      <c r="L57" t="s">
        <v>35</v>
      </c>
      <c r="M57" t="s">
        <v>24</v>
      </c>
    </row>
    <row r="58" spans="1:13" x14ac:dyDescent="0.3">
      <c r="A58" t="s">
        <v>553</v>
      </c>
      <c r="B58" t="s">
        <v>522</v>
      </c>
      <c r="C58" t="s">
        <v>523</v>
      </c>
      <c r="D58" t="s">
        <v>496</v>
      </c>
      <c r="E58" t="s">
        <v>524</v>
      </c>
      <c r="F58" t="s">
        <v>469</v>
      </c>
      <c r="G58" t="s">
        <v>654</v>
      </c>
      <c r="I58">
        <v>33831.07</v>
      </c>
      <c r="J58" t="s">
        <v>496</v>
      </c>
      <c r="K58" t="s">
        <v>655</v>
      </c>
      <c r="L58" t="s">
        <v>35</v>
      </c>
      <c r="M58" t="s">
        <v>24</v>
      </c>
    </row>
    <row r="59" spans="1:13" x14ac:dyDescent="0.3">
      <c r="A59" t="s">
        <v>553</v>
      </c>
      <c r="B59" t="s">
        <v>660</v>
      </c>
      <c r="C59" t="s">
        <v>661</v>
      </c>
      <c r="D59" t="s">
        <v>496</v>
      </c>
      <c r="E59" t="s">
        <v>524</v>
      </c>
      <c r="F59" t="s">
        <v>469</v>
      </c>
      <c r="G59" t="s">
        <v>654</v>
      </c>
      <c r="I59">
        <v>33831.07</v>
      </c>
      <c r="J59" t="s">
        <v>496</v>
      </c>
      <c r="K59" t="s">
        <v>662</v>
      </c>
      <c r="L59" t="s">
        <v>35</v>
      </c>
      <c r="M59" t="s">
        <v>24</v>
      </c>
    </row>
    <row r="60" spans="1:13" x14ac:dyDescent="0.3">
      <c r="A60" t="s">
        <v>553</v>
      </c>
      <c r="B60" t="s">
        <v>658</v>
      </c>
      <c r="C60" t="s">
        <v>659</v>
      </c>
      <c r="D60" t="s">
        <v>496</v>
      </c>
      <c r="E60" t="s">
        <v>524</v>
      </c>
      <c r="F60" t="s">
        <v>469</v>
      </c>
      <c r="G60" t="s">
        <v>654</v>
      </c>
      <c r="I60">
        <v>0</v>
      </c>
      <c r="J60" t="s">
        <v>496</v>
      </c>
      <c r="K60" t="s">
        <v>655</v>
      </c>
      <c r="L60" t="s">
        <v>35</v>
      </c>
      <c r="M60" t="s">
        <v>24</v>
      </c>
    </row>
    <row r="61" spans="1:13" x14ac:dyDescent="0.3">
      <c r="A61" t="s">
        <v>553</v>
      </c>
      <c r="B61" t="s">
        <v>652</v>
      </c>
      <c r="C61" t="s">
        <v>653</v>
      </c>
      <c r="D61" t="s">
        <v>496</v>
      </c>
      <c r="E61" t="s">
        <v>524</v>
      </c>
      <c r="F61" t="s">
        <v>469</v>
      </c>
      <c r="G61" t="s">
        <v>654</v>
      </c>
      <c r="I61">
        <v>0</v>
      </c>
      <c r="J61" t="s">
        <v>496</v>
      </c>
      <c r="K61" t="s">
        <v>655</v>
      </c>
      <c r="L61" t="s">
        <v>35</v>
      </c>
      <c r="M61" t="s">
        <v>24</v>
      </c>
    </row>
    <row r="62" spans="1:13" x14ac:dyDescent="0.3">
      <c r="A62" t="s">
        <v>553</v>
      </c>
      <c r="B62" t="s">
        <v>656</v>
      </c>
      <c r="C62" t="s">
        <v>657</v>
      </c>
      <c r="D62" t="s">
        <v>496</v>
      </c>
      <c r="E62" t="s">
        <v>524</v>
      </c>
      <c r="F62" t="s">
        <v>469</v>
      </c>
      <c r="G62" t="s">
        <v>654</v>
      </c>
      <c r="I62">
        <v>0</v>
      </c>
      <c r="J62" t="s">
        <v>496</v>
      </c>
      <c r="K62" t="s">
        <v>655</v>
      </c>
      <c r="L62" t="s">
        <v>35</v>
      </c>
      <c r="M62" t="s">
        <v>24</v>
      </c>
    </row>
    <row r="63" spans="1:13" x14ac:dyDescent="0.3">
      <c r="A63" t="s">
        <v>553</v>
      </c>
      <c r="B63" t="s">
        <v>522</v>
      </c>
      <c r="C63" t="s">
        <v>523</v>
      </c>
      <c r="D63" t="s">
        <v>451</v>
      </c>
      <c r="E63" t="s">
        <v>524</v>
      </c>
      <c r="F63" t="s">
        <v>472</v>
      </c>
      <c r="I63">
        <v>130090415</v>
      </c>
      <c r="J63" t="s">
        <v>451</v>
      </c>
      <c r="K63" t="s">
        <v>651</v>
      </c>
      <c r="L63" t="s">
        <v>35</v>
      </c>
      <c r="M63" t="s">
        <v>24</v>
      </c>
    </row>
    <row r="64" spans="1:13" x14ac:dyDescent="0.3">
      <c r="A64" t="s">
        <v>553</v>
      </c>
      <c r="B64" t="s">
        <v>522</v>
      </c>
      <c r="C64" t="s">
        <v>523</v>
      </c>
      <c r="D64" t="s">
        <v>496</v>
      </c>
      <c r="E64" t="s">
        <v>524</v>
      </c>
      <c r="F64" t="s">
        <v>472</v>
      </c>
      <c r="G64" t="s">
        <v>654</v>
      </c>
      <c r="I64">
        <v>35961.230000000003</v>
      </c>
      <c r="J64" t="s">
        <v>496</v>
      </c>
      <c r="K64" t="s">
        <v>655</v>
      </c>
      <c r="L64" t="s">
        <v>35</v>
      </c>
      <c r="M64" t="s">
        <v>24</v>
      </c>
    </row>
    <row r="65" spans="1:13" x14ac:dyDescent="0.3">
      <c r="A65" t="s">
        <v>553</v>
      </c>
      <c r="B65" t="s">
        <v>660</v>
      </c>
      <c r="C65" t="s">
        <v>661</v>
      </c>
      <c r="D65" t="s">
        <v>496</v>
      </c>
      <c r="E65" t="s">
        <v>524</v>
      </c>
      <c r="F65" t="s">
        <v>472</v>
      </c>
      <c r="G65" t="s">
        <v>654</v>
      </c>
      <c r="I65">
        <v>35961.230000000003</v>
      </c>
      <c r="J65" t="s">
        <v>496</v>
      </c>
      <c r="K65" t="s">
        <v>662</v>
      </c>
      <c r="L65" t="s">
        <v>35</v>
      </c>
      <c r="M65" t="s">
        <v>24</v>
      </c>
    </row>
    <row r="66" spans="1:13" x14ac:dyDescent="0.3">
      <c r="A66" t="s">
        <v>553</v>
      </c>
      <c r="B66" t="s">
        <v>658</v>
      </c>
      <c r="C66" t="s">
        <v>659</v>
      </c>
      <c r="D66" t="s">
        <v>496</v>
      </c>
      <c r="E66" t="s">
        <v>524</v>
      </c>
      <c r="F66" t="s">
        <v>472</v>
      </c>
      <c r="G66" t="s">
        <v>654</v>
      </c>
      <c r="I66">
        <v>0</v>
      </c>
      <c r="J66" t="s">
        <v>496</v>
      </c>
      <c r="K66" t="s">
        <v>655</v>
      </c>
      <c r="L66" t="s">
        <v>35</v>
      </c>
      <c r="M66" t="s">
        <v>24</v>
      </c>
    </row>
    <row r="67" spans="1:13" x14ac:dyDescent="0.3">
      <c r="A67" t="s">
        <v>553</v>
      </c>
      <c r="B67" t="s">
        <v>652</v>
      </c>
      <c r="C67" t="s">
        <v>653</v>
      </c>
      <c r="D67" t="s">
        <v>496</v>
      </c>
      <c r="E67" t="s">
        <v>524</v>
      </c>
      <c r="F67" t="s">
        <v>472</v>
      </c>
      <c r="G67" t="s">
        <v>654</v>
      </c>
      <c r="I67">
        <v>0</v>
      </c>
      <c r="J67" t="s">
        <v>496</v>
      </c>
      <c r="K67" t="s">
        <v>655</v>
      </c>
      <c r="L67" t="s">
        <v>35</v>
      </c>
      <c r="M67" t="s">
        <v>24</v>
      </c>
    </row>
    <row r="68" spans="1:13" x14ac:dyDescent="0.3">
      <c r="A68" t="s">
        <v>553</v>
      </c>
      <c r="B68" t="s">
        <v>656</v>
      </c>
      <c r="C68" t="s">
        <v>657</v>
      </c>
      <c r="D68" t="s">
        <v>496</v>
      </c>
      <c r="E68" t="s">
        <v>524</v>
      </c>
      <c r="F68" t="s">
        <v>472</v>
      </c>
      <c r="G68" t="s">
        <v>654</v>
      </c>
      <c r="I68">
        <v>0</v>
      </c>
      <c r="J68" t="s">
        <v>496</v>
      </c>
      <c r="K68" t="s">
        <v>655</v>
      </c>
      <c r="L68" t="s">
        <v>35</v>
      </c>
      <c r="M68" t="s">
        <v>24</v>
      </c>
    </row>
    <row r="69" spans="1:13" x14ac:dyDescent="0.3">
      <c r="A69" t="s">
        <v>553</v>
      </c>
      <c r="B69" t="s">
        <v>522</v>
      </c>
      <c r="C69" t="s">
        <v>523</v>
      </c>
      <c r="D69" t="s">
        <v>451</v>
      </c>
      <c r="E69" t="s">
        <v>524</v>
      </c>
      <c r="F69" t="s">
        <v>482</v>
      </c>
      <c r="I69">
        <v>5038594</v>
      </c>
      <c r="J69" t="s">
        <v>451</v>
      </c>
      <c r="K69" t="s">
        <v>651</v>
      </c>
      <c r="L69" t="s">
        <v>35</v>
      </c>
      <c r="M69" t="s">
        <v>24</v>
      </c>
    </row>
    <row r="70" spans="1:13" x14ac:dyDescent="0.3">
      <c r="A70" t="s">
        <v>553</v>
      </c>
      <c r="B70" t="s">
        <v>522</v>
      </c>
      <c r="C70" t="s">
        <v>523</v>
      </c>
      <c r="D70" t="s">
        <v>496</v>
      </c>
      <c r="E70" t="s">
        <v>524</v>
      </c>
      <c r="F70" t="s">
        <v>482</v>
      </c>
      <c r="G70" t="s">
        <v>654</v>
      </c>
      <c r="I70">
        <v>1392.83</v>
      </c>
      <c r="J70" t="s">
        <v>496</v>
      </c>
      <c r="K70" t="s">
        <v>655</v>
      </c>
      <c r="L70" t="s">
        <v>35</v>
      </c>
      <c r="M70" t="s">
        <v>24</v>
      </c>
    </row>
    <row r="71" spans="1:13" x14ac:dyDescent="0.3">
      <c r="A71" t="s">
        <v>553</v>
      </c>
      <c r="B71" t="s">
        <v>660</v>
      </c>
      <c r="C71" t="s">
        <v>661</v>
      </c>
      <c r="D71" t="s">
        <v>496</v>
      </c>
      <c r="E71" t="s">
        <v>524</v>
      </c>
      <c r="F71" t="s">
        <v>482</v>
      </c>
      <c r="G71" t="s">
        <v>654</v>
      </c>
      <c r="I71">
        <v>1568.11</v>
      </c>
      <c r="J71" t="s">
        <v>496</v>
      </c>
      <c r="K71" t="s">
        <v>662</v>
      </c>
      <c r="L71" t="s">
        <v>35</v>
      </c>
      <c r="M71" t="s">
        <v>24</v>
      </c>
    </row>
    <row r="72" spans="1:13" x14ac:dyDescent="0.3">
      <c r="A72" t="s">
        <v>553</v>
      </c>
      <c r="B72" t="s">
        <v>658</v>
      </c>
      <c r="C72" t="s">
        <v>659</v>
      </c>
      <c r="D72" t="s">
        <v>496</v>
      </c>
      <c r="E72" t="s">
        <v>524</v>
      </c>
      <c r="F72" t="s">
        <v>482</v>
      </c>
      <c r="G72" t="s">
        <v>654</v>
      </c>
      <c r="I72">
        <v>267.92</v>
      </c>
      <c r="J72" t="s">
        <v>496</v>
      </c>
      <c r="K72" t="s">
        <v>655</v>
      </c>
      <c r="L72" t="s">
        <v>35</v>
      </c>
      <c r="M72" t="s">
        <v>24</v>
      </c>
    </row>
    <row r="73" spans="1:13" x14ac:dyDescent="0.3">
      <c r="A73" t="s">
        <v>553</v>
      </c>
      <c r="B73" t="s">
        <v>652</v>
      </c>
      <c r="C73" t="s">
        <v>653</v>
      </c>
      <c r="D73" t="s">
        <v>496</v>
      </c>
      <c r="E73" t="s">
        <v>524</v>
      </c>
      <c r="F73" t="s">
        <v>482</v>
      </c>
      <c r="G73" t="s">
        <v>654</v>
      </c>
      <c r="I73">
        <v>0</v>
      </c>
      <c r="J73" t="s">
        <v>496</v>
      </c>
      <c r="K73" t="s">
        <v>655</v>
      </c>
      <c r="L73" t="s">
        <v>35</v>
      </c>
      <c r="M73" t="s">
        <v>24</v>
      </c>
    </row>
    <row r="74" spans="1:13" x14ac:dyDescent="0.3">
      <c r="A74" t="s">
        <v>553</v>
      </c>
      <c r="B74" t="s">
        <v>656</v>
      </c>
      <c r="C74" t="s">
        <v>657</v>
      </c>
      <c r="D74" t="s">
        <v>496</v>
      </c>
      <c r="E74" t="s">
        <v>524</v>
      </c>
      <c r="F74" t="s">
        <v>482</v>
      </c>
      <c r="G74" t="s">
        <v>654</v>
      </c>
      <c r="I74">
        <v>-92.64</v>
      </c>
      <c r="J74" t="s">
        <v>496</v>
      </c>
      <c r="K74" t="s">
        <v>655</v>
      </c>
      <c r="L74" t="s">
        <v>35</v>
      </c>
      <c r="M74" t="s">
        <v>24</v>
      </c>
    </row>
    <row r="75" spans="1:13" x14ac:dyDescent="0.3">
      <c r="A75" t="s">
        <v>553</v>
      </c>
      <c r="B75" t="s">
        <v>522</v>
      </c>
      <c r="C75" t="s">
        <v>523</v>
      </c>
      <c r="D75" t="s">
        <v>451</v>
      </c>
      <c r="E75" t="s">
        <v>524</v>
      </c>
      <c r="F75" t="s">
        <v>479</v>
      </c>
      <c r="I75">
        <v>906545</v>
      </c>
      <c r="J75" t="s">
        <v>451</v>
      </c>
      <c r="K75" t="s">
        <v>651</v>
      </c>
      <c r="L75" t="s">
        <v>35</v>
      </c>
      <c r="M75" t="s">
        <v>24</v>
      </c>
    </row>
    <row r="76" spans="1:13" x14ac:dyDescent="0.3">
      <c r="A76" t="s">
        <v>553</v>
      </c>
      <c r="B76" t="s">
        <v>522</v>
      </c>
      <c r="C76" t="s">
        <v>523</v>
      </c>
      <c r="D76" t="s">
        <v>496</v>
      </c>
      <c r="E76" t="s">
        <v>524</v>
      </c>
      <c r="F76" t="s">
        <v>479</v>
      </c>
      <c r="G76" t="s">
        <v>654</v>
      </c>
      <c r="I76">
        <v>250.6</v>
      </c>
      <c r="J76" t="s">
        <v>496</v>
      </c>
      <c r="K76" t="s">
        <v>655</v>
      </c>
      <c r="L76" t="s">
        <v>35</v>
      </c>
      <c r="M76" t="s">
        <v>24</v>
      </c>
    </row>
    <row r="77" spans="1:13" x14ac:dyDescent="0.3">
      <c r="A77" t="s">
        <v>553</v>
      </c>
      <c r="B77" t="s">
        <v>660</v>
      </c>
      <c r="C77" t="s">
        <v>661</v>
      </c>
      <c r="D77" t="s">
        <v>496</v>
      </c>
      <c r="E77" t="s">
        <v>524</v>
      </c>
      <c r="F77" t="s">
        <v>479</v>
      </c>
      <c r="G77" t="s">
        <v>654</v>
      </c>
      <c r="I77">
        <v>250.6</v>
      </c>
      <c r="J77" t="s">
        <v>496</v>
      </c>
      <c r="K77" t="s">
        <v>662</v>
      </c>
      <c r="L77" t="s">
        <v>35</v>
      </c>
      <c r="M77" t="s">
        <v>24</v>
      </c>
    </row>
    <row r="78" spans="1:13" x14ac:dyDescent="0.3">
      <c r="A78" t="s">
        <v>553</v>
      </c>
      <c r="B78" t="s">
        <v>658</v>
      </c>
      <c r="C78" t="s">
        <v>659</v>
      </c>
      <c r="D78" t="s">
        <v>496</v>
      </c>
      <c r="E78" t="s">
        <v>524</v>
      </c>
      <c r="F78" t="s">
        <v>479</v>
      </c>
      <c r="G78" t="s">
        <v>654</v>
      </c>
      <c r="I78">
        <v>0</v>
      </c>
      <c r="J78" t="s">
        <v>496</v>
      </c>
      <c r="K78" t="s">
        <v>655</v>
      </c>
      <c r="L78" t="s">
        <v>35</v>
      </c>
      <c r="M78" t="s">
        <v>24</v>
      </c>
    </row>
    <row r="79" spans="1:13" x14ac:dyDescent="0.3">
      <c r="A79" t="s">
        <v>553</v>
      </c>
      <c r="B79" t="s">
        <v>652</v>
      </c>
      <c r="C79" t="s">
        <v>653</v>
      </c>
      <c r="D79" t="s">
        <v>496</v>
      </c>
      <c r="E79" t="s">
        <v>524</v>
      </c>
      <c r="F79" t="s">
        <v>479</v>
      </c>
      <c r="G79" t="s">
        <v>654</v>
      </c>
      <c r="I79">
        <v>0</v>
      </c>
      <c r="J79" t="s">
        <v>496</v>
      </c>
      <c r="K79" t="s">
        <v>655</v>
      </c>
      <c r="L79" t="s">
        <v>35</v>
      </c>
      <c r="M79" t="s">
        <v>24</v>
      </c>
    </row>
    <row r="80" spans="1:13" x14ac:dyDescent="0.3">
      <c r="A80" t="s">
        <v>553</v>
      </c>
      <c r="B80" t="s">
        <v>656</v>
      </c>
      <c r="C80" t="s">
        <v>657</v>
      </c>
      <c r="D80" t="s">
        <v>496</v>
      </c>
      <c r="E80" t="s">
        <v>524</v>
      </c>
      <c r="F80" t="s">
        <v>479</v>
      </c>
      <c r="G80" t="s">
        <v>654</v>
      </c>
      <c r="I80">
        <v>0</v>
      </c>
      <c r="J80" t="s">
        <v>496</v>
      </c>
      <c r="K80" t="s">
        <v>655</v>
      </c>
      <c r="L80" t="s">
        <v>35</v>
      </c>
      <c r="M80" t="s">
        <v>24</v>
      </c>
    </row>
    <row r="81" spans="1:13" x14ac:dyDescent="0.3">
      <c r="A81" t="s">
        <v>553</v>
      </c>
      <c r="B81" t="s">
        <v>522</v>
      </c>
      <c r="C81" t="s">
        <v>523</v>
      </c>
      <c r="D81" t="s">
        <v>451</v>
      </c>
      <c r="E81" t="s">
        <v>524</v>
      </c>
      <c r="F81" t="s">
        <v>442</v>
      </c>
      <c r="I81">
        <v>750867662</v>
      </c>
      <c r="J81" t="s">
        <v>451</v>
      </c>
      <c r="K81" t="s">
        <v>651</v>
      </c>
      <c r="L81" t="s">
        <v>35</v>
      </c>
      <c r="M81" t="s">
        <v>24</v>
      </c>
    </row>
    <row r="82" spans="1:13" x14ac:dyDescent="0.3">
      <c r="A82" t="s">
        <v>553</v>
      </c>
      <c r="B82" t="s">
        <v>522</v>
      </c>
      <c r="C82" t="s">
        <v>523</v>
      </c>
      <c r="D82" t="s">
        <v>496</v>
      </c>
      <c r="E82" t="s">
        <v>524</v>
      </c>
      <c r="F82" t="s">
        <v>442</v>
      </c>
      <c r="G82" t="s">
        <v>654</v>
      </c>
      <c r="I82">
        <v>207564.28</v>
      </c>
      <c r="J82" t="s">
        <v>496</v>
      </c>
      <c r="K82" t="s">
        <v>655</v>
      </c>
      <c r="L82" t="s">
        <v>35</v>
      </c>
      <c r="M82" t="s">
        <v>24</v>
      </c>
    </row>
    <row r="83" spans="1:13" x14ac:dyDescent="0.3">
      <c r="A83" t="s">
        <v>553</v>
      </c>
      <c r="B83" t="s">
        <v>660</v>
      </c>
      <c r="C83" t="s">
        <v>661</v>
      </c>
      <c r="D83" t="s">
        <v>496</v>
      </c>
      <c r="E83" t="s">
        <v>524</v>
      </c>
      <c r="F83" t="s">
        <v>442</v>
      </c>
      <c r="G83" t="s">
        <v>654</v>
      </c>
      <c r="I83">
        <v>228169.4</v>
      </c>
      <c r="J83" t="s">
        <v>496</v>
      </c>
      <c r="K83" t="s">
        <v>662</v>
      </c>
      <c r="L83" t="s">
        <v>35</v>
      </c>
      <c r="M83" t="s">
        <v>24</v>
      </c>
    </row>
    <row r="84" spans="1:13" x14ac:dyDescent="0.3">
      <c r="A84" t="s">
        <v>553</v>
      </c>
      <c r="B84" t="s">
        <v>658</v>
      </c>
      <c r="C84" t="s">
        <v>659</v>
      </c>
      <c r="D84" t="s">
        <v>496</v>
      </c>
      <c r="E84" t="s">
        <v>524</v>
      </c>
      <c r="F84" t="s">
        <v>442</v>
      </c>
      <c r="G84" t="s">
        <v>654</v>
      </c>
      <c r="I84">
        <v>0</v>
      </c>
      <c r="J84" t="s">
        <v>496</v>
      </c>
      <c r="K84" t="s">
        <v>655</v>
      </c>
      <c r="L84" t="s">
        <v>35</v>
      </c>
      <c r="M84" t="s">
        <v>24</v>
      </c>
    </row>
    <row r="85" spans="1:13" x14ac:dyDescent="0.3">
      <c r="A85" t="s">
        <v>553</v>
      </c>
      <c r="B85" t="s">
        <v>652</v>
      </c>
      <c r="C85" t="s">
        <v>653</v>
      </c>
      <c r="D85" t="s">
        <v>496</v>
      </c>
      <c r="E85" t="s">
        <v>524</v>
      </c>
      <c r="F85" t="s">
        <v>442</v>
      </c>
      <c r="G85" t="s">
        <v>654</v>
      </c>
      <c r="I85">
        <v>17616.150000000001</v>
      </c>
      <c r="J85" t="s">
        <v>496</v>
      </c>
      <c r="K85" t="s">
        <v>655</v>
      </c>
      <c r="L85" t="s">
        <v>35</v>
      </c>
      <c r="M85" t="s">
        <v>24</v>
      </c>
    </row>
    <row r="86" spans="1:13" x14ac:dyDescent="0.3">
      <c r="A86" t="s">
        <v>553</v>
      </c>
      <c r="B86" t="s">
        <v>656</v>
      </c>
      <c r="C86" t="s">
        <v>657</v>
      </c>
      <c r="D86" t="s">
        <v>496</v>
      </c>
      <c r="E86" t="s">
        <v>524</v>
      </c>
      <c r="F86" t="s">
        <v>442</v>
      </c>
      <c r="G86" t="s">
        <v>654</v>
      </c>
      <c r="I86">
        <v>2988.97</v>
      </c>
      <c r="J86" t="s">
        <v>496</v>
      </c>
      <c r="K86" t="s">
        <v>655</v>
      </c>
      <c r="L86" t="s">
        <v>35</v>
      </c>
      <c r="M86" t="s">
        <v>24</v>
      </c>
    </row>
    <row r="87" spans="1:13" x14ac:dyDescent="0.3">
      <c r="A87" t="s">
        <v>553</v>
      </c>
      <c r="B87" t="s">
        <v>522</v>
      </c>
      <c r="C87" t="s">
        <v>523</v>
      </c>
      <c r="D87" t="s">
        <v>451</v>
      </c>
      <c r="E87" t="s">
        <v>524</v>
      </c>
      <c r="F87" t="s">
        <v>448</v>
      </c>
      <c r="I87">
        <v>819197300</v>
      </c>
      <c r="J87" t="s">
        <v>451</v>
      </c>
      <c r="K87" t="s">
        <v>651</v>
      </c>
      <c r="L87" t="s">
        <v>35</v>
      </c>
      <c r="M87" t="s">
        <v>24</v>
      </c>
    </row>
    <row r="88" spans="1:13" x14ac:dyDescent="0.3">
      <c r="A88" t="s">
        <v>553</v>
      </c>
      <c r="B88" t="s">
        <v>522</v>
      </c>
      <c r="C88" t="s">
        <v>523</v>
      </c>
      <c r="D88" t="s">
        <v>451</v>
      </c>
      <c r="E88" t="s">
        <v>524</v>
      </c>
      <c r="F88" t="s">
        <v>461</v>
      </c>
      <c r="I88">
        <v>371594068</v>
      </c>
      <c r="J88" t="s">
        <v>451</v>
      </c>
      <c r="K88" t="s">
        <v>651</v>
      </c>
      <c r="L88" t="s">
        <v>35</v>
      </c>
      <c r="M88" t="s">
        <v>24</v>
      </c>
    </row>
    <row r="89" spans="1:13" x14ac:dyDescent="0.3">
      <c r="A89" t="s">
        <v>553</v>
      </c>
      <c r="B89" t="s">
        <v>522</v>
      </c>
      <c r="C89" t="s">
        <v>523</v>
      </c>
      <c r="D89" t="s">
        <v>451</v>
      </c>
      <c r="E89" t="s">
        <v>524</v>
      </c>
      <c r="F89" t="s">
        <v>485</v>
      </c>
      <c r="I89">
        <v>706203</v>
      </c>
      <c r="J89" t="s">
        <v>451</v>
      </c>
      <c r="K89" t="s">
        <v>651</v>
      </c>
      <c r="L89" t="s">
        <v>35</v>
      </c>
      <c r="M89" t="s">
        <v>24</v>
      </c>
    </row>
    <row r="90" spans="1:13" x14ac:dyDescent="0.3">
      <c r="A90" t="s">
        <v>553</v>
      </c>
      <c r="B90" t="s">
        <v>522</v>
      </c>
      <c r="C90" t="s">
        <v>523</v>
      </c>
      <c r="D90" t="s">
        <v>496</v>
      </c>
      <c r="E90" t="s">
        <v>524</v>
      </c>
      <c r="F90" t="s">
        <v>485</v>
      </c>
      <c r="G90" t="s">
        <v>654</v>
      </c>
      <c r="I90">
        <v>195.22</v>
      </c>
      <c r="J90" t="s">
        <v>496</v>
      </c>
      <c r="K90" t="s">
        <v>655</v>
      </c>
      <c r="L90" t="s">
        <v>35</v>
      </c>
      <c r="M90" t="s">
        <v>24</v>
      </c>
    </row>
    <row r="91" spans="1:13" x14ac:dyDescent="0.3">
      <c r="A91" t="s">
        <v>553</v>
      </c>
      <c r="B91" t="s">
        <v>660</v>
      </c>
      <c r="C91" t="s">
        <v>661</v>
      </c>
      <c r="D91" t="s">
        <v>496</v>
      </c>
      <c r="E91" t="s">
        <v>524</v>
      </c>
      <c r="F91" t="s">
        <v>485</v>
      </c>
      <c r="G91" t="s">
        <v>654</v>
      </c>
      <c r="I91">
        <v>-42531.91</v>
      </c>
      <c r="J91" t="s">
        <v>496</v>
      </c>
      <c r="K91" t="s">
        <v>662</v>
      </c>
      <c r="L91" t="s">
        <v>35</v>
      </c>
      <c r="M91" t="s">
        <v>24</v>
      </c>
    </row>
    <row r="92" spans="1:13" x14ac:dyDescent="0.3">
      <c r="A92" t="s">
        <v>553</v>
      </c>
      <c r="B92" t="s">
        <v>658</v>
      </c>
      <c r="C92" t="s">
        <v>659</v>
      </c>
      <c r="D92" t="s">
        <v>496</v>
      </c>
      <c r="E92" t="s">
        <v>524</v>
      </c>
      <c r="F92" t="s">
        <v>485</v>
      </c>
      <c r="G92" t="s">
        <v>654</v>
      </c>
      <c r="I92">
        <v>-17052.3</v>
      </c>
      <c r="J92" t="s">
        <v>496</v>
      </c>
      <c r="K92" t="s">
        <v>655</v>
      </c>
      <c r="L92" t="s">
        <v>35</v>
      </c>
      <c r="M92" t="s">
        <v>24</v>
      </c>
    </row>
    <row r="93" spans="1:13" x14ac:dyDescent="0.3">
      <c r="A93" t="s">
        <v>553</v>
      </c>
      <c r="B93" t="s">
        <v>652</v>
      </c>
      <c r="C93" t="s">
        <v>653</v>
      </c>
      <c r="D93" t="s">
        <v>496</v>
      </c>
      <c r="E93" t="s">
        <v>524</v>
      </c>
      <c r="F93" t="s">
        <v>485</v>
      </c>
      <c r="G93" t="s">
        <v>654</v>
      </c>
      <c r="I93">
        <v>-28756.44</v>
      </c>
      <c r="J93" t="s">
        <v>496</v>
      </c>
      <c r="K93" t="s">
        <v>655</v>
      </c>
      <c r="L93" t="s">
        <v>35</v>
      </c>
      <c r="M93" t="s">
        <v>24</v>
      </c>
    </row>
    <row r="94" spans="1:13" x14ac:dyDescent="0.3">
      <c r="A94" t="s">
        <v>553</v>
      </c>
      <c r="B94" t="s">
        <v>656</v>
      </c>
      <c r="C94" t="s">
        <v>657</v>
      </c>
      <c r="D94" t="s">
        <v>496</v>
      </c>
      <c r="E94" t="s">
        <v>524</v>
      </c>
      <c r="F94" t="s">
        <v>485</v>
      </c>
      <c r="G94" t="s">
        <v>654</v>
      </c>
      <c r="I94">
        <v>3081.61</v>
      </c>
      <c r="J94" t="s">
        <v>496</v>
      </c>
      <c r="K94" t="s">
        <v>655</v>
      </c>
      <c r="L94" t="s">
        <v>35</v>
      </c>
      <c r="M94" t="s">
        <v>24</v>
      </c>
    </row>
    <row r="95" spans="1:13" x14ac:dyDescent="0.3">
      <c r="A95" t="s">
        <v>553</v>
      </c>
      <c r="B95" t="s">
        <v>522</v>
      </c>
      <c r="C95" t="s">
        <v>523</v>
      </c>
      <c r="D95" t="s">
        <v>451</v>
      </c>
      <c r="E95" t="s">
        <v>524</v>
      </c>
      <c r="F95" t="s">
        <v>475</v>
      </c>
      <c r="I95">
        <v>4838252</v>
      </c>
      <c r="J95" t="s">
        <v>451</v>
      </c>
      <c r="K95" t="s">
        <v>651</v>
      </c>
      <c r="L95" t="s">
        <v>35</v>
      </c>
      <c r="M95" t="s">
        <v>24</v>
      </c>
    </row>
    <row r="96" spans="1:13" x14ac:dyDescent="0.3">
      <c r="A96" t="s">
        <v>554</v>
      </c>
      <c r="B96" t="s">
        <v>656</v>
      </c>
      <c r="C96" t="s">
        <v>657</v>
      </c>
      <c r="D96" t="s">
        <v>496</v>
      </c>
      <c r="E96" t="s">
        <v>524</v>
      </c>
      <c r="F96" t="s">
        <v>500</v>
      </c>
      <c r="G96" t="s">
        <v>664</v>
      </c>
      <c r="I96">
        <v>6069.63</v>
      </c>
      <c r="J96" t="s">
        <v>496</v>
      </c>
      <c r="K96" t="s">
        <v>665</v>
      </c>
      <c r="L96" t="s">
        <v>35</v>
      </c>
      <c r="M96" t="s">
        <v>24</v>
      </c>
    </row>
    <row r="97" spans="1:13" x14ac:dyDescent="0.3">
      <c r="A97" t="s">
        <v>554</v>
      </c>
      <c r="B97" t="s">
        <v>656</v>
      </c>
      <c r="C97" t="s">
        <v>657</v>
      </c>
      <c r="D97" t="s">
        <v>496</v>
      </c>
      <c r="E97" t="s">
        <v>524</v>
      </c>
      <c r="F97" t="s">
        <v>493</v>
      </c>
      <c r="G97" t="s">
        <v>664</v>
      </c>
      <c r="I97">
        <v>0</v>
      </c>
      <c r="J97" t="s">
        <v>496</v>
      </c>
      <c r="K97" t="s">
        <v>665</v>
      </c>
      <c r="L97" t="s">
        <v>35</v>
      </c>
      <c r="M97" t="s">
        <v>24</v>
      </c>
    </row>
    <row r="98" spans="1:13" x14ac:dyDescent="0.3">
      <c r="A98" t="s">
        <v>554</v>
      </c>
      <c r="B98" t="s">
        <v>656</v>
      </c>
      <c r="C98" t="s">
        <v>657</v>
      </c>
      <c r="D98" t="s">
        <v>496</v>
      </c>
      <c r="E98" t="s">
        <v>524</v>
      </c>
      <c r="F98" t="s">
        <v>502</v>
      </c>
      <c r="G98" t="s">
        <v>664</v>
      </c>
      <c r="I98">
        <v>-6069.63</v>
      </c>
      <c r="J98" t="s">
        <v>496</v>
      </c>
      <c r="K98" t="s">
        <v>665</v>
      </c>
      <c r="L98" t="s">
        <v>35</v>
      </c>
      <c r="M98" t="s">
        <v>24</v>
      </c>
    </row>
    <row r="99" spans="1:13" x14ac:dyDescent="0.3">
      <c r="A99" t="s">
        <v>554</v>
      </c>
      <c r="B99" t="s">
        <v>522</v>
      </c>
      <c r="C99" t="s">
        <v>523</v>
      </c>
      <c r="D99" t="s">
        <v>451</v>
      </c>
      <c r="E99" t="s">
        <v>524</v>
      </c>
      <c r="F99" t="s">
        <v>457</v>
      </c>
      <c r="I99">
        <v>355470523</v>
      </c>
      <c r="J99" t="s">
        <v>451</v>
      </c>
      <c r="K99" t="s">
        <v>651</v>
      </c>
      <c r="L99" t="s">
        <v>35</v>
      </c>
      <c r="M99" t="s">
        <v>24</v>
      </c>
    </row>
    <row r="100" spans="1:13" x14ac:dyDescent="0.3">
      <c r="A100" t="s">
        <v>554</v>
      </c>
      <c r="B100" t="s">
        <v>522</v>
      </c>
      <c r="C100" t="s">
        <v>523</v>
      </c>
      <c r="D100" t="s">
        <v>496</v>
      </c>
      <c r="E100" t="s">
        <v>524</v>
      </c>
      <c r="F100" t="s">
        <v>457</v>
      </c>
      <c r="G100" t="s">
        <v>654</v>
      </c>
      <c r="I100">
        <v>95710.42</v>
      </c>
      <c r="J100" t="s">
        <v>496</v>
      </c>
      <c r="K100" t="s">
        <v>655</v>
      </c>
      <c r="L100" t="s">
        <v>35</v>
      </c>
      <c r="M100" t="s">
        <v>24</v>
      </c>
    </row>
    <row r="101" spans="1:13" x14ac:dyDescent="0.3">
      <c r="A101" t="s">
        <v>554</v>
      </c>
      <c r="B101" t="s">
        <v>660</v>
      </c>
      <c r="C101" t="s">
        <v>661</v>
      </c>
      <c r="D101" t="s">
        <v>496</v>
      </c>
      <c r="E101" t="s">
        <v>524</v>
      </c>
      <c r="F101" t="s">
        <v>457</v>
      </c>
      <c r="G101" t="s">
        <v>654</v>
      </c>
      <c r="I101">
        <v>100188.8</v>
      </c>
      <c r="J101" t="s">
        <v>496</v>
      </c>
      <c r="K101" t="s">
        <v>662</v>
      </c>
      <c r="L101" t="s">
        <v>35</v>
      </c>
      <c r="M101" t="s">
        <v>24</v>
      </c>
    </row>
    <row r="102" spans="1:13" x14ac:dyDescent="0.3">
      <c r="A102" t="s">
        <v>554</v>
      </c>
      <c r="B102" t="s">
        <v>658</v>
      </c>
      <c r="C102" t="s">
        <v>659</v>
      </c>
      <c r="D102" t="s">
        <v>496</v>
      </c>
      <c r="E102" t="s">
        <v>524</v>
      </c>
      <c r="F102" t="s">
        <v>457</v>
      </c>
      <c r="G102" t="s">
        <v>654</v>
      </c>
      <c r="I102">
        <v>0</v>
      </c>
      <c r="J102" t="s">
        <v>496</v>
      </c>
      <c r="K102" t="s">
        <v>655</v>
      </c>
      <c r="L102" t="s">
        <v>35</v>
      </c>
      <c r="M102" t="s">
        <v>24</v>
      </c>
    </row>
    <row r="103" spans="1:13" x14ac:dyDescent="0.3">
      <c r="A103" t="s">
        <v>554</v>
      </c>
      <c r="B103" t="s">
        <v>652</v>
      </c>
      <c r="C103" t="s">
        <v>653</v>
      </c>
      <c r="D103" t="s">
        <v>496</v>
      </c>
      <c r="E103" t="s">
        <v>524</v>
      </c>
      <c r="F103" t="s">
        <v>457</v>
      </c>
      <c r="G103" t="s">
        <v>654</v>
      </c>
      <c r="I103">
        <v>0</v>
      </c>
      <c r="J103" t="s">
        <v>496</v>
      </c>
      <c r="K103" t="s">
        <v>655</v>
      </c>
      <c r="L103" t="s">
        <v>35</v>
      </c>
      <c r="M103" t="s">
        <v>24</v>
      </c>
    </row>
    <row r="104" spans="1:13" x14ac:dyDescent="0.3">
      <c r="A104" t="s">
        <v>554</v>
      </c>
      <c r="B104" t="s">
        <v>656</v>
      </c>
      <c r="C104" t="s">
        <v>657</v>
      </c>
      <c r="D104" t="s">
        <v>496</v>
      </c>
      <c r="E104" t="s">
        <v>524</v>
      </c>
      <c r="F104" t="s">
        <v>457</v>
      </c>
      <c r="G104" t="s">
        <v>654</v>
      </c>
      <c r="I104">
        <v>4478.38</v>
      </c>
      <c r="J104" t="s">
        <v>496</v>
      </c>
      <c r="K104" t="s">
        <v>655</v>
      </c>
      <c r="L104" t="s">
        <v>35</v>
      </c>
      <c r="M104" t="s">
        <v>24</v>
      </c>
    </row>
    <row r="105" spans="1:13" x14ac:dyDescent="0.3">
      <c r="A105" t="s">
        <v>554</v>
      </c>
      <c r="B105" t="s">
        <v>522</v>
      </c>
      <c r="C105" t="s">
        <v>523</v>
      </c>
      <c r="D105" t="s">
        <v>451</v>
      </c>
      <c r="E105" t="s">
        <v>524</v>
      </c>
      <c r="F105" t="s">
        <v>453</v>
      </c>
      <c r="I105">
        <v>-55433340</v>
      </c>
      <c r="J105" t="s">
        <v>451</v>
      </c>
      <c r="K105" t="s">
        <v>651</v>
      </c>
      <c r="L105" t="s">
        <v>35</v>
      </c>
      <c r="M105" t="s">
        <v>24</v>
      </c>
    </row>
    <row r="106" spans="1:13" x14ac:dyDescent="0.3">
      <c r="A106" t="s">
        <v>554</v>
      </c>
      <c r="B106" t="s">
        <v>522</v>
      </c>
      <c r="C106" t="s">
        <v>523</v>
      </c>
      <c r="D106" t="s">
        <v>451</v>
      </c>
      <c r="E106" t="s">
        <v>524</v>
      </c>
      <c r="F106" t="s">
        <v>465</v>
      </c>
      <c r="I106">
        <v>116808824</v>
      </c>
      <c r="J106" t="s">
        <v>451</v>
      </c>
      <c r="K106" t="s">
        <v>651</v>
      </c>
      <c r="L106" t="s">
        <v>35</v>
      </c>
      <c r="M106" t="s">
        <v>24</v>
      </c>
    </row>
    <row r="107" spans="1:13" x14ac:dyDescent="0.3">
      <c r="A107" t="s">
        <v>554</v>
      </c>
      <c r="B107" t="s">
        <v>522</v>
      </c>
      <c r="C107" t="s">
        <v>523</v>
      </c>
      <c r="D107" t="s">
        <v>496</v>
      </c>
      <c r="E107" t="s">
        <v>524</v>
      </c>
      <c r="F107" t="s">
        <v>465</v>
      </c>
      <c r="G107" t="s">
        <v>654</v>
      </c>
      <c r="I107">
        <v>31450.77</v>
      </c>
      <c r="J107" t="s">
        <v>496</v>
      </c>
      <c r="K107" t="s">
        <v>655</v>
      </c>
      <c r="L107" t="s">
        <v>35</v>
      </c>
      <c r="M107" t="s">
        <v>24</v>
      </c>
    </row>
    <row r="108" spans="1:13" x14ac:dyDescent="0.3">
      <c r="A108" t="s">
        <v>554</v>
      </c>
      <c r="B108" t="s">
        <v>660</v>
      </c>
      <c r="C108" t="s">
        <v>661</v>
      </c>
      <c r="D108" t="s">
        <v>496</v>
      </c>
      <c r="E108" t="s">
        <v>524</v>
      </c>
      <c r="F108" t="s">
        <v>465</v>
      </c>
      <c r="G108" t="s">
        <v>654</v>
      </c>
      <c r="I108">
        <v>53124.59</v>
      </c>
      <c r="J108" t="s">
        <v>496</v>
      </c>
      <c r="K108" t="s">
        <v>662</v>
      </c>
      <c r="L108" t="s">
        <v>35</v>
      </c>
      <c r="M108" t="s">
        <v>24</v>
      </c>
    </row>
    <row r="109" spans="1:13" x14ac:dyDescent="0.3">
      <c r="A109" t="s">
        <v>554</v>
      </c>
      <c r="B109" t="s">
        <v>658</v>
      </c>
      <c r="C109" t="s">
        <v>659</v>
      </c>
      <c r="D109" t="s">
        <v>496</v>
      </c>
      <c r="E109" t="s">
        <v>524</v>
      </c>
      <c r="F109" t="s">
        <v>465</v>
      </c>
      <c r="G109" t="s">
        <v>654</v>
      </c>
      <c r="I109">
        <v>57.8</v>
      </c>
      <c r="J109" t="s">
        <v>496</v>
      </c>
      <c r="K109" t="s">
        <v>655</v>
      </c>
      <c r="L109" t="s">
        <v>35</v>
      </c>
      <c r="M109" t="s">
        <v>24</v>
      </c>
    </row>
    <row r="110" spans="1:13" x14ac:dyDescent="0.3">
      <c r="A110" t="s">
        <v>554</v>
      </c>
      <c r="B110" t="s">
        <v>652</v>
      </c>
      <c r="C110" t="s">
        <v>653</v>
      </c>
      <c r="D110" t="s">
        <v>496</v>
      </c>
      <c r="E110" t="s">
        <v>524</v>
      </c>
      <c r="F110" t="s">
        <v>465</v>
      </c>
      <c r="G110" t="s">
        <v>654</v>
      </c>
      <c r="I110">
        <v>21616.02</v>
      </c>
      <c r="J110" t="s">
        <v>496</v>
      </c>
      <c r="K110" t="s">
        <v>655</v>
      </c>
      <c r="L110" t="s">
        <v>35</v>
      </c>
      <c r="M110" t="s">
        <v>24</v>
      </c>
    </row>
    <row r="111" spans="1:13" x14ac:dyDescent="0.3">
      <c r="A111" t="s">
        <v>554</v>
      </c>
      <c r="B111" t="s">
        <v>656</v>
      </c>
      <c r="C111" t="s">
        <v>657</v>
      </c>
      <c r="D111" t="s">
        <v>496</v>
      </c>
      <c r="E111" t="s">
        <v>524</v>
      </c>
      <c r="F111" t="s">
        <v>465</v>
      </c>
      <c r="G111" t="s">
        <v>654</v>
      </c>
      <c r="I111">
        <v>0</v>
      </c>
      <c r="J111" t="s">
        <v>496</v>
      </c>
      <c r="K111" t="s">
        <v>655</v>
      </c>
      <c r="L111" t="s">
        <v>35</v>
      </c>
      <c r="M111" t="s">
        <v>24</v>
      </c>
    </row>
    <row r="112" spans="1:13" x14ac:dyDescent="0.3">
      <c r="A112" t="s">
        <v>554</v>
      </c>
      <c r="B112" t="s">
        <v>522</v>
      </c>
      <c r="C112" t="s">
        <v>523</v>
      </c>
      <c r="D112" t="s">
        <v>451</v>
      </c>
      <c r="E112" t="s">
        <v>524</v>
      </c>
      <c r="F112" t="s">
        <v>469</v>
      </c>
      <c r="I112">
        <v>120992711</v>
      </c>
      <c r="J112" t="s">
        <v>451</v>
      </c>
      <c r="K112" t="s">
        <v>651</v>
      </c>
      <c r="L112" t="s">
        <v>35</v>
      </c>
      <c r="M112" t="s">
        <v>24</v>
      </c>
    </row>
    <row r="113" spans="1:13" x14ac:dyDescent="0.3">
      <c r="A113" t="s">
        <v>554</v>
      </c>
      <c r="B113" t="s">
        <v>522</v>
      </c>
      <c r="C113" t="s">
        <v>523</v>
      </c>
      <c r="D113" t="s">
        <v>496</v>
      </c>
      <c r="E113" t="s">
        <v>524</v>
      </c>
      <c r="F113" t="s">
        <v>469</v>
      </c>
      <c r="G113" t="s">
        <v>654</v>
      </c>
      <c r="I113">
        <v>32577.279999999999</v>
      </c>
      <c r="J113" t="s">
        <v>496</v>
      </c>
      <c r="K113" t="s">
        <v>655</v>
      </c>
      <c r="L113" t="s">
        <v>35</v>
      </c>
      <c r="M113" t="s">
        <v>24</v>
      </c>
    </row>
    <row r="114" spans="1:13" x14ac:dyDescent="0.3">
      <c r="A114" t="s">
        <v>554</v>
      </c>
      <c r="B114" t="s">
        <v>660</v>
      </c>
      <c r="C114" t="s">
        <v>661</v>
      </c>
      <c r="D114" t="s">
        <v>496</v>
      </c>
      <c r="E114" t="s">
        <v>524</v>
      </c>
      <c r="F114" t="s">
        <v>469</v>
      </c>
      <c r="G114" t="s">
        <v>654</v>
      </c>
      <c r="I114">
        <v>40077.279999999999</v>
      </c>
      <c r="J114" t="s">
        <v>496</v>
      </c>
      <c r="K114" t="s">
        <v>662</v>
      </c>
      <c r="L114" t="s">
        <v>35</v>
      </c>
      <c r="M114" t="s">
        <v>24</v>
      </c>
    </row>
    <row r="115" spans="1:13" x14ac:dyDescent="0.3">
      <c r="A115" t="s">
        <v>554</v>
      </c>
      <c r="B115" t="s">
        <v>658</v>
      </c>
      <c r="C115" t="s">
        <v>659</v>
      </c>
      <c r="D115" t="s">
        <v>496</v>
      </c>
      <c r="E115" t="s">
        <v>524</v>
      </c>
      <c r="F115" t="s">
        <v>469</v>
      </c>
      <c r="G115" t="s">
        <v>654</v>
      </c>
      <c r="I115">
        <v>0</v>
      </c>
      <c r="J115" t="s">
        <v>496</v>
      </c>
      <c r="K115" t="s">
        <v>655</v>
      </c>
      <c r="L115" t="s">
        <v>35</v>
      </c>
      <c r="M115" t="s">
        <v>24</v>
      </c>
    </row>
    <row r="116" spans="1:13" x14ac:dyDescent="0.3">
      <c r="A116" t="s">
        <v>554</v>
      </c>
      <c r="B116" t="s">
        <v>652</v>
      </c>
      <c r="C116" t="s">
        <v>653</v>
      </c>
      <c r="D116" t="s">
        <v>496</v>
      </c>
      <c r="E116" t="s">
        <v>524</v>
      </c>
      <c r="F116" t="s">
        <v>469</v>
      </c>
      <c r="G116" t="s">
        <v>654</v>
      </c>
      <c r="I116">
        <v>7500</v>
      </c>
      <c r="J116" t="s">
        <v>496</v>
      </c>
      <c r="K116" t="s">
        <v>655</v>
      </c>
      <c r="L116" t="s">
        <v>35</v>
      </c>
      <c r="M116" t="s">
        <v>24</v>
      </c>
    </row>
    <row r="117" spans="1:13" x14ac:dyDescent="0.3">
      <c r="A117" t="s">
        <v>554</v>
      </c>
      <c r="B117" t="s">
        <v>656</v>
      </c>
      <c r="C117" t="s">
        <v>657</v>
      </c>
      <c r="D117" t="s">
        <v>496</v>
      </c>
      <c r="E117" t="s">
        <v>524</v>
      </c>
      <c r="F117" t="s">
        <v>469</v>
      </c>
      <c r="G117" t="s">
        <v>654</v>
      </c>
      <c r="I117">
        <v>0</v>
      </c>
      <c r="J117" t="s">
        <v>496</v>
      </c>
      <c r="K117" t="s">
        <v>655</v>
      </c>
      <c r="L117" t="s">
        <v>35</v>
      </c>
      <c r="M117" t="s">
        <v>24</v>
      </c>
    </row>
    <row r="118" spans="1:13" x14ac:dyDescent="0.3">
      <c r="A118" t="s">
        <v>554</v>
      </c>
      <c r="B118" t="s">
        <v>522</v>
      </c>
      <c r="C118" t="s">
        <v>523</v>
      </c>
      <c r="D118" t="s">
        <v>451</v>
      </c>
      <c r="E118" t="s">
        <v>524</v>
      </c>
      <c r="F118" t="s">
        <v>472</v>
      </c>
      <c r="I118">
        <v>120233213</v>
      </c>
      <c r="J118" t="s">
        <v>451</v>
      </c>
      <c r="K118" t="s">
        <v>651</v>
      </c>
      <c r="L118" t="s">
        <v>35</v>
      </c>
      <c r="M118" t="s">
        <v>24</v>
      </c>
    </row>
    <row r="119" spans="1:13" x14ac:dyDescent="0.3">
      <c r="A119" t="s">
        <v>554</v>
      </c>
      <c r="B119" t="s">
        <v>522</v>
      </c>
      <c r="C119" t="s">
        <v>523</v>
      </c>
      <c r="D119" t="s">
        <v>496</v>
      </c>
      <c r="E119" t="s">
        <v>524</v>
      </c>
      <c r="F119" t="s">
        <v>472</v>
      </c>
      <c r="G119" t="s">
        <v>654</v>
      </c>
      <c r="I119">
        <v>32372.79</v>
      </c>
      <c r="J119" t="s">
        <v>496</v>
      </c>
      <c r="K119" t="s">
        <v>655</v>
      </c>
      <c r="L119" t="s">
        <v>35</v>
      </c>
      <c r="M119" t="s">
        <v>24</v>
      </c>
    </row>
    <row r="120" spans="1:13" x14ac:dyDescent="0.3">
      <c r="A120" t="s">
        <v>554</v>
      </c>
      <c r="B120" t="s">
        <v>660</v>
      </c>
      <c r="C120" t="s">
        <v>661</v>
      </c>
      <c r="D120" t="s">
        <v>496</v>
      </c>
      <c r="E120" t="s">
        <v>524</v>
      </c>
      <c r="F120" t="s">
        <v>472</v>
      </c>
      <c r="G120" t="s">
        <v>654</v>
      </c>
      <c r="I120">
        <v>37672.79</v>
      </c>
      <c r="J120" t="s">
        <v>496</v>
      </c>
      <c r="K120" t="s">
        <v>662</v>
      </c>
      <c r="L120" t="s">
        <v>35</v>
      </c>
      <c r="M120" t="s">
        <v>24</v>
      </c>
    </row>
    <row r="121" spans="1:13" x14ac:dyDescent="0.3">
      <c r="A121" t="s">
        <v>554</v>
      </c>
      <c r="B121" t="s">
        <v>658</v>
      </c>
      <c r="C121" t="s">
        <v>659</v>
      </c>
      <c r="D121" t="s">
        <v>496</v>
      </c>
      <c r="E121" t="s">
        <v>524</v>
      </c>
      <c r="F121" t="s">
        <v>472</v>
      </c>
      <c r="G121" t="s">
        <v>654</v>
      </c>
      <c r="I121">
        <v>1300</v>
      </c>
      <c r="J121" t="s">
        <v>496</v>
      </c>
      <c r="K121" t="s">
        <v>655</v>
      </c>
      <c r="L121" t="s">
        <v>35</v>
      </c>
      <c r="M121" t="s">
        <v>24</v>
      </c>
    </row>
    <row r="122" spans="1:13" x14ac:dyDescent="0.3">
      <c r="A122" t="s">
        <v>554</v>
      </c>
      <c r="B122" t="s">
        <v>652</v>
      </c>
      <c r="C122" t="s">
        <v>653</v>
      </c>
      <c r="D122" t="s">
        <v>496</v>
      </c>
      <c r="E122" t="s">
        <v>524</v>
      </c>
      <c r="F122" t="s">
        <v>472</v>
      </c>
      <c r="G122" t="s">
        <v>654</v>
      </c>
      <c r="I122">
        <v>4000</v>
      </c>
      <c r="J122" t="s">
        <v>496</v>
      </c>
      <c r="K122" t="s">
        <v>655</v>
      </c>
      <c r="L122" t="s">
        <v>35</v>
      </c>
      <c r="M122" t="s">
        <v>24</v>
      </c>
    </row>
    <row r="123" spans="1:13" x14ac:dyDescent="0.3">
      <c r="A123" t="s">
        <v>554</v>
      </c>
      <c r="B123" t="s">
        <v>656</v>
      </c>
      <c r="C123" t="s">
        <v>657</v>
      </c>
      <c r="D123" t="s">
        <v>496</v>
      </c>
      <c r="E123" t="s">
        <v>524</v>
      </c>
      <c r="F123" t="s">
        <v>472</v>
      </c>
      <c r="G123" t="s">
        <v>654</v>
      </c>
      <c r="I123">
        <v>0</v>
      </c>
      <c r="J123" t="s">
        <v>496</v>
      </c>
      <c r="K123" t="s">
        <v>655</v>
      </c>
      <c r="L123" t="s">
        <v>35</v>
      </c>
      <c r="M123" t="s">
        <v>24</v>
      </c>
    </row>
    <row r="124" spans="1:13" x14ac:dyDescent="0.3">
      <c r="A124" t="s">
        <v>554</v>
      </c>
      <c r="B124" t="s">
        <v>522</v>
      </c>
      <c r="C124" t="s">
        <v>523</v>
      </c>
      <c r="D124" t="s">
        <v>451</v>
      </c>
      <c r="E124" t="s">
        <v>524</v>
      </c>
      <c r="F124" t="s">
        <v>482</v>
      </c>
      <c r="I124">
        <v>6000846</v>
      </c>
      <c r="J124" t="s">
        <v>451</v>
      </c>
      <c r="K124" t="s">
        <v>651</v>
      </c>
      <c r="L124" t="s">
        <v>35</v>
      </c>
      <c r="M124" t="s">
        <v>24</v>
      </c>
    </row>
    <row r="125" spans="1:13" x14ac:dyDescent="0.3">
      <c r="A125" t="s">
        <v>554</v>
      </c>
      <c r="B125" t="s">
        <v>522</v>
      </c>
      <c r="C125" t="s">
        <v>523</v>
      </c>
      <c r="D125" t="s">
        <v>496</v>
      </c>
      <c r="E125" t="s">
        <v>524</v>
      </c>
      <c r="F125" t="s">
        <v>482</v>
      </c>
      <c r="G125" t="s">
        <v>654</v>
      </c>
      <c r="I125">
        <v>1615.73</v>
      </c>
      <c r="J125" t="s">
        <v>496</v>
      </c>
      <c r="K125" t="s">
        <v>655</v>
      </c>
      <c r="L125" t="s">
        <v>35</v>
      </c>
      <c r="M125" t="s">
        <v>24</v>
      </c>
    </row>
    <row r="126" spans="1:13" x14ac:dyDescent="0.3">
      <c r="A126" t="s">
        <v>554</v>
      </c>
      <c r="B126" t="s">
        <v>660</v>
      </c>
      <c r="C126" t="s">
        <v>661</v>
      </c>
      <c r="D126" t="s">
        <v>496</v>
      </c>
      <c r="E126" t="s">
        <v>524</v>
      </c>
      <c r="F126" t="s">
        <v>482</v>
      </c>
      <c r="G126" t="s">
        <v>654</v>
      </c>
      <c r="I126">
        <v>1684.04</v>
      </c>
      <c r="J126" t="s">
        <v>496</v>
      </c>
      <c r="K126" t="s">
        <v>662</v>
      </c>
      <c r="L126" t="s">
        <v>35</v>
      </c>
      <c r="M126" t="s">
        <v>24</v>
      </c>
    </row>
    <row r="127" spans="1:13" x14ac:dyDescent="0.3">
      <c r="A127" t="s">
        <v>554</v>
      </c>
      <c r="B127" t="s">
        <v>658</v>
      </c>
      <c r="C127" t="s">
        <v>659</v>
      </c>
      <c r="D127" t="s">
        <v>496</v>
      </c>
      <c r="E127" t="s">
        <v>524</v>
      </c>
      <c r="F127" t="s">
        <v>482</v>
      </c>
      <c r="G127" t="s">
        <v>654</v>
      </c>
      <c r="I127">
        <v>36</v>
      </c>
      <c r="J127" t="s">
        <v>496</v>
      </c>
      <c r="K127" t="s">
        <v>655</v>
      </c>
      <c r="L127" t="s">
        <v>35</v>
      </c>
      <c r="M127" t="s">
        <v>24</v>
      </c>
    </row>
    <row r="128" spans="1:13" x14ac:dyDescent="0.3">
      <c r="A128" t="s">
        <v>554</v>
      </c>
      <c r="B128" t="s">
        <v>652</v>
      </c>
      <c r="C128" t="s">
        <v>653</v>
      </c>
      <c r="D128" t="s">
        <v>496</v>
      </c>
      <c r="E128" t="s">
        <v>524</v>
      </c>
      <c r="F128" t="s">
        <v>482</v>
      </c>
      <c r="G128" t="s">
        <v>654</v>
      </c>
      <c r="I128">
        <v>0</v>
      </c>
      <c r="J128" t="s">
        <v>496</v>
      </c>
      <c r="K128" t="s">
        <v>655</v>
      </c>
      <c r="L128" t="s">
        <v>35</v>
      </c>
      <c r="M128" t="s">
        <v>24</v>
      </c>
    </row>
    <row r="129" spans="1:13" x14ac:dyDescent="0.3">
      <c r="A129" t="s">
        <v>554</v>
      </c>
      <c r="B129" t="s">
        <v>656</v>
      </c>
      <c r="C129" t="s">
        <v>657</v>
      </c>
      <c r="D129" t="s">
        <v>496</v>
      </c>
      <c r="E129" t="s">
        <v>524</v>
      </c>
      <c r="F129" t="s">
        <v>482</v>
      </c>
      <c r="G129" t="s">
        <v>654</v>
      </c>
      <c r="I129">
        <v>32.31</v>
      </c>
      <c r="J129" t="s">
        <v>496</v>
      </c>
      <c r="K129" t="s">
        <v>655</v>
      </c>
      <c r="L129" t="s">
        <v>35</v>
      </c>
      <c r="M129" t="s">
        <v>24</v>
      </c>
    </row>
    <row r="130" spans="1:13" x14ac:dyDescent="0.3">
      <c r="A130" t="s">
        <v>554</v>
      </c>
      <c r="B130" t="s">
        <v>522</v>
      </c>
      <c r="C130" t="s">
        <v>523</v>
      </c>
      <c r="D130" t="s">
        <v>451</v>
      </c>
      <c r="E130" t="s">
        <v>524</v>
      </c>
      <c r="F130" t="s">
        <v>479</v>
      </c>
      <c r="I130">
        <v>1366339</v>
      </c>
      <c r="J130" t="s">
        <v>451</v>
      </c>
      <c r="K130" t="s">
        <v>651</v>
      </c>
      <c r="L130" t="s">
        <v>35</v>
      </c>
      <c r="M130" t="s">
        <v>24</v>
      </c>
    </row>
    <row r="131" spans="1:13" x14ac:dyDescent="0.3">
      <c r="A131" t="s">
        <v>554</v>
      </c>
      <c r="B131" t="s">
        <v>522</v>
      </c>
      <c r="C131" t="s">
        <v>523</v>
      </c>
      <c r="D131" t="s">
        <v>496</v>
      </c>
      <c r="E131" t="s">
        <v>524</v>
      </c>
      <c r="F131" t="s">
        <v>479</v>
      </c>
      <c r="G131" t="s">
        <v>654</v>
      </c>
      <c r="I131">
        <v>367.89</v>
      </c>
      <c r="J131" t="s">
        <v>496</v>
      </c>
      <c r="K131" t="s">
        <v>655</v>
      </c>
      <c r="L131" t="s">
        <v>35</v>
      </c>
      <c r="M131" t="s">
        <v>24</v>
      </c>
    </row>
    <row r="132" spans="1:13" x14ac:dyDescent="0.3">
      <c r="A132" t="s">
        <v>554</v>
      </c>
      <c r="B132" t="s">
        <v>660</v>
      </c>
      <c r="C132" t="s">
        <v>661</v>
      </c>
      <c r="D132" t="s">
        <v>496</v>
      </c>
      <c r="E132" t="s">
        <v>524</v>
      </c>
      <c r="F132" t="s">
        <v>479</v>
      </c>
      <c r="G132" t="s">
        <v>654</v>
      </c>
      <c r="I132">
        <v>367.89</v>
      </c>
      <c r="J132" t="s">
        <v>496</v>
      </c>
      <c r="K132" t="s">
        <v>662</v>
      </c>
      <c r="L132" t="s">
        <v>35</v>
      </c>
      <c r="M132" t="s">
        <v>24</v>
      </c>
    </row>
    <row r="133" spans="1:13" x14ac:dyDescent="0.3">
      <c r="A133" t="s">
        <v>554</v>
      </c>
      <c r="B133" t="s">
        <v>658</v>
      </c>
      <c r="C133" t="s">
        <v>659</v>
      </c>
      <c r="D133" t="s">
        <v>496</v>
      </c>
      <c r="E133" t="s">
        <v>524</v>
      </c>
      <c r="F133" t="s">
        <v>479</v>
      </c>
      <c r="G133" t="s">
        <v>654</v>
      </c>
      <c r="I133">
        <v>0</v>
      </c>
      <c r="J133" t="s">
        <v>496</v>
      </c>
      <c r="K133" t="s">
        <v>655</v>
      </c>
      <c r="L133" t="s">
        <v>35</v>
      </c>
      <c r="M133" t="s">
        <v>24</v>
      </c>
    </row>
    <row r="134" spans="1:13" x14ac:dyDescent="0.3">
      <c r="A134" t="s">
        <v>554</v>
      </c>
      <c r="B134" t="s">
        <v>652</v>
      </c>
      <c r="C134" t="s">
        <v>653</v>
      </c>
      <c r="D134" t="s">
        <v>496</v>
      </c>
      <c r="E134" t="s">
        <v>524</v>
      </c>
      <c r="F134" t="s">
        <v>479</v>
      </c>
      <c r="G134" t="s">
        <v>654</v>
      </c>
      <c r="I134">
        <v>0</v>
      </c>
      <c r="J134" t="s">
        <v>496</v>
      </c>
      <c r="K134" t="s">
        <v>655</v>
      </c>
      <c r="L134" t="s">
        <v>35</v>
      </c>
      <c r="M134" t="s">
        <v>24</v>
      </c>
    </row>
    <row r="135" spans="1:13" x14ac:dyDescent="0.3">
      <c r="A135" t="s">
        <v>554</v>
      </c>
      <c r="B135" t="s">
        <v>656</v>
      </c>
      <c r="C135" t="s">
        <v>657</v>
      </c>
      <c r="D135" t="s">
        <v>496</v>
      </c>
      <c r="E135" t="s">
        <v>524</v>
      </c>
      <c r="F135" t="s">
        <v>479</v>
      </c>
      <c r="G135" t="s">
        <v>654</v>
      </c>
      <c r="I135">
        <v>0</v>
      </c>
      <c r="J135" t="s">
        <v>496</v>
      </c>
      <c r="K135" t="s">
        <v>655</v>
      </c>
      <c r="L135" t="s">
        <v>35</v>
      </c>
      <c r="M135" t="s">
        <v>24</v>
      </c>
    </row>
    <row r="136" spans="1:13" x14ac:dyDescent="0.3">
      <c r="A136" t="s">
        <v>554</v>
      </c>
      <c r="B136" t="s">
        <v>522</v>
      </c>
      <c r="C136" t="s">
        <v>523</v>
      </c>
      <c r="D136" t="s">
        <v>451</v>
      </c>
      <c r="E136" t="s">
        <v>524</v>
      </c>
      <c r="F136" t="s">
        <v>442</v>
      </c>
      <c r="I136">
        <v>826514746</v>
      </c>
      <c r="J136" t="s">
        <v>451</v>
      </c>
      <c r="K136" t="s">
        <v>651</v>
      </c>
      <c r="L136" t="s">
        <v>35</v>
      </c>
      <c r="M136" t="s">
        <v>24</v>
      </c>
    </row>
    <row r="137" spans="1:13" x14ac:dyDescent="0.3">
      <c r="A137" t="s">
        <v>554</v>
      </c>
      <c r="B137" t="s">
        <v>522</v>
      </c>
      <c r="C137" t="s">
        <v>523</v>
      </c>
      <c r="D137" t="s">
        <v>496</v>
      </c>
      <c r="E137" t="s">
        <v>524</v>
      </c>
      <c r="F137" t="s">
        <v>442</v>
      </c>
      <c r="G137" t="s">
        <v>654</v>
      </c>
      <c r="I137">
        <v>222539.06</v>
      </c>
      <c r="J137" t="s">
        <v>496</v>
      </c>
      <c r="K137" t="s">
        <v>655</v>
      </c>
      <c r="L137" t="s">
        <v>35</v>
      </c>
      <c r="M137" t="s">
        <v>24</v>
      </c>
    </row>
    <row r="138" spans="1:13" x14ac:dyDescent="0.3">
      <c r="A138" t="s">
        <v>554</v>
      </c>
      <c r="B138" t="s">
        <v>660</v>
      </c>
      <c r="C138" t="s">
        <v>661</v>
      </c>
      <c r="D138" t="s">
        <v>496</v>
      </c>
      <c r="E138" t="s">
        <v>524</v>
      </c>
      <c r="F138" t="s">
        <v>442</v>
      </c>
      <c r="G138" t="s">
        <v>654</v>
      </c>
      <c r="I138">
        <v>233074.72</v>
      </c>
      <c r="J138" t="s">
        <v>496</v>
      </c>
      <c r="K138" t="s">
        <v>662</v>
      </c>
      <c r="L138" t="s">
        <v>35</v>
      </c>
      <c r="M138" t="s">
        <v>24</v>
      </c>
    </row>
    <row r="139" spans="1:13" x14ac:dyDescent="0.3">
      <c r="A139" t="s">
        <v>554</v>
      </c>
      <c r="B139" t="s">
        <v>658</v>
      </c>
      <c r="C139" t="s">
        <v>659</v>
      </c>
      <c r="D139" t="s">
        <v>496</v>
      </c>
      <c r="E139" t="s">
        <v>524</v>
      </c>
      <c r="F139" t="s">
        <v>442</v>
      </c>
      <c r="G139" t="s">
        <v>654</v>
      </c>
      <c r="I139">
        <v>0</v>
      </c>
      <c r="J139" t="s">
        <v>496</v>
      </c>
      <c r="K139" t="s">
        <v>655</v>
      </c>
      <c r="L139" t="s">
        <v>35</v>
      </c>
      <c r="M139" t="s">
        <v>24</v>
      </c>
    </row>
    <row r="140" spans="1:13" x14ac:dyDescent="0.3">
      <c r="A140" t="s">
        <v>554</v>
      </c>
      <c r="B140" t="s">
        <v>652</v>
      </c>
      <c r="C140" t="s">
        <v>653</v>
      </c>
      <c r="D140" t="s">
        <v>496</v>
      </c>
      <c r="E140" t="s">
        <v>524</v>
      </c>
      <c r="F140" t="s">
        <v>442</v>
      </c>
      <c r="G140" t="s">
        <v>654</v>
      </c>
      <c r="I140">
        <v>9716.4500000000007</v>
      </c>
      <c r="J140" t="s">
        <v>496</v>
      </c>
      <c r="K140" t="s">
        <v>655</v>
      </c>
      <c r="L140" t="s">
        <v>35</v>
      </c>
      <c r="M140" t="s">
        <v>24</v>
      </c>
    </row>
    <row r="141" spans="1:13" x14ac:dyDescent="0.3">
      <c r="A141" t="s">
        <v>554</v>
      </c>
      <c r="B141" t="s">
        <v>656</v>
      </c>
      <c r="C141" t="s">
        <v>657</v>
      </c>
      <c r="D141" t="s">
        <v>496</v>
      </c>
      <c r="E141" t="s">
        <v>524</v>
      </c>
      <c r="F141" t="s">
        <v>442</v>
      </c>
      <c r="G141" t="s">
        <v>654</v>
      </c>
      <c r="I141">
        <v>819.21</v>
      </c>
      <c r="J141" t="s">
        <v>496</v>
      </c>
      <c r="K141" t="s">
        <v>655</v>
      </c>
      <c r="L141" t="s">
        <v>35</v>
      </c>
      <c r="M141" t="s">
        <v>24</v>
      </c>
    </row>
    <row r="142" spans="1:13" x14ac:dyDescent="0.3">
      <c r="A142" t="s">
        <v>554</v>
      </c>
      <c r="B142" t="s">
        <v>522</v>
      </c>
      <c r="C142" t="s">
        <v>523</v>
      </c>
      <c r="D142" t="s">
        <v>451</v>
      </c>
      <c r="E142" t="s">
        <v>524</v>
      </c>
      <c r="F142" t="s">
        <v>448</v>
      </c>
      <c r="I142">
        <v>881948086</v>
      </c>
      <c r="J142" t="s">
        <v>451</v>
      </c>
      <c r="K142" t="s">
        <v>651</v>
      </c>
      <c r="L142" t="s">
        <v>35</v>
      </c>
      <c r="M142" t="s">
        <v>24</v>
      </c>
    </row>
    <row r="143" spans="1:13" x14ac:dyDescent="0.3">
      <c r="A143" t="s">
        <v>554</v>
      </c>
      <c r="B143" t="s">
        <v>522</v>
      </c>
      <c r="C143" t="s">
        <v>523</v>
      </c>
      <c r="D143" t="s">
        <v>451</v>
      </c>
      <c r="E143" t="s">
        <v>524</v>
      </c>
      <c r="F143" t="s">
        <v>461</v>
      </c>
      <c r="I143">
        <v>471044223</v>
      </c>
      <c r="J143" t="s">
        <v>451</v>
      </c>
      <c r="K143" t="s">
        <v>651</v>
      </c>
      <c r="L143" t="s">
        <v>35</v>
      </c>
      <c r="M143" t="s">
        <v>24</v>
      </c>
    </row>
    <row r="144" spans="1:13" x14ac:dyDescent="0.3">
      <c r="A144" t="s">
        <v>554</v>
      </c>
      <c r="B144" t="s">
        <v>522</v>
      </c>
      <c r="C144" t="s">
        <v>523</v>
      </c>
      <c r="D144" t="s">
        <v>451</v>
      </c>
      <c r="E144" t="s">
        <v>524</v>
      </c>
      <c r="F144" t="s">
        <v>485</v>
      </c>
      <c r="I144">
        <v>108374968</v>
      </c>
      <c r="J144" t="s">
        <v>451</v>
      </c>
      <c r="K144" t="s">
        <v>651</v>
      </c>
      <c r="L144" t="s">
        <v>35</v>
      </c>
      <c r="M144" t="s">
        <v>24</v>
      </c>
    </row>
    <row r="145" spans="1:13" x14ac:dyDescent="0.3">
      <c r="A145" t="s">
        <v>554</v>
      </c>
      <c r="B145" t="s">
        <v>522</v>
      </c>
      <c r="C145" t="s">
        <v>523</v>
      </c>
      <c r="D145" t="s">
        <v>496</v>
      </c>
      <c r="E145" t="s">
        <v>524</v>
      </c>
      <c r="F145" t="s">
        <v>485</v>
      </c>
      <c r="G145" t="s">
        <v>654</v>
      </c>
      <c r="I145">
        <v>29179.96</v>
      </c>
      <c r="J145" t="s">
        <v>496</v>
      </c>
      <c r="K145" t="s">
        <v>655</v>
      </c>
      <c r="L145" t="s">
        <v>35</v>
      </c>
      <c r="M145" t="s">
        <v>24</v>
      </c>
    </row>
    <row r="146" spans="1:13" x14ac:dyDescent="0.3">
      <c r="A146" t="s">
        <v>554</v>
      </c>
      <c r="B146" t="s">
        <v>660</v>
      </c>
      <c r="C146" t="s">
        <v>661</v>
      </c>
      <c r="D146" t="s">
        <v>496</v>
      </c>
      <c r="E146" t="s">
        <v>524</v>
      </c>
      <c r="F146" t="s">
        <v>485</v>
      </c>
      <c r="G146" t="s">
        <v>654</v>
      </c>
      <c r="I146">
        <v>695.11</v>
      </c>
      <c r="J146" t="s">
        <v>496</v>
      </c>
      <c r="K146" t="s">
        <v>662</v>
      </c>
      <c r="L146" t="s">
        <v>35</v>
      </c>
      <c r="M146" t="s">
        <v>24</v>
      </c>
    </row>
    <row r="147" spans="1:13" x14ac:dyDescent="0.3">
      <c r="A147" t="s">
        <v>554</v>
      </c>
      <c r="B147" t="s">
        <v>658</v>
      </c>
      <c r="C147" t="s">
        <v>659</v>
      </c>
      <c r="D147" t="s">
        <v>496</v>
      </c>
      <c r="E147" t="s">
        <v>524</v>
      </c>
      <c r="F147" t="s">
        <v>485</v>
      </c>
      <c r="G147" t="s">
        <v>654</v>
      </c>
      <c r="I147">
        <v>-1393.8</v>
      </c>
      <c r="J147" t="s">
        <v>496</v>
      </c>
      <c r="K147" t="s">
        <v>655</v>
      </c>
      <c r="L147" t="s">
        <v>35</v>
      </c>
      <c r="M147" t="s">
        <v>24</v>
      </c>
    </row>
    <row r="148" spans="1:13" x14ac:dyDescent="0.3">
      <c r="A148" t="s">
        <v>554</v>
      </c>
      <c r="B148" t="s">
        <v>652</v>
      </c>
      <c r="C148" t="s">
        <v>653</v>
      </c>
      <c r="D148" t="s">
        <v>496</v>
      </c>
      <c r="E148" t="s">
        <v>524</v>
      </c>
      <c r="F148" t="s">
        <v>485</v>
      </c>
      <c r="G148" t="s">
        <v>654</v>
      </c>
      <c r="I148">
        <v>-23399.57</v>
      </c>
      <c r="J148" t="s">
        <v>496</v>
      </c>
      <c r="K148" t="s">
        <v>655</v>
      </c>
      <c r="L148" t="s">
        <v>35</v>
      </c>
      <c r="M148" t="s">
        <v>24</v>
      </c>
    </row>
    <row r="149" spans="1:13" x14ac:dyDescent="0.3">
      <c r="A149" t="s">
        <v>554</v>
      </c>
      <c r="B149" t="s">
        <v>656</v>
      </c>
      <c r="C149" t="s">
        <v>657</v>
      </c>
      <c r="D149" t="s">
        <v>496</v>
      </c>
      <c r="E149" t="s">
        <v>524</v>
      </c>
      <c r="F149" t="s">
        <v>485</v>
      </c>
      <c r="G149" t="s">
        <v>654</v>
      </c>
      <c r="I149">
        <v>-3691.48</v>
      </c>
      <c r="J149" t="s">
        <v>496</v>
      </c>
      <c r="K149" t="s">
        <v>655</v>
      </c>
      <c r="L149" t="s">
        <v>35</v>
      </c>
      <c r="M149" t="s">
        <v>24</v>
      </c>
    </row>
    <row r="150" spans="1:13" x14ac:dyDescent="0.3">
      <c r="A150" t="s">
        <v>554</v>
      </c>
      <c r="B150" t="s">
        <v>522</v>
      </c>
      <c r="C150" t="s">
        <v>523</v>
      </c>
      <c r="D150" t="s">
        <v>451</v>
      </c>
      <c r="E150" t="s">
        <v>524</v>
      </c>
      <c r="F150" t="s">
        <v>475</v>
      </c>
      <c r="I150">
        <v>113009475</v>
      </c>
      <c r="J150" t="s">
        <v>451</v>
      </c>
      <c r="K150" t="s">
        <v>651</v>
      </c>
      <c r="L150" t="s">
        <v>35</v>
      </c>
      <c r="M150" t="s">
        <v>24</v>
      </c>
    </row>
    <row r="151" spans="1:13" x14ac:dyDescent="0.3">
      <c r="A151" t="s">
        <v>603</v>
      </c>
      <c r="B151" t="s">
        <v>656</v>
      </c>
      <c r="C151" t="s">
        <v>657</v>
      </c>
      <c r="D151" t="s">
        <v>496</v>
      </c>
      <c r="E151" t="s">
        <v>524</v>
      </c>
      <c r="F151" t="s">
        <v>500</v>
      </c>
      <c r="G151" t="s">
        <v>664</v>
      </c>
      <c r="I151">
        <v>2166.36</v>
      </c>
      <c r="J151" t="s">
        <v>496</v>
      </c>
      <c r="K151" t="s">
        <v>665</v>
      </c>
      <c r="L151" t="s">
        <v>35</v>
      </c>
      <c r="M151" t="s">
        <v>24</v>
      </c>
    </row>
    <row r="152" spans="1:13" x14ac:dyDescent="0.3">
      <c r="A152" t="s">
        <v>603</v>
      </c>
      <c r="B152" t="s">
        <v>656</v>
      </c>
      <c r="C152" t="s">
        <v>657</v>
      </c>
      <c r="D152" t="s">
        <v>496</v>
      </c>
      <c r="E152" t="s">
        <v>524</v>
      </c>
      <c r="F152" t="s">
        <v>493</v>
      </c>
      <c r="G152" t="s">
        <v>664</v>
      </c>
      <c r="I152">
        <v>1380.84</v>
      </c>
      <c r="J152" t="s">
        <v>496</v>
      </c>
      <c r="K152" t="s">
        <v>665</v>
      </c>
      <c r="L152" t="s">
        <v>35</v>
      </c>
      <c r="M152" t="s">
        <v>24</v>
      </c>
    </row>
    <row r="153" spans="1:13" x14ac:dyDescent="0.3">
      <c r="A153" t="s">
        <v>603</v>
      </c>
      <c r="B153" t="s">
        <v>656</v>
      </c>
      <c r="C153" t="s">
        <v>657</v>
      </c>
      <c r="D153" t="s">
        <v>496</v>
      </c>
      <c r="E153" t="s">
        <v>524</v>
      </c>
      <c r="F153" t="s">
        <v>502</v>
      </c>
      <c r="G153" t="s">
        <v>664</v>
      </c>
      <c r="I153">
        <v>-785.52</v>
      </c>
      <c r="J153" t="s">
        <v>496</v>
      </c>
      <c r="K153" t="s">
        <v>665</v>
      </c>
      <c r="L153" t="s">
        <v>35</v>
      </c>
      <c r="M153" t="s">
        <v>24</v>
      </c>
    </row>
    <row r="154" spans="1:13" x14ac:dyDescent="0.3">
      <c r="A154" t="s">
        <v>603</v>
      </c>
      <c r="B154" t="s">
        <v>522</v>
      </c>
      <c r="C154" t="s">
        <v>523</v>
      </c>
      <c r="D154" t="s">
        <v>451</v>
      </c>
      <c r="E154" t="s">
        <v>524</v>
      </c>
      <c r="F154" t="s">
        <v>457</v>
      </c>
      <c r="I154">
        <v>348477606</v>
      </c>
      <c r="J154" t="s">
        <v>451</v>
      </c>
      <c r="K154" t="s">
        <v>651</v>
      </c>
      <c r="L154" t="s">
        <v>35</v>
      </c>
      <c r="M154" t="s">
        <v>24</v>
      </c>
    </row>
    <row r="155" spans="1:13" x14ac:dyDescent="0.3">
      <c r="A155" t="s">
        <v>603</v>
      </c>
      <c r="B155" t="s">
        <v>522</v>
      </c>
      <c r="C155" t="s">
        <v>523</v>
      </c>
      <c r="D155" t="s">
        <v>496</v>
      </c>
      <c r="E155" t="s">
        <v>524</v>
      </c>
      <c r="F155" t="s">
        <v>457</v>
      </c>
      <c r="G155" t="s">
        <v>654</v>
      </c>
      <c r="I155">
        <v>99415.39</v>
      </c>
      <c r="J155" t="s">
        <v>496</v>
      </c>
      <c r="K155" t="s">
        <v>655</v>
      </c>
      <c r="L155" t="s">
        <v>35</v>
      </c>
      <c r="M155" t="s">
        <v>24</v>
      </c>
    </row>
    <row r="156" spans="1:13" x14ac:dyDescent="0.3">
      <c r="A156" t="s">
        <v>603</v>
      </c>
      <c r="B156" t="s">
        <v>660</v>
      </c>
      <c r="C156" t="s">
        <v>661</v>
      </c>
      <c r="D156" t="s">
        <v>496</v>
      </c>
      <c r="E156" t="s">
        <v>524</v>
      </c>
      <c r="F156" t="s">
        <v>457</v>
      </c>
      <c r="G156" t="s">
        <v>654</v>
      </c>
      <c r="I156">
        <v>99415.39</v>
      </c>
      <c r="J156" t="s">
        <v>496</v>
      </c>
      <c r="K156" t="s">
        <v>662</v>
      </c>
      <c r="L156" t="s">
        <v>35</v>
      </c>
      <c r="M156" t="s">
        <v>24</v>
      </c>
    </row>
    <row r="157" spans="1:13" x14ac:dyDescent="0.3">
      <c r="A157" t="s">
        <v>603</v>
      </c>
      <c r="B157" t="s">
        <v>658</v>
      </c>
      <c r="C157" t="s">
        <v>659</v>
      </c>
      <c r="D157" t="s">
        <v>496</v>
      </c>
      <c r="E157" t="s">
        <v>524</v>
      </c>
      <c r="F157" t="s">
        <v>457</v>
      </c>
      <c r="G157" t="s">
        <v>654</v>
      </c>
      <c r="I157">
        <v>0</v>
      </c>
      <c r="J157" t="s">
        <v>496</v>
      </c>
      <c r="K157" t="s">
        <v>655</v>
      </c>
      <c r="L157" t="s">
        <v>35</v>
      </c>
      <c r="M157" t="s">
        <v>24</v>
      </c>
    </row>
    <row r="158" spans="1:13" x14ac:dyDescent="0.3">
      <c r="A158" t="s">
        <v>603</v>
      </c>
      <c r="B158" t="s">
        <v>652</v>
      </c>
      <c r="C158" t="s">
        <v>653</v>
      </c>
      <c r="D158" t="s">
        <v>496</v>
      </c>
      <c r="E158" t="s">
        <v>524</v>
      </c>
      <c r="F158" t="s">
        <v>457</v>
      </c>
      <c r="G158" t="s">
        <v>654</v>
      </c>
      <c r="I158">
        <v>0</v>
      </c>
      <c r="J158" t="s">
        <v>496</v>
      </c>
      <c r="K158" t="s">
        <v>655</v>
      </c>
      <c r="L158" t="s">
        <v>35</v>
      </c>
      <c r="M158" t="s">
        <v>24</v>
      </c>
    </row>
    <row r="159" spans="1:13" x14ac:dyDescent="0.3">
      <c r="A159" t="s">
        <v>603</v>
      </c>
      <c r="B159" t="s">
        <v>656</v>
      </c>
      <c r="C159" t="s">
        <v>657</v>
      </c>
      <c r="D159" t="s">
        <v>496</v>
      </c>
      <c r="E159" t="s">
        <v>524</v>
      </c>
      <c r="F159" t="s">
        <v>457</v>
      </c>
      <c r="G159" t="s">
        <v>654</v>
      </c>
      <c r="I159">
        <v>0</v>
      </c>
      <c r="J159" t="s">
        <v>496</v>
      </c>
      <c r="K159" t="s">
        <v>655</v>
      </c>
      <c r="L159" t="s">
        <v>35</v>
      </c>
      <c r="M159" t="s">
        <v>24</v>
      </c>
    </row>
    <row r="160" spans="1:13" x14ac:dyDescent="0.3">
      <c r="A160" t="s">
        <v>603</v>
      </c>
      <c r="B160" t="s">
        <v>522</v>
      </c>
      <c r="C160" t="s">
        <v>523</v>
      </c>
      <c r="D160" t="s">
        <v>451</v>
      </c>
      <c r="E160" t="s">
        <v>524</v>
      </c>
      <c r="F160" t="s">
        <v>453</v>
      </c>
      <c r="I160">
        <v>-177997905</v>
      </c>
      <c r="J160" t="s">
        <v>451</v>
      </c>
      <c r="K160" t="s">
        <v>651</v>
      </c>
      <c r="L160" t="s">
        <v>35</v>
      </c>
      <c r="M160" t="s">
        <v>24</v>
      </c>
    </row>
    <row r="161" spans="1:13" x14ac:dyDescent="0.3">
      <c r="A161" t="s">
        <v>603</v>
      </c>
      <c r="B161" t="s">
        <v>522</v>
      </c>
      <c r="C161" t="s">
        <v>523</v>
      </c>
      <c r="D161" t="s">
        <v>451</v>
      </c>
      <c r="E161" t="s">
        <v>524</v>
      </c>
      <c r="F161" t="s">
        <v>465</v>
      </c>
      <c r="I161">
        <v>112288693</v>
      </c>
      <c r="J161" t="s">
        <v>451</v>
      </c>
      <c r="K161" t="s">
        <v>651</v>
      </c>
      <c r="L161" t="s">
        <v>35</v>
      </c>
      <c r="M161" t="s">
        <v>24</v>
      </c>
    </row>
    <row r="162" spans="1:13" x14ac:dyDescent="0.3">
      <c r="A162" t="s">
        <v>603</v>
      </c>
      <c r="B162" t="s">
        <v>522</v>
      </c>
      <c r="C162" t="s">
        <v>523</v>
      </c>
      <c r="D162" t="s">
        <v>496</v>
      </c>
      <c r="E162" t="s">
        <v>524</v>
      </c>
      <c r="F162" t="s">
        <v>465</v>
      </c>
      <c r="G162" t="s">
        <v>654</v>
      </c>
      <c r="I162">
        <v>32034.26</v>
      </c>
      <c r="J162" t="s">
        <v>496</v>
      </c>
      <c r="K162" t="s">
        <v>655</v>
      </c>
      <c r="L162" t="s">
        <v>35</v>
      </c>
      <c r="M162" t="s">
        <v>24</v>
      </c>
    </row>
    <row r="163" spans="1:13" x14ac:dyDescent="0.3">
      <c r="A163" t="s">
        <v>603</v>
      </c>
      <c r="B163" t="s">
        <v>660</v>
      </c>
      <c r="C163" t="s">
        <v>661</v>
      </c>
      <c r="D163" t="s">
        <v>496</v>
      </c>
      <c r="E163" t="s">
        <v>524</v>
      </c>
      <c r="F163" t="s">
        <v>465</v>
      </c>
      <c r="G163" t="s">
        <v>654</v>
      </c>
      <c r="I163">
        <v>57539.519999999997</v>
      </c>
      <c r="J163" t="s">
        <v>496</v>
      </c>
      <c r="K163" t="s">
        <v>662</v>
      </c>
      <c r="L163" t="s">
        <v>35</v>
      </c>
      <c r="M163" t="s">
        <v>24</v>
      </c>
    </row>
    <row r="164" spans="1:13" x14ac:dyDescent="0.3">
      <c r="A164" t="s">
        <v>603</v>
      </c>
      <c r="B164" t="s">
        <v>658</v>
      </c>
      <c r="C164" t="s">
        <v>659</v>
      </c>
      <c r="D164" t="s">
        <v>496</v>
      </c>
      <c r="E164" t="s">
        <v>524</v>
      </c>
      <c r="F164" t="s">
        <v>465</v>
      </c>
      <c r="G164" t="s">
        <v>654</v>
      </c>
      <c r="I164">
        <v>71.989999999999995</v>
      </c>
      <c r="J164" t="s">
        <v>496</v>
      </c>
      <c r="K164" t="s">
        <v>655</v>
      </c>
      <c r="L164" t="s">
        <v>35</v>
      </c>
      <c r="M164" t="s">
        <v>24</v>
      </c>
    </row>
    <row r="165" spans="1:13" x14ac:dyDescent="0.3">
      <c r="A165" t="s">
        <v>603</v>
      </c>
      <c r="B165" t="s">
        <v>652</v>
      </c>
      <c r="C165" t="s">
        <v>653</v>
      </c>
      <c r="D165" t="s">
        <v>496</v>
      </c>
      <c r="E165" t="s">
        <v>524</v>
      </c>
      <c r="F165" t="s">
        <v>465</v>
      </c>
      <c r="G165" t="s">
        <v>654</v>
      </c>
      <c r="I165">
        <v>25433.27</v>
      </c>
      <c r="J165" t="s">
        <v>496</v>
      </c>
      <c r="K165" t="s">
        <v>655</v>
      </c>
      <c r="L165" t="s">
        <v>35</v>
      </c>
      <c r="M165" t="s">
        <v>24</v>
      </c>
    </row>
    <row r="166" spans="1:13" x14ac:dyDescent="0.3">
      <c r="A166" t="s">
        <v>603</v>
      </c>
      <c r="B166" t="s">
        <v>656</v>
      </c>
      <c r="C166" t="s">
        <v>657</v>
      </c>
      <c r="D166" t="s">
        <v>496</v>
      </c>
      <c r="E166" t="s">
        <v>524</v>
      </c>
      <c r="F166" t="s">
        <v>465</v>
      </c>
      <c r="G166" t="s">
        <v>654</v>
      </c>
      <c r="I166">
        <v>0</v>
      </c>
      <c r="J166" t="s">
        <v>496</v>
      </c>
      <c r="K166" t="s">
        <v>655</v>
      </c>
      <c r="L166" t="s">
        <v>35</v>
      </c>
      <c r="M166" t="s">
        <v>24</v>
      </c>
    </row>
    <row r="167" spans="1:13" x14ac:dyDescent="0.3">
      <c r="A167" t="s">
        <v>603</v>
      </c>
      <c r="B167" t="s">
        <v>522</v>
      </c>
      <c r="C167" t="s">
        <v>523</v>
      </c>
      <c r="D167" t="s">
        <v>451</v>
      </c>
      <c r="E167" t="s">
        <v>524</v>
      </c>
      <c r="F167" t="s">
        <v>469</v>
      </c>
      <c r="I167">
        <v>108908060</v>
      </c>
      <c r="J167" t="s">
        <v>451</v>
      </c>
      <c r="K167" t="s">
        <v>651</v>
      </c>
      <c r="L167" t="s">
        <v>35</v>
      </c>
      <c r="M167" t="s">
        <v>24</v>
      </c>
    </row>
    <row r="168" spans="1:13" x14ac:dyDescent="0.3">
      <c r="A168" t="s">
        <v>603</v>
      </c>
      <c r="B168" t="s">
        <v>522</v>
      </c>
      <c r="C168" t="s">
        <v>523</v>
      </c>
      <c r="D168" t="s">
        <v>496</v>
      </c>
      <c r="E168" t="s">
        <v>524</v>
      </c>
      <c r="F168" t="s">
        <v>469</v>
      </c>
      <c r="G168" t="s">
        <v>654</v>
      </c>
      <c r="I168">
        <v>31069.82</v>
      </c>
      <c r="J168" t="s">
        <v>496</v>
      </c>
      <c r="K168" t="s">
        <v>655</v>
      </c>
      <c r="L168" t="s">
        <v>35</v>
      </c>
      <c r="M168" t="s">
        <v>24</v>
      </c>
    </row>
    <row r="169" spans="1:13" x14ac:dyDescent="0.3">
      <c r="A169" t="s">
        <v>603</v>
      </c>
      <c r="B169" t="s">
        <v>660</v>
      </c>
      <c r="C169" t="s">
        <v>661</v>
      </c>
      <c r="D169" t="s">
        <v>496</v>
      </c>
      <c r="E169" t="s">
        <v>524</v>
      </c>
      <c r="F169" t="s">
        <v>469</v>
      </c>
      <c r="G169" t="s">
        <v>654</v>
      </c>
      <c r="I169">
        <v>31069.82</v>
      </c>
      <c r="J169" t="s">
        <v>496</v>
      </c>
      <c r="K169" t="s">
        <v>662</v>
      </c>
      <c r="L169" t="s">
        <v>35</v>
      </c>
      <c r="M169" t="s">
        <v>24</v>
      </c>
    </row>
    <row r="170" spans="1:13" x14ac:dyDescent="0.3">
      <c r="A170" t="s">
        <v>603</v>
      </c>
      <c r="B170" t="s">
        <v>658</v>
      </c>
      <c r="C170" t="s">
        <v>659</v>
      </c>
      <c r="D170" t="s">
        <v>496</v>
      </c>
      <c r="E170" t="s">
        <v>524</v>
      </c>
      <c r="F170" t="s">
        <v>469</v>
      </c>
      <c r="G170" t="s">
        <v>654</v>
      </c>
      <c r="I170">
        <v>0</v>
      </c>
      <c r="J170" t="s">
        <v>496</v>
      </c>
      <c r="K170" t="s">
        <v>655</v>
      </c>
      <c r="L170" t="s">
        <v>35</v>
      </c>
      <c r="M170" t="s">
        <v>24</v>
      </c>
    </row>
    <row r="171" spans="1:13" x14ac:dyDescent="0.3">
      <c r="A171" t="s">
        <v>603</v>
      </c>
      <c r="B171" t="s">
        <v>652</v>
      </c>
      <c r="C171" t="s">
        <v>653</v>
      </c>
      <c r="D171" t="s">
        <v>496</v>
      </c>
      <c r="E171" t="s">
        <v>524</v>
      </c>
      <c r="F171" t="s">
        <v>469</v>
      </c>
      <c r="G171" t="s">
        <v>654</v>
      </c>
      <c r="I171">
        <v>0</v>
      </c>
      <c r="J171" t="s">
        <v>496</v>
      </c>
      <c r="K171" t="s">
        <v>655</v>
      </c>
      <c r="L171" t="s">
        <v>35</v>
      </c>
      <c r="M171" t="s">
        <v>24</v>
      </c>
    </row>
    <row r="172" spans="1:13" x14ac:dyDescent="0.3">
      <c r="A172" t="s">
        <v>603</v>
      </c>
      <c r="B172" t="s">
        <v>656</v>
      </c>
      <c r="C172" t="s">
        <v>657</v>
      </c>
      <c r="D172" t="s">
        <v>496</v>
      </c>
      <c r="E172" t="s">
        <v>524</v>
      </c>
      <c r="F172" t="s">
        <v>469</v>
      </c>
      <c r="G172" t="s">
        <v>654</v>
      </c>
      <c r="I172">
        <v>0</v>
      </c>
      <c r="J172" t="s">
        <v>496</v>
      </c>
      <c r="K172" t="s">
        <v>655</v>
      </c>
      <c r="L172" t="s">
        <v>35</v>
      </c>
      <c r="M172" t="s">
        <v>24</v>
      </c>
    </row>
    <row r="173" spans="1:13" x14ac:dyDescent="0.3">
      <c r="A173" t="s">
        <v>603</v>
      </c>
      <c r="B173" t="s">
        <v>522</v>
      </c>
      <c r="C173" t="s">
        <v>523</v>
      </c>
      <c r="D173" t="s">
        <v>451</v>
      </c>
      <c r="E173" t="s">
        <v>524</v>
      </c>
      <c r="F173" t="s">
        <v>472</v>
      </c>
      <c r="I173">
        <v>146803460</v>
      </c>
      <c r="J173" t="s">
        <v>451</v>
      </c>
      <c r="K173" t="s">
        <v>651</v>
      </c>
      <c r="L173" t="s">
        <v>35</v>
      </c>
      <c r="M173" t="s">
        <v>24</v>
      </c>
    </row>
    <row r="174" spans="1:13" x14ac:dyDescent="0.3">
      <c r="A174" t="s">
        <v>603</v>
      </c>
      <c r="B174" t="s">
        <v>522</v>
      </c>
      <c r="C174" t="s">
        <v>523</v>
      </c>
      <c r="D174" t="s">
        <v>496</v>
      </c>
      <c r="E174" t="s">
        <v>524</v>
      </c>
      <c r="F174" t="s">
        <v>472</v>
      </c>
      <c r="G174" t="s">
        <v>654</v>
      </c>
      <c r="I174">
        <v>41880.81</v>
      </c>
      <c r="J174" t="s">
        <v>496</v>
      </c>
      <c r="K174" t="s">
        <v>655</v>
      </c>
      <c r="L174" t="s">
        <v>35</v>
      </c>
      <c r="M174" t="s">
        <v>24</v>
      </c>
    </row>
    <row r="175" spans="1:13" x14ac:dyDescent="0.3">
      <c r="A175" t="s">
        <v>603</v>
      </c>
      <c r="B175" t="s">
        <v>660</v>
      </c>
      <c r="C175" t="s">
        <v>661</v>
      </c>
      <c r="D175" t="s">
        <v>496</v>
      </c>
      <c r="E175" t="s">
        <v>524</v>
      </c>
      <c r="F175" t="s">
        <v>472</v>
      </c>
      <c r="G175" t="s">
        <v>654</v>
      </c>
      <c r="I175">
        <v>46965.81</v>
      </c>
      <c r="J175" t="s">
        <v>496</v>
      </c>
      <c r="K175" t="s">
        <v>662</v>
      </c>
      <c r="L175" t="s">
        <v>35</v>
      </c>
      <c r="M175" t="s">
        <v>24</v>
      </c>
    </row>
    <row r="176" spans="1:13" x14ac:dyDescent="0.3">
      <c r="A176" t="s">
        <v>603</v>
      </c>
      <c r="B176" t="s">
        <v>658</v>
      </c>
      <c r="C176" t="s">
        <v>659</v>
      </c>
      <c r="D176" t="s">
        <v>496</v>
      </c>
      <c r="E176" t="s">
        <v>524</v>
      </c>
      <c r="F176" t="s">
        <v>472</v>
      </c>
      <c r="G176" t="s">
        <v>654</v>
      </c>
      <c r="I176">
        <v>2550</v>
      </c>
      <c r="J176" t="s">
        <v>496</v>
      </c>
      <c r="K176" t="s">
        <v>655</v>
      </c>
      <c r="L176" t="s">
        <v>35</v>
      </c>
      <c r="M176" t="s">
        <v>24</v>
      </c>
    </row>
    <row r="177" spans="1:13" x14ac:dyDescent="0.3">
      <c r="A177" t="s">
        <v>603</v>
      </c>
      <c r="B177" t="s">
        <v>652</v>
      </c>
      <c r="C177" t="s">
        <v>653</v>
      </c>
      <c r="D177" t="s">
        <v>496</v>
      </c>
      <c r="E177" t="s">
        <v>524</v>
      </c>
      <c r="F177" t="s">
        <v>472</v>
      </c>
      <c r="G177" t="s">
        <v>654</v>
      </c>
      <c r="I177">
        <v>2535</v>
      </c>
      <c r="J177" t="s">
        <v>496</v>
      </c>
      <c r="K177" t="s">
        <v>655</v>
      </c>
      <c r="L177" t="s">
        <v>35</v>
      </c>
      <c r="M177" t="s">
        <v>24</v>
      </c>
    </row>
    <row r="178" spans="1:13" x14ac:dyDescent="0.3">
      <c r="A178" t="s">
        <v>603</v>
      </c>
      <c r="B178" t="s">
        <v>656</v>
      </c>
      <c r="C178" t="s">
        <v>657</v>
      </c>
      <c r="D178" t="s">
        <v>496</v>
      </c>
      <c r="E178" t="s">
        <v>524</v>
      </c>
      <c r="F178" t="s">
        <v>472</v>
      </c>
      <c r="G178" t="s">
        <v>654</v>
      </c>
      <c r="I178">
        <v>0</v>
      </c>
      <c r="J178" t="s">
        <v>496</v>
      </c>
      <c r="K178" t="s">
        <v>655</v>
      </c>
      <c r="L178" t="s">
        <v>35</v>
      </c>
      <c r="M178" t="s">
        <v>24</v>
      </c>
    </row>
    <row r="179" spans="1:13" x14ac:dyDescent="0.3">
      <c r="A179" t="s">
        <v>603</v>
      </c>
      <c r="B179" t="s">
        <v>522</v>
      </c>
      <c r="C179" t="s">
        <v>523</v>
      </c>
      <c r="D179" t="s">
        <v>451</v>
      </c>
      <c r="E179" t="s">
        <v>524</v>
      </c>
      <c r="F179" t="s">
        <v>482</v>
      </c>
      <c r="I179">
        <v>5552094</v>
      </c>
      <c r="J179" t="s">
        <v>451</v>
      </c>
      <c r="K179" t="s">
        <v>651</v>
      </c>
      <c r="L179" t="s">
        <v>35</v>
      </c>
      <c r="M179" t="s">
        <v>24</v>
      </c>
    </row>
    <row r="180" spans="1:13" x14ac:dyDescent="0.3">
      <c r="A180" t="s">
        <v>603</v>
      </c>
      <c r="B180" t="s">
        <v>522</v>
      </c>
      <c r="C180" t="s">
        <v>523</v>
      </c>
      <c r="D180" t="s">
        <v>496</v>
      </c>
      <c r="E180" t="s">
        <v>524</v>
      </c>
      <c r="F180" t="s">
        <v>482</v>
      </c>
      <c r="G180" t="s">
        <v>654</v>
      </c>
      <c r="I180">
        <v>1583.93</v>
      </c>
      <c r="J180" t="s">
        <v>496</v>
      </c>
      <c r="K180" t="s">
        <v>655</v>
      </c>
      <c r="L180" t="s">
        <v>35</v>
      </c>
      <c r="M180" t="s">
        <v>24</v>
      </c>
    </row>
    <row r="181" spans="1:13" x14ac:dyDescent="0.3">
      <c r="A181" t="s">
        <v>603</v>
      </c>
      <c r="B181" t="s">
        <v>660</v>
      </c>
      <c r="C181" t="s">
        <v>661</v>
      </c>
      <c r="D181" t="s">
        <v>496</v>
      </c>
      <c r="E181" t="s">
        <v>524</v>
      </c>
      <c r="F181" t="s">
        <v>482</v>
      </c>
      <c r="G181" t="s">
        <v>654</v>
      </c>
      <c r="I181">
        <v>1645.9</v>
      </c>
      <c r="J181" t="s">
        <v>496</v>
      </c>
      <c r="K181" t="s">
        <v>662</v>
      </c>
      <c r="L181" t="s">
        <v>35</v>
      </c>
      <c r="M181" t="s">
        <v>24</v>
      </c>
    </row>
    <row r="182" spans="1:13" x14ac:dyDescent="0.3">
      <c r="A182" t="s">
        <v>603</v>
      </c>
      <c r="B182" t="s">
        <v>658</v>
      </c>
      <c r="C182" t="s">
        <v>659</v>
      </c>
      <c r="D182" t="s">
        <v>496</v>
      </c>
      <c r="E182" t="s">
        <v>524</v>
      </c>
      <c r="F182" t="s">
        <v>482</v>
      </c>
      <c r="G182" t="s">
        <v>654</v>
      </c>
      <c r="I182">
        <v>50</v>
      </c>
      <c r="J182" t="s">
        <v>496</v>
      </c>
      <c r="K182" t="s">
        <v>655</v>
      </c>
      <c r="L182" t="s">
        <v>35</v>
      </c>
      <c r="M182" t="s">
        <v>24</v>
      </c>
    </row>
    <row r="183" spans="1:13" x14ac:dyDescent="0.3">
      <c r="A183" t="s">
        <v>603</v>
      </c>
      <c r="B183" t="s">
        <v>652</v>
      </c>
      <c r="C183" t="s">
        <v>653</v>
      </c>
      <c r="D183" t="s">
        <v>496</v>
      </c>
      <c r="E183" t="s">
        <v>524</v>
      </c>
      <c r="F183" t="s">
        <v>482</v>
      </c>
      <c r="G183" t="s">
        <v>654</v>
      </c>
      <c r="I183">
        <v>0</v>
      </c>
      <c r="J183" t="s">
        <v>496</v>
      </c>
      <c r="K183" t="s">
        <v>655</v>
      </c>
      <c r="L183" t="s">
        <v>35</v>
      </c>
      <c r="M183" t="s">
        <v>24</v>
      </c>
    </row>
    <row r="184" spans="1:13" x14ac:dyDescent="0.3">
      <c r="A184" t="s">
        <v>603</v>
      </c>
      <c r="B184" t="s">
        <v>656</v>
      </c>
      <c r="C184" t="s">
        <v>657</v>
      </c>
      <c r="D184" t="s">
        <v>496</v>
      </c>
      <c r="E184" t="s">
        <v>524</v>
      </c>
      <c r="F184" t="s">
        <v>482</v>
      </c>
      <c r="G184" t="s">
        <v>654</v>
      </c>
      <c r="I184">
        <v>11.97</v>
      </c>
      <c r="J184" t="s">
        <v>496</v>
      </c>
      <c r="K184" t="s">
        <v>655</v>
      </c>
      <c r="L184" t="s">
        <v>35</v>
      </c>
      <c r="M184" t="s">
        <v>24</v>
      </c>
    </row>
    <row r="185" spans="1:13" x14ac:dyDescent="0.3">
      <c r="A185" t="s">
        <v>603</v>
      </c>
      <c r="B185" t="s">
        <v>522</v>
      </c>
      <c r="C185" t="s">
        <v>523</v>
      </c>
      <c r="D185" t="s">
        <v>451</v>
      </c>
      <c r="E185" t="s">
        <v>524</v>
      </c>
      <c r="F185" t="s">
        <v>479</v>
      </c>
      <c r="I185">
        <v>3920249</v>
      </c>
      <c r="J185" t="s">
        <v>451</v>
      </c>
      <c r="K185" t="s">
        <v>651</v>
      </c>
      <c r="L185" t="s">
        <v>35</v>
      </c>
      <c r="M185" t="s">
        <v>24</v>
      </c>
    </row>
    <row r="186" spans="1:13" x14ac:dyDescent="0.3">
      <c r="A186" t="s">
        <v>603</v>
      </c>
      <c r="B186" t="s">
        <v>522</v>
      </c>
      <c r="C186" t="s">
        <v>523</v>
      </c>
      <c r="D186" t="s">
        <v>496</v>
      </c>
      <c r="E186" t="s">
        <v>524</v>
      </c>
      <c r="F186" t="s">
        <v>479</v>
      </c>
      <c r="G186" t="s">
        <v>654</v>
      </c>
      <c r="I186">
        <v>1118.3900000000001</v>
      </c>
      <c r="J186" t="s">
        <v>496</v>
      </c>
      <c r="K186" t="s">
        <v>655</v>
      </c>
      <c r="L186" t="s">
        <v>35</v>
      </c>
      <c r="M186" t="s">
        <v>24</v>
      </c>
    </row>
    <row r="187" spans="1:13" x14ac:dyDescent="0.3">
      <c r="A187" t="s">
        <v>603</v>
      </c>
      <c r="B187" t="s">
        <v>660</v>
      </c>
      <c r="C187" t="s">
        <v>661</v>
      </c>
      <c r="D187" t="s">
        <v>496</v>
      </c>
      <c r="E187" t="s">
        <v>524</v>
      </c>
      <c r="F187" t="s">
        <v>479</v>
      </c>
      <c r="G187" t="s">
        <v>654</v>
      </c>
      <c r="I187">
        <v>1118.3900000000001</v>
      </c>
      <c r="J187" t="s">
        <v>496</v>
      </c>
      <c r="K187" t="s">
        <v>662</v>
      </c>
      <c r="L187" t="s">
        <v>35</v>
      </c>
      <c r="M187" t="s">
        <v>24</v>
      </c>
    </row>
    <row r="188" spans="1:13" x14ac:dyDescent="0.3">
      <c r="A188" t="s">
        <v>603</v>
      </c>
      <c r="B188" t="s">
        <v>658</v>
      </c>
      <c r="C188" t="s">
        <v>659</v>
      </c>
      <c r="D188" t="s">
        <v>496</v>
      </c>
      <c r="E188" t="s">
        <v>524</v>
      </c>
      <c r="F188" t="s">
        <v>479</v>
      </c>
      <c r="G188" t="s">
        <v>654</v>
      </c>
      <c r="I188">
        <v>0</v>
      </c>
      <c r="J188" t="s">
        <v>496</v>
      </c>
      <c r="K188" t="s">
        <v>655</v>
      </c>
      <c r="L188" t="s">
        <v>35</v>
      </c>
      <c r="M188" t="s">
        <v>24</v>
      </c>
    </row>
    <row r="189" spans="1:13" x14ac:dyDescent="0.3">
      <c r="A189" t="s">
        <v>603</v>
      </c>
      <c r="B189" t="s">
        <v>652</v>
      </c>
      <c r="C189" t="s">
        <v>653</v>
      </c>
      <c r="D189" t="s">
        <v>496</v>
      </c>
      <c r="E189" t="s">
        <v>524</v>
      </c>
      <c r="F189" t="s">
        <v>479</v>
      </c>
      <c r="G189" t="s">
        <v>654</v>
      </c>
      <c r="I189">
        <v>0</v>
      </c>
      <c r="J189" t="s">
        <v>496</v>
      </c>
      <c r="K189" t="s">
        <v>655</v>
      </c>
      <c r="L189" t="s">
        <v>35</v>
      </c>
      <c r="M189" t="s">
        <v>24</v>
      </c>
    </row>
    <row r="190" spans="1:13" x14ac:dyDescent="0.3">
      <c r="A190" t="s">
        <v>603</v>
      </c>
      <c r="B190" t="s">
        <v>656</v>
      </c>
      <c r="C190" t="s">
        <v>657</v>
      </c>
      <c r="D190" t="s">
        <v>496</v>
      </c>
      <c r="E190" t="s">
        <v>524</v>
      </c>
      <c r="F190" t="s">
        <v>479</v>
      </c>
      <c r="G190" t="s">
        <v>654</v>
      </c>
      <c r="I190">
        <v>0</v>
      </c>
      <c r="J190" t="s">
        <v>496</v>
      </c>
      <c r="K190" t="s">
        <v>655</v>
      </c>
      <c r="L190" t="s">
        <v>35</v>
      </c>
      <c r="M190" t="s">
        <v>24</v>
      </c>
    </row>
    <row r="191" spans="1:13" x14ac:dyDescent="0.3">
      <c r="A191" t="s">
        <v>603</v>
      </c>
      <c r="B191" t="s">
        <v>522</v>
      </c>
      <c r="C191" t="s">
        <v>523</v>
      </c>
      <c r="D191" t="s">
        <v>451</v>
      </c>
      <c r="E191" t="s">
        <v>524</v>
      </c>
      <c r="F191" t="s">
        <v>442</v>
      </c>
      <c r="I191">
        <v>751453314</v>
      </c>
      <c r="J191" t="s">
        <v>451</v>
      </c>
      <c r="K191" t="s">
        <v>651</v>
      </c>
      <c r="L191" t="s">
        <v>35</v>
      </c>
      <c r="M191" t="s">
        <v>24</v>
      </c>
    </row>
    <row r="192" spans="1:13" x14ac:dyDescent="0.3">
      <c r="A192" t="s">
        <v>603</v>
      </c>
      <c r="B192" t="s">
        <v>522</v>
      </c>
      <c r="C192" t="s">
        <v>523</v>
      </c>
      <c r="D192" t="s">
        <v>496</v>
      </c>
      <c r="E192" t="s">
        <v>524</v>
      </c>
      <c r="F192" t="s">
        <v>442</v>
      </c>
      <c r="G192" t="s">
        <v>654</v>
      </c>
      <c r="I192">
        <v>214378.26</v>
      </c>
      <c r="J192" t="s">
        <v>496</v>
      </c>
      <c r="K192" t="s">
        <v>655</v>
      </c>
      <c r="L192" t="s">
        <v>35</v>
      </c>
      <c r="M192" t="s">
        <v>24</v>
      </c>
    </row>
    <row r="193" spans="1:13" x14ac:dyDescent="0.3">
      <c r="A193" t="s">
        <v>603</v>
      </c>
      <c r="B193" t="s">
        <v>660</v>
      </c>
      <c r="C193" t="s">
        <v>661</v>
      </c>
      <c r="D193" t="s">
        <v>496</v>
      </c>
      <c r="E193" t="s">
        <v>524</v>
      </c>
      <c r="F193" t="s">
        <v>442</v>
      </c>
      <c r="G193" t="s">
        <v>654</v>
      </c>
      <c r="I193">
        <v>358874.22</v>
      </c>
      <c r="J193" t="s">
        <v>496</v>
      </c>
      <c r="K193" t="s">
        <v>662</v>
      </c>
      <c r="L193" t="s">
        <v>35</v>
      </c>
      <c r="M193" t="s">
        <v>24</v>
      </c>
    </row>
    <row r="194" spans="1:13" x14ac:dyDescent="0.3">
      <c r="A194" t="s">
        <v>603</v>
      </c>
      <c r="B194" t="s">
        <v>658</v>
      </c>
      <c r="C194" t="s">
        <v>659</v>
      </c>
      <c r="D194" t="s">
        <v>496</v>
      </c>
      <c r="E194" t="s">
        <v>524</v>
      </c>
      <c r="F194" t="s">
        <v>442</v>
      </c>
      <c r="G194" t="s">
        <v>654</v>
      </c>
      <c r="I194">
        <v>137010</v>
      </c>
      <c r="J194" t="s">
        <v>496</v>
      </c>
      <c r="K194" t="s">
        <v>655</v>
      </c>
      <c r="L194" t="s">
        <v>35</v>
      </c>
      <c r="M194" t="s">
        <v>24</v>
      </c>
    </row>
    <row r="195" spans="1:13" x14ac:dyDescent="0.3">
      <c r="A195" t="s">
        <v>603</v>
      </c>
      <c r="B195" t="s">
        <v>652</v>
      </c>
      <c r="C195" t="s">
        <v>653</v>
      </c>
      <c r="D195" t="s">
        <v>496</v>
      </c>
      <c r="E195" t="s">
        <v>524</v>
      </c>
      <c r="F195" t="s">
        <v>442</v>
      </c>
      <c r="G195" t="s">
        <v>654</v>
      </c>
      <c r="I195">
        <v>5664.45</v>
      </c>
      <c r="J195" t="s">
        <v>496</v>
      </c>
      <c r="K195" t="s">
        <v>655</v>
      </c>
      <c r="L195" t="s">
        <v>35</v>
      </c>
      <c r="M195" t="s">
        <v>24</v>
      </c>
    </row>
    <row r="196" spans="1:13" x14ac:dyDescent="0.3">
      <c r="A196" t="s">
        <v>603</v>
      </c>
      <c r="B196" t="s">
        <v>656</v>
      </c>
      <c r="C196" t="s">
        <v>657</v>
      </c>
      <c r="D196" t="s">
        <v>496</v>
      </c>
      <c r="E196" t="s">
        <v>524</v>
      </c>
      <c r="F196" t="s">
        <v>442</v>
      </c>
      <c r="G196" t="s">
        <v>654</v>
      </c>
      <c r="I196">
        <v>1821.51</v>
      </c>
      <c r="J196" t="s">
        <v>496</v>
      </c>
      <c r="K196" t="s">
        <v>655</v>
      </c>
      <c r="L196" t="s">
        <v>35</v>
      </c>
      <c r="M196" t="s">
        <v>24</v>
      </c>
    </row>
    <row r="197" spans="1:13" x14ac:dyDescent="0.3">
      <c r="A197" t="s">
        <v>603</v>
      </c>
      <c r="B197" t="s">
        <v>522</v>
      </c>
      <c r="C197" t="s">
        <v>523</v>
      </c>
      <c r="D197" t="s">
        <v>451</v>
      </c>
      <c r="E197" t="s">
        <v>524</v>
      </c>
      <c r="F197" t="s">
        <v>448</v>
      </c>
      <c r="I197">
        <v>929451219</v>
      </c>
      <c r="J197" t="s">
        <v>451</v>
      </c>
      <c r="K197" t="s">
        <v>651</v>
      </c>
      <c r="L197" t="s">
        <v>35</v>
      </c>
      <c r="M197" t="s">
        <v>24</v>
      </c>
    </row>
    <row r="198" spans="1:13" x14ac:dyDescent="0.3">
      <c r="A198" t="s">
        <v>603</v>
      </c>
      <c r="B198" t="s">
        <v>522</v>
      </c>
      <c r="C198" t="s">
        <v>523</v>
      </c>
      <c r="D198" t="s">
        <v>451</v>
      </c>
      <c r="E198" t="s">
        <v>524</v>
      </c>
      <c r="F198" t="s">
        <v>461</v>
      </c>
      <c r="I198">
        <v>402975708</v>
      </c>
      <c r="J198" t="s">
        <v>451</v>
      </c>
      <c r="K198" t="s">
        <v>651</v>
      </c>
      <c r="L198" t="s">
        <v>35</v>
      </c>
      <c r="M198" t="s">
        <v>24</v>
      </c>
    </row>
    <row r="199" spans="1:13" x14ac:dyDescent="0.3">
      <c r="A199" t="s">
        <v>603</v>
      </c>
      <c r="B199" t="s">
        <v>522</v>
      </c>
      <c r="C199" t="s">
        <v>523</v>
      </c>
      <c r="D199" t="s">
        <v>451</v>
      </c>
      <c r="E199" t="s">
        <v>524</v>
      </c>
      <c r="F199" t="s">
        <v>485</v>
      </c>
      <c r="I199">
        <v>33343650</v>
      </c>
      <c r="J199" t="s">
        <v>451</v>
      </c>
      <c r="K199" t="s">
        <v>651</v>
      </c>
      <c r="L199" t="s">
        <v>35</v>
      </c>
      <c r="M199" t="s">
        <v>24</v>
      </c>
    </row>
    <row r="200" spans="1:13" x14ac:dyDescent="0.3">
      <c r="A200" t="s">
        <v>603</v>
      </c>
      <c r="B200" t="s">
        <v>522</v>
      </c>
      <c r="C200" t="s">
        <v>523</v>
      </c>
      <c r="D200" t="s">
        <v>496</v>
      </c>
      <c r="E200" t="s">
        <v>524</v>
      </c>
      <c r="F200" t="s">
        <v>485</v>
      </c>
      <c r="G200" t="s">
        <v>654</v>
      </c>
      <c r="I200">
        <v>9512.44</v>
      </c>
      <c r="J200" t="s">
        <v>496</v>
      </c>
      <c r="K200" t="s">
        <v>655</v>
      </c>
      <c r="L200" t="s">
        <v>35</v>
      </c>
      <c r="M200" t="s">
        <v>24</v>
      </c>
    </row>
    <row r="201" spans="1:13" x14ac:dyDescent="0.3">
      <c r="A201" t="s">
        <v>603</v>
      </c>
      <c r="B201" t="s">
        <v>660</v>
      </c>
      <c r="C201" t="s">
        <v>661</v>
      </c>
      <c r="D201" t="s">
        <v>496</v>
      </c>
      <c r="E201" t="s">
        <v>524</v>
      </c>
      <c r="F201" t="s">
        <v>485</v>
      </c>
      <c r="G201" t="s">
        <v>654</v>
      </c>
      <c r="I201">
        <v>123356.17</v>
      </c>
      <c r="J201" t="s">
        <v>496</v>
      </c>
      <c r="K201" t="s">
        <v>662</v>
      </c>
      <c r="L201" t="s">
        <v>35</v>
      </c>
      <c r="M201" t="s">
        <v>24</v>
      </c>
    </row>
    <row r="202" spans="1:13" x14ac:dyDescent="0.3">
      <c r="A202" t="s">
        <v>603</v>
      </c>
      <c r="B202" t="s">
        <v>658</v>
      </c>
      <c r="C202" t="s">
        <v>659</v>
      </c>
      <c r="D202" t="s">
        <v>496</v>
      </c>
      <c r="E202" t="s">
        <v>524</v>
      </c>
      <c r="F202" t="s">
        <v>485</v>
      </c>
      <c r="G202" t="s">
        <v>654</v>
      </c>
      <c r="I202">
        <v>134338.01</v>
      </c>
      <c r="J202" t="s">
        <v>496</v>
      </c>
      <c r="K202" t="s">
        <v>655</v>
      </c>
      <c r="L202" t="s">
        <v>35</v>
      </c>
      <c r="M202" t="s">
        <v>24</v>
      </c>
    </row>
    <row r="203" spans="1:13" x14ac:dyDescent="0.3">
      <c r="A203" t="s">
        <v>603</v>
      </c>
      <c r="B203" t="s">
        <v>652</v>
      </c>
      <c r="C203" t="s">
        <v>653</v>
      </c>
      <c r="D203" t="s">
        <v>496</v>
      </c>
      <c r="E203" t="s">
        <v>524</v>
      </c>
      <c r="F203" t="s">
        <v>485</v>
      </c>
      <c r="G203" t="s">
        <v>654</v>
      </c>
      <c r="I203">
        <v>-22303.82</v>
      </c>
      <c r="J203" t="s">
        <v>496</v>
      </c>
      <c r="K203" t="s">
        <v>655</v>
      </c>
      <c r="L203" t="s">
        <v>35</v>
      </c>
      <c r="M203" t="s">
        <v>24</v>
      </c>
    </row>
    <row r="204" spans="1:13" x14ac:dyDescent="0.3">
      <c r="A204" t="s">
        <v>603</v>
      </c>
      <c r="B204" t="s">
        <v>656</v>
      </c>
      <c r="C204" t="s">
        <v>657</v>
      </c>
      <c r="D204" t="s">
        <v>496</v>
      </c>
      <c r="E204" t="s">
        <v>524</v>
      </c>
      <c r="F204" t="s">
        <v>485</v>
      </c>
      <c r="G204" t="s">
        <v>654</v>
      </c>
      <c r="I204">
        <v>1809.54</v>
      </c>
      <c r="J204" t="s">
        <v>496</v>
      </c>
      <c r="K204" t="s">
        <v>655</v>
      </c>
      <c r="L204" t="s">
        <v>35</v>
      </c>
      <c r="M204" t="s">
        <v>24</v>
      </c>
    </row>
    <row r="205" spans="1:13" x14ac:dyDescent="0.3">
      <c r="A205" t="s">
        <v>603</v>
      </c>
      <c r="B205" t="s">
        <v>522</v>
      </c>
      <c r="C205" t="s">
        <v>523</v>
      </c>
      <c r="D205" t="s">
        <v>451</v>
      </c>
      <c r="E205" t="s">
        <v>524</v>
      </c>
      <c r="F205" t="s">
        <v>475</v>
      </c>
      <c r="I205">
        <v>34975495</v>
      </c>
      <c r="J205" t="s">
        <v>451</v>
      </c>
      <c r="K205" t="s">
        <v>651</v>
      </c>
      <c r="L205" t="s">
        <v>35</v>
      </c>
      <c r="M205" t="s">
        <v>24</v>
      </c>
    </row>
    <row r="206" spans="1:13" x14ac:dyDescent="0.3">
      <c r="A206" t="s">
        <v>624</v>
      </c>
      <c r="B206" t="s">
        <v>522</v>
      </c>
      <c r="C206" t="s">
        <v>523</v>
      </c>
      <c r="D206" t="s">
        <v>451</v>
      </c>
      <c r="E206" t="s">
        <v>524</v>
      </c>
      <c r="F206" t="s">
        <v>448</v>
      </c>
      <c r="I206">
        <v>711900651</v>
      </c>
      <c r="J206" t="s">
        <v>451</v>
      </c>
      <c r="K206" t="s">
        <v>682</v>
      </c>
      <c r="L206" t="s">
        <v>35</v>
      </c>
      <c r="M206" t="s">
        <v>24</v>
      </c>
    </row>
    <row r="207" spans="1:13" x14ac:dyDescent="0.3">
      <c r="A207" t="s">
        <v>624</v>
      </c>
      <c r="B207" t="s">
        <v>522</v>
      </c>
      <c r="C207" t="s">
        <v>523</v>
      </c>
      <c r="D207" t="s">
        <v>451</v>
      </c>
      <c r="E207" t="s">
        <v>524</v>
      </c>
      <c r="F207" t="s">
        <v>453</v>
      </c>
      <c r="I207">
        <v>-32010099</v>
      </c>
      <c r="J207" t="s">
        <v>451</v>
      </c>
      <c r="K207" t="s">
        <v>682</v>
      </c>
      <c r="L207" t="s">
        <v>35</v>
      </c>
      <c r="M207" t="s">
        <v>24</v>
      </c>
    </row>
    <row r="208" spans="1:13" x14ac:dyDescent="0.3">
      <c r="A208" t="s">
        <v>624</v>
      </c>
      <c r="B208" t="s">
        <v>522</v>
      </c>
      <c r="C208" t="s">
        <v>523</v>
      </c>
      <c r="D208" t="s">
        <v>451</v>
      </c>
      <c r="E208" t="s">
        <v>524</v>
      </c>
      <c r="F208" t="s">
        <v>442</v>
      </c>
      <c r="I208">
        <v>679890552</v>
      </c>
      <c r="J208" t="s">
        <v>451</v>
      </c>
      <c r="K208" t="s">
        <v>682</v>
      </c>
      <c r="L208" t="s">
        <v>35</v>
      </c>
      <c r="M208" t="s">
        <v>24</v>
      </c>
    </row>
    <row r="209" spans="1:13" x14ac:dyDescent="0.3">
      <c r="A209" t="s">
        <v>624</v>
      </c>
      <c r="B209" t="s">
        <v>522</v>
      </c>
      <c r="C209" t="s">
        <v>523</v>
      </c>
      <c r="D209" t="s">
        <v>451</v>
      </c>
      <c r="E209" t="s">
        <v>524</v>
      </c>
      <c r="F209" t="s">
        <v>457</v>
      </c>
      <c r="I209">
        <v>321917837</v>
      </c>
      <c r="J209" t="s">
        <v>451</v>
      </c>
      <c r="K209" t="s">
        <v>682</v>
      </c>
      <c r="L209" t="s">
        <v>35</v>
      </c>
      <c r="M209" t="s">
        <v>24</v>
      </c>
    </row>
    <row r="210" spans="1:13" x14ac:dyDescent="0.3">
      <c r="A210" t="s">
        <v>624</v>
      </c>
      <c r="B210" t="s">
        <v>522</v>
      </c>
      <c r="C210" t="s">
        <v>523</v>
      </c>
      <c r="D210" t="s">
        <v>451</v>
      </c>
      <c r="E210" t="s">
        <v>524</v>
      </c>
      <c r="F210" t="s">
        <v>461</v>
      </c>
      <c r="I210">
        <v>357972713</v>
      </c>
      <c r="J210" t="s">
        <v>451</v>
      </c>
      <c r="K210" t="s">
        <v>682</v>
      </c>
      <c r="L210" t="s">
        <v>35</v>
      </c>
      <c r="M210" t="s">
        <v>24</v>
      </c>
    </row>
    <row r="211" spans="1:13" x14ac:dyDescent="0.3">
      <c r="A211" t="s">
        <v>624</v>
      </c>
      <c r="B211" t="s">
        <v>522</v>
      </c>
      <c r="C211" t="s">
        <v>523</v>
      </c>
      <c r="D211" t="s">
        <v>451</v>
      </c>
      <c r="E211" t="s">
        <v>524</v>
      </c>
      <c r="F211" t="s">
        <v>465</v>
      </c>
      <c r="I211">
        <v>107932742</v>
      </c>
      <c r="J211" t="s">
        <v>451</v>
      </c>
      <c r="K211" t="s">
        <v>682</v>
      </c>
      <c r="L211" t="s">
        <v>35</v>
      </c>
      <c r="M211" t="s">
        <v>24</v>
      </c>
    </row>
    <row r="212" spans="1:13" x14ac:dyDescent="0.3">
      <c r="A212" t="s">
        <v>624</v>
      </c>
      <c r="B212" t="s">
        <v>522</v>
      </c>
      <c r="C212" t="s">
        <v>523</v>
      </c>
      <c r="D212" t="s">
        <v>451</v>
      </c>
      <c r="E212" t="s">
        <v>524</v>
      </c>
      <c r="F212" t="s">
        <v>469</v>
      </c>
      <c r="I212">
        <v>102936374</v>
      </c>
      <c r="J212" t="s">
        <v>451</v>
      </c>
      <c r="K212" t="s">
        <v>682</v>
      </c>
      <c r="L212" t="s">
        <v>35</v>
      </c>
      <c r="M212" t="s">
        <v>24</v>
      </c>
    </row>
    <row r="213" spans="1:13" x14ac:dyDescent="0.3">
      <c r="A213" t="s">
        <v>624</v>
      </c>
      <c r="B213" t="s">
        <v>522</v>
      </c>
      <c r="C213" t="s">
        <v>523</v>
      </c>
      <c r="D213" t="s">
        <v>451</v>
      </c>
      <c r="E213" t="s">
        <v>524</v>
      </c>
      <c r="F213" t="s">
        <v>472</v>
      </c>
      <c r="I213">
        <v>117761236</v>
      </c>
      <c r="J213" t="s">
        <v>451</v>
      </c>
      <c r="K213" t="s">
        <v>682</v>
      </c>
      <c r="L213" t="s">
        <v>35</v>
      </c>
      <c r="M213" t="s">
        <v>24</v>
      </c>
    </row>
    <row r="214" spans="1:13" x14ac:dyDescent="0.3">
      <c r="A214" t="s">
        <v>624</v>
      </c>
      <c r="B214" t="s">
        <v>522</v>
      </c>
      <c r="C214" t="s">
        <v>523</v>
      </c>
      <c r="D214" t="s">
        <v>451</v>
      </c>
      <c r="E214" t="s">
        <v>524</v>
      </c>
      <c r="F214" t="s">
        <v>475</v>
      </c>
      <c r="I214">
        <v>29342360</v>
      </c>
      <c r="J214" t="s">
        <v>451</v>
      </c>
      <c r="K214" t="s">
        <v>682</v>
      </c>
      <c r="L214" t="s">
        <v>35</v>
      </c>
      <c r="M214" t="s">
        <v>24</v>
      </c>
    </row>
    <row r="215" spans="1:13" x14ac:dyDescent="0.3">
      <c r="A215" t="s">
        <v>624</v>
      </c>
      <c r="B215" t="s">
        <v>522</v>
      </c>
      <c r="C215" t="s">
        <v>523</v>
      </c>
      <c r="D215" t="s">
        <v>451</v>
      </c>
      <c r="E215" t="s">
        <v>524</v>
      </c>
      <c r="F215" t="s">
        <v>479</v>
      </c>
      <c r="I215">
        <v>718311</v>
      </c>
      <c r="J215" t="s">
        <v>451</v>
      </c>
      <c r="K215" t="s">
        <v>682</v>
      </c>
      <c r="L215" t="s">
        <v>35</v>
      </c>
      <c r="M215" t="s">
        <v>24</v>
      </c>
    </row>
    <row r="216" spans="1:13" x14ac:dyDescent="0.3">
      <c r="A216" t="s">
        <v>624</v>
      </c>
      <c r="B216" t="s">
        <v>522</v>
      </c>
      <c r="C216" t="s">
        <v>523</v>
      </c>
      <c r="D216" t="s">
        <v>451</v>
      </c>
      <c r="E216" t="s">
        <v>524</v>
      </c>
      <c r="F216" t="s">
        <v>482</v>
      </c>
      <c r="I216">
        <v>5353621</v>
      </c>
      <c r="J216" t="s">
        <v>451</v>
      </c>
      <c r="K216" t="s">
        <v>682</v>
      </c>
      <c r="L216" t="s">
        <v>35</v>
      </c>
      <c r="M216" t="s">
        <v>24</v>
      </c>
    </row>
    <row r="217" spans="1:13" x14ac:dyDescent="0.3">
      <c r="A217" t="s">
        <v>624</v>
      </c>
      <c r="B217" t="s">
        <v>522</v>
      </c>
      <c r="C217" t="s">
        <v>523</v>
      </c>
      <c r="D217" t="s">
        <v>451</v>
      </c>
      <c r="E217" t="s">
        <v>524</v>
      </c>
      <c r="F217" t="s">
        <v>485</v>
      </c>
      <c r="I217">
        <v>24707051</v>
      </c>
      <c r="J217" t="s">
        <v>451</v>
      </c>
      <c r="K217" t="s">
        <v>682</v>
      </c>
      <c r="L217" t="s">
        <v>35</v>
      </c>
      <c r="M217" t="s">
        <v>24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90"/>
  <sheetViews>
    <sheetView workbookViewId="0"/>
  </sheetViews>
  <sheetFormatPr defaultColWidth="8.6640625" defaultRowHeight="14.4" x14ac:dyDescent="0.3"/>
  <cols>
    <col min="1" max="1" width="9" customWidth="1"/>
    <col min="2" max="2" width="12" customWidth="1"/>
    <col min="3" max="3" width="14" customWidth="1"/>
    <col min="4" max="4" width="7" customWidth="1"/>
    <col min="5" max="5" width="9" customWidth="1"/>
    <col min="6" max="6" width="26" customWidth="1"/>
    <col min="7" max="7" width="12" customWidth="1"/>
    <col min="8" max="8" width="20" customWidth="1"/>
    <col min="9" max="9" width="16" customWidth="1"/>
    <col min="10" max="10" width="9" customWidth="1"/>
    <col min="11" max="11" width="30" customWidth="1"/>
    <col min="12" max="12" width="14" customWidth="1"/>
    <col min="13" max="13" width="11" customWidth="1"/>
  </cols>
  <sheetData>
    <row r="1" spans="1:13" ht="12.9" customHeight="1" x14ac:dyDescent="0.3">
      <c r="A1" s="37" t="s">
        <v>728</v>
      </c>
    </row>
    <row r="2" spans="1:13" ht="12" customHeight="1" x14ac:dyDescent="0.3">
      <c r="A2" s="28" t="s">
        <v>729</v>
      </c>
    </row>
    <row r="4" spans="1:13" ht="12" customHeight="1" x14ac:dyDescent="0.3">
      <c r="A4" s="35" t="s">
        <v>17</v>
      </c>
      <c r="B4" s="35" t="s">
        <v>27</v>
      </c>
      <c r="C4" s="35" t="s">
        <v>32</v>
      </c>
      <c r="D4" s="35" t="s">
        <v>38</v>
      </c>
      <c r="E4" s="35" t="s">
        <v>44</v>
      </c>
      <c r="F4" s="35" t="s">
        <v>513</v>
      </c>
      <c r="G4" s="35" t="s">
        <v>514</v>
      </c>
      <c r="H4" s="35" t="s">
        <v>515</v>
      </c>
      <c r="I4" s="35" t="s">
        <v>516</v>
      </c>
      <c r="J4" s="35" t="s">
        <v>517</v>
      </c>
      <c r="K4" s="35" t="s">
        <v>518</v>
      </c>
      <c r="L4" s="35" t="s">
        <v>520</v>
      </c>
      <c r="M4" s="35" t="s">
        <v>15</v>
      </c>
    </row>
    <row r="5" spans="1:13" ht="12" customHeight="1" x14ac:dyDescent="0.3">
      <c r="A5" t="s">
        <v>592</v>
      </c>
      <c r="B5" t="s">
        <v>522</v>
      </c>
      <c r="C5" t="s">
        <v>523</v>
      </c>
      <c r="E5" t="s">
        <v>524</v>
      </c>
      <c r="F5" t="s">
        <v>387</v>
      </c>
      <c r="H5" t="s">
        <v>598</v>
      </c>
      <c r="I5" s="36">
        <v>0</v>
      </c>
      <c r="J5" t="s">
        <v>65</v>
      </c>
      <c r="K5" t="s">
        <v>594</v>
      </c>
      <c r="L5" t="s">
        <v>35</v>
      </c>
      <c r="M5" t="str">
        <f>IFERROR(INDEX(Diccionario!$N:$N,MATCH(F1226,Diccionario!$C:$C,0)),"")</f>
        <v/>
      </c>
    </row>
    <row r="6" spans="1:13" ht="12" customHeight="1" x14ac:dyDescent="0.3">
      <c r="A6" t="s">
        <v>592</v>
      </c>
      <c r="B6" t="s">
        <v>522</v>
      </c>
      <c r="C6" t="s">
        <v>523</v>
      </c>
      <c r="E6" t="s">
        <v>524</v>
      </c>
      <c r="F6" t="s">
        <v>387</v>
      </c>
      <c r="H6" t="s">
        <v>221</v>
      </c>
      <c r="I6" s="36">
        <v>0</v>
      </c>
      <c r="J6" t="s">
        <v>65</v>
      </c>
      <c r="K6" t="s">
        <v>594</v>
      </c>
      <c r="L6" t="s">
        <v>35</v>
      </c>
      <c r="M6" t="str">
        <f>IFERROR(INDEX(Diccionario!$N:$N,MATCH(F1229,Diccionario!$C:$C,0)),"")</f>
        <v/>
      </c>
    </row>
    <row r="7" spans="1:13" ht="12" customHeight="1" x14ac:dyDescent="0.3">
      <c r="A7" t="s">
        <v>592</v>
      </c>
      <c r="B7" t="s">
        <v>522</v>
      </c>
      <c r="C7" t="s">
        <v>523</v>
      </c>
      <c r="E7" t="s">
        <v>524</v>
      </c>
      <c r="F7" t="s">
        <v>387</v>
      </c>
      <c r="H7" t="s">
        <v>593</v>
      </c>
      <c r="I7" s="36">
        <v>84</v>
      </c>
      <c r="J7" t="s">
        <v>65</v>
      </c>
      <c r="K7" t="s">
        <v>594</v>
      </c>
      <c r="L7" t="s">
        <v>35</v>
      </c>
      <c r="M7" t="str">
        <f>IFERROR(INDEX(Diccionario!$N:$N,MATCH(F1220,Diccionario!$C:$C,0)),"")</f>
        <v/>
      </c>
    </row>
    <row r="8" spans="1:13" ht="12" customHeight="1" x14ac:dyDescent="0.3">
      <c r="A8" t="s">
        <v>592</v>
      </c>
      <c r="B8" t="s">
        <v>522</v>
      </c>
      <c r="C8" t="s">
        <v>523</v>
      </c>
      <c r="E8" t="s">
        <v>524</v>
      </c>
      <c r="F8" t="s">
        <v>387</v>
      </c>
      <c r="H8" t="s">
        <v>597</v>
      </c>
      <c r="I8" s="36">
        <v>16</v>
      </c>
      <c r="J8" t="s">
        <v>65</v>
      </c>
      <c r="K8" t="s">
        <v>594</v>
      </c>
      <c r="L8" t="s">
        <v>35</v>
      </c>
      <c r="M8" t="str">
        <f>IFERROR(INDEX(Diccionario!$N:$N,MATCH(F1223,Diccionario!$C:$C,0)),"")</f>
        <v/>
      </c>
    </row>
    <row r="9" spans="1:13" ht="12" customHeight="1" x14ac:dyDescent="0.3">
      <c r="A9" t="s">
        <v>521</v>
      </c>
      <c r="B9" t="s">
        <v>522</v>
      </c>
      <c r="C9" t="s">
        <v>523</v>
      </c>
      <c r="D9" t="s">
        <v>451</v>
      </c>
      <c r="E9" t="s">
        <v>524</v>
      </c>
      <c r="F9" t="s">
        <v>72</v>
      </c>
      <c r="I9" s="29">
        <v>547000000</v>
      </c>
      <c r="J9" t="s">
        <v>451</v>
      </c>
      <c r="L9" t="s">
        <v>35</v>
      </c>
      <c r="M9" t="str">
        <f>IFERROR(INDEX(Diccionario!$N:$N,MATCH(F5,Diccionario!$C:$C,0)),"")</f>
        <v>Mensual</v>
      </c>
    </row>
    <row r="10" spans="1:13" ht="12" customHeight="1" x14ac:dyDescent="0.3">
      <c r="A10" t="s">
        <v>521</v>
      </c>
      <c r="B10" t="s">
        <v>522</v>
      </c>
      <c r="C10" t="s">
        <v>523</v>
      </c>
      <c r="D10" t="s">
        <v>451</v>
      </c>
      <c r="E10" t="s">
        <v>524</v>
      </c>
      <c r="F10" t="s">
        <v>367</v>
      </c>
      <c r="I10" s="29">
        <v>24800000</v>
      </c>
      <c r="J10" t="s">
        <v>451</v>
      </c>
      <c r="L10" t="s">
        <v>35</v>
      </c>
      <c r="M10" t="str">
        <f>IFERROR(INDEX(Diccionario!$N:$N,MATCH(F1055,Diccionario!$C:$C,0)),"")</f>
        <v/>
      </c>
    </row>
    <row r="11" spans="1:13" ht="12" customHeight="1" x14ac:dyDescent="0.3">
      <c r="A11" t="s">
        <v>521</v>
      </c>
      <c r="B11" t="s">
        <v>522</v>
      </c>
      <c r="C11" t="s">
        <v>523</v>
      </c>
      <c r="D11" t="s">
        <v>451</v>
      </c>
      <c r="E11" t="s">
        <v>524</v>
      </c>
      <c r="F11" t="s">
        <v>402</v>
      </c>
      <c r="I11" s="29">
        <v>393759551</v>
      </c>
      <c r="J11" t="s">
        <v>451</v>
      </c>
      <c r="L11" t="s">
        <v>35</v>
      </c>
      <c r="M11" t="str">
        <f>IFERROR(INDEX(Diccionario!$N:$N,MATCH(F1026,Diccionario!$C:$C,0)),"")</f>
        <v/>
      </c>
    </row>
    <row r="12" spans="1:13" ht="12" customHeight="1" x14ac:dyDescent="0.3">
      <c r="A12" t="s">
        <v>521</v>
      </c>
      <c r="B12" t="s">
        <v>522</v>
      </c>
      <c r="C12" t="s">
        <v>523</v>
      </c>
      <c r="D12" t="s">
        <v>451</v>
      </c>
      <c r="E12" t="s">
        <v>524</v>
      </c>
      <c r="F12" t="s">
        <v>406</v>
      </c>
      <c r="I12" s="29">
        <v>430000000</v>
      </c>
      <c r="J12" t="s">
        <v>451</v>
      </c>
      <c r="L12" t="s">
        <v>35</v>
      </c>
      <c r="M12" t="str">
        <f>IFERROR(INDEX(Diccionario!$N:$N,MATCH(F4,Diccionario!$C:$C,0)),"")</f>
        <v/>
      </c>
    </row>
    <row r="13" spans="1:13" ht="12" customHeight="1" x14ac:dyDescent="0.3">
      <c r="A13" t="s">
        <v>521</v>
      </c>
      <c r="B13" t="s">
        <v>522</v>
      </c>
      <c r="C13" t="s">
        <v>523</v>
      </c>
      <c r="D13" t="s">
        <v>451</v>
      </c>
      <c r="E13" t="s">
        <v>524</v>
      </c>
      <c r="F13" t="s">
        <v>76</v>
      </c>
      <c r="I13" s="29">
        <v>-117000000</v>
      </c>
      <c r="J13" t="s">
        <v>451</v>
      </c>
      <c r="K13" t="s">
        <v>525</v>
      </c>
      <c r="L13" t="s">
        <v>35</v>
      </c>
      <c r="M13" t="str">
        <f>IFERROR(INDEX(Diccionario!$N:$N,MATCH(F6,Diccionario!$C:$C,0)),"")</f>
        <v>Mensual</v>
      </c>
    </row>
    <row r="14" spans="1:13" ht="12" customHeight="1" x14ac:dyDescent="0.3">
      <c r="A14" t="s">
        <v>526</v>
      </c>
      <c r="B14" t="s">
        <v>522</v>
      </c>
      <c r="C14" t="s">
        <v>523</v>
      </c>
      <c r="D14" t="s">
        <v>451</v>
      </c>
      <c r="E14" t="s">
        <v>524</v>
      </c>
      <c r="F14" t="s">
        <v>72</v>
      </c>
      <c r="I14" s="29">
        <v>515000000</v>
      </c>
      <c r="J14" t="s">
        <v>451</v>
      </c>
      <c r="L14" t="s">
        <v>35</v>
      </c>
      <c r="M14" t="str">
        <f>IFERROR(INDEX(Diccionario!$N:$N,MATCH(F8,Diccionario!$C:$C,0)),"")</f>
        <v>Mensual</v>
      </c>
    </row>
    <row r="15" spans="1:13" ht="12" customHeight="1" x14ac:dyDescent="0.3">
      <c r="A15" t="s">
        <v>526</v>
      </c>
      <c r="B15" t="s">
        <v>522</v>
      </c>
      <c r="C15" t="s">
        <v>523</v>
      </c>
      <c r="D15" t="s">
        <v>451</v>
      </c>
      <c r="E15" t="s">
        <v>524</v>
      </c>
      <c r="F15" t="s">
        <v>367</v>
      </c>
      <c r="I15" s="29">
        <v>118729053</v>
      </c>
      <c r="J15" t="s">
        <v>451</v>
      </c>
      <c r="L15" t="s">
        <v>35</v>
      </c>
      <c r="M15" t="str">
        <f>IFERROR(INDEX(Diccionario!$N:$N,MATCH(F1056,Diccionario!$C:$C,0)),"")</f>
        <v/>
      </c>
    </row>
    <row r="16" spans="1:13" ht="12" customHeight="1" x14ac:dyDescent="0.3">
      <c r="A16" t="s">
        <v>526</v>
      </c>
      <c r="B16" t="s">
        <v>522</v>
      </c>
      <c r="C16" t="s">
        <v>523</v>
      </c>
      <c r="D16" t="s">
        <v>451</v>
      </c>
      <c r="E16" t="s">
        <v>524</v>
      </c>
      <c r="F16" t="s">
        <v>402</v>
      </c>
      <c r="I16" s="29">
        <v>546983304</v>
      </c>
      <c r="J16" t="s">
        <v>451</v>
      </c>
      <c r="L16" t="s">
        <v>35</v>
      </c>
      <c r="M16" t="str">
        <f>IFERROR(INDEX(Diccionario!$N:$N,MATCH(F1027,Diccionario!$C:$C,0)),"")</f>
        <v/>
      </c>
    </row>
    <row r="17" spans="1:13" ht="12" customHeight="1" x14ac:dyDescent="0.3">
      <c r="A17" t="s">
        <v>526</v>
      </c>
      <c r="B17" t="s">
        <v>522</v>
      </c>
      <c r="C17" t="s">
        <v>523</v>
      </c>
      <c r="D17" t="s">
        <v>451</v>
      </c>
      <c r="E17" t="s">
        <v>524</v>
      </c>
      <c r="F17" t="s">
        <v>406</v>
      </c>
      <c r="I17" s="29">
        <v>692000000</v>
      </c>
      <c r="J17" t="s">
        <v>451</v>
      </c>
      <c r="L17" t="s">
        <v>35</v>
      </c>
      <c r="M17" t="str">
        <f>IFERROR(INDEX(Diccionario!$N:$N,MATCH(F7,Diccionario!$C:$C,0)),"")</f>
        <v>Mensual</v>
      </c>
    </row>
    <row r="18" spans="1:13" ht="12" customHeight="1" x14ac:dyDescent="0.3">
      <c r="A18" t="s">
        <v>526</v>
      </c>
      <c r="B18" t="s">
        <v>522</v>
      </c>
      <c r="C18" t="s">
        <v>523</v>
      </c>
      <c r="D18" t="s">
        <v>451</v>
      </c>
      <c r="E18" t="s">
        <v>524</v>
      </c>
      <c r="F18" t="s">
        <v>76</v>
      </c>
      <c r="I18" s="29">
        <v>177000000</v>
      </c>
      <c r="J18" t="s">
        <v>451</v>
      </c>
      <c r="K18" t="s">
        <v>525</v>
      </c>
      <c r="L18" t="s">
        <v>35</v>
      </c>
      <c r="M18" t="str">
        <f>IFERROR(INDEX(Diccionario!$N:$N,MATCH(F9,Diccionario!$C:$C,0)),"")</f>
        <v>Mensual</v>
      </c>
    </row>
    <row r="19" spans="1:13" ht="12" customHeight="1" x14ac:dyDescent="0.3">
      <c r="A19" t="s">
        <v>527</v>
      </c>
      <c r="B19" t="s">
        <v>522</v>
      </c>
      <c r="C19" t="s">
        <v>523</v>
      </c>
      <c r="D19" t="s">
        <v>451</v>
      </c>
      <c r="E19" t="s">
        <v>524</v>
      </c>
      <c r="F19" t="s">
        <v>72</v>
      </c>
      <c r="I19" s="29">
        <v>571000000</v>
      </c>
      <c r="J19" t="s">
        <v>451</v>
      </c>
      <c r="L19" t="s">
        <v>35</v>
      </c>
      <c r="M19" t="str">
        <f>IFERROR(INDEX(Diccionario!$N:$N,MATCH(F11,Diccionario!$C:$C,0)),"")</f>
        <v>Mensual</v>
      </c>
    </row>
    <row r="20" spans="1:13" ht="12" customHeight="1" x14ac:dyDescent="0.3">
      <c r="A20" t="s">
        <v>527</v>
      </c>
      <c r="B20" t="s">
        <v>522</v>
      </c>
      <c r="C20" t="s">
        <v>523</v>
      </c>
      <c r="D20" t="s">
        <v>451</v>
      </c>
      <c r="E20" t="s">
        <v>524</v>
      </c>
      <c r="F20" t="s">
        <v>367</v>
      </c>
      <c r="I20" s="29">
        <v>12750000</v>
      </c>
      <c r="J20" t="s">
        <v>451</v>
      </c>
      <c r="L20" t="s">
        <v>35</v>
      </c>
      <c r="M20" t="str">
        <f>IFERROR(INDEX(Diccionario!$N:$N,MATCH(F1057,Diccionario!$C:$C,0)),"")</f>
        <v/>
      </c>
    </row>
    <row r="21" spans="1:13" ht="12" customHeight="1" x14ac:dyDescent="0.3">
      <c r="A21" t="s">
        <v>527</v>
      </c>
      <c r="B21" t="s">
        <v>522</v>
      </c>
      <c r="C21" t="s">
        <v>523</v>
      </c>
      <c r="D21" t="s">
        <v>451</v>
      </c>
      <c r="E21" t="s">
        <v>524</v>
      </c>
      <c r="F21" t="s">
        <v>402</v>
      </c>
      <c r="I21" s="29">
        <v>543692148</v>
      </c>
      <c r="J21" t="s">
        <v>451</v>
      </c>
      <c r="L21" t="s">
        <v>35</v>
      </c>
      <c r="M21" t="str">
        <f>IFERROR(INDEX(Diccionario!$N:$N,MATCH(F1028,Diccionario!$C:$C,0)),"")</f>
        <v/>
      </c>
    </row>
    <row r="22" spans="1:13" ht="12" customHeight="1" x14ac:dyDescent="0.3">
      <c r="A22" t="s">
        <v>527</v>
      </c>
      <c r="B22" t="s">
        <v>522</v>
      </c>
      <c r="C22" t="s">
        <v>523</v>
      </c>
      <c r="D22" t="s">
        <v>451</v>
      </c>
      <c r="E22" t="s">
        <v>524</v>
      </c>
      <c r="F22" t="s">
        <v>406</v>
      </c>
      <c r="I22" s="29">
        <v>582000000</v>
      </c>
      <c r="J22" t="s">
        <v>451</v>
      </c>
      <c r="L22" t="s">
        <v>35</v>
      </c>
      <c r="M22" t="str">
        <f>IFERROR(INDEX(Diccionario!$N:$N,MATCH(F10,Diccionario!$C:$C,0)),"")</f>
        <v>Mensual</v>
      </c>
    </row>
    <row r="23" spans="1:13" ht="12" customHeight="1" x14ac:dyDescent="0.3">
      <c r="A23" t="s">
        <v>527</v>
      </c>
      <c r="B23" t="s">
        <v>522</v>
      </c>
      <c r="C23" t="s">
        <v>523</v>
      </c>
      <c r="D23" t="s">
        <v>451</v>
      </c>
      <c r="E23" t="s">
        <v>524</v>
      </c>
      <c r="F23" t="s">
        <v>76</v>
      </c>
      <c r="I23" s="29">
        <v>11000000</v>
      </c>
      <c r="J23" t="s">
        <v>451</v>
      </c>
      <c r="K23" t="s">
        <v>525</v>
      </c>
      <c r="L23" t="s">
        <v>35</v>
      </c>
      <c r="M23" t="str">
        <f>IFERROR(INDEX(Diccionario!$N:$N,MATCH(F12,Diccionario!$C:$C,0)),"")</f>
        <v>Mensual</v>
      </c>
    </row>
    <row r="24" spans="1:13" ht="12" customHeight="1" x14ac:dyDescent="0.3">
      <c r="A24" t="s">
        <v>528</v>
      </c>
      <c r="B24" t="s">
        <v>522</v>
      </c>
      <c r="C24" t="s">
        <v>523</v>
      </c>
      <c r="D24" t="s">
        <v>451</v>
      </c>
      <c r="E24" t="s">
        <v>524</v>
      </c>
      <c r="F24" t="s">
        <v>72</v>
      </c>
      <c r="I24" s="29">
        <v>573000000</v>
      </c>
      <c r="J24" t="s">
        <v>451</v>
      </c>
      <c r="L24" t="s">
        <v>35</v>
      </c>
      <c r="M24" t="str">
        <f>IFERROR(INDEX(Diccionario!$N:$N,MATCH(F14,Diccionario!$C:$C,0)),"")</f>
        <v>Mensual</v>
      </c>
    </row>
    <row r="25" spans="1:13" ht="12" customHeight="1" x14ac:dyDescent="0.3">
      <c r="A25" t="s">
        <v>528</v>
      </c>
      <c r="B25" t="s">
        <v>522</v>
      </c>
      <c r="C25" t="s">
        <v>523</v>
      </c>
      <c r="D25" t="s">
        <v>451</v>
      </c>
      <c r="E25" t="s">
        <v>524</v>
      </c>
      <c r="F25" t="s">
        <v>367</v>
      </c>
      <c r="I25" s="29">
        <v>39644578</v>
      </c>
      <c r="J25" t="s">
        <v>451</v>
      </c>
      <c r="L25" t="s">
        <v>35</v>
      </c>
      <c r="M25" t="str">
        <f>IFERROR(INDEX(Diccionario!$N:$N,MATCH(F1058,Diccionario!$C:$C,0)),"")</f>
        <v/>
      </c>
    </row>
    <row r="26" spans="1:13" ht="12" customHeight="1" x14ac:dyDescent="0.3">
      <c r="A26" t="s">
        <v>528</v>
      </c>
      <c r="B26" t="s">
        <v>522</v>
      </c>
      <c r="C26" t="s">
        <v>523</v>
      </c>
      <c r="D26" t="s">
        <v>451</v>
      </c>
      <c r="E26" t="s">
        <v>524</v>
      </c>
      <c r="F26" t="s">
        <v>402</v>
      </c>
      <c r="I26" s="29">
        <v>529778177</v>
      </c>
      <c r="J26" t="s">
        <v>451</v>
      </c>
      <c r="L26" t="s">
        <v>35</v>
      </c>
      <c r="M26" t="str">
        <f>IFERROR(INDEX(Diccionario!$N:$N,MATCH(F1029,Diccionario!$C:$C,0)),"")</f>
        <v/>
      </c>
    </row>
    <row r="27" spans="1:13" ht="12" customHeight="1" x14ac:dyDescent="0.3">
      <c r="A27" t="s">
        <v>528</v>
      </c>
      <c r="B27" t="s">
        <v>522</v>
      </c>
      <c r="C27" t="s">
        <v>523</v>
      </c>
      <c r="D27" t="s">
        <v>451</v>
      </c>
      <c r="E27" t="s">
        <v>524</v>
      </c>
      <c r="F27" t="s">
        <v>406</v>
      </c>
      <c r="I27" s="29">
        <v>578000000</v>
      </c>
      <c r="J27" t="s">
        <v>451</v>
      </c>
      <c r="L27" t="s">
        <v>35</v>
      </c>
      <c r="M27" t="str">
        <f>IFERROR(INDEX(Diccionario!$N:$N,MATCH(F13,Diccionario!$C:$C,0)),"")</f>
        <v>Mensual</v>
      </c>
    </row>
    <row r="28" spans="1:13" ht="12" customHeight="1" x14ac:dyDescent="0.3">
      <c r="A28" t="s">
        <v>528</v>
      </c>
      <c r="B28" t="s">
        <v>522</v>
      </c>
      <c r="C28" t="s">
        <v>523</v>
      </c>
      <c r="D28" t="s">
        <v>451</v>
      </c>
      <c r="E28" t="s">
        <v>524</v>
      </c>
      <c r="F28" t="s">
        <v>76</v>
      </c>
      <c r="I28" s="29">
        <v>5000000</v>
      </c>
      <c r="J28" t="s">
        <v>451</v>
      </c>
      <c r="K28" t="s">
        <v>525</v>
      </c>
      <c r="L28" t="s">
        <v>35</v>
      </c>
      <c r="M28" t="str">
        <f>IFERROR(INDEX(Diccionario!$N:$N,MATCH(F15,Diccionario!$C:$C,0)),"")</f>
        <v>Mensual</v>
      </c>
    </row>
    <row r="29" spans="1:13" ht="12" customHeight="1" x14ac:dyDescent="0.3">
      <c r="A29" t="s">
        <v>529</v>
      </c>
      <c r="B29" t="s">
        <v>522</v>
      </c>
      <c r="C29" t="s">
        <v>523</v>
      </c>
      <c r="D29" t="s">
        <v>451</v>
      </c>
      <c r="E29" t="s">
        <v>524</v>
      </c>
      <c r="F29" t="s">
        <v>72</v>
      </c>
      <c r="I29" s="29">
        <v>574000000</v>
      </c>
      <c r="J29" t="s">
        <v>451</v>
      </c>
      <c r="L29" t="s">
        <v>35</v>
      </c>
      <c r="M29" t="str">
        <f>IFERROR(INDEX(Diccionario!$N:$N,MATCH(F17,Diccionario!$C:$C,0)),"")</f>
        <v>Mensual</v>
      </c>
    </row>
    <row r="30" spans="1:13" ht="12" customHeight="1" x14ac:dyDescent="0.3">
      <c r="A30" t="s">
        <v>529</v>
      </c>
      <c r="B30" t="s">
        <v>522</v>
      </c>
      <c r="C30" t="s">
        <v>523</v>
      </c>
      <c r="D30" t="s">
        <v>451</v>
      </c>
      <c r="E30" t="s">
        <v>524</v>
      </c>
      <c r="F30" t="s">
        <v>367</v>
      </c>
      <c r="I30" s="29">
        <v>43120258</v>
      </c>
      <c r="J30" t="s">
        <v>451</v>
      </c>
      <c r="L30" t="s">
        <v>35</v>
      </c>
      <c r="M30" t="str">
        <f>IFERROR(INDEX(Diccionario!$N:$N,MATCH(F1059,Diccionario!$C:$C,0)),"")</f>
        <v/>
      </c>
    </row>
    <row r="31" spans="1:13" ht="12" customHeight="1" x14ac:dyDescent="0.3">
      <c r="A31" t="s">
        <v>529</v>
      </c>
      <c r="B31" t="s">
        <v>522</v>
      </c>
      <c r="C31" t="s">
        <v>523</v>
      </c>
      <c r="D31" t="s">
        <v>451</v>
      </c>
      <c r="E31" t="s">
        <v>524</v>
      </c>
      <c r="F31" t="s">
        <v>402</v>
      </c>
      <c r="I31" s="29">
        <v>605227323</v>
      </c>
      <c r="J31" t="s">
        <v>451</v>
      </c>
      <c r="L31" t="s">
        <v>35</v>
      </c>
      <c r="M31" t="str">
        <f>IFERROR(INDEX(Diccionario!$N:$N,MATCH(F1030,Diccionario!$C:$C,0)),"")</f>
        <v/>
      </c>
    </row>
    <row r="32" spans="1:13" ht="12" customHeight="1" x14ac:dyDescent="0.3">
      <c r="A32" t="s">
        <v>529</v>
      </c>
      <c r="B32" t="s">
        <v>522</v>
      </c>
      <c r="C32" t="s">
        <v>523</v>
      </c>
      <c r="D32" t="s">
        <v>451</v>
      </c>
      <c r="E32" t="s">
        <v>524</v>
      </c>
      <c r="F32" t="s">
        <v>406</v>
      </c>
      <c r="I32" s="29">
        <v>679000000</v>
      </c>
      <c r="J32" t="s">
        <v>451</v>
      </c>
      <c r="L32" t="s">
        <v>35</v>
      </c>
      <c r="M32" t="str">
        <f>IFERROR(INDEX(Diccionario!$N:$N,MATCH(F16,Diccionario!$C:$C,0)),"")</f>
        <v>Mensual</v>
      </c>
    </row>
    <row r="33" spans="1:13" ht="12" customHeight="1" x14ac:dyDescent="0.3">
      <c r="A33" t="s">
        <v>529</v>
      </c>
      <c r="B33" t="s">
        <v>522</v>
      </c>
      <c r="C33" t="s">
        <v>523</v>
      </c>
      <c r="D33" t="s">
        <v>451</v>
      </c>
      <c r="E33" t="s">
        <v>524</v>
      </c>
      <c r="F33" t="s">
        <v>76</v>
      </c>
      <c r="I33" s="29">
        <v>105000000</v>
      </c>
      <c r="J33" t="s">
        <v>451</v>
      </c>
      <c r="K33" t="s">
        <v>525</v>
      </c>
      <c r="L33" t="s">
        <v>35</v>
      </c>
      <c r="M33" t="str">
        <f>IFERROR(INDEX(Diccionario!$N:$N,MATCH(F18,Diccionario!$C:$C,0)),"")</f>
        <v>Mensual</v>
      </c>
    </row>
    <row r="34" spans="1:13" ht="12" customHeight="1" x14ac:dyDescent="0.3">
      <c r="A34" t="s">
        <v>530</v>
      </c>
      <c r="B34" t="s">
        <v>522</v>
      </c>
      <c r="C34" t="s">
        <v>523</v>
      </c>
      <c r="D34" t="s">
        <v>451</v>
      </c>
      <c r="E34" t="s">
        <v>524</v>
      </c>
      <c r="F34" t="s">
        <v>72</v>
      </c>
      <c r="I34" s="29">
        <v>611000000</v>
      </c>
      <c r="J34" t="s">
        <v>451</v>
      </c>
      <c r="L34" t="s">
        <v>35</v>
      </c>
      <c r="M34" t="str">
        <f>IFERROR(INDEX(Diccionario!$N:$N,MATCH(F20,Diccionario!$C:$C,0)),"")</f>
        <v>Mensual</v>
      </c>
    </row>
    <row r="35" spans="1:13" ht="12" customHeight="1" x14ac:dyDescent="0.3">
      <c r="A35" t="s">
        <v>530</v>
      </c>
      <c r="B35" t="s">
        <v>522</v>
      </c>
      <c r="C35" t="s">
        <v>523</v>
      </c>
      <c r="D35" t="s">
        <v>451</v>
      </c>
      <c r="E35" t="s">
        <v>524</v>
      </c>
      <c r="F35" t="s">
        <v>367</v>
      </c>
      <c r="I35" s="29">
        <v>104205606</v>
      </c>
      <c r="J35" t="s">
        <v>451</v>
      </c>
      <c r="L35" t="s">
        <v>35</v>
      </c>
      <c r="M35" t="str">
        <f>IFERROR(INDEX(Diccionario!$N:$N,MATCH(F1060,Diccionario!$C:$C,0)),"")</f>
        <v/>
      </c>
    </row>
    <row r="36" spans="1:13" ht="12" customHeight="1" x14ac:dyDescent="0.3">
      <c r="A36" t="s">
        <v>530</v>
      </c>
      <c r="B36" t="s">
        <v>522</v>
      </c>
      <c r="C36" t="s">
        <v>523</v>
      </c>
      <c r="D36" t="s">
        <v>451</v>
      </c>
      <c r="E36" t="s">
        <v>524</v>
      </c>
      <c r="F36" t="s">
        <v>402</v>
      </c>
      <c r="I36" s="29">
        <v>547523725</v>
      </c>
      <c r="J36" t="s">
        <v>451</v>
      </c>
      <c r="L36" t="s">
        <v>35</v>
      </c>
      <c r="M36" t="str">
        <f>IFERROR(INDEX(Diccionario!$N:$N,MATCH(F1031,Diccionario!$C:$C,0)),"")</f>
        <v/>
      </c>
    </row>
    <row r="37" spans="1:13" ht="12" customHeight="1" x14ac:dyDescent="0.3">
      <c r="A37" t="s">
        <v>530</v>
      </c>
      <c r="B37" t="s">
        <v>522</v>
      </c>
      <c r="C37" t="s">
        <v>523</v>
      </c>
      <c r="D37" t="s">
        <v>451</v>
      </c>
      <c r="E37" t="s">
        <v>524</v>
      </c>
      <c r="F37" t="s">
        <v>406</v>
      </c>
      <c r="I37" s="29">
        <v>684000000</v>
      </c>
      <c r="J37" t="s">
        <v>451</v>
      </c>
      <c r="L37" t="s">
        <v>35</v>
      </c>
      <c r="M37" t="str">
        <f>IFERROR(INDEX(Diccionario!$N:$N,MATCH(F19,Diccionario!$C:$C,0)),"")</f>
        <v>Mensual</v>
      </c>
    </row>
    <row r="38" spans="1:13" ht="12" customHeight="1" x14ac:dyDescent="0.3">
      <c r="A38" t="s">
        <v>530</v>
      </c>
      <c r="B38" t="s">
        <v>522</v>
      </c>
      <c r="C38" t="s">
        <v>523</v>
      </c>
      <c r="D38" t="s">
        <v>451</v>
      </c>
      <c r="E38" t="s">
        <v>524</v>
      </c>
      <c r="F38" t="s">
        <v>76</v>
      </c>
      <c r="I38" s="29">
        <v>73000000</v>
      </c>
      <c r="J38" t="s">
        <v>451</v>
      </c>
      <c r="K38" t="s">
        <v>525</v>
      </c>
      <c r="L38" t="s">
        <v>35</v>
      </c>
      <c r="M38" t="str">
        <f>IFERROR(INDEX(Diccionario!$N:$N,MATCH(F21,Diccionario!$C:$C,0)),"")</f>
        <v>Mensual</v>
      </c>
    </row>
    <row r="39" spans="1:13" ht="12" customHeight="1" x14ac:dyDescent="0.3">
      <c r="A39" t="s">
        <v>531</v>
      </c>
      <c r="B39" t="s">
        <v>522</v>
      </c>
      <c r="C39" t="s">
        <v>523</v>
      </c>
      <c r="D39" t="s">
        <v>451</v>
      </c>
      <c r="E39" t="s">
        <v>524</v>
      </c>
      <c r="F39" t="s">
        <v>72</v>
      </c>
      <c r="I39" s="29">
        <v>555000000</v>
      </c>
      <c r="J39" t="s">
        <v>451</v>
      </c>
      <c r="L39" t="s">
        <v>35</v>
      </c>
      <c r="M39" t="str">
        <f>IFERROR(INDEX(Diccionario!$N:$N,MATCH(F23,Diccionario!$C:$C,0)),"")</f>
        <v>Mensual</v>
      </c>
    </row>
    <row r="40" spans="1:13" ht="12" customHeight="1" x14ac:dyDescent="0.3">
      <c r="A40" t="s">
        <v>531</v>
      </c>
      <c r="B40" t="s">
        <v>522</v>
      </c>
      <c r="C40" t="s">
        <v>523</v>
      </c>
      <c r="D40" t="s">
        <v>451</v>
      </c>
      <c r="E40" t="s">
        <v>524</v>
      </c>
      <c r="F40" t="s">
        <v>367</v>
      </c>
      <c r="I40" s="29">
        <v>38194640</v>
      </c>
      <c r="J40" t="s">
        <v>451</v>
      </c>
      <c r="L40" t="s">
        <v>35</v>
      </c>
      <c r="M40" t="str">
        <f>IFERROR(INDEX(Diccionario!$N:$N,MATCH(F1061,Diccionario!$C:$C,0)),"")</f>
        <v/>
      </c>
    </row>
    <row r="41" spans="1:13" ht="12" customHeight="1" x14ac:dyDescent="0.3">
      <c r="A41" t="s">
        <v>531</v>
      </c>
      <c r="B41" t="s">
        <v>522</v>
      </c>
      <c r="C41" t="s">
        <v>523</v>
      </c>
      <c r="D41" t="s">
        <v>451</v>
      </c>
      <c r="E41" t="s">
        <v>524</v>
      </c>
      <c r="F41" t="s">
        <v>402</v>
      </c>
      <c r="I41" s="29">
        <v>578363325</v>
      </c>
      <c r="J41" t="s">
        <v>451</v>
      </c>
      <c r="L41" t="s">
        <v>35</v>
      </c>
      <c r="M41" t="str">
        <f>IFERROR(INDEX(Diccionario!$N:$N,MATCH(F1032,Diccionario!$C:$C,0)),"")</f>
        <v/>
      </c>
    </row>
    <row r="42" spans="1:13" ht="12" customHeight="1" x14ac:dyDescent="0.3">
      <c r="A42" t="s">
        <v>531</v>
      </c>
      <c r="B42" t="s">
        <v>522</v>
      </c>
      <c r="C42" t="s">
        <v>523</v>
      </c>
      <c r="D42" t="s">
        <v>451</v>
      </c>
      <c r="E42" t="s">
        <v>524</v>
      </c>
      <c r="F42" t="s">
        <v>406</v>
      </c>
      <c r="I42" s="29">
        <v>642000000</v>
      </c>
      <c r="J42" t="s">
        <v>451</v>
      </c>
      <c r="L42" t="s">
        <v>35</v>
      </c>
      <c r="M42" t="str">
        <f>IFERROR(INDEX(Diccionario!$N:$N,MATCH(F22,Diccionario!$C:$C,0)),"")</f>
        <v>Mensual</v>
      </c>
    </row>
    <row r="43" spans="1:13" ht="12" customHeight="1" x14ac:dyDescent="0.3">
      <c r="A43" t="s">
        <v>531</v>
      </c>
      <c r="B43" t="s">
        <v>522</v>
      </c>
      <c r="C43" t="s">
        <v>523</v>
      </c>
      <c r="D43" t="s">
        <v>451</v>
      </c>
      <c r="E43" t="s">
        <v>524</v>
      </c>
      <c r="F43" t="s">
        <v>76</v>
      </c>
      <c r="I43" s="29">
        <v>87000000</v>
      </c>
      <c r="J43" t="s">
        <v>451</v>
      </c>
      <c r="K43" t="s">
        <v>525</v>
      </c>
      <c r="L43" t="s">
        <v>35</v>
      </c>
      <c r="M43" t="str">
        <f>IFERROR(INDEX(Diccionario!$N:$N,MATCH(F24,Diccionario!$C:$C,0)),"")</f>
        <v>Mensual</v>
      </c>
    </row>
    <row r="44" spans="1:13" ht="12" customHeight="1" x14ac:dyDescent="0.3">
      <c r="A44" t="s">
        <v>532</v>
      </c>
      <c r="B44" t="s">
        <v>522</v>
      </c>
      <c r="C44" t="s">
        <v>523</v>
      </c>
      <c r="D44" t="s">
        <v>451</v>
      </c>
      <c r="E44" t="s">
        <v>524</v>
      </c>
      <c r="F44" t="s">
        <v>72</v>
      </c>
      <c r="I44" s="29">
        <v>638000000</v>
      </c>
      <c r="J44" t="s">
        <v>451</v>
      </c>
      <c r="L44" t="s">
        <v>35</v>
      </c>
      <c r="M44" t="str">
        <f>IFERROR(INDEX(Diccionario!$N:$N,MATCH(F26,Diccionario!$C:$C,0)),"")</f>
        <v>Mensual</v>
      </c>
    </row>
    <row r="45" spans="1:13" ht="12" customHeight="1" x14ac:dyDescent="0.3">
      <c r="A45" t="s">
        <v>532</v>
      </c>
      <c r="B45" t="s">
        <v>522</v>
      </c>
      <c r="C45" t="s">
        <v>523</v>
      </c>
      <c r="D45" t="s">
        <v>451</v>
      </c>
      <c r="E45" t="s">
        <v>524</v>
      </c>
      <c r="F45" t="s">
        <v>367</v>
      </c>
      <c r="I45" s="29">
        <v>39148433</v>
      </c>
      <c r="J45" t="s">
        <v>451</v>
      </c>
      <c r="L45" t="s">
        <v>35</v>
      </c>
      <c r="M45" t="str">
        <f>IFERROR(INDEX(Diccionario!$N:$N,MATCH(F1062,Diccionario!$C:$C,0)),"")</f>
        <v/>
      </c>
    </row>
    <row r="46" spans="1:13" ht="12" customHeight="1" x14ac:dyDescent="0.3">
      <c r="A46" t="s">
        <v>532</v>
      </c>
      <c r="B46" t="s">
        <v>522</v>
      </c>
      <c r="C46" t="s">
        <v>523</v>
      </c>
      <c r="D46" t="s">
        <v>451</v>
      </c>
      <c r="E46" t="s">
        <v>524</v>
      </c>
      <c r="F46" t="s">
        <v>402</v>
      </c>
      <c r="I46" s="29">
        <v>602616989</v>
      </c>
      <c r="J46" t="s">
        <v>451</v>
      </c>
      <c r="L46" t="s">
        <v>35</v>
      </c>
      <c r="M46" t="str">
        <f>IFERROR(INDEX(Diccionario!$N:$N,MATCH(F1033,Diccionario!$C:$C,0)),"")</f>
        <v/>
      </c>
    </row>
    <row r="47" spans="1:13" ht="12" customHeight="1" x14ac:dyDescent="0.3">
      <c r="A47" t="s">
        <v>532</v>
      </c>
      <c r="B47" t="s">
        <v>522</v>
      </c>
      <c r="C47" t="s">
        <v>523</v>
      </c>
      <c r="D47" t="s">
        <v>451</v>
      </c>
      <c r="E47" t="s">
        <v>524</v>
      </c>
      <c r="F47" t="s">
        <v>406</v>
      </c>
      <c r="I47" s="29">
        <v>675000000</v>
      </c>
      <c r="J47" t="s">
        <v>451</v>
      </c>
      <c r="L47" t="s">
        <v>35</v>
      </c>
      <c r="M47" t="str">
        <f>IFERROR(INDEX(Diccionario!$N:$N,MATCH(F25,Diccionario!$C:$C,0)),"")</f>
        <v>Mensual</v>
      </c>
    </row>
    <row r="48" spans="1:13" ht="12" customHeight="1" x14ac:dyDescent="0.3">
      <c r="A48" t="s">
        <v>532</v>
      </c>
      <c r="B48" t="s">
        <v>522</v>
      </c>
      <c r="C48" t="s">
        <v>523</v>
      </c>
      <c r="D48" t="s">
        <v>451</v>
      </c>
      <c r="E48" t="s">
        <v>524</v>
      </c>
      <c r="F48" t="s">
        <v>76</v>
      </c>
      <c r="I48" s="29">
        <v>37000000</v>
      </c>
      <c r="J48" t="s">
        <v>451</v>
      </c>
      <c r="K48" t="s">
        <v>525</v>
      </c>
      <c r="L48" t="s">
        <v>35</v>
      </c>
      <c r="M48" t="str">
        <f>IFERROR(INDEX(Diccionario!$N:$N,MATCH(F27,Diccionario!$C:$C,0)),"")</f>
        <v>Mensual</v>
      </c>
    </row>
    <row r="49" spans="1:13" ht="12" customHeight="1" x14ac:dyDescent="0.3">
      <c r="A49" t="s">
        <v>533</v>
      </c>
      <c r="B49" t="s">
        <v>522</v>
      </c>
      <c r="C49" t="s">
        <v>523</v>
      </c>
      <c r="D49" t="s">
        <v>451</v>
      </c>
      <c r="E49" t="s">
        <v>524</v>
      </c>
      <c r="F49" t="s">
        <v>72</v>
      </c>
      <c r="I49" s="29">
        <v>679000000</v>
      </c>
      <c r="J49" t="s">
        <v>451</v>
      </c>
      <c r="L49" t="s">
        <v>35</v>
      </c>
      <c r="M49" t="str">
        <f>IFERROR(INDEX(Diccionario!$N:$N,MATCH(F29,Diccionario!$C:$C,0)),"")</f>
        <v>Mensual</v>
      </c>
    </row>
    <row r="50" spans="1:13" ht="12" customHeight="1" x14ac:dyDescent="0.3">
      <c r="A50" t="s">
        <v>533</v>
      </c>
      <c r="B50" t="s">
        <v>522</v>
      </c>
      <c r="C50" t="s">
        <v>523</v>
      </c>
      <c r="D50" t="s">
        <v>451</v>
      </c>
      <c r="E50" t="s">
        <v>524</v>
      </c>
      <c r="F50" t="s">
        <v>367</v>
      </c>
      <c r="I50" s="29">
        <v>38448771</v>
      </c>
      <c r="J50" t="s">
        <v>451</v>
      </c>
      <c r="L50" t="s">
        <v>35</v>
      </c>
      <c r="M50" t="str">
        <f>IFERROR(INDEX(Diccionario!$N:$N,MATCH(F1063,Diccionario!$C:$C,0)),"")</f>
        <v/>
      </c>
    </row>
    <row r="51" spans="1:13" ht="12" customHeight="1" x14ac:dyDescent="0.3">
      <c r="A51" t="s">
        <v>533</v>
      </c>
      <c r="B51" t="s">
        <v>522</v>
      </c>
      <c r="C51" t="s">
        <v>523</v>
      </c>
      <c r="D51" t="s">
        <v>451</v>
      </c>
      <c r="E51" t="s">
        <v>524</v>
      </c>
      <c r="F51" t="s">
        <v>402</v>
      </c>
      <c r="I51" s="29">
        <v>594469220</v>
      </c>
      <c r="J51" t="s">
        <v>451</v>
      </c>
      <c r="L51" t="s">
        <v>35</v>
      </c>
      <c r="M51" t="str">
        <f>IFERROR(INDEX(Diccionario!$N:$N,MATCH(F1034,Diccionario!$C:$C,0)),"")</f>
        <v/>
      </c>
    </row>
    <row r="52" spans="1:13" ht="12" customHeight="1" x14ac:dyDescent="0.3">
      <c r="A52" t="s">
        <v>533</v>
      </c>
      <c r="B52" t="s">
        <v>522</v>
      </c>
      <c r="C52" t="s">
        <v>523</v>
      </c>
      <c r="D52" t="s">
        <v>451</v>
      </c>
      <c r="E52" t="s">
        <v>524</v>
      </c>
      <c r="F52" t="s">
        <v>406</v>
      </c>
      <c r="I52" s="29">
        <v>663000000</v>
      </c>
      <c r="J52" t="s">
        <v>451</v>
      </c>
      <c r="L52" t="s">
        <v>35</v>
      </c>
      <c r="M52" t="str">
        <f>IFERROR(INDEX(Diccionario!$N:$N,MATCH(F28,Diccionario!$C:$C,0)),"")</f>
        <v>Mensual</v>
      </c>
    </row>
    <row r="53" spans="1:13" ht="12" customHeight="1" x14ac:dyDescent="0.3">
      <c r="A53" t="s">
        <v>533</v>
      </c>
      <c r="B53" t="s">
        <v>522</v>
      </c>
      <c r="C53" t="s">
        <v>523</v>
      </c>
      <c r="D53" t="s">
        <v>451</v>
      </c>
      <c r="E53" t="s">
        <v>524</v>
      </c>
      <c r="F53" t="s">
        <v>76</v>
      </c>
      <c r="I53" s="29">
        <v>-16000000</v>
      </c>
      <c r="J53" t="s">
        <v>451</v>
      </c>
      <c r="K53" t="s">
        <v>525</v>
      </c>
      <c r="L53" t="s">
        <v>35</v>
      </c>
      <c r="M53" t="str">
        <f>IFERROR(INDEX(Diccionario!$N:$N,MATCH(F30,Diccionario!$C:$C,0)),"")</f>
        <v>Mensual</v>
      </c>
    </row>
    <row r="54" spans="1:13" ht="12" customHeight="1" x14ac:dyDescent="0.3">
      <c r="A54" t="s">
        <v>534</v>
      </c>
      <c r="B54" t="s">
        <v>522</v>
      </c>
      <c r="C54" t="s">
        <v>523</v>
      </c>
      <c r="D54" t="s">
        <v>451</v>
      </c>
      <c r="E54" t="s">
        <v>524</v>
      </c>
      <c r="F54" t="s">
        <v>72</v>
      </c>
      <c r="I54" s="29">
        <v>716000000</v>
      </c>
      <c r="J54" t="s">
        <v>451</v>
      </c>
      <c r="L54" t="s">
        <v>35</v>
      </c>
      <c r="M54" t="str">
        <f>IFERROR(INDEX(Diccionario!$N:$N,MATCH(F32,Diccionario!$C:$C,0)),"")</f>
        <v>Mensual</v>
      </c>
    </row>
    <row r="55" spans="1:13" ht="12" customHeight="1" x14ac:dyDescent="0.3">
      <c r="A55" t="s">
        <v>534</v>
      </c>
      <c r="B55" t="s">
        <v>522</v>
      </c>
      <c r="C55" t="s">
        <v>523</v>
      </c>
      <c r="D55" t="s">
        <v>451</v>
      </c>
      <c r="E55" t="s">
        <v>524</v>
      </c>
      <c r="F55" t="s">
        <v>367</v>
      </c>
      <c r="I55" s="29">
        <v>17301320</v>
      </c>
      <c r="J55" t="s">
        <v>451</v>
      </c>
      <c r="L55" t="s">
        <v>35</v>
      </c>
      <c r="M55" t="str">
        <f>IFERROR(INDEX(Diccionario!$N:$N,MATCH(F1064,Diccionario!$C:$C,0)),"")</f>
        <v/>
      </c>
    </row>
    <row r="56" spans="1:13" ht="12" customHeight="1" x14ac:dyDescent="0.3">
      <c r="A56" t="s">
        <v>534</v>
      </c>
      <c r="B56" t="s">
        <v>522</v>
      </c>
      <c r="C56" t="s">
        <v>523</v>
      </c>
      <c r="D56" t="s">
        <v>451</v>
      </c>
      <c r="E56" t="s">
        <v>524</v>
      </c>
      <c r="F56" t="s">
        <v>402</v>
      </c>
      <c r="I56" s="29">
        <v>627068547</v>
      </c>
      <c r="J56" t="s">
        <v>451</v>
      </c>
      <c r="L56" t="s">
        <v>35</v>
      </c>
      <c r="M56" t="str">
        <f>IFERROR(INDEX(Diccionario!$N:$N,MATCH(F1035,Diccionario!$C:$C,0)),"")</f>
        <v/>
      </c>
    </row>
    <row r="57" spans="1:13" ht="12" customHeight="1" x14ac:dyDescent="0.3">
      <c r="A57" t="s">
        <v>534</v>
      </c>
      <c r="B57" t="s">
        <v>522</v>
      </c>
      <c r="C57" t="s">
        <v>523</v>
      </c>
      <c r="D57" t="s">
        <v>451</v>
      </c>
      <c r="E57" t="s">
        <v>524</v>
      </c>
      <c r="F57" t="s">
        <v>406</v>
      </c>
      <c r="I57" s="29">
        <v>672000000</v>
      </c>
      <c r="J57" t="s">
        <v>451</v>
      </c>
      <c r="L57" t="s">
        <v>35</v>
      </c>
      <c r="M57" t="str">
        <f>IFERROR(INDEX(Diccionario!$N:$N,MATCH(F31,Diccionario!$C:$C,0)),"")</f>
        <v>Mensual</v>
      </c>
    </row>
    <row r="58" spans="1:13" ht="12" customHeight="1" x14ac:dyDescent="0.3">
      <c r="A58" t="s">
        <v>534</v>
      </c>
      <c r="B58" t="s">
        <v>522</v>
      </c>
      <c r="C58" t="s">
        <v>523</v>
      </c>
      <c r="D58" t="s">
        <v>451</v>
      </c>
      <c r="E58" t="s">
        <v>524</v>
      </c>
      <c r="F58" t="s">
        <v>76</v>
      </c>
      <c r="I58" s="29">
        <v>-44000000</v>
      </c>
      <c r="J58" t="s">
        <v>451</v>
      </c>
      <c r="K58" t="s">
        <v>525</v>
      </c>
      <c r="L58" t="s">
        <v>35</v>
      </c>
      <c r="M58" t="str">
        <f>IFERROR(INDEX(Diccionario!$N:$N,MATCH(F33,Diccionario!$C:$C,0)),"")</f>
        <v>Mensual</v>
      </c>
    </row>
    <row r="59" spans="1:13" ht="12" customHeight="1" x14ac:dyDescent="0.3">
      <c r="A59" t="s">
        <v>535</v>
      </c>
      <c r="B59" t="s">
        <v>522</v>
      </c>
      <c r="C59" t="s">
        <v>523</v>
      </c>
      <c r="D59" t="s">
        <v>451</v>
      </c>
      <c r="E59" t="s">
        <v>524</v>
      </c>
      <c r="F59" t="s">
        <v>72</v>
      </c>
      <c r="I59" s="29">
        <v>740000000</v>
      </c>
      <c r="J59" t="s">
        <v>451</v>
      </c>
      <c r="L59" t="s">
        <v>35</v>
      </c>
      <c r="M59" t="str">
        <f>IFERROR(INDEX(Diccionario!$N:$N,MATCH(F35,Diccionario!$C:$C,0)),"")</f>
        <v>Mensual</v>
      </c>
    </row>
    <row r="60" spans="1:13" ht="12" customHeight="1" x14ac:dyDescent="0.3">
      <c r="A60" t="s">
        <v>535</v>
      </c>
      <c r="B60" t="s">
        <v>522</v>
      </c>
      <c r="C60" t="s">
        <v>523</v>
      </c>
      <c r="D60" t="s">
        <v>451</v>
      </c>
      <c r="E60" t="s">
        <v>524</v>
      </c>
      <c r="F60" t="s">
        <v>367</v>
      </c>
      <c r="I60" s="29">
        <v>25645918</v>
      </c>
      <c r="J60" t="s">
        <v>451</v>
      </c>
      <c r="L60" t="s">
        <v>35</v>
      </c>
      <c r="M60" t="str">
        <f>IFERROR(INDEX(Diccionario!$N:$N,MATCH(F1065,Diccionario!$C:$C,0)),"")</f>
        <v/>
      </c>
    </row>
    <row r="61" spans="1:13" ht="12" customHeight="1" x14ac:dyDescent="0.3">
      <c r="A61" t="s">
        <v>535</v>
      </c>
      <c r="B61" t="s">
        <v>522</v>
      </c>
      <c r="C61" t="s">
        <v>523</v>
      </c>
      <c r="D61" t="s">
        <v>451</v>
      </c>
      <c r="E61" t="s">
        <v>524</v>
      </c>
      <c r="F61" t="s">
        <v>402</v>
      </c>
      <c r="I61" s="29">
        <v>702199047</v>
      </c>
      <c r="J61" t="s">
        <v>451</v>
      </c>
      <c r="L61" t="s">
        <v>35</v>
      </c>
      <c r="M61" t="str">
        <f>IFERROR(INDEX(Diccionario!$N:$N,MATCH(F1036,Diccionario!$C:$C,0)),"")</f>
        <v/>
      </c>
    </row>
    <row r="62" spans="1:13" ht="12" customHeight="1" x14ac:dyDescent="0.3">
      <c r="A62" t="s">
        <v>535</v>
      </c>
      <c r="B62" t="s">
        <v>522</v>
      </c>
      <c r="C62" t="s">
        <v>523</v>
      </c>
      <c r="D62" t="s">
        <v>451</v>
      </c>
      <c r="E62" t="s">
        <v>524</v>
      </c>
      <c r="F62" t="s">
        <v>406</v>
      </c>
      <c r="I62" s="29">
        <v>761000000</v>
      </c>
      <c r="J62" t="s">
        <v>451</v>
      </c>
      <c r="L62" t="s">
        <v>35</v>
      </c>
      <c r="M62" t="str">
        <f>IFERROR(INDEX(Diccionario!$N:$N,MATCH(F34,Diccionario!$C:$C,0)),"")</f>
        <v>Mensual</v>
      </c>
    </row>
    <row r="63" spans="1:13" ht="12" customHeight="1" x14ac:dyDescent="0.3">
      <c r="A63" t="s">
        <v>535</v>
      </c>
      <c r="B63" t="s">
        <v>522</v>
      </c>
      <c r="C63" t="s">
        <v>523</v>
      </c>
      <c r="D63" t="s">
        <v>451</v>
      </c>
      <c r="E63" t="s">
        <v>524</v>
      </c>
      <c r="F63" t="s">
        <v>76</v>
      </c>
      <c r="I63" s="29">
        <v>21000000</v>
      </c>
      <c r="J63" t="s">
        <v>451</v>
      </c>
      <c r="K63" t="s">
        <v>525</v>
      </c>
      <c r="L63" t="s">
        <v>35</v>
      </c>
      <c r="M63" t="str">
        <f>IFERROR(INDEX(Diccionario!$N:$N,MATCH(F36,Diccionario!$C:$C,0)),"")</f>
        <v>Mensual</v>
      </c>
    </row>
    <row r="64" spans="1:13" ht="12" customHeight="1" x14ac:dyDescent="0.3">
      <c r="A64" t="s">
        <v>536</v>
      </c>
      <c r="B64" t="s">
        <v>522</v>
      </c>
      <c r="C64" t="s">
        <v>523</v>
      </c>
      <c r="D64" t="s">
        <v>451</v>
      </c>
      <c r="E64" t="s">
        <v>524</v>
      </c>
      <c r="F64" t="s">
        <v>72</v>
      </c>
      <c r="I64" s="29">
        <v>810000000</v>
      </c>
      <c r="J64" t="s">
        <v>451</v>
      </c>
      <c r="L64" t="s">
        <v>35</v>
      </c>
      <c r="M64" t="str">
        <f>IFERROR(INDEX(Diccionario!$N:$N,MATCH(F38,Diccionario!$C:$C,0)),"")</f>
        <v>Mensual</v>
      </c>
    </row>
    <row r="65" spans="1:13" ht="12" customHeight="1" x14ac:dyDescent="0.3">
      <c r="A65" t="s">
        <v>536</v>
      </c>
      <c r="B65" t="s">
        <v>522</v>
      </c>
      <c r="C65" t="s">
        <v>523</v>
      </c>
      <c r="D65" t="s">
        <v>451</v>
      </c>
      <c r="E65" t="s">
        <v>524</v>
      </c>
      <c r="F65" t="s">
        <v>367</v>
      </c>
      <c r="I65" s="29">
        <v>252667553</v>
      </c>
      <c r="J65" t="s">
        <v>451</v>
      </c>
      <c r="L65" t="s">
        <v>35</v>
      </c>
      <c r="M65" t="str">
        <f>IFERROR(INDEX(Diccionario!$N:$N,MATCH(F1066,Diccionario!$C:$C,0)),"")</f>
        <v/>
      </c>
    </row>
    <row r="66" spans="1:13" ht="12" customHeight="1" x14ac:dyDescent="0.3">
      <c r="A66" t="s">
        <v>536</v>
      </c>
      <c r="B66" t="s">
        <v>522</v>
      </c>
      <c r="C66" t="s">
        <v>523</v>
      </c>
      <c r="D66" t="s">
        <v>451</v>
      </c>
      <c r="E66" t="s">
        <v>524</v>
      </c>
      <c r="F66" t="s">
        <v>402</v>
      </c>
      <c r="I66" s="29">
        <v>895000000</v>
      </c>
      <c r="J66" t="s">
        <v>451</v>
      </c>
      <c r="L66" t="s">
        <v>35</v>
      </c>
      <c r="M66" t="str">
        <f>IFERROR(INDEX(Diccionario!$N:$N,MATCH(F1037,Diccionario!$C:$C,0)),"")</f>
        <v/>
      </c>
    </row>
    <row r="67" spans="1:13" ht="12" customHeight="1" x14ac:dyDescent="0.3">
      <c r="A67" t="s">
        <v>536</v>
      </c>
      <c r="B67" t="s">
        <v>522</v>
      </c>
      <c r="C67" t="s">
        <v>523</v>
      </c>
      <c r="D67" t="s">
        <v>451</v>
      </c>
      <c r="E67" t="s">
        <v>524</v>
      </c>
      <c r="F67" t="s">
        <v>406</v>
      </c>
      <c r="I67" s="29">
        <v>1279000000</v>
      </c>
      <c r="J67" t="s">
        <v>451</v>
      </c>
      <c r="L67" t="s">
        <v>35</v>
      </c>
      <c r="M67" t="str">
        <f>IFERROR(INDEX(Diccionario!$N:$N,MATCH(F37,Diccionario!$C:$C,0)),"")</f>
        <v>Mensual</v>
      </c>
    </row>
    <row r="68" spans="1:13" ht="12" customHeight="1" x14ac:dyDescent="0.3">
      <c r="A68" t="s">
        <v>536</v>
      </c>
      <c r="B68" t="s">
        <v>522</v>
      </c>
      <c r="C68" t="s">
        <v>523</v>
      </c>
      <c r="D68" t="s">
        <v>451</v>
      </c>
      <c r="E68" t="s">
        <v>524</v>
      </c>
      <c r="F68" t="s">
        <v>76</v>
      </c>
      <c r="I68" s="29">
        <v>469000000</v>
      </c>
      <c r="J68" t="s">
        <v>451</v>
      </c>
      <c r="K68" t="s">
        <v>525</v>
      </c>
      <c r="L68" t="s">
        <v>35</v>
      </c>
      <c r="M68" t="str">
        <f>IFERROR(INDEX(Diccionario!$N:$N,MATCH(F39,Diccionario!$C:$C,0)),"")</f>
        <v>Mensual</v>
      </c>
    </row>
    <row r="69" spans="1:13" ht="12" customHeight="1" x14ac:dyDescent="0.3">
      <c r="A69" t="s">
        <v>537</v>
      </c>
      <c r="B69" t="s">
        <v>522</v>
      </c>
      <c r="C69" t="s">
        <v>523</v>
      </c>
      <c r="D69" t="s">
        <v>451</v>
      </c>
      <c r="E69" t="s">
        <v>524</v>
      </c>
      <c r="F69" t="s">
        <v>72</v>
      </c>
      <c r="I69" s="29">
        <v>694000000</v>
      </c>
      <c r="J69" t="s">
        <v>451</v>
      </c>
      <c r="L69" t="s">
        <v>35</v>
      </c>
      <c r="M69" t="str">
        <f>IFERROR(INDEX(Diccionario!$N:$N,MATCH(F41,Diccionario!$C:$C,0)),"")</f>
        <v>Mensual</v>
      </c>
    </row>
    <row r="70" spans="1:13" ht="12" customHeight="1" x14ac:dyDescent="0.3">
      <c r="A70" t="s">
        <v>537</v>
      </c>
      <c r="B70" t="s">
        <v>522</v>
      </c>
      <c r="C70" t="s">
        <v>523</v>
      </c>
      <c r="D70" t="s">
        <v>451</v>
      </c>
      <c r="E70" t="s">
        <v>524</v>
      </c>
      <c r="F70" t="s">
        <v>367</v>
      </c>
      <c r="I70" s="29">
        <v>5800000</v>
      </c>
      <c r="J70" t="s">
        <v>451</v>
      </c>
      <c r="L70" t="s">
        <v>35</v>
      </c>
      <c r="M70" t="str">
        <f>IFERROR(INDEX(Diccionario!$N:$N,MATCH(F1067,Diccionario!$C:$C,0)),"")</f>
        <v/>
      </c>
    </row>
    <row r="71" spans="1:13" ht="12" customHeight="1" x14ac:dyDescent="0.3">
      <c r="A71" t="s">
        <v>537</v>
      </c>
      <c r="B71" t="s">
        <v>522</v>
      </c>
      <c r="C71" t="s">
        <v>523</v>
      </c>
      <c r="D71" t="s">
        <v>451</v>
      </c>
      <c r="E71" t="s">
        <v>524</v>
      </c>
      <c r="F71" t="s">
        <v>402</v>
      </c>
      <c r="I71" s="29">
        <v>507300096</v>
      </c>
      <c r="J71" t="s">
        <v>451</v>
      </c>
      <c r="L71" t="s">
        <v>35</v>
      </c>
      <c r="M71" t="str">
        <f>IFERROR(INDEX(Diccionario!$N:$N,MATCH(F1038,Diccionario!$C:$C,0)),"")</f>
        <v/>
      </c>
    </row>
    <row r="72" spans="1:13" ht="12" customHeight="1" x14ac:dyDescent="0.3">
      <c r="A72" t="s">
        <v>537</v>
      </c>
      <c r="B72" t="s">
        <v>522</v>
      </c>
      <c r="C72" t="s">
        <v>523</v>
      </c>
      <c r="D72" t="s">
        <v>451</v>
      </c>
      <c r="E72" t="s">
        <v>524</v>
      </c>
      <c r="F72" t="s">
        <v>406</v>
      </c>
      <c r="I72" s="29">
        <v>504000000</v>
      </c>
      <c r="J72" t="s">
        <v>451</v>
      </c>
      <c r="L72" t="s">
        <v>35</v>
      </c>
      <c r="M72" t="str">
        <f>IFERROR(INDEX(Diccionario!$N:$N,MATCH(F40,Diccionario!$C:$C,0)),"")</f>
        <v>Mensual</v>
      </c>
    </row>
    <row r="73" spans="1:13" ht="12" customHeight="1" x14ac:dyDescent="0.3">
      <c r="A73" t="s">
        <v>537</v>
      </c>
      <c r="B73" t="s">
        <v>522</v>
      </c>
      <c r="C73" t="s">
        <v>523</v>
      </c>
      <c r="D73" t="s">
        <v>451</v>
      </c>
      <c r="E73" t="s">
        <v>524</v>
      </c>
      <c r="F73" t="s">
        <v>76</v>
      </c>
      <c r="I73" s="29">
        <v>-190000000</v>
      </c>
      <c r="J73" t="s">
        <v>451</v>
      </c>
      <c r="K73" t="s">
        <v>525</v>
      </c>
      <c r="L73" t="s">
        <v>35</v>
      </c>
      <c r="M73" t="str">
        <f>IFERROR(INDEX(Diccionario!$N:$N,MATCH(F42,Diccionario!$C:$C,0)),"")</f>
        <v>Mensual</v>
      </c>
    </row>
    <row r="74" spans="1:13" ht="12" customHeight="1" x14ac:dyDescent="0.3">
      <c r="A74" t="s">
        <v>538</v>
      </c>
      <c r="B74" t="s">
        <v>522</v>
      </c>
      <c r="C74" t="s">
        <v>523</v>
      </c>
      <c r="D74" t="s">
        <v>451</v>
      </c>
      <c r="E74" t="s">
        <v>524</v>
      </c>
      <c r="F74" t="s">
        <v>72</v>
      </c>
      <c r="I74" s="29">
        <v>688000000</v>
      </c>
      <c r="J74" t="s">
        <v>451</v>
      </c>
      <c r="L74" t="s">
        <v>35</v>
      </c>
      <c r="M74" t="str">
        <f>IFERROR(INDEX(Diccionario!$N:$N,MATCH(F44,Diccionario!$C:$C,0)),"")</f>
        <v>Mensual</v>
      </c>
    </row>
    <row r="75" spans="1:13" ht="12" customHeight="1" x14ac:dyDescent="0.3">
      <c r="A75" t="s">
        <v>538</v>
      </c>
      <c r="B75" t="s">
        <v>522</v>
      </c>
      <c r="C75" t="s">
        <v>523</v>
      </c>
      <c r="D75" t="s">
        <v>451</v>
      </c>
      <c r="E75" t="s">
        <v>524</v>
      </c>
      <c r="F75" t="s">
        <v>367</v>
      </c>
      <c r="I75" s="29">
        <v>0</v>
      </c>
      <c r="J75" t="s">
        <v>451</v>
      </c>
      <c r="L75" t="s">
        <v>35</v>
      </c>
      <c r="M75" t="str">
        <f>IFERROR(INDEX(Diccionario!$N:$N,MATCH(F1068,Diccionario!$C:$C,0)),"")</f>
        <v/>
      </c>
    </row>
    <row r="76" spans="1:13" ht="12" customHeight="1" x14ac:dyDescent="0.3">
      <c r="A76" t="s">
        <v>538</v>
      </c>
      <c r="B76" t="s">
        <v>522</v>
      </c>
      <c r="C76" t="s">
        <v>523</v>
      </c>
      <c r="D76" t="s">
        <v>451</v>
      </c>
      <c r="E76" t="s">
        <v>524</v>
      </c>
      <c r="F76" t="s">
        <v>402</v>
      </c>
      <c r="I76" s="29">
        <v>571613281</v>
      </c>
      <c r="J76" t="s">
        <v>451</v>
      </c>
      <c r="L76" t="s">
        <v>35</v>
      </c>
      <c r="M76" t="str">
        <f>IFERROR(INDEX(Diccionario!$N:$N,MATCH(F1039,Diccionario!$C:$C,0)),"")</f>
        <v/>
      </c>
    </row>
    <row r="77" spans="1:13" ht="12" customHeight="1" x14ac:dyDescent="0.3">
      <c r="A77" t="s">
        <v>538</v>
      </c>
      <c r="B77" t="s">
        <v>522</v>
      </c>
      <c r="C77" t="s">
        <v>523</v>
      </c>
      <c r="D77" t="s">
        <v>451</v>
      </c>
      <c r="E77" t="s">
        <v>524</v>
      </c>
      <c r="F77" t="s">
        <v>406</v>
      </c>
      <c r="I77" s="29">
        <v>564000000</v>
      </c>
      <c r="J77" t="s">
        <v>451</v>
      </c>
      <c r="L77" t="s">
        <v>35</v>
      </c>
      <c r="M77" t="str">
        <f>IFERROR(INDEX(Diccionario!$N:$N,MATCH(F43,Diccionario!$C:$C,0)),"")</f>
        <v>Mensual</v>
      </c>
    </row>
    <row r="78" spans="1:13" ht="12" customHeight="1" x14ac:dyDescent="0.3">
      <c r="A78" t="s">
        <v>538</v>
      </c>
      <c r="B78" t="s">
        <v>522</v>
      </c>
      <c r="C78" t="s">
        <v>523</v>
      </c>
      <c r="D78" t="s">
        <v>451</v>
      </c>
      <c r="E78" t="s">
        <v>524</v>
      </c>
      <c r="F78" t="s">
        <v>76</v>
      </c>
      <c r="I78" s="29">
        <v>-124000000</v>
      </c>
      <c r="J78" t="s">
        <v>451</v>
      </c>
      <c r="K78" t="s">
        <v>525</v>
      </c>
      <c r="L78" t="s">
        <v>35</v>
      </c>
      <c r="M78" t="str">
        <f>IFERROR(INDEX(Diccionario!$N:$N,MATCH(F45,Diccionario!$C:$C,0)),"")</f>
        <v>Mensual</v>
      </c>
    </row>
    <row r="79" spans="1:13" ht="12" customHeight="1" x14ac:dyDescent="0.3">
      <c r="A79" t="s">
        <v>539</v>
      </c>
      <c r="B79" t="s">
        <v>522</v>
      </c>
      <c r="C79" t="s">
        <v>523</v>
      </c>
      <c r="D79" t="s">
        <v>451</v>
      </c>
      <c r="E79" t="s">
        <v>524</v>
      </c>
      <c r="F79" t="s">
        <v>72</v>
      </c>
      <c r="I79" s="29">
        <v>809000000</v>
      </c>
      <c r="J79" t="s">
        <v>451</v>
      </c>
      <c r="L79" t="s">
        <v>35</v>
      </c>
      <c r="M79" t="str">
        <f>IFERROR(INDEX(Diccionario!$N:$N,MATCH(F47,Diccionario!$C:$C,0)),"")</f>
        <v>Mensual</v>
      </c>
    </row>
    <row r="80" spans="1:13" ht="12" customHeight="1" x14ac:dyDescent="0.3">
      <c r="A80" t="s">
        <v>539</v>
      </c>
      <c r="B80" t="s">
        <v>522</v>
      </c>
      <c r="C80" t="s">
        <v>523</v>
      </c>
      <c r="D80" t="s">
        <v>451</v>
      </c>
      <c r="E80" t="s">
        <v>524</v>
      </c>
      <c r="F80" t="s">
        <v>367</v>
      </c>
      <c r="I80" s="29">
        <v>2546881</v>
      </c>
      <c r="J80" t="s">
        <v>451</v>
      </c>
      <c r="L80" t="s">
        <v>35</v>
      </c>
      <c r="M80" t="str">
        <f>IFERROR(INDEX(Diccionario!$N:$N,MATCH(F1069,Diccionario!$C:$C,0)),"")</f>
        <v/>
      </c>
    </row>
    <row r="81" spans="1:13" ht="12" customHeight="1" x14ac:dyDescent="0.3">
      <c r="A81" t="s">
        <v>539</v>
      </c>
      <c r="B81" t="s">
        <v>522</v>
      </c>
      <c r="C81" t="s">
        <v>523</v>
      </c>
      <c r="D81" t="s">
        <v>451</v>
      </c>
      <c r="E81" t="s">
        <v>524</v>
      </c>
      <c r="F81" t="s">
        <v>402</v>
      </c>
      <c r="I81" s="29">
        <v>674275375</v>
      </c>
      <c r="J81" t="s">
        <v>451</v>
      </c>
      <c r="L81" t="s">
        <v>35</v>
      </c>
      <c r="M81" t="str">
        <f>IFERROR(INDEX(Diccionario!$N:$N,MATCH(F1040,Diccionario!$C:$C,0)),"")</f>
        <v/>
      </c>
    </row>
    <row r="82" spans="1:13" ht="12" customHeight="1" x14ac:dyDescent="0.3">
      <c r="A82" t="s">
        <v>539</v>
      </c>
      <c r="B82" t="s">
        <v>522</v>
      </c>
      <c r="C82" t="s">
        <v>523</v>
      </c>
      <c r="D82" t="s">
        <v>451</v>
      </c>
      <c r="E82" t="s">
        <v>524</v>
      </c>
      <c r="F82" t="s">
        <v>406</v>
      </c>
      <c r="I82" s="29">
        <v>695000000</v>
      </c>
      <c r="J82" t="s">
        <v>451</v>
      </c>
      <c r="L82" t="s">
        <v>35</v>
      </c>
      <c r="M82" t="str">
        <f>IFERROR(INDEX(Diccionario!$N:$N,MATCH(F46,Diccionario!$C:$C,0)),"")</f>
        <v>Mensual</v>
      </c>
    </row>
    <row r="83" spans="1:13" ht="12" customHeight="1" x14ac:dyDescent="0.3">
      <c r="A83" t="s">
        <v>539</v>
      </c>
      <c r="B83" t="s">
        <v>522</v>
      </c>
      <c r="C83" t="s">
        <v>523</v>
      </c>
      <c r="D83" t="s">
        <v>451</v>
      </c>
      <c r="E83" t="s">
        <v>524</v>
      </c>
      <c r="F83" t="s">
        <v>76</v>
      </c>
      <c r="I83" s="29">
        <v>-114000000</v>
      </c>
      <c r="J83" t="s">
        <v>451</v>
      </c>
      <c r="K83" t="s">
        <v>525</v>
      </c>
      <c r="L83" t="s">
        <v>35</v>
      </c>
      <c r="M83" t="str">
        <f>IFERROR(INDEX(Diccionario!$N:$N,MATCH(F48,Diccionario!$C:$C,0)),"")</f>
        <v>Mensual</v>
      </c>
    </row>
    <row r="84" spans="1:13" ht="12" customHeight="1" x14ac:dyDescent="0.3">
      <c r="A84" t="s">
        <v>540</v>
      </c>
      <c r="B84" t="s">
        <v>522</v>
      </c>
      <c r="C84" t="s">
        <v>523</v>
      </c>
      <c r="D84" t="s">
        <v>451</v>
      </c>
      <c r="E84" t="s">
        <v>524</v>
      </c>
      <c r="F84" t="s">
        <v>72</v>
      </c>
      <c r="I84" s="29">
        <v>766600000</v>
      </c>
      <c r="J84" t="s">
        <v>451</v>
      </c>
      <c r="L84" t="s">
        <v>35</v>
      </c>
      <c r="M84" t="str">
        <f>IFERROR(INDEX(Diccionario!$N:$N,MATCH(F50,Diccionario!$C:$C,0)),"")</f>
        <v>Mensual</v>
      </c>
    </row>
    <row r="85" spans="1:13" ht="12" customHeight="1" x14ac:dyDescent="0.3">
      <c r="A85" t="s">
        <v>540</v>
      </c>
      <c r="B85" t="s">
        <v>522</v>
      </c>
      <c r="C85" t="s">
        <v>523</v>
      </c>
      <c r="D85" t="s">
        <v>451</v>
      </c>
      <c r="E85" t="s">
        <v>524</v>
      </c>
      <c r="F85" t="s">
        <v>367</v>
      </c>
      <c r="I85" s="29">
        <v>2546881</v>
      </c>
      <c r="J85" t="s">
        <v>451</v>
      </c>
      <c r="L85" t="s">
        <v>35</v>
      </c>
      <c r="M85" t="str">
        <f>IFERROR(INDEX(Diccionario!$N:$N,MATCH(F1070,Diccionario!$C:$C,0)),"")</f>
        <v/>
      </c>
    </row>
    <row r="86" spans="1:13" ht="12" customHeight="1" x14ac:dyDescent="0.3">
      <c r="A86" t="s">
        <v>540</v>
      </c>
      <c r="B86" t="s">
        <v>522</v>
      </c>
      <c r="C86" t="s">
        <v>523</v>
      </c>
      <c r="D86" t="s">
        <v>451</v>
      </c>
      <c r="E86" t="s">
        <v>524</v>
      </c>
      <c r="F86" t="s">
        <v>402</v>
      </c>
      <c r="I86" s="29">
        <v>583911889</v>
      </c>
      <c r="J86" t="s">
        <v>451</v>
      </c>
      <c r="L86" t="s">
        <v>35</v>
      </c>
      <c r="M86" t="str">
        <f>IFERROR(INDEX(Diccionario!$N:$N,MATCH(F1041,Diccionario!$C:$C,0)),"")</f>
        <v/>
      </c>
    </row>
    <row r="87" spans="1:13" ht="12" customHeight="1" x14ac:dyDescent="0.3">
      <c r="A87" t="s">
        <v>540</v>
      </c>
      <c r="B87" t="s">
        <v>522</v>
      </c>
      <c r="C87" t="s">
        <v>523</v>
      </c>
      <c r="D87" t="s">
        <v>451</v>
      </c>
      <c r="E87" t="s">
        <v>524</v>
      </c>
      <c r="F87" t="s">
        <v>406</v>
      </c>
      <c r="I87" s="29">
        <v>578000000</v>
      </c>
      <c r="J87" t="s">
        <v>451</v>
      </c>
      <c r="L87" t="s">
        <v>35</v>
      </c>
      <c r="M87" t="str">
        <f>IFERROR(INDEX(Diccionario!$N:$N,MATCH(F49,Diccionario!$C:$C,0)),"")</f>
        <v>Mensual</v>
      </c>
    </row>
    <row r="88" spans="1:13" ht="12" customHeight="1" x14ac:dyDescent="0.3">
      <c r="A88" t="s">
        <v>540</v>
      </c>
      <c r="B88" t="s">
        <v>522</v>
      </c>
      <c r="C88" t="s">
        <v>523</v>
      </c>
      <c r="D88" t="s">
        <v>451</v>
      </c>
      <c r="E88" t="s">
        <v>524</v>
      </c>
      <c r="F88" t="s">
        <v>76</v>
      </c>
      <c r="I88" s="29">
        <v>-188600000</v>
      </c>
      <c r="J88" t="s">
        <v>451</v>
      </c>
      <c r="K88" t="s">
        <v>525</v>
      </c>
      <c r="L88" t="s">
        <v>35</v>
      </c>
      <c r="M88" t="str">
        <f>IFERROR(INDEX(Diccionario!$N:$N,MATCH(F51,Diccionario!$C:$C,0)),"")</f>
        <v>Mensual</v>
      </c>
    </row>
    <row r="89" spans="1:13" ht="12" customHeight="1" x14ac:dyDescent="0.3">
      <c r="A89" t="s">
        <v>541</v>
      </c>
      <c r="B89" t="s">
        <v>522</v>
      </c>
      <c r="C89" t="s">
        <v>523</v>
      </c>
      <c r="D89" t="s">
        <v>451</v>
      </c>
      <c r="E89" t="s">
        <v>524</v>
      </c>
      <c r="F89" t="s">
        <v>72</v>
      </c>
      <c r="I89" s="29">
        <v>729000000</v>
      </c>
      <c r="J89" t="s">
        <v>451</v>
      </c>
      <c r="L89" t="s">
        <v>35</v>
      </c>
      <c r="M89" t="str">
        <f>IFERROR(INDEX(Diccionario!$N:$N,MATCH(F53,Diccionario!$C:$C,0)),"")</f>
        <v>Mensual</v>
      </c>
    </row>
    <row r="90" spans="1:13" ht="12" customHeight="1" x14ac:dyDescent="0.3">
      <c r="A90" t="s">
        <v>541</v>
      </c>
      <c r="B90" t="s">
        <v>522</v>
      </c>
      <c r="C90" t="s">
        <v>523</v>
      </c>
      <c r="D90" t="s">
        <v>451</v>
      </c>
      <c r="E90" t="s">
        <v>524</v>
      </c>
      <c r="F90" t="s">
        <v>367</v>
      </c>
      <c r="I90" s="29">
        <v>26543424</v>
      </c>
      <c r="J90" t="s">
        <v>451</v>
      </c>
      <c r="L90" t="s">
        <v>35</v>
      </c>
      <c r="M90" t="str">
        <f>IFERROR(INDEX(Diccionario!$N:$N,MATCH(F1071,Diccionario!$C:$C,0)),"")</f>
        <v/>
      </c>
    </row>
    <row r="91" spans="1:13" ht="12" customHeight="1" x14ac:dyDescent="0.3">
      <c r="A91" t="s">
        <v>541</v>
      </c>
      <c r="B91" t="s">
        <v>522</v>
      </c>
      <c r="C91" t="s">
        <v>523</v>
      </c>
      <c r="D91" t="s">
        <v>451</v>
      </c>
      <c r="E91" t="s">
        <v>524</v>
      </c>
      <c r="F91" t="s">
        <v>402</v>
      </c>
      <c r="I91" s="29">
        <v>697602788</v>
      </c>
      <c r="J91" t="s">
        <v>451</v>
      </c>
      <c r="L91" t="s">
        <v>35</v>
      </c>
      <c r="M91" t="str">
        <f>IFERROR(INDEX(Diccionario!$N:$N,MATCH(F1042,Diccionario!$C:$C,0)),"")</f>
        <v/>
      </c>
    </row>
    <row r="92" spans="1:13" ht="12" customHeight="1" x14ac:dyDescent="0.3">
      <c r="A92" t="s">
        <v>541</v>
      </c>
      <c r="B92" t="s">
        <v>522</v>
      </c>
      <c r="C92" t="s">
        <v>523</v>
      </c>
      <c r="D92" t="s">
        <v>451</v>
      </c>
      <c r="E92" t="s">
        <v>524</v>
      </c>
      <c r="F92" t="s">
        <v>406</v>
      </c>
      <c r="I92" s="29">
        <v>716000000</v>
      </c>
      <c r="J92" t="s">
        <v>451</v>
      </c>
      <c r="L92" t="s">
        <v>35</v>
      </c>
      <c r="M92" t="str">
        <f>IFERROR(INDEX(Diccionario!$N:$N,MATCH(F52,Diccionario!$C:$C,0)),"")</f>
        <v>Mensual</v>
      </c>
    </row>
    <row r="93" spans="1:13" ht="12" customHeight="1" x14ac:dyDescent="0.3">
      <c r="A93" t="s">
        <v>541</v>
      </c>
      <c r="B93" t="s">
        <v>522</v>
      </c>
      <c r="C93" t="s">
        <v>523</v>
      </c>
      <c r="D93" t="s">
        <v>451</v>
      </c>
      <c r="E93" t="s">
        <v>524</v>
      </c>
      <c r="F93" t="s">
        <v>398</v>
      </c>
      <c r="I93" s="29">
        <v>780829403</v>
      </c>
      <c r="J93" t="s">
        <v>451</v>
      </c>
      <c r="L93" t="s">
        <v>35</v>
      </c>
      <c r="M93" t="str">
        <f>IFERROR(INDEX(Diccionario!$N:$N,MATCH(F1152,Diccionario!$C:$C,0)),"")</f>
        <v/>
      </c>
    </row>
    <row r="94" spans="1:13" ht="12" customHeight="1" x14ac:dyDescent="0.3">
      <c r="A94" t="s">
        <v>541</v>
      </c>
      <c r="B94" t="s">
        <v>522</v>
      </c>
      <c r="C94" t="s">
        <v>523</v>
      </c>
      <c r="D94" t="s">
        <v>451</v>
      </c>
      <c r="E94" t="s">
        <v>524</v>
      </c>
      <c r="F94" t="s">
        <v>76</v>
      </c>
      <c r="I94" s="29">
        <v>-13000000</v>
      </c>
      <c r="J94" t="s">
        <v>451</v>
      </c>
      <c r="K94" t="s">
        <v>525</v>
      </c>
      <c r="L94" t="s">
        <v>35</v>
      </c>
      <c r="M94" t="str">
        <f>IFERROR(INDEX(Diccionario!$N:$N,MATCH(F54,Diccionario!$C:$C,0)),"")</f>
        <v>Mensual</v>
      </c>
    </row>
    <row r="95" spans="1:13" ht="12" customHeight="1" x14ac:dyDescent="0.3">
      <c r="A95" t="s">
        <v>542</v>
      </c>
      <c r="B95" t="s">
        <v>522</v>
      </c>
      <c r="C95" t="s">
        <v>523</v>
      </c>
      <c r="D95" t="s">
        <v>451</v>
      </c>
      <c r="E95" t="s">
        <v>524</v>
      </c>
      <c r="F95" t="s">
        <v>80</v>
      </c>
      <c r="I95" s="29">
        <v>154028000</v>
      </c>
      <c r="J95" t="s">
        <v>451</v>
      </c>
      <c r="L95" t="s">
        <v>35</v>
      </c>
      <c r="M95" t="str">
        <f>IFERROR(INDEX(Diccionario!$N:$N,MATCH(F91,Diccionario!$C:$C,0)),"")</f>
        <v>Mensual</v>
      </c>
    </row>
    <row r="96" spans="1:13" ht="12" customHeight="1" x14ac:dyDescent="0.3">
      <c r="A96" t="s">
        <v>542</v>
      </c>
      <c r="B96" t="s">
        <v>522</v>
      </c>
      <c r="C96" t="s">
        <v>523</v>
      </c>
      <c r="D96" t="s">
        <v>451</v>
      </c>
      <c r="E96" t="s">
        <v>524</v>
      </c>
      <c r="F96" t="s">
        <v>72</v>
      </c>
      <c r="I96" s="29">
        <v>636000000</v>
      </c>
      <c r="J96" t="s">
        <v>451</v>
      </c>
      <c r="L96" t="s">
        <v>35</v>
      </c>
      <c r="M96" t="str">
        <f>IFERROR(INDEX(Diccionario!$N:$N,MATCH(F56,Diccionario!$C:$C,0)),"")</f>
        <v>Mensual</v>
      </c>
    </row>
    <row r="97" spans="1:13" ht="12" customHeight="1" x14ac:dyDescent="0.3">
      <c r="A97" t="s">
        <v>542</v>
      </c>
      <c r="B97" t="s">
        <v>522</v>
      </c>
      <c r="C97" t="s">
        <v>523</v>
      </c>
      <c r="D97" t="s">
        <v>451</v>
      </c>
      <c r="E97" t="s">
        <v>524</v>
      </c>
      <c r="F97" t="s">
        <v>367</v>
      </c>
      <c r="I97" s="29">
        <v>21130000</v>
      </c>
      <c r="J97" t="s">
        <v>451</v>
      </c>
      <c r="L97" t="s">
        <v>35</v>
      </c>
      <c r="M97" t="str">
        <f>IFERROR(INDEX(Diccionario!$N:$N,MATCH(F1072,Diccionario!$C:$C,0)),"")</f>
        <v/>
      </c>
    </row>
    <row r="98" spans="1:13" ht="12" customHeight="1" x14ac:dyDescent="0.3">
      <c r="A98" t="s">
        <v>542</v>
      </c>
      <c r="B98" t="s">
        <v>522</v>
      </c>
      <c r="C98" t="s">
        <v>523</v>
      </c>
      <c r="D98" t="s">
        <v>451</v>
      </c>
      <c r="E98" t="s">
        <v>524</v>
      </c>
      <c r="F98" t="s">
        <v>402</v>
      </c>
      <c r="I98" s="29">
        <v>589403143</v>
      </c>
      <c r="J98" t="s">
        <v>451</v>
      </c>
      <c r="L98" t="s">
        <v>35</v>
      </c>
      <c r="M98" t="str">
        <f>IFERROR(INDEX(Diccionario!$N:$N,MATCH(F1043,Diccionario!$C:$C,0)),"")</f>
        <v/>
      </c>
    </row>
    <row r="99" spans="1:13" ht="12" customHeight="1" x14ac:dyDescent="0.3">
      <c r="A99" t="s">
        <v>542</v>
      </c>
      <c r="B99" t="s">
        <v>522</v>
      </c>
      <c r="C99" t="s">
        <v>523</v>
      </c>
      <c r="D99" t="s">
        <v>451</v>
      </c>
      <c r="E99" t="s">
        <v>524</v>
      </c>
      <c r="F99" t="s">
        <v>406</v>
      </c>
      <c r="I99" s="29">
        <v>610000000</v>
      </c>
      <c r="J99" t="s">
        <v>451</v>
      </c>
      <c r="L99" t="s">
        <v>35</v>
      </c>
      <c r="M99" t="str">
        <f>IFERROR(INDEX(Diccionario!$N:$N,MATCH(F55,Diccionario!$C:$C,0)),"")</f>
        <v>Mensual</v>
      </c>
    </row>
    <row r="100" spans="1:13" ht="12" customHeight="1" x14ac:dyDescent="0.3">
      <c r="A100" t="s">
        <v>542</v>
      </c>
      <c r="B100" t="s">
        <v>522</v>
      </c>
      <c r="C100" t="s">
        <v>523</v>
      </c>
      <c r="D100" t="s">
        <v>451</v>
      </c>
      <c r="E100" t="s">
        <v>524</v>
      </c>
      <c r="F100" t="s">
        <v>398</v>
      </c>
      <c r="I100" s="29">
        <v>689843197</v>
      </c>
      <c r="J100" t="s">
        <v>451</v>
      </c>
      <c r="L100" t="s">
        <v>35</v>
      </c>
      <c r="M100" t="str">
        <f>IFERROR(INDEX(Diccionario!$N:$N,MATCH(F1153,Diccionario!$C:$C,0)),"")</f>
        <v/>
      </c>
    </row>
    <row r="101" spans="1:13" ht="12" customHeight="1" x14ac:dyDescent="0.3">
      <c r="A101" t="s">
        <v>542</v>
      </c>
      <c r="B101" t="s">
        <v>522</v>
      </c>
      <c r="C101" t="s">
        <v>523</v>
      </c>
      <c r="D101" t="s">
        <v>451</v>
      </c>
      <c r="E101" t="s">
        <v>524</v>
      </c>
      <c r="F101" t="s">
        <v>76</v>
      </c>
      <c r="I101" s="29">
        <v>-26000000</v>
      </c>
      <c r="J101" t="s">
        <v>451</v>
      </c>
      <c r="K101" t="s">
        <v>525</v>
      </c>
      <c r="L101" t="s">
        <v>35</v>
      </c>
      <c r="M101" t="str">
        <f>IFERROR(INDEX(Diccionario!$N:$N,MATCH(F57,Diccionario!$C:$C,0)),"")</f>
        <v>Mensual</v>
      </c>
    </row>
    <row r="102" spans="1:13" ht="12" customHeight="1" x14ac:dyDescent="0.3">
      <c r="A102" t="s">
        <v>543</v>
      </c>
      <c r="B102" t="s">
        <v>522</v>
      </c>
      <c r="C102" t="s">
        <v>523</v>
      </c>
      <c r="D102" t="s">
        <v>451</v>
      </c>
      <c r="E102" t="s">
        <v>524</v>
      </c>
      <c r="F102" t="s">
        <v>80</v>
      </c>
      <c r="I102" s="29">
        <v>210623000</v>
      </c>
      <c r="J102" t="s">
        <v>451</v>
      </c>
      <c r="L102" t="s">
        <v>35</v>
      </c>
      <c r="M102" t="str">
        <f>IFERROR(INDEX(Diccionario!$N:$N,MATCH(F92,Diccionario!$C:$C,0)),"")</f>
        <v>Mensual</v>
      </c>
    </row>
    <row r="103" spans="1:13" ht="12" customHeight="1" x14ac:dyDescent="0.3">
      <c r="A103" t="s">
        <v>543</v>
      </c>
      <c r="B103" t="s">
        <v>522</v>
      </c>
      <c r="C103" t="s">
        <v>523</v>
      </c>
      <c r="D103" t="s">
        <v>451</v>
      </c>
      <c r="E103" t="s">
        <v>524</v>
      </c>
      <c r="F103" t="s">
        <v>72</v>
      </c>
      <c r="I103" s="29">
        <v>884000000</v>
      </c>
      <c r="J103" t="s">
        <v>451</v>
      </c>
      <c r="L103" t="s">
        <v>35</v>
      </c>
      <c r="M103" t="str">
        <f>IFERROR(INDEX(Diccionario!$N:$N,MATCH(F59,Diccionario!$C:$C,0)),"")</f>
        <v>Mensual</v>
      </c>
    </row>
    <row r="104" spans="1:13" ht="12" customHeight="1" x14ac:dyDescent="0.3">
      <c r="A104" t="s">
        <v>543</v>
      </c>
      <c r="B104" t="s">
        <v>522</v>
      </c>
      <c r="C104" t="s">
        <v>523</v>
      </c>
      <c r="D104" t="s">
        <v>451</v>
      </c>
      <c r="E104" t="s">
        <v>524</v>
      </c>
      <c r="F104" t="s">
        <v>367</v>
      </c>
      <c r="I104" s="29">
        <v>27206633</v>
      </c>
      <c r="J104" t="s">
        <v>451</v>
      </c>
      <c r="L104" t="s">
        <v>35</v>
      </c>
      <c r="M104" t="str">
        <f>IFERROR(INDEX(Diccionario!$N:$N,MATCH(F1073,Diccionario!$C:$C,0)),"")</f>
        <v/>
      </c>
    </row>
    <row r="105" spans="1:13" ht="12" customHeight="1" x14ac:dyDescent="0.3">
      <c r="A105" t="s">
        <v>543</v>
      </c>
      <c r="B105" t="s">
        <v>522</v>
      </c>
      <c r="C105" t="s">
        <v>523</v>
      </c>
      <c r="D105" t="s">
        <v>451</v>
      </c>
      <c r="E105" t="s">
        <v>524</v>
      </c>
      <c r="F105" t="s">
        <v>402</v>
      </c>
      <c r="I105" s="29">
        <v>641951176</v>
      </c>
      <c r="J105" t="s">
        <v>451</v>
      </c>
      <c r="L105" t="s">
        <v>35</v>
      </c>
      <c r="M105" t="str">
        <f>IFERROR(INDEX(Diccionario!$N:$N,MATCH(F1044,Diccionario!$C:$C,0)),"")</f>
        <v/>
      </c>
    </row>
    <row r="106" spans="1:13" ht="12" customHeight="1" x14ac:dyDescent="0.3">
      <c r="A106" t="s">
        <v>543</v>
      </c>
      <c r="B106" t="s">
        <v>522</v>
      </c>
      <c r="C106" t="s">
        <v>523</v>
      </c>
      <c r="D106" t="s">
        <v>451</v>
      </c>
      <c r="E106" t="s">
        <v>524</v>
      </c>
      <c r="F106" t="s">
        <v>406</v>
      </c>
      <c r="I106" s="29">
        <v>648000000</v>
      </c>
      <c r="J106" t="s">
        <v>451</v>
      </c>
      <c r="L106" t="s">
        <v>35</v>
      </c>
      <c r="M106" t="str">
        <f>IFERROR(INDEX(Diccionario!$N:$N,MATCH(F58,Diccionario!$C:$C,0)),"")</f>
        <v>Mensual</v>
      </c>
    </row>
    <row r="107" spans="1:13" ht="12" customHeight="1" x14ac:dyDescent="0.3">
      <c r="A107" t="s">
        <v>543</v>
      </c>
      <c r="B107" t="s">
        <v>522</v>
      </c>
      <c r="C107" t="s">
        <v>523</v>
      </c>
      <c r="D107" t="s">
        <v>451</v>
      </c>
      <c r="E107" t="s">
        <v>524</v>
      </c>
      <c r="F107" t="s">
        <v>398</v>
      </c>
      <c r="I107" s="29">
        <v>698445595</v>
      </c>
      <c r="J107" t="s">
        <v>451</v>
      </c>
      <c r="L107" t="s">
        <v>35</v>
      </c>
      <c r="M107" t="str">
        <f>IFERROR(INDEX(Diccionario!$N:$N,MATCH(F1154,Diccionario!$C:$C,0)),"")</f>
        <v/>
      </c>
    </row>
    <row r="108" spans="1:13" ht="12" customHeight="1" x14ac:dyDescent="0.3">
      <c r="A108" t="s">
        <v>543</v>
      </c>
      <c r="B108" t="s">
        <v>522</v>
      </c>
      <c r="C108" t="s">
        <v>523</v>
      </c>
      <c r="D108" t="s">
        <v>451</v>
      </c>
      <c r="E108" t="s">
        <v>524</v>
      </c>
      <c r="F108" t="s">
        <v>76</v>
      </c>
      <c r="I108" s="29">
        <v>-236000000</v>
      </c>
      <c r="J108" t="s">
        <v>451</v>
      </c>
      <c r="K108" t="s">
        <v>525</v>
      </c>
      <c r="L108" t="s">
        <v>35</v>
      </c>
      <c r="M108" t="str">
        <f>IFERROR(INDEX(Diccionario!$N:$N,MATCH(F60,Diccionario!$C:$C,0)),"")</f>
        <v>Mensual</v>
      </c>
    </row>
    <row r="109" spans="1:13" ht="12" customHeight="1" x14ac:dyDescent="0.3">
      <c r="A109" t="s">
        <v>544</v>
      </c>
      <c r="B109" t="s">
        <v>522</v>
      </c>
      <c r="C109" t="s">
        <v>523</v>
      </c>
      <c r="D109" t="s">
        <v>451</v>
      </c>
      <c r="E109" t="s">
        <v>524</v>
      </c>
      <c r="F109" t="s">
        <v>80</v>
      </c>
      <c r="I109" s="29">
        <v>219976000</v>
      </c>
      <c r="J109" t="s">
        <v>451</v>
      </c>
      <c r="L109" t="s">
        <v>35</v>
      </c>
      <c r="M109" t="str">
        <f>IFERROR(INDEX(Diccionario!$N:$N,MATCH(F93,Diccionario!$C:$C,0)),"")</f>
        <v>Mensual</v>
      </c>
    </row>
    <row r="110" spans="1:13" ht="12" customHeight="1" x14ac:dyDescent="0.3">
      <c r="A110" t="s">
        <v>544</v>
      </c>
      <c r="B110" t="s">
        <v>522</v>
      </c>
      <c r="C110" t="s">
        <v>523</v>
      </c>
      <c r="D110" t="s">
        <v>451</v>
      </c>
      <c r="E110" t="s">
        <v>524</v>
      </c>
      <c r="F110" t="s">
        <v>72</v>
      </c>
      <c r="I110" s="29">
        <v>673000000</v>
      </c>
      <c r="J110" t="s">
        <v>451</v>
      </c>
      <c r="L110" t="s">
        <v>35</v>
      </c>
      <c r="M110" t="str">
        <f>IFERROR(INDEX(Diccionario!$N:$N,MATCH(F62,Diccionario!$C:$C,0)),"")</f>
        <v>Mensual</v>
      </c>
    </row>
    <row r="111" spans="1:13" ht="12" customHeight="1" x14ac:dyDescent="0.3">
      <c r="A111" t="s">
        <v>544</v>
      </c>
      <c r="B111" t="s">
        <v>522</v>
      </c>
      <c r="C111" t="s">
        <v>523</v>
      </c>
      <c r="D111" t="s">
        <v>451</v>
      </c>
      <c r="E111" t="s">
        <v>524</v>
      </c>
      <c r="F111" t="s">
        <v>367</v>
      </c>
      <c r="I111" s="29">
        <v>30397673</v>
      </c>
      <c r="J111" t="s">
        <v>451</v>
      </c>
      <c r="L111" t="s">
        <v>35</v>
      </c>
      <c r="M111" t="str">
        <f>IFERROR(INDEX(Diccionario!$N:$N,MATCH(F1074,Diccionario!$C:$C,0)),"")</f>
        <v/>
      </c>
    </row>
    <row r="112" spans="1:13" ht="12" customHeight="1" x14ac:dyDescent="0.3">
      <c r="A112" t="s">
        <v>544</v>
      </c>
      <c r="B112" t="s">
        <v>522</v>
      </c>
      <c r="C112" t="s">
        <v>523</v>
      </c>
      <c r="D112" t="s">
        <v>451</v>
      </c>
      <c r="E112" t="s">
        <v>524</v>
      </c>
      <c r="F112" t="s">
        <v>402</v>
      </c>
      <c r="I112" s="29">
        <v>631848159</v>
      </c>
      <c r="J112" t="s">
        <v>451</v>
      </c>
      <c r="L112" t="s">
        <v>35</v>
      </c>
      <c r="M112" t="str">
        <f>IFERROR(INDEX(Diccionario!$N:$N,MATCH(F1045,Diccionario!$C:$C,0)),"")</f>
        <v/>
      </c>
    </row>
    <row r="113" spans="1:13" ht="12" customHeight="1" x14ac:dyDescent="0.3">
      <c r="A113" t="s">
        <v>544</v>
      </c>
      <c r="B113" t="s">
        <v>522</v>
      </c>
      <c r="C113" t="s">
        <v>523</v>
      </c>
      <c r="D113" t="s">
        <v>451</v>
      </c>
      <c r="E113" t="s">
        <v>524</v>
      </c>
      <c r="F113" t="s">
        <v>406</v>
      </c>
      <c r="I113" s="29">
        <v>634000000</v>
      </c>
      <c r="J113" t="s">
        <v>451</v>
      </c>
      <c r="L113" t="s">
        <v>35</v>
      </c>
      <c r="M113" t="str">
        <f>IFERROR(INDEX(Diccionario!$N:$N,MATCH(F61,Diccionario!$C:$C,0)),"")</f>
        <v>Mensual</v>
      </c>
    </row>
    <row r="114" spans="1:13" ht="12" customHeight="1" x14ac:dyDescent="0.3">
      <c r="A114" t="s">
        <v>544</v>
      </c>
      <c r="B114" t="s">
        <v>522</v>
      </c>
      <c r="C114" t="s">
        <v>523</v>
      </c>
      <c r="D114" t="s">
        <v>451</v>
      </c>
      <c r="E114" t="s">
        <v>524</v>
      </c>
      <c r="F114" t="s">
        <v>398</v>
      </c>
      <c r="I114" s="29">
        <v>685729356</v>
      </c>
      <c r="J114" t="s">
        <v>451</v>
      </c>
      <c r="L114" t="s">
        <v>35</v>
      </c>
      <c r="M114" t="str">
        <f>IFERROR(INDEX(Diccionario!$N:$N,MATCH(F1155,Diccionario!$C:$C,0)),"")</f>
        <v/>
      </c>
    </row>
    <row r="115" spans="1:13" ht="12" customHeight="1" x14ac:dyDescent="0.3">
      <c r="A115" t="s">
        <v>544</v>
      </c>
      <c r="B115" t="s">
        <v>522</v>
      </c>
      <c r="C115" t="s">
        <v>523</v>
      </c>
      <c r="D115" t="s">
        <v>451</v>
      </c>
      <c r="E115" t="s">
        <v>524</v>
      </c>
      <c r="F115" t="s">
        <v>76</v>
      </c>
      <c r="I115" s="29">
        <v>-39000000</v>
      </c>
      <c r="J115" t="s">
        <v>451</v>
      </c>
      <c r="K115" t="s">
        <v>525</v>
      </c>
      <c r="L115" t="s">
        <v>35</v>
      </c>
      <c r="M115" t="str">
        <f>IFERROR(INDEX(Diccionario!$N:$N,MATCH(F63,Diccionario!$C:$C,0)),"")</f>
        <v>Mensual</v>
      </c>
    </row>
    <row r="116" spans="1:13" ht="12" customHeight="1" x14ac:dyDescent="0.3">
      <c r="A116" t="s">
        <v>545</v>
      </c>
      <c r="B116" t="s">
        <v>522</v>
      </c>
      <c r="C116" t="s">
        <v>523</v>
      </c>
      <c r="D116" t="s">
        <v>451</v>
      </c>
      <c r="E116" t="s">
        <v>524</v>
      </c>
      <c r="F116" t="s">
        <v>80</v>
      </c>
      <c r="I116" s="29">
        <v>207986000</v>
      </c>
      <c r="J116" t="s">
        <v>451</v>
      </c>
      <c r="L116" t="s">
        <v>35</v>
      </c>
      <c r="M116" t="str">
        <f>IFERROR(INDEX(Diccionario!$N:$N,MATCH(F94,Diccionario!$C:$C,0)),"")</f>
        <v>Mensual</v>
      </c>
    </row>
    <row r="117" spans="1:13" ht="12" customHeight="1" x14ac:dyDescent="0.3">
      <c r="A117" t="s">
        <v>545</v>
      </c>
      <c r="B117" t="s">
        <v>522</v>
      </c>
      <c r="C117" t="s">
        <v>523</v>
      </c>
      <c r="D117" t="s">
        <v>451</v>
      </c>
      <c r="E117" t="s">
        <v>524</v>
      </c>
      <c r="F117" t="s">
        <v>72</v>
      </c>
      <c r="I117" s="29">
        <v>708000000</v>
      </c>
      <c r="J117" t="s">
        <v>451</v>
      </c>
      <c r="L117" t="s">
        <v>35</v>
      </c>
      <c r="M117" t="str">
        <f>IFERROR(INDEX(Diccionario!$N:$N,MATCH(F65,Diccionario!$C:$C,0)),"")</f>
        <v>Mensual</v>
      </c>
    </row>
    <row r="118" spans="1:13" ht="12" customHeight="1" x14ac:dyDescent="0.3">
      <c r="A118" t="s">
        <v>545</v>
      </c>
      <c r="B118" t="s">
        <v>522</v>
      </c>
      <c r="C118" t="s">
        <v>523</v>
      </c>
      <c r="D118" t="s">
        <v>451</v>
      </c>
      <c r="E118" t="s">
        <v>524</v>
      </c>
      <c r="F118" t="s">
        <v>367</v>
      </c>
      <c r="I118" s="29">
        <v>56793147</v>
      </c>
      <c r="J118" t="s">
        <v>451</v>
      </c>
      <c r="L118" t="s">
        <v>35</v>
      </c>
      <c r="M118" t="str">
        <f>IFERROR(INDEX(Diccionario!$N:$N,MATCH(F1075,Diccionario!$C:$C,0)),"")</f>
        <v/>
      </c>
    </row>
    <row r="119" spans="1:13" ht="12" customHeight="1" x14ac:dyDescent="0.3">
      <c r="A119" t="s">
        <v>545</v>
      </c>
      <c r="B119" t="s">
        <v>522</v>
      </c>
      <c r="C119" t="s">
        <v>523</v>
      </c>
      <c r="D119" t="s">
        <v>451</v>
      </c>
      <c r="E119" t="s">
        <v>524</v>
      </c>
      <c r="F119" t="s">
        <v>402</v>
      </c>
      <c r="I119" s="29">
        <v>697647109</v>
      </c>
      <c r="J119" t="s">
        <v>451</v>
      </c>
      <c r="L119" t="s">
        <v>35</v>
      </c>
      <c r="M119" t="str">
        <f>IFERROR(INDEX(Diccionario!$N:$N,MATCH(F1046,Diccionario!$C:$C,0)),"")</f>
        <v/>
      </c>
    </row>
    <row r="120" spans="1:13" ht="12" customHeight="1" x14ac:dyDescent="0.3">
      <c r="A120" t="s">
        <v>545</v>
      </c>
      <c r="B120" t="s">
        <v>522</v>
      </c>
      <c r="C120" t="s">
        <v>523</v>
      </c>
      <c r="D120" t="s">
        <v>451</v>
      </c>
      <c r="E120" t="s">
        <v>524</v>
      </c>
      <c r="F120" t="s">
        <v>406</v>
      </c>
      <c r="I120" s="29">
        <v>758000000</v>
      </c>
      <c r="J120" t="s">
        <v>451</v>
      </c>
      <c r="L120" t="s">
        <v>35</v>
      </c>
      <c r="M120" t="str">
        <f>IFERROR(INDEX(Diccionario!$N:$N,MATCH(F64,Diccionario!$C:$C,0)),"")</f>
        <v>Mensual</v>
      </c>
    </row>
    <row r="121" spans="1:13" ht="12" customHeight="1" x14ac:dyDescent="0.3">
      <c r="A121" t="s">
        <v>545</v>
      </c>
      <c r="B121" t="s">
        <v>522</v>
      </c>
      <c r="C121" t="s">
        <v>523</v>
      </c>
      <c r="D121" t="s">
        <v>451</v>
      </c>
      <c r="E121" t="s">
        <v>524</v>
      </c>
      <c r="F121" t="s">
        <v>398</v>
      </c>
      <c r="I121" s="29">
        <v>686599972</v>
      </c>
      <c r="J121" t="s">
        <v>451</v>
      </c>
      <c r="L121" t="s">
        <v>35</v>
      </c>
      <c r="M121" t="str">
        <f>IFERROR(INDEX(Diccionario!$N:$N,MATCH(F1156,Diccionario!$C:$C,0)),"")</f>
        <v/>
      </c>
    </row>
    <row r="122" spans="1:13" ht="12" customHeight="1" x14ac:dyDescent="0.3">
      <c r="A122" t="s">
        <v>545</v>
      </c>
      <c r="B122" t="s">
        <v>522</v>
      </c>
      <c r="C122" t="s">
        <v>523</v>
      </c>
      <c r="D122" t="s">
        <v>451</v>
      </c>
      <c r="E122" t="s">
        <v>524</v>
      </c>
      <c r="F122" t="s">
        <v>76</v>
      </c>
      <c r="I122" s="29">
        <v>50000000</v>
      </c>
      <c r="J122" t="s">
        <v>451</v>
      </c>
      <c r="K122" t="s">
        <v>525</v>
      </c>
      <c r="L122" t="s">
        <v>35</v>
      </c>
      <c r="M122" t="str">
        <f>IFERROR(INDEX(Diccionario!$N:$N,MATCH(F66,Diccionario!$C:$C,0)),"")</f>
        <v>Mensual</v>
      </c>
    </row>
    <row r="123" spans="1:13" ht="12" customHeight="1" x14ac:dyDescent="0.3">
      <c r="A123" t="s">
        <v>546</v>
      </c>
      <c r="B123" t="s">
        <v>522</v>
      </c>
      <c r="C123" t="s">
        <v>523</v>
      </c>
      <c r="D123" t="s">
        <v>451</v>
      </c>
      <c r="E123" t="s">
        <v>524</v>
      </c>
      <c r="F123" t="s">
        <v>80</v>
      </c>
      <c r="I123" s="29">
        <v>230467000</v>
      </c>
      <c r="J123" t="s">
        <v>451</v>
      </c>
      <c r="L123" t="s">
        <v>35</v>
      </c>
      <c r="M123" t="str">
        <f>IFERROR(INDEX(Diccionario!$N:$N,MATCH(F95,Diccionario!$C:$C,0)),"")</f>
        <v>Mensual</v>
      </c>
    </row>
    <row r="124" spans="1:13" ht="12" customHeight="1" x14ac:dyDescent="0.3">
      <c r="A124" t="s">
        <v>546</v>
      </c>
      <c r="B124" t="s">
        <v>522</v>
      </c>
      <c r="C124" t="s">
        <v>523</v>
      </c>
      <c r="D124" t="s">
        <v>451</v>
      </c>
      <c r="E124" t="s">
        <v>524</v>
      </c>
      <c r="F124" t="s">
        <v>72</v>
      </c>
      <c r="I124" s="29">
        <v>778000000</v>
      </c>
      <c r="J124" t="s">
        <v>451</v>
      </c>
      <c r="L124" t="s">
        <v>35</v>
      </c>
      <c r="M124" t="str">
        <f>IFERROR(INDEX(Diccionario!$N:$N,MATCH(F68,Diccionario!$C:$C,0)),"")</f>
        <v>Mensual</v>
      </c>
    </row>
    <row r="125" spans="1:13" ht="12" customHeight="1" x14ac:dyDescent="0.3">
      <c r="A125" t="s">
        <v>546</v>
      </c>
      <c r="B125" t="s">
        <v>522</v>
      </c>
      <c r="C125" t="s">
        <v>523</v>
      </c>
      <c r="D125" t="s">
        <v>451</v>
      </c>
      <c r="E125" t="s">
        <v>524</v>
      </c>
      <c r="F125" t="s">
        <v>367</v>
      </c>
      <c r="I125" s="29">
        <v>17650000</v>
      </c>
      <c r="J125" t="s">
        <v>451</v>
      </c>
      <c r="L125" t="s">
        <v>35</v>
      </c>
      <c r="M125" t="str">
        <f>IFERROR(INDEX(Diccionario!$N:$N,MATCH(F1076,Diccionario!$C:$C,0)),"")</f>
        <v/>
      </c>
    </row>
    <row r="126" spans="1:13" ht="12" customHeight="1" x14ac:dyDescent="0.3">
      <c r="A126" t="s">
        <v>546</v>
      </c>
      <c r="B126" t="s">
        <v>522</v>
      </c>
      <c r="C126" t="s">
        <v>523</v>
      </c>
      <c r="D126" t="s">
        <v>451</v>
      </c>
      <c r="E126" t="s">
        <v>524</v>
      </c>
      <c r="F126" t="s">
        <v>402</v>
      </c>
      <c r="I126" s="29">
        <v>673186093</v>
      </c>
      <c r="J126" t="s">
        <v>451</v>
      </c>
      <c r="L126" t="s">
        <v>35</v>
      </c>
      <c r="M126" t="str">
        <f>IFERROR(INDEX(Diccionario!$N:$N,MATCH(F1047,Diccionario!$C:$C,0)),"")</f>
        <v/>
      </c>
    </row>
    <row r="127" spans="1:13" ht="12" customHeight="1" x14ac:dyDescent="0.3">
      <c r="A127" t="s">
        <v>546</v>
      </c>
      <c r="B127" t="s">
        <v>522</v>
      </c>
      <c r="C127" t="s">
        <v>523</v>
      </c>
      <c r="D127" t="s">
        <v>451</v>
      </c>
      <c r="E127" t="s">
        <v>524</v>
      </c>
      <c r="F127" t="s">
        <v>406</v>
      </c>
      <c r="I127" s="29">
        <v>691000000</v>
      </c>
      <c r="J127" t="s">
        <v>451</v>
      </c>
      <c r="L127" t="s">
        <v>35</v>
      </c>
      <c r="M127" t="str">
        <f>IFERROR(INDEX(Diccionario!$N:$N,MATCH(F67,Diccionario!$C:$C,0)),"")</f>
        <v>Mensual</v>
      </c>
    </row>
    <row r="128" spans="1:13" ht="12" customHeight="1" x14ac:dyDescent="0.3">
      <c r="A128" t="s">
        <v>546</v>
      </c>
      <c r="B128" t="s">
        <v>522</v>
      </c>
      <c r="C128" t="s">
        <v>523</v>
      </c>
      <c r="D128" t="s">
        <v>451</v>
      </c>
      <c r="E128" t="s">
        <v>524</v>
      </c>
      <c r="F128" t="s">
        <v>398</v>
      </c>
      <c r="I128" s="29">
        <v>663435516</v>
      </c>
      <c r="J128" t="s">
        <v>451</v>
      </c>
      <c r="L128" t="s">
        <v>35</v>
      </c>
      <c r="M128" t="str">
        <f>IFERROR(INDEX(Diccionario!$N:$N,MATCH(F1157,Diccionario!$C:$C,0)),"")</f>
        <v/>
      </c>
    </row>
    <row r="129" spans="1:13" ht="12" customHeight="1" x14ac:dyDescent="0.3">
      <c r="A129" t="s">
        <v>546</v>
      </c>
      <c r="B129" t="s">
        <v>522</v>
      </c>
      <c r="C129" t="s">
        <v>523</v>
      </c>
      <c r="D129" t="s">
        <v>451</v>
      </c>
      <c r="E129" t="s">
        <v>524</v>
      </c>
      <c r="F129" t="s">
        <v>76</v>
      </c>
      <c r="I129" s="29">
        <v>-87000000</v>
      </c>
      <c r="J129" t="s">
        <v>451</v>
      </c>
      <c r="K129" t="s">
        <v>525</v>
      </c>
      <c r="L129" t="s">
        <v>35</v>
      </c>
      <c r="M129" t="str">
        <f>IFERROR(INDEX(Diccionario!$N:$N,MATCH(F69,Diccionario!$C:$C,0)),"")</f>
        <v>Mensual</v>
      </c>
    </row>
    <row r="130" spans="1:13" ht="12" customHeight="1" x14ac:dyDescent="0.3">
      <c r="A130" t="s">
        <v>547</v>
      </c>
      <c r="B130" t="s">
        <v>522</v>
      </c>
      <c r="C130" t="s">
        <v>523</v>
      </c>
      <c r="D130" t="s">
        <v>451</v>
      </c>
      <c r="E130" t="s">
        <v>524</v>
      </c>
      <c r="F130" t="s">
        <v>80</v>
      </c>
      <c r="I130" s="29">
        <v>240545000</v>
      </c>
      <c r="J130" t="s">
        <v>451</v>
      </c>
      <c r="L130" t="s">
        <v>35</v>
      </c>
      <c r="M130" t="str">
        <f>IFERROR(INDEX(Diccionario!$N:$N,MATCH(F96,Diccionario!$C:$C,0)),"")</f>
        <v>Mensual</v>
      </c>
    </row>
    <row r="131" spans="1:13" ht="12" customHeight="1" x14ac:dyDescent="0.3">
      <c r="A131" t="s">
        <v>547</v>
      </c>
      <c r="B131" t="s">
        <v>522</v>
      </c>
      <c r="C131" t="s">
        <v>523</v>
      </c>
      <c r="D131" t="s">
        <v>451</v>
      </c>
      <c r="E131" t="s">
        <v>524</v>
      </c>
      <c r="F131" t="s">
        <v>72</v>
      </c>
      <c r="I131" s="29">
        <v>739000000</v>
      </c>
      <c r="J131" t="s">
        <v>451</v>
      </c>
      <c r="L131" t="s">
        <v>35</v>
      </c>
      <c r="M131" t="str">
        <f>IFERROR(INDEX(Diccionario!$N:$N,MATCH(F71,Diccionario!$C:$C,0)),"")</f>
        <v>Mensual</v>
      </c>
    </row>
    <row r="132" spans="1:13" ht="12" customHeight="1" x14ac:dyDescent="0.3">
      <c r="A132" t="s">
        <v>547</v>
      </c>
      <c r="B132" t="s">
        <v>522</v>
      </c>
      <c r="C132" t="s">
        <v>523</v>
      </c>
      <c r="D132" t="s">
        <v>451</v>
      </c>
      <c r="E132" t="s">
        <v>524</v>
      </c>
      <c r="F132" t="s">
        <v>367</v>
      </c>
      <c r="I132" s="29">
        <v>1</v>
      </c>
      <c r="J132" t="s">
        <v>451</v>
      </c>
      <c r="L132" t="s">
        <v>35</v>
      </c>
      <c r="M132" t="str">
        <f>IFERROR(INDEX(Diccionario!$N:$N,MATCH(F1077,Diccionario!$C:$C,0)),"")</f>
        <v/>
      </c>
    </row>
    <row r="133" spans="1:13" ht="12" customHeight="1" x14ac:dyDescent="0.3">
      <c r="A133" t="s">
        <v>547</v>
      </c>
      <c r="B133" t="s">
        <v>522</v>
      </c>
      <c r="C133" t="s">
        <v>523</v>
      </c>
      <c r="D133" t="s">
        <v>451</v>
      </c>
      <c r="E133" t="s">
        <v>524</v>
      </c>
      <c r="F133" t="s">
        <v>402</v>
      </c>
      <c r="I133" s="29">
        <v>676346785</v>
      </c>
      <c r="J133" t="s">
        <v>451</v>
      </c>
      <c r="L133" t="s">
        <v>35</v>
      </c>
      <c r="M133" t="str">
        <f>IFERROR(INDEX(Diccionario!$N:$N,MATCH(F1048,Diccionario!$C:$C,0)),"")</f>
        <v/>
      </c>
    </row>
    <row r="134" spans="1:13" ht="12" customHeight="1" x14ac:dyDescent="0.3">
      <c r="A134" t="s">
        <v>547</v>
      </c>
      <c r="B134" t="s">
        <v>522</v>
      </c>
      <c r="C134" t="s">
        <v>523</v>
      </c>
      <c r="D134" t="s">
        <v>451</v>
      </c>
      <c r="E134" t="s">
        <v>524</v>
      </c>
      <c r="F134" t="s">
        <v>406</v>
      </c>
      <c r="I134" s="29">
        <v>700000000</v>
      </c>
      <c r="J134" t="s">
        <v>451</v>
      </c>
      <c r="L134" t="s">
        <v>35</v>
      </c>
      <c r="M134" t="str">
        <f>IFERROR(INDEX(Diccionario!$N:$N,MATCH(F70,Diccionario!$C:$C,0)),"")</f>
        <v>Mensual</v>
      </c>
    </row>
    <row r="135" spans="1:13" ht="12" customHeight="1" x14ac:dyDescent="0.3">
      <c r="A135" t="s">
        <v>547</v>
      </c>
      <c r="B135" t="s">
        <v>522</v>
      </c>
      <c r="C135" t="s">
        <v>523</v>
      </c>
      <c r="D135" t="s">
        <v>451</v>
      </c>
      <c r="E135" t="s">
        <v>524</v>
      </c>
      <c r="F135" t="s">
        <v>398</v>
      </c>
      <c r="I135" s="29">
        <v>682507167</v>
      </c>
      <c r="J135" t="s">
        <v>451</v>
      </c>
      <c r="L135" t="s">
        <v>35</v>
      </c>
      <c r="M135" t="str">
        <f>IFERROR(INDEX(Diccionario!$N:$N,MATCH(F1158,Diccionario!$C:$C,0)),"")</f>
        <v/>
      </c>
    </row>
    <row r="136" spans="1:13" ht="12" customHeight="1" x14ac:dyDescent="0.3">
      <c r="A136" t="s">
        <v>547</v>
      </c>
      <c r="B136" t="s">
        <v>522</v>
      </c>
      <c r="C136" t="s">
        <v>523</v>
      </c>
      <c r="D136" t="s">
        <v>451</v>
      </c>
      <c r="E136" t="s">
        <v>524</v>
      </c>
      <c r="F136" t="s">
        <v>76</v>
      </c>
      <c r="I136" s="29">
        <v>-39000000</v>
      </c>
      <c r="J136" t="s">
        <v>451</v>
      </c>
      <c r="K136" t="s">
        <v>525</v>
      </c>
      <c r="L136" t="s">
        <v>35</v>
      </c>
      <c r="M136" t="str">
        <f>IFERROR(INDEX(Diccionario!$N:$N,MATCH(F72,Diccionario!$C:$C,0)),"")</f>
        <v>Mensual</v>
      </c>
    </row>
    <row r="137" spans="1:13" ht="12" customHeight="1" x14ac:dyDescent="0.3">
      <c r="A137" t="s">
        <v>548</v>
      </c>
      <c r="B137" t="s">
        <v>522</v>
      </c>
      <c r="C137" t="s">
        <v>523</v>
      </c>
      <c r="E137" t="s">
        <v>524</v>
      </c>
      <c r="F137" t="s">
        <v>387</v>
      </c>
      <c r="H137" t="s">
        <v>598</v>
      </c>
      <c r="I137" s="36">
        <v>4.2</v>
      </c>
      <c r="J137" t="s">
        <v>65</v>
      </c>
      <c r="K137" t="s">
        <v>595</v>
      </c>
      <c r="L137" t="s">
        <v>35</v>
      </c>
      <c r="M137" t="str">
        <f>IFERROR(INDEX(Diccionario!$N:$N,MATCH(F1227,Diccionario!$C:$C,0)),"")</f>
        <v/>
      </c>
    </row>
    <row r="138" spans="1:13" ht="12" customHeight="1" x14ac:dyDescent="0.3">
      <c r="A138" t="s">
        <v>548</v>
      </c>
      <c r="B138" t="s">
        <v>522</v>
      </c>
      <c r="C138" t="s">
        <v>523</v>
      </c>
      <c r="E138" t="s">
        <v>524</v>
      </c>
      <c r="F138" t="s">
        <v>387</v>
      </c>
      <c r="H138" t="s">
        <v>221</v>
      </c>
      <c r="I138" s="36">
        <v>3.1</v>
      </c>
      <c r="J138" t="s">
        <v>65</v>
      </c>
      <c r="K138" t="s">
        <v>595</v>
      </c>
      <c r="L138" t="s">
        <v>35</v>
      </c>
      <c r="M138" t="str">
        <f>IFERROR(INDEX(Diccionario!$N:$N,MATCH(F1230,Diccionario!$C:$C,0)),"")</f>
        <v/>
      </c>
    </row>
    <row r="139" spans="1:13" ht="12" customHeight="1" x14ac:dyDescent="0.3">
      <c r="A139" t="s">
        <v>548</v>
      </c>
      <c r="B139" t="s">
        <v>522</v>
      </c>
      <c r="C139" t="s">
        <v>523</v>
      </c>
      <c r="E139" t="s">
        <v>524</v>
      </c>
      <c r="F139" t="s">
        <v>387</v>
      </c>
      <c r="H139" t="s">
        <v>593</v>
      </c>
      <c r="I139" s="36">
        <v>89.9</v>
      </c>
      <c r="J139" t="s">
        <v>65</v>
      </c>
      <c r="K139" t="s">
        <v>595</v>
      </c>
      <c r="L139" t="s">
        <v>35</v>
      </c>
      <c r="M139" t="str">
        <f>IFERROR(INDEX(Diccionario!$N:$N,MATCH(F1221,Diccionario!$C:$C,0)),"")</f>
        <v/>
      </c>
    </row>
    <row r="140" spans="1:13" ht="12" customHeight="1" x14ac:dyDescent="0.3">
      <c r="A140" t="s">
        <v>548</v>
      </c>
      <c r="B140" t="s">
        <v>522</v>
      </c>
      <c r="C140" t="s">
        <v>523</v>
      </c>
      <c r="E140" t="s">
        <v>524</v>
      </c>
      <c r="F140" t="s">
        <v>387</v>
      </c>
      <c r="H140" t="s">
        <v>597</v>
      </c>
      <c r="I140" s="36">
        <v>3.1</v>
      </c>
      <c r="J140" t="s">
        <v>65</v>
      </c>
      <c r="K140" t="s">
        <v>595</v>
      </c>
      <c r="L140" t="s">
        <v>35</v>
      </c>
      <c r="M140" t="str">
        <f>IFERROR(INDEX(Diccionario!$N:$N,MATCH(F1224,Diccionario!$C:$C,0)),"")</f>
        <v/>
      </c>
    </row>
    <row r="141" spans="1:13" ht="12" customHeight="1" x14ac:dyDescent="0.3">
      <c r="A141" t="s">
        <v>548</v>
      </c>
      <c r="B141" t="s">
        <v>522</v>
      </c>
      <c r="C141" t="s">
        <v>523</v>
      </c>
      <c r="D141" t="s">
        <v>451</v>
      </c>
      <c r="E141" t="s">
        <v>524</v>
      </c>
      <c r="F141" t="s">
        <v>80</v>
      </c>
      <c r="I141" s="29">
        <v>231501000</v>
      </c>
      <c r="J141" t="s">
        <v>451</v>
      </c>
      <c r="L141" t="s">
        <v>35</v>
      </c>
      <c r="M141" t="str">
        <f>IFERROR(INDEX(Diccionario!$N:$N,MATCH(F97,Diccionario!$C:$C,0)),"")</f>
        <v>Mensual</v>
      </c>
    </row>
    <row r="142" spans="1:13" ht="12" customHeight="1" x14ac:dyDescent="0.3">
      <c r="A142" t="s">
        <v>548</v>
      </c>
      <c r="B142" t="s">
        <v>522</v>
      </c>
      <c r="C142" t="s">
        <v>523</v>
      </c>
      <c r="D142" t="s">
        <v>451</v>
      </c>
      <c r="E142" t="s">
        <v>524</v>
      </c>
      <c r="F142" t="s">
        <v>72</v>
      </c>
      <c r="I142" s="29">
        <v>718000000</v>
      </c>
      <c r="J142" t="s">
        <v>451</v>
      </c>
      <c r="L142" t="s">
        <v>35</v>
      </c>
      <c r="M142" t="str">
        <f>IFERROR(INDEX(Diccionario!$N:$N,MATCH(F74,Diccionario!$C:$C,0)),"")</f>
        <v>Mensual</v>
      </c>
    </row>
    <row r="143" spans="1:13" ht="12" customHeight="1" x14ac:dyDescent="0.3">
      <c r="A143" t="s">
        <v>548</v>
      </c>
      <c r="B143" t="s">
        <v>522</v>
      </c>
      <c r="C143" t="s">
        <v>523</v>
      </c>
      <c r="D143" t="s">
        <v>451</v>
      </c>
      <c r="E143" t="s">
        <v>524</v>
      </c>
      <c r="F143" t="s">
        <v>367</v>
      </c>
      <c r="I143" s="29">
        <v>71452835</v>
      </c>
      <c r="J143" t="s">
        <v>451</v>
      </c>
      <c r="L143" t="s">
        <v>35</v>
      </c>
      <c r="M143" t="str">
        <f>IFERROR(INDEX(Diccionario!$N:$N,MATCH(F1078,Diccionario!$C:$C,0)),"")</f>
        <v/>
      </c>
    </row>
    <row r="144" spans="1:13" ht="12" customHeight="1" x14ac:dyDescent="0.3">
      <c r="A144" t="s">
        <v>548</v>
      </c>
      <c r="B144" t="s">
        <v>522</v>
      </c>
      <c r="C144" t="s">
        <v>523</v>
      </c>
      <c r="D144" t="s">
        <v>451</v>
      </c>
      <c r="E144" t="s">
        <v>524</v>
      </c>
      <c r="F144" t="s">
        <v>402</v>
      </c>
      <c r="I144" s="29">
        <v>678500265</v>
      </c>
      <c r="J144" t="s">
        <v>451</v>
      </c>
      <c r="L144" t="s">
        <v>35</v>
      </c>
      <c r="M144" t="str">
        <f>IFERROR(INDEX(Diccionario!$N:$N,MATCH(F1049,Diccionario!$C:$C,0)),"")</f>
        <v/>
      </c>
    </row>
    <row r="145" spans="1:13" ht="12" customHeight="1" x14ac:dyDescent="0.3">
      <c r="A145" t="s">
        <v>548</v>
      </c>
      <c r="B145" t="s">
        <v>522</v>
      </c>
      <c r="C145" t="s">
        <v>523</v>
      </c>
      <c r="D145" t="s">
        <v>451</v>
      </c>
      <c r="E145" t="s">
        <v>524</v>
      </c>
      <c r="F145" t="s">
        <v>406</v>
      </c>
      <c r="I145" s="29">
        <v>765000000</v>
      </c>
      <c r="J145" t="s">
        <v>451</v>
      </c>
      <c r="L145" t="s">
        <v>35</v>
      </c>
      <c r="M145" t="str">
        <f>IFERROR(INDEX(Diccionario!$N:$N,MATCH(F73,Diccionario!$C:$C,0)),"")</f>
        <v>Mensual</v>
      </c>
    </row>
    <row r="146" spans="1:13" ht="12" customHeight="1" x14ac:dyDescent="0.3">
      <c r="A146" t="s">
        <v>548</v>
      </c>
      <c r="B146" t="s">
        <v>522</v>
      </c>
      <c r="C146" t="s">
        <v>523</v>
      </c>
      <c r="D146" t="s">
        <v>451</v>
      </c>
      <c r="E146" t="s">
        <v>524</v>
      </c>
      <c r="F146" t="s">
        <v>398</v>
      </c>
      <c r="I146" s="29">
        <v>662313152</v>
      </c>
      <c r="J146" t="s">
        <v>451</v>
      </c>
      <c r="L146" t="s">
        <v>35</v>
      </c>
      <c r="M146" t="str">
        <f>IFERROR(INDEX(Diccionario!$N:$N,MATCH(F1159,Diccionario!$C:$C,0)),"")</f>
        <v/>
      </c>
    </row>
    <row r="147" spans="1:13" ht="12" customHeight="1" x14ac:dyDescent="0.3">
      <c r="A147" t="s">
        <v>548</v>
      </c>
      <c r="B147" t="s">
        <v>522</v>
      </c>
      <c r="C147" t="s">
        <v>523</v>
      </c>
      <c r="D147" t="s">
        <v>451</v>
      </c>
      <c r="E147" t="s">
        <v>524</v>
      </c>
      <c r="F147" t="s">
        <v>76</v>
      </c>
      <c r="I147" s="29">
        <v>47000000</v>
      </c>
      <c r="J147" t="s">
        <v>451</v>
      </c>
      <c r="K147" t="s">
        <v>525</v>
      </c>
      <c r="L147" t="s">
        <v>35</v>
      </c>
      <c r="M147" t="str">
        <f>IFERROR(INDEX(Diccionario!$N:$N,MATCH(F75,Diccionario!$C:$C,0)),"")</f>
        <v>Mensual</v>
      </c>
    </row>
    <row r="148" spans="1:13" ht="12" customHeight="1" x14ac:dyDescent="0.3">
      <c r="A148" t="s">
        <v>549</v>
      </c>
      <c r="B148" t="s">
        <v>522</v>
      </c>
      <c r="C148" t="s">
        <v>523</v>
      </c>
      <c r="D148" t="s">
        <v>451</v>
      </c>
      <c r="E148" t="s">
        <v>524</v>
      </c>
      <c r="F148" t="s">
        <v>80</v>
      </c>
      <c r="I148" s="29">
        <v>207987000</v>
      </c>
      <c r="J148" t="s">
        <v>451</v>
      </c>
      <c r="L148" t="s">
        <v>35</v>
      </c>
      <c r="M148" t="str">
        <f>IFERROR(INDEX(Diccionario!$N:$N,MATCH(F98,Diccionario!$C:$C,0)),"")</f>
        <v>Mensual</v>
      </c>
    </row>
    <row r="149" spans="1:13" ht="12" customHeight="1" x14ac:dyDescent="0.3">
      <c r="A149" t="s">
        <v>549</v>
      </c>
      <c r="B149" t="s">
        <v>522</v>
      </c>
      <c r="C149" t="s">
        <v>523</v>
      </c>
      <c r="D149" t="s">
        <v>451</v>
      </c>
      <c r="E149" t="s">
        <v>524</v>
      </c>
      <c r="F149" t="s">
        <v>72</v>
      </c>
      <c r="I149" s="29">
        <v>542000000</v>
      </c>
      <c r="J149" t="s">
        <v>451</v>
      </c>
      <c r="L149" t="s">
        <v>35</v>
      </c>
      <c r="M149" t="str">
        <f>IFERROR(INDEX(Diccionario!$N:$N,MATCH(F77,Diccionario!$C:$C,0)),"")</f>
        <v>Mensual</v>
      </c>
    </row>
    <row r="150" spans="1:13" ht="12" customHeight="1" x14ac:dyDescent="0.3">
      <c r="A150" t="s">
        <v>549</v>
      </c>
      <c r="B150" t="s">
        <v>522</v>
      </c>
      <c r="C150" t="s">
        <v>523</v>
      </c>
      <c r="D150" t="s">
        <v>451</v>
      </c>
      <c r="E150" t="s">
        <v>524</v>
      </c>
      <c r="F150" t="s">
        <v>367</v>
      </c>
      <c r="I150" s="29">
        <v>40047000</v>
      </c>
      <c r="J150" t="s">
        <v>451</v>
      </c>
      <c r="L150" t="s">
        <v>35</v>
      </c>
      <c r="M150" t="str">
        <f>IFERROR(INDEX(Diccionario!$N:$N,MATCH(F1079,Diccionario!$C:$C,0)),"")</f>
        <v/>
      </c>
    </row>
    <row r="151" spans="1:13" ht="12" customHeight="1" x14ac:dyDescent="0.3">
      <c r="A151" t="s">
        <v>549</v>
      </c>
      <c r="B151" t="s">
        <v>522</v>
      </c>
      <c r="C151" t="s">
        <v>523</v>
      </c>
      <c r="D151" t="s">
        <v>451</v>
      </c>
      <c r="E151" t="s">
        <v>524</v>
      </c>
      <c r="F151" t="s">
        <v>402</v>
      </c>
      <c r="I151" s="29">
        <v>580720049</v>
      </c>
      <c r="J151" t="s">
        <v>451</v>
      </c>
      <c r="L151" t="s">
        <v>35</v>
      </c>
      <c r="M151" t="str">
        <f>IFERROR(INDEX(Diccionario!$N:$N,MATCH(F1050,Diccionario!$C:$C,0)),"")</f>
        <v/>
      </c>
    </row>
    <row r="152" spans="1:13" ht="12" customHeight="1" x14ac:dyDescent="0.3">
      <c r="A152" t="s">
        <v>549</v>
      </c>
      <c r="B152" t="s">
        <v>522</v>
      </c>
      <c r="C152" t="s">
        <v>523</v>
      </c>
      <c r="D152" t="s">
        <v>451</v>
      </c>
      <c r="E152" t="s">
        <v>524</v>
      </c>
      <c r="F152" t="s">
        <v>406</v>
      </c>
      <c r="I152" s="29">
        <v>633000000</v>
      </c>
      <c r="J152" t="s">
        <v>451</v>
      </c>
      <c r="L152" t="s">
        <v>35</v>
      </c>
      <c r="M152" t="str">
        <f>IFERROR(INDEX(Diccionario!$N:$N,MATCH(F76,Diccionario!$C:$C,0)),"")</f>
        <v>Mensual</v>
      </c>
    </row>
    <row r="153" spans="1:13" ht="12" customHeight="1" x14ac:dyDescent="0.3">
      <c r="A153" t="s">
        <v>549</v>
      </c>
      <c r="B153" t="s">
        <v>522</v>
      </c>
      <c r="C153" t="s">
        <v>523</v>
      </c>
      <c r="D153" t="s">
        <v>451</v>
      </c>
      <c r="E153" t="s">
        <v>524</v>
      </c>
      <c r="F153" t="s">
        <v>398</v>
      </c>
      <c r="I153" s="29">
        <v>659132098</v>
      </c>
      <c r="J153" t="s">
        <v>451</v>
      </c>
      <c r="L153" t="s">
        <v>35</v>
      </c>
      <c r="M153" t="str">
        <f>IFERROR(INDEX(Diccionario!$N:$N,MATCH(F1160,Diccionario!$C:$C,0)),"")</f>
        <v/>
      </c>
    </row>
    <row r="154" spans="1:13" ht="12" customHeight="1" x14ac:dyDescent="0.3">
      <c r="A154" t="s">
        <v>549</v>
      </c>
      <c r="B154" t="s">
        <v>522</v>
      </c>
      <c r="C154" t="s">
        <v>523</v>
      </c>
      <c r="D154" t="s">
        <v>451</v>
      </c>
      <c r="E154" t="s">
        <v>524</v>
      </c>
      <c r="F154" t="s">
        <v>76</v>
      </c>
      <c r="I154" s="29">
        <v>91000000</v>
      </c>
      <c r="J154" t="s">
        <v>451</v>
      </c>
      <c r="K154" t="s">
        <v>525</v>
      </c>
      <c r="L154" t="s">
        <v>35</v>
      </c>
      <c r="M154" t="str">
        <f>IFERROR(INDEX(Diccionario!$N:$N,MATCH(F78,Diccionario!$C:$C,0)),"")</f>
        <v>Mensual</v>
      </c>
    </row>
    <row r="155" spans="1:13" ht="12" customHeight="1" x14ac:dyDescent="0.3">
      <c r="A155" t="s">
        <v>551</v>
      </c>
      <c r="B155" t="s">
        <v>522</v>
      </c>
      <c r="C155" t="s">
        <v>523</v>
      </c>
      <c r="D155" t="s">
        <v>451</v>
      </c>
      <c r="E155" t="s">
        <v>524</v>
      </c>
      <c r="F155" t="s">
        <v>80</v>
      </c>
      <c r="I155" s="29">
        <v>191717000</v>
      </c>
      <c r="J155" t="s">
        <v>451</v>
      </c>
      <c r="L155" t="s">
        <v>35</v>
      </c>
      <c r="M155" t="str">
        <f>IFERROR(INDEX(Diccionario!$N:$N,MATCH(F99,Diccionario!$C:$C,0)),"")</f>
        <v>Mensual</v>
      </c>
    </row>
    <row r="156" spans="1:13" ht="12" customHeight="1" x14ac:dyDescent="0.3">
      <c r="A156" t="s">
        <v>551</v>
      </c>
      <c r="B156" t="s">
        <v>522</v>
      </c>
      <c r="C156" t="s">
        <v>523</v>
      </c>
      <c r="D156" t="s">
        <v>451</v>
      </c>
      <c r="E156" t="s">
        <v>524</v>
      </c>
      <c r="F156" t="s">
        <v>72</v>
      </c>
      <c r="I156" s="29">
        <v>684000000</v>
      </c>
      <c r="J156" t="s">
        <v>451</v>
      </c>
      <c r="L156" t="s">
        <v>35</v>
      </c>
      <c r="M156" t="str">
        <f>IFERROR(INDEX(Diccionario!$N:$N,MATCH(F80,Diccionario!$C:$C,0)),"")</f>
        <v>Mensual</v>
      </c>
    </row>
    <row r="157" spans="1:13" ht="12" customHeight="1" x14ac:dyDescent="0.3">
      <c r="A157" t="s">
        <v>551</v>
      </c>
      <c r="B157" t="s">
        <v>522</v>
      </c>
      <c r="C157" t="s">
        <v>523</v>
      </c>
      <c r="D157" t="s">
        <v>451</v>
      </c>
      <c r="E157" t="s">
        <v>524</v>
      </c>
      <c r="F157" t="s">
        <v>367</v>
      </c>
      <c r="I157" s="29">
        <v>67164125</v>
      </c>
      <c r="J157" t="s">
        <v>451</v>
      </c>
      <c r="L157" t="s">
        <v>35</v>
      </c>
      <c r="M157" t="str">
        <f>IFERROR(INDEX(Diccionario!$N:$N,MATCH(F1080,Diccionario!$C:$C,0)),"")</f>
        <v/>
      </c>
    </row>
    <row r="158" spans="1:13" ht="12" customHeight="1" x14ac:dyDescent="0.3">
      <c r="A158" t="s">
        <v>551</v>
      </c>
      <c r="B158" t="s">
        <v>522</v>
      </c>
      <c r="C158" t="s">
        <v>523</v>
      </c>
      <c r="D158" t="s">
        <v>451</v>
      </c>
      <c r="E158" t="s">
        <v>524</v>
      </c>
      <c r="F158" t="s">
        <v>402</v>
      </c>
      <c r="I158" s="29">
        <v>678104625</v>
      </c>
      <c r="J158" t="s">
        <v>451</v>
      </c>
      <c r="L158" t="s">
        <v>35</v>
      </c>
      <c r="M158" t="str">
        <f>IFERROR(INDEX(Diccionario!$N:$N,MATCH(F1051,Diccionario!$C:$C,0)),"")</f>
        <v/>
      </c>
    </row>
    <row r="159" spans="1:13" ht="12" customHeight="1" x14ac:dyDescent="0.3">
      <c r="A159" t="s">
        <v>551</v>
      </c>
      <c r="B159" t="s">
        <v>522</v>
      </c>
      <c r="C159" t="s">
        <v>523</v>
      </c>
      <c r="D159" t="s">
        <v>451</v>
      </c>
      <c r="E159" t="s">
        <v>524</v>
      </c>
      <c r="F159" t="s">
        <v>406</v>
      </c>
      <c r="I159" s="29">
        <v>744000000</v>
      </c>
      <c r="J159" t="s">
        <v>451</v>
      </c>
      <c r="L159" t="s">
        <v>35</v>
      </c>
      <c r="M159" t="str">
        <f>IFERROR(INDEX(Diccionario!$N:$N,MATCH(F79,Diccionario!$C:$C,0)),"")</f>
        <v>Mensual</v>
      </c>
    </row>
    <row r="160" spans="1:13" ht="12" customHeight="1" x14ac:dyDescent="0.3">
      <c r="A160" t="s">
        <v>551</v>
      </c>
      <c r="B160" t="s">
        <v>522</v>
      </c>
      <c r="C160" t="s">
        <v>523</v>
      </c>
      <c r="D160" t="s">
        <v>451</v>
      </c>
      <c r="E160" t="s">
        <v>524</v>
      </c>
      <c r="F160" t="s">
        <v>398</v>
      </c>
      <c r="I160" s="29">
        <v>833921932</v>
      </c>
      <c r="J160" t="s">
        <v>451</v>
      </c>
      <c r="L160" t="s">
        <v>35</v>
      </c>
      <c r="M160" t="str">
        <f>IFERROR(INDEX(Diccionario!$N:$N,MATCH(F1161,Diccionario!$C:$C,0)),"")</f>
        <v/>
      </c>
    </row>
    <row r="161" spans="1:13" ht="12" customHeight="1" x14ac:dyDescent="0.3">
      <c r="A161" t="s">
        <v>551</v>
      </c>
      <c r="B161" t="s">
        <v>522</v>
      </c>
      <c r="C161" t="s">
        <v>523</v>
      </c>
      <c r="D161" t="s">
        <v>451</v>
      </c>
      <c r="E161" t="s">
        <v>524</v>
      </c>
      <c r="F161" t="s">
        <v>76</v>
      </c>
      <c r="I161" s="29">
        <v>60000000</v>
      </c>
      <c r="J161" t="s">
        <v>451</v>
      </c>
      <c r="K161" t="s">
        <v>525</v>
      </c>
      <c r="L161" t="s">
        <v>35</v>
      </c>
      <c r="M161" t="str">
        <f>IFERROR(INDEX(Diccionario!$N:$N,MATCH(F81,Diccionario!$C:$C,0)),"")</f>
        <v>Mensual</v>
      </c>
    </row>
    <row r="162" spans="1:13" ht="12" customHeight="1" x14ac:dyDescent="0.3">
      <c r="A162" t="s">
        <v>552</v>
      </c>
      <c r="B162" t="s">
        <v>522</v>
      </c>
      <c r="C162" t="s">
        <v>523</v>
      </c>
      <c r="D162" t="s">
        <v>451</v>
      </c>
      <c r="E162" t="s">
        <v>524</v>
      </c>
      <c r="F162" t="s">
        <v>80</v>
      </c>
      <c r="I162" s="29">
        <v>201750000</v>
      </c>
      <c r="J162" t="s">
        <v>451</v>
      </c>
      <c r="L162" t="s">
        <v>35</v>
      </c>
      <c r="M162" t="str">
        <f>IFERROR(INDEX(Diccionario!$N:$N,MATCH(F100,Diccionario!$C:$C,0)),"")</f>
        <v>Mensual</v>
      </c>
    </row>
    <row r="163" spans="1:13" ht="12" customHeight="1" x14ac:dyDescent="0.3">
      <c r="A163" t="s">
        <v>552</v>
      </c>
      <c r="B163" t="s">
        <v>522</v>
      </c>
      <c r="C163" t="s">
        <v>523</v>
      </c>
      <c r="D163" t="s">
        <v>451</v>
      </c>
      <c r="E163" t="s">
        <v>524</v>
      </c>
      <c r="F163" t="s">
        <v>72</v>
      </c>
      <c r="I163" s="29">
        <v>806000000</v>
      </c>
      <c r="J163" t="s">
        <v>451</v>
      </c>
      <c r="L163" t="s">
        <v>35</v>
      </c>
      <c r="M163" t="str">
        <f>IFERROR(INDEX(Diccionario!$N:$N,MATCH(F83,Diccionario!$C:$C,0)),"")</f>
        <v>Mensual</v>
      </c>
    </row>
    <row r="164" spans="1:13" ht="12" customHeight="1" x14ac:dyDescent="0.3">
      <c r="A164" t="s">
        <v>552</v>
      </c>
      <c r="B164" t="s">
        <v>522</v>
      </c>
      <c r="C164" t="s">
        <v>523</v>
      </c>
      <c r="D164" t="s">
        <v>451</v>
      </c>
      <c r="E164" t="s">
        <v>524</v>
      </c>
      <c r="F164" t="s">
        <v>367</v>
      </c>
      <c r="I164" s="29">
        <v>54801528</v>
      </c>
      <c r="J164" t="s">
        <v>451</v>
      </c>
      <c r="L164" t="s">
        <v>35</v>
      </c>
      <c r="M164" t="str">
        <f>IFERROR(INDEX(Diccionario!$N:$N,MATCH(F1081,Diccionario!$C:$C,0)),"")</f>
        <v/>
      </c>
    </row>
    <row r="165" spans="1:13" ht="12" customHeight="1" x14ac:dyDescent="0.3">
      <c r="A165" t="s">
        <v>552</v>
      </c>
      <c r="B165" t="s">
        <v>522</v>
      </c>
      <c r="C165" t="s">
        <v>523</v>
      </c>
      <c r="D165" t="s">
        <v>451</v>
      </c>
      <c r="E165" t="s">
        <v>524</v>
      </c>
      <c r="F165" t="s">
        <v>402</v>
      </c>
      <c r="I165" s="29">
        <v>714287498</v>
      </c>
      <c r="J165" t="s">
        <v>451</v>
      </c>
      <c r="L165" t="s">
        <v>35</v>
      </c>
      <c r="M165" t="str">
        <f>IFERROR(INDEX(Diccionario!$N:$N,MATCH(F1052,Diccionario!$C:$C,0)),"")</f>
        <v/>
      </c>
    </row>
    <row r="166" spans="1:13" ht="12" customHeight="1" x14ac:dyDescent="0.3">
      <c r="A166" t="s">
        <v>552</v>
      </c>
      <c r="B166" t="s">
        <v>522</v>
      </c>
      <c r="C166" t="s">
        <v>523</v>
      </c>
      <c r="D166" t="s">
        <v>451</v>
      </c>
      <c r="E166" t="s">
        <v>524</v>
      </c>
      <c r="F166" t="s">
        <v>406</v>
      </c>
      <c r="I166" s="29">
        <v>769000000</v>
      </c>
      <c r="J166" t="s">
        <v>451</v>
      </c>
      <c r="L166" t="s">
        <v>35</v>
      </c>
      <c r="M166" t="str">
        <f>IFERROR(INDEX(Diccionario!$N:$N,MATCH(F82,Diccionario!$C:$C,0)),"")</f>
        <v>Mensual</v>
      </c>
    </row>
    <row r="167" spans="1:13" ht="12" customHeight="1" x14ac:dyDescent="0.3">
      <c r="A167" t="s">
        <v>552</v>
      </c>
      <c r="B167" t="s">
        <v>522</v>
      </c>
      <c r="C167" t="s">
        <v>523</v>
      </c>
      <c r="D167" t="s">
        <v>451</v>
      </c>
      <c r="E167" t="s">
        <v>524</v>
      </c>
      <c r="F167" t="s">
        <v>398</v>
      </c>
      <c r="I167" s="29">
        <v>747778319</v>
      </c>
      <c r="J167" t="s">
        <v>451</v>
      </c>
      <c r="L167" t="s">
        <v>35</v>
      </c>
      <c r="M167" t="str">
        <f>IFERROR(INDEX(Diccionario!$N:$N,MATCH(F1162,Diccionario!$C:$C,0)),"")</f>
        <v/>
      </c>
    </row>
    <row r="168" spans="1:13" ht="12" customHeight="1" x14ac:dyDescent="0.3">
      <c r="A168" t="s">
        <v>552</v>
      </c>
      <c r="B168" t="s">
        <v>522</v>
      </c>
      <c r="C168" t="s">
        <v>523</v>
      </c>
      <c r="D168" t="s">
        <v>451</v>
      </c>
      <c r="E168" t="s">
        <v>524</v>
      </c>
      <c r="F168" t="s">
        <v>76</v>
      </c>
      <c r="I168" s="29">
        <v>-37000000</v>
      </c>
      <c r="J168" t="s">
        <v>451</v>
      </c>
      <c r="K168" t="s">
        <v>525</v>
      </c>
      <c r="L168" t="s">
        <v>35</v>
      </c>
      <c r="M168" t="str">
        <f>IFERROR(INDEX(Diccionario!$N:$N,MATCH(F84,Diccionario!$C:$C,0)),"")</f>
        <v>Mensual</v>
      </c>
    </row>
    <row r="169" spans="1:13" ht="12" customHeight="1" x14ac:dyDescent="0.3">
      <c r="A169" t="s">
        <v>553</v>
      </c>
      <c r="B169" t="s">
        <v>522</v>
      </c>
      <c r="C169" t="s">
        <v>523</v>
      </c>
      <c r="D169" t="s">
        <v>451</v>
      </c>
      <c r="E169" t="s">
        <v>524</v>
      </c>
      <c r="F169" t="s">
        <v>80</v>
      </c>
      <c r="I169" s="29">
        <v>202016000</v>
      </c>
      <c r="J169" t="s">
        <v>451</v>
      </c>
      <c r="L169" t="s">
        <v>35</v>
      </c>
      <c r="M169" t="str">
        <f>IFERROR(INDEX(Diccionario!$N:$N,MATCH(F101,Diccionario!$C:$C,0)),"")</f>
        <v>Mensual</v>
      </c>
    </row>
    <row r="170" spans="1:13" ht="12" customHeight="1" x14ac:dyDescent="0.3">
      <c r="A170" t="s">
        <v>553</v>
      </c>
      <c r="B170" t="s">
        <v>522</v>
      </c>
      <c r="C170" t="s">
        <v>523</v>
      </c>
      <c r="D170" t="s">
        <v>451</v>
      </c>
      <c r="E170" t="s">
        <v>524</v>
      </c>
      <c r="F170" t="s">
        <v>72</v>
      </c>
      <c r="I170" s="29">
        <v>755000000</v>
      </c>
      <c r="J170" t="s">
        <v>451</v>
      </c>
      <c r="L170" t="s">
        <v>35</v>
      </c>
      <c r="M170" t="str">
        <f>IFERROR(INDEX(Diccionario!$N:$N,MATCH(F86,Diccionario!$C:$C,0)),"")</f>
        <v>Mensual</v>
      </c>
    </row>
    <row r="171" spans="1:13" ht="12" customHeight="1" x14ac:dyDescent="0.3">
      <c r="A171" t="s">
        <v>553</v>
      </c>
      <c r="B171" t="s">
        <v>522</v>
      </c>
      <c r="C171" t="s">
        <v>523</v>
      </c>
      <c r="D171" t="s">
        <v>451</v>
      </c>
      <c r="E171" t="s">
        <v>524</v>
      </c>
      <c r="F171" t="s">
        <v>367</v>
      </c>
      <c r="I171" s="29">
        <v>30501180</v>
      </c>
      <c r="J171" t="s">
        <v>451</v>
      </c>
      <c r="L171" t="s">
        <v>35</v>
      </c>
      <c r="M171" t="str">
        <f>IFERROR(INDEX(Diccionario!$N:$N,MATCH(F1082,Diccionario!$C:$C,0)),"")</f>
        <v/>
      </c>
    </row>
    <row r="172" spans="1:13" ht="12" customHeight="1" x14ac:dyDescent="0.3">
      <c r="A172" t="s">
        <v>553</v>
      </c>
      <c r="B172" t="s">
        <v>522</v>
      </c>
      <c r="C172" t="s">
        <v>523</v>
      </c>
      <c r="D172" t="s">
        <v>451</v>
      </c>
      <c r="E172" t="s">
        <v>524</v>
      </c>
      <c r="F172" t="s">
        <v>402</v>
      </c>
      <c r="I172" s="29">
        <v>728855485</v>
      </c>
      <c r="J172" t="s">
        <v>451</v>
      </c>
      <c r="L172" t="s">
        <v>35</v>
      </c>
      <c r="M172" t="str">
        <f>IFERROR(INDEX(Diccionario!$N:$N,MATCH(F1053,Diccionario!$C:$C,0)),"")</f>
        <v/>
      </c>
    </row>
    <row r="173" spans="1:13" ht="12" customHeight="1" x14ac:dyDescent="0.3">
      <c r="A173" t="s">
        <v>553</v>
      </c>
      <c r="B173" t="s">
        <v>522</v>
      </c>
      <c r="C173" t="s">
        <v>523</v>
      </c>
      <c r="D173" t="s">
        <v>451</v>
      </c>
      <c r="E173" t="s">
        <v>524</v>
      </c>
      <c r="F173" t="s">
        <v>406</v>
      </c>
      <c r="I173" s="29">
        <v>754000000</v>
      </c>
      <c r="J173" t="s">
        <v>451</v>
      </c>
      <c r="L173" t="s">
        <v>35</v>
      </c>
      <c r="M173" t="str">
        <f>IFERROR(INDEX(Diccionario!$N:$N,MATCH(F85,Diccionario!$C:$C,0)),"")</f>
        <v>Mensual</v>
      </c>
    </row>
    <row r="174" spans="1:13" ht="12" customHeight="1" x14ac:dyDescent="0.3">
      <c r="A174" t="s">
        <v>553</v>
      </c>
      <c r="B174" t="s">
        <v>522</v>
      </c>
      <c r="C174" t="s">
        <v>523</v>
      </c>
      <c r="D174" t="s">
        <v>451</v>
      </c>
      <c r="E174" t="s">
        <v>524</v>
      </c>
      <c r="F174" t="s">
        <v>398</v>
      </c>
      <c r="I174" s="29">
        <v>742766594</v>
      </c>
      <c r="J174" t="s">
        <v>451</v>
      </c>
      <c r="L174" t="s">
        <v>35</v>
      </c>
      <c r="M174" t="str">
        <f>IFERROR(INDEX(Diccionario!$N:$N,MATCH(F1163,Diccionario!$C:$C,0)),"")</f>
        <v/>
      </c>
    </row>
    <row r="175" spans="1:13" ht="12" customHeight="1" x14ac:dyDescent="0.3">
      <c r="A175" t="s">
        <v>553</v>
      </c>
      <c r="B175" t="s">
        <v>522</v>
      </c>
      <c r="C175" t="s">
        <v>523</v>
      </c>
      <c r="D175" t="s">
        <v>451</v>
      </c>
      <c r="E175" t="s">
        <v>524</v>
      </c>
      <c r="F175" t="s">
        <v>76</v>
      </c>
      <c r="I175" s="29">
        <v>-1000000</v>
      </c>
      <c r="J175" t="s">
        <v>451</v>
      </c>
      <c r="K175" t="s">
        <v>525</v>
      </c>
      <c r="L175" t="s">
        <v>35</v>
      </c>
      <c r="M175" t="str">
        <f>IFERROR(INDEX(Diccionario!$N:$N,MATCH(F87,Diccionario!$C:$C,0)),"")</f>
        <v>Mensual</v>
      </c>
    </row>
    <row r="176" spans="1:13" ht="12" customHeight="1" x14ac:dyDescent="0.3">
      <c r="A176" t="s">
        <v>554</v>
      </c>
      <c r="B176" t="s">
        <v>522</v>
      </c>
      <c r="C176" t="s">
        <v>523</v>
      </c>
      <c r="E176" t="s">
        <v>524</v>
      </c>
      <c r="F176" t="s">
        <v>387</v>
      </c>
      <c r="H176" t="s">
        <v>598</v>
      </c>
      <c r="I176" s="36">
        <v>0.6</v>
      </c>
      <c r="J176" t="s">
        <v>65</v>
      </c>
      <c r="K176" t="s">
        <v>596</v>
      </c>
      <c r="L176" t="s">
        <v>35</v>
      </c>
      <c r="M176" t="str">
        <f>IFERROR(INDEX(Diccionario!$N:$N,MATCH(F1228,Diccionario!$C:$C,0)),"")</f>
        <v/>
      </c>
    </row>
    <row r="177" spans="1:13" ht="12" customHeight="1" x14ac:dyDescent="0.3">
      <c r="A177" t="s">
        <v>554</v>
      </c>
      <c r="B177" t="s">
        <v>522</v>
      </c>
      <c r="C177" t="s">
        <v>523</v>
      </c>
      <c r="E177" t="s">
        <v>524</v>
      </c>
      <c r="F177" t="s">
        <v>387</v>
      </c>
      <c r="H177" t="s">
        <v>221</v>
      </c>
      <c r="I177" s="36">
        <v>3.2</v>
      </c>
      <c r="J177" t="s">
        <v>65</v>
      </c>
      <c r="K177" t="s">
        <v>596</v>
      </c>
      <c r="L177" t="s">
        <v>35</v>
      </c>
      <c r="M177" t="str">
        <f>IFERROR(INDEX(Diccionario!$N:$N,MATCH(F1231,Diccionario!$C:$C,0)),"")</f>
        <v/>
      </c>
    </row>
    <row r="178" spans="1:13" ht="12" customHeight="1" x14ac:dyDescent="0.3">
      <c r="A178" t="s">
        <v>554</v>
      </c>
      <c r="B178" t="s">
        <v>522</v>
      </c>
      <c r="C178" t="s">
        <v>523</v>
      </c>
      <c r="E178" t="s">
        <v>524</v>
      </c>
      <c r="F178" t="s">
        <v>387</v>
      </c>
      <c r="H178" t="s">
        <v>593</v>
      </c>
      <c r="I178" s="36">
        <v>92.9</v>
      </c>
      <c r="J178" t="s">
        <v>65</v>
      </c>
      <c r="K178" t="s">
        <v>596</v>
      </c>
      <c r="L178" t="s">
        <v>35</v>
      </c>
      <c r="M178" t="str">
        <f>IFERROR(INDEX(Diccionario!$N:$N,MATCH(F1222,Diccionario!$C:$C,0)),"")</f>
        <v/>
      </c>
    </row>
    <row r="179" spans="1:13" ht="12" customHeight="1" x14ac:dyDescent="0.3">
      <c r="A179" t="s">
        <v>554</v>
      </c>
      <c r="B179" t="s">
        <v>522</v>
      </c>
      <c r="C179" t="s">
        <v>523</v>
      </c>
      <c r="E179" t="s">
        <v>524</v>
      </c>
      <c r="F179" t="s">
        <v>387</v>
      </c>
      <c r="H179" t="s">
        <v>597</v>
      </c>
      <c r="I179" s="36">
        <v>3.3</v>
      </c>
      <c r="J179" t="s">
        <v>65</v>
      </c>
      <c r="K179" t="s">
        <v>596</v>
      </c>
      <c r="L179" t="s">
        <v>35</v>
      </c>
      <c r="M179" t="str">
        <f>IFERROR(INDEX(Diccionario!$N:$N,MATCH(F1225,Diccionario!$C:$C,0)),"")</f>
        <v/>
      </c>
    </row>
    <row r="180" spans="1:13" ht="12" customHeight="1" x14ac:dyDescent="0.3">
      <c r="A180" t="s">
        <v>554</v>
      </c>
      <c r="B180" t="s">
        <v>522</v>
      </c>
      <c r="C180" t="s">
        <v>523</v>
      </c>
      <c r="D180" t="s">
        <v>451</v>
      </c>
      <c r="E180" t="s">
        <v>524</v>
      </c>
      <c r="F180" t="s">
        <v>80</v>
      </c>
      <c r="I180" s="29">
        <v>177548000</v>
      </c>
      <c r="J180" t="s">
        <v>451</v>
      </c>
      <c r="L180" t="s">
        <v>35</v>
      </c>
      <c r="M180" t="str">
        <f>IFERROR(INDEX(Diccionario!$N:$N,MATCH(F102,Diccionario!$C:$C,0)),"")</f>
        <v>Mensual</v>
      </c>
    </row>
    <row r="181" spans="1:13" ht="12" customHeight="1" x14ac:dyDescent="0.3">
      <c r="A181" t="s">
        <v>554</v>
      </c>
      <c r="B181" t="s">
        <v>522</v>
      </c>
      <c r="C181" t="s">
        <v>523</v>
      </c>
      <c r="D181" t="s">
        <v>451</v>
      </c>
      <c r="E181" t="s">
        <v>524</v>
      </c>
      <c r="F181" t="s">
        <v>72</v>
      </c>
      <c r="I181" s="29">
        <v>720000000</v>
      </c>
      <c r="J181" t="s">
        <v>451</v>
      </c>
      <c r="L181" t="s">
        <v>35</v>
      </c>
      <c r="M181" t="str">
        <f>IFERROR(INDEX(Diccionario!$N:$N,MATCH(F89,Diccionario!$C:$C,0)),"")</f>
        <v>Mensual</v>
      </c>
    </row>
    <row r="182" spans="1:13" ht="12" customHeight="1" x14ac:dyDescent="0.3">
      <c r="A182" t="s">
        <v>554</v>
      </c>
      <c r="B182" t="s">
        <v>522</v>
      </c>
      <c r="C182" t="s">
        <v>523</v>
      </c>
      <c r="D182" t="s">
        <v>451</v>
      </c>
      <c r="E182" t="s">
        <v>524</v>
      </c>
      <c r="F182" t="s">
        <v>367</v>
      </c>
      <c r="I182" s="29">
        <v>61451942</v>
      </c>
      <c r="J182" t="s">
        <v>451</v>
      </c>
      <c r="L182" t="s">
        <v>35</v>
      </c>
      <c r="M182" t="str">
        <f>IFERROR(INDEX(Diccionario!$N:$N,MATCH(F1083,Diccionario!$C:$C,0)),"")</f>
        <v/>
      </c>
    </row>
    <row r="183" spans="1:13" ht="12" customHeight="1" x14ac:dyDescent="0.3">
      <c r="A183" t="s">
        <v>554</v>
      </c>
      <c r="B183" t="s">
        <v>522</v>
      </c>
      <c r="C183" t="s">
        <v>523</v>
      </c>
      <c r="D183" t="s">
        <v>451</v>
      </c>
      <c r="E183" t="s">
        <v>524</v>
      </c>
      <c r="F183" t="s">
        <v>402</v>
      </c>
      <c r="I183" s="29">
        <v>774122623</v>
      </c>
      <c r="J183" t="s">
        <v>451</v>
      </c>
      <c r="L183" t="s">
        <v>35</v>
      </c>
      <c r="M183" t="str">
        <f>IFERROR(INDEX(Diccionario!$N:$N,MATCH(F1054,Diccionario!$C:$C,0)),"")</f>
        <v/>
      </c>
    </row>
    <row r="184" spans="1:13" ht="12" customHeight="1" x14ac:dyDescent="0.3">
      <c r="A184" t="s">
        <v>554</v>
      </c>
      <c r="B184" t="s">
        <v>522</v>
      </c>
      <c r="C184" t="s">
        <v>523</v>
      </c>
      <c r="D184" t="s">
        <v>451</v>
      </c>
      <c r="E184" t="s">
        <v>524</v>
      </c>
      <c r="F184" t="s">
        <v>406</v>
      </c>
      <c r="I184" s="29">
        <v>812000000</v>
      </c>
      <c r="J184" t="s">
        <v>451</v>
      </c>
      <c r="L184" t="s">
        <v>35</v>
      </c>
      <c r="M184" t="str">
        <f>IFERROR(INDEX(Diccionario!$N:$N,MATCH(F88,Diccionario!$C:$C,0)),"")</f>
        <v>Mensual</v>
      </c>
    </row>
    <row r="185" spans="1:13" ht="12" customHeight="1" x14ac:dyDescent="0.3">
      <c r="A185" t="s">
        <v>554</v>
      </c>
      <c r="B185" t="s">
        <v>522</v>
      </c>
      <c r="C185" t="s">
        <v>523</v>
      </c>
      <c r="D185" t="s">
        <v>451</v>
      </c>
      <c r="E185" t="s">
        <v>524</v>
      </c>
      <c r="F185" t="s">
        <v>398</v>
      </c>
      <c r="I185" s="29">
        <v>706728865</v>
      </c>
      <c r="J185" t="s">
        <v>451</v>
      </c>
      <c r="L185" t="s">
        <v>35</v>
      </c>
      <c r="M185" t="str">
        <f>IFERROR(INDEX(Diccionario!$N:$N,MATCH(F1164,Diccionario!$C:$C,0)),"")</f>
        <v/>
      </c>
    </row>
    <row r="186" spans="1:13" ht="12" customHeight="1" x14ac:dyDescent="0.3">
      <c r="A186" t="s">
        <v>554</v>
      </c>
      <c r="B186" t="s">
        <v>522</v>
      </c>
      <c r="C186" t="s">
        <v>523</v>
      </c>
      <c r="D186" t="s">
        <v>451</v>
      </c>
      <c r="E186" t="s">
        <v>524</v>
      </c>
      <c r="F186" t="s">
        <v>76</v>
      </c>
      <c r="I186" s="29">
        <v>92000000</v>
      </c>
      <c r="J186" t="s">
        <v>451</v>
      </c>
      <c r="K186" t="s">
        <v>525</v>
      </c>
      <c r="L186" t="s">
        <v>35</v>
      </c>
      <c r="M186" t="str">
        <f>IFERROR(INDEX(Diccionario!$N:$N,MATCH(F90,Diccionario!$C:$C,0)),"")</f>
        <v>Mensual</v>
      </c>
    </row>
    <row r="187" spans="1:13" x14ac:dyDescent="0.3">
      <c r="A187" t="s">
        <v>603</v>
      </c>
      <c r="B187" t="s">
        <v>522</v>
      </c>
      <c r="C187" t="s">
        <v>523</v>
      </c>
      <c r="D187" t="s">
        <v>451</v>
      </c>
      <c r="E187" t="s">
        <v>524</v>
      </c>
      <c r="F187" t="s">
        <v>80</v>
      </c>
      <c r="I187" s="29">
        <v>34975495</v>
      </c>
      <c r="J187" t="s">
        <v>451</v>
      </c>
      <c r="K187" t="s">
        <v>638</v>
      </c>
      <c r="L187" t="s">
        <v>35</v>
      </c>
      <c r="M187" t="s">
        <v>24</v>
      </c>
    </row>
    <row r="188" spans="1:13" x14ac:dyDescent="0.3">
      <c r="A188" t="s">
        <v>603</v>
      </c>
      <c r="B188" t="s">
        <v>522</v>
      </c>
      <c r="C188" t="s">
        <v>523</v>
      </c>
      <c r="D188" t="s">
        <v>451</v>
      </c>
      <c r="E188" t="s">
        <v>524</v>
      </c>
      <c r="F188" t="s">
        <v>72</v>
      </c>
      <c r="I188" s="29">
        <v>718109664</v>
      </c>
      <c r="J188" t="s">
        <v>451</v>
      </c>
      <c r="K188" t="s">
        <v>636</v>
      </c>
      <c r="L188" t="s">
        <v>35</v>
      </c>
      <c r="M188" t="s">
        <v>24</v>
      </c>
    </row>
    <row r="189" spans="1:13" x14ac:dyDescent="0.3">
      <c r="A189" t="s">
        <v>603</v>
      </c>
      <c r="B189" t="s">
        <v>522</v>
      </c>
      <c r="C189" t="s">
        <v>523</v>
      </c>
      <c r="D189" t="s">
        <v>451</v>
      </c>
      <c r="E189" t="s">
        <v>524</v>
      </c>
      <c r="F189" t="s">
        <v>406</v>
      </c>
      <c r="I189" s="29">
        <v>751453314</v>
      </c>
      <c r="J189" t="s">
        <v>451</v>
      </c>
      <c r="K189" t="s">
        <v>635</v>
      </c>
      <c r="L189" t="s">
        <v>35</v>
      </c>
      <c r="M189" t="s">
        <v>24</v>
      </c>
    </row>
    <row r="190" spans="1:13" x14ac:dyDescent="0.3">
      <c r="A190" t="s">
        <v>603</v>
      </c>
      <c r="B190" t="s">
        <v>522</v>
      </c>
      <c r="C190" t="s">
        <v>523</v>
      </c>
      <c r="D190" t="s">
        <v>451</v>
      </c>
      <c r="E190" t="s">
        <v>524</v>
      </c>
      <c r="F190" t="s">
        <v>76</v>
      </c>
      <c r="I190" s="29">
        <v>33343650</v>
      </c>
      <c r="J190" t="s">
        <v>451</v>
      </c>
      <c r="K190" t="s">
        <v>637</v>
      </c>
      <c r="L190" t="s">
        <v>35</v>
      </c>
      <c r="M190" t="s">
        <v>24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34"/>
  <sheetViews>
    <sheetView workbookViewId="0"/>
  </sheetViews>
  <sheetFormatPr defaultColWidth="8.6640625" defaultRowHeight="14.4" x14ac:dyDescent="0.3"/>
  <cols>
    <col min="1" max="1" width="9" customWidth="1"/>
    <col min="2" max="2" width="12" customWidth="1"/>
    <col min="3" max="3" width="14" customWidth="1"/>
    <col min="4" max="4" width="7" customWidth="1"/>
    <col min="5" max="5" width="9" customWidth="1"/>
    <col min="6" max="6" width="26" customWidth="1"/>
    <col min="7" max="7" width="12" customWidth="1"/>
    <col min="8" max="8" width="20" customWidth="1"/>
    <col min="9" max="9" width="16" customWidth="1"/>
    <col min="10" max="10" width="9" customWidth="1"/>
    <col min="11" max="11" width="30" customWidth="1"/>
    <col min="12" max="12" width="14" customWidth="1"/>
    <col min="13" max="13" width="11" customWidth="1"/>
  </cols>
  <sheetData>
    <row r="1" spans="1:13" ht="12.9" customHeight="1" x14ac:dyDescent="0.3">
      <c r="A1" s="37" t="s">
        <v>730</v>
      </c>
    </row>
    <row r="2" spans="1:13" ht="12" customHeight="1" x14ac:dyDescent="0.3">
      <c r="A2" s="28" t="s">
        <v>731</v>
      </c>
    </row>
    <row r="4" spans="1:13" ht="12" customHeight="1" x14ac:dyDescent="0.3">
      <c r="A4" s="35" t="s">
        <v>17</v>
      </c>
      <c r="B4" s="35" t="s">
        <v>27</v>
      </c>
      <c r="C4" s="35" t="s">
        <v>32</v>
      </c>
      <c r="D4" s="35" t="s">
        <v>38</v>
      </c>
      <c r="E4" s="35" t="s">
        <v>44</v>
      </c>
      <c r="F4" s="35" t="s">
        <v>513</v>
      </c>
      <c r="G4" s="35" t="s">
        <v>514</v>
      </c>
      <c r="H4" s="35" t="s">
        <v>515</v>
      </c>
      <c r="I4" s="35" t="s">
        <v>516</v>
      </c>
      <c r="J4" s="35" t="s">
        <v>517</v>
      </c>
      <c r="K4" s="35" t="s">
        <v>518</v>
      </c>
      <c r="L4" s="35" t="s">
        <v>520</v>
      </c>
      <c r="M4" s="35" t="s">
        <v>15</v>
      </c>
    </row>
    <row r="5" spans="1:13" ht="12" customHeight="1" x14ac:dyDescent="0.3">
      <c r="A5" t="s">
        <v>521</v>
      </c>
      <c r="B5" t="s">
        <v>522</v>
      </c>
      <c r="C5" t="s">
        <v>523</v>
      </c>
      <c r="D5" t="s">
        <v>451</v>
      </c>
      <c r="E5" t="s">
        <v>524</v>
      </c>
      <c r="F5" t="s">
        <v>314</v>
      </c>
      <c r="H5" t="s">
        <v>577</v>
      </c>
      <c r="I5" s="29">
        <v>7000000</v>
      </c>
      <c r="J5" t="s">
        <v>451</v>
      </c>
      <c r="L5" t="s">
        <v>36</v>
      </c>
      <c r="M5" t="str">
        <f>IFERROR(INDEX(Diccionario!$N:$N,MATCH(F597,Diccionario!$C:$C,0)),"")</f>
        <v>Mensual</v>
      </c>
    </row>
    <row r="6" spans="1:13" ht="12" customHeight="1" x14ac:dyDescent="0.3">
      <c r="A6" t="s">
        <v>521</v>
      </c>
      <c r="B6" t="s">
        <v>522</v>
      </c>
      <c r="C6" t="s">
        <v>523</v>
      </c>
      <c r="D6" t="s">
        <v>451</v>
      </c>
      <c r="E6" t="s">
        <v>524</v>
      </c>
      <c r="F6" t="s">
        <v>314</v>
      </c>
      <c r="H6" t="s">
        <v>565</v>
      </c>
      <c r="I6" s="29">
        <v>44000000</v>
      </c>
      <c r="J6" t="s">
        <v>451</v>
      </c>
      <c r="L6" t="s">
        <v>36</v>
      </c>
      <c r="M6" t="str">
        <f>IFERROR(INDEX(Diccionario!$N:$N,MATCH(F596,Diccionario!$C:$C,0)),"")</f>
        <v>Mensual</v>
      </c>
    </row>
    <row r="7" spans="1:13" ht="12" customHeight="1" x14ac:dyDescent="0.3">
      <c r="A7" t="s">
        <v>521</v>
      </c>
      <c r="B7" t="s">
        <v>522</v>
      </c>
      <c r="C7" t="s">
        <v>523</v>
      </c>
      <c r="D7" t="s">
        <v>451</v>
      </c>
      <c r="E7" t="s">
        <v>524</v>
      </c>
      <c r="F7" t="s">
        <v>314</v>
      </c>
      <c r="H7" t="s">
        <v>569</v>
      </c>
      <c r="I7" s="29">
        <v>5000000</v>
      </c>
      <c r="J7" t="s">
        <v>451</v>
      </c>
      <c r="L7" t="s">
        <v>36</v>
      </c>
      <c r="M7" t="str">
        <f>IFERROR(INDEX(Diccionario!$N:$N,MATCH(F598,Diccionario!$C:$C,0)),"")</f>
        <v>Mensual</v>
      </c>
    </row>
    <row r="8" spans="1:13" ht="12" customHeight="1" x14ac:dyDescent="0.3">
      <c r="A8" t="s">
        <v>521</v>
      </c>
      <c r="B8" t="s">
        <v>522</v>
      </c>
      <c r="C8" t="s">
        <v>523</v>
      </c>
      <c r="D8" t="s">
        <v>451</v>
      </c>
      <c r="E8" t="s">
        <v>524</v>
      </c>
      <c r="F8" t="s">
        <v>318</v>
      </c>
      <c r="H8" t="s">
        <v>574</v>
      </c>
      <c r="I8" s="29">
        <v>25000000</v>
      </c>
      <c r="J8" t="s">
        <v>451</v>
      </c>
      <c r="L8" t="s">
        <v>36</v>
      </c>
      <c r="M8" t="str">
        <f>IFERROR(INDEX(Diccionario!$N:$N,MATCH(F458,Diccionario!$C:$C,0)),"")</f>
        <v>Mensual</v>
      </c>
    </row>
    <row r="9" spans="1:13" ht="12" customHeight="1" x14ac:dyDescent="0.3">
      <c r="A9" t="s">
        <v>521</v>
      </c>
      <c r="B9" t="s">
        <v>522</v>
      </c>
      <c r="C9" t="s">
        <v>523</v>
      </c>
      <c r="D9" t="s">
        <v>451</v>
      </c>
      <c r="E9" t="s">
        <v>524</v>
      </c>
      <c r="F9" t="s">
        <v>318</v>
      </c>
      <c r="H9" t="s">
        <v>575</v>
      </c>
      <c r="I9" s="29">
        <v>1000000</v>
      </c>
      <c r="J9" t="s">
        <v>451</v>
      </c>
      <c r="L9" t="s">
        <v>36</v>
      </c>
      <c r="M9" t="str">
        <f>IFERROR(INDEX(Diccionario!$N:$N,MATCH(F459,Diccionario!$C:$C,0)),"")</f>
        <v>Mensual</v>
      </c>
    </row>
    <row r="10" spans="1:13" ht="12" customHeight="1" x14ac:dyDescent="0.3">
      <c r="A10" t="s">
        <v>521</v>
      </c>
      <c r="B10" t="s">
        <v>522</v>
      </c>
      <c r="C10" t="s">
        <v>523</v>
      </c>
      <c r="D10" t="s">
        <v>451</v>
      </c>
      <c r="E10" t="s">
        <v>524</v>
      </c>
      <c r="F10" t="s">
        <v>318</v>
      </c>
      <c r="H10" t="s">
        <v>573</v>
      </c>
      <c r="I10" s="29">
        <v>0</v>
      </c>
      <c r="J10" t="s">
        <v>451</v>
      </c>
      <c r="L10" t="s">
        <v>36</v>
      </c>
      <c r="M10" t="str">
        <f>IFERROR(INDEX(Diccionario!$N:$N,MATCH(F457,Diccionario!$C:$C,0)),"")</f>
        <v>Mensual</v>
      </c>
    </row>
    <row r="11" spans="1:13" ht="12" customHeight="1" x14ac:dyDescent="0.3">
      <c r="A11" t="s">
        <v>521</v>
      </c>
      <c r="B11" t="s">
        <v>522</v>
      </c>
      <c r="C11" t="s">
        <v>523</v>
      </c>
      <c r="D11" t="s">
        <v>451</v>
      </c>
      <c r="E11" t="s">
        <v>524</v>
      </c>
      <c r="F11" t="s">
        <v>318</v>
      </c>
      <c r="H11" t="s">
        <v>572</v>
      </c>
      <c r="I11" s="29">
        <v>85000000</v>
      </c>
      <c r="J11" t="s">
        <v>451</v>
      </c>
      <c r="L11" t="s">
        <v>36</v>
      </c>
      <c r="M11" t="str">
        <f>IFERROR(INDEX(Diccionario!$N:$N,MATCH(F456,Diccionario!$C:$C,0)),"")</f>
        <v>Mensual</v>
      </c>
    </row>
    <row r="12" spans="1:13" ht="12" customHeight="1" x14ac:dyDescent="0.3">
      <c r="A12" t="s">
        <v>521</v>
      </c>
      <c r="B12" t="s">
        <v>522</v>
      </c>
      <c r="C12" t="s">
        <v>523</v>
      </c>
      <c r="D12" t="s">
        <v>451</v>
      </c>
      <c r="E12" t="s">
        <v>524</v>
      </c>
      <c r="F12" t="s">
        <v>318</v>
      </c>
      <c r="H12" t="s">
        <v>576</v>
      </c>
      <c r="I12" s="29">
        <v>22000000</v>
      </c>
      <c r="J12" t="s">
        <v>451</v>
      </c>
      <c r="L12" t="s">
        <v>36</v>
      </c>
      <c r="M12" t="str">
        <f>IFERROR(INDEX(Diccionario!$N:$N,MATCH(F460,Diccionario!$C:$C,0)),"")</f>
        <v>Mensual</v>
      </c>
    </row>
    <row r="13" spans="1:13" ht="12" customHeight="1" x14ac:dyDescent="0.3">
      <c r="A13" t="s">
        <v>521</v>
      </c>
      <c r="B13" t="s">
        <v>522</v>
      </c>
      <c r="C13" t="s">
        <v>523</v>
      </c>
      <c r="D13" t="s">
        <v>451</v>
      </c>
      <c r="E13" t="s">
        <v>524</v>
      </c>
      <c r="F13" t="s">
        <v>309</v>
      </c>
      <c r="H13" t="s">
        <v>567</v>
      </c>
      <c r="I13" s="29">
        <v>22000000</v>
      </c>
      <c r="J13" t="s">
        <v>451</v>
      </c>
      <c r="L13" t="s">
        <v>36</v>
      </c>
      <c r="M13" t="str">
        <f>IFERROR(INDEX(Diccionario!$N:$N,MATCH(F256,Diccionario!$C:$C,0)),"")</f>
        <v>Mensual</v>
      </c>
    </row>
    <row r="14" spans="1:13" ht="12" customHeight="1" x14ac:dyDescent="0.3">
      <c r="A14" t="s">
        <v>521</v>
      </c>
      <c r="B14" t="s">
        <v>522</v>
      </c>
      <c r="C14" t="s">
        <v>523</v>
      </c>
      <c r="D14" t="s">
        <v>451</v>
      </c>
      <c r="E14" t="s">
        <v>524</v>
      </c>
      <c r="F14" t="s">
        <v>309</v>
      </c>
      <c r="H14" t="s">
        <v>571</v>
      </c>
      <c r="I14" s="29">
        <v>3000000</v>
      </c>
      <c r="J14" t="s">
        <v>451</v>
      </c>
      <c r="L14" t="s">
        <v>36</v>
      </c>
      <c r="M14" t="str">
        <f>IFERROR(INDEX(Diccionario!$N:$N,MATCH(F260,Diccionario!$C:$C,0)),"")</f>
        <v>Mensual</v>
      </c>
    </row>
    <row r="15" spans="1:13" ht="12" customHeight="1" x14ac:dyDescent="0.3">
      <c r="A15" t="s">
        <v>521</v>
      </c>
      <c r="B15" t="s">
        <v>522</v>
      </c>
      <c r="C15" t="s">
        <v>523</v>
      </c>
      <c r="D15" t="s">
        <v>451</v>
      </c>
      <c r="E15" t="s">
        <v>524</v>
      </c>
      <c r="F15" t="s">
        <v>309</v>
      </c>
      <c r="H15" t="s">
        <v>566</v>
      </c>
      <c r="I15" s="29">
        <v>14000000</v>
      </c>
      <c r="J15" t="s">
        <v>451</v>
      </c>
      <c r="L15" t="s">
        <v>36</v>
      </c>
      <c r="M15" t="str">
        <f>IFERROR(INDEX(Diccionario!$N:$N,MATCH(F255,Diccionario!$C:$C,0)),"")</f>
        <v>Mensual</v>
      </c>
    </row>
    <row r="16" spans="1:13" ht="12" customHeight="1" x14ac:dyDescent="0.3">
      <c r="A16" t="s">
        <v>521</v>
      </c>
      <c r="B16" t="s">
        <v>522</v>
      </c>
      <c r="C16" t="s">
        <v>523</v>
      </c>
      <c r="D16" t="s">
        <v>451</v>
      </c>
      <c r="E16" t="s">
        <v>524</v>
      </c>
      <c r="F16" t="s">
        <v>309</v>
      </c>
      <c r="H16" t="s">
        <v>565</v>
      </c>
      <c r="I16" s="29">
        <v>43000000</v>
      </c>
      <c r="J16" t="s">
        <v>451</v>
      </c>
      <c r="L16" t="s">
        <v>36</v>
      </c>
      <c r="M16" t="str">
        <f>IFERROR(INDEX(Diccionario!$N:$N,MATCH(F254,Diccionario!$C:$C,0)),"")</f>
        <v>Mensual</v>
      </c>
    </row>
    <row r="17" spans="1:13" ht="12" customHeight="1" x14ac:dyDescent="0.3">
      <c r="A17" t="s">
        <v>521</v>
      </c>
      <c r="B17" t="s">
        <v>522</v>
      </c>
      <c r="C17" t="s">
        <v>523</v>
      </c>
      <c r="D17" t="s">
        <v>451</v>
      </c>
      <c r="E17" t="s">
        <v>524</v>
      </c>
      <c r="F17" t="s">
        <v>309</v>
      </c>
      <c r="H17" t="s">
        <v>568</v>
      </c>
      <c r="I17" s="29">
        <v>3000000</v>
      </c>
      <c r="J17" t="s">
        <v>451</v>
      </c>
      <c r="L17" t="s">
        <v>36</v>
      </c>
      <c r="M17" t="str">
        <f>IFERROR(INDEX(Diccionario!$N:$N,MATCH(F257,Diccionario!$C:$C,0)),"")</f>
        <v>Mensual</v>
      </c>
    </row>
    <row r="18" spans="1:13" ht="12" customHeight="1" x14ac:dyDescent="0.3">
      <c r="A18" t="s">
        <v>521</v>
      </c>
      <c r="B18" t="s">
        <v>522</v>
      </c>
      <c r="C18" t="s">
        <v>523</v>
      </c>
      <c r="D18" t="s">
        <v>451</v>
      </c>
      <c r="E18" t="s">
        <v>524</v>
      </c>
      <c r="F18" t="s">
        <v>309</v>
      </c>
      <c r="H18" t="s">
        <v>569</v>
      </c>
      <c r="I18" s="29">
        <v>6000000</v>
      </c>
      <c r="J18" t="s">
        <v>451</v>
      </c>
      <c r="L18" t="s">
        <v>36</v>
      </c>
      <c r="M18" t="str">
        <f>IFERROR(INDEX(Diccionario!$N:$N,MATCH(F258,Diccionario!$C:$C,0)),"")</f>
        <v>Mensual</v>
      </c>
    </row>
    <row r="19" spans="1:13" ht="12" customHeight="1" x14ac:dyDescent="0.3">
      <c r="A19" t="s">
        <v>521</v>
      </c>
      <c r="B19" t="s">
        <v>522</v>
      </c>
      <c r="C19" t="s">
        <v>523</v>
      </c>
      <c r="D19" t="s">
        <v>451</v>
      </c>
      <c r="E19" t="s">
        <v>524</v>
      </c>
      <c r="F19" t="s">
        <v>309</v>
      </c>
      <c r="H19" t="s">
        <v>570</v>
      </c>
      <c r="I19" s="29">
        <v>20000000</v>
      </c>
      <c r="J19" t="s">
        <v>451</v>
      </c>
      <c r="L19" t="s">
        <v>36</v>
      </c>
      <c r="M19" t="str">
        <f>IFERROR(INDEX(Diccionario!$N:$N,MATCH(F259,Diccionario!$C:$C,0)),"")</f>
        <v>Mensual</v>
      </c>
    </row>
    <row r="20" spans="1:13" ht="12" customHeight="1" x14ac:dyDescent="0.3">
      <c r="A20" t="s">
        <v>521</v>
      </c>
      <c r="B20" t="s">
        <v>522</v>
      </c>
      <c r="C20" t="s">
        <v>523</v>
      </c>
      <c r="D20" t="s">
        <v>451</v>
      </c>
      <c r="E20" t="s">
        <v>524</v>
      </c>
      <c r="F20" t="s">
        <v>304</v>
      </c>
      <c r="H20" t="s">
        <v>564</v>
      </c>
      <c r="I20" s="29">
        <v>109000000</v>
      </c>
      <c r="J20" t="s">
        <v>451</v>
      </c>
      <c r="L20" t="s">
        <v>36</v>
      </c>
      <c r="M20" t="str">
        <f>IFERROR(INDEX(Diccionario!$N:$N,MATCH(F118,Diccionario!$C:$C,0)),"")</f>
        <v>Mensual</v>
      </c>
    </row>
    <row r="21" spans="1:13" ht="12" customHeight="1" x14ac:dyDescent="0.3">
      <c r="A21" t="s">
        <v>521</v>
      </c>
      <c r="B21" t="s">
        <v>522</v>
      </c>
      <c r="C21" t="s">
        <v>523</v>
      </c>
      <c r="D21" t="s">
        <v>451</v>
      </c>
      <c r="E21" t="s">
        <v>524</v>
      </c>
      <c r="F21" t="s">
        <v>304</v>
      </c>
      <c r="H21" t="s">
        <v>190</v>
      </c>
      <c r="I21" s="29">
        <v>125000000</v>
      </c>
      <c r="J21" t="s">
        <v>451</v>
      </c>
      <c r="L21" t="s">
        <v>36</v>
      </c>
      <c r="M21" t="str">
        <f>IFERROR(INDEX(Diccionario!$N:$N,MATCH(F117,Diccionario!$C:$C,0)),"")</f>
        <v>Mensual</v>
      </c>
    </row>
    <row r="22" spans="1:13" ht="12" customHeight="1" x14ac:dyDescent="0.3">
      <c r="A22" t="s">
        <v>521</v>
      </c>
      <c r="B22" t="s">
        <v>522</v>
      </c>
      <c r="C22" t="s">
        <v>523</v>
      </c>
      <c r="D22" t="s">
        <v>451</v>
      </c>
      <c r="E22" t="s">
        <v>524</v>
      </c>
      <c r="F22" t="s">
        <v>304</v>
      </c>
      <c r="H22" t="s">
        <v>561</v>
      </c>
      <c r="I22" s="29">
        <v>3000000</v>
      </c>
      <c r="J22" t="s">
        <v>451</v>
      </c>
      <c r="L22" t="s">
        <v>36</v>
      </c>
      <c r="M22" t="str">
        <f>IFERROR(INDEX(Diccionario!$N:$N,MATCH(F114,Diccionario!$C:$C,0)),"")</f>
        <v>Mensual</v>
      </c>
    </row>
    <row r="23" spans="1:13" ht="12" customHeight="1" x14ac:dyDescent="0.3">
      <c r="A23" t="s">
        <v>521</v>
      </c>
      <c r="B23" t="s">
        <v>522</v>
      </c>
      <c r="C23" t="s">
        <v>523</v>
      </c>
      <c r="D23" t="s">
        <v>451</v>
      </c>
      <c r="E23" t="s">
        <v>524</v>
      </c>
      <c r="F23" t="s">
        <v>304</v>
      </c>
      <c r="H23" t="s">
        <v>563</v>
      </c>
      <c r="I23" s="29">
        <v>133000000</v>
      </c>
      <c r="J23" t="s">
        <v>451</v>
      </c>
      <c r="L23" t="s">
        <v>36</v>
      </c>
      <c r="M23" t="str">
        <f>IFERROR(INDEX(Diccionario!$N:$N,MATCH(F116,Diccionario!$C:$C,0)),"")</f>
        <v>Mensual</v>
      </c>
    </row>
    <row r="24" spans="1:13" ht="12" customHeight="1" x14ac:dyDescent="0.3">
      <c r="A24" t="s">
        <v>521</v>
      </c>
      <c r="B24" t="s">
        <v>522</v>
      </c>
      <c r="C24" t="s">
        <v>523</v>
      </c>
      <c r="D24" t="s">
        <v>451</v>
      </c>
      <c r="E24" t="s">
        <v>524</v>
      </c>
      <c r="F24" t="s">
        <v>304</v>
      </c>
      <c r="H24" t="s">
        <v>562</v>
      </c>
      <c r="I24" s="29">
        <v>175000000</v>
      </c>
      <c r="J24" t="s">
        <v>451</v>
      </c>
      <c r="L24" t="s">
        <v>36</v>
      </c>
      <c r="M24" t="str">
        <f>IFERROR(INDEX(Diccionario!$N:$N,MATCH(F115,Diccionario!$C:$C,0)),"")</f>
        <v>Mensual</v>
      </c>
    </row>
    <row r="25" spans="1:13" ht="12" customHeight="1" x14ac:dyDescent="0.3">
      <c r="A25" t="s">
        <v>521</v>
      </c>
      <c r="B25" t="s">
        <v>522</v>
      </c>
      <c r="C25" t="s">
        <v>523</v>
      </c>
      <c r="D25" t="s">
        <v>451</v>
      </c>
      <c r="E25" t="s">
        <v>524</v>
      </c>
      <c r="F25" t="s">
        <v>377</v>
      </c>
      <c r="H25" t="s">
        <v>571</v>
      </c>
      <c r="I25" s="29">
        <v>6000000</v>
      </c>
      <c r="J25" t="s">
        <v>451</v>
      </c>
      <c r="L25" t="s">
        <v>36</v>
      </c>
      <c r="M25" t="str">
        <f>IFERROR(INDEX(Diccionario!$N:$N,MATCH(F833,Diccionario!$C:$C,0)),"")</f>
        <v>Mensual</v>
      </c>
    </row>
    <row r="26" spans="1:13" ht="12" customHeight="1" x14ac:dyDescent="0.3">
      <c r="A26" t="s">
        <v>521</v>
      </c>
      <c r="B26" t="s">
        <v>522</v>
      </c>
      <c r="C26" t="s">
        <v>523</v>
      </c>
      <c r="D26" t="s">
        <v>451</v>
      </c>
      <c r="E26" t="s">
        <v>524</v>
      </c>
      <c r="F26" t="s">
        <v>377</v>
      </c>
      <c r="H26" t="s">
        <v>577</v>
      </c>
      <c r="I26" s="29">
        <v>6000000</v>
      </c>
      <c r="J26" t="s">
        <v>451</v>
      </c>
      <c r="L26" t="s">
        <v>36</v>
      </c>
      <c r="M26" t="str">
        <f>IFERROR(INDEX(Diccionario!$N:$N,MATCH(F829,Diccionario!$C:$C,0)),"")</f>
        <v>Mensual</v>
      </c>
    </row>
    <row r="27" spans="1:13" ht="12" customHeight="1" x14ac:dyDescent="0.3">
      <c r="A27" t="s">
        <v>521</v>
      </c>
      <c r="B27" t="s">
        <v>522</v>
      </c>
      <c r="C27" t="s">
        <v>523</v>
      </c>
      <c r="D27" t="s">
        <v>451</v>
      </c>
      <c r="E27" t="s">
        <v>524</v>
      </c>
      <c r="F27" t="s">
        <v>377</v>
      </c>
      <c r="H27" t="s">
        <v>565</v>
      </c>
      <c r="I27" s="29">
        <v>85000000</v>
      </c>
      <c r="J27" t="s">
        <v>451</v>
      </c>
      <c r="L27" t="s">
        <v>36</v>
      </c>
      <c r="M27" t="str">
        <f>IFERROR(INDEX(Diccionario!$N:$N,MATCH(F828,Diccionario!$C:$C,0)),"")</f>
        <v>Mensual</v>
      </c>
    </row>
    <row r="28" spans="1:13" ht="12" customHeight="1" x14ac:dyDescent="0.3">
      <c r="A28" t="s">
        <v>521</v>
      </c>
      <c r="B28" t="s">
        <v>522</v>
      </c>
      <c r="C28" t="s">
        <v>523</v>
      </c>
      <c r="D28" t="s">
        <v>451</v>
      </c>
      <c r="E28" t="s">
        <v>524</v>
      </c>
      <c r="F28" t="s">
        <v>377</v>
      </c>
      <c r="H28" t="s">
        <v>568</v>
      </c>
      <c r="I28" s="29">
        <v>3000000</v>
      </c>
      <c r="J28" t="s">
        <v>451</v>
      </c>
      <c r="L28" t="s">
        <v>36</v>
      </c>
      <c r="M28" t="str">
        <f>IFERROR(INDEX(Diccionario!$N:$N,MATCH(F830,Diccionario!$C:$C,0)),"")</f>
        <v>Mensual</v>
      </c>
    </row>
    <row r="29" spans="1:13" ht="12" customHeight="1" x14ac:dyDescent="0.3">
      <c r="A29" t="s">
        <v>521</v>
      </c>
      <c r="B29" t="s">
        <v>522</v>
      </c>
      <c r="C29" t="s">
        <v>523</v>
      </c>
      <c r="D29" t="s">
        <v>451</v>
      </c>
      <c r="E29" t="s">
        <v>524</v>
      </c>
      <c r="F29" t="s">
        <v>377</v>
      </c>
      <c r="H29" t="s">
        <v>569</v>
      </c>
      <c r="I29" s="29">
        <v>17000000</v>
      </c>
      <c r="J29" t="s">
        <v>451</v>
      </c>
      <c r="L29" t="s">
        <v>36</v>
      </c>
      <c r="M29" t="str">
        <f>IFERROR(INDEX(Diccionario!$N:$N,MATCH(F831,Diccionario!$C:$C,0)),"")</f>
        <v>Mensual</v>
      </c>
    </row>
    <row r="30" spans="1:13" ht="12" customHeight="1" x14ac:dyDescent="0.3">
      <c r="A30" t="s">
        <v>521</v>
      </c>
      <c r="B30" t="s">
        <v>522</v>
      </c>
      <c r="C30" t="s">
        <v>523</v>
      </c>
      <c r="D30" t="s">
        <v>451</v>
      </c>
      <c r="E30" t="s">
        <v>524</v>
      </c>
      <c r="F30" t="s">
        <v>377</v>
      </c>
      <c r="H30" t="s">
        <v>570</v>
      </c>
      <c r="I30" s="29">
        <v>10000000</v>
      </c>
      <c r="J30" t="s">
        <v>451</v>
      </c>
      <c r="L30" t="s">
        <v>36</v>
      </c>
      <c r="M30" t="str">
        <f>IFERROR(INDEX(Diccionario!$N:$N,MATCH(F832,Diccionario!$C:$C,0)),"")</f>
        <v>Mensual</v>
      </c>
    </row>
    <row r="31" spans="1:13" ht="12" customHeight="1" x14ac:dyDescent="0.3">
      <c r="A31" t="s">
        <v>521</v>
      </c>
      <c r="B31" t="s">
        <v>522</v>
      </c>
      <c r="C31" t="s">
        <v>523</v>
      </c>
      <c r="D31" t="s">
        <v>451</v>
      </c>
      <c r="E31" t="s">
        <v>524</v>
      </c>
      <c r="F31" t="s">
        <v>371</v>
      </c>
      <c r="H31" t="s">
        <v>566</v>
      </c>
      <c r="I31" s="29">
        <v>6000000</v>
      </c>
      <c r="J31" t="s">
        <v>451</v>
      </c>
      <c r="L31" t="s">
        <v>36</v>
      </c>
      <c r="M31" t="str">
        <f>IFERROR(INDEX(Diccionario!$N:$N,MATCH(F717,Diccionario!$C:$C,0)),"")</f>
        <v>Mensual</v>
      </c>
    </row>
    <row r="32" spans="1:13" ht="12" customHeight="1" x14ac:dyDescent="0.3">
      <c r="A32" t="s">
        <v>521</v>
      </c>
      <c r="B32" t="s">
        <v>522</v>
      </c>
      <c r="C32" t="s">
        <v>523</v>
      </c>
      <c r="D32" t="s">
        <v>451</v>
      </c>
      <c r="E32" t="s">
        <v>524</v>
      </c>
      <c r="F32" t="s">
        <v>371</v>
      </c>
      <c r="H32" t="s">
        <v>565</v>
      </c>
      <c r="I32" s="29">
        <v>102000000</v>
      </c>
      <c r="J32" t="s">
        <v>451</v>
      </c>
      <c r="L32" t="s">
        <v>36</v>
      </c>
      <c r="M32" t="str">
        <f>IFERROR(INDEX(Diccionario!$N:$N,MATCH(F716,Diccionario!$C:$C,0)),"")</f>
        <v>Mensual</v>
      </c>
    </row>
    <row r="33" spans="1:13" ht="12" customHeight="1" x14ac:dyDescent="0.3">
      <c r="A33" t="s">
        <v>521</v>
      </c>
      <c r="B33" t="s">
        <v>522</v>
      </c>
      <c r="C33" t="s">
        <v>523</v>
      </c>
      <c r="D33" t="s">
        <v>451</v>
      </c>
      <c r="E33" t="s">
        <v>524</v>
      </c>
      <c r="F33" t="s">
        <v>371</v>
      </c>
      <c r="H33" t="s">
        <v>569</v>
      </c>
      <c r="I33" s="29">
        <v>9000000</v>
      </c>
      <c r="J33" t="s">
        <v>451</v>
      </c>
      <c r="L33" t="s">
        <v>36</v>
      </c>
      <c r="M33" t="str">
        <f>IFERROR(INDEX(Diccionario!$N:$N,MATCH(F718,Diccionario!$C:$C,0)),"")</f>
        <v>Mensual</v>
      </c>
    </row>
    <row r="34" spans="1:13" ht="12" customHeight="1" x14ac:dyDescent="0.3">
      <c r="A34" t="s">
        <v>521</v>
      </c>
      <c r="B34" t="s">
        <v>522</v>
      </c>
      <c r="C34" t="s">
        <v>523</v>
      </c>
      <c r="D34" t="s">
        <v>451</v>
      </c>
      <c r="E34" t="s">
        <v>524</v>
      </c>
      <c r="F34" t="s">
        <v>371</v>
      </c>
      <c r="H34" t="s">
        <v>570</v>
      </c>
      <c r="I34" s="29">
        <v>1000000</v>
      </c>
      <c r="J34" t="s">
        <v>451</v>
      </c>
      <c r="L34" t="s">
        <v>36</v>
      </c>
      <c r="M34" t="str">
        <f>IFERROR(INDEX(Diccionario!$N:$N,MATCH(F719,Diccionario!$C:$C,0)),"")</f>
        <v>Mensual</v>
      </c>
    </row>
    <row r="35" spans="1:13" ht="12" customHeight="1" x14ac:dyDescent="0.3">
      <c r="A35" t="s">
        <v>526</v>
      </c>
      <c r="B35" t="s">
        <v>522</v>
      </c>
      <c r="C35" t="s">
        <v>523</v>
      </c>
      <c r="D35" t="s">
        <v>451</v>
      </c>
      <c r="E35" t="s">
        <v>524</v>
      </c>
      <c r="F35" t="s">
        <v>314</v>
      </c>
      <c r="H35" t="s">
        <v>577</v>
      </c>
      <c r="I35" s="29">
        <v>0</v>
      </c>
      <c r="J35" t="s">
        <v>451</v>
      </c>
      <c r="L35" t="s">
        <v>36</v>
      </c>
      <c r="M35" t="str">
        <f>IFERROR(INDEX(Diccionario!$N:$N,MATCH(F600,Diccionario!$C:$C,0)),"")</f>
        <v>Mensual</v>
      </c>
    </row>
    <row r="36" spans="1:13" ht="12" customHeight="1" x14ac:dyDescent="0.3">
      <c r="A36" t="s">
        <v>526</v>
      </c>
      <c r="B36" t="s">
        <v>522</v>
      </c>
      <c r="C36" t="s">
        <v>523</v>
      </c>
      <c r="D36" t="s">
        <v>451</v>
      </c>
      <c r="E36" t="s">
        <v>524</v>
      </c>
      <c r="F36" t="s">
        <v>314</v>
      </c>
      <c r="H36" t="s">
        <v>565</v>
      </c>
      <c r="I36" s="29">
        <v>45000000</v>
      </c>
      <c r="J36" t="s">
        <v>451</v>
      </c>
      <c r="L36" t="s">
        <v>36</v>
      </c>
      <c r="M36" t="str">
        <f>IFERROR(INDEX(Diccionario!$N:$N,MATCH(F599,Diccionario!$C:$C,0)),"")</f>
        <v>Mensual</v>
      </c>
    </row>
    <row r="37" spans="1:13" ht="12" customHeight="1" x14ac:dyDescent="0.3">
      <c r="A37" t="s">
        <v>526</v>
      </c>
      <c r="B37" t="s">
        <v>522</v>
      </c>
      <c r="C37" t="s">
        <v>523</v>
      </c>
      <c r="D37" t="s">
        <v>451</v>
      </c>
      <c r="E37" t="s">
        <v>524</v>
      </c>
      <c r="F37" t="s">
        <v>314</v>
      </c>
      <c r="H37" t="s">
        <v>569</v>
      </c>
      <c r="I37" s="29">
        <v>6000000</v>
      </c>
      <c r="J37" t="s">
        <v>451</v>
      </c>
      <c r="L37" t="s">
        <v>36</v>
      </c>
      <c r="M37" t="str">
        <f>IFERROR(INDEX(Diccionario!$N:$N,MATCH(F601,Diccionario!$C:$C,0)),"")</f>
        <v>Mensual</v>
      </c>
    </row>
    <row r="38" spans="1:13" ht="12" customHeight="1" x14ac:dyDescent="0.3">
      <c r="A38" t="s">
        <v>526</v>
      </c>
      <c r="B38" t="s">
        <v>522</v>
      </c>
      <c r="C38" t="s">
        <v>523</v>
      </c>
      <c r="D38" t="s">
        <v>451</v>
      </c>
      <c r="E38" t="s">
        <v>524</v>
      </c>
      <c r="F38" t="s">
        <v>318</v>
      </c>
      <c r="H38" t="s">
        <v>574</v>
      </c>
      <c r="I38" s="29">
        <v>17000000</v>
      </c>
      <c r="J38" t="s">
        <v>451</v>
      </c>
      <c r="L38" t="s">
        <v>36</v>
      </c>
      <c r="M38" t="str">
        <f>IFERROR(INDEX(Diccionario!$N:$N,MATCH(F463,Diccionario!$C:$C,0)),"")</f>
        <v>Mensual</v>
      </c>
    </row>
    <row r="39" spans="1:13" ht="12" customHeight="1" x14ac:dyDescent="0.3">
      <c r="A39" t="s">
        <v>526</v>
      </c>
      <c r="B39" t="s">
        <v>522</v>
      </c>
      <c r="C39" t="s">
        <v>523</v>
      </c>
      <c r="D39" t="s">
        <v>451</v>
      </c>
      <c r="E39" t="s">
        <v>524</v>
      </c>
      <c r="F39" t="s">
        <v>318</v>
      </c>
      <c r="H39" t="s">
        <v>575</v>
      </c>
      <c r="I39" s="29">
        <v>1000000</v>
      </c>
      <c r="J39" t="s">
        <v>451</v>
      </c>
      <c r="L39" t="s">
        <v>36</v>
      </c>
      <c r="M39" t="str">
        <f>IFERROR(INDEX(Diccionario!$N:$N,MATCH(F464,Diccionario!$C:$C,0)),"")</f>
        <v>Mensual</v>
      </c>
    </row>
    <row r="40" spans="1:13" ht="12" customHeight="1" x14ac:dyDescent="0.3">
      <c r="A40" t="s">
        <v>526</v>
      </c>
      <c r="B40" t="s">
        <v>522</v>
      </c>
      <c r="C40" t="s">
        <v>523</v>
      </c>
      <c r="D40" t="s">
        <v>451</v>
      </c>
      <c r="E40" t="s">
        <v>524</v>
      </c>
      <c r="F40" t="s">
        <v>318</v>
      </c>
      <c r="H40" t="s">
        <v>573</v>
      </c>
      <c r="I40" s="29">
        <v>0</v>
      </c>
      <c r="J40" t="s">
        <v>451</v>
      </c>
      <c r="L40" t="s">
        <v>36</v>
      </c>
      <c r="M40" t="str">
        <f>IFERROR(INDEX(Diccionario!$N:$N,MATCH(F462,Diccionario!$C:$C,0)),"")</f>
        <v>Mensual</v>
      </c>
    </row>
    <row r="41" spans="1:13" ht="12" customHeight="1" x14ac:dyDescent="0.3">
      <c r="A41" t="s">
        <v>526</v>
      </c>
      <c r="B41" t="s">
        <v>522</v>
      </c>
      <c r="C41" t="s">
        <v>523</v>
      </c>
      <c r="D41" t="s">
        <v>451</v>
      </c>
      <c r="E41" t="s">
        <v>524</v>
      </c>
      <c r="F41" t="s">
        <v>318</v>
      </c>
      <c r="H41" t="s">
        <v>572</v>
      </c>
      <c r="I41" s="29">
        <v>92000000</v>
      </c>
      <c r="J41" t="s">
        <v>451</v>
      </c>
      <c r="L41" t="s">
        <v>36</v>
      </c>
      <c r="M41" t="str">
        <f>IFERROR(INDEX(Diccionario!$N:$N,MATCH(F461,Diccionario!$C:$C,0)),"")</f>
        <v>Mensual</v>
      </c>
    </row>
    <row r="42" spans="1:13" ht="12" customHeight="1" x14ac:dyDescent="0.3">
      <c r="A42" t="s">
        <v>526</v>
      </c>
      <c r="B42" t="s">
        <v>522</v>
      </c>
      <c r="C42" t="s">
        <v>523</v>
      </c>
      <c r="D42" t="s">
        <v>451</v>
      </c>
      <c r="E42" t="s">
        <v>524</v>
      </c>
      <c r="F42" t="s">
        <v>318</v>
      </c>
      <c r="H42" t="s">
        <v>576</v>
      </c>
      <c r="I42" s="29">
        <v>5000000</v>
      </c>
      <c r="J42" t="s">
        <v>451</v>
      </c>
      <c r="L42" t="s">
        <v>36</v>
      </c>
      <c r="M42" t="str">
        <f>IFERROR(INDEX(Diccionario!$N:$N,MATCH(F465,Diccionario!$C:$C,0)),"")</f>
        <v>Mensual</v>
      </c>
    </row>
    <row r="43" spans="1:13" ht="12" customHeight="1" x14ac:dyDescent="0.3">
      <c r="A43" t="s">
        <v>526</v>
      </c>
      <c r="B43" t="s">
        <v>522</v>
      </c>
      <c r="C43" t="s">
        <v>523</v>
      </c>
      <c r="D43" t="s">
        <v>451</v>
      </c>
      <c r="E43" t="s">
        <v>524</v>
      </c>
      <c r="F43" t="s">
        <v>309</v>
      </c>
      <c r="H43" t="s">
        <v>567</v>
      </c>
      <c r="I43" s="29">
        <v>22000000</v>
      </c>
      <c r="J43" t="s">
        <v>451</v>
      </c>
      <c r="L43" t="s">
        <v>36</v>
      </c>
      <c r="M43" t="str">
        <f>IFERROR(INDEX(Diccionario!$N:$N,MATCH(F263,Diccionario!$C:$C,0)),"")</f>
        <v>Mensual</v>
      </c>
    </row>
    <row r="44" spans="1:13" ht="12" customHeight="1" x14ac:dyDescent="0.3">
      <c r="A44" t="s">
        <v>526</v>
      </c>
      <c r="B44" t="s">
        <v>522</v>
      </c>
      <c r="C44" t="s">
        <v>523</v>
      </c>
      <c r="D44" t="s">
        <v>451</v>
      </c>
      <c r="E44" t="s">
        <v>524</v>
      </c>
      <c r="F44" t="s">
        <v>309</v>
      </c>
      <c r="H44" t="s">
        <v>571</v>
      </c>
      <c r="I44" s="29">
        <v>2000000</v>
      </c>
      <c r="J44" t="s">
        <v>451</v>
      </c>
      <c r="L44" t="s">
        <v>36</v>
      </c>
      <c r="M44" t="str">
        <f>IFERROR(INDEX(Diccionario!$N:$N,MATCH(F267,Diccionario!$C:$C,0)),"")</f>
        <v>Mensual</v>
      </c>
    </row>
    <row r="45" spans="1:13" ht="12" customHeight="1" x14ac:dyDescent="0.3">
      <c r="A45" t="s">
        <v>526</v>
      </c>
      <c r="B45" t="s">
        <v>522</v>
      </c>
      <c r="C45" t="s">
        <v>523</v>
      </c>
      <c r="D45" t="s">
        <v>451</v>
      </c>
      <c r="E45" t="s">
        <v>524</v>
      </c>
      <c r="F45" t="s">
        <v>309</v>
      </c>
      <c r="H45" t="s">
        <v>566</v>
      </c>
      <c r="I45" s="29">
        <v>16000000</v>
      </c>
      <c r="J45" t="s">
        <v>451</v>
      </c>
      <c r="L45" t="s">
        <v>36</v>
      </c>
      <c r="M45" t="str">
        <f>IFERROR(INDEX(Diccionario!$N:$N,MATCH(F262,Diccionario!$C:$C,0)),"")</f>
        <v>Mensual</v>
      </c>
    </row>
    <row r="46" spans="1:13" ht="12" customHeight="1" x14ac:dyDescent="0.3">
      <c r="A46" t="s">
        <v>526</v>
      </c>
      <c r="B46" t="s">
        <v>522</v>
      </c>
      <c r="C46" t="s">
        <v>523</v>
      </c>
      <c r="D46" t="s">
        <v>451</v>
      </c>
      <c r="E46" t="s">
        <v>524</v>
      </c>
      <c r="F46" t="s">
        <v>309</v>
      </c>
      <c r="H46" t="s">
        <v>565</v>
      </c>
      <c r="I46" s="29">
        <v>44000000</v>
      </c>
      <c r="J46" t="s">
        <v>451</v>
      </c>
      <c r="L46" t="s">
        <v>36</v>
      </c>
      <c r="M46" t="str">
        <f>IFERROR(INDEX(Diccionario!$N:$N,MATCH(F261,Diccionario!$C:$C,0)),"")</f>
        <v>Mensual</v>
      </c>
    </row>
    <row r="47" spans="1:13" ht="12" customHeight="1" x14ac:dyDescent="0.3">
      <c r="A47" t="s">
        <v>526</v>
      </c>
      <c r="B47" t="s">
        <v>522</v>
      </c>
      <c r="C47" t="s">
        <v>523</v>
      </c>
      <c r="D47" t="s">
        <v>451</v>
      </c>
      <c r="E47" t="s">
        <v>524</v>
      </c>
      <c r="F47" t="s">
        <v>309</v>
      </c>
      <c r="H47" t="s">
        <v>568</v>
      </c>
      <c r="I47" s="29">
        <v>2000000</v>
      </c>
      <c r="J47" t="s">
        <v>451</v>
      </c>
      <c r="L47" t="s">
        <v>36</v>
      </c>
      <c r="M47" t="str">
        <f>IFERROR(INDEX(Diccionario!$N:$N,MATCH(F264,Diccionario!$C:$C,0)),"")</f>
        <v>Mensual</v>
      </c>
    </row>
    <row r="48" spans="1:13" ht="12" customHeight="1" x14ac:dyDescent="0.3">
      <c r="A48" t="s">
        <v>526</v>
      </c>
      <c r="B48" t="s">
        <v>522</v>
      </c>
      <c r="C48" t="s">
        <v>523</v>
      </c>
      <c r="D48" t="s">
        <v>451</v>
      </c>
      <c r="E48" t="s">
        <v>524</v>
      </c>
      <c r="F48" t="s">
        <v>309</v>
      </c>
      <c r="H48" t="s">
        <v>569</v>
      </c>
      <c r="I48" s="29">
        <v>6000000</v>
      </c>
      <c r="J48" t="s">
        <v>451</v>
      </c>
      <c r="L48" t="s">
        <v>36</v>
      </c>
      <c r="M48" t="str">
        <f>IFERROR(INDEX(Diccionario!$N:$N,MATCH(F265,Diccionario!$C:$C,0)),"")</f>
        <v>Mensual</v>
      </c>
    </row>
    <row r="49" spans="1:13" ht="12" customHeight="1" x14ac:dyDescent="0.3">
      <c r="A49" t="s">
        <v>526</v>
      </c>
      <c r="B49" t="s">
        <v>522</v>
      </c>
      <c r="C49" t="s">
        <v>523</v>
      </c>
      <c r="D49" t="s">
        <v>451</v>
      </c>
      <c r="E49" t="s">
        <v>524</v>
      </c>
      <c r="F49" t="s">
        <v>309</v>
      </c>
      <c r="H49" t="s">
        <v>570</v>
      </c>
      <c r="I49" s="29">
        <v>24000000</v>
      </c>
      <c r="J49" t="s">
        <v>451</v>
      </c>
      <c r="L49" t="s">
        <v>36</v>
      </c>
      <c r="M49" t="str">
        <f>IFERROR(INDEX(Diccionario!$N:$N,MATCH(F266,Diccionario!$C:$C,0)),"")</f>
        <v>Mensual</v>
      </c>
    </row>
    <row r="50" spans="1:13" ht="12" customHeight="1" x14ac:dyDescent="0.3">
      <c r="A50" t="s">
        <v>526</v>
      </c>
      <c r="B50" t="s">
        <v>522</v>
      </c>
      <c r="C50" t="s">
        <v>523</v>
      </c>
      <c r="D50" t="s">
        <v>451</v>
      </c>
      <c r="E50" t="s">
        <v>524</v>
      </c>
      <c r="F50" t="s">
        <v>304</v>
      </c>
      <c r="H50" t="s">
        <v>564</v>
      </c>
      <c r="I50" s="29">
        <v>124000000</v>
      </c>
      <c r="J50" t="s">
        <v>451</v>
      </c>
      <c r="L50" t="s">
        <v>36</v>
      </c>
      <c r="M50" t="str">
        <f>IFERROR(INDEX(Diccionario!$N:$N,MATCH(F123,Diccionario!$C:$C,0)),"")</f>
        <v>Mensual</v>
      </c>
    </row>
    <row r="51" spans="1:13" ht="12" customHeight="1" x14ac:dyDescent="0.3">
      <c r="A51" t="s">
        <v>526</v>
      </c>
      <c r="B51" t="s">
        <v>522</v>
      </c>
      <c r="C51" t="s">
        <v>523</v>
      </c>
      <c r="D51" t="s">
        <v>451</v>
      </c>
      <c r="E51" t="s">
        <v>524</v>
      </c>
      <c r="F51" t="s">
        <v>304</v>
      </c>
      <c r="H51" t="s">
        <v>190</v>
      </c>
      <c r="I51" s="29">
        <v>112000000</v>
      </c>
      <c r="J51" t="s">
        <v>451</v>
      </c>
      <c r="L51" t="s">
        <v>36</v>
      </c>
      <c r="M51" t="str">
        <f>IFERROR(INDEX(Diccionario!$N:$N,MATCH(F122,Diccionario!$C:$C,0)),"")</f>
        <v>Mensual</v>
      </c>
    </row>
    <row r="52" spans="1:13" ht="12" customHeight="1" x14ac:dyDescent="0.3">
      <c r="A52" t="s">
        <v>526</v>
      </c>
      <c r="B52" t="s">
        <v>522</v>
      </c>
      <c r="C52" t="s">
        <v>523</v>
      </c>
      <c r="D52" t="s">
        <v>451</v>
      </c>
      <c r="E52" t="s">
        <v>524</v>
      </c>
      <c r="F52" t="s">
        <v>304</v>
      </c>
      <c r="H52" t="s">
        <v>561</v>
      </c>
      <c r="I52" s="29">
        <v>3000000</v>
      </c>
      <c r="J52" t="s">
        <v>451</v>
      </c>
      <c r="L52" t="s">
        <v>36</v>
      </c>
      <c r="M52" t="str">
        <f>IFERROR(INDEX(Diccionario!$N:$N,MATCH(F119,Diccionario!$C:$C,0)),"")</f>
        <v>Mensual</v>
      </c>
    </row>
    <row r="53" spans="1:13" ht="12" customHeight="1" x14ac:dyDescent="0.3">
      <c r="A53" t="s">
        <v>526</v>
      </c>
      <c r="B53" t="s">
        <v>522</v>
      </c>
      <c r="C53" t="s">
        <v>523</v>
      </c>
      <c r="D53" t="s">
        <v>451</v>
      </c>
      <c r="E53" t="s">
        <v>524</v>
      </c>
      <c r="F53" t="s">
        <v>304</v>
      </c>
      <c r="H53" t="s">
        <v>563</v>
      </c>
      <c r="I53" s="29">
        <v>115000000</v>
      </c>
      <c r="J53" t="s">
        <v>451</v>
      </c>
      <c r="L53" t="s">
        <v>36</v>
      </c>
      <c r="M53" t="str">
        <f>IFERROR(INDEX(Diccionario!$N:$N,MATCH(F121,Diccionario!$C:$C,0)),"")</f>
        <v>Mensual</v>
      </c>
    </row>
    <row r="54" spans="1:13" ht="12" customHeight="1" x14ac:dyDescent="0.3">
      <c r="A54" t="s">
        <v>526</v>
      </c>
      <c r="B54" t="s">
        <v>522</v>
      </c>
      <c r="C54" t="s">
        <v>523</v>
      </c>
      <c r="D54" t="s">
        <v>451</v>
      </c>
      <c r="E54" t="s">
        <v>524</v>
      </c>
      <c r="F54" t="s">
        <v>304</v>
      </c>
      <c r="H54" t="s">
        <v>562</v>
      </c>
      <c r="I54" s="29">
        <v>161000000</v>
      </c>
      <c r="J54" t="s">
        <v>451</v>
      </c>
      <c r="L54" t="s">
        <v>36</v>
      </c>
      <c r="M54" t="str">
        <f>IFERROR(INDEX(Diccionario!$N:$N,MATCH(F120,Diccionario!$C:$C,0)),"")</f>
        <v>Mensual</v>
      </c>
    </row>
    <row r="55" spans="1:13" ht="12" customHeight="1" x14ac:dyDescent="0.3">
      <c r="A55" t="s">
        <v>526</v>
      </c>
      <c r="B55" t="s">
        <v>522</v>
      </c>
      <c r="C55" t="s">
        <v>523</v>
      </c>
      <c r="D55" t="s">
        <v>451</v>
      </c>
      <c r="E55" t="s">
        <v>524</v>
      </c>
      <c r="F55" t="s">
        <v>377</v>
      </c>
      <c r="H55" t="s">
        <v>571</v>
      </c>
      <c r="I55" s="29">
        <v>3000000</v>
      </c>
      <c r="J55" t="s">
        <v>451</v>
      </c>
      <c r="L55" t="s">
        <v>36</v>
      </c>
      <c r="M55" t="str">
        <f>IFERROR(INDEX(Diccionario!$N:$N,MATCH(F839,Diccionario!$C:$C,0)),"")</f>
        <v>Mensual</v>
      </c>
    </row>
    <row r="56" spans="1:13" ht="12" customHeight="1" x14ac:dyDescent="0.3">
      <c r="A56" t="s">
        <v>526</v>
      </c>
      <c r="B56" t="s">
        <v>522</v>
      </c>
      <c r="C56" t="s">
        <v>523</v>
      </c>
      <c r="D56" t="s">
        <v>451</v>
      </c>
      <c r="E56" t="s">
        <v>524</v>
      </c>
      <c r="F56" t="s">
        <v>377</v>
      </c>
      <c r="H56" t="s">
        <v>577</v>
      </c>
      <c r="I56" s="29">
        <v>3000000</v>
      </c>
      <c r="J56" t="s">
        <v>451</v>
      </c>
      <c r="L56" t="s">
        <v>36</v>
      </c>
      <c r="M56" t="str">
        <f>IFERROR(INDEX(Diccionario!$N:$N,MATCH(F835,Diccionario!$C:$C,0)),"")</f>
        <v>Mensual</v>
      </c>
    </row>
    <row r="57" spans="1:13" ht="12" customHeight="1" x14ac:dyDescent="0.3">
      <c r="A57" t="s">
        <v>526</v>
      </c>
      <c r="B57" t="s">
        <v>522</v>
      </c>
      <c r="C57" t="s">
        <v>523</v>
      </c>
      <c r="D57" t="s">
        <v>451</v>
      </c>
      <c r="E57" t="s">
        <v>524</v>
      </c>
      <c r="F57" t="s">
        <v>377</v>
      </c>
      <c r="H57" t="s">
        <v>565</v>
      </c>
      <c r="I57" s="29">
        <v>83000000</v>
      </c>
      <c r="J57" t="s">
        <v>451</v>
      </c>
      <c r="L57" t="s">
        <v>36</v>
      </c>
      <c r="M57" t="str">
        <f>IFERROR(INDEX(Diccionario!$N:$N,MATCH(F834,Diccionario!$C:$C,0)),"")</f>
        <v>Mensual</v>
      </c>
    </row>
    <row r="58" spans="1:13" ht="12" customHeight="1" x14ac:dyDescent="0.3">
      <c r="A58" t="s">
        <v>526</v>
      </c>
      <c r="B58" t="s">
        <v>522</v>
      </c>
      <c r="C58" t="s">
        <v>523</v>
      </c>
      <c r="D58" t="s">
        <v>451</v>
      </c>
      <c r="E58" t="s">
        <v>524</v>
      </c>
      <c r="F58" t="s">
        <v>377</v>
      </c>
      <c r="H58" t="s">
        <v>568</v>
      </c>
      <c r="I58" s="29">
        <v>2000000</v>
      </c>
      <c r="J58" t="s">
        <v>451</v>
      </c>
      <c r="L58" t="s">
        <v>36</v>
      </c>
      <c r="M58" t="str">
        <f>IFERROR(INDEX(Diccionario!$N:$N,MATCH(F836,Diccionario!$C:$C,0)),"")</f>
        <v>Mensual</v>
      </c>
    </row>
    <row r="59" spans="1:13" ht="12" customHeight="1" x14ac:dyDescent="0.3">
      <c r="A59" t="s">
        <v>526</v>
      </c>
      <c r="B59" t="s">
        <v>522</v>
      </c>
      <c r="C59" t="s">
        <v>523</v>
      </c>
      <c r="D59" t="s">
        <v>451</v>
      </c>
      <c r="E59" t="s">
        <v>524</v>
      </c>
      <c r="F59" t="s">
        <v>377</v>
      </c>
      <c r="H59" t="s">
        <v>569</v>
      </c>
      <c r="I59" s="29">
        <v>11000000</v>
      </c>
      <c r="J59" t="s">
        <v>451</v>
      </c>
      <c r="L59" t="s">
        <v>36</v>
      </c>
      <c r="M59" t="str">
        <f>IFERROR(INDEX(Diccionario!$N:$N,MATCH(F837,Diccionario!$C:$C,0)),"")</f>
        <v>Mensual</v>
      </c>
    </row>
    <row r="60" spans="1:13" ht="12" customHeight="1" x14ac:dyDescent="0.3">
      <c r="A60" t="s">
        <v>526</v>
      </c>
      <c r="B60" t="s">
        <v>522</v>
      </c>
      <c r="C60" t="s">
        <v>523</v>
      </c>
      <c r="D60" t="s">
        <v>451</v>
      </c>
      <c r="E60" t="s">
        <v>524</v>
      </c>
      <c r="F60" t="s">
        <v>377</v>
      </c>
      <c r="H60" t="s">
        <v>570</v>
      </c>
      <c r="I60" s="29">
        <v>10000000</v>
      </c>
      <c r="J60" t="s">
        <v>451</v>
      </c>
      <c r="L60" t="s">
        <v>36</v>
      </c>
      <c r="M60" t="str">
        <f>IFERROR(INDEX(Diccionario!$N:$N,MATCH(F838,Diccionario!$C:$C,0)),"")</f>
        <v>Mensual</v>
      </c>
    </row>
    <row r="61" spans="1:13" ht="12" customHeight="1" x14ac:dyDescent="0.3">
      <c r="A61" t="s">
        <v>526</v>
      </c>
      <c r="B61" t="s">
        <v>522</v>
      </c>
      <c r="C61" t="s">
        <v>523</v>
      </c>
      <c r="D61" t="s">
        <v>451</v>
      </c>
      <c r="E61" t="s">
        <v>524</v>
      </c>
      <c r="F61" t="s">
        <v>371</v>
      </c>
      <c r="H61" t="s">
        <v>566</v>
      </c>
      <c r="I61" s="29">
        <v>6000000</v>
      </c>
      <c r="J61" t="s">
        <v>451</v>
      </c>
      <c r="L61" t="s">
        <v>36</v>
      </c>
      <c r="M61" t="str">
        <f>IFERROR(INDEX(Diccionario!$N:$N,MATCH(F721,Diccionario!$C:$C,0)),"")</f>
        <v>Mensual</v>
      </c>
    </row>
    <row r="62" spans="1:13" ht="12" customHeight="1" x14ac:dyDescent="0.3">
      <c r="A62" t="s">
        <v>526</v>
      </c>
      <c r="B62" t="s">
        <v>522</v>
      </c>
      <c r="C62" t="s">
        <v>523</v>
      </c>
      <c r="D62" t="s">
        <v>451</v>
      </c>
      <c r="E62" t="s">
        <v>524</v>
      </c>
      <c r="F62" t="s">
        <v>371</v>
      </c>
      <c r="H62" t="s">
        <v>565</v>
      </c>
      <c r="I62" s="29">
        <v>99000000</v>
      </c>
      <c r="J62" t="s">
        <v>451</v>
      </c>
      <c r="L62" t="s">
        <v>36</v>
      </c>
      <c r="M62" t="str">
        <f>IFERROR(INDEX(Diccionario!$N:$N,MATCH(F720,Diccionario!$C:$C,0)),"")</f>
        <v>Mensual</v>
      </c>
    </row>
    <row r="63" spans="1:13" ht="12" customHeight="1" x14ac:dyDescent="0.3">
      <c r="A63" t="s">
        <v>526</v>
      </c>
      <c r="B63" t="s">
        <v>522</v>
      </c>
      <c r="C63" t="s">
        <v>523</v>
      </c>
      <c r="D63" t="s">
        <v>451</v>
      </c>
      <c r="E63" t="s">
        <v>524</v>
      </c>
      <c r="F63" t="s">
        <v>371</v>
      </c>
      <c r="H63" t="s">
        <v>569</v>
      </c>
      <c r="I63" s="29">
        <v>2000000</v>
      </c>
      <c r="J63" t="s">
        <v>451</v>
      </c>
      <c r="L63" t="s">
        <v>36</v>
      </c>
      <c r="M63" t="str">
        <f>IFERROR(INDEX(Diccionario!$N:$N,MATCH(F722,Diccionario!$C:$C,0)),"")</f>
        <v>Mensual</v>
      </c>
    </row>
    <row r="64" spans="1:13" ht="12" customHeight="1" x14ac:dyDescent="0.3">
      <c r="A64" t="s">
        <v>526</v>
      </c>
      <c r="B64" t="s">
        <v>522</v>
      </c>
      <c r="C64" t="s">
        <v>523</v>
      </c>
      <c r="D64" t="s">
        <v>451</v>
      </c>
      <c r="E64" t="s">
        <v>524</v>
      </c>
      <c r="F64" t="s">
        <v>371</v>
      </c>
      <c r="H64" t="s">
        <v>570</v>
      </c>
      <c r="I64" s="29">
        <v>0</v>
      </c>
      <c r="J64" t="s">
        <v>451</v>
      </c>
      <c r="L64" t="s">
        <v>36</v>
      </c>
      <c r="M64" t="str">
        <f>IFERROR(INDEX(Diccionario!$N:$N,MATCH(F723,Diccionario!$C:$C,0)),"")</f>
        <v>Mensual</v>
      </c>
    </row>
    <row r="65" spans="1:13" ht="12" customHeight="1" x14ac:dyDescent="0.3">
      <c r="A65" t="s">
        <v>527</v>
      </c>
      <c r="B65" t="s">
        <v>522</v>
      </c>
      <c r="C65" t="s">
        <v>523</v>
      </c>
      <c r="D65" t="s">
        <v>451</v>
      </c>
      <c r="E65" t="s">
        <v>524</v>
      </c>
      <c r="F65" t="s">
        <v>314</v>
      </c>
      <c r="H65" t="s">
        <v>577</v>
      </c>
      <c r="I65" s="29">
        <v>1000000</v>
      </c>
      <c r="J65" t="s">
        <v>451</v>
      </c>
      <c r="L65" t="s">
        <v>36</v>
      </c>
      <c r="M65" t="str">
        <f>IFERROR(INDEX(Diccionario!$N:$N,MATCH(F603,Diccionario!$C:$C,0)),"")</f>
        <v>Mensual</v>
      </c>
    </row>
    <row r="66" spans="1:13" ht="12" customHeight="1" x14ac:dyDescent="0.3">
      <c r="A66" t="s">
        <v>527</v>
      </c>
      <c r="B66" t="s">
        <v>522</v>
      </c>
      <c r="C66" t="s">
        <v>523</v>
      </c>
      <c r="D66" t="s">
        <v>451</v>
      </c>
      <c r="E66" t="s">
        <v>524</v>
      </c>
      <c r="F66" t="s">
        <v>314</v>
      </c>
      <c r="H66" t="s">
        <v>565</v>
      </c>
      <c r="I66" s="29">
        <v>54000000</v>
      </c>
      <c r="J66" t="s">
        <v>451</v>
      </c>
      <c r="L66" t="s">
        <v>36</v>
      </c>
      <c r="M66" t="str">
        <f>IFERROR(INDEX(Diccionario!$N:$N,MATCH(F602,Diccionario!$C:$C,0)),"")</f>
        <v>Mensual</v>
      </c>
    </row>
    <row r="67" spans="1:13" ht="12" customHeight="1" x14ac:dyDescent="0.3">
      <c r="A67" t="s">
        <v>527</v>
      </c>
      <c r="B67" t="s">
        <v>522</v>
      </c>
      <c r="C67" t="s">
        <v>523</v>
      </c>
      <c r="D67" t="s">
        <v>451</v>
      </c>
      <c r="E67" t="s">
        <v>524</v>
      </c>
      <c r="F67" t="s">
        <v>314</v>
      </c>
      <c r="H67" t="s">
        <v>569</v>
      </c>
      <c r="I67" s="29">
        <v>4000000</v>
      </c>
      <c r="J67" t="s">
        <v>451</v>
      </c>
      <c r="L67" t="s">
        <v>36</v>
      </c>
      <c r="M67" t="str">
        <f>IFERROR(INDEX(Diccionario!$N:$N,MATCH(F604,Diccionario!$C:$C,0)),"")</f>
        <v>Mensual</v>
      </c>
    </row>
    <row r="68" spans="1:13" ht="12" customHeight="1" x14ac:dyDescent="0.3">
      <c r="A68" t="s">
        <v>527</v>
      </c>
      <c r="B68" t="s">
        <v>522</v>
      </c>
      <c r="C68" t="s">
        <v>523</v>
      </c>
      <c r="D68" t="s">
        <v>451</v>
      </c>
      <c r="E68" t="s">
        <v>524</v>
      </c>
      <c r="F68" t="s">
        <v>318</v>
      </c>
      <c r="H68" t="s">
        <v>574</v>
      </c>
      <c r="I68" s="29">
        <v>21000000</v>
      </c>
      <c r="J68" t="s">
        <v>451</v>
      </c>
      <c r="L68" t="s">
        <v>36</v>
      </c>
      <c r="M68" t="str">
        <f>IFERROR(INDEX(Diccionario!$N:$N,MATCH(F468,Diccionario!$C:$C,0)),"")</f>
        <v>Mensual</v>
      </c>
    </row>
    <row r="69" spans="1:13" ht="12" customHeight="1" x14ac:dyDescent="0.3">
      <c r="A69" t="s">
        <v>527</v>
      </c>
      <c r="B69" t="s">
        <v>522</v>
      </c>
      <c r="C69" t="s">
        <v>523</v>
      </c>
      <c r="D69" t="s">
        <v>451</v>
      </c>
      <c r="E69" t="s">
        <v>524</v>
      </c>
      <c r="F69" t="s">
        <v>318</v>
      </c>
      <c r="H69" t="s">
        <v>575</v>
      </c>
      <c r="I69" s="29">
        <v>3000000</v>
      </c>
      <c r="J69" t="s">
        <v>451</v>
      </c>
      <c r="L69" t="s">
        <v>36</v>
      </c>
      <c r="M69" t="str">
        <f>IFERROR(INDEX(Diccionario!$N:$N,MATCH(F469,Diccionario!$C:$C,0)),"")</f>
        <v>Mensual</v>
      </c>
    </row>
    <row r="70" spans="1:13" ht="12" customHeight="1" x14ac:dyDescent="0.3">
      <c r="A70" t="s">
        <v>527</v>
      </c>
      <c r="B70" t="s">
        <v>522</v>
      </c>
      <c r="C70" t="s">
        <v>523</v>
      </c>
      <c r="D70" t="s">
        <v>451</v>
      </c>
      <c r="E70" t="s">
        <v>524</v>
      </c>
      <c r="F70" t="s">
        <v>318</v>
      </c>
      <c r="H70" t="s">
        <v>573</v>
      </c>
      <c r="I70" s="29">
        <v>0</v>
      </c>
      <c r="J70" t="s">
        <v>451</v>
      </c>
      <c r="L70" t="s">
        <v>36</v>
      </c>
      <c r="M70" t="str">
        <f>IFERROR(INDEX(Diccionario!$N:$N,MATCH(F467,Diccionario!$C:$C,0)),"")</f>
        <v>Mensual</v>
      </c>
    </row>
    <row r="71" spans="1:13" ht="12" customHeight="1" x14ac:dyDescent="0.3">
      <c r="A71" t="s">
        <v>527</v>
      </c>
      <c r="B71" t="s">
        <v>522</v>
      </c>
      <c r="C71" t="s">
        <v>523</v>
      </c>
      <c r="D71" t="s">
        <v>451</v>
      </c>
      <c r="E71" t="s">
        <v>524</v>
      </c>
      <c r="F71" t="s">
        <v>318</v>
      </c>
      <c r="H71" t="s">
        <v>572</v>
      </c>
      <c r="I71" s="29">
        <v>110000000</v>
      </c>
      <c r="J71" t="s">
        <v>451</v>
      </c>
      <c r="L71" t="s">
        <v>36</v>
      </c>
      <c r="M71" t="str">
        <f>IFERROR(INDEX(Diccionario!$N:$N,MATCH(F466,Diccionario!$C:$C,0)),"")</f>
        <v>Mensual</v>
      </c>
    </row>
    <row r="72" spans="1:13" ht="12" customHeight="1" x14ac:dyDescent="0.3">
      <c r="A72" t="s">
        <v>527</v>
      </c>
      <c r="B72" t="s">
        <v>522</v>
      </c>
      <c r="C72" t="s">
        <v>523</v>
      </c>
      <c r="D72" t="s">
        <v>451</v>
      </c>
      <c r="E72" t="s">
        <v>524</v>
      </c>
      <c r="F72" t="s">
        <v>318</v>
      </c>
      <c r="H72" t="s">
        <v>576</v>
      </c>
      <c r="I72" s="29">
        <v>5000000</v>
      </c>
      <c r="J72" t="s">
        <v>451</v>
      </c>
      <c r="L72" t="s">
        <v>36</v>
      </c>
      <c r="M72" t="str">
        <f>IFERROR(INDEX(Diccionario!$N:$N,MATCH(F470,Diccionario!$C:$C,0)),"")</f>
        <v>Mensual</v>
      </c>
    </row>
    <row r="73" spans="1:13" ht="12" customHeight="1" x14ac:dyDescent="0.3">
      <c r="A73" t="s">
        <v>527</v>
      </c>
      <c r="B73" t="s">
        <v>522</v>
      </c>
      <c r="C73" t="s">
        <v>523</v>
      </c>
      <c r="D73" t="s">
        <v>451</v>
      </c>
      <c r="E73" t="s">
        <v>524</v>
      </c>
      <c r="F73" t="s">
        <v>309</v>
      </c>
      <c r="H73" t="s">
        <v>567</v>
      </c>
      <c r="I73" s="29">
        <v>19000000</v>
      </c>
      <c r="J73" t="s">
        <v>451</v>
      </c>
      <c r="L73" t="s">
        <v>36</v>
      </c>
      <c r="M73" t="str">
        <f>IFERROR(INDEX(Diccionario!$N:$N,MATCH(F270,Diccionario!$C:$C,0)),"")</f>
        <v>Mensual</v>
      </c>
    </row>
    <row r="74" spans="1:13" ht="12" customHeight="1" x14ac:dyDescent="0.3">
      <c r="A74" t="s">
        <v>527</v>
      </c>
      <c r="B74" t="s">
        <v>522</v>
      </c>
      <c r="C74" t="s">
        <v>523</v>
      </c>
      <c r="D74" t="s">
        <v>451</v>
      </c>
      <c r="E74" t="s">
        <v>524</v>
      </c>
      <c r="F74" t="s">
        <v>309</v>
      </c>
      <c r="H74" t="s">
        <v>571</v>
      </c>
      <c r="I74" s="29">
        <v>6000000</v>
      </c>
      <c r="J74" t="s">
        <v>451</v>
      </c>
      <c r="L74" t="s">
        <v>36</v>
      </c>
      <c r="M74" t="str">
        <f>IFERROR(INDEX(Diccionario!$N:$N,MATCH(F274,Diccionario!$C:$C,0)),"")</f>
        <v>Mensual</v>
      </c>
    </row>
    <row r="75" spans="1:13" ht="12" customHeight="1" x14ac:dyDescent="0.3">
      <c r="A75" t="s">
        <v>527</v>
      </c>
      <c r="B75" t="s">
        <v>522</v>
      </c>
      <c r="C75" t="s">
        <v>523</v>
      </c>
      <c r="D75" t="s">
        <v>451</v>
      </c>
      <c r="E75" t="s">
        <v>524</v>
      </c>
      <c r="F75" t="s">
        <v>309</v>
      </c>
      <c r="H75" t="s">
        <v>566</v>
      </c>
      <c r="I75" s="29">
        <v>18000000</v>
      </c>
      <c r="J75" t="s">
        <v>451</v>
      </c>
      <c r="L75" t="s">
        <v>36</v>
      </c>
      <c r="M75" t="str">
        <f>IFERROR(INDEX(Diccionario!$N:$N,MATCH(F269,Diccionario!$C:$C,0)),"")</f>
        <v>Mensual</v>
      </c>
    </row>
    <row r="76" spans="1:13" ht="12" customHeight="1" x14ac:dyDescent="0.3">
      <c r="A76" t="s">
        <v>527</v>
      </c>
      <c r="B76" t="s">
        <v>522</v>
      </c>
      <c r="C76" t="s">
        <v>523</v>
      </c>
      <c r="D76" t="s">
        <v>451</v>
      </c>
      <c r="E76" t="s">
        <v>524</v>
      </c>
      <c r="F76" t="s">
        <v>309</v>
      </c>
      <c r="H76" t="s">
        <v>565</v>
      </c>
      <c r="I76" s="29">
        <v>69000000</v>
      </c>
      <c r="J76" t="s">
        <v>451</v>
      </c>
      <c r="L76" t="s">
        <v>36</v>
      </c>
      <c r="M76" t="str">
        <f>IFERROR(INDEX(Diccionario!$N:$N,MATCH(F268,Diccionario!$C:$C,0)),"")</f>
        <v>Mensual</v>
      </c>
    </row>
    <row r="77" spans="1:13" ht="12" customHeight="1" x14ac:dyDescent="0.3">
      <c r="A77" t="s">
        <v>527</v>
      </c>
      <c r="B77" t="s">
        <v>522</v>
      </c>
      <c r="C77" t="s">
        <v>523</v>
      </c>
      <c r="D77" t="s">
        <v>451</v>
      </c>
      <c r="E77" t="s">
        <v>524</v>
      </c>
      <c r="F77" t="s">
        <v>309</v>
      </c>
      <c r="H77" t="s">
        <v>568</v>
      </c>
      <c r="I77" s="29">
        <v>2000000</v>
      </c>
      <c r="J77" t="s">
        <v>451</v>
      </c>
      <c r="L77" t="s">
        <v>36</v>
      </c>
      <c r="M77" t="str">
        <f>IFERROR(INDEX(Diccionario!$N:$N,MATCH(F271,Diccionario!$C:$C,0)),"")</f>
        <v>Mensual</v>
      </c>
    </row>
    <row r="78" spans="1:13" ht="12" customHeight="1" x14ac:dyDescent="0.3">
      <c r="A78" t="s">
        <v>527</v>
      </c>
      <c r="B78" t="s">
        <v>522</v>
      </c>
      <c r="C78" t="s">
        <v>523</v>
      </c>
      <c r="D78" t="s">
        <v>451</v>
      </c>
      <c r="E78" t="s">
        <v>524</v>
      </c>
      <c r="F78" t="s">
        <v>309</v>
      </c>
      <c r="H78" t="s">
        <v>569</v>
      </c>
      <c r="I78" s="29">
        <v>1000000</v>
      </c>
      <c r="J78" t="s">
        <v>451</v>
      </c>
      <c r="L78" t="s">
        <v>36</v>
      </c>
      <c r="M78" t="str">
        <f>IFERROR(INDEX(Diccionario!$N:$N,MATCH(F272,Diccionario!$C:$C,0)),"")</f>
        <v>Mensual</v>
      </c>
    </row>
    <row r="79" spans="1:13" ht="12" customHeight="1" x14ac:dyDescent="0.3">
      <c r="A79" t="s">
        <v>527</v>
      </c>
      <c r="B79" t="s">
        <v>522</v>
      </c>
      <c r="C79" t="s">
        <v>523</v>
      </c>
      <c r="D79" t="s">
        <v>451</v>
      </c>
      <c r="E79" t="s">
        <v>524</v>
      </c>
      <c r="F79" t="s">
        <v>309</v>
      </c>
      <c r="H79" t="s">
        <v>570</v>
      </c>
      <c r="I79" s="29">
        <v>7000000</v>
      </c>
      <c r="J79" t="s">
        <v>451</v>
      </c>
      <c r="L79" t="s">
        <v>36</v>
      </c>
      <c r="M79" t="str">
        <f>IFERROR(INDEX(Diccionario!$N:$N,MATCH(F273,Diccionario!$C:$C,0)),"")</f>
        <v>Mensual</v>
      </c>
    </row>
    <row r="80" spans="1:13" ht="12" customHeight="1" x14ac:dyDescent="0.3">
      <c r="A80" t="s">
        <v>527</v>
      </c>
      <c r="B80" t="s">
        <v>522</v>
      </c>
      <c r="C80" t="s">
        <v>523</v>
      </c>
      <c r="D80" t="s">
        <v>451</v>
      </c>
      <c r="E80" t="s">
        <v>524</v>
      </c>
      <c r="F80" t="s">
        <v>304</v>
      </c>
      <c r="H80" t="s">
        <v>564</v>
      </c>
      <c r="I80" s="29">
        <v>125000000</v>
      </c>
      <c r="J80" t="s">
        <v>451</v>
      </c>
      <c r="L80" t="s">
        <v>36</v>
      </c>
      <c r="M80" t="str">
        <f>IFERROR(INDEX(Diccionario!$N:$N,MATCH(F128,Diccionario!$C:$C,0)),"")</f>
        <v>Mensual</v>
      </c>
    </row>
    <row r="81" spans="1:13" ht="12" customHeight="1" x14ac:dyDescent="0.3">
      <c r="A81" t="s">
        <v>527</v>
      </c>
      <c r="B81" t="s">
        <v>522</v>
      </c>
      <c r="C81" t="s">
        <v>523</v>
      </c>
      <c r="D81" t="s">
        <v>451</v>
      </c>
      <c r="E81" t="s">
        <v>524</v>
      </c>
      <c r="F81" t="s">
        <v>304</v>
      </c>
      <c r="H81" t="s">
        <v>190</v>
      </c>
      <c r="I81" s="29">
        <v>132000000</v>
      </c>
      <c r="J81" t="s">
        <v>451</v>
      </c>
      <c r="L81" t="s">
        <v>36</v>
      </c>
      <c r="M81" t="str">
        <f>IFERROR(INDEX(Diccionario!$N:$N,MATCH(F127,Diccionario!$C:$C,0)),"")</f>
        <v>Mensual</v>
      </c>
    </row>
    <row r="82" spans="1:13" ht="12" customHeight="1" x14ac:dyDescent="0.3">
      <c r="A82" t="s">
        <v>527</v>
      </c>
      <c r="B82" t="s">
        <v>522</v>
      </c>
      <c r="C82" t="s">
        <v>523</v>
      </c>
      <c r="D82" t="s">
        <v>451</v>
      </c>
      <c r="E82" t="s">
        <v>524</v>
      </c>
      <c r="F82" t="s">
        <v>304</v>
      </c>
      <c r="H82" t="s">
        <v>561</v>
      </c>
      <c r="I82" s="29">
        <v>3000000</v>
      </c>
      <c r="J82" t="s">
        <v>451</v>
      </c>
      <c r="L82" t="s">
        <v>36</v>
      </c>
      <c r="M82" t="str">
        <f>IFERROR(INDEX(Diccionario!$N:$N,MATCH(F124,Diccionario!$C:$C,0)),"")</f>
        <v>Mensual</v>
      </c>
    </row>
    <row r="83" spans="1:13" ht="12" customHeight="1" x14ac:dyDescent="0.3">
      <c r="A83" t="s">
        <v>527</v>
      </c>
      <c r="B83" t="s">
        <v>522</v>
      </c>
      <c r="C83" t="s">
        <v>523</v>
      </c>
      <c r="D83" t="s">
        <v>451</v>
      </c>
      <c r="E83" t="s">
        <v>524</v>
      </c>
      <c r="F83" t="s">
        <v>304</v>
      </c>
      <c r="H83" t="s">
        <v>563</v>
      </c>
      <c r="I83" s="29">
        <v>130000000</v>
      </c>
      <c r="J83" t="s">
        <v>451</v>
      </c>
      <c r="L83" t="s">
        <v>36</v>
      </c>
      <c r="M83" t="str">
        <f>IFERROR(INDEX(Diccionario!$N:$N,MATCH(F126,Diccionario!$C:$C,0)),"")</f>
        <v>Mensual</v>
      </c>
    </row>
    <row r="84" spans="1:13" ht="12" customHeight="1" x14ac:dyDescent="0.3">
      <c r="A84" t="s">
        <v>527</v>
      </c>
      <c r="B84" t="s">
        <v>522</v>
      </c>
      <c r="C84" t="s">
        <v>523</v>
      </c>
      <c r="D84" t="s">
        <v>451</v>
      </c>
      <c r="E84" t="s">
        <v>524</v>
      </c>
      <c r="F84" t="s">
        <v>304</v>
      </c>
      <c r="H84" t="s">
        <v>562</v>
      </c>
      <c r="I84" s="29">
        <v>175000000</v>
      </c>
      <c r="J84" t="s">
        <v>451</v>
      </c>
      <c r="L84" t="s">
        <v>36</v>
      </c>
      <c r="M84" t="str">
        <f>IFERROR(INDEX(Diccionario!$N:$N,MATCH(F125,Diccionario!$C:$C,0)),"")</f>
        <v>Mensual</v>
      </c>
    </row>
    <row r="85" spans="1:13" ht="12" customHeight="1" x14ac:dyDescent="0.3">
      <c r="A85" t="s">
        <v>527</v>
      </c>
      <c r="B85" t="s">
        <v>522</v>
      </c>
      <c r="C85" t="s">
        <v>523</v>
      </c>
      <c r="D85" t="s">
        <v>451</v>
      </c>
      <c r="E85" t="s">
        <v>524</v>
      </c>
      <c r="F85" t="s">
        <v>377</v>
      </c>
      <c r="H85" t="s">
        <v>571</v>
      </c>
      <c r="I85" s="29">
        <v>2000000</v>
      </c>
      <c r="J85" t="s">
        <v>451</v>
      </c>
      <c r="L85" t="s">
        <v>36</v>
      </c>
      <c r="M85" t="str">
        <f>IFERROR(INDEX(Diccionario!$N:$N,MATCH(F844,Diccionario!$C:$C,0)),"")</f>
        <v>Mensual</v>
      </c>
    </row>
    <row r="86" spans="1:13" ht="12" customHeight="1" x14ac:dyDescent="0.3">
      <c r="A86" t="s">
        <v>527</v>
      </c>
      <c r="B86" t="s">
        <v>522</v>
      </c>
      <c r="C86" t="s">
        <v>523</v>
      </c>
      <c r="D86" t="s">
        <v>451</v>
      </c>
      <c r="E86" t="s">
        <v>524</v>
      </c>
      <c r="F86" t="s">
        <v>377</v>
      </c>
      <c r="H86" t="s">
        <v>577</v>
      </c>
      <c r="I86" s="29">
        <v>6000000</v>
      </c>
      <c r="J86" t="s">
        <v>451</v>
      </c>
      <c r="L86" t="s">
        <v>36</v>
      </c>
      <c r="M86" t="str">
        <f>IFERROR(INDEX(Diccionario!$N:$N,MATCH(F841,Diccionario!$C:$C,0)),"")</f>
        <v>Mensual</v>
      </c>
    </row>
    <row r="87" spans="1:13" ht="12" customHeight="1" x14ac:dyDescent="0.3">
      <c r="A87" t="s">
        <v>527</v>
      </c>
      <c r="B87" t="s">
        <v>522</v>
      </c>
      <c r="C87" t="s">
        <v>523</v>
      </c>
      <c r="D87" t="s">
        <v>451</v>
      </c>
      <c r="E87" t="s">
        <v>524</v>
      </c>
      <c r="F87" t="s">
        <v>377</v>
      </c>
      <c r="H87" t="s">
        <v>565</v>
      </c>
      <c r="I87" s="29">
        <v>63000000</v>
      </c>
      <c r="J87" t="s">
        <v>451</v>
      </c>
      <c r="L87" t="s">
        <v>36</v>
      </c>
      <c r="M87" t="str">
        <f>IFERROR(INDEX(Diccionario!$N:$N,MATCH(F840,Diccionario!$C:$C,0)),"")</f>
        <v>Mensual</v>
      </c>
    </row>
    <row r="88" spans="1:13" ht="12" customHeight="1" x14ac:dyDescent="0.3">
      <c r="A88" t="s">
        <v>527</v>
      </c>
      <c r="B88" t="s">
        <v>522</v>
      </c>
      <c r="C88" t="s">
        <v>523</v>
      </c>
      <c r="D88" t="s">
        <v>451</v>
      </c>
      <c r="E88" t="s">
        <v>524</v>
      </c>
      <c r="F88" t="s">
        <v>377</v>
      </c>
      <c r="H88" t="s">
        <v>568</v>
      </c>
      <c r="I88" s="29">
        <v>1000000</v>
      </c>
      <c r="J88" t="s">
        <v>451</v>
      </c>
      <c r="L88" t="s">
        <v>36</v>
      </c>
      <c r="M88" t="str">
        <f>IFERROR(INDEX(Diccionario!$N:$N,MATCH(F842,Diccionario!$C:$C,0)),"")</f>
        <v>Mensual</v>
      </c>
    </row>
    <row r="89" spans="1:13" ht="12" customHeight="1" x14ac:dyDescent="0.3">
      <c r="A89" t="s">
        <v>527</v>
      </c>
      <c r="B89" t="s">
        <v>522</v>
      </c>
      <c r="C89" t="s">
        <v>523</v>
      </c>
      <c r="D89" t="s">
        <v>451</v>
      </c>
      <c r="E89" t="s">
        <v>524</v>
      </c>
      <c r="F89" t="s">
        <v>377</v>
      </c>
      <c r="H89" t="s">
        <v>569</v>
      </c>
      <c r="I89" s="29">
        <v>46000000</v>
      </c>
      <c r="J89" t="s">
        <v>451</v>
      </c>
      <c r="L89" t="s">
        <v>36</v>
      </c>
      <c r="M89" t="str">
        <f>IFERROR(INDEX(Diccionario!$N:$N,MATCH(F843,Diccionario!$C:$C,0)),"")</f>
        <v>Mensual</v>
      </c>
    </row>
    <row r="90" spans="1:13" ht="12" customHeight="1" x14ac:dyDescent="0.3">
      <c r="A90" t="s">
        <v>527</v>
      </c>
      <c r="B90" t="s">
        <v>522</v>
      </c>
      <c r="C90" t="s">
        <v>523</v>
      </c>
      <c r="D90" t="s">
        <v>451</v>
      </c>
      <c r="E90" t="s">
        <v>524</v>
      </c>
      <c r="F90" t="s">
        <v>371</v>
      </c>
      <c r="H90" t="s">
        <v>566</v>
      </c>
      <c r="I90" s="29">
        <v>12000000</v>
      </c>
      <c r="J90" t="s">
        <v>451</v>
      </c>
      <c r="L90" t="s">
        <v>36</v>
      </c>
      <c r="M90" t="str">
        <f>IFERROR(INDEX(Diccionario!$N:$N,MATCH(F725,Diccionario!$C:$C,0)),"")</f>
        <v>Mensual</v>
      </c>
    </row>
    <row r="91" spans="1:13" ht="12" customHeight="1" x14ac:dyDescent="0.3">
      <c r="A91" t="s">
        <v>527</v>
      </c>
      <c r="B91" t="s">
        <v>522</v>
      </c>
      <c r="C91" t="s">
        <v>523</v>
      </c>
      <c r="D91" t="s">
        <v>451</v>
      </c>
      <c r="E91" t="s">
        <v>524</v>
      </c>
      <c r="F91" t="s">
        <v>371</v>
      </c>
      <c r="H91" t="s">
        <v>565</v>
      </c>
      <c r="I91" s="29">
        <v>103000000</v>
      </c>
      <c r="J91" t="s">
        <v>451</v>
      </c>
      <c r="L91" t="s">
        <v>36</v>
      </c>
      <c r="M91" t="str">
        <f>IFERROR(INDEX(Diccionario!$N:$N,MATCH(F724,Diccionario!$C:$C,0)),"")</f>
        <v>Mensual</v>
      </c>
    </row>
    <row r="92" spans="1:13" ht="12" customHeight="1" x14ac:dyDescent="0.3">
      <c r="A92" t="s">
        <v>527</v>
      </c>
      <c r="B92" t="s">
        <v>522</v>
      </c>
      <c r="C92" t="s">
        <v>523</v>
      </c>
      <c r="D92" t="s">
        <v>451</v>
      </c>
      <c r="E92" t="s">
        <v>524</v>
      </c>
      <c r="F92" t="s">
        <v>371</v>
      </c>
      <c r="H92" t="s">
        <v>569</v>
      </c>
      <c r="I92" s="29">
        <v>0</v>
      </c>
      <c r="J92" t="s">
        <v>451</v>
      </c>
      <c r="L92" t="s">
        <v>36</v>
      </c>
      <c r="M92" t="str">
        <f>IFERROR(INDEX(Diccionario!$N:$N,MATCH(F726,Diccionario!$C:$C,0)),"")</f>
        <v>Mensual</v>
      </c>
    </row>
    <row r="93" spans="1:13" ht="12" customHeight="1" x14ac:dyDescent="0.3">
      <c r="A93" t="s">
        <v>527</v>
      </c>
      <c r="B93" t="s">
        <v>522</v>
      </c>
      <c r="C93" t="s">
        <v>523</v>
      </c>
      <c r="D93" t="s">
        <v>451</v>
      </c>
      <c r="E93" t="s">
        <v>524</v>
      </c>
      <c r="F93" t="s">
        <v>371</v>
      </c>
      <c r="H93" t="s">
        <v>570</v>
      </c>
      <c r="I93" s="29">
        <v>0</v>
      </c>
      <c r="J93" t="s">
        <v>451</v>
      </c>
      <c r="L93" t="s">
        <v>36</v>
      </c>
      <c r="M93" t="str">
        <f>IFERROR(INDEX(Diccionario!$N:$N,MATCH(F727,Diccionario!$C:$C,0)),"")</f>
        <v>Mensual</v>
      </c>
    </row>
    <row r="94" spans="1:13" ht="12" customHeight="1" x14ac:dyDescent="0.3">
      <c r="A94" t="s">
        <v>528</v>
      </c>
      <c r="B94" t="s">
        <v>522</v>
      </c>
      <c r="C94" t="s">
        <v>523</v>
      </c>
      <c r="D94" t="s">
        <v>451</v>
      </c>
      <c r="E94" t="s">
        <v>524</v>
      </c>
      <c r="F94" t="s">
        <v>314</v>
      </c>
      <c r="H94" t="s">
        <v>577</v>
      </c>
      <c r="I94" s="29">
        <v>1000000</v>
      </c>
      <c r="J94" t="s">
        <v>451</v>
      </c>
      <c r="L94" t="s">
        <v>36</v>
      </c>
      <c r="M94" t="str">
        <f>IFERROR(INDEX(Diccionario!$N:$N,MATCH(F606,Diccionario!$C:$C,0)),"")</f>
        <v>Mensual</v>
      </c>
    </row>
    <row r="95" spans="1:13" ht="12" customHeight="1" x14ac:dyDescent="0.3">
      <c r="A95" t="s">
        <v>528</v>
      </c>
      <c r="B95" t="s">
        <v>522</v>
      </c>
      <c r="C95" t="s">
        <v>523</v>
      </c>
      <c r="D95" t="s">
        <v>451</v>
      </c>
      <c r="E95" t="s">
        <v>524</v>
      </c>
      <c r="F95" t="s">
        <v>314</v>
      </c>
      <c r="H95" t="s">
        <v>565</v>
      </c>
      <c r="I95" s="29">
        <v>46000000</v>
      </c>
      <c r="J95" t="s">
        <v>451</v>
      </c>
      <c r="L95" t="s">
        <v>36</v>
      </c>
      <c r="M95" t="str">
        <f>IFERROR(INDEX(Diccionario!$N:$N,MATCH(F605,Diccionario!$C:$C,0)),"")</f>
        <v>Mensual</v>
      </c>
    </row>
    <row r="96" spans="1:13" ht="12" customHeight="1" x14ac:dyDescent="0.3">
      <c r="A96" t="s">
        <v>528</v>
      </c>
      <c r="B96" t="s">
        <v>522</v>
      </c>
      <c r="C96" t="s">
        <v>523</v>
      </c>
      <c r="D96" t="s">
        <v>451</v>
      </c>
      <c r="E96" t="s">
        <v>524</v>
      </c>
      <c r="F96" t="s">
        <v>314</v>
      </c>
      <c r="H96" t="s">
        <v>569</v>
      </c>
      <c r="I96" s="29">
        <v>3000000</v>
      </c>
      <c r="J96" t="s">
        <v>451</v>
      </c>
      <c r="L96" t="s">
        <v>36</v>
      </c>
      <c r="M96" t="str">
        <f>IFERROR(INDEX(Diccionario!$N:$N,MATCH(F607,Diccionario!$C:$C,0)),"")</f>
        <v>Mensual</v>
      </c>
    </row>
    <row r="97" spans="1:13" ht="12" customHeight="1" x14ac:dyDescent="0.3">
      <c r="A97" t="s">
        <v>528</v>
      </c>
      <c r="B97" t="s">
        <v>522</v>
      </c>
      <c r="C97" t="s">
        <v>523</v>
      </c>
      <c r="D97" t="s">
        <v>451</v>
      </c>
      <c r="E97" t="s">
        <v>524</v>
      </c>
      <c r="F97" t="s">
        <v>318</v>
      </c>
      <c r="H97" t="s">
        <v>574</v>
      </c>
      <c r="I97" s="29">
        <v>18000000</v>
      </c>
      <c r="J97" t="s">
        <v>451</v>
      </c>
      <c r="L97" t="s">
        <v>36</v>
      </c>
      <c r="M97" t="str">
        <f>IFERROR(INDEX(Diccionario!$N:$N,MATCH(F473,Diccionario!$C:$C,0)),"")</f>
        <v>Mensual</v>
      </c>
    </row>
    <row r="98" spans="1:13" ht="12" customHeight="1" x14ac:dyDescent="0.3">
      <c r="A98" t="s">
        <v>528</v>
      </c>
      <c r="B98" t="s">
        <v>522</v>
      </c>
      <c r="C98" t="s">
        <v>523</v>
      </c>
      <c r="D98" t="s">
        <v>451</v>
      </c>
      <c r="E98" t="s">
        <v>524</v>
      </c>
      <c r="F98" t="s">
        <v>318</v>
      </c>
      <c r="H98" t="s">
        <v>575</v>
      </c>
      <c r="I98" s="29">
        <v>2000000</v>
      </c>
      <c r="J98" t="s">
        <v>451</v>
      </c>
      <c r="L98" t="s">
        <v>36</v>
      </c>
      <c r="M98" t="str">
        <f>IFERROR(INDEX(Diccionario!$N:$N,MATCH(F474,Diccionario!$C:$C,0)),"")</f>
        <v>Mensual</v>
      </c>
    </row>
    <row r="99" spans="1:13" ht="12" customHeight="1" x14ac:dyDescent="0.3">
      <c r="A99" t="s">
        <v>528</v>
      </c>
      <c r="B99" t="s">
        <v>522</v>
      </c>
      <c r="C99" t="s">
        <v>523</v>
      </c>
      <c r="D99" t="s">
        <v>451</v>
      </c>
      <c r="E99" t="s">
        <v>524</v>
      </c>
      <c r="F99" t="s">
        <v>318</v>
      </c>
      <c r="H99" t="s">
        <v>573</v>
      </c>
      <c r="I99" s="29">
        <v>0</v>
      </c>
      <c r="J99" t="s">
        <v>451</v>
      </c>
      <c r="L99" t="s">
        <v>36</v>
      </c>
      <c r="M99" t="str">
        <f>IFERROR(INDEX(Diccionario!$N:$N,MATCH(F472,Diccionario!$C:$C,0)),"")</f>
        <v>Mensual</v>
      </c>
    </row>
    <row r="100" spans="1:13" ht="12" customHeight="1" x14ac:dyDescent="0.3">
      <c r="A100" t="s">
        <v>528</v>
      </c>
      <c r="B100" t="s">
        <v>522</v>
      </c>
      <c r="C100" t="s">
        <v>523</v>
      </c>
      <c r="D100" t="s">
        <v>451</v>
      </c>
      <c r="E100" t="s">
        <v>524</v>
      </c>
      <c r="F100" t="s">
        <v>318</v>
      </c>
      <c r="H100" t="s">
        <v>572</v>
      </c>
      <c r="I100" s="29">
        <v>107000000</v>
      </c>
      <c r="J100" t="s">
        <v>451</v>
      </c>
      <c r="L100" t="s">
        <v>36</v>
      </c>
      <c r="M100" t="str">
        <f>IFERROR(INDEX(Diccionario!$N:$N,MATCH(F471,Diccionario!$C:$C,0)),"")</f>
        <v>Mensual</v>
      </c>
    </row>
    <row r="101" spans="1:13" ht="12" customHeight="1" x14ac:dyDescent="0.3">
      <c r="A101" t="s">
        <v>528</v>
      </c>
      <c r="B101" t="s">
        <v>522</v>
      </c>
      <c r="C101" t="s">
        <v>523</v>
      </c>
      <c r="D101" t="s">
        <v>451</v>
      </c>
      <c r="E101" t="s">
        <v>524</v>
      </c>
      <c r="F101" t="s">
        <v>318</v>
      </c>
      <c r="H101" t="s">
        <v>576</v>
      </c>
      <c r="I101" s="29">
        <v>4000000</v>
      </c>
      <c r="J101" t="s">
        <v>451</v>
      </c>
      <c r="L101" t="s">
        <v>36</v>
      </c>
      <c r="M101" t="str">
        <f>IFERROR(INDEX(Diccionario!$N:$N,MATCH(F475,Diccionario!$C:$C,0)),"")</f>
        <v>Mensual</v>
      </c>
    </row>
    <row r="102" spans="1:13" ht="12" customHeight="1" x14ac:dyDescent="0.3">
      <c r="A102" t="s">
        <v>528</v>
      </c>
      <c r="B102" t="s">
        <v>522</v>
      </c>
      <c r="C102" t="s">
        <v>523</v>
      </c>
      <c r="E102" t="s">
        <v>524</v>
      </c>
      <c r="F102" t="s">
        <v>323</v>
      </c>
      <c r="I102" s="36">
        <v>22.66</v>
      </c>
      <c r="J102" t="s">
        <v>65</v>
      </c>
      <c r="L102" t="s">
        <v>36</v>
      </c>
      <c r="M102" t="str">
        <f>IFERROR(INDEX(Diccionario!$N:$N,MATCH(F1001,Diccionario!$C:$C,0)),"")</f>
        <v>Mensual</v>
      </c>
    </row>
    <row r="103" spans="1:13" ht="12" customHeight="1" x14ac:dyDescent="0.3">
      <c r="A103" t="s">
        <v>528</v>
      </c>
      <c r="B103" t="s">
        <v>522</v>
      </c>
      <c r="C103" t="s">
        <v>523</v>
      </c>
      <c r="D103" t="s">
        <v>451</v>
      </c>
      <c r="E103" t="s">
        <v>524</v>
      </c>
      <c r="F103" t="s">
        <v>309</v>
      </c>
      <c r="H103" t="s">
        <v>567</v>
      </c>
      <c r="I103" s="29">
        <v>22000000</v>
      </c>
      <c r="J103" t="s">
        <v>451</v>
      </c>
      <c r="L103" t="s">
        <v>36</v>
      </c>
      <c r="M103" t="str">
        <f>IFERROR(INDEX(Diccionario!$N:$N,MATCH(F277,Diccionario!$C:$C,0)),"")</f>
        <v>Mensual</v>
      </c>
    </row>
    <row r="104" spans="1:13" ht="12" customHeight="1" x14ac:dyDescent="0.3">
      <c r="A104" t="s">
        <v>528</v>
      </c>
      <c r="B104" t="s">
        <v>522</v>
      </c>
      <c r="C104" t="s">
        <v>523</v>
      </c>
      <c r="D104" t="s">
        <v>451</v>
      </c>
      <c r="E104" t="s">
        <v>524</v>
      </c>
      <c r="F104" t="s">
        <v>309</v>
      </c>
      <c r="H104" t="s">
        <v>571</v>
      </c>
      <c r="I104" s="29">
        <v>2000000</v>
      </c>
      <c r="J104" t="s">
        <v>451</v>
      </c>
      <c r="L104" t="s">
        <v>36</v>
      </c>
      <c r="M104" t="str">
        <f>IFERROR(INDEX(Diccionario!$N:$N,MATCH(F281,Diccionario!$C:$C,0)),"")</f>
        <v>Mensual</v>
      </c>
    </row>
    <row r="105" spans="1:13" ht="12" customHeight="1" x14ac:dyDescent="0.3">
      <c r="A105" t="s">
        <v>528</v>
      </c>
      <c r="B105" t="s">
        <v>522</v>
      </c>
      <c r="C105" t="s">
        <v>523</v>
      </c>
      <c r="D105" t="s">
        <v>451</v>
      </c>
      <c r="E105" t="s">
        <v>524</v>
      </c>
      <c r="F105" t="s">
        <v>309</v>
      </c>
      <c r="H105" t="s">
        <v>566</v>
      </c>
      <c r="I105" s="29">
        <v>6000000</v>
      </c>
      <c r="J105" t="s">
        <v>451</v>
      </c>
      <c r="L105" t="s">
        <v>36</v>
      </c>
      <c r="M105" t="str">
        <f>IFERROR(INDEX(Diccionario!$N:$N,MATCH(F276,Diccionario!$C:$C,0)),"")</f>
        <v>Mensual</v>
      </c>
    </row>
    <row r="106" spans="1:13" ht="12" customHeight="1" x14ac:dyDescent="0.3">
      <c r="A106" t="s">
        <v>528</v>
      </c>
      <c r="B106" t="s">
        <v>522</v>
      </c>
      <c r="C106" t="s">
        <v>523</v>
      </c>
      <c r="D106" t="s">
        <v>451</v>
      </c>
      <c r="E106" t="s">
        <v>524</v>
      </c>
      <c r="F106" t="s">
        <v>309</v>
      </c>
      <c r="H106" t="s">
        <v>565</v>
      </c>
      <c r="I106" s="29">
        <v>48000000</v>
      </c>
      <c r="J106" t="s">
        <v>451</v>
      </c>
      <c r="L106" t="s">
        <v>36</v>
      </c>
      <c r="M106" t="str">
        <f>IFERROR(INDEX(Diccionario!$N:$N,MATCH(F275,Diccionario!$C:$C,0)),"")</f>
        <v>Mensual</v>
      </c>
    </row>
    <row r="107" spans="1:13" ht="12" customHeight="1" x14ac:dyDescent="0.3">
      <c r="A107" t="s">
        <v>528</v>
      </c>
      <c r="B107" t="s">
        <v>522</v>
      </c>
      <c r="C107" t="s">
        <v>523</v>
      </c>
      <c r="D107" t="s">
        <v>451</v>
      </c>
      <c r="E107" t="s">
        <v>524</v>
      </c>
      <c r="F107" t="s">
        <v>309</v>
      </c>
      <c r="H107" t="s">
        <v>568</v>
      </c>
      <c r="I107" s="29">
        <v>5000000</v>
      </c>
      <c r="J107" t="s">
        <v>451</v>
      </c>
      <c r="L107" t="s">
        <v>36</v>
      </c>
      <c r="M107" t="str">
        <f>IFERROR(INDEX(Diccionario!$N:$N,MATCH(F278,Diccionario!$C:$C,0)),"")</f>
        <v>Mensual</v>
      </c>
    </row>
    <row r="108" spans="1:13" ht="12" customHeight="1" x14ac:dyDescent="0.3">
      <c r="A108" t="s">
        <v>528</v>
      </c>
      <c r="B108" t="s">
        <v>522</v>
      </c>
      <c r="C108" t="s">
        <v>523</v>
      </c>
      <c r="D108" t="s">
        <v>451</v>
      </c>
      <c r="E108" t="s">
        <v>524</v>
      </c>
      <c r="F108" t="s">
        <v>309</v>
      </c>
      <c r="H108" t="s">
        <v>569</v>
      </c>
      <c r="I108" s="29">
        <v>7000000</v>
      </c>
      <c r="J108" t="s">
        <v>451</v>
      </c>
      <c r="L108" t="s">
        <v>36</v>
      </c>
      <c r="M108" t="str">
        <f>IFERROR(INDEX(Diccionario!$N:$N,MATCH(F279,Diccionario!$C:$C,0)),"")</f>
        <v>Mensual</v>
      </c>
    </row>
    <row r="109" spans="1:13" ht="12" customHeight="1" x14ac:dyDescent="0.3">
      <c r="A109" t="s">
        <v>528</v>
      </c>
      <c r="B109" t="s">
        <v>522</v>
      </c>
      <c r="C109" t="s">
        <v>523</v>
      </c>
      <c r="D109" t="s">
        <v>451</v>
      </c>
      <c r="E109" t="s">
        <v>524</v>
      </c>
      <c r="F109" t="s">
        <v>309</v>
      </c>
      <c r="H109" t="s">
        <v>570</v>
      </c>
      <c r="I109" s="29">
        <v>4000000</v>
      </c>
      <c r="J109" t="s">
        <v>451</v>
      </c>
      <c r="L109" t="s">
        <v>36</v>
      </c>
      <c r="M109" t="str">
        <f>IFERROR(INDEX(Diccionario!$N:$N,MATCH(F280,Diccionario!$C:$C,0)),"")</f>
        <v>Mensual</v>
      </c>
    </row>
    <row r="110" spans="1:13" ht="12" customHeight="1" x14ac:dyDescent="0.3">
      <c r="A110" t="s">
        <v>528</v>
      </c>
      <c r="B110" t="s">
        <v>522</v>
      </c>
      <c r="C110" t="s">
        <v>523</v>
      </c>
      <c r="D110" t="s">
        <v>451</v>
      </c>
      <c r="E110" t="s">
        <v>524</v>
      </c>
      <c r="F110" t="s">
        <v>304</v>
      </c>
      <c r="H110" t="s">
        <v>564</v>
      </c>
      <c r="I110" s="29">
        <v>94000000</v>
      </c>
      <c r="J110" t="s">
        <v>451</v>
      </c>
      <c r="L110" t="s">
        <v>36</v>
      </c>
      <c r="M110" t="str">
        <f>IFERROR(INDEX(Diccionario!$N:$N,MATCH(F133,Diccionario!$C:$C,0)),"")</f>
        <v>Mensual</v>
      </c>
    </row>
    <row r="111" spans="1:13" ht="12" customHeight="1" x14ac:dyDescent="0.3">
      <c r="A111" t="s">
        <v>528</v>
      </c>
      <c r="B111" t="s">
        <v>522</v>
      </c>
      <c r="C111" t="s">
        <v>523</v>
      </c>
      <c r="D111" t="s">
        <v>451</v>
      </c>
      <c r="E111" t="s">
        <v>524</v>
      </c>
      <c r="F111" t="s">
        <v>304</v>
      </c>
      <c r="H111" t="s">
        <v>190</v>
      </c>
      <c r="I111" s="29">
        <v>147000000</v>
      </c>
      <c r="J111" t="s">
        <v>451</v>
      </c>
      <c r="L111" t="s">
        <v>36</v>
      </c>
      <c r="M111" t="str">
        <f>IFERROR(INDEX(Diccionario!$N:$N,MATCH(F132,Diccionario!$C:$C,0)),"")</f>
        <v>Mensual</v>
      </c>
    </row>
    <row r="112" spans="1:13" ht="12" customHeight="1" x14ac:dyDescent="0.3">
      <c r="A112" t="s">
        <v>528</v>
      </c>
      <c r="B112" t="s">
        <v>522</v>
      </c>
      <c r="C112" t="s">
        <v>523</v>
      </c>
      <c r="D112" t="s">
        <v>451</v>
      </c>
      <c r="E112" t="s">
        <v>524</v>
      </c>
      <c r="F112" t="s">
        <v>304</v>
      </c>
      <c r="H112" t="s">
        <v>561</v>
      </c>
      <c r="I112" s="29">
        <v>6000000</v>
      </c>
      <c r="J112" t="s">
        <v>451</v>
      </c>
      <c r="L112" t="s">
        <v>36</v>
      </c>
      <c r="M112" t="str">
        <f>IFERROR(INDEX(Diccionario!$N:$N,MATCH(F129,Diccionario!$C:$C,0)),"")</f>
        <v>Mensual</v>
      </c>
    </row>
    <row r="113" spans="1:13" ht="12" customHeight="1" x14ac:dyDescent="0.3">
      <c r="A113" t="s">
        <v>528</v>
      </c>
      <c r="B113" t="s">
        <v>522</v>
      </c>
      <c r="C113" t="s">
        <v>523</v>
      </c>
      <c r="D113" t="s">
        <v>451</v>
      </c>
      <c r="E113" t="s">
        <v>524</v>
      </c>
      <c r="F113" t="s">
        <v>304</v>
      </c>
      <c r="H113" t="s">
        <v>563</v>
      </c>
      <c r="I113" s="29">
        <v>130000000</v>
      </c>
      <c r="J113" t="s">
        <v>451</v>
      </c>
      <c r="L113" t="s">
        <v>36</v>
      </c>
      <c r="M113" t="str">
        <f>IFERROR(INDEX(Diccionario!$N:$N,MATCH(F131,Diccionario!$C:$C,0)),"")</f>
        <v>Mensual</v>
      </c>
    </row>
    <row r="114" spans="1:13" ht="12" customHeight="1" x14ac:dyDescent="0.3">
      <c r="A114" t="s">
        <v>528</v>
      </c>
      <c r="B114" t="s">
        <v>522</v>
      </c>
      <c r="C114" t="s">
        <v>523</v>
      </c>
      <c r="D114" t="s">
        <v>451</v>
      </c>
      <c r="E114" t="s">
        <v>524</v>
      </c>
      <c r="F114" t="s">
        <v>304</v>
      </c>
      <c r="H114" t="s">
        <v>562</v>
      </c>
      <c r="I114" s="29">
        <v>195000000</v>
      </c>
      <c r="J114" t="s">
        <v>451</v>
      </c>
      <c r="L114" t="s">
        <v>36</v>
      </c>
      <c r="M114" t="str">
        <f>IFERROR(INDEX(Diccionario!$N:$N,MATCH(F130,Diccionario!$C:$C,0)),"")</f>
        <v>Mensual</v>
      </c>
    </row>
    <row r="115" spans="1:13" ht="12" customHeight="1" x14ac:dyDescent="0.3">
      <c r="A115" t="s">
        <v>528</v>
      </c>
      <c r="B115" t="s">
        <v>522</v>
      </c>
      <c r="C115" t="s">
        <v>523</v>
      </c>
      <c r="D115" t="s">
        <v>451</v>
      </c>
      <c r="E115" t="s">
        <v>524</v>
      </c>
      <c r="F115" t="s">
        <v>377</v>
      </c>
      <c r="H115" t="s">
        <v>571</v>
      </c>
      <c r="I115" s="29">
        <v>4000000</v>
      </c>
      <c r="J115" t="s">
        <v>451</v>
      </c>
      <c r="L115" t="s">
        <v>36</v>
      </c>
      <c r="M115" t="str">
        <f>IFERROR(INDEX(Diccionario!$N:$N,MATCH(F850,Diccionario!$C:$C,0)),"")</f>
        <v>Mensual</v>
      </c>
    </row>
    <row r="116" spans="1:13" ht="12" customHeight="1" x14ac:dyDescent="0.3">
      <c r="A116" t="s">
        <v>528</v>
      </c>
      <c r="B116" t="s">
        <v>522</v>
      </c>
      <c r="C116" t="s">
        <v>523</v>
      </c>
      <c r="D116" t="s">
        <v>451</v>
      </c>
      <c r="E116" t="s">
        <v>524</v>
      </c>
      <c r="F116" t="s">
        <v>377</v>
      </c>
      <c r="H116" t="s">
        <v>577</v>
      </c>
      <c r="I116" s="29">
        <v>12000000</v>
      </c>
      <c r="J116" t="s">
        <v>451</v>
      </c>
      <c r="L116" t="s">
        <v>36</v>
      </c>
      <c r="M116" t="str">
        <f>IFERROR(INDEX(Diccionario!$N:$N,MATCH(F846,Diccionario!$C:$C,0)),"")</f>
        <v>Mensual</v>
      </c>
    </row>
    <row r="117" spans="1:13" ht="12" customHeight="1" x14ac:dyDescent="0.3">
      <c r="A117" t="s">
        <v>528</v>
      </c>
      <c r="B117" t="s">
        <v>522</v>
      </c>
      <c r="C117" t="s">
        <v>523</v>
      </c>
      <c r="D117" t="s">
        <v>451</v>
      </c>
      <c r="E117" t="s">
        <v>524</v>
      </c>
      <c r="F117" t="s">
        <v>377</v>
      </c>
      <c r="H117" t="s">
        <v>565</v>
      </c>
      <c r="I117" s="29">
        <v>93000000</v>
      </c>
      <c r="J117" t="s">
        <v>451</v>
      </c>
      <c r="L117" t="s">
        <v>36</v>
      </c>
      <c r="M117" t="str">
        <f>IFERROR(INDEX(Diccionario!$N:$N,MATCH(F845,Diccionario!$C:$C,0)),"")</f>
        <v>Mensual</v>
      </c>
    </row>
    <row r="118" spans="1:13" ht="12" customHeight="1" x14ac:dyDescent="0.3">
      <c r="A118" t="s">
        <v>528</v>
      </c>
      <c r="B118" t="s">
        <v>522</v>
      </c>
      <c r="C118" t="s">
        <v>523</v>
      </c>
      <c r="D118" t="s">
        <v>451</v>
      </c>
      <c r="E118" t="s">
        <v>524</v>
      </c>
      <c r="F118" t="s">
        <v>377</v>
      </c>
      <c r="H118" t="s">
        <v>568</v>
      </c>
      <c r="I118" s="29">
        <v>0</v>
      </c>
      <c r="J118" t="s">
        <v>451</v>
      </c>
      <c r="L118" t="s">
        <v>36</v>
      </c>
      <c r="M118" t="str">
        <f>IFERROR(INDEX(Diccionario!$N:$N,MATCH(F847,Diccionario!$C:$C,0)),"")</f>
        <v>Mensual</v>
      </c>
    </row>
    <row r="119" spans="1:13" ht="12" customHeight="1" x14ac:dyDescent="0.3">
      <c r="A119" t="s">
        <v>528</v>
      </c>
      <c r="B119" t="s">
        <v>522</v>
      </c>
      <c r="C119" t="s">
        <v>523</v>
      </c>
      <c r="D119" t="s">
        <v>451</v>
      </c>
      <c r="E119" t="s">
        <v>524</v>
      </c>
      <c r="F119" t="s">
        <v>377</v>
      </c>
      <c r="H119" t="s">
        <v>569</v>
      </c>
      <c r="I119" s="29">
        <v>22000000</v>
      </c>
      <c r="J119" t="s">
        <v>451</v>
      </c>
      <c r="L119" t="s">
        <v>36</v>
      </c>
      <c r="M119" t="str">
        <f>IFERROR(INDEX(Diccionario!$N:$N,MATCH(F848,Diccionario!$C:$C,0)),"")</f>
        <v>Mensual</v>
      </c>
    </row>
    <row r="120" spans="1:13" ht="12" customHeight="1" x14ac:dyDescent="0.3">
      <c r="A120" t="s">
        <v>528</v>
      </c>
      <c r="B120" t="s">
        <v>522</v>
      </c>
      <c r="C120" t="s">
        <v>523</v>
      </c>
      <c r="D120" t="s">
        <v>451</v>
      </c>
      <c r="E120" t="s">
        <v>524</v>
      </c>
      <c r="F120" t="s">
        <v>377</v>
      </c>
      <c r="H120" t="s">
        <v>570</v>
      </c>
      <c r="I120" s="29">
        <v>15000000</v>
      </c>
      <c r="J120" t="s">
        <v>451</v>
      </c>
      <c r="L120" t="s">
        <v>36</v>
      </c>
      <c r="M120" t="str">
        <f>IFERROR(INDEX(Diccionario!$N:$N,MATCH(F849,Diccionario!$C:$C,0)),"")</f>
        <v>Mensual</v>
      </c>
    </row>
    <row r="121" spans="1:13" ht="12" customHeight="1" x14ac:dyDescent="0.3">
      <c r="A121" t="s">
        <v>528</v>
      </c>
      <c r="B121" t="s">
        <v>522</v>
      </c>
      <c r="C121" t="s">
        <v>523</v>
      </c>
      <c r="D121" t="s">
        <v>451</v>
      </c>
      <c r="E121" t="s">
        <v>524</v>
      </c>
      <c r="F121" t="s">
        <v>371</v>
      </c>
      <c r="H121" t="s">
        <v>566</v>
      </c>
      <c r="I121" s="29">
        <v>10000000</v>
      </c>
      <c r="J121" t="s">
        <v>451</v>
      </c>
      <c r="L121" t="s">
        <v>36</v>
      </c>
      <c r="M121" t="str">
        <f>IFERROR(INDEX(Diccionario!$N:$N,MATCH(F729,Diccionario!$C:$C,0)),"")</f>
        <v>Mensual</v>
      </c>
    </row>
    <row r="122" spans="1:13" ht="12" customHeight="1" x14ac:dyDescent="0.3">
      <c r="A122" t="s">
        <v>528</v>
      </c>
      <c r="B122" t="s">
        <v>522</v>
      </c>
      <c r="C122" t="s">
        <v>523</v>
      </c>
      <c r="D122" t="s">
        <v>451</v>
      </c>
      <c r="E122" t="s">
        <v>524</v>
      </c>
      <c r="F122" t="s">
        <v>371</v>
      </c>
      <c r="H122" t="s">
        <v>565</v>
      </c>
      <c r="I122" s="29">
        <v>108000000</v>
      </c>
      <c r="J122" t="s">
        <v>451</v>
      </c>
      <c r="L122" t="s">
        <v>36</v>
      </c>
      <c r="M122" t="str">
        <f>IFERROR(INDEX(Diccionario!$N:$N,MATCH(F728,Diccionario!$C:$C,0)),"")</f>
        <v>Mensual</v>
      </c>
    </row>
    <row r="123" spans="1:13" ht="12" customHeight="1" x14ac:dyDescent="0.3">
      <c r="A123" t="s">
        <v>528</v>
      </c>
      <c r="B123" t="s">
        <v>522</v>
      </c>
      <c r="C123" t="s">
        <v>523</v>
      </c>
      <c r="D123" t="s">
        <v>451</v>
      </c>
      <c r="E123" t="s">
        <v>524</v>
      </c>
      <c r="F123" t="s">
        <v>371</v>
      </c>
      <c r="H123" t="s">
        <v>569</v>
      </c>
      <c r="I123" s="29">
        <v>15000000</v>
      </c>
      <c r="J123" t="s">
        <v>451</v>
      </c>
      <c r="L123" t="s">
        <v>36</v>
      </c>
      <c r="M123" t="str">
        <f>IFERROR(INDEX(Diccionario!$N:$N,MATCH(F730,Diccionario!$C:$C,0)),"")</f>
        <v>Mensual</v>
      </c>
    </row>
    <row r="124" spans="1:13" ht="12" customHeight="1" x14ac:dyDescent="0.3">
      <c r="A124" t="s">
        <v>528</v>
      </c>
      <c r="B124" t="s">
        <v>522</v>
      </c>
      <c r="C124" t="s">
        <v>523</v>
      </c>
      <c r="D124" t="s">
        <v>451</v>
      </c>
      <c r="E124" t="s">
        <v>524</v>
      </c>
      <c r="F124" t="s">
        <v>371</v>
      </c>
      <c r="H124" t="s">
        <v>570</v>
      </c>
      <c r="I124" s="29">
        <v>1000000</v>
      </c>
      <c r="J124" t="s">
        <v>451</v>
      </c>
      <c r="L124" t="s">
        <v>36</v>
      </c>
      <c r="M124" t="str">
        <f>IFERROR(INDEX(Diccionario!$N:$N,MATCH(F731,Diccionario!$C:$C,0)),"")</f>
        <v>Mensual</v>
      </c>
    </row>
    <row r="125" spans="1:13" ht="12" customHeight="1" x14ac:dyDescent="0.3">
      <c r="A125" t="s">
        <v>529</v>
      </c>
      <c r="B125" t="s">
        <v>522</v>
      </c>
      <c r="C125" t="s">
        <v>523</v>
      </c>
      <c r="D125" t="s">
        <v>451</v>
      </c>
      <c r="E125" t="s">
        <v>524</v>
      </c>
      <c r="F125" t="s">
        <v>314</v>
      </c>
      <c r="H125" t="s">
        <v>577</v>
      </c>
      <c r="I125" s="29">
        <v>1000000</v>
      </c>
      <c r="J125" t="s">
        <v>451</v>
      </c>
      <c r="L125" t="s">
        <v>36</v>
      </c>
      <c r="M125" t="str">
        <f>IFERROR(INDEX(Diccionario!$N:$N,MATCH(F609,Diccionario!$C:$C,0)),"")</f>
        <v>Mensual</v>
      </c>
    </row>
    <row r="126" spans="1:13" ht="12" customHeight="1" x14ac:dyDescent="0.3">
      <c r="A126" t="s">
        <v>529</v>
      </c>
      <c r="B126" t="s">
        <v>522</v>
      </c>
      <c r="C126" t="s">
        <v>523</v>
      </c>
      <c r="D126" t="s">
        <v>451</v>
      </c>
      <c r="E126" t="s">
        <v>524</v>
      </c>
      <c r="F126" t="s">
        <v>314</v>
      </c>
      <c r="H126" t="s">
        <v>565</v>
      </c>
      <c r="I126" s="29">
        <v>47000000</v>
      </c>
      <c r="J126" t="s">
        <v>451</v>
      </c>
      <c r="L126" t="s">
        <v>36</v>
      </c>
      <c r="M126" t="str">
        <f>IFERROR(INDEX(Diccionario!$N:$N,MATCH(F608,Diccionario!$C:$C,0)),"")</f>
        <v>Mensual</v>
      </c>
    </row>
    <row r="127" spans="1:13" ht="12" customHeight="1" x14ac:dyDescent="0.3">
      <c r="A127" t="s">
        <v>529</v>
      </c>
      <c r="B127" t="s">
        <v>522</v>
      </c>
      <c r="C127" t="s">
        <v>523</v>
      </c>
      <c r="D127" t="s">
        <v>451</v>
      </c>
      <c r="E127" t="s">
        <v>524</v>
      </c>
      <c r="F127" t="s">
        <v>314</v>
      </c>
      <c r="H127" t="s">
        <v>569</v>
      </c>
      <c r="I127" s="29">
        <v>7000000</v>
      </c>
      <c r="J127" t="s">
        <v>451</v>
      </c>
      <c r="L127" t="s">
        <v>36</v>
      </c>
      <c r="M127" t="str">
        <f>IFERROR(INDEX(Diccionario!$N:$N,MATCH(F610,Diccionario!$C:$C,0)),"")</f>
        <v>Mensual</v>
      </c>
    </row>
    <row r="128" spans="1:13" ht="12" customHeight="1" x14ac:dyDescent="0.3">
      <c r="A128" t="s">
        <v>529</v>
      </c>
      <c r="B128" t="s">
        <v>522</v>
      </c>
      <c r="C128" t="s">
        <v>523</v>
      </c>
      <c r="D128" t="s">
        <v>451</v>
      </c>
      <c r="E128" t="s">
        <v>524</v>
      </c>
      <c r="F128" t="s">
        <v>318</v>
      </c>
      <c r="H128" t="s">
        <v>574</v>
      </c>
      <c r="I128" s="29">
        <v>23000000</v>
      </c>
      <c r="J128" t="s">
        <v>451</v>
      </c>
      <c r="L128" t="s">
        <v>36</v>
      </c>
      <c r="M128" t="str">
        <f>IFERROR(INDEX(Diccionario!$N:$N,MATCH(F478,Diccionario!$C:$C,0)),"")</f>
        <v>Mensual</v>
      </c>
    </row>
    <row r="129" spans="1:13" ht="12" customHeight="1" x14ac:dyDescent="0.3">
      <c r="A129" t="s">
        <v>529</v>
      </c>
      <c r="B129" t="s">
        <v>522</v>
      </c>
      <c r="C129" t="s">
        <v>523</v>
      </c>
      <c r="D129" t="s">
        <v>451</v>
      </c>
      <c r="E129" t="s">
        <v>524</v>
      </c>
      <c r="F129" t="s">
        <v>318</v>
      </c>
      <c r="H129" t="s">
        <v>575</v>
      </c>
      <c r="I129" s="29">
        <v>3000000</v>
      </c>
      <c r="J129" t="s">
        <v>451</v>
      </c>
      <c r="L129" t="s">
        <v>36</v>
      </c>
      <c r="M129" t="str">
        <f>IFERROR(INDEX(Diccionario!$N:$N,MATCH(F479,Diccionario!$C:$C,0)),"")</f>
        <v>Mensual</v>
      </c>
    </row>
    <row r="130" spans="1:13" ht="12" customHeight="1" x14ac:dyDescent="0.3">
      <c r="A130" t="s">
        <v>529</v>
      </c>
      <c r="B130" t="s">
        <v>522</v>
      </c>
      <c r="C130" t="s">
        <v>523</v>
      </c>
      <c r="D130" t="s">
        <v>451</v>
      </c>
      <c r="E130" t="s">
        <v>524</v>
      </c>
      <c r="F130" t="s">
        <v>318</v>
      </c>
      <c r="H130" t="s">
        <v>573</v>
      </c>
      <c r="I130" s="29">
        <v>0</v>
      </c>
      <c r="J130" t="s">
        <v>451</v>
      </c>
      <c r="L130" t="s">
        <v>36</v>
      </c>
      <c r="M130" t="str">
        <f>IFERROR(INDEX(Diccionario!$N:$N,MATCH(F477,Diccionario!$C:$C,0)),"")</f>
        <v>Mensual</v>
      </c>
    </row>
    <row r="131" spans="1:13" ht="12" customHeight="1" x14ac:dyDescent="0.3">
      <c r="A131" t="s">
        <v>529</v>
      </c>
      <c r="B131" t="s">
        <v>522</v>
      </c>
      <c r="C131" t="s">
        <v>523</v>
      </c>
      <c r="D131" t="s">
        <v>451</v>
      </c>
      <c r="E131" t="s">
        <v>524</v>
      </c>
      <c r="F131" t="s">
        <v>318</v>
      </c>
      <c r="H131" t="s">
        <v>572</v>
      </c>
      <c r="I131" s="29">
        <v>123000000</v>
      </c>
      <c r="J131" t="s">
        <v>451</v>
      </c>
      <c r="L131" t="s">
        <v>36</v>
      </c>
      <c r="M131" t="str">
        <f>IFERROR(INDEX(Diccionario!$N:$N,MATCH(F476,Diccionario!$C:$C,0)),"")</f>
        <v>Mensual</v>
      </c>
    </row>
    <row r="132" spans="1:13" ht="12" customHeight="1" x14ac:dyDescent="0.3">
      <c r="A132" t="s">
        <v>529</v>
      </c>
      <c r="B132" t="s">
        <v>522</v>
      </c>
      <c r="C132" t="s">
        <v>523</v>
      </c>
      <c r="D132" t="s">
        <v>451</v>
      </c>
      <c r="E132" t="s">
        <v>524</v>
      </c>
      <c r="F132" t="s">
        <v>318</v>
      </c>
      <c r="H132" t="s">
        <v>576</v>
      </c>
      <c r="I132" s="29">
        <v>3000000</v>
      </c>
      <c r="J132" t="s">
        <v>451</v>
      </c>
      <c r="L132" t="s">
        <v>36</v>
      </c>
      <c r="M132" t="str">
        <f>IFERROR(INDEX(Diccionario!$N:$N,MATCH(F480,Diccionario!$C:$C,0)),"")</f>
        <v>Mensual</v>
      </c>
    </row>
    <row r="133" spans="1:13" ht="12" customHeight="1" x14ac:dyDescent="0.3">
      <c r="A133" t="s">
        <v>529</v>
      </c>
      <c r="B133" t="s">
        <v>522</v>
      </c>
      <c r="C133" t="s">
        <v>523</v>
      </c>
      <c r="E133" t="s">
        <v>524</v>
      </c>
      <c r="F133" t="s">
        <v>323</v>
      </c>
      <c r="I133" s="36">
        <v>22.39</v>
      </c>
      <c r="J133" t="s">
        <v>65</v>
      </c>
      <c r="L133" t="s">
        <v>36</v>
      </c>
      <c r="M133" t="str">
        <f>IFERROR(INDEX(Diccionario!$N:$N,MATCH(F1002,Diccionario!$C:$C,0)),"")</f>
        <v>Mensual</v>
      </c>
    </row>
    <row r="134" spans="1:13" ht="12" customHeight="1" x14ac:dyDescent="0.3">
      <c r="A134" t="s">
        <v>529</v>
      </c>
      <c r="B134" t="s">
        <v>522</v>
      </c>
      <c r="C134" t="s">
        <v>523</v>
      </c>
      <c r="D134" t="s">
        <v>451</v>
      </c>
      <c r="E134" t="s">
        <v>524</v>
      </c>
      <c r="F134" t="s">
        <v>309</v>
      </c>
      <c r="H134" t="s">
        <v>567</v>
      </c>
      <c r="I134" s="29">
        <v>23000000</v>
      </c>
      <c r="J134" t="s">
        <v>451</v>
      </c>
      <c r="L134" t="s">
        <v>36</v>
      </c>
      <c r="M134" t="str">
        <f>IFERROR(INDEX(Diccionario!$N:$N,MATCH(F284,Diccionario!$C:$C,0)),"")</f>
        <v>Mensual</v>
      </c>
    </row>
    <row r="135" spans="1:13" ht="12" customHeight="1" x14ac:dyDescent="0.3">
      <c r="A135" t="s">
        <v>529</v>
      </c>
      <c r="B135" t="s">
        <v>522</v>
      </c>
      <c r="C135" t="s">
        <v>523</v>
      </c>
      <c r="D135" t="s">
        <v>451</v>
      </c>
      <c r="E135" t="s">
        <v>524</v>
      </c>
      <c r="F135" t="s">
        <v>309</v>
      </c>
      <c r="H135" t="s">
        <v>571</v>
      </c>
      <c r="I135" s="29">
        <v>1000000</v>
      </c>
      <c r="J135" t="s">
        <v>451</v>
      </c>
      <c r="L135" t="s">
        <v>36</v>
      </c>
      <c r="M135" t="str">
        <f>IFERROR(INDEX(Diccionario!$N:$N,MATCH(F288,Diccionario!$C:$C,0)),"")</f>
        <v>Mensual</v>
      </c>
    </row>
    <row r="136" spans="1:13" ht="12" customHeight="1" x14ac:dyDescent="0.3">
      <c r="A136" t="s">
        <v>529</v>
      </c>
      <c r="B136" t="s">
        <v>522</v>
      </c>
      <c r="C136" t="s">
        <v>523</v>
      </c>
      <c r="D136" t="s">
        <v>451</v>
      </c>
      <c r="E136" t="s">
        <v>524</v>
      </c>
      <c r="F136" t="s">
        <v>309</v>
      </c>
      <c r="H136" t="s">
        <v>566</v>
      </c>
      <c r="I136" s="29">
        <v>13000000</v>
      </c>
      <c r="J136" t="s">
        <v>451</v>
      </c>
      <c r="L136" t="s">
        <v>36</v>
      </c>
      <c r="M136" t="str">
        <f>IFERROR(INDEX(Diccionario!$N:$N,MATCH(F283,Diccionario!$C:$C,0)),"")</f>
        <v>Mensual</v>
      </c>
    </row>
    <row r="137" spans="1:13" ht="12" customHeight="1" x14ac:dyDescent="0.3">
      <c r="A137" t="s">
        <v>529</v>
      </c>
      <c r="B137" t="s">
        <v>522</v>
      </c>
      <c r="C137" t="s">
        <v>523</v>
      </c>
      <c r="D137" t="s">
        <v>451</v>
      </c>
      <c r="E137" t="s">
        <v>524</v>
      </c>
      <c r="F137" t="s">
        <v>309</v>
      </c>
      <c r="H137" t="s">
        <v>565</v>
      </c>
      <c r="I137" s="29">
        <v>46000000</v>
      </c>
      <c r="J137" t="s">
        <v>451</v>
      </c>
      <c r="L137" t="s">
        <v>36</v>
      </c>
      <c r="M137" t="str">
        <f>IFERROR(INDEX(Diccionario!$N:$N,MATCH(F282,Diccionario!$C:$C,0)),"")</f>
        <v>Mensual</v>
      </c>
    </row>
    <row r="138" spans="1:13" ht="12" customHeight="1" x14ac:dyDescent="0.3">
      <c r="A138" t="s">
        <v>529</v>
      </c>
      <c r="B138" t="s">
        <v>522</v>
      </c>
      <c r="C138" t="s">
        <v>523</v>
      </c>
      <c r="D138" t="s">
        <v>451</v>
      </c>
      <c r="E138" t="s">
        <v>524</v>
      </c>
      <c r="F138" t="s">
        <v>309</v>
      </c>
      <c r="H138" t="s">
        <v>568</v>
      </c>
      <c r="I138" s="29">
        <v>4000000</v>
      </c>
      <c r="J138" t="s">
        <v>451</v>
      </c>
      <c r="L138" t="s">
        <v>36</v>
      </c>
      <c r="M138" t="str">
        <f>IFERROR(INDEX(Diccionario!$N:$N,MATCH(F285,Diccionario!$C:$C,0)),"")</f>
        <v>Mensual</v>
      </c>
    </row>
    <row r="139" spans="1:13" ht="12" customHeight="1" x14ac:dyDescent="0.3">
      <c r="A139" t="s">
        <v>529</v>
      </c>
      <c r="B139" t="s">
        <v>522</v>
      </c>
      <c r="C139" t="s">
        <v>523</v>
      </c>
      <c r="D139" t="s">
        <v>451</v>
      </c>
      <c r="E139" t="s">
        <v>524</v>
      </c>
      <c r="F139" t="s">
        <v>309</v>
      </c>
      <c r="H139" t="s">
        <v>569</v>
      </c>
      <c r="I139" s="29">
        <v>7000000</v>
      </c>
      <c r="J139" t="s">
        <v>451</v>
      </c>
      <c r="L139" t="s">
        <v>36</v>
      </c>
      <c r="M139" t="str">
        <f>IFERROR(INDEX(Diccionario!$N:$N,MATCH(F286,Diccionario!$C:$C,0)),"")</f>
        <v>Mensual</v>
      </c>
    </row>
    <row r="140" spans="1:13" ht="12" customHeight="1" x14ac:dyDescent="0.3">
      <c r="A140" t="s">
        <v>529</v>
      </c>
      <c r="B140" t="s">
        <v>522</v>
      </c>
      <c r="C140" t="s">
        <v>523</v>
      </c>
      <c r="D140" t="s">
        <v>451</v>
      </c>
      <c r="E140" t="s">
        <v>524</v>
      </c>
      <c r="F140" t="s">
        <v>309</v>
      </c>
      <c r="H140" t="s">
        <v>570</v>
      </c>
      <c r="I140" s="29">
        <v>2000000</v>
      </c>
      <c r="J140" t="s">
        <v>451</v>
      </c>
      <c r="L140" t="s">
        <v>36</v>
      </c>
      <c r="M140" t="str">
        <f>IFERROR(INDEX(Diccionario!$N:$N,MATCH(F287,Diccionario!$C:$C,0)),"")</f>
        <v>Mensual</v>
      </c>
    </row>
    <row r="141" spans="1:13" ht="12" customHeight="1" x14ac:dyDescent="0.3">
      <c r="A141" t="s">
        <v>529</v>
      </c>
      <c r="B141" t="s">
        <v>522</v>
      </c>
      <c r="C141" t="s">
        <v>523</v>
      </c>
      <c r="D141" t="s">
        <v>451</v>
      </c>
      <c r="E141" t="s">
        <v>524</v>
      </c>
      <c r="F141" t="s">
        <v>377</v>
      </c>
      <c r="H141" t="s">
        <v>571</v>
      </c>
      <c r="I141" s="29">
        <v>3000000</v>
      </c>
      <c r="J141" t="s">
        <v>451</v>
      </c>
      <c r="L141" t="s">
        <v>36</v>
      </c>
      <c r="M141" t="str">
        <f>IFERROR(INDEX(Diccionario!$N:$N,MATCH(F856,Diccionario!$C:$C,0)),"")</f>
        <v>Mensual</v>
      </c>
    </row>
    <row r="142" spans="1:13" ht="12" customHeight="1" x14ac:dyDescent="0.3">
      <c r="A142" t="s">
        <v>529</v>
      </c>
      <c r="B142" t="s">
        <v>522</v>
      </c>
      <c r="C142" t="s">
        <v>523</v>
      </c>
      <c r="D142" t="s">
        <v>451</v>
      </c>
      <c r="E142" t="s">
        <v>524</v>
      </c>
      <c r="F142" t="s">
        <v>377</v>
      </c>
      <c r="H142" t="s">
        <v>577</v>
      </c>
      <c r="I142" s="29">
        <v>14000000</v>
      </c>
      <c r="J142" t="s">
        <v>451</v>
      </c>
      <c r="L142" t="s">
        <v>36</v>
      </c>
      <c r="M142" t="str">
        <f>IFERROR(INDEX(Diccionario!$N:$N,MATCH(F852,Diccionario!$C:$C,0)),"")</f>
        <v>Mensual</v>
      </c>
    </row>
    <row r="143" spans="1:13" ht="12" customHeight="1" x14ac:dyDescent="0.3">
      <c r="A143" t="s">
        <v>529</v>
      </c>
      <c r="B143" t="s">
        <v>522</v>
      </c>
      <c r="C143" t="s">
        <v>523</v>
      </c>
      <c r="D143" t="s">
        <v>451</v>
      </c>
      <c r="E143" t="s">
        <v>524</v>
      </c>
      <c r="F143" t="s">
        <v>377</v>
      </c>
      <c r="H143" t="s">
        <v>565</v>
      </c>
      <c r="I143" s="29">
        <v>65000000</v>
      </c>
      <c r="J143" t="s">
        <v>451</v>
      </c>
      <c r="L143" t="s">
        <v>36</v>
      </c>
      <c r="M143" t="str">
        <f>IFERROR(INDEX(Diccionario!$N:$N,MATCH(F851,Diccionario!$C:$C,0)),"")</f>
        <v>Mensual</v>
      </c>
    </row>
    <row r="144" spans="1:13" ht="12" customHeight="1" x14ac:dyDescent="0.3">
      <c r="A144" t="s">
        <v>529</v>
      </c>
      <c r="B144" t="s">
        <v>522</v>
      </c>
      <c r="C144" t="s">
        <v>523</v>
      </c>
      <c r="D144" t="s">
        <v>451</v>
      </c>
      <c r="E144" t="s">
        <v>524</v>
      </c>
      <c r="F144" t="s">
        <v>377</v>
      </c>
      <c r="H144" t="s">
        <v>568</v>
      </c>
      <c r="I144" s="29">
        <v>1000000</v>
      </c>
      <c r="J144" t="s">
        <v>451</v>
      </c>
      <c r="L144" t="s">
        <v>36</v>
      </c>
      <c r="M144" t="str">
        <f>IFERROR(INDEX(Diccionario!$N:$N,MATCH(F853,Diccionario!$C:$C,0)),"")</f>
        <v>Mensual</v>
      </c>
    </row>
    <row r="145" spans="1:13" ht="12" customHeight="1" x14ac:dyDescent="0.3">
      <c r="A145" t="s">
        <v>529</v>
      </c>
      <c r="B145" t="s">
        <v>522</v>
      </c>
      <c r="C145" t="s">
        <v>523</v>
      </c>
      <c r="D145" t="s">
        <v>451</v>
      </c>
      <c r="E145" t="s">
        <v>524</v>
      </c>
      <c r="F145" t="s">
        <v>377</v>
      </c>
      <c r="H145" t="s">
        <v>569</v>
      </c>
      <c r="I145" s="29">
        <v>17000000</v>
      </c>
      <c r="J145" t="s">
        <v>451</v>
      </c>
      <c r="L145" t="s">
        <v>36</v>
      </c>
      <c r="M145" t="str">
        <f>IFERROR(INDEX(Diccionario!$N:$N,MATCH(F854,Diccionario!$C:$C,0)),"")</f>
        <v>Mensual</v>
      </c>
    </row>
    <row r="146" spans="1:13" ht="12" customHeight="1" x14ac:dyDescent="0.3">
      <c r="A146" t="s">
        <v>529</v>
      </c>
      <c r="B146" t="s">
        <v>522</v>
      </c>
      <c r="C146" t="s">
        <v>523</v>
      </c>
      <c r="D146" t="s">
        <v>451</v>
      </c>
      <c r="E146" t="s">
        <v>524</v>
      </c>
      <c r="F146" t="s">
        <v>377</v>
      </c>
      <c r="H146" t="s">
        <v>570</v>
      </c>
      <c r="I146" s="29">
        <v>18000000</v>
      </c>
      <c r="J146" t="s">
        <v>451</v>
      </c>
      <c r="L146" t="s">
        <v>36</v>
      </c>
      <c r="M146" t="str">
        <f>IFERROR(INDEX(Diccionario!$N:$N,MATCH(F855,Diccionario!$C:$C,0)),"")</f>
        <v>Mensual</v>
      </c>
    </row>
    <row r="147" spans="1:13" ht="12" customHeight="1" x14ac:dyDescent="0.3">
      <c r="A147" t="s">
        <v>529</v>
      </c>
      <c r="B147" t="s">
        <v>522</v>
      </c>
      <c r="C147" t="s">
        <v>523</v>
      </c>
      <c r="D147" t="s">
        <v>451</v>
      </c>
      <c r="E147" t="s">
        <v>524</v>
      </c>
      <c r="F147" t="s">
        <v>371</v>
      </c>
      <c r="H147" t="s">
        <v>566</v>
      </c>
      <c r="I147" s="29">
        <v>12000000</v>
      </c>
      <c r="J147" t="s">
        <v>451</v>
      </c>
      <c r="L147" t="s">
        <v>36</v>
      </c>
      <c r="M147" t="str">
        <f>IFERROR(INDEX(Diccionario!$N:$N,MATCH(F733,Diccionario!$C:$C,0)),"")</f>
        <v>Mensual</v>
      </c>
    </row>
    <row r="148" spans="1:13" ht="12" customHeight="1" x14ac:dyDescent="0.3">
      <c r="A148" t="s">
        <v>529</v>
      </c>
      <c r="B148" t="s">
        <v>522</v>
      </c>
      <c r="C148" t="s">
        <v>523</v>
      </c>
      <c r="D148" t="s">
        <v>451</v>
      </c>
      <c r="E148" t="s">
        <v>524</v>
      </c>
      <c r="F148" t="s">
        <v>371</v>
      </c>
      <c r="H148" t="s">
        <v>565</v>
      </c>
      <c r="I148" s="29">
        <v>115000000</v>
      </c>
      <c r="J148" t="s">
        <v>451</v>
      </c>
      <c r="L148" t="s">
        <v>36</v>
      </c>
      <c r="M148" t="str">
        <f>IFERROR(INDEX(Diccionario!$N:$N,MATCH(F732,Diccionario!$C:$C,0)),"")</f>
        <v>Mensual</v>
      </c>
    </row>
    <row r="149" spans="1:13" ht="12" customHeight="1" x14ac:dyDescent="0.3">
      <c r="A149" t="s">
        <v>529</v>
      </c>
      <c r="B149" t="s">
        <v>522</v>
      </c>
      <c r="C149" t="s">
        <v>523</v>
      </c>
      <c r="D149" t="s">
        <v>451</v>
      </c>
      <c r="E149" t="s">
        <v>524</v>
      </c>
      <c r="F149" t="s">
        <v>371</v>
      </c>
      <c r="H149" t="s">
        <v>569</v>
      </c>
      <c r="I149" s="29">
        <v>6000000</v>
      </c>
      <c r="J149" t="s">
        <v>451</v>
      </c>
      <c r="L149" t="s">
        <v>36</v>
      </c>
      <c r="M149" t="str">
        <f>IFERROR(INDEX(Diccionario!$N:$N,MATCH(F734,Diccionario!$C:$C,0)),"")</f>
        <v>Mensual</v>
      </c>
    </row>
    <row r="150" spans="1:13" ht="12" customHeight="1" x14ac:dyDescent="0.3">
      <c r="A150" t="s">
        <v>529</v>
      </c>
      <c r="B150" t="s">
        <v>522</v>
      </c>
      <c r="C150" t="s">
        <v>523</v>
      </c>
      <c r="D150" t="s">
        <v>451</v>
      </c>
      <c r="E150" t="s">
        <v>524</v>
      </c>
      <c r="F150" t="s">
        <v>371</v>
      </c>
      <c r="H150" t="s">
        <v>570</v>
      </c>
      <c r="I150" s="29">
        <v>0</v>
      </c>
      <c r="J150" t="s">
        <v>451</v>
      </c>
      <c r="L150" t="s">
        <v>36</v>
      </c>
      <c r="M150" t="str">
        <f>IFERROR(INDEX(Diccionario!$N:$N,MATCH(F735,Diccionario!$C:$C,0)),"")</f>
        <v>Mensual</v>
      </c>
    </row>
    <row r="151" spans="1:13" ht="12" customHeight="1" x14ac:dyDescent="0.3">
      <c r="A151" t="s">
        <v>530</v>
      </c>
      <c r="B151" t="s">
        <v>522</v>
      </c>
      <c r="C151" t="s">
        <v>523</v>
      </c>
      <c r="D151" t="s">
        <v>451</v>
      </c>
      <c r="E151" t="s">
        <v>524</v>
      </c>
      <c r="F151" t="s">
        <v>314</v>
      </c>
      <c r="H151" t="s">
        <v>577</v>
      </c>
      <c r="I151" s="29">
        <v>1000000</v>
      </c>
      <c r="J151" t="s">
        <v>451</v>
      </c>
      <c r="L151" t="s">
        <v>36</v>
      </c>
      <c r="M151" t="str">
        <f>IFERROR(INDEX(Diccionario!$N:$N,MATCH(F612,Diccionario!$C:$C,0)),"")</f>
        <v>Mensual</v>
      </c>
    </row>
    <row r="152" spans="1:13" ht="12" customHeight="1" x14ac:dyDescent="0.3">
      <c r="A152" t="s">
        <v>530</v>
      </c>
      <c r="B152" t="s">
        <v>522</v>
      </c>
      <c r="C152" t="s">
        <v>523</v>
      </c>
      <c r="D152" t="s">
        <v>451</v>
      </c>
      <c r="E152" t="s">
        <v>524</v>
      </c>
      <c r="F152" t="s">
        <v>314</v>
      </c>
      <c r="H152" t="s">
        <v>565</v>
      </c>
      <c r="I152" s="29">
        <v>47000000</v>
      </c>
      <c r="J152" t="s">
        <v>451</v>
      </c>
      <c r="L152" t="s">
        <v>36</v>
      </c>
      <c r="M152" t="str">
        <f>IFERROR(INDEX(Diccionario!$N:$N,MATCH(F611,Diccionario!$C:$C,0)),"")</f>
        <v>Mensual</v>
      </c>
    </row>
    <row r="153" spans="1:13" ht="12" customHeight="1" x14ac:dyDescent="0.3">
      <c r="A153" t="s">
        <v>530</v>
      </c>
      <c r="B153" t="s">
        <v>522</v>
      </c>
      <c r="C153" t="s">
        <v>523</v>
      </c>
      <c r="D153" t="s">
        <v>451</v>
      </c>
      <c r="E153" t="s">
        <v>524</v>
      </c>
      <c r="F153" t="s">
        <v>314</v>
      </c>
      <c r="H153" t="s">
        <v>569</v>
      </c>
      <c r="I153" s="29">
        <v>5000000</v>
      </c>
      <c r="J153" t="s">
        <v>451</v>
      </c>
      <c r="L153" t="s">
        <v>36</v>
      </c>
      <c r="M153" t="str">
        <f>IFERROR(INDEX(Diccionario!$N:$N,MATCH(F613,Diccionario!$C:$C,0)),"")</f>
        <v>Mensual</v>
      </c>
    </row>
    <row r="154" spans="1:13" ht="12" customHeight="1" x14ac:dyDescent="0.3">
      <c r="A154" t="s">
        <v>530</v>
      </c>
      <c r="B154" t="s">
        <v>522</v>
      </c>
      <c r="C154" t="s">
        <v>523</v>
      </c>
      <c r="D154" t="s">
        <v>451</v>
      </c>
      <c r="E154" t="s">
        <v>524</v>
      </c>
      <c r="F154" t="s">
        <v>318</v>
      </c>
      <c r="H154" t="s">
        <v>574</v>
      </c>
      <c r="I154" s="29">
        <v>17000000</v>
      </c>
      <c r="J154" t="s">
        <v>451</v>
      </c>
      <c r="L154" t="s">
        <v>36</v>
      </c>
      <c r="M154" t="str">
        <f>IFERROR(INDEX(Diccionario!$N:$N,MATCH(F483,Diccionario!$C:$C,0)),"")</f>
        <v>Mensual</v>
      </c>
    </row>
    <row r="155" spans="1:13" ht="12" customHeight="1" x14ac:dyDescent="0.3">
      <c r="A155" t="s">
        <v>530</v>
      </c>
      <c r="B155" t="s">
        <v>522</v>
      </c>
      <c r="C155" t="s">
        <v>523</v>
      </c>
      <c r="D155" t="s">
        <v>451</v>
      </c>
      <c r="E155" t="s">
        <v>524</v>
      </c>
      <c r="F155" t="s">
        <v>318</v>
      </c>
      <c r="H155" t="s">
        <v>575</v>
      </c>
      <c r="I155" s="29">
        <v>4000000</v>
      </c>
      <c r="J155" t="s">
        <v>451</v>
      </c>
      <c r="L155" t="s">
        <v>36</v>
      </c>
      <c r="M155" t="str">
        <f>IFERROR(INDEX(Diccionario!$N:$N,MATCH(F484,Diccionario!$C:$C,0)),"")</f>
        <v>Mensual</v>
      </c>
    </row>
    <row r="156" spans="1:13" ht="12" customHeight="1" x14ac:dyDescent="0.3">
      <c r="A156" t="s">
        <v>530</v>
      </c>
      <c r="B156" t="s">
        <v>522</v>
      </c>
      <c r="C156" t="s">
        <v>523</v>
      </c>
      <c r="D156" t="s">
        <v>451</v>
      </c>
      <c r="E156" t="s">
        <v>524</v>
      </c>
      <c r="F156" t="s">
        <v>318</v>
      </c>
      <c r="H156" t="s">
        <v>573</v>
      </c>
      <c r="I156" s="29">
        <v>0</v>
      </c>
      <c r="J156" t="s">
        <v>451</v>
      </c>
      <c r="L156" t="s">
        <v>36</v>
      </c>
      <c r="M156" t="str">
        <f>IFERROR(INDEX(Diccionario!$N:$N,MATCH(F482,Diccionario!$C:$C,0)),"")</f>
        <v>Mensual</v>
      </c>
    </row>
    <row r="157" spans="1:13" ht="12" customHeight="1" x14ac:dyDescent="0.3">
      <c r="A157" t="s">
        <v>530</v>
      </c>
      <c r="B157" t="s">
        <v>522</v>
      </c>
      <c r="C157" t="s">
        <v>523</v>
      </c>
      <c r="D157" t="s">
        <v>451</v>
      </c>
      <c r="E157" t="s">
        <v>524</v>
      </c>
      <c r="F157" t="s">
        <v>318</v>
      </c>
      <c r="H157" t="s">
        <v>572</v>
      </c>
      <c r="I157" s="29">
        <v>143000000</v>
      </c>
      <c r="J157" t="s">
        <v>451</v>
      </c>
      <c r="L157" t="s">
        <v>36</v>
      </c>
      <c r="M157" t="str">
        <f>IFERROR(INDEX(Diccionario!$N:$N,MATCH(F481,Diccionario!$C:$C,0)),"")</f>
        <v>Mensual</v>
      </c>
    </row>
    <row r="158" spans="1:13" ht="12" customHeight="1" x14ac:dyDescent="0.3">
      <c r="A158" t="s">
        <v>530</v>
      </c>
      <c r="B158" t="s">
        <v>522</v>
      </c>
      <c r="C158" t="s">
        <v>523</v>
      </c>
      <c r="D158" t="s">
        <v>451</v>
      </c>
      <c r="E158" t="s">
        <v>524</v>
      </c>
      <c r="F158" t="s">
        <v>318</v>
      </c>
      <c r="H158" t="s">
        <v>576</v>
      </c>
      <c r="I158" s="29">
        <v>3000000</v>
      </c>
      <c r="J158" t="s">
        <v>451</v>
      </c>
      <c r="L158" t="s">
        <v>36</v>
      </c>
      <c r="M158" t="str">
        <f>IFERROR(INDEX(Diccionario!$N:$N,MATCH(F485,Diccionario!$C:$C,0)),"")</f>
        <v>Mensual</v>
      </c>
    </row>
    <row r="159" spans="1:13" ht="12" customHeight="1" x14ac:dyDescent="0.3">
      <c r="A159" t="s">
        <v>530</v>
      </c>
      <c r="B159" t="s">
        <v>522</v>
      </c>
      <c r="C159" t="s">
        <v>523</v>
      </c>
      <c r="E159" t="s">
        <v>524</v>
      </c>
      <c r="F159" t="s">
        <v>323</v>
      </c>
      <c r="I159" s="36">
        <v>24.42</v>
      </c>
      <c r="J159" t="s">
        <v>65</v>
      </c>
      <c r="L159" t="s">
        <v>36</v>
      </c>
      <c r="M159" t="str">
        <f>IFERROR(INDEX(Diccionario!$N:$N,MATCH(F1003,Diccionario!$C:$C,0)),"")</f>
        <v>Mensual</v>
      </c>
    </row>
    <row r="160" spans="1:13" ht="12" customHeight="1" x14ac:dyDescent="0.3">
      <c r="A160" t="s">
        <v>530</v>
      </c>
      <c r="B160" t="s">
        <v>522</v>
      </c>
      <c r="C160" t="s">
        <v>523</v>
      </c>
      <c r="D160" t="s">
        <v>451</v>
      </c>
      <c r="E160" t="s">
        <v>524</v>
      </c>
      <c r="F160" t="s">
        <v>309</v>
      </c>
      <c r="H160" t="s">
        <v>567</v>
      </c>
      <c r="I160" s="29">
        <v>23000000</v>
      </c>
      <c r="J160" t="s">
        <v>451</v>
      </c>
      <c r="L160" t="s">
        <v>36</v>
      </c>
      <c r="M160" t="str">
        <f>IFERROR(INDEX(Diccionario!$N:$N,MATCH(F291,Diccionario!$C:$C,0)),"")</f>
        <v>Mensual</v>
      </c>
    </row>
    <row r="161" spans="1:13" ht="12" customHeight="1" x14ac:dyDescent="0.3">
      <c r="A161" t="s">
        <v>530</v>
      </c>
      <c r="B161" t="s">
        <v>522</v>
      </c>
      <c r="C161" t="s">
        <v>523</v>
      </c>
      <c r="D161" t="s">
        <v>451</v>
      </c>
      <c r="E161" t="s">
        <v>524</v>
      </c>
      <c r="F161" t="s">
        <v>309</v>
      </c>
      <c r="H161" t="s">
        <v>571</v>
      </c>
      <c r="I161" s="29">
        <v>4000000</v>
      </c>
      <c r="J161" t="s">
        <v>451</v>
      </c>
      <c r="L161" t="s">
        <v>36</v>
      </c>
      <c r="M161" t="str">
        <f>IFERROR(INDEX(Diccionario!$N:$N,MATCH(F295,Diccionario!$C:$C,0)),"")</f>
        <v>Mensual</v>
      </c>
    </row>
    <row r="162" spans="1:13" ht="12" customHeight="1" x14ac:dyDescent="0.3">
      <c r="A162" t="s">
        <v>530</v>
      </c>
      <c r="B162" t="s">
        <v>522</v>
      </c>
      <c r="C162" t="s">
        <v>523</v>
      </c>
      <c r="D162" t="s">
        <v>451</v>
      </c>
      <c r="E162" t="s">
        <v>524</v>
      </c>
      <c r="F162" t="s">
        <v>309</v>
      </c>
      <c r="H162" t="s">
        <v>566</v>
      </c>
      <c r="I162" s="29">
        <v>8000000</v>
      </c>
      <c r="J162" t="s">
        <v>451</v>
      </c>
      <c r="L162" t="s">
        <v>36</v>
      </c>
      <c r="M162" t="str">
        <f>IFERROR(INDEX(Diccionario!$N:$N,MATCH(F290,Diccionario!$C:$C,0)),"")</f>
        <v>Mensual</v>
      </c>
    </row>
    <row r="163" spans="1:13" ht="12" customHeight="1" x14ac:dyDescent="0.3">
      <c r="A163" t="s">
        <v>530</v>
      </c>
      <c r="B163" t="s">
        <v>522</v>
      </c>
      <c r="C163" t="s">
        <v>523</v>
      </c>
      <c r="D163" t="s">
        <v>451</v>
      </c>
      <c r="E163" t="s">
        <v>524</v>
      </c>
      <c r="F163" t="s">
        <v>309</v>
      </c>
      <c r="H163" t="s">
        <v>565</v>
      </c>
      <c r="I163" s="29">
        <v>44000000</v>
      </c>
      <c r="J163" t="s">
        <v>451</v>
      </c>
      <c r="L163" t="s">
        <v>36</v>
      </c>
      <c r="M163" t="str">
        <f>IFERROR(INDEX(Diccionario!$N:$N,MATCH(F289,Diccionario!$C:$C,0)),"")</f>
        <v>Mensual</v>
      </c>
    </row>
    <row r="164" spans="1:13" ht="12" customHeight="1" x14ac:dyDescent="0.3">
      <c r="A164" t="s">
        <v>530</v>
      </c>
      <c r="B164" t="s">
        <v>522</v>
      </c>
      <c r="C164" t="s">
        <v>523</v>
      </c>
      <c r="D164" t="s">
        <v>451</v>
      </c>
      <c r="E164" t="s">
        <v>524</v>
      </c>
      <c r="F164" t="s">
        <v>309</v>
      </c>
      <c r="H164" t="s">
        <v>568</v>
      </c>
      <c r="I164" s="29">
        <v>4000000</v>
      </c>
      <c r="J164" t="s">
        <v>451</v>
      </c>
      <c r="L164" t="s">
        <v>36</v>
      </c>
      <c r="M164" t="str">
        <f>IFERROR(INDEX(Diccionario!$N:$N,MATCH(F292,Diccionario!$C:$C,0)),"")</f>
        <v>Mensual</v>
      </c>
    </row>
    <row r="165" spans="1:13" ht="12" customHeight="1" x14ac:dyDescent="0.3">
      <c r="A165" t="s">
        <v>530</v>
      </c>
      <c r="B165" t="s">
        <v>522</v>
      </c>
      <c r="C165" t="s">
        <v>523</v>
      </c>
      <c r="D165" t="s">
        <v>451</v>
      </c>
      <c r="E165" t="s">
        <v>524</v>
      </c>
      <c r="F165" t="s">
        <v>309</v>
      </c>
      <c r="H165" t="s">
        <v>569</v>
      </c>
      <c r="I165" s="29">
        <v>5000000</v>
      </c>
      <c r="J165" t="s">
        <v>451</v>
      </c>
      <c r="L165" t="s">
        <v>36</v>
      </c>
      <c r="M165" t="str">
        <f>IFERROR(INDEX(Diccionario!$N:$N,MATCH(F293,Diccionario!$C:$C,0)),"")</f>
        <v>Mensual</v>
      </c>
    </row>
    <row r="166" spans="1:13" ht="12" customHeight="1" x14ac:dyDescent="0.3">
      <c r="A166" t="s">
        <v>530</v>
      </c>
      <c r="B166" t="s">
        <v>522</v>
      </c>
      <c r="C166" t="s">
        <v>523</v>
      </c>
      <c r="D166" t="s">
        <v>451</v>
      </c>
      <c r="E166" t="s">
        <v>524</v>
      </c>
      <c r="F166" t="s">
        <v>309</v>
      </c>
      <c r="H166" t="s">
        <v>570</v>
      </c>
      <c r="I166" s="29">
        <v>8000000</v>
      </c>
      <c r="J166" t="s">
        <v>451</v>
      </c>
      <c r="L166" t="s">
        <v>36</v>
      </c>
      <c r="M166" t="str">
        <f>IFERROR(INDEX(Diccionario!$N:$N,MATCH(F294,Diccionario!$C:$C,0)),"")</f>
        <v>Mensual</v>
      </c>
    </row>
    <row r="167" spans="1:13" ht="12" customHeight="1" x14ac:dyDescent="0.3">
      <c r="A167" t="s">
        <v>530</v>
      </c>
      <c r="B167" t="s">
        <v>522</v>
      </c>
      <c r="C167" t="s">
        <v>523</v>
      </c>
      <c r="D167" t="s">
        <v>451</v>
      </c>
      <c r="E167" t="s">
        <v>524</v>
      </c>
      <c r="F167" t="s">
        <v>304</v>
      </c>
      <c r="H167" t="s">
        <v>564</v>
      </c>
      <c r="I167" s="29">
        <v>99000000</v>
      </c>
      <c r="J167" t="s">
        <v>451</v>
      </c>
      <c r="L167" t="s">
        <v>36</v>
      </c>
      <c r="M167" t="str">
        <f>IFERROR(INDEX(Diccionario!$N:$N,MATCH(F138,Diccionario!$C:$C,0)),"")</f>
        <v>Mensual</v>
      </c>
    </row>
    <row r="168" spans="1:13" ht="12" customHeight="1" x14ac:dyDescent="0.3">
      <c r="A168" t="s">
        <v>530</v>
      </c>
      <c r="B168" t="s">
        <v>522</v>
      </c>
      <c r="C168" t="s">
        <v>523</v>
      </c>
      <c r="D168" t="s">
        <v>451</v>
      </c>
      <c r="E168" t="s">
        <v>524</v>
      </c>
      <c r="F168" t="s">
        <v>304</v>
      </c>
      <c r="H168" t="s">
        <v>190</v>
      </c>
      <c r="I168" s="29">
        <v>157000000</v>
      </c>
      <c r="J168" t="s">
        <v>451</v>
      </c>
      <c r="L168" t="s">
        <v>36</v>
      </c>
      <c r="M168" t="str">
        <f>IFERROR(INDEX(Diccionario!$N:$N,MATCH(F137,Diccionario!$C:$C,0)),"")</f>
        <v>Mensual</v>
      </c>
    </row>
    <row r="169" spans="1:13" ht="12" customHeight="1" x14ac:dyDescent="0.3">
      <c r="A169" t="s">
        <v>530</v>
      </c>
      <c r="B169" t="s">
        <v>522</v>
      </c>
      <c r="C169" t="s">
        <v>523</v>
      </c>
      <c r="D169" t="s">
        <v>451</v>
      </c>
      <c r="E169" t="s">
        <v>524</v>
      </c>
      <c r="F169" t="s">
        <v>304</v>
      </c>
      <c r="H169" t="s">
        <v>561</v>
      </c>
      <c r="I169" s="29">
        <v>10000000</v>
      </c>
      <c r="J169" t="s">
        <v>451</v>
      </c>
      <c r="L169" t="s">
        <v>36</v>
      </c>
      <c r="M169" t="str">
        <f>IFERROR(INDEX(Diccionario!$N:$N,MATCH(F134,Diccionario!$C:$C,0)),"")</f>
        <v>Mensual</v>
      </c>
    </row>
    <row r="170" spans="1:13" ht="12" customHeight="1" x14ac:dyDescent="0.3">
      <c r="A170" t="s">
        <v>530</v>
      </c>
      <c r="B170" t="s">
        <v>522</v>
      </c>
      <c r="C170" t="s">
        <v>523</v>
      </c>
      <c r="D170" t="s">
        <v>451</v>
      </c>
      <c r="E170" t="s">
        <v>524</v>
      </c>
      <c r="F170" t="s">
        <v>304</v>
      </c>
      <c r="H170" t="s">
        <v>563</v>
      </c>
      <c r="I170" s="29">
        <v>167000000</v>
      </c>
      <c r="J170" t="s">
        <v>451</v>
      </c>
      <c r="L170" t="s">
        <v>36</v>
      </c>
      <c r="M170" t="str">
        <f>IFERROR(INDEX(Diccionario!$N:$N,MATCH(F136,Diccionario!$C:$C,0)),"")</f>
        <v>Mensual</v>
      </c>
    </row>
    <row r="171" spans="1:13" ht="12" customHeight="1" x14ac:dyDescent="0.3">
      <c r="A171" t="s">
        <v>530</v>
      </c>
      <c r="B171" t="s">
        <v>522</v>
      </c>
      <c r="C171" t="s">
        <v>523</v>
      </c>
      <c r="D171" t="s">
        <v>451</v>
      </c>
      <c r="E171" t="s">
        <v>524</v>
      </c>
      <c r="F171" t="s">
        <v>304</v>
      </c>
      <c r="H171" t="s">
        <v>562</v>
      </c>
      <c r="I171" s="29">
        <v>177000000</v>
      </c>
      <c r="J171" t="s">
        <v>451</v>
      </c>
      <c r="L171" t="s">
        <v>36</v>
      </c>
      <c r="M171" t="str">
        <f>IFERROR(INDEX(Diccionario!$N:$N,MATCH(F135,Diccionario!$C:$C,0)),"")</f>
        <v>Mensual</v>
      </c>
    </row>
    <row r="172" spans="1:13" ht="12" customHeight="1" x14ac:dyDescent="0.3">
      <c r="A172" t="s">
        <v>530</v>
      </c>
      <c r="B172" t="s">
        <v>522</v>
      </c>
      <c r="C172" t="s">
        <v>523</v>
      </c>
      <c r="D172" t="s">
        <v>451</v>
      </c>
      <c r="E172" t="s">
        <v>524</v>
      </c>
      <c r="F172" t="s">
        <v>377</v>
      </c>
      <c r="H172" t="s">
        <v>571</v>
      </c>
      <c r="I172" s="29">
        <v>6000000</v>
      </c>
      <c r="J172" t="s">
        <v>451</v>
      </c>
      <c r="L172" t="s">
        <v>36</v>
      </c>
      <c r="M172" t="str">
        <f>IFERROR(INDEX(Diccionario!$N:$N,MATCH(F862,Diccionario!$C:$C,0)),"")</f>
        <v>Mensual</v>
      </c>
    </row>
    <row r="173" spans="1:13" ht="12" customHeight="1" x14ac:dyDescent="0.3">
      <c r="A173" t="s">
        <v>530</v>
      </c>
      <c r="B173" t="s">
        <v>522</v>
      </c>
      <c r="C173" t="s">
        <v>523</v>
      </c>
      <c r="D173" t="s">
        <v>451</v>
      </c>
      <c r="E173" t="s">
        <v>524</v>
      </c>
      <c r="F173" t="s">
        <v>377</v>
      </c>
      <c r="H173" t="s">
        <v>577</v>
      </c>
      <c r="I173" s="29">
        <v>10000000</v>
      </c>
      <c r="J173" t="s">
        <v>451</v>
      </c>
      <c r="L173" t="s">
        <v>36</v>
      </c>
      <c r="M173" t="str">
        <f>IFERROR(INDEX(Diccionario!$N:$N,MATCH(F858,Diccionario!$C:$C,0)),"")</f>
        <v>Mensual</v>
      </c>
    </row>
    <row r="174" spans="1:13" ht="12" customHeight="1" x14ac:dyDescent="0.3">
      <c r="A174" t="s">
        <v>530</v>
      </c>
      <c r="B174" t="s">
        <v>522</v>
      </c>
      <c r="C174" t="s">
        <v>523</v>
      </c>
      <c r="D174" t="s">
        <v>451</v>
      </c>
      <c r="E174" t="s">
        <v>524</v>
      </c>
      <c r="F174" t="s">
        <v>377</v>
      </c>
      <c r="H174" t="s">
        <v>565</v>
      </c>
      <c r="I174" s="29">
        <v>82000000</v>
      </c>
      <c r="J174" t="s">
        <v>451</v>
      </c>
      <c r="L174" t="s">
        <v>36</v>
      </c>
      <c r="M174" t="str">
        <f>IFERROR(INDEX(Diccionario!$N:$N,MATCH(F857,Diccionario!$C:$C,0)),"")</f>
        <v>Mensual</v>
      </c>
    </row>
    <row r="175" spans="1:13" ht="12" customHeight="1" x14ac:dyDescent="0.3">
      <c r="A175" t="s">
        <v>530</v>
      </c>
      <c r="B175" t="s">
        <v>522</v>
      </c>
      <c r="C175" t="s">
        <v>523</v>
      </c>
      <c r="D175" t="s">
        <v>451</v>
      </c>
      <c r="E175" t="s">
        <v>524</v>
      </c>
      <c r="F175" t="s">
        <v>377</v>
      </c>
      <c r="H175" t="s">
        <v>568</v>
      </c>
      <c r="I175" s="29">
        <v>1000000</v>
      </c>
      <c r="J175" t="s">
        <v>451</v>
      </c>
      <c r="L175" t="s">
        <v>36</v>
      </c>
      <c r="M175" t="str">
        <f>IFERROR(INDEX(Diccionario!$N:$N,MATCH(F859,Diccionario!$C:$C,0)),"")</f>
        <v>Mensual</v>
      </c>
    </row>
    <row r="176" spans="1:13" ht="12" customHeight="1" x14ac:dyDescent="0.3">
      <c r="A176" t="s">
        <v>530</v>
      </c>
      <c r="B176" t="s">
        <v>522</v>
      </c>
      <c r="C176" t="s">
        <v>523</v>
      </c>
      <c r="D176" t="s">
        <v>451</v>
      </c>
      <c r="E176" t="s">
        <v>524</v>
      </c>
      <c r="F176" t="s">
        <v>377</v>
      </c>
      <c r="H176" t="s">
        <v>569</v>
      </c>
      <c r="I176" s="29">
        <v>45000000</v>
      </c>
      <c r="J176" t="s">
        <v>451</v>
      </c>
      <c r="L176" t="s">
        <v>36</v>
      </c>
      <c r="M176" t="str">
        <f>IFERROR(INDEX(Diccionario!$N:$N,MATCH(F860,Diccionario!$C:$C,0)),"")</f>
        <v>Mensual</v>
      </c>
    </row>
    <row r="177" spans="1:13" ht="12" customHeight="1" x14ac:dyDescent="0.3">
      <c r="A177" t="s">
        <v>530</v>
      </c>
      <c r="B177" t="s">
        <v>522</v>
      </c>
      <c r="C177" t="s">
        <v>523</v>
      </c>
      <c r="D177" t="s">
        <v>451</v>
      </c>
      <c r="E177" t="s">
        <v>524</v>
      </c>
      <c r="F177" t="s">
        <v>377</v>
      </c>
      <c r="H177" t="s">
        <v>570</v>
      </c>
      <c r="I177" s="29">
        <v>12000000</v>
      </c>
      <c r="J177" t="s">
        <v>451</v>
      </c>
      <c r="L177" t="s">
        <v>36</v>
      </c>
      <c r="M177" t="str">
        <f>IFERROR(INDEX(Diccionario!$N:$N,MATCH(F861,Diccionario!$C:$C,0)),"")</f>
        <v>Mensual</v>
      </c>
    </row>
    <row r="178" spans="1:13" ht="12" customHeight="1" x14ac:dyDescent="0.3">
      <c r="A178" t="s">
        <v>530</v>
      </c>
      <c r="B178" t="s">
        <v>522</v>
      </c>
      <c r="C178" t="s">
        <v>523</v>
      </c>
      <c r="D178" t="s">
        <v>451</v>
      </c>
      <c r="E178" t="s">
        <v>524</v>
      </c>
      <c r="F178" t="s">
        <v>371</v>
      </c>
      <c r="H178" t="s">
        <v>566</v>
      </c>
      <c r="I178" s="29">
        <v>4000000</v>
      </c>
      <c r="J178" t="s">
        <v>451</v>
      </c>
      <c r="L178" t="s">
        <v>36</v>
      </c>
      <c r="M178" t="str">
        <f>IFERROR(INDEX(Diccionario!$N:$N,MATCH(F737,Diccionario!$C:$C,0)),"")</f>
        <v>Mensual</v>
      </c>
    </row>
    <row r="179" spans="1:13" ht="12" customHeight="1" x14ac:dyDescent="0.3">
      <c r="A179" t="s">
        <v>530</v>
      </c>
      <c r="B179" t="s">
        <v>522</v>
      </c>
      <c r="C179" t="s">
        <v>523</v>
      </c>
      <c r="D179" t="s">
        <v>451</v>
      </c>
      <c r="E179" t="s">
        <v>524</v>
      </c>
      <c r="F179" t="s">
        <v>371</v>
      </c>
      <c r="H179" t="s">
        <v>565</v>
      </c>
      <c r="I179" s="29">
        <v>113000000</v>
      </c>
      <c r="J179" t="s">
        <v>451</v>
      </c>
      <c r="L179" t="s">
        <v>36</v>
      </c>
      <c r="M179" t="str">
        <f>IFERROR(INDEX(Diccionario!$N:$N,MATCH(F736,Diccionario!$C:$C,0)),"")</f>
        <v>Mensual</v>
      </c>
    </row>
    <row r="180" spans="1:13" ht="12" customHeight="1" x14ac:dyDescent="0.3">
      <c r="A180" t="s">
        <v>530</v>
      </c>
      <c r="B180" t="s">
        <v>522</v>
      </c>
      <c r="C180" t="s">
        <v>523</v>
      </c>
      <c r="D180" t="s">
        <v>451</v>
      </c>
      <c r="E180" t="s">
        <v>524</v>
      </c>
      <c r="F180" t="s">
        <v>371</v>
      </c>
      <c r="H180" t="s">
        <v>569</v>
      </c>
      <c r="I180" s="29">
        <v>3000000</v>
      </c>
      <c r="J180" t="s">
        <v>451</v>
      </c>
      <c r="L180" t="s">
        <v>36</v>
      </c>
      <c r="M180" t="str">
        <f>IFERROR(INDEX(Diccionario!$N:$N,MATCH(F738,Diccionario!$C:$C,0)),"")</f>
        <v>Mensual</v>
      </c>
    </row>
    <row r="181" spans="1:13" ht="12" customHeight="1" x14ac:dyDescent="0.3">
      <c r="A181" t="s">
        <v>530</v>
      </c>
      <c r="B181" t="s">
        <v>522</v>
      </c>
      <c r="C181" t="s">
        <v>523</v>
      </c>
      <c r="D181" t="s">
        <v>451</v>
      </c>
      <c r="E181" t="s">
        <v>524</v>
      </c>
      <c r="F181" t="s">
        <v>371</v>
      </c>
      <c r="H181" t="s">
        <v>570</v>
      </c>
      <c r="I181" s="29">
        <v>0</v>
      </c>
      <c r="J181" t="s">
        <v>451</v>
      </c>
      <c r="L181" t="s">
        <v>36</v>
      </c>
      <c r="M181" t="str">
        <f>IFERROR(INDEX(Diccionario!$N:$N,MATCH(F739,Diccionario!$C:$C,0)),"")</f>
        <v>Mensual</v>
      </c>
    </row>
    <row r="182" spans="1:13" ht="12" customHeight="1" x14ac:dyDescent="0.3">
      <c r="A182" t="s">
        <v>531</v>
      </c>
      <c r="B182" t="s">
        <v>522</v>
      </c>
      <c r="C182" t="s">
        <v>523</v>
      </c>
      <c r="D182" t="s">
        <v>451</v>
      </c>
      <c r="E182" t="s">
        <v>524</v>
      </c>
      <c r="F182" t="s">
        <v>314</v>
      </c>
      <c r="H182" t="s">
        <v>577</v>
      </c>
      <c r="I182" s="29">
        <v>1000000</v>
      </c>
      <c r="J182" t="s">
        <v>451</v>
      </c>
      <c r="L182" t="s">
        <v>36</v>
      </c>
      <c r="M182" t="str">
        <f>IFERROR(INDEX(Diccionario!$N:$N,MATCH(F615,Diccionario!$C:$C,0)),"")</f>
        <v>Mensual</v>
      </c>
    </row>
    <row r="183" spans="1:13" ht="12" customHeight="1" x14ac:dyDescent="0.3">
      <c r="A183" t="s">
        <v>531</v>
      </c>
      <c r="B183" t="s">
        <v>522</v>
      </c>
      <c r="C183" t="s">
        <v>523</v>
      </c>
      <c r="D183" t="s">
        <v>451</v>
      </c>
      <c r="E183" t="s">
        <v>524</v>
      </c>
      <c r="F183" t="s">
        <v>314</v>
      </c>
      <c r="H183" t="s">
        <v>565</v>
      </c>
      <c r="I183" s="29">
        <v>61000000</v>
      </c>
      <c r="J183" t="s">
        <v>451</v>
      </c>
      <c r="L183" t="s">
        <v>36</v>
      </c>
      <c r="M183" t="str">
        <f>IFERROR(INDEX(Diccionario!$N:$N,MATCH(F614,Diccionario!$C:$C,0)),"")</f>
        <v>Mensual</v>
      </c>
    </row>
    <row r="184" spans="1:13" ht="12" customHeight="1" x14ac:dyDescent="0.3">
      <c r="A184" t="s">
        <v>531</v>
      </c>
      <c r="B184" t="s">
        <v>522</v>
      </c>
      <c r="C184" t="s">
        <v>523</v>
      </c>
      <c r="D184" t="s">
        <v>451</v>
      </c>
      <c r="E184" t="s">
        <v>524</v>
      </c>
      <c r="F184" t="s">
        <v>314</v>
      </c>
      <c r="H184" t="s">
        <v>569</v>
      </c>
      <c r="I184" s="29">
        <v>5000000</v>
      </c>
      <c r="J184" t="s">
        <v>451</v>
      </c>
      <c r="L184" t="s">
        <v>36</v>
      </c>
      <c r="M184" t="str">
        <f>IFERROR(INDEX(Diccionario!$N:$N,MATCH(F616,Diccionario!$C:$C,0)),"")</f>
        <v>Mensual</v>
      </c>
    </row>
    <row r="185" spans="1:13" ht="12" customHeight="1" x14ac:dyDescent="0.3">
      <c r="A185" t="s">
        <v>531</v>
      </c>
      <c r="B185" t="s">
        <v>522</v>
      </c>
      <c r="C185" t="s">
        <v>523</v>
      </c>
      <c r="D185" t="s">
        <v>451</v>
      </c>
      <c r="E185" t="s">
        <v>524</v>
      </c>
      <c r="F185" t="s">
        <v>318</v>
      </c>
      <c r="H185" t="s">
        <v>574</v>
      </c>
      <c r="I185" s="29">
        <v>18000000</v>
      </c>
      <c r="J185" t="s">
        <v>451</v>
      </c>
      <c r="L185" t="s">
        <v>36</v>
      </c>
      <c r="M185" t="str">
        <f>IFERROR(INDEX(Diccionario!$N:$N,MATCH(F488,Diccionario!$C:$C,0)),"")</f>
        <v>Mensual</v>
      </c>
    </row>
    <row r="186" spans="1:13" ht="12" customHeight="1" x14ac:dyDescent="0.3">
      <c r="A186" t="s">
        <v>531</v>
      </c>
      <c r="B186" t="s">
        <v>522</v>
      </c>
      <c r="C186" t="s">
        <v>523</v>
      </c>
      <c r="D186" t="s">
        <v>451</v>
      </c>
      <c r="E186" t="s">
        <v>524</v>
      </c>
      <c r="F186" t="s">
        <v>318</v>
      </c>
      <c r="H186" t="s">
        <v>575</v>
      </c>
      <c r="I186" s="29">
        <v>5000000</v>
      </c>
      <c r="J186" t="s">
        <v>451</v>
      </c>
      <c r="L186" t="s">
        <v>36</v>
      </c>
      <c r="M186" t="str">
        <f>IFERROR(INDEX(Diccionario!$N:$N,MATCH(F489,Diccionario!$C:$C,0)),"")</f>
        <v>Mensual</v>
      </c>
    </row>
    <row r="187" spans="1:13" ht="12" customHeight="1" x14ac:dyDescent="0.3">
      <c r="A187" t="s">
        <v>531</v>
      </c>
      <c r="B187" t="s">
        <v>522</v>
      </c>
      <c r="C187" t="s">
        <v>523</v>
      </c>
      <c r="D187" t="s">
        <v>451</v>
      </c>
      <c r="E187" t="s">
        <v>524</v>
      </c>
      <c r="F187" t="s">
        <v>318</v>
      </c>
      <c r="H187" t="s">
        <v>573</v>
      </c>
      <c r="I187" s="29">
        <v>1000000</v>
      </c>
      <c r="J187" t="s">
        <v>451</v>
      </c>
      <c r="L187" t="s">
        <v>36</v>
      </c>
      <c r="M187" t="str">
        <f>IFERROR(INDEX(Diccionario!$N:$N,MATCH(F487,Diccionario!$C:$C,0)),"")</f>
        <v>Mensual</v>
      </c>
    </row>
    <row r="188" spans="1:13" ht="12" customHeight="1" x14ac:dyDescent="0.3">
      <c r="A188" t="s">
        <v>531</v>
      </c>
      <c r="B188" t="s">
        <v>522</v>
      </c>
      <c r="C188" t="s">
        <v>523</v>
      </c>
      <c r="D188" t="s">
        <v>451</v>
      </c>
      <c r="E188" t="s">
        <v>524</v>
      </c>
      <c r="F188" t="s">
        <v>318</v>
      </c>
      <c r="H188" t="s">
        <v>572</v>
      </c>
      <c r="I188" s="29">
        <v>55000000</v>
      </c>
      <c r="J188" t="s">
        <v>451</v>
      </c>
      <c r="L188" t="s">
        <v>36</v>
      </c>
      <c r="M188" t="str">
        <f>IFERROR(INDEX(Diccionario!$N:$N,MATCH(F486,Diccionario!$C:$C,0)),"")</f>
        <v>Mensual</v>
      </c>
    </row>
    <row r="189" spans="1:13" ht="12" customHeight="1" x14ac:dyDescent="0.3">
      <c r="A189" t="s">
        <v>531</v>
      </c>
      <c r="B189" t="s">
        <v>522</v>
      </c>
      <c r="C189" t="s">
        <v>523</v>
      </c>
      <c r="D189" t="s">
        <v>451</v>
      </c>
      <c r="E189" t="s">
        <v>524</v>
      </c>
      <c r="F189" t="s">
        <v>318</v>
      </c>
      <c r="H189" t="s">
        <v>576</v>
      </c>
      <c r="I189" s="29">
        <v>5000000</v>
      </c>
      <c r="J189" t="s">
        <v>451</v>
      </c>
      <c r="L189" t="s">
        <v>36</v>
      </c>
      <c r="M189" t="str">
        <f>IFERROR(INDEX(Diccionario!$N:$N,MATCH(F490,Diccionario!$C:$C,0)),"")</f>
        <v>Mensual</v>
      </c>
    </row>
    <row r="190" spans="1:13" ht="12" customHeight="1" x14ac:dyDescent="0.3">
      <c r="A190" t="s">
        <v>531</v>
      </c>
      <c r="B190" t="s">
        <v>522</v>
      </c>
      <c r="C190" t="s">
        <v>523</v>
      </c>
      <c r="E190" t="s">
        <v>524</v>
      </c>
      <c r="F190" t="s">
        <v>323</v>
      </c>
      <c r="I190" s="36">
        <v>13.1</v>
      </c>
      <c r="J190" t="s">
        <v>65</v>
      </c>
      <c r="L190" t="s">
        <v>36</v>
      </c>
      <c r="M190" t="str">
        <f>IFERROR(INDEX(Diccionario!$N:$N,MATCH(F1004,Diccionario!$C:$C,0)),"")</f>
        <v>Mensual</v>
      </c>
    </row>
    <row r="191" spans="1:13" ht="12" customHeight="1" x14ac:dyDescent="0.3">
      <c r="A191" t="s">
        <v>531</v>
      </c>
      <c r="B191" t="s">
        <v>522</v>
      </c>
      <c r="C191" t="s">
        <v>523</v>
      </c>
      <c r="D191" t="s">
        <v>451</v>
      </c>
      <c r="E191" t="s">
        <v>524</v>
      </c>
      <c r="F191" t="s">
        <v>309</v>
      </c>
      <c r="H191" t="s">
        <v>567</v>
      </c>
      <c r="I191" s="29">
        <v>23000000</v>
      </c>
      <c r="J191" t="s">
        <v>451</v>
      </c>
      <c r="L191" t="s">
        <v>36</v>
      </c>
      <c r="M191" t="str">
        <f>IFERROR(INDEX(Diccionario!$N:$N,MATCH(F298,Diccionario!$C:$C,0)),"")</f>
        <v>Mensual</v>
      </c>
    </row>
    <row r="192" spans="1:13" ht="12" customHeight="1" x14ac:dyDescent="0.3">
      <c r="A192" t="s">
        <v>531</v>
      </c>
      <c r="B192" t="s">
        <v>522</v>
      </c>
      <c r="C192" t="s">
        <v>523</v>
      </c>
      <c r="D192" t="s">
        <v>451</v>
      </c>
      <c r="E192" t="s">
        <v>524</v>
      </c>
      <c r="F192" t="s">
        <v>309</v>
      </c>
      <c r="H192" t="s">
        <v>571</v>
      </c>
      <c r="I192" s="29">
        <v>1000000</v>
      </c>
      <c r="J192" t="s">
        <v>451</v>
      </c>
      <c r="L192" t="s">
        <v>36</v>
      </c>
      <c r="M192" t="str">
        <f>IFERROR(INDEX(Diccionario!$N:$N,MATCH(F302,Diccionario!$C:$C,0)),"")</f>
        <v>Mensual</v>
      </c>
    </row>
    <row r="193" spans="1:13" ht="12" customHeight="1" x14ac:dyDescent="0.3">
      <c r="A193" t="s">
        <v>531</v>
      </c>
      <c r="B193" t="s">
        <v>522</v>
      </c>
      <c r="C193" t="s">
        <v>523</v>
      </c>
      <c r="D193" t="s">
        <v>451</v>
      </c>
      <c r="E193" t="s">
        <v>524</v>
      </c>
      <c r="F193" t="s">
        <v>309</v>
      </c>
      <c r="H193" t="s">
        <v>566</v>
      </c>
      <c r="I193" s="29">
        <v>7000000</v>
      </c>
      <c r="J193" t="s">
        <v>451</v>
      </c>
      <c r="L193" t="s">
        <v>36</v>
      </c>
      <c r="M193" t="str">
        <f>IFERROR(INDEX(Diccionario!$N:$N,MATCH(F297,Diccionario!$C:$C,0)),"")</f>
        <v>Mensual</v>
      </c>
    </row>
    <row r="194" spans="1:13" ht="12" customHeight="1" x14ac:dyDescent="0.3">
      <c r="A194" t="s">
        <v>531</v>
      </c>
      <c r="B194" t="s">
        <v>522</v>
      </c>
      <c r="C194" t="s">
        <v>523</v>
      </c>
      <c r="D194" t="s">
        <v>451</v>
      </c>
      <c r="E194" t="s">
        <v>524</v>
      </c>
      <c r="F194" t="s">
        <v>309</v>
      </c>
      <c r="H194" t="s">
        <v>565</v>
      </c>
      <c r="I194" s="29">
        <v>50000000</v>
      </c>
      <c r="J194" t="s">
        <v>451</v>
      </c>
      <c r="L194" t="s">
        <v>36</v>
      </c>
      <c r="M194" t="str">
        <f>IFERROR(INDEX(Diccionario!$N:$N,MATCH(F296,Diccionario!$C:$C,0)),"")</f>
        <v>Mensual</v>
      </c>
    </row>
    <row r="195" spans="1:13" ht="12" customHeight="1" x14ac:dyDescent="0.3">
      <c r="A195" t="s">
        <v>531</v>
      </c>
      <c r="B195" t="s">
        <v>522</v>
      </c>
      <c r="C195" t="s">
        <v>523</v>
      </c>
      <c r="D195" t="s">
        <v>451</v>
      </c>
      <c r="E195" t="s">
        <v>524</v>
      </c>
      <c r="F195" t="s">
        <v>309</v>
      </c>
      <c r="H195" t="s">
        <v>568</v>
      </c>
      <c r="I195" s="29">
        <v>4000000</v>
      </c>
      <c r="J195" t="s">
        <v>451</v>
      </c>
      <c r="L195" t="s">
        <v>36</v>
      </c>
      <c r="M195" t="str">
        <f>IFERROR(INDEX(Diccionario!$N:$N,MATCH(F299,Diccionario!$C:$C,0)),"")</f>
        <v>Mensual</v>
      </c>
    </row>
    <row r="196" spans="1:13" ht="12" customHeight="1" x14ac:dyDescent="0.3">
      <c r="A196" t="s">
        <v>531</v>
      </c>
      <c r="B196" t="s">
        <v>522</v>
      </c>
      <c r="C196" t="s">
        <v>523</v>
      </c>
      <c r="D196" t="s">
        <v>451</v>
      </c>
      <c r="E196" t="s">
        <v>524</v>
      </c>
      <c r="F196" t="s">
        <v>309</v>
      </c>
      <c r="H196" t="s">
        <v>569</v>
      </c>
      <c r="I196" s="29">
        <v>6000000</v>
      </c>
      <c r="J196" t="s">
        <v>451</v>
      </c>
      <c r="L196" t="s">
        <v>36</v>
      </c>
      <c r="M196" t="str">
        <f>IFERROR(INDEX(Diccionario!$N:$N,MATCH(F300,Diccionario!$C:$C,0)),"")</f>
        <v>Mensual</v>
      </c>
    </row>
    <row r="197" spans="1:13" ht="12" customHeight="1" x14ac:dyDescent="0.3">
      <c r="A197" t="s">
        <v>531</v>
      </c>
      <c r="B197" t="s">
        <v>522</v>
      </c>
      <c r="C197" t="s">
        <v>523</v>
      </c>
      <c r="D197" t="s">
        <v>451</v>
      </c>
      <c r="E197" t="s">
        <v>524</v>
      </c>
      <c r="F197" t="s">
        <v>309</v>
      </c>
      <c r="H197" t="s">
        <v>570</v>
      </c>
      <c r="I197" s="29">
        <v>17000000</v>
      </c>
      <c r="J197" t="s">
        <v>451</v>
      </c>
      <c r="L197" t="s">
        <v>36</v>
      </c>
      <c r="M197" t="str">
        <f>IFERROR(INDEX(Diccionario!$N:$N,MATCH(F301,Diccionario!$C:$C,0)),"")</f>
        <v>Mensual</v>
      </c>
    </row>
    <row r="198" spans="1:13" ht="12" customHeight="1" x14ac:dyDescent="0.3">
      <c r="A198" t="s">
        <v>531</v>
      </c>
      <c r="B198" t="s">
        <v>522</v>
      </c>
      <c r="C198" t="s">
        <v>523</v>
      </c>
      <c r="D198" t="s">
        <v>451</v>
      </c>
      <c r="E198" t="s">
        <v>524</v>
      </c>
      <c r="F198" t="s">
        <v>304</v>
      </c>
      <c r="H198" t="s">
        <v>564</v>
      </c>
      <c r="I198" s="29">
        <v>107000000</v>
      </c>
      <c r="J198" t="s">
        <v>451</v>
      </c>
      <c r="L198" t="s">
        <v>36</v>
      </c>
      <c r="M198" t="str">
        <f>IFERROR(INDEX(Diccionario!$N:$N,MATCH(F143,Diccionario!$C:$C,0)),"")</f>
        <v>Mensual</v>
      </c>
    </row>
    <row r="199" spans="1:13" ht="12" customHeight="1" x14ac:dyDescent="0.3">
      <c r="A199" t="s">
        <v>531</v>
      </c>
      <c r="B199" t="s">
        <v>522</v>
      </c>
      <c r="C199" t="s">
        <v>523</v>
      </c>
      <c r="D199" t="s">
        <v>451</v>
      </c>
      <c r="E199" t="s">
        <v>524</v>
      </c>
      <c r="F199" t="s">
        <v>304</v>
      </c>
      <c r="H199" t="s">
        <v>190</v>
      </c>
      <c r="I199" s="29">
        <v>162000000</v>
      </c>
      <c r="J199" t="s">
        <v>451</v>
      </c>
      <c r="L199" t="s">
        <v>36</v>
      </c>
      <c r="M199" t="str">
        <f>IFERROR(INDEX(Diccionario!$N:$N,MATCH(F142,Diccionario!$C:$C,0)),"")</f>
        <v>Mensual</v>
      </c>
    </row>
    <row r="200" spans="1:13" ht="12" customHeight="1" x14ac:dyDescent="0.3">
      <c r="A200" t="s">
        <v>531</v>
      </c>
      <c r="B200" t="s">
        <v>522</v>
      </c>
      <c r="C200" t="s">
        <v>523</v>
      </c>
      <c r="D200" t="s">
        <v>451</v>
      </c>
      <c r="E200" t="s">
        <v>524</v>
      </c>
      <c r="F200" t="s">
        <v>304</v>
      </c>
      <c r="H200" t="s">
        <v>561</v>
      </c>
      <c r="I200" s="29">
        <v>4000000</v>
      </c>
      <c r="J200" t="s">
        <v>451</v>
      </c>
      <c r="L200" t="s">
        <v>36</v>
      </c>
      <c r="M200" t="str">
        <f>IFERROR(INDEX(Diccionario!$N:$N,MATCH(F139,Diccionario!$C:$C,0)),"")</f>
        <v>Mensual</v>
      </c>
    </row>
    <row r="201" spans="1:13" ht="12" customHeight="1" x14ac:dyDescent="0.3">
      <c r="A201" t="s">
        <v>531</v>
      </c>
      <c r="B201" t="s">
        <v>522</v>
      </c>
      <c r="C201" t="s">
        <v>523</v>
      </c>
      <c r="D201" t="s">
        <v>451</v>
      </c>
      <c r="E201" t="s">
        <v>524</v>
      </c>
      <c r="F201" t="s">
        <v>304</v>
      </c>
      <c r="H201" t="s">
        <v>563</v>
      </c>
      <c r="I201" s="29">
        <v>84000000</v>
      </c>
      <c r="J201" t="s">
        <v>451</v>
      </c>
      <c r="L201" t="s">
        <v>36</v>
      </c>
      <c r="M201" t="str">
        <f>IFERROR(INDEX(Diccionario!$N:$N,MATCH(F141,Diccionario!$C:$C,0)),"")</f>
        <v>Mensual</v>
      </c>
    </row>
    <row r="202" spans="1:13" ht="12" customHeight="1" x14ac:dyDescent="0.3">
      <c r="A202" t="s">
        <v>531</v>
      </c>
      <c r="B202" t="s">
        <v>522</v>
      </c>
      <c r="C202" t="s">
        <v>523</v>
      </c>
      <c r="D202" t="s">
        <v>451</v>
      </c>
      <c r="E202" t="s">
        <v>524</v>
      </c>
      <c r="F202" t="s">
        <v>304</v>
      </c>
      <c r="H202" t="s">
        <v>562</v>
      </c>
      <c r="I202" s="29">
        <v>199000000</v>
      </c>
      <c r="J202" t="s">
        <v>451</v>
      </c>
      <c r="L202" t="s">
        <v>36</v>
      </c>
      <c r="M202" t="str">
        <f>IFERROR(INDEX(Diccionario!$N:$N,MATCH(F140,Diccionario!$C:$C,0)),"")</f>
        <v>Mensual</v>
      </c>
    </row>
    <row r="203" spans="1:13" ht="12" customHeight="1" x14ac:dyDescent="0.3">
      <c r="A203" t="s">
        <v>531</v>
      </c>
      <c r="B203" t="s">
        <v>522</v>
      </c>
      <c r="C203" t="s">
        <v>523</v>
      </c>
      <c r="D203" t="s">
        <v>451</v>
      </c>
      <c r="E203" t="s">
        <v>524</v>
      </c>
      <c r="F203" t="s">
        <v>377</v>
      </c>
      <c r="H203" t="s">
        <v>571</v>
      </c>
      <c r="I203" s="29">
        <v>3000000</v>
      </c>
      <c r="J203" t="s">
        <v>451</v>
      </c>
      <c r="L203" t="s">
        <v>36</v>
      </c>
      <c r="M203" t="str">
        <f>IFERROR(INDEX(Diccionario!$N:$N,MATCH(F868,Diccionario!$C:$C,0)),"")</f>
        <v>Mensual</v>
      </c>
    </row>
    <row r="204" spans="1:13" ht="12" customHeight="1" x14ac:dyDescent="0.3">
      <c r="A204" t="s">
        <v>531</v>
      </c>
      <c r="B204" t="s">
        <v>522</v>
      </c>
      <c r="C204" t="s">
        <v>523</v>
      </c>
      <c r="D204" t="s">
        <v>451</v>
      </c>
      <c r="E204" t="s">
        <v>524</v>
      </c>
      <c r="F204" t="s">
        <v>377</v>
      </c>
      <c r="H204" t="s">
        <v>577</v>
      </c>
      <c r="I204" s="29">
        <v>7000000</v>
      </c>
      <c r="J204" t="s">
        <v>451</v>
      </c>
      <c r="L204" t="s">
        <v>36</v>
      </c>
      <c r="M204" t="str">
        <f>IFERROR(INDEX(Diccionario!$N:$N,MATCH(F864,Diccionario!$C:$C,0)),"")</f>
        <v>Mensual</v>
      </c>
    </row>
    <row r="205" spans="1:13" ht="12" customHeight="1" x14ac:dyDescent="0.3">
      <c r="A205" t="s">
        <v>531</v>
      </c>
      <c r="B205" t="s">
        <v>522</v>
      </c>
      <c r="C205" t="s">
        <v>523</v>
      </c>
      <c r="D205" t="s">
        <v>451</v>
      </c>
      <c r="E205" t="s">
        <v>524</v>
      </c>
      <c r="F205" t="s">
        <v>377</v>
      </c>
      <c r="H205" t="s">
        <v>565</v>
      </c>
      <c r="I205" s="29">
        <v>93000000</v>
      </c>
      <c r="J205" t="s">
        <v>451</v>
      </c>
      <c r="L205" t="s">
        <v>36</v>
      </c>
      <c r="M205" t="str">
        <f>IFERROR(INDEX(Diccionario!$N:$N,MATCH(F863,Diccionario!$C:$C,0)),"")</f>
        <v>Mensual</v>
      </c>
    </row>
    <row r="206" spans="1:13" ht="12" customHeight="1" x14ac:dyDescent="0.3">
      <c r="A206" t="s">
        <v>531</v>
      </c>
      <c r="B206" t="s">
        <v>522</v>
      </c>
      <c r="C206" t="s">
        <v>523</v>
      </c>
      <c r="D206" t="s">
        <v>451</v>
      </c>
      <c r="E206" t="s">
        <v>524</v>
      </c>
      <c r="F206" t="s">
        <v>377</v>
      </c>
      <c r="H206" t="s">
        <v>568</v>
      </c>
      <c r="I206" s="29">
        <v>0</v>
      </c>
      <c r="J206" t="s">
        <v>451</v>
      </c>
      <c r="L206" t="s">
        <v>36</v>
      </c>
      <c r="M206" t="str">
        <f>IFERROR(INDEX(Diccionario!$N:$N,MATCH(F865,Diccionario!$C:$C,0)),"")</f>
        <v>Mensual</v>
      </c>
    </row>
    <row r="207" spans="1:13" ht="12" customHeight="1" x14ac:dyDescent="0.3">
      <c r="A207" t="s">
        <v>531</v>
      </c>
      <c r="B207" t="s">
        <v>522</v>
      </c>
      <c r="C207" t="s">
        <v>523</v>
      </c>
      <c r="D207" t="s">
        <v>451</v>
      </c>
      <c r="E207" t="s">
        <v>524</v>
      </c>
      <c r="F207" t="s">
        <v>377</v>
      </c>
      <c r="H207" t="s">
        <v>569</v>
      </c>
      <c r="I207" s="29">
        <v>34000000</v>
      </c>
      <c r="J207" t="s">
        <v>451</v>
      </c>
      <c r="L207" t="s">
        <v>36</v>
      </c>
      <c r="M207" t="str">
        <f>IFERROR(INDEX(Diccionario!$N:$N,MATCH(F866,Diccionario!$C:$C,0)),"")</f>
        <v>Mensual</v>
      </c>
    </row>
    <row r="208" spans="1:13" ht="12" customHeight="1" x14ac:dyDescent="0.3">
      <c r="A208" t="s">
        <v>531</v>
      </c>
      <c r="B208" t="s">
        <v>522</v>
      </c>
      <c r="C208" t="s">
        <v>523</v>
      </c>
      <c r="D208" t="s">
        <v>451</v>
      </c>
      <c r="E208" t="s">
        <v>524</v>
      </c>
      <c r="F208" t="s">
        <v>377</v>
      </c>
      <c r="H208" t="s">
        <v>570</v>
      </c>
      <c r="I208" s="29">
        <v>24000000</v>
      </c>
      <c r="J208" t="s">
        <v>451</v>
      </c>
      <c r="L208" t="s">
        <v>36</v>
      </c>
      <c r="M208" t="str">
        <f>IFERROR(INDEX(Diccionario!$N:$N,MATCH(F867,Diccionario!$C:$C,0)),"")</f>
        <v>Mensual</v>
      </c>
    </row>
    <row r="209" spans="1:13" ht="12" customHeight="1" x14ac:dyDescent="0.3">
      <c r="A209" t="s">
        <v>531</v>
      </c>
      <c r="B209" t="s">
        <v>522</v>
      </c>
      <c r="C209" t="s">
        <v>523</v>
      </c>
      <c r="D209" t="s">
        <v>451</v>
      </c>
      <c r="E209" t="s">
        <v>524</v>
      </c>
      <c r="F209" t="s">
        <v>371</v>
      </c>
      <c r="H209" t="s">
        <v>566</v>
      </c>
      <c r="I209" s="29">
        <v>8000000</v>
      </c>
      <c r="J209" t="s">
        <v>451</v>
      </c>
      <c r="L209" t="s">
        <v>36</v>
      </c>
      <c r="M209" t="str">
        <f>IFERROR(INDEX(Diccionario!$N:$N,MATCH(F741,Diccionario!$C:$C,0)),"")</f>
        <v>Mensual</v>
      </c>
    </row>
    <row r="210" spans="1:13" ht="12" customHeight="1" x14ac:dyDescent="0.3">
      <c r="A210" t="s">
        <v>531</v>
      </c>
      <c r="B210" t="s">
        <v>522</v>
      </c>
      <c r="C210" t="s">
        <v>523</v>
      </c>
      <c r="D210" t="s">
        <v>451</v>
      </c>
      <c r="E210" t="s">
        <v>524</v>
      </c>
      <c r="F210" t="s">
        <v>371</v>
      </c>
      <c r="H210" t="s">
        <v>565</v>
      </c>
      <c r="I210" s="29">
        <v>104000000</v>
      </c>
      <c r="J210" t="s">
        <v>451</v>
      </c>
      <c r="L210" t="s">
        <v>36</v>
      </c>
      <c r="M210" t="str">
        <f>IFERROR(INDEX(Diccionario!$N:$N,MATCH(F740,Diccionario!$C:$C,0)),"")</f>
        <v>Mensual</v>
      </c>
    </row>
    <row r="211" spans="1:13" ht="12" customHeight="1" x14ac:dyDescent="0.3">
      <c r="A211" t="s">
        <v>531</v>
      </c>
      <c r="B211" t="s">
        <v>522</v>
      </c>
      <c r="C211" t="s">
        <v>523</v>
      </c>
      <c r="D211" t="s">
        <v>451</v>
      </c>
      <c r="E211" t="s">
        <v>524</v>
      </c>
      <c r="F211" t="s">
        <v>371</v>
      </c>
      <c r="H211" t="s">
        <v>569</v>
      </c>
      <c r="I211" s="29">
        <v>16000000</v>
      </c>
      <c r="J211" t="s">
        <v>451</v>
      </c>
      <c r="L211" t="s">
        <v>36</v>
      </c>
      <c r="M211" t="str">
        <f>IFERROR(INDEX(Diccionario!$N:$N,MATCH(F742,Diccionario!$C:$C,0)),"")</f>
        <v>Mensual</v>
      </c>
    </row>
    <row r="212" spans="1:13" ht="12" customHeight="1" x14ac:dyDescent="0.3">
      <c r="A212" t="s">
        <v>531</v>
      </c>
      <c r="B212" t="s">
        <v>522</v>
      </c>
      <c r="C212" t="s">
        <v>523</v>
      </c>
      <c r="D212" t="s">
        <v>451</v>
      </c>
      <c r="E212" t="s">
        <v>524</v>
      </c>
      <c r="F212" t="s">
        <v>371</v>
      </c>
      <c r="H212" t="s">
        <v>570</v>
      </c>
      <c r="I212" s="29">
        <v>1000000</v>
      </c>
      <c r="J212" t="s">
        <v>451</v>
      </c>
      <c r="L212" t="s">
        <v>36</v>
      </c>
      <c r="M212" t="str">
        <f>IFERROR(INDEX(Diccionario!$N:$N,MATCH(F743,Diccionario!$C:$C,0)),"")</f>
        <v>Mensual</v>
      </c>
    </row>
    <row r="213" spans="1:13" ht="12" customHeight="1" x14ac:dyDescent="0.3">
      <c r="A213" t="s">
        <v>532</v>
      </c>
      <c r="B213" t="s">
        <v>522</v>
      </c>
      <c r="C213" t="s">
        <v>523</v>
      </c>
      <c r="D213" t="s">
        <v>451</v>
      </c>
      <c r="E213" t="s">
        <v>524</v>
      </c>
      <c r="F213" t="s">
        <v>314</v>
      </c>
      <c r="H213" t="s">
        <v>577</v>
      </c>
      <c r="I213" s="29">
        <v>1000000</v>
      </c>
      <c r="J213" t="s">
        <v>451</v>
      </c>
      <c r="L213" t="s">
        <v>36</v>
      </c>
      <c r="M213" t="str">
        <f>IFERROR(INDEX(Diccionario!$N:$N,MATCH(F618,Diccionario!$C:$C,0)),"")</f>
        <v>Mensual</v>
      </c>
    </row>
    <row r="214" spans="1:13" ht="12" customHeight="1" x14ac:dyDescent="0.3">
      <c r="A214" t="s">
        <v>532</v>
      </c>
      <c r="B214" t="s">
        <v>522</v>
      </c>
      <c r="C214" t="s">
        <v>523</v>
      </c>
      <c r="D214" t="s">
        <v>451</v>
      </c>
      <c r="E214" t="s">
        <v>524</v>
      </c>
      <c r="F214" t="s">
        <v>314</v>
      </c>
      <c r="H214" t="s">
        <v>565</v>
      </c>
      <c r="I214" s="29">
        <v>57000000</v>
      </c>
      <c r="J214" t="s">
        <v>451</v>
      </c>
      <c r="L214" t="s">
        <v>36</v>
      </c>
      <c r="M214" t="str">
        <f>IFERROR(INDEX(Diccionario!$N:$N,MATCH(F617,Diccionario!$C:$C,0)),"")</f>
        <v>Mensual</v>
      </c>
    </row>
    <row r="215" spans="1:13" ht="12" customHeight="1" x14ac:dyDescent="0.3">
      <c r="A215" t="s">
        <v>532</v>
      </c>
      <c r="B215" t="s">
        <v>522</v>
      </c>
      <c r="C215" t="s">
        <v>523</v>
      </c>
      <c r="D215" t="s">
        <v>451</v>
      </c>
      <c r="E215" t="s">
        <v>524</v>
      </c>
      <c r="F215" t="s">
        <v>314</v>
      </c>
      <c r="H215" t="s">
        <v>569</v>
      </c>
      <c r="I215" s="29">
        <v>5000000</v>
      </c>
      <c r="J215" t="s">
        <v>451</v>
      </c>
      <c r="L215" t="s">
        <v>36</v>
      </c>
      <c r="M215" t="str">
        <f>IFERROR(INDEX(Diccionario!$N:$N,MATCH(F619,Diccionario!$C:$C,0)),"")</f>
        <v>Mensual</v>
      </c>
    </row>
    <row r="216" spans="1:13" ht="12" customHeight="1" x14ac:dyDescent="0.3">
      <c r="A216" t="s">
        <v>532</v>
      </c>
      <c r="B216" t="s">
        <v>522</v>
      </c>
      <c r="C216" t="s">
        <v>523</v>
      </c>
      <c r="D216" t="s">
        <v>451</v>
      </c>
      <c r="E216" t="s">
        <v>524</v>
      </c>
      <c r="F216" t="s">
        <v>318</v>
      </c>
      <c r="H216" t="s">
        <v>574</v>
      </c>
      <c r="I216" s="29">
        <v>24000000</v>
      </c>
      <c r="J216" t="s">
        <v>451</v>
      </c>
      <c r="L216" t="s">
        <v>36</v>
      </c>
      <c r="M216" t="str">
        <f>IFERROR(INDEX(Diccionario!$N:$N,MATCH(F493,Diccionario!$C:$C,0)),"")</f>
        <v>Mensual</v>
      </c>
    </row>
    <row r="217" spans="1:13" ht="12" customHeight="1" x14ac:dyDescent="0.3">
      <c r="A217" t="s">
        <v>532</v>
      </c>
      <c r="B217" t="s">
        <v>522</v>
      </c>
      <c r="C217" t="s">
        <v>523</v>
      </c>
      <c r="D217" t="s">
        <v>451</v>
      </c>
      <c r="E217" t="s">
        <v>524</v>
      </c>
      <c r="F217" t="s">
        <v>318</v>
      </c>
      <c r="H217" t="s">
        <v>575</v>
      </c>
      <c r="I217" s="29">
        <v>6000000</v>
      </c>
      <c r="J217" t="s">
        <v>451</v>
      </c>
      <c r="L217" t="s">
        <v>36</v>
      </c>
      <c r="M217" t="str">
        <f>IFERROR(INDEX(Diccionario!$N:$N,MATCH(F494,Diccionario!$C:$C,0)),"")</f>
        <v>Mensual</v>
      </c>
    </row>
    <row r="218" spans="1:13" ht="12" customHeight="1" x14ac:dyDescent="0.3">
      <c r="A218" t="s">
        <v>532</v>
      </c>
      <c r="B218" t="s">
        <v>522</v>
      </c>
      <c r="C218" t="s">
        <v>523</v>
      </c>
      <c r="D218" t="s">
        <v>451</v>
      </c>
      <c r="E218" t="s">
        <v>524</v>
      </c>
      <c r="F218" t="s">
        <v>318</v>
      </c>
      <c r="H218" t="s">
        <v>573</v>
      </c>
      <c r="I218" s="29">
        <v>23000000</v>
      </c>
      <c r="J218" t="s">
        <v>451</v>
      </c>
      <c r="L218" t="s">
        <v>36</v>
      </c>
      <c r="M218" t="str">
        <f>IFERROR(INDEX(Diccionario!$N:$N,MATCH(F492,Diccionario!$C:$C,0)),"")</f>
        <v>Mensual</v>
      </c>
    </row>
    <row r="219" spans="1:13" ht="12" customHeight="1" x14ac:dyDescent="0.3">
      <c r="A219" t="s">
        <v>532</v>
      </c>
      <c r="B219" t="s">
        <v>522</v>
      </c>
      <c r="C219" t="s">
        <v>523</v>
      </c>
      <c r="D219" t="s">
        <v>451</v>
      </c>
      <c r="E219" t="s">
        <v>524</v>
      </c>
      <c r="F219" t="s">
        <v>318</v>
      </c>
      <c r="H219" t="s">
        <v>572</v>
      </c>
      <c r="I219" s="29">
        <v>119000000</v>
      </c>
      <c r="J219" t="s">
        <v>451</v>
      </c>
      <c r="L219" t="s">
        <v>36</v>
      </c>
      <c r="M219" t="str">
        <f>IFERROR(INDEX(Diccionario!$N:$N,MATCH(F491,Diccionario!$C:$C,0)),"")</f>
        <v>Mensual</v>
      </c>
    </row>
    <row r="220" spans="1:13" ht="12" customHeight="1" x14ac:dyDescent="0.3">
      <c r="A220" t="s">
        <v>532</v>
      </c>
      <c r="B220" t="s">
        <v>522</v>
      </c>
      <c r="C220" t="s">
        <v>523</v>
      </c>
      <c r="D220" t="s">
        <v>451</v>
      </c>
      <c r="E220" t="s">
        <v>524</v>
      </c>
      <c r="F220" t="s">
        <v>318</v>
      </c>
      <c r="H220" t="s">
        <v>576</v>
      </c>
      <c r="I220" s="29">
        <v>4000000</v>
      </c>
      <c r="J220" t="s">
        <v>451</v>
      </c>
      <c r="L220" t="s">
        <v>36</v>
      </c>
      <c r="M220" t="str">
        <f>IFERROR(INDEX(Diccionario!$N:$N,MATCH(F495,Diccionario!$C:$C,0)),"")</f>
        <v>Mensual</v>
      </c>
    </row>
    <row r="221" spans="1:13" ht="12" customHeight="1" x14ac:dyDescent="0.3">
      <c r="A221" t="s">
        <v>532</v>
      </c>
      <c r="B221" t="s">
        <v>522</v>
      </c>
      <c r="C221" t="s">
        <v>523</v>
      </c>
      <c r="E221" t="s">
        <v>524</v>
      </c>
      <c r="F221" t="s">
        <v>323</v>
      </c>
      <c r="I221" s="36">
        <v>26.07</v>
      </c>
      <c r="J221" t="s">
        <v>65</v>
      </c>
      <c r="L221" t="s">
        <v>36</v>
      </c>
      <c r="M221" t="str">
        <f>IFERROR(INDEX(Diccionario!$N:$N,MATCH(F1005,Diccionario!$C:$C,0)),"")</f>
        <v>Mensual</v>
      </c>
    </row>
    <row r="222" spans="1:13" ht="12" customHeight="1" x14ac:dyDescent="0.3">
      <c r="A222" t="s">
        <v>532</v>
      </c>
      <c r="B222" t="s">
        <v>522</v>
      </c>
      <c r="C222" t="s">
        <v>523</v>
      </c>
      <c r="D222" t="s">
        <v>451</v>
      </c>
      <c r="E222" t="s">
        <v>524</v>
      </c>
      <c r="F222" t="s">
        <v>309</v>
      </c>
      <c r="H222" t="s">
        <v>567</v>
      </c>
      <c r="I222" s="29">
        <v>23000000</v>
      </c>
      <c r="J222" t="s">
        <v>451</v>
      </c>
      <c r="L222" t="s">
        <v>36</v>
      </c>
      <c r="M222" t="str">
        <f>IFERROR(INDEX(Diccionario!$N:$N,MATCH(F305,Diccionario!$C:$C,0)),"")</f>
        <v>Mensual</v>
      </c>
    </row>
    <row r="223" spans="1:13" ht="12" customHeight="1" x14ac:dyDescent="0.3">
      <c r="A223" t="s">
        <v>532</v>
      </c>
      <c r="B223" t="s">
        <v>522</v>
      </c>
      <c r="C223" t="s">
        <v>523</v>
      </c>
      <c r="D223" t="s">
        <v>451</v>
      </c>
      <c r="E223" t="s">
        <v>524</v>
      </c>
      <c r="F223" t="s">
        <v>309</v>
      </c>
      <c r="H223" t="s">
        <v>571</v>
      </c>
      <c r="I223" s="29">
        <v>1000000</v>
      </c>
      <c r="J223" t="s">
        <v>451</v>
      </c>
      <c r="L223" t="s">
        <v>36</v>
      </c>
      <c r="M223" t="str">
        <f>IFERROR(INDEX(Diccionario!$N:$N,MATCH(F309,Diccionario!$C:$C,0)),"")</f>
        <v>Mensual</v>
      </c>
    </row>
    <row r="224" spans="1:13" ht="12" customHeight="1" x14ac:dyDescent="0.3">
      <c r="A224" t="s">
        <v>532</v>
      </c>
      <c r="B224" t="s">
        <v>522</v>
      </c>
      <c r="C224" t="s">
        <v>523</v>
      </c>
      <c r="D224" t="s">
        <v>451</v>
      </c>
      <c r="E224" t="s">
        <v>524</v>
      </c>
      <c r="F224" t="s">
        <v>309</v>
      </c>
      <c r="H224" t="s">
        <v>566</v>
      </c>
      <c r="I224" s="29">
        <v>33000000</v>
      </c>
      <c r="J224" t="s">
        <v>451</v>
      </c>
      <c r="L224" t="s">
        <v>36</v>
      </c>
      <c r="M224" t="str">
        <f>IFERROR(INDEX(Diccionario!$N:$N,MATCH(F304,Diccionario!$C:$C,0)),"")</f>
        <v>Mensual</v>
      </c>
    </row>
    <row r="225" spans="1:13" ht="12" customHeight="1" x14ac:dyDescent="0.3">
      <c r="A225" t="s">
        <v>532</v>
      </c>
      <c r="B225" t="s">
        <v>522</v>
      </c>
      <c r="C225" t="s">
        <v>523</v>
      </c>
      <c r="D225" t="s">
        <v>451</v>
      </c>
      <c r="E225" t="s">
        <v>524</v>
      </c>
      <c r="F225" t="s">
        <v>309</v>
      </c>
      <c r="H225" t="s">
        <v>565</v>
      </c>
      <c r="I225" s="29">
        <v>52000000</v>
      </c>
      <c r="J225" t="s">
        <v>451</v>
      </c>
      <c r="L225" t="s">
        <v>36</v>
      </c>
      <c r="M225" t="str">
        <f>IFERROR(INDEX(Diccionario!$N:$N,MATCH(F303,Diccionario!$C:$C,0)),"")</f>
        <v>Mensual</v>
      </c>
    </row>
    <row r="226" spans="1:13" ht="12" customHeight="1" x14ac:dyDescent="0.3">
      <c r="A226" t="s">
        <v>532</v>
      </c>
      <c r="B226" t="s">
        <v>522</v>
      </c>
      <c r="C226" t="s">
        <v>523</v>
      </c>
      <c r="D226" t="s">
        <v>451</v>
      </c>
      <c r="E226" t="s">
        <v>524</v>
      </c>
      <c r="F226" t="s">
        <v>309</v>
      </c>
      <c r="H226" t="s">
        <v>568</v>
      </c>
      <c r="I226" s="29">
        <v>4000000</v>
      </c>
      <c r="J226" t="s">
        <v>451</v>
      </c>
      <c r="L226" t="s">
        <v>36</v>
      </c>
      <c r="M226" t="str">
        <f>IFERROR(INDEX(Diccionario!$N:$N,MATCH(F306,Diccionario!$C:$C,0)),"")</f>
        <v>Mensual</v>
      </c>
    </row>
    <row r="227" spans="1:13" ht="12" customHeight="1" x14ac:dyDescent="0.3">
      <c r="A227" t="s">
        <v>532</v>
      </c>
      <c r="B227" t="s">
        <v>522</v>
      </c>
      <c r="C227" t="s">
        <v>523</v>
      </c>
      <c r="D227" t="s">
        <v>451</v>
      </c>
      <c r="E227" t="s">
        <v>524</v>
      </c>
      <c r="F227" t="s">
        <v>309</v>
      </c>
      <c r="H227" t="s">
        <v>569</v>
      </c>
      <c r="I227" s="29">
        <v>6000000</v>
      </c>
      <c r="J227" t="s">
        <v>451</v>
      </c>
      <c r="L227" t="s">
        <v>36</v>
      </c>
      <c r="M227" t="str">
        <f>IFERROR(INDEX(Diccionario!$N:$N,MATCH(F307,Diccionario!$C:$C,0)),"")</f>
        <v>Mensual</v>
      </c>
    </row>
    <row r="228" spans="1:13" ht="12" customHeight="1" x14ac:dyDescent="0.3">
      <c r="A228" t="s">
        <v>532</v>
      </c>
      <c r="B228" t="s">
        <v>522</v>
      </c>
      <c r="C228" t="s">
        <v>523</v>
      </c>
      <c r="D228" t="s">
        <v>451</v>
      </c>
      <c r="E228" t="s">
        <v>524</v>
      </c>
      <c r="F228" t="s">
        <v>309</v>
      </c>
      <c r="H228" t="s">
        <v>570</v>
      </c>
      <c r="I228" s="29">
        <v>10000000</v>
      </c>
      <c r="J228" t="s">
        <v>451</v>
      </c>
      <c r="L228" t="s">
        <v>36</v>
      </c>
      <c r="M228" t="str">
        <f>IFERROR(INDEX(Diccionario!$N:$N,MATCH(F308,Diccionario!$C:$C,0)),"")</f>
        <v>Mensual</v>
      </c>
    </row>
    <row r="229" spans="1:13" ht="12" customHeight="1" x14ac:dyDescent="0.3">
      <c r="A229" t="s">
        <v>532</v>
      </c>
      <c r="B229" t="s">
        <v>522</v>
      </c>
      <c r="C229" t="s">
        <v>523</v>
      </c>
      <c r="D229" t="s">
        <v>451</v>
      </c>
      <c r="E229" t="s">
        <v>524</v>
      </c>
      <c r="F229" t="s">
        <v>304</v>
      </c>
      <c r="H229" t="s">
        <v>564</v>
      </c>
      <c r="I229" s="29">
        <v>133000000</v>
      </c>
      <c r="J229" t="s">
        <v>451</v>
      </c>
      <c r="L229" t="s">
        <v>36</v>
      </c>
      <c r="M229" t="str">
        <f>IFERROR(INDEX(Diccionario!$N:$N,MATCH(F148,Diccionario!$C:$C,0)),"")</f>
        <v>Mensual</v>
      </c>
    </row>
    <row r="230" spans="1:13" ht="12" customHeight="1" x14ac:dyDescent="0.3">
      <c r="A230" t="s">
        <v>532</v>
      </c>
      <c r="B230" t="s">
        <v>522</v>
      </c>
      <c r="C230" t="s">
        <v>523</v>
      </c>
      <c r="D230" t="s">
        <v>451</v>
      </c>
      <c r="E230" t="s">
        <v>524</v>
      </c>
      <c r="F230" t="s">
        <v>304</v>
      </c>
      <c r="H230" t="s">
        <v>190</v>
      </c>
      <c r="I230" s="29">
        <v>121000000</v>
      </c>
      <c r="J230" t="s">
        <v>451</v>
      </c>
      <c r="L230" t="s">
        <v>36</v>
      </c>
      <c r="M230" t="str">
        <f>IFERROR(INDEX(Diccionario!$N:$N,MATCH(F147,Diccionario!$C:$C,0)),"")</f>
        <v>Mensual</v>
      </c>
    </row>
    <row r="231" spans="1:13" ht="12" customHeight="1" x14ac:dyDescent="0.3">
      <c r="A231" t="s">
        <v>532</v>
      </c>
      <c r="B231" t="s">
        <v>522</v>
      </c>
      <c r="C231" t="s">
        <v>523</v>
      </c>
      <c r="D231" t="s">
        <v>451</v>
      </c>
      <c r="E231" t="s">
        <v>524</v>
      </c>
      <c r="F231" t="s">
        <v>304</v>
      </c>
      <c r="H231" t="s">
        <v>561</v>
      </c>
      <c r="I231" s="29">
        <v>3000000</v>
      </c>
      <c r="J231" t="s">
        <v>451</v>
      </c>
      <c r="L231" t="s">
        <v>36</v>
      </c>
      <c r="M231" t="str">
        <f>IFERROR(INDEX(Diccionario!$N:$N,MATCH(F144,Diccionario!$C:$C,0)),"")</f>
        <v>Mensual</v>
      </c>
    </row>
    <row r="232" spans="1:13" ht="12" customHeight="1" x14ac:dyDescent="0.3">
      <c r="A232" t="s">
        <v>532</v>
      </c>
      <c r="B232" t="s">
        <v>522</v>
      </c>
      <c r="C232" t="s">
        <v>523</v>
      </c>
      <c r="D232" t="s">
        <v>451</v>
      </c>
      <c r="E232" t="s">
        <v>524</v>
      </c>
      <c r="F232" t="s">
        <v>304</v>
      </c>
      <c r="H232" t="s">
        <v>563</v>
      </c>
      <c r="I232" s="29">
        <v>176000000</v>
      </c>
      <c r="J232" t="s">
        <v>451</v>
      </c>
      <c r="L232" t="s">
        <v>36</v>
      </c>
      <c r="M232" t="str">
        <f>IFERROR(INDEX(Diccionario!$N:$N,MATCH(F146,Diccionario!$C:$C,0)),"")</f>
        <v>Mensual</v>
      </c>
    </row>
    <row r="233" spans="1:13" ht="12" customHeight="1" x14ac:dyDescent="0.3">
      <c r="A233" t="s">
        <v>532</v>
      </c>
      <c r="B233" t="s">
        <v>522</v>
      </c>
      <c r="C233" t="s">
        <v>523</v>
      </c>
      <c r="D233" t="s">
        <v>451</v>
      </c>
      <c r="E233" t="s">
        <v>524</v>
      </c>
      <c r="F233" t="s">
        <v>304</v>
      </c>
      <c r="H233" t="s">
        <v>562</v>
      </c>
      <c r="I233" s="29">
        <v>205000000</v>
      </c>
      <c r="J233" t="s">
        <v>451</v>
      </c>
      <c r="L233" t="s">
        <v>36</v>
      </c>
      <c r="M233" t="str">
        <f>IFERROR(INDEX(Diccionario!$N:$N,MATCH(F145,Diccionario!$C:$C,0)),"")</f>
        <v>Mensual</v>
      </c>
    </row>
    <row r="234" spans="1:13" ht="12" customHeight="1" x14ac:dyDescent="0.3">
      <c r="A234" t="s">
        <v>532</v>
      </c>
      <c r="B234" t="s">
        <v>522</v>
      </c>
      <c r="C234" t="s">
        <v>523</v>
      </c>
      <c r="D234" t="s">
        <v>451</v>
      </c>
      <c r="E234" t="s">
        <v>524</v>
      </c>
      <c r="F234" t="s">
        <v>377</v>
      </c>
      <c r="H234" t="s">
        <v>571</v>
      </c>
      <c r="I234" s="29">
        <v>9000000</v>
      </c>
      <c r="J234" t="s">
        <v>451</v>
      </c>
      <c r="L234" t="s">
        <v>36</v>
      </c>
      <c r="M234" t="str">
        <f>IFERROR(INDEX(Diccionario!$N:$N,MATCH(F874,Diccionario!$C:$C,0)),"")</f>
        <v>Mensual</v>
      </c>
    </row>
    <row r="235" spans="1:13" ht="12" customHeight="1" x14ac:dyDescent="0.3">
      <c r="A235" t="s">
        <v>532</v>
      </c>
      <c r="B235" t="s">
        <v>522</v>
      </c>
      <c r="C235" t="s">
        <v>523</v>
      </c>
      <c r="D235" t="s">
        <v>451</v>
      </c>
      <c r="E235" t="s">
        <v>524</v>
      </c>
      <c r="F235" t="s">
        <v>377</v>
      </c>
      <c r="H235" t="s">
        <v>577</v>
      </c>
      <c r="I235" s="29">
        <v>4000000</v>
      </c>
      <c r="J235" t="s">
        <v>451</v>
      </c>
      <c r="L235" t="s">
        <v>36</v>
      </c>
      <c r="M235" t="str">
        <f>IFERROR(INDEX(Diccionario!$N:$N,MATCH(F870,Diccionario!$C:$C,0)),"")</f>
        <v>Mensual</v>
      </c>
    </row>
    <row r="236" spans="1:13" ht="12" customHeight="1" x14ac:dyDescent="0.3">
      <c r="A236" t="s">
        <v>532</v>
      </c>
      <c r="B236" t="s">
        <v>522</v>
      </c>
      <c r="C236" t="s">
        <v>523</v>
      </c>
      <c r="D236" t="s">
        <v>451</v>
      </c>
      <c r="E236" t="s">
        <v>524</v>
      </c>
      <c r="F236" t="s">
        <v>377</v>
      </c>
      <c r="H236" t="s">
        <v>565</v>
      </c>
      <c r="I236" s="29">
        <v>76000000</v>
      </c>
      <c r="J236" t="s">
        <v>451</v>
      </c>
      <c r="L236" t="s">
        <v>36</v>
      </c>
      <c r="M236" t="str">
        <f>IFERROR(INDEX(Diccionario!$N:$N,MATCH(F869,Diccionario!$C:$C,0)),"")</f>
        <v>Mensual</v>
      </c>
    </row>
    <row r="237" spans="1:13" ht="12" customHeight="1" x14ac:dyDescent="0.3">
      <c r="A237" t="s">
        <v>532</v>
      </c>
      <c r="B237" t="s">
        <v>522</v>
      </c>
      <c r="C237" t="s">
        <v>523</v>
      </c>
      <c r="D237" t="s">
        <v>451</v>
      </c>
      <c r="E237" t="s">
        <v>524</v>
      </c>
      <c r="F237" t="s">
        <v>377</v>
      </c>
      <c r="H237" t="s">
        <v>568</v>
      </c>
      <c r="I237" s="29">
        <v>1000000</v>
      </c>
      <c r="J237" t="s">
        <v>451</v>
      </c>
      <c r="L237" t="s">
        <v>36</v>
      </c>
      <c r="M237" t="str">
        <f>IFERROR(INDEX(Diccionario!$N:$N,MATCH(F871,Diccionario!$C:$C,0)),"")</f>
        <v>Mensual</v>
      </c>
    </row>
    <row r="238" spans="1:13" ht="12" customHeight="1" x14ac:dyDescent="0.3">
      <c r="A238" t="s">
        <v>532</v>
      </c>
      <c r="B238" t="s">
        <v>522</v>
      </c>
      <c r="C238" t="s">
        <v>523</v>
      </c>
      <c r="D238" t="s">
        <v>451</v>
      </c>
      <c r="E238" t="s">
        <v>524</v>
      </c>
      <c r="F238" t="s">
        <v>377</v>
      </c>
      <c r="H238" t="s">
        <v>569</v>
      </c>
      <c r="I238" s="29">
        <v>16000000</v>
      </c>
      <c r="J238" t="s">
        <v>451</v>
      </c>
      <c r="L238" t="s">
        <v>36</v>
      </c>
      <c r="M238" t="str">
        <f>IFERROR(INDEX(Diccionario!$N:$N,MATCH(F872,Diccionario!$C:$C,0)),"")</f>
        <v>Mensual</v>
      </c>
    </row>
    <row r="239" spans="1:13" ht="12" customHeight="1" x14ac:dyDescent="0.3">
      <c r="A239" t="s">
        <v>532</v>
      </c>
      <c r="B239" t="s">
        <v>522</v>
      </c>
      <c r="C239" t="s">
        <v>523</v>
      </c>
      <c r="D239" t="s">
        <v>451</v>
      </c>
      <c r="E239" t="s">
        <v>524</v>
      </c>
      <c r="F239" t="s">
        <v>377</v>
      </c>
      <c r="H239" t="s">
        <v>570</v>
      </c>
      <c r="I239" s="29">
        <v>15000000</v>
      </c>
      <c r="J239" t="s">
        <v>451</v>
      </c>
      <c r="L239" t="s">
        <v>36</v>
      </c>
      <c r="M239" t="str">
        <f>IFERROR(INDEX(Diccionario!$N:$N,MATCH(F873,Diccionario!$C:$C,0)),"")</f>
        <v>Mensual</v>
      </c>
    </row>
    <row r="240" spans="1:13" ht="12" customHeight="1" x14ac:dyDescent="0.3">
      <c r="A240" t="s">
        <v>532</v>
      </c>
      <c r="B240" t="s">
        <v>522</v>
      </c>
      <c r="C240" t="s">
        <v>523</v>
      </c>
      <c r="D240" t="s">
        <v>451</v>
      </c>
      <c r="E240" t="s">
        <v>524</v>
      </c>
      <c r="F240" t="s">
        <v>371</v>
      </c>
      <c r="H240" t="s">
        <v>566</v>
      </c>
      <c r="I240" s="29">
        <v>12000000</v>
      </c>
      <c r="J240" t="s">
        <v>451</v>
      </c>
      <c r="L240" t="s">
        <v>36</v>
      </c>
      <c r="M240" t="str">
        <f>IFERROR(INDEX(Diccionario!$N:$N,MATCH(F745,Diccionario!$C:$C,0)),"")</f>
        <v>Mensual</v>
      </c>
    </row>
    <row r="241" spans="1:13" ht="12" customHeight="1" x14ac:dyDescent="0.3">
      <c r="A241" t="s">
        <v>532</v>
      </c>
      <c r="B241" t="s">
        <v>522</v>
      </c>
      <c r="C241" t="s">
        <v>523</v>
      </c>
      <c r="D241" t="s">
        <v>451</v>
      </c>
      <c r="E241" t="s">
        <v>524</v>
      </c>
      <c r="F241" t="s">
        <v>371</v>
      </c>
      <c r="H241" t="s">
        <v>565</v>
      </c>
      <c r="I241" s="29">
        <v>110000000</v>
      </c>
      <c r="J241" t="s">
        <v>451</v>
      </c>
      <c r="L241" t="s">
        <v>36</v>
      </c>
      <c r="M241" t="str">
        <f>IFERROR(INDEX(Diccionario!$N:$N,MATCH(F744,Diccionario!$C:$C,0)),"")</f>
        <v>Mensual</v>
      </c>
    </row>
    <row r="242" spans="1:13" ht="12" customHeight="1" x14ac:dyDescent="0.3">
      <c r="A242" t="s">
        <v>532</v>
      </c>
      <c r="B242" t="s">
        <v>522</v>
      </c>
      <c r="C242" t="s">
        <v>523</v>
      </c>
      <c r="D242" t="s">
        <v>451</v>
      </c>
      <c r="E242" t="s">
        <v>524</v>
      </c>
      <c r="F242" t="s">
        <v>371</v>
      </c>
      <c r="H242" t="s">
        <v>569</v>
      </c>
      <c r="I242" s="29">
        <v>6000000</v>
      </c>
      <c r="J242" t="s">
        <v>451</v>
      </c>
      <c r="L242" t="s">
        <v>36</v>
      </c>
      <c r="M242" t="str">
        <f>IFERROR(INDEX(Diccionario!$N:$N,MATCH(F746,Diccionario!$C:$C,0)),"")</f>
        <v>Mensual</v>
      </c>
    </row>
    <row r="243" spans="1:13" ht="12" customHeight="1" x14ac:dyDescent="0.3">
      <c r="A243" t="s">
        <v>532</v>
      </c>
      <c r="B243" t="s">
        <v>522</v>
      </c>
      <c r="C243" t="s">
        <v>523</v>
      </c>
      <c r="D243" t="s">
        <v>451</v>
      </c>
      <c r="E243" t="s">
        <v>524</v>
      </c>
      <c r="F243" t="s">
        <v>371</v>
      </c>
      <c r="H243" t="s">
        <v>570</v>
      </c>
      <c r="I243" s="29">
        <v>2000000</v>
      </c>
      <c r="J243" t="s">
        <v>451</v>
      </c>
      <c r="L243" t="s">
        <v>36</v>
      </c>
      <c r="M243" t="str">
        <f>IFERROR(INDEX(Diccionario!$N:$N,MATCH(F747,Diccionario!$C:$C,0)),"")</f>
        <v>Mensual</v>
      </c>
    </row>
    <row r="244" spans="1:13" ht="12" customHeight="1" x14ac:dyDescent="0.3">
      <c r="A244" t="s">
        <v>533</v>
      </c>
      <c r="B244" t="s">
        <v>522</v>
      </c>
      <c r="C244" t="s">
        <v>523</v>
      </c>
      <c r="D244" t="s">
        <v>451</v>
      </c>
      <c r="E244" t="s">
        <v>524</v>
      </c>
      <c r="F244" t="s">
        <v>314</v>
      </c>
      <c r="H244" t="s">
        <v>577</v>
      </c>
      <c r="I244" s="29">
        <v>3000000</v>
      </c>
      <c r="J244" t="s">
        <v>451</v>
      </c>
      <c r="L244" t="s">
        <v>36</v>
      </c>
      <c r="M244" t="str">
        <f>IFERROR(INDEX(Diccionario!$N:$N,MATCH(F621,Diccionario!$C:$C,0)),"")</f>
        <v>Mensual</v>
      </c>
    </row>
    <row r="245" spans="1:13" ht="12" customHeight="1" x14ac:dyDescent="0.3">
      <c r="A245" t="s">
        <v>533</v>
      </c>
      <c r="B245" t="s">
        <v>522</v>
      </c>
      <c r="C245" t="s">
        <v>523</v>
      </c>
      <c r="D245" t="s">
        <v>451</v>
      </c>
      <c r="E245" t="s">
        <v>524</v>
      </c>
      <c r="F245" t="s">
        <v>314</v>
      </c>
      <c r="H245" t="s">
        <v>565</v>
      </c>
      <c r="I245" s="29">
        <v>62000000</v>
      </c>
      <c r="J245" t="s">
        <v>451</v>
      </c>
      <c r="L245" t="s">
        <v>36</v>
      </c>
      <c r="M245" t="str">
        <f>IFERROR(INDEX(Diccionario!$N:$N,MATCH(F620,Diccionario!$C:$C,0)),"")</f>
        <v>Mensual</v>
      </c>
    </row>
    <row r="246" spans="1:13" ht="12" customHeight="1" x14ac:dyDescent="0.3">
      <c r="A246" t="s">
        <v>533</v>
      </c>
      <c r="B246" t="s">
        <v>522</v>
      </c>
      <c r="C246" t="s">
        <v>523</v>
      </c>
      <c r="D246" t="s">
        <v>451</v>
      </c>
      <c r="E246" t="s">
        <v>524</v>
      </c>
      <c r="F246" t="s">
        <v>314</v>
      </c>
      <c r="H246" t="s">
        <v>569</v>
      </c>
      <c r="I246" s="29">
        <v>1000000</v>
      </c>
      <c r="J246" t="s">
        <v>451</v>
      </c>
      <c r="L246" t="s">
        <v>36</v>
      </c>
      <c r="M246" t="str">
        <f>IFERROR(INDEX(Diccionario!$N:$N,MATCH(F622,Diccionario!$C:$C,0)),"")</f>
        <v>Mensual</v>
      </c>
    </row>
    <row r="247" spans="1:13" ht="12" customHeight="1" x14ac:dyDescent="0.3">
      <c r="A247" t="s">
        <v>533</v>
      </c>
      <c r="B247" t="s">
        <v>522</v>
      </c>
      <c r="C247" t="s">
        <v>523</v>
      </c>
      <c r="D247" t="s">
        <v>451</v>
      </c>
      <c r="E247" t="s">
        <v>524</v>
      </c>
      <c r="F247" t="s">
        <v>318</v>
      </c>
      <c r="H247" t="s">
        <v>574</v>
      </c>
      <c r="I247" s="29">
        <v>33000000</v>
      </c>
      <c r="J247" t="s">
        <v>451</v>
      </c>
      <c r="L247" t="s">
        <v>36</v>
      </c>
      <c r="M247" t="str">
        <f>IFERROR(INDEX(Diccionario!$N:$N,MATCH(F498,Diccionario!$C:$C,0)),"")</f>
        <v>Mensual</v>
      </c>
    </row>
    <row r="248" spans="1:13" ht="12" customHeight="1" x14ac:dyDescent="0.3">
      <c r="A248" t="s">
        <v>533</v>
      </c>
      <c r="B248" t="s">
        <v>522</v>
      </c>
      <c r="C248" t="s">
        <v>523</v>
      </c>
      <c r="D248" t="s">
        <v>451</v>
      </c>
      <c r="E248" t="s">
        <v>524</v>
      </c>
      <c r="F248" t="s">
        <v>318</v>
      </c>
      <c r="H248" t="s">
        <v>575</v>
      </c>
      <c r="I248" s="29">
        <v>0</v>
      </c>
      <c r="J248" t="s">
        <v>451</v>
      </c>
      <c r="L248" t="s">
        <v>36</v>
      </c>
      <c r="M248" t="str">
        <f>IFERROR(INDEX(Diccionario!$N:$N,MATCH(F499,Diccionario!$C:$C,0)),"")</f>
        <v>Mensual</v>
      </c>
    </row>
    <row r="249" spans="1:13" ht="12" customHeight="1" x14ac:dyDescent="0.3">
      <c r="A249" t="s">
        <v>533</v>
      </c>
      <c r="B249" t="s">
        <v>522</v>
      </c>
      <c r="C249" t="s">
        <v>523</v>
      </c>
      <c r="D249" t="s">
        <v>451</v>
      </c>
      <c r="E249" t="s">
        <v>524</v>
      </c>
      <c r="F249" t="s">
        <v>318</v>
      </c>
      <c r="H249" t="s">
        <v>573</v>
      </c>
      <c r="I249" s="29">
        <v>21000000</v>
      </c>
      <c r="J249" t="s">
        <v>451</v>
      </c>
      <c r="L249" t="s">
        <v>36</v>
      </c>
      <c r="M249" t="str">
        <f>IFERROR(INDEX(Diccionario!$N:$N,MATCH(F497,Diccionario!$C:$C,0)),"")</f>
        <v>Mensual</v>
      </c>
    </row>
    <row r="250" spans="1:13" ht="12" customHeight="1" x14ac:dyDescent="0.3">
      <c r="A250" t="s">
        <v>533</v>
      </c>
      <c r="B250" t="s">
        <v>522</v>
      </c>
      <c r="C250" t="s">
        <v>523</v>
      </c>
      <c r="D250" t="s">
        <v>451</v>
      </c>
      <c r="E250" t="s">
        <v>524</v>
      </c>
      <c r="F250" t="s">
        <v>318</v>
      </c>
      <c r="H250" t="s">
        <v>572</v>
      </c>
      <c r="I250" s="29">
        <v>112000000</v>
      </c>
      <c r="J250" t="s">
        <v>451</v>
      </c>
      <c r="L250" t="s">
        <v>36</v>
      </c>
      <c r="M250" t="str">
        <f>IFERROR(INDEX(Diccionario!$N:$N,MATCH(F496,Diccionario!$C:$C,0)),"")</f>
        <v>Mensual</v>
      </c>
    </row>
    <row r="251" spans="1:13" ht="12" customHeight="1" x14ac:dyDescent="0.3">
      <c r="A251" t="s">
        <v>533</v>
      </c>
      <c r="B251" t="s">
        <v>522</v>
      </c>
      <c r="C251" t="s">
        <v>523</v>
      </c>
      <c r="D251" t="s">
        <v>451</v>
      </c>
      <c r="E251" t="s">
        <v>524</v>
      </c>
      <c r="F251" t="s">
        <v>318</v>
      </c>
      <c r="H251" t="s">
        <v>576</v>
      </c>
      <c r="I251" s="29">
        <v>3000000</v>
      </c>
      <c r="J251" t="s">
        <v>451</v>
      </c>
      <c r="L251" t="s">
        <v>36</v>
      </c>
      <c r="M251" t="str">
        <f>IFERROR(INDEX(Diccionario!$N:$N,MATCH(F500,Diccionario!$C:$C,0)),"")</f>
        <v>Mensual</v>
      </c>
    </row>
    <row r="252" spans="1:13" ht="12" customHeight="1" x14ac:dyDescent="0.3">
      <c r="A252" t="s">
        <v>533</v>
      </c>
      <c r="B252" t="s">
        <v>522</v>
      </c>
      <c r="C252" t="s">
        <v>523</v>
      </c>
      <c r="E252" t="s">
        <v>524</v>
      </c>
      <c r="F252" t="s">
        <v>323</v>
      </c>
      <c r="I252" s="36">
        <v>25.49</v>
      </c>
      <c r="J252" t="s">
        <v>65</v>
      </c>
      <c r="L252" t="s">
        <v>36</v>
      </c>
      <c r="M252" t="str">
        <f>IFERROR(INDEX(Diccionario!$N:$N,MATCH(F1006,Diccionario!$C:$C,0)),"")</f>
        <v>Mensual</v>
      </c>
    </row>
    <row r="253" spans="1:13" ht="12" customHeight="1" x14ac:dyDescent="0.3">
      <c r="A253" t="s">
        <v>533</v>
      </c>
      <c r="B253" t="s">
        <v>522</v>
      </c>
      <c r="C253" t="s">
        <v>523</v>
      </c>
      <c r="D253" t="s">
        <v>451</v>
      </c>
      <c r="E253" t="s">
        <v>524</v>
      </c>
      <c r="F253" t="s">
        <v>309</v>
      </c>
      <c r="H253" t="s">
        <v>567</v>
      </c>
      <c r="I253" s="29">
        <v>25000000</v>
      </c>
      <c r="J253" t="s">
        <v>451</v>
      </c>
      <c r="L253" t="s">
        <v>36</v>
      </c>
      <c r="M253" t="str">
        <f>IFERROR(INDEX(Diccionario!$N:$N,MATCH(F312,Diccionario!$C:$C,0)),"")</f>
        <v>Mensual</v>
      </c>
    </row>
    <row r="254" spans="1:13" ht="12" customHeight="1" x14ac:dyDescent="0.3">
      <c r="A254" t="s">
        <v>533</v>
      </c>
      <c r="B254" t="s">
        <v>522</v>
      </c>
      <c r="C254" t="s">
        <v>523</v>
      </c>
      <c r="D254" t="s">
        <v>451</v>
      </c>
      <c r="E254" t="s">
        <v>524</v>
      </c>
      <c r="F254" t="s">
        <v>309</v>
      </c>
      <c r="H254" t="s">
        <v>571</v>
      </c>
      <c r="I254" s="29">
        <v>0</v>
      </c>
      <c r="J254" t="s">
        <v>451</v>
      </c>
      <c r="L254" t="s">
        <v>36</v>
      </c>
      <c r="M254" t="str">
        <f>IFERROR(INDEX(Diccionario!$N:$N,MATCH(F316,Diccionario!$C:$C,0)),"")</f>
        <v>Mensual</v>
      </c>
    </row>
    <row r="255" spans="1:13" ht="12" customHeight="1" x14ac:dyDescent="0.3">
      <c r="A255" t="s">
        <v>533</v>
      </c>
      <c r="B255" t="s">
        <v>522</v>
      </c>
      <c r="C255" t="s">
        <v>523</v>
      </c>
      <c r="D255" t="s">
        <v>451</v>
      </c>
      <c r="E255" t="s">
        <v>524</v>
      </c>
      <c r="F255" t="s">
        <v>309</v>
      </c>
      <c r="H255" t="s">
        <v>566</v>
      </c>
      <c r="I255" s="29">
        <v>9000000</v>
      </c>
      <c r="J255" t="s">
        <v>451</v>
      </c>
      <c r="L255" t="s">
        <v>36</v>
      </c>
      <c r="M255" t="str">
        <f>IFERROR(INDEX(Diccionario!$N:$N,MATCH(F311,Diccionario!$C:$C,0)),"")</f>
        <v>Mensual</v>
      </c>
    </row>
    <row r="256" spans="1:13" ht="12" customHeight="1" x14ac:dyDescent="0.3">
      <c r="A256" t="s">
        <v>533</v>
      </c>
      <c r="B256" t="s">
        <v>522</v>
      </c>
      <c r="C256" t="s">
        <v>523</v>
      </c>
      <c r="D256" t="s">
        <v>451</v>
      </c>
      <c r="E256" t="s">
        <v>524</v>
      </c>
      <c r="F256" t="s">
        <v>309</v>
      </c>
      <c r="H256" t="s">
        <v>565</v>
      </c>
      <c r="I256" s="29">
        <v>58000000</v>
      </c>
      <c r="J256" t="s">
        <v>451</v>
      </c>
      <c r="L256" t="s">
        <v>36</v>
      </c>
      <c r="M256" t="str">
        <f>IFERROR(INDEX(Diccionario!$N:$N,MATCH(F310,Diccionario!$C:$C,0)),"")</f>
        <v>Mensual</v>
      </c>
    </row>
    <row r="257" spans="1:13" ht="12" customHeight="1" x14ac:dyDescent="0.3">
      <c r="A257" t="s">
        <v>533</v>
      </c>
      <c r="B257" t="s">
        <v>522</v>
      </c>
      <c r="C257" t="s">
        <v>523</v>
      </c>
      <c r="D257" t="s">
        <v>451</v>
      </c>
      <c r="E257" t="s">
        <v>524</v>
      </c>
      <c r="F257" t="s">
        <v>309</v>
      </c>
      <c r="H257" t="s">
        <v>568</v>
      </c>
      <c r="I257" s="29">
        <v>3000000</v>
      </c>
      <c r="J257" t="s">
        <v>451</v>
      </c>
      <c r="L257" t="s">
        <v>36</v>
      </c>
      <c r="M257" t="str">
        <f>IFERROR(INDEX(Diccionario!$N:$N,MATCH(F313,Diccionario!$C:$C,0)),"")</f>
        <v>Mensual</v>
      </c>
    </row>
    <row r="258" spans="1:13" ht="12" customHeight="1" x14ac:dyDescent="0.3">
      <c r="A258" t="s">
        <v>533</v>
      </c>
      <c r="B258" t="s">
        <v>522</v>
      </c>
      <c r="C258" t="s">
        <v>523</v>
      </c>
      <c r="D258" t="s">
        <v>451</v>
      </c>
      <c r="E258" t="s">
        <v>524</v>
      </c>
      <c r="F258" t="s">
        <v>309</v>
      </c>
      <c r="H258" t="s">
        <v>569</v>
      </c>
      <c r="I258" s="29">
        <v>4000000</v>
      </c>
      <c r="J258" t="s">
        <v>451</v>
      </c>
      <c r="L258" t="s">
        <v>36</v>
      </c>
      <c r="M258" t="str">
        <f>IFERROR(INDEX(Diccionario!$N:$N,MATCH(F314,Diccionario!$C:$C,0)),"")</f>
        <v>Mensual</v>
      </c>
    </row>
    <row r="259" spans="1:13" ht="12" customHeight="1" x14ac:dyDescent="0.3">
      <c r="A259" t="s">
        <v>533</v>
      </c>
      <c r="B259" t="s">
        <v>522</v>
      </c>
      <c r="C259" t="s">
        <v>523</v>
      </c>
      <c r="D259" t="s">
        <v>451</v>
      </c>
      <c r="E259" t="s">
        <v>524</v>
      </c>
      <c r="F259" t="s">
        <v>309</v>
      </c>
      <c r="H259" t="s">
        <v>570</v>
      </c>
      <c r="I259" s="29">
        <v>5000000</v>
      </c>
      <c r="J259" t="s">
        <v>451</v>
      </c>
      <c r="L259" t="s">
        <v>36</v>
      </c>
      <c r="M259" t="str">
        <f>IFERROR(INDEX(Diccionario!$N:$N,MATCH(F315,Diccionario!$C:$C,0)),"")</f>
        <v>Mensual</v>
      </c>
    </row>
    <row r="260" spans="1:13" ht="12" customHeight="1" x14ac:dyDescent="0.3">
      <c r="A260" t="s">
        <v>533</v>
      </c>
      <c r="B260" t="s">
        <v>522</v>
      </c>
      <c r="C260" t="s">
        <v>523</v>
      </c>
      <c r="D260" t="s">
        <v>451</v>
      </c>
      <c r="E260" t="s">
        <v>524</v>
      </c>
      <c r="F260" t="s">
        <v>304</v>
      </c>
      <c r="H260" t="s">
        <v>564</v>
      </c>
      <c r="I260" s="29">
        <v>152000000</v>
      </c>
      <c r="J260" t="s">
        <v>451</v>
      </c>
      <c r="L260" t="s">
        <v>36</v>
      </c>
      <c r="M260" t="str">
        <f>IFERROR(INDEX(Diccionario!$N:$N,MATCH(F153,Diccionario!$C:$C,0)),"")</f>
        <v>Mensual</v>
      </c>
    </row>
    <row r="261" spans="1:13" ht="12" customHeight="1" x14ac:dyDescent="0.3">
      <c r="A261" t="s">
        <v>533</v>
      </c>
      <c r="B261" t="s">
        <v>522</v>
      </c>
      <c r="C261" t="s">
        <v>523</v>
      </c>
      <c r="D261" t="s">
        <v>451</v>
      </c>
      <c r="E261" t="s">
        <v>524</v>
      </c>
      <c r="F261" t="s">
        <v>304</v>
      </c>
      <c r="H261" t="s">
        <v>190</v>
      </c>
      <c r="I261" s="29">
        <v>169000000</v>
      </c>
      <c r="J261" t="s">
        <v>451</v>
      </c>
      <c r="L261" t="s">
        <v>36</v>
      </c>
      <c r="M261" t="str">
        <f>IFERROR(INDEX(Diccionario!$N:$N,MATCH(F152,Diccionario!$C:$C,0)),"")</f>
        <v>Mensual</v>
      </c>
    </row>
    <row r="262" spans="1:13" ht="12" customHeight="1" x14ac:dyDescent="0.3">
      <c r="A262" t="s">
        <v>533</v>
      </c>
      <c r="B262" t="s">
        <v>522</v>
      </c>
      <c r="C262" t="s">
        <v>523</v>
      </c>
      <c r="D262" t="s">
        <v>451</v>
      </c>
      <c r="E262" t="s">
        <v>524</v>
      </c>
      <c r="F262" t="s">
        <v>304</v>
      </c>
      <c r="H262" t="s">
        <v>561</v>
      </c>
      <c r="I262" s="29">
        <v>4000000</v>
      </c>
      <c r="J262" t="s">
        <v>451</v>
      </c>
      <c r="L262" t="s">
        <v>36</v>
      </c>
      <c r="M262" t="str">
        <f>IFERROR(INDEX(Diccionario!$N:$N,MATCH(F149,Diccionario!$C:$C,0)),"")</f>
        <v>Mensual</v>
      </c>
    </row>
    <row r="263" spans="1:13" ht="12" customHeight="1" x14ac:dyDescent="0.3">
      <c r="A263" t="s">
        <v>533</v>
      </c>
      <c r="B263" t="s">
        <v>522</v>
      </c>
      <c r="C263" t="s">
        <v>523</v>
      </c>
      <c r="D263" t="s">
        <v>451</v>
      </c>
      <c r="E263" t="s">
        <v>524</v>
      </c>
      <c r="F263" t="s">
        <v>304</v>
      </c>
      <c r="H263" t="s">
        <v>563</v>
      </c>
      <c r="I263" s="29">
        <v>169000000</v>
      </c>
      <c r="J263" t="s">
        <v>451</v>
      </c>
      <c r="L263" t="s">
        <v>36</v>
      </c>
      <c r="M263" t="str">
        <f>IFERROR(INDEX(Diccionario!$N:$N,MATCH(F151,Diccionario!$C:$C,0)),"")</f>
        <v>Mensual</v>
      </c>
    </row>
    <row r="264" spans="1:13" ht="12" customHeight="1" x14ac:dyDescent="0.3">
      <c r="A264" t="s">
        <v>533</v>
      </c>
      <c r="B264" t="s">
        <v>522</v>
      </c>
      <c r="C264" t="s">
        <v>523</v>
      </c>
      <c r="D264" t="s">
        <v>451</v>
      </c>
      <c r="E264" t="s">
        <v>524</v>
      </c>
      <c r="F264" t="s">
        <v>304</v>
      </c>
      <c r="H264" t="s">
        <v>562</v>
      </c>
      <c r="I264" s="29">
        <v>184000000</v>
      </c>
      <c r="J264" t="s">
        <v>451</v>
      </c>
      <c r="L264" t="s">
        <v>36</v>
      </c>
      <c r="M264" t="str">
        <f>IFERROR(INDEX(Diccionario!$N:$N,MATCH(F150,Diccionario!$C:$C,0)),"")</f>
        <v>Mensual</v>
      </c>
    </row>
    <row r="265" spans="1:13" ht="12" customHeight="1" x14ac:dyDescent="0.3">
      <c r="A265" t="s">
        <v>533</v>
      </c>
      <c r="B265" t="s">
        <v>522</v>
      </c>
      <c r="C265" t="s">
        <v>523</v>
      </c>
      <c r="D265" t="s">
        <v>451</v>
      </c>
      <c r="E265" t="s">
        <v>524</v>
      </c>
      <c r="F265" t="s">
        <v>377</v>
      </c>
      <c r="H265" t="s">
        <v>571</v>
      </c>
      <c r="I265" s="29">
        <v>7000000</v>
      </c>
      <c r="J265" t="s">
        <v>451</v>
      </c>
      <c r="L265" t="s">
        <v>36</v>
      </c>
      <c r="M265" t="str">
        <f>IFERROR(INDEX(Diccionario!$N:$N,MATCH(F880,Diccionario!$C:$C,0)),"")</f>
        <v>Mensual</v>
      </c>
    </row>
    <row r="266" spans="1:13" ht="12" customHeight="1" x14ac:dyDescent="0.3">
      <c r="A266" t="s">
        <v>533</v>
      </c>
      <c r="B266" t="s">
        <v>522</v>
      </c>
      <c r="C266" t="s">
        <v>523</v>
      </c>
      <c r="D266" t="s">
        <v>451</v>
      </c>
      <c r="E266" t="s">
        <v>524</v>
      </c>
      <c r="F266" t="s">
        <v>377</v>
      </c>
      <c r="H266" t="s">
        <v>577</v>
      </c>
      <c r="I266" s="29">
        <v>13000000</v>
      </c>
      <c r="J266" t="s">
        <v>451</v>
      </c>
      <c r="L266" t="s">
        <v>36</v>
      </c>
      <c r="M266" t="str">
        <f>IFERROR(INDEX(Diccionario!$N:$N,MATCH(F876,Diccionario!$C:$C,0)),"")</f>
        <v>Mensual</v>
      </c>
    </row>
    <row r="267" spans="1:13" ht="12" customHeight="1" x14ac:dyDescent="0.3">
      <c r="A267" t="s">
        <v>533</v>
      </c>
      <c r="B267" t="s">
        <v>522</v>
      </c>
      <c r="C267" t="s">
        <v>523</v>
      </c>
      <c r="D267" t="s">
        <v>451</v>
      </c>
      <c r="E267" t="s">
        <v>524</v>
      </c>
      <c r="F267" t="s">
        <v>377</v>
      </c>
      <c r="H267" t="s">
        <v>565</v>
      </c>
      <c r="I267" s="29">
        <v>91000000</v>
      </c>
      <c r="J267" t="s">
        <v>451</v>
      </c>
      <c r="L267" t="s">
        <v>36</v>
      </c>
      <c r="M267" t="str">
        <f>IFERROR(INDEX(Diccionario!$N:$N,MATCH(F875,Diccionario!$C:$C,0)),"")</f>
        <v>Mensual</v>
      </c>
    </row>
    <row r="268" spans="1:13" ht="12" customHeight="1" x14ac:dyDescent="0.3">
      <c r="A268" t="s">
        <v>533</v>
      </c>
      <c r="B268" t="s">
        <v>522</v>
      </c>
      <c r="C268" t="s">
        <v>523</v>
      </c>
      <c r="D268" t="s">
        <v>451</v>
      </c>
      <c r="E268" t="s">
        <v>524</v>
      </c>
      <c r="F268" t="s">
        <v>377</v>
      </c>
      <c r="H268" t="s">
        <v>568</v>
      </c>
      <c r="I268" s="29">
        <v>1000000</v>
      </c>
      <c r="J268" t="s">
        <v>451</v>
      </c>
      <c r="L268" t="s">
        <v>36</v>
      </c>
      <c r="M268" t="str">
        <f>IFERROR(INDEX(Diccionario!$N:$N,MATCH(F877,Diccionario!$C:$C,0)),"")</f>
        <v>Mensual</v>
      </c>
    </row>
    <row r="269" spans="1:13" ht="12" customHeight="1" x14ac:dyDescent="0.3">
      <c r="A269" t="s">
        <v>533</v>
      </c>
      <c r="B269" t="s">
        <v>522</v>
      </c>
      <c r="C269" t="s">
        <v>523</v>
      </c>
      <c r="D269" t="s">
        <v>451</v>
      </c>
      <c r="E269" t="s">
        <v>524</v>
      </c>
      <c r="F269" t="s">
        <v>377</v>
      </c>
      <c r="H269" t="s">
        <v>569</v>
      </c>
      <c r="I269" s="29">
        <v>28000000</v>
      </c>
      <c r="J269" t="s">
        <v>451</v>
      </c>
      <c r="L269" t="s">
        <v>36</v>
      </c>
      <c r="M269" t="str">
        <f>IFERROR(INDEX(Diccionario!$N:$N,MATCH(F878,Diccionario!$C:$C,0)),"")</f>
        <v>Mensual</v>
      </c>
    </row>
    <row r="270" spans="1:13" ht="12" customHeight="1" x14ac:dyDescent="0.3">
      <c r="A270" t="s">
        <v>533</v>
      </c>
      <c r="B270" t="s">
        <v>522</v>
      </c>
      <c r="C270" t="s">
        <v>523</v>
      </c>
      <c r="D270" t="s">
        <v>451</v>
      </c>
      <c r="E270" t="s">
        <v>524</v>
      </c>
      <c r="F270" t="s">
        <v>377</v>
      </c>
      <c r="H270" t="s">
        <v>570</v>
      </c>
      <c r="I270" s="29">
        <v>29000000</v>
      </c>
      <c r="J270" t="s">
        <v>451</v>
      </c>
      <c r="L270" t="s">
        <v>36</v>
      </c>
      <c r="M270" t="str">
        <f>IFERROR(INDEX(Diccionario!$N:$N,MATCH(F879,Diccionario!$C:$C,0)),"")</f>
        <v>Mensual</v>
      </c>
    </row>
    <row r="271" spans="1:13" ht="12" customHeight="1" x14ac:dyDescent="0.3">
      <c r="A271" t="s">
        <v>533</v>
      </c>
      <c r="B271" t="s">
        <v>522</v>
      </c>
      <c r="C271" t="s">
        <v>523</v>
      </c>
      <c r="D271" t="s">
        <v>451</v>
      </c>
      <c r="E271" t="s">
        <v>524</v>
      </c>
      <c r="F271" t="s">
        <v>371</v>
      </c>
      <c r="H271" t="s">
        <v>566</v>
      </c>
      <c r="I271" s="29">
        <v>11000000</v>
      </c>
      <c r="J271" t="s">
        <v>451</v>
      </c>
      <c r="L271" t="s">
        <v>36</v>
      </c>
      <c r="M271" t="str">
        <f>IFERROR(INDEX(Diccionario!$N:$N,MATCH(F749,Diccionario!$C:$C,0)),"")</f>
        <v>Mensual</v>
      </c>
    </row>
    <row r="272" spans="1:13" ht="12" customHeight="1" x14ac:dyDescent="0.3">
      <c r="A272" t="s">
        <v>533</v>
      </c>
      <c r="B272" t="s">
        <v>522</v>
      </c>
      <c r="C272" t="s">
        <v>523</v>
      </c>
      <c r="D272" t="s">
        <v>451</v>
      </c>
      <c r="E272" t="s">
        <v>524</v>
      </c>
      <c r="F272" t="s">
        <v>371</v>
      </c>
      <c r="H272" t="s">
        <v>565</v>
      </c>
      <c r="I272" s="29">
        <v>91000000</v>
      </c>
      <c r="J272" t="s">
        <v>451</v>
      </c>
      <c r="L272" t="s">
        <v>36</v>
      </c>
      <c r="M272" t="str">
        <f>IFERROR(INDEX(Diccionario!$N:$N,MATCH(F748,Diccionario!$C:$C,0)),"")</f>
        <v>Mensual</v>
      </c>
    </row>
    <row r="273" spans="1:13" ht="12" customHeight="1" x14ac:dyDescent="0.3">
      <c r="A273" t="s">
        <v>533</v>
      </c>
      <c r="B273" t="s">
        <v>522</v>
      </c>
      <c r="C273" t="s">
        <v>523</v>
      </c>
      <c r="D273" t="s">
        <v>451</v>
      </c>
      <c r="E273" t="s">
        <v>524</v>
      </c>
      <c r="F273" t="s">
        <v>371</v>
      </c>
      <c r="H273" t="s">
        <v>569</v>
      </c>
      <c r="I273" s="29">
        <v>55000000</v>
      </c>
      <c r="J273" t="s">
        <v>451</v>
      </c>
      <c r="L273" t="s">
        <v>36</v>
      </c>
      <c r="M273" t="str">
        <f>IFERROR(INDEX(Diccionario!$N:$N,MATCH(F750,Diccionario!$C:$C,0)),"")</f>
        <v>Mensual</v>
      </c>
    </row>
    <row r="274" spans="1:13" ht="12" customHeight="1" x14ac:dyDescent="0.3">
      <c r="A274" t="s">
        <v>533</v>
      </c>
      <c r="B274" t="s">
        <v>522</v>
      </c>
      <c r="C274" t="s">
        <v>523</v>
      </c>
      <c r="D274" t="s">
        <v>451</v>
      </c>
      <c r="E274" t="s">
        <v>524</v>
      </c>
      <c r="F274" t="s">
        <v>371</v>
      </c>
      <c r="H274" t="s">
        <v>570</v>
      </c>
      <c r="I274" s="29">
        <v>0</v>
      </c>
      <c r="J274" t="s">
        <v>451</v>
      </c>
      <c r="L274" t="s">
        <v>36</v>
      </c>
      <c r="M274" t="str">
        <f>IFERROR(INDEX(Diccionario!$N:$N,MATCH(F751,Diccionario!$C:$C,0)),"")</f>
        <v>Mensual</v>
      </c>
    </row>
    <row r="275" spans="1:13" ht="12" customHeight="1" x14ac:dyDescent="0.3">
      <c r="A275" t="s">
        <v>534</v>
      </c>
      <c r="B275" t="s">
        <v>522</v>
      </c>
      <c r="C275" t="s">
        <v>523</v>
      </c>
      <c r="D275" t="s">
        <v>451</v>
      </c>
      <c r="E275" t="s">
        <v>524</v>
      </c>
      <c r="F275" t="s">
        <v>314</v>
      </c>
      <c r="H275" t="s">
        <v>577</v>
      </c>
      <c r="I275" s="29">
        <v>5000000</v>
      </c>
      <c r="J275" t="s">
        <v>451</v>
      </c>
      <c r="L275" t="s">
        <v>36</v>
      </c>
      <c r="M275" t="str">
        <f>IFERROR(INDEX(Diccionario!$N:$N,MATCH(F624,Diccionario!$C:$C,0)),"")</f>
        <v>Mensual</v>
      </c>
    </row>
    <row r="276" spans="1:13" ht="12" customHeight="1" x14ac:dyDescent="0.3">
      <c r="A276" t="s">
        <v>534</v>
      </c>
      <c r="B276" t="s">
        <v>522</v>
      </c>
      <c r="C276" t="s">
        <v>523</v>
      </c>
      <c r="D276" t="s">
        <v>451</v>
      </c>
      <c r="E276" t="s">
        <v>524</v>
      </c>
      <c r="F276" t="s">
        <v>314</v>
      </c>
      <c r="H276" t="s">
        <v>565</v>
      </c>
      <c r="I276" s="29">
        <v>62000000</v>
      </c>
      <c r="J276" t="s">
        <v>451</v>
      </c>
      <c r="L276" t="s">
        <v>36</v>
      </c>
      <c r="M276" t="str">
        <f>IFERROR(INDEX(Diccionario!$N:$N,MATCH(F623,Diccionario!$C:$C,0)),"")</f>
        <v>Mensual</v>
      </c>
    </row>
    <row r="277" spans="1:13" ht="12" customHeight="1" x14ac:dyDescent="0.3">
      <c r="A277" t="s">
        <v>534</v>
      </c>
      <c r="B277" t="s">
        <v>522</v>
      </c>
      <c r="C277" t="s">
        <v>523</v>
      </c>
      <c r="D277" t="s">
        <v>451</v>
      </c>
      <c r="E277" t="s">
        <v>524</v>
      </c>
      <c r="F277" t="s">
        <v>314</v>
      </c>
      <c r="H277" t="s">
        <v>569</v>
      </c>
      <c r="I277" s="29">
        <v>6000000</v>
      </c>
      <c r="J277" t="s">
        <v>451</v>
      </c>
      <c r="L277" t="s">
        <v>36</v>
      </c>
      <c r="M277" t="str">
        <f>IFERROR(INDEX(Diccionario!$N:$N,MATCH(F625,Diccionario!$C:$C,0)),"")</f>
        <v>Mensual</v>
      </c>
    </row>
    <row r="278" spans="1:13" ht="12" customHeight="1" x14ac:dyDescent="0.3">
      <c r="A278" t="s">
        <v>534</v>
      </c>
      <c r="B278" t="s">
        <v>522</v>
      </c>
      <c r="C278" t="s">
        <v>523</v>
      </c>
      <c r="D278" t="s">
        <v>451</v>
      </c>
      <c r="E278" t="s">
        <v>524</v>
      </c>
      <c r="F278" t="s">
        <v>318</v>
      </c>
      <c r="H278" t="s">
        <v>574</v>
      </c>
      <c r="I278" s="29">
        <v>27000000</v>
      </c>
      <c r="J278" t="s">
        <v>451</v>
      </c>
      <c r="L278" t="s">
        <v>36</v>
      </c>
      <c r="M278" t="str">
        <f>IFERROR(INDEX(Diccionario!$N:$N,MATCH(F503,Diccionario!$C:$C,0)),"")</f>
        <v>Mensual</v>
      </c>
    </row>
    <row r="279" spans="1:13" ht="12" customHeight="1" x14ac:dyDescent="0.3">
      <c r="A279" t="s">
        <v>534</v>
      </c>
      <c r="B279" t="s">
        <v>522</v>
      </c>
      <c r="C279" t="s">
        <v>523</v>
      </c>
      <c r="D279" t="s">
        <v>451</v>
      </c>
      <c r="E279" t="s">
        <v>524</v>
      </c>
      <c r="F279" t="s">
        <v>318</v>
      </c>
      <c r="H279" t="s">
        <v>575</v>
      </c>
      <c r="I279" s="29">
        <v>6000000</v>
      </c>
      <c r="J279" t="s">
        <v>451</v>
      </c>
      <c r="L279" t="s">
        <v>36</v>
      </c>
      <c r="M279" t="str">
        <f>IFERROR(INDEX(Diccionario!$N:$N,MATCH(F504,Diccionario!$C:$C,0)),"")</f>
        <v>Mensual</v>
      </c>
    </row>
    <row r="280" spans="1:13" ht="12" customHeight="1" x14ac:dyDescent="0.3">
      <c r="A280" t="s">
        <v>534</v>
      </c>
      <c r="B280" t="s">
        <v>522</v>
      </c>
      <c r="C280" t="s">
        <v>523</v>
      </c>
      <c r="D280" t="s">
        <v>451</v>
      </c>
      <c r="E280" t="s">
        <v>524</v>
      </c>
      <c r="F280" t="s">
        <v>318</v>
      </c>
      <c r="H280" t="s">
        <v>573</v>
      </c>
      <c r="I280" s="29">
        <v>27000000</v>
      </c>
      <c r="J280" t="s">
        <v>451</v>
      </c>
      <c r="L280" t="s">
        <v>36</v>
      </c>
      <c r="M280" t="str">
        <f>IFERROR(INDEX(Diccionario!$N:$N,MATCH(F502,Diccionario!$C:$C,0)),"")</f>
        <v>Mensual</v>
      </c>
    </row>
    <row r="281" spans="1:13" ht="12" customHeight="1" x14ac:dyDescent="0.3">
      <c r="A281" t="s">
        <v>534</v>
      </c>
      <c r="B281" t="s">
        <v>522</v>
      </c>
      <c r="C281" t="s">
        <v>523</v>
      </c>
      <c r="D281" t="s">
        <v>451</v>
      </c>
      <c r="E281" t="s">
        <v>524</v>
      </c>
      <c r="F281" t="s">
        <v>318</v>
      </c>
      <c r="H281" t="s">
        <v>572</v>
      </c>
      <c r="I281" s="29">
        <v>140000000</v>
      </c>
      <c r="J281" t="s">
        <v>451</v>
      </c>
      <c r="L281" t="s">
        <v>36</v>
      </c>
      <c r="M281" t="str">
        <f>IFERROR(INDEX(Diccionario!$N:$N,MATCH(F501,Diccionario!$C:$C,0)),"")</f>
        <v>Mensual</v>
      </c>
    </row>
    <row r="282" spans="1:13" ht="12" customHeight="1" x14ac:dyDescent="0.3">
      <c r="A282" t="s">
        <v>534</v>
      </c>
      <c r="B282" t="s">
        <v>522</v>
      </c>
      <c r="C282" t="s">
        <v>523</v>
      </c>
      <c r="D282" t="s">
        <v>451</v>
      </c>
      <c r="E282" t="s">
        <v>524</v>
      </c>
      <c r="F282" t="s">
        <v>318</v>
      </c>
      <c r="H282" t="s">
        <v>576</v>
      </c>
      <c r="I282" s="29">
        <v>6000000</v>
      </c>
      <c r="J282" t="s">
        <v>451</v>
      </c>
      <c r="L282" t="s">
        <v>36</v>
      </c>
      <c r="M282" t="str">
        <f>IFERROR(INDEX(Diccionario!$N:$N,MATCH(F505,Diccionario!$C:$C,0)),"")</f>
        <v>Mensual</v>
      </c>
    </row>
    <row r="283" spans="1:13" ht="12" customHeight="1" x14ac:dyDescent="0.3">
      <c r="A283" t="s">
        <v>534</v>
      </c>
      <c r="B283" t="s">
        <v>522</v>
      </c>
      <c r="C283" t="s">
        <v>523</v>
      </c>
      <c r="E283" t="s">
        <v>524</v>
      </c>
      <c r="F283" t="s">
        <v>323</v>
      </c>
      <c r="I283" s="36">
        <v>30.65</v>
      </c>
      <c r="J283" t="s">
        <v>65</v>
      </c>
      <c r="L283" t="s">
        <v>36</v>
      </c>
      <c r="M283" t="str">
        <f>IFERROR(INDEX(Diccionario!$N:$N,MATCH(F1007,Diccionario!$C:$C,0)),"")</f>
        <v>Mensual</v>
      </c>
    </row>
    <row r="284" spans="1:13" ht="12" customHeight="1" x14ac:dyDescent="0.3">
      <c r="A284" t="s">
        <v>534</v>
      </c>
      <c r="B284" t="s">
        <v>522</v>
      </c>
      <c r="C284" t="s">
        <v>523</v>
      </c>
      <c r="D284" t="s">
        <v>451</v>
      </c>
      <c r="E284" t="s">
        <v>524</v>
      </c>
      <c r="F284" t="s">
        <v>309</v>
      </c>
      <c r="H284" t="s">
        <v>567</v>
      </c>
      <c r="I284" s="29">
        <v>25000000</v>
      </c>
      <c r="J284" t="s">
        <v>451</v>
      </c>
      <c r="L284" t="s">
        <v>36</v>
      </c>
      <c r="M284" t="str">
        <f>IFERROR(INDEX(Diccionario!$N:$N,MATCH(F319,Diccionario!$C:$C,0)),"")</f>
        <v>Mensual</v>
      </c>
    </row>
    <row r="285" spans="1:13" ht="12" customHeight="1" x14ac:dyDescent="0.3">
      <c r="A285" t="s">
        <v>534</v>
      </c>
      <c r="B285" t="s">
        <v>522</v>
      </c>
      <c r="C285" t="s">
        <v>523</v>
      </c>
      <c r="D285" t="s">
        <v>451</v>
      </c>
      <c r="E285" t="s">
        <v>524</v>
      </c>
      <c r="F285" t="s">
        <v>309</v>
      </c>
      <c r="H285" t="s">
        <v>571</v>
      </c>
      <c r="I285" s="29">
        <v>1000000</v>
      </c>
      <c r="J285" t="s">
        <v>451</v>
      </c>
      <c r="L285" t="s">
        <v>36</v>
      </c>
      <c r="M285" t="str">
        <f>IFERROR(INDEX(Diccionario!$N:$N,MATCH(F323,Diccionario!$C:$C,0)),"")</f>
        <v>Mensual</v>
      </c>
    </row>
    <row r="286" spans="1:13" ht="12" customHeight="1" x14ac:dyDescent="0.3">
      <c r="A286" t="s">
        <v>534</v>
      </c>
      <c r="B286" t="s">
        <v>522</v>
      </c>
      <c r="C286" t="s">
        <v>523</v>
      </c>
      <c r="D286" t="s">
        <v>451</v>
      </c>
      <c r="E286" t="s">
        <v>524</v>
      </c>
      <c r="F286" t="s">
        <v>309</v>
      </c>
      <c r="H286" t="s">
        <v>566</v>
      </c>
      <c r="I286" s="29">
        <v>16000000</v>
      </c>
      <c r="J286" t="s">
        <v>451</v>
      </c>
      <c r="L286" t="s">
        <v>36</v>
      </c>
      <c r="M286" t="str">
        <f>IFERROR(INDEX(Diccionario!$N:$N,MATCH(F318,Diccionario!$C:$C,0)),"")</f>
        <v>Mensual</v>
      </c>
    </row>
    <row r="287" spans="1:13" ht="12" customHeight="1" x14ac:dyDescent="0.3">
      <c r="A287" t="s">
        <v>534</v>
      </c>
      <c r="B287" t="s">
        <v>522</v>
      </c>
      <c r="C287" t="s">
        <v>523</v>
      </c>
      <c r="D287" t="s">
        <v>451</v>
      </c>
      <c r="E287" t="s">
        <v>524</v>
      </c>
      <c r="F287" t="s">
        <v>309</v>
      </c>
      <c r="H287" t="s">
        <v>565</v>
      </c>
      <c r="I287" s="29">
        <v>64000000</v>
      </c>
      <c r="J287" t="s">
        <v>451</v>
      </c>
      <c r="L287" t="s">
        <v>36</v>
      </c>
      <c r="M287" t="str">
        <f>IFERROR(INDEX(Diccionario!$N:$N,MATCH(F317,Diccionario!$C:$C,0)),"")</f>
        <v>Mensual</v>
      </c>
    </row>
    <row r="288" spans="1:13" ht="12" customHeight="1" x14ac:dyDescent="0.3">
      <c r="A288" t="s">
        <v>534</v>
      </c>
      <c r="B288" t="s">
        <v>522</v>
      </c>
      <c r="C288" t="s">
        <v>523</v>
      </c>
      <c r="D288" t="s">
        <v>451</v>
      </c>
      <c r="E288" t="s">
        <v>524</v>
      </c>
      <c r="F288" t="s">
        <v>309</v>
      </c>
      <c r="H288" t="s">
        <v>568</v>
      </c>
      <c r="I288" s="29">
        <v>2000000</v>
      </c>
      <c r="J288" t="s">
        <v>451</v>
      </c>
      <c r="L288" t="s">
        <v>36</v>
      </c>
      <c r="M288" t="str">
        <f>IFERROR(INDEX(Diccionario!$N:$N,MATCH(F320,Diccionario!$C:$C,0)),"")</f>
        <v>Mensual</v>
      </c>
    </row>
    <row r="289" spans="1:13" ht="12" customHeight="1" x14ac:dyDescent="0.3">
      <c r="A289" t="s">
        <v>534</v>
      </c>
      <c r="B289" t="s">
        <v>522</v>
      </c>
      <c r="C289" t="s">
        <v>523</v>
      </c>
      <c r="D289" t="s">
        <v>451</v>
      </c>
      <c r="E289" t="s">
        <v>524</v>
      </c>
      <c r="F289" t="s">
        <v>309</v>
      </c>
      <c r="H289" t="s">
        <v>569</v>
      </c>
      <c r="I289" s="29">
        <v>6000000</v>
      </c>
      <c r="J289" t="s">
        <v>451</v>
      </c>
      <c r="L289" t="s">
        <v>36</v>
      </c>
      <c r="M289" t="str">
        <f>IFERROR(INDEX(Diccionario!$N:$N,MATCH(F321,Diccionario!$C:$C,0)),"")</f>
        <v>Mensual</v>
      </c>
    </row>
    <row r="290" spans="1:13" ht="12" customHeight="1" x14ac:dyDescent="0.3">
      <c r="A290" t="s">
        <v>534</v>
      </c>
      <c r="B290" t="s">
        <v>522</v>
      </c>
      <c r="C290" t="s">
        <v>523</v>
      </c>
      <c r="D290" t="s">
        <v>451</v>
      </c>
      <c r="E290" t="s">
        <v>524</v>
      </c>
      <c r="F290" t="s">
        <v>309</v>
      </c>
      <c r="H290" t="s">
        <v>570</v>
      </c>
      <c r="I290" s="29">
        <v>15000000</v>
      </c>
      <c r="J290" t="s">
        <v>451</v>
      </c>
      <c r="L290" t="s">
        <v>36</v>
      </c>
      <c r="M290" t="str">
        <f>IFERROR(INDEX(Diccionario!$N:$N,MATCH(F322,Diccionario!$C:$C,0)),"")</f>
        <v>Mensual</v>
      </c>
    </row>
    <row r="291" spans="1:13" ht="12" customHeight="1" x14ac:dyDescent="0.3">
      <c r="A291" t="s">
        <v>534</v>
      </c>
      <c r="B291" t="s">
        <v>522</v>
      </c>
      <c r="C291" t="s">
        <v>523</v>
      </c>
      <c r="D291" t="s">
        <v>451</v>
      </c>
      <c r="E291" t="s">
        <v>524</v>
      </c>
      <c r="F291" t="s">
        <v>304</v>
      </c>
      <c r="H291" t="s">
        <v>564</v>
      </c>
      <c r="I291" s="29">
        <v>134000000</v>
      </c>
      <c r="J291" t="s">
        <v>451</v>
      </c>
      <c r="L291" t="s">
        <v>36</v>
      </c>
      <c r="M291" t="str">
        <f>IFERROR(INDEX(Diccionario!$N:$N,MATCH(F158,Diccionario!$C:$C,0)),"")</f>
        <v>Mensual</v>
      </c>
    </row>
    <row r="292" spans="1:13" ht="12" customHeight="1" x14ac:dyDescent="0.3">
      <c r="A292" t="s">
        <v>534</v>
      </c>
      <c r="B292" t="s">
        <v>522</v>
      </c>
      <c r="C292" t="s">
        <v>523</v>
      </c>
      <c r="D292" t="s">
        <v>451</v>
      </c>
      <c r="E292" t="s">
        <v>524</v>
      </c>
      <c r="F292" t="s">
        <v>304</v>
      </c>
      <c r="H292" t="s">
        <v>190</v>
      </c>
      <c r="I292" s="29">
        <v>176000000</v>
      </c>
      <c r="J292" t="s">
        <v>451</v>
      </c>
      <c r="L292" t="s">
        <v>36</v>
      </c>
      <c r="M292" t="str">
        <f>IFERROR(INDEX(Diccionario!$N:$N,MATCH(F157,Diccionario!$C:$C,0)),"")</f>
        <v>Mensual</v>
      </c>
    </row>
    <row r="293" spans="1:13" ht="12" customHeight="1" x14ac:dyDescent="0.3">
      <c r="A293" t="s">
        <v>534</v>
      </c>
      <c r="B293" t="s">
        <v>522</v>
      </c>
      <c r="C293" t="s">
        <v>523</v>
      </c>
      <c r="D293" t="s">
        <v>451</v>
      </c>
      <c r="E293" t="s">
        <v>524</v>
      </c>
      <c r="F293" t="s">
        <v>304</v>
      </c>
      <c r="H293" t="s">
        <v>561</v>
      </c>
      <c r="I293" s="29">
        <v>5000000</v>
      </c>
      <c r="J293" t="s">
        <v>451</v>
      </c>
      <c r="L293" t="s">
        <v>36</v>
      </c>
      <c r="M293" t="str">
        <f>IFERROR(INDEX(Diccionario!$N:$N,MATCH(F154,Diccionario!$C:$C,0)),"")</f>
        <v>Mensual</v>
      </c>
    </row>
    <row r="294" spans="1:13" ht="12" customHeight="1" x14ac:dyDescent="0.3">
      <c r="A294" t="s">
        <v>534</v>
      </c>
      <c r="B294" t="s">
        <v>522</v>
      </c>
      <c r="C294" t="s">
        <v>523</v>
      </c>
      <c r="D294" t="s">
        <v>451</v>
      </c>
      <c r="E294" t="s">
        <v>524</v>
      </c>
      <c r="F294" t="s">
        <v>304</v>
      </c>
      <c r="H294" t="s">
        <v>563</v>
      </c>
      <c r="I294" s="29">
        <v>205000000</v>
      </c>
      <c r="J294" t="s">
        <v>451</v>
      </c>
      <c r="L294" t="s">
        <v>36</v>
      </c>
      <c r="M294" t="str">
        <f>IFERROR(INDEX(Diccionario!$N:$N,MATCH(F156,Diccionario!$C:$C,0)),"")</f>
        <v>Mensual</v>
      </c>
    </row>
    <row r="295" spans="1:13" ht="12" customHeight="1" x14ac:dyDescent="0.3">
      <c r="A295" t="s">
        <v>534</v>
      </c>
      <c r="B295" t="s">
        <v>522</v>
      </c>
      <c r="C295" t="s">
        <v>523</v>
      </c>
      <c r="D295" t="s">
        <v>451</v>
      </c>
      <c r="E295" t="s">
        <v>524</v>
      </c>
      <c r="F295" t="s">
        <v>304</v>
      </c>
      <c r="H295" t="s">
        <v>562</v>
      </c>
      <c r="I295" s="29">
        <v>195000000</v>
      </c>
      <c r="J295" t="s">
        <v>451</v>
      </c>
      <c r="L295" t="s">
        <v>36</v>
      </c>
      <c r="M295" t="str">
        <f>IFERROR(INDEX(Diccionario!$N:$N,MATCH(F155,Diccionario!$C:$C,0)),"")</f>
        <v>Mensual</v>
      </c>
    </row>
    <row r="296" spans="1:13" ht="12" customHeight="1" x14ac:dyDescent="0.3">
      <c r="A296" t="s">
        <v>534</v>
      </c>
      <c r="B296" t="s">
        <v>522</v>
      </c>
      <c r="C296" t="s">
        <v>523</v>
      </c>
      <c r="D296" t="s">
        <v>451</v>
      </c>
      <c r="E296" t="s">
        <v>524</v>
      </c>
      <c r="F296" t="s">
        <v>377</v>
      </c>
      <c r="H296" t="s">
        <v>571</v>
      </c>
      <c r="I296" s="29">
        <v>11000000</v>
      </c>
      <c r="J296" t="s">
        <v>451</v>
      </c>
      <c r="L296" t="s">
        <v>36</v>
      </c>
      <c r="M296" t="str">
        <f>IFERROR(INDEX(Diccionario!$N:$N,MATCH(F886,Diccionario!$C:$C,0)),"")</f>
        <v>Mensual</v>
      </c>
    </row>
    <row r="297" spans="1:13" ht="12" customHeight="1" x14ac:dyDescent="0.3">
      <c r="A297" t="s">
        <v>534</v>
      </c>
      <c r="B297" t="s">
        <v>522</v>
      </c>
      <c r="C297" t="s">
        <v>523</v>
      </c>
      <c r="D297" t="s">
        <v>451</v>
      </c>
      <c r="E297" t="s">
        <v>524</v>
      </c>
      <c r="F297" t="s">
        <v>377</v>
      </c>
      <c r="H297" t="s">
        <v>577</v>
      </c>
      <c r="I297" s="29">
        <v>16000000</v>
      </c>
      <c r="J297" t="s">
        <v>451</v>
      </c>
      <c r="L297" t="s">
        <v>36</v>
      </c>
      <c r="M297" t="str">
        <f>IFERROR(INDEX(Diccionario!$N:$N,MATCH(F882,Diccionario!$C:$C,0)),"")</f>
        <v>Mensual</v>
      </c>
    </row>
    <row r="298" spans="1:13" ht="12" customHeight="1" x14ac:dyDescent="0.3">
      <c r="A298" t="s">
        <v>534</v>
      </c>
      <c r="B298" t="s">
        <v>522</v>
      </c>
      <c r="C298" t="s">
        <v>523</v>
      </c>
      <c r="D298" t="s">
        <v>451</v>
      </c>
      <c r="E298" t="s">
        <v>524</v>
      </c>
      <c r="F298" t="s">
        <v>377</v>
      </c>
      <c r="H298" t="s">
        <v>565</v>
      </c>
      <c r="I298" s="29">
        <v>92000000</v>
      </c>
      <c r="J298" t="s">
        <v>451</v>
      </c>
      <c r="L298" t="s">
        <v>36</v>
      </c>
      <c r="M298" t="str">
        <f>IFERROR(INDEX(Diccionario!$N:$N,MATCH(F881,Diccionario!$C:$C,0)),"")</f>
        <v>Mensual</v>
      </c>
    </row>
    <row r="299" spans="1:13" ht="12" customHeight="1" x14ac:dyDescent="0.3">
      <c r="A299" t="s">
        <v>534</v>
      </c>
      <c r="B299" t="s">
        <v>522</v>
      </c>
      <c r="C299" t="s">
        <v>523</v>
      </c>
      <c r="D299" t="s">
        <v>451</v>
      </c>
      <c r="E299" t="s">
        <v>524</v>
      </c>
      <c r="F299" t="s">
        <v>377</v>
      </c>
      <c r="H299" t="s">
        <v>568</v>
      </c>
      <c r="I299" s="29">
        <v>1000000</v>
      </c>
      <c r="J299" t="s">
        <v>451</v>
      </c>
      <c r="L299" t="s">
        <v>36</v>
      </c>
      <c r="M299" t="str">
        <f>IFERROR(INDEX(Diccionario!$N:$N,MATCH(F883,Diccionario!$C:$C,0)),"")</f>
        <v>Mensual</v>
      </c>
    </row>
    <row r="300" spans="1:13" ht="12" customHeight="1" x14ac:dyDescent="0.3">
      <c r="A300" t="s">
        <v>534</v>
      </c>
      <c r="B300" t="s">
        <v>522</v>
      </c>
      <c r="C300" t="s">
        <v>523</v>
      </c>
      <c r="D300" t="s">
        <v>451</v>
      </c>
      <c r="E300" t="s">
        <v>524</v>
      </c>
      <c r="F300" t="s">
        <v>377</v>
      </c>
      <c r="H300" t="s">
        <v>569</v>
      </c>
      <c r="I300" s="29">
        <v>19000000</v>
      </c>
      <c r="J300" t="s">
        <v>451</v>
      </c>
      <c r="L300" t="s">
        <v>36</v>
      </c>
      <c r="M300" t="str">
        <f>IFERROR(INDEX(Diccionario!$N:$N,MATCH(F884,Diccionario!$C:$C,0)),"")</f>
        <v>Mensual</v>
      </c>
    </row>
    <row r="301" spans="1:13" ht="12" customHeight="1" x14ac:dyDescent="0.3">
      <c r="A301" t="s">
        <v>534</v>
      </c>
      <c r="B301" t="s">
        <v>522</v>
      </c>
      <c r="C301" t="s">
        <v>523</v>
      </c>
      <c r="D301" t="s">
        <v>451</v>
      </c>
      <c r="E301" t="s">
        <v>524</v>
      </c>
      <c r="F301" t="s">
        <v>377</v>
      </c>
      <c r="H301" t="s">
        <v>570</v>
      </c>
      <c r="I301" s="29">
        <v>37000000</v>
      </c>
      <c r="J301" t="s">
        <v>451</v>
      </c>
      <c r="L301" t="s">
        <v>36</v>
      </c>
      <c r="M301" t="str">
        <f>IFERROR(INDEX(Diccionario!$N:$N,MATCH(F885,Diccionario!$C:$C,0)),"")</f>
        <v>Mensual</v>
      </c>
    </row>
    <row r="302" spans="1:13" ht="12" customHeight="1" x14ac:dyDescent="0.3">
      <c r="A302" t="s">
        <v>534</v>
      </c>
      <c r="B302" t="s">
        <v>522</v>
      </c>
      <c r="C302" t="s">
        <v>523</v>
      </c>
      <c r="D302" t="s">
        <v>451</v>
      </c>
      <c r="E302" t="s">
        <v>524</v>
      </c>
      <c r="F302" t="s">
        <v>371</v>
      </c>
      <c r="H302" t="s">
        <v>566</v>
      </c>
      <c r="I302" s="29">
        <v>8000000</v>
      </c>
      <c r="J302" t="s">
        <v>451</v>
      </c>
      <c r="L302" t="s">
        <v>36</v>
      </c>
      <c r="M302" t="str">
        <f>IFERROR(INDEX(Diccionario!$N:$N,MATCH(F753,Diccionario!$C:$C,0)),"")</f>
        <v>Mensual</v>
      </c>
    </row>
    <row r="303" spans="1:13" ht="12" customHeight="1" x14ac:dyDescent="0.3">
      <c r="A303" t="s">
        <v>534</v>
      </c>
      <c r="B303" t="s">
        <v>522</v>
      </c>
      <c r="C303" t="s">
        <v>523</v>
      </c>
      <c r="D303" t="s">
        <v>451</v>
      </c>
      <c r="E303" t="s">
        <v>524</v>
      </c>
      <c r="F303" t="s">
        <v>371</v>
      </c>
      <c r="H303" t="s">
        <v>565</v>
      </c>
      <c r="I303" s="29">
        <v>95000000</v>
      </c>
      <c r="J303" t="s">
        <v>451</v>
      </c>
      <c r="L303" t="s">
        <v>36</v>
      </c>
      <c r="M303" t="str">
        <f>IFERROR(INDEX(Diccionario!$N:$N,MATCH(F752,Diccionario!$C:$C,0)),"")</f>
        <v>Mensual</v>
      </c>
    </row>
    <row r="304" spans="1:13" ht="12" customHeight="1" x14ac:dyDescent="0.3">
      <c r="A304" t="s">
        <v>534</v>
      </c>
      <c r="B304" t="s">
        <v>522</v>
      </c>
      <c r="C304" t="s">
        <v>523</v>
      </c>
      <c r="D304" t="s">
        <v>451</v>
      </c>
      <c r="E304" t="s">
        <v>524</v>
      </c>
      <c r="F304" t="s">
        <v>371</v>
      </c>
      <c r="H304" t="s">
        <v>569</v>
      </c>
      <c r="I304" s="29">
        <v>7000000</v>
      </c>
      <c r="J304" t="s">
        <v>451</v>
      </c>
      <c r="L304" t="s">
        <v>36</v>
      </c>
      <c r="M304" t="str">
        <f>IFERROR(INDEX(Diccionario!$N:$N,MATCH(F754,Diccionario!$C:$C,0)),"")</f>
        <v>Mensual</v>
      </c>
    </row>
    <row r="305" spans="1:13" ht="12" customHeight="1" x14ac:dyDescent="0.3">
      <c r="A305" t="s">
        <v>534</v>
      </c>
      <c r="B305" t="s">
        <v>522</v>
      </c>
      <c r="C305" t="s">
        <v>523</v>
      </c>
      <c r="D305" t="s">
        <v>451</v>
      </c>
      <c r="E305" t="s">
        <v>524</v>
      </c>
      <c r="F305" t="s">
        <v>371</v>
      </c>
      <c r="H305" t="s">
        <v>570</v>
      </c>
      <c r="I305" s="29">
        <v>6000000</v>
      </c>
      <c r="J305" t="s">
        <v>451</v>
      </c>
      <c r="L305" t="s">
        <v>36</v>
      </c>
      <c r="M305" t="str">
        <f>IFERROR(INDEX(Diccionario!$N:$N,MATCH(F755,Diccionario!$C:$C,0)),"")</f>
        <v>Mensual</v>
      </c>
    </row>
    <row r="306" spans="1:13" ht="12" customHeight="1" x14ac:dyDescent="0.3">
      <c r="A306" t="s">
        <v>535</v>
      </c>
      <c r="B306" t="s">
        <v>522</v>
      </c>
      <c r="C306" t="s">
        <v>523</v>
      </c>
      <c r="D306" t="s">
        <v>451</v>
      </c>
      <c r="E306" t="s">
        <v>524</v>
      </c>
      <c r="F306" t="s">
        <v>314</v>
      </c>
      <c r="H306" t="s">
        <v>577</v>
      </c>
      <c r="I306" s="29">
        <v>7000000</v>
      </c>
      <c r="J306" t="s">
        <v>451</v>
      </c>
      <c r="L306" t="s">
        <v>36</v>
      </c>
      <c r="M306" t="str">
        <f>IFERROR(INDEX(Diccionario!$N:$N,MATCH(F627,Diccionario!$C:$C,0)),"")</f>
        <v>Mensual</v>
      </c>
    </row>
    <row r="307" spans="1:13" ht="12" customHeight="1" x14ac:dyDescent="0.3">
      <c r="A307" t="s">
        <v>535</v>
      </c>
      <c r="B307" t="s">
        <v>522</v>
      </c>
      <c r="C307" t="s">
        <v>523</v>
      </c>
      <c r="D307" t="s">
        <v>451</v>
      </c>
      <c r="E307" t="s">
        <v>524</v>
      </c>
      <c r="F307" t="s">
        <v>314</v>
      </c>
      <c r="H307" t="s">
        <v>578</v>
      </c>
      <c r="I307" s="29">
        <v>2000000</v>
      </c>
      <c r="J307" t="s">
        <v>451</v>
      </c>
      <c r="L307" t="s">
        <v>36</v>
      </c>
      <c r="M307" t="str">
        <f>IFERROR(INDEX(Diccionario!$N:$N,MATCH(F629,Diccionario!$C:$C,0)),"")</f>
        <v>Mensual</v>
      </c>
    </row>
    <row r="308" spans="1:13" ht="12" customHeight="1" x14ac:dyDescent="0.3">
      <c r="A308" t="s">
        <v>535</v>
      </c>
      <c r="B308" t="s">
        <v>522</v>
      </c>
      <c r="C308" t="s">
        <v>523</v>
      </c>
      <c r="D308" t="s">
        <v>451</v>
      </c>
      <c r="E308" t="s">
        <v>524</v>
      </c>
      <c r="F308" t="s">
        <v>314</v>
      </c>
      <c r="H308" t="s">
        <v>565</v>
      </c>
      <c r="I308" s="29">
        <v>66000000</v>
      </c>
      <c r="J308" t="s">
        <v>451</v>
      </c>
      <c r="L308" t="s">
        <v>36</v>
      </c>
      <c r="M308" t="str">
        <f>IFERROR(INDEX(Diccionario!$N:$N,MATCH(F626,Diccionario!$C:$C,0)),"")</f>
        <v>Mensual</v>
      </c>
    </row>
    <row r="309" spans="1:13" ht="12" customHeight="1" x14ac:dyDescent="0.3">
      <c r="A309" t="s">
        <v>535</v>
      </c>
      <c r="B309" t="s">
        <v>522</v>
      </c>
      <c r="C309" t="s">
        <v>523</v>
      </c>
      <c r="D309" t="s">
        <v>451</v>
      </c>
      <c r="E309" t="s">
        <v>524</v>
      </c>
      <c r="F309" t="s">
        <v>314</v>
      </c>
      <c r="H309" t="s">
        <v>569</v>
      </c>
      <c r="I309" s="29">
        <v>6000000</v>
      </c>
      <c r="J309" t="s">
        <v>451</v>
      </c>
      <c r="L309" t="s">
        <v>36</v>
      </c>
      <c r="M309" t="str">
        <f>IFERROR(INDEX(Diccionario!$N:$N,MATCH(F628,Diccionario!$C:$C,0)),"")</f>
        <v>Mensual</v>
      </c>
    </row>
    <row r="310" spans="1:13" ht="12" customHeight="1" x14ac:dyDescent="0.3">
      <c r="A310" t="s">
        <v>535</v>
      </c>
      <c r="B310" t="s">
        <v>522</v>
      </c>
      <c r="C310" t="s">
        <v>523</v>
      </c>
      <c r="D310" t="s">
        <v>451</v>
      </c>
      <c r="E310" t="s">
        <v>524</v>
      </c>
      <c r="F310" t="s">
        <v>314</v>
      </c>
      <c r="H310" t="s">
        <v>570</v>
      </c>
      <c r="I310" s="29">
        <v>11000000</v>
      </c>
      <c r="J310" t="s">
        <v>451</v>
      </c>
      <c r="L310" t="s">
        <v>36</v>
      </c>
      <c r="M310" t="str">
        <f>IFERROR(INDEX(Diccionario!$N:$N,MATCH(F630,Diccionario!$C:$C,0)),"")</f>
        <v>Mensual</v>
      </c>
    </row>
    <row r="311" spans="1:13" ht="12" customHeight="1" x14ac:dyDescent="0.3">
      <c r="A311" t="s">
        <v>535</v>
      </c>
      <c r="B311" t="s">
        <v>522</v>
      </c>
      <c r="C311" t="s">
        <v>523</v>
      </c>
      <c r="D311" t="s">
        <v>451</v>
      </c>
      <c r="E311" t="s">
        <v>524</v>
      </c>
      <c r="F311" t="s">
        <v>318</v>
      </c>
      <c r="H311" t="s">
        <v>574</v>
      </c>
      <c r="I311" s="29">
        <v>10000000</v>
      </c>
      <c r="J311" t="s">
        <v>451</v>
      </c>
      <c r="L311" t="s">
        <v>36</v>
      </c>
      <c r="M311" t="str">
        <f>IFERROR(INDEX(Diccionario!$N:$N,MATCH(F508,Diccionario!$C:$C,0)),"")</f>
        <v>Mensual</v>
      </c>
    </row>
    <row r="312" spans="1:13" ht="12" customHeight="1" x14ac:dyDescent="0.3">
      <c r="A312" t="s">
        <v>535</v>
      </c>
      <c r="B312" t="s">
        <v>522</v>
      </c>
      <c r="C312" t="s">
        <v>523</v>
      </c>
      <c r="D312" t="s">
        <v>451</v>
      </c>
      <c r="E312" t="s">
        <v>524</v>
      </c>
      <c r="F312" t="s">
        <v>318</v>
      </c>
      <c r="H312" t="s">
        <v>575</v>
      </c>
      <c r="I312" s="29">
        <v>7000000</v>
      </c>
      <c r="J312" t="s">
        <v>451</v>
      </c>
      <c r="L312" t="s">
        <v>36</v>
      </c>
      <c r="M312" t="str">
        <f>IFERROR(INDEX(Diccionario!$N:$N,MATCH(F509,Diccionario!$C:$C,0)),"")</f>
        <v>Mensual</v>
      </c>
    </row>
    <row r="313" spans="1:13" ht="12" customHeight="1" x14ac:dyDescent="0.3">
      <c r="A313" t="s">
        <v>535</v>
      </c>
      <c r="B313" t="s">
        <v>522</v>
      </c>
      <c r="C313" t="s">
        <v>523</v>
      </c>
      <c r="D313" t="s">
        <v>451</v>
      </c>
      <c r="E313" t="s">
        <v>524</v>
      </c>
      <c r="F313" t="s">
        <v>318</v>
      </c>
      <c r="H313" t="s">
        <v>573</v>
      </c>
      <c r="I313" s="29">
        <v>25000000</v>
      </c>
      <c r="J313" t="s">
        <v>451</v>
      </c>
      <c r="L313" t="s">
        <v>36</v>
      </c>
      <c r="M313" t="str">
        <f>IFERROR(INDEX(Diccionario!$N:$N,MATCH(F507,Diccionario!$C:$C,0)),"")</f>
        <v>Mensual</v>
      </c>
    </row>
    <row r="314" spans="1:13" ht="12" customHeight="1" x14ac:dyDescent="0.3">
      <c r="A314" t="s">
        <v>535</v>
      </c>
      <c r="B314" t="s">
        <v>522</v>
      </c>
      <c r="C314" t="s">
        <v>523</v>
      </c>
      <c r="D314" t="s">
        <v>451</v>
      </c>
      <c r="E314" t="s">
        <v>524</v>
      </c>
      <c r="F314" t="s">
        <v>318</v>
      </c>
      <c r="H314" t="s">
        <v>572</v>
      </c>
      <c r="I314" s="29">
        <v>131000000</v>
      </c>
      <c r="J314" t="s">
        <v>451</v>
      </c>
      <c r="L314" t="s">
        <v>36</v>
      </c>
      <c r="M314" t="str">
        <f>IFERROR(INDEX(Diccionario!$N:$N,MATCH(F506,Diccionario!$C:$C,0)),"")</f>
        <v>Mensual</v>
      </c>
    </row>
    <row r="315" spans="1:13" ht="12" customHeight="1" x14ac:dyDescent="0.3">
      <c r="A315" t="s">
        <v>535</v>
      </c>
      <c r="B315" t="s">
        <v>522</v>
      </c>
      <c r="C315" t="s">
        <v>523</v>
      </c>
      <c r="D315" t="s">
        <v>451</v>
      </c>
      <c r="E315" t="s">
        <v>524</v>
      </c>
      <c r="F315" t="s">
        <v>318</v>
      </c>
      <c r="H315" t="s">
        <v>576</v>
      </c>
      <c r="I315" s="29">
        <v>5000000</v>
      </c>
      <c r="J315" t="s">
        <v>451</v>
      </c>
      <c r="L315" t="s">
        <v>36</v>
      </c>
      <c r="M315" t="str">
        <f>IFERROR(INDEX(Diccionario!$N:$N,MATCH(F510,Diccionario!$C:$C,0)),"")</f>
        <v>Mensual</v>
      </c>
    </row>
    <row r="316" spans="1:13" ht="12" customHeight="1" x14ac:dyDescent="0.3">
      <c r="A316" t="s">
        <v>535</v>
      </c>
      <c r="B316" t="s">
        <v>522</v>
      </c>
      <c r="C316" t="s">
        <v>523</v>
      </c>
      <c r="E316" t="s">
        <v>524</v>
      </c>
      <c r="F316" t="s">
        <v>323</v>
      </c>
      <c r="I316" s="36">
        <v>23.39</v>
      </c>
      <c r="J316" t="s">
        <v>65</v>
      </c>
      <c r="L316" t="s">
        <v>36</v>
      </c>
      <c r="M316" t="str">
        <f>IFERROR(INDEX(Diccionario!$N:$N,MATCH(F1008,Diccionario!$C:$C,0)),"")</f>
        <v>Mensual</v>
      </c>
    </row>
    <row r="317" spans="1:13" ht="12" customHeight="1" x14ac:dyDescent="0.3">
      <c r="A317" t="s">
        <v>535</v>
      </c>
      <c r="B317" t="s">
        <v>522</v>
      </c>
      <c r="C317" t="s">
        <v>523</v>
      </c>
      <c r="D317" t="s">
        <v>451</v>
      </c>
      <c r="E317" t="s">
        <v>524</v>
      </c>
      <c r="F317" t="s">
        <v>309</v>
      </c>
      <c r="H317" t="s">
        <v>567</v>
      </c>
      <c r="I317" s="29">
        <v>25000000</v>
      </c>
      <c r="J317" t="s">
        <v>451</v>
      </c>
      <c r="L317" t="s">
        <v>36</v>
      </c>
      <c r="M317" t="str">
        <f>IFERROR(INDEX(Diccionario!$N:$N,MATCH(F326,Diccionario!$C:$C,0)),"")</f>
        <v>Mensual</v>
      </c>
    </row>
    <row r="318" spans="1:13" ht="12" customHeight="1" x14ac:dyDescent="0.3">
      <c r="A318" t="s">
        <v>535</v>
      </c>
      <c r="B318" t="s">
        <v>522</v>
      </c>
      <c r="C318" t="s">
        <v>523</v>
      </c>
      <c r="D318" t="s">
        <v>451</v>
      </c>
      <c r="E318" t="s">
        <v>524</v>
      </c>
      <c r="F318" t="s">
        <v>309</v>
      </c>
      <c r="H318" t="s">
        <v>571</v>
      </c>
      <c r="I318" s="29">
        <v>0</v>
      </c>
      <c r="J318" t="s">
        <v>451</v>
      </c>
      <c r="L318" t="s">
        <v>36</v>
      </c>
      <c r="M318" t="str">
        <f>IFERROR(INDEX(Diccionario!$N:$N,MATCH(F330,Diccionario!$C:$C,0)),"")</f>
        <v>Mensual</v>
      </c>
    </row>
    <row r="319" spans="1:13" ht="12" customHeight="1" x14ac:dyDescent="0.3">
      <c r="A319" t="s">
        <v>535</v>
      </c>
      <c r="B319" t="s">
        <v>522</v>
      </c>
      <c r="C319" t="s">
        <v>523</v>
      </c>
      <c r="D319" t="s">
        <v>451</v>
      </c>
      <c r="E319" t="s">
        <v>524</v>
      </c>
      <c r="F319" t="s">
        <v>309</v>
      </c>
      <c r="H319" t="s">
        <v>566</v>
      </c>
      <c r="I319" s="29">
        <v>8000000</v>
      </c>
      <c r="J319" t="s">
        <v>451</v>
      </c>
      <c r="L319" t="s">
        <v>36</v>
      </c>
      <c r="M319" t="str">
        <f>IFERROR(INDEX(Diccionario!$N:$N,MATCH(F325,Diccionario!$C:$C,0)),"")</f>
        <v>Mensual</v>
      </c>
    </row>
    <row r="320" spans="1:13" ht="12" customHeight="1" x14ac:dyDescent="0.3">
      <c r="A320" t="s">
        <v>535</v>
      </c>
      <c r="B320" t="s">
        <v>522</v>
      </c>
      <c r="C320" t="s">
        <v>523</v>
      </c>
      <c r="D320" t="s">
        <v>451</v>
      </c>
      <c r="E320" t="s">
        <v>524</v>
      </c>
      <c r="F320" t="s">
        <v>309</v>
      </c>
      <c r="H320" t="s">
        <v>565</v>
      </c>
      <c r="I320" s="29">
        <v>73000000</v>
      </c>
      <c r="J320" t="s">
        <v>451</v>
      </c>
      <c r="L320" t="s">
        <v>36</v>
      </c>
      <c r="M320" t="str">
        <f>IFERROR(INDEX(Diccionario!$N:$N,MATCH(F324,Diccionario!$C:$C,0)),"")</f>
        <v>Mensual</v>
      </c>
    </row>
    <row r="321" spans="1:13" ht="12" customHeight="1" x14ac:dyDescent="0.3">
      <c r="A321" t="s">
        <v>535</v>
      </c>
      <c r="B321" t="s">
        <v>522</v>
      </c>
      <c r="C321" t="s">
        <v>523</v>
      </c>
      <c r="D321" t="s">
        <v>451</v>
      </c>
      <c r="E321" t="s">
        <v>524</v>
      </c>
      <c r="F321" t="s">
        <v>309</v>
      </c>
      <c r="H321" t="s">
        <v>568</v>
      </c>
      <c r="I321" s="29">
        <v>4000000</v>
      </c>
      <c r="J321" t="s">
        <v>451</v>
      </c>
      <c r="L321" t="s">
        <v>36</v>
      </c>
      <c r="M321" t="str">
        <f>IFERROR(INDEX(Diccionario!$N:$N,MATCH(F327,Diccionario!$C:$C,0)),"")</f>
        <v>Mensual</v>
      </c>
    </row>
    <row r="322" spans="1:13" ht="12" customHeight="1" x14ac:dyDescent="0.3">
      <c r="A322" t="s">
        <v>535</v>
      </c>
      <c r="B322" t="s">
        <v>522</v>
      </c>
      <c r="C322" t="s">
        <v>523</v>
      </c>
      <c r="D322" t="s">
        <v>451</v>
      </c>
      <c r="E322" t="s">
        <v>524</v>
      </c>
      <c r="F322" t="s">
        <v>309</v>
      </c>
      <c r="H322" t="s">
        <v>569</v>
      </c>
      <c r="I322" s="29">
        <v>6000000</v>
      </c>
      <c r="J322" t="s">
        <v>451</v>
      </c>
      <c r="L322" t="s">
        <v>36</v>
      </c>
      <c r="M322" t="str">
        <f>IFERROR(INDEX(Diccionario!$N:$N,MATCH(F328,Diccionario!$C:$C,0)),"")</f>
        <v>Mensual</v>
      </c>
    </row>
    <row r="323" spans="1:13" ht="12" customHeight="1" x14ac:dyDescent="0.3">
      <c r="A323" t="s">
        <v>535</v>
      </c>
      <c r="B323" t="s">
        <v>522</v>
      </c>
      <c r="C323" t="s">
        <v>523</v>
      </c>
      <c r="D323" t="s">
        <v>451</v>
      </c>
      <c r="E323" t="s">
        <v>524</v>
      </c>
      <c r="F323" t="s">
        <v>309</v>
      </c>
      <c r="H323" t="s">
        <v>570</v>
      </c>
      <c r="I323" s="29">
        <v>28000000</v>
      </c>
      <c r="J323" t="s">
        <v>451</v>
      </c>
      <c r="L323" t="s">
        <v>36</v>
      </c>
      <c r="M323" t="str">
        <f>IFERROR(INDEX(Diccionario!$N:$N,MATCH(F329,Diccionario!$C:$C,0)),"")</f>
        <v>Mensual</v>
      </c>
    </row>
    <row r="324" spans="1:13" ht="12" customHeight="1" x14ac:dyDescent="0.3">
      <c r="A324" t="s">
        <v>535</v>
      </c>
      <c r="B324" t="s">
        <v>522</v>
      </c>
      <c r="C324" t="s">
        <v>523</v>
      </c>
      <c r="D324" t="s">
        <v>451</v>
      </c>
      <c r="E324" t="s">
        <v>524</v>
      </c>
      <c r="F324" t="s">
        <v>304</v>
      </c>
      <c r="H324" t="s">
        <v>564</v>
      </c>
      <c r="I324" s="29">
        <v>158000000</v>
      </c>
      <c r="J324" t="s">
        <v>451</v>
      </c>
      <c r="L324" t="s">
        <v>36</v>
      </c>
      <c r="M324" t="str">
        <f>IFERROR(INDEX(Diccionario!$N:$N,MATCH(F163,Diccionario!$C:$C,0)),"")</f>
        <v>Mensual</v>
      </c>
    </row>
    <row r="325" spans="1:13" ht="12" customHeight="1" x14ac:dyDescent="0.3">
      <c r="A325" t="s">
        <v>535</v>
      </c>
      <c r="B325" t="s">
        <v>522</v>
      </c>
      <c r="C325" t="s">
        <v>523</v>
      </c>
      <c r="D325" t="s">
        <v>451</v>
      </c>
      <c r="E325" t="s">
        <v>524</v>
      </c>
      <c r="F325" t="s">
        <v>304</v>
      </c>
      <c r="H325" t="s">
        <v>190</v>
      </c>
      <c r="I325" s="29">
        <v>169000000</v>
      </c>
      <c r="J325" t="s">
        <v>451</v>
      </c>
      <c r="L325" t="s">
        <v>36</v>
      </c>
      <c r="M325" t="str">
        <f>IFERROR(INDEX(Diccionario!$N:$N,MATCH(F162,Diccionario!$C:$C,0)),"")</f>
        <v>Mensual</v>
      </c>
    </row>
    <row r="326" spans="1:13" ht="12" customHeight="1" x14ac:dyDescent="0.3">
      <c r="A326" t="s">
        <v>535</v>
      </c>
      <c r="B326" t="s">
        <v>522</v>
      </c>
      <c r="C326" t="s">
        <v>523</v>
      </c>
      <c r="D326" t="s">
        <v>451</v>
      </c>
      <c r="E326" t="s">
        <v>524</v>
      </c>
      <c r="F326" t="s">
        <v>304</v>
      </c>
      <c r="H326" t="s">
        <v>561</v>
      </c>
      <c r="I326" s="29">
        <v>5000000</v>
      </c>
      <c r="J326" t="s">
        <v>451</v>
      </c>
      <c r="L326" t="s">
        <v>36</v>
      </c>
      <c r="M326" t="str">
        <f>IFERROR(INDEX(Diccionario!$N:$N,MATCH(F159,Diccionario!$C:$C,0)),"")</f>
        <v>Mensual</v>
      </c>
    </row>
    <row r="327" spans="1:13" ht="12" customHeight="1" x14ac:dyDescent="0.3">
      <c r="A327" t="s">
        <v>535</v>
      </c>
      <c r="B327" t="s">
        <v>522</v>
      </c>
      <c r="C327" t="s">
        <v>523</v>
      </c>
      <c r="D327" t="s">
        <v>451</v>
      </c>
      <c r="E327" t="s">
        <v>524</v>
      </c>
      <c r="F327" t="s">
        <v>304</v>
      </c>
      <c r="H327" t="s">
        <v>563</v>
      </c>
      <c r="I327" s="29">
        <v>178000000</v>
      </c>
      <c r="J327" t="s">
        <v>451</v>
      </c>
      <c r="L327" t="s">
        <v>36</v>
      </c>
      <c r="M327" t="str">
        <f>IFERROR(INDEX(Diccionario!$N:$N,MATCH(F161,Diccionario!$C:$C,0)),"")</f>
        <v>Mensual</v>
      </c>
    </row>
    <row r="328" spans="1:13" ht="12" customHeight="1" x14ac:dyDescent="0.3">
      <c r="A328" t="s">
        <v>535</v>
      </c>
      <c r="B328" t="s">
        <v>522</v>
      </c>
      <c r="C328" t="s">
        <v>523</v>
      </c>
      <c r="D328" t="s">
        <v>451</v>
      </c>
      <c r="E328" t="s">
        <v>524</v>
      </c>
      <c r="F328" t="s">
        <v>304</v>
      </c>
      <c r="H328" t="s">
        <v>562</v>
      </c>
      <c r="I328" s="29">
        <v>230000000</v>
      </c>
      <c r="J328" t="s">
        <v>451</v>
      </c>
      <c r="L328" t="s">
        <v>36</v>
      </c>
      <c r="M328" t="str">
        <f>IFERROR(INDEX(Diccionario!$N:$N,MATCH(F160,Diccionario!$C:$C,0)),"")</f>
        <v>Mensual</v>
      </c>
    </row>
    <row r="329" spans="1:13" ht="12" customHeight="1" x14ac:dyDescent="0.3">
      <c r="A329" t="s">
        <v>535</v>
      </c>
      <c r="B329" t="s">
        <v>522</v>
      </c>
      <c r="C329" t="s">
        <v>523</v>
      </c>
      <c r="D329" t="s">
        <v>451</v>
      </c>
      <c r="E329" t="s">
        <v>524</v>
      </c>
      <c r="F329" t="s">
        <v>377</v>
      </c>
      <c r="H329" t="s">
        <v>571</v>
      </c>
      <c r="I329" s="29">
        <v>8100000</v>
      </c>
      <c r="J329" t="s">
        <v>451</v>
      </c>
      <c r="L329" t="s">
        <v>36</v>
      </c>
      <c r="M329" t="str">
        <f>IFERROR(INDEX(Diccionario!$N:$N,MATCH(F892,Diccionario!$C:$C,0)),"")</f>
        <v>Mensual</v>
      </c>
    </row>
    <row r="330" spans="1:13" ht="12" customHeight="1" x14ac:dyDescent="0.3">
      <c r="A330" t="s">
        <v>535</v>
      </c>
      <c r="B330" t="s">
        <v>522</v>
      </c>
      <c r="C330" t="s">
        <v>523</v>
      </c>
      <c r="D330" t="s">
        <v>451</v>
      </c>
      <c r="E330" t="s">
        <v>524</v>
      </c>
      <c r="F330" t="s">
        <v>377</v>
      </c>
      <c r="H330" t="s">
        <v>577</v>
      </c>
      <c r="I330" s="29">
        <v>23000000</v>
      </c>
      <c r="J330" t="s">
        <v>451</v>
      </c>
      <c r="L330" t="s">
        <v>36</v>
      </c>
      <c r="M330" t="str">
        <f>IFERROR(INDEX(Diccionario!$N:$N,MATCH(F888,Diccionario!$C:$C,0)),"")</f>
        <v>Mensual</v>
      </c>
    </row>
    <row r="331" spans="1:13" ht="12" customHeight="1" x14ac:dyDescent="0.3">
      <c r="A331" t="s">
        <v>535</v>
      </c>
      <c r="B331" t="s">
        <v>522</v>
      </c>
      <c r="C331" t="s">
        <v>523</v>
      </c>
      <c r="D331" t="s">
        <v>451</v>
      </c>
      <c r="E331" t="s">
        <v>524</v>
      </c>
      <c r="F331" t="s">
        <v>377</v>
      </c>
      <c r="H331" t="s">
        <v>565</v>
      </c>
      <c r="I331" s="29">
        <v>88300000</v>
      </c>
      <c r="J331" t="s">
        <v>451</v>
      </c>
      <c r="L331" t="s">
        <v>36</v>
      </c>
      <c r="M331" t="str">
        <f>IFERROR(INDEX(Diccionario!$N:$N,MATCH(F887,Diccionario!$C:$C,0)),"")</f>
        <v>Mensual</v>
      </c>
    </row>
    <row r="332" spans="1:13" ht="12" customHeight="1" x14ac:dyDescent="0.3">
      <c r="A332" t="s">
        <v>535</v>
      </c>
      <c r="B332" t="s">
        <v>522</v>
      </c>
      <c r="C332" t="s">
        <v>523</v>
      </c>
      <c r="D332" t="s">
        <v>451</v>
      </c>
      <c r="E332" t="s">
        <v>524</v>
      </c>
      <c r="F332" t="s">
        <v>377</v>
      </c>
      <c r="H332" t="s">
        <v>568</v>
      </c>
      <c r="I332" s="29">
        <v>150000</v>
      </c>
      <c r="J332" t="s">
        <v>451</v>
      </c>
      <c r="L332" t="s">
        <v>36</v>
      </c>
      <c r="M332" t="str">
        <f>IFERROR(INDEX(Diccionario!$N:$N,MATCH(F889,Diccionario!$C:$C,0)),"")</f>
        <v>Mensual</v>
      </c>
    </row>
    <row r="333" spans="1:13" ht="12" customHeight="1" x14ac:dyDescent="0.3">
      <c r="A333" t="s">
        <v>535</v>
      </c>
      <c r="B333" t="s">
        <v>522</v>
      </c>
      <c r="C333" t="s">
        <v>523</v>
      </c>
      <c r="D333" t="s">
        <v>451</v>
      </c>
      <c r="E333" t="s">
        <v>524</v>
      </c>
      <c r="F333" t="s">
        <v>377</v>
      </c>
      <c r="H333" t="s">
        <v>569</v>
      </c>
      <c r="I333" s="29">
        <v>18000000</v>
      </c>
      <c r="J333" t="s">
        <v>451</v>
      </c>
      <c r="L333" t="s">
        <v>36</v>
      </c>
      <c r="M333" t="str">
        <f>IFERROR(INDEX(Diccionario!$N:$N,MATCH(F890,Diccionario!$C:$C,0)),"")</f>
        <v>Mensual</v>
      </c>
    </row>
    <row r="334" spans="1:13" ht="12" customHeight="1" x14ac:dyDescent="0.3">
      <c r="A334" t="s">
        <v>535</v>
      </c>
      <c r="B334" t="s">
        <v>522</v>
      </c>
      <c r="C334" t="s">
        <v>523</v>
      </c>
      <c r="D334" t="s">
        <v>451</v>
      </c>
      <c r="E334" t="s">
        <v>524</v>
      </c>
      <c r="F334" t="s">
        <v>377</v>
      </c>
      <c r="H334" t="s">
        <v>570</v>
      </c>
      <c r="I334" s="29">
        <v>28300000</v>
      </c>
      <c r="J334" t="s">
        <v>451</v>
      </c>
      <c r="L334" t="s">
        <v>36</v>
      </c>
      <c r="M334" t="str">
        <f>IFERROR(INDEX(Diccionario!$N:$N,MATCH(F891,Diccionario!$C:$C,0)),"")</f>
        <v>Mensual</v>
      </c>
    </row>
    <row r="335" spans="1:13" ht="12" customHeight="1" x14ac:dyDescent="0.3">
      <c r="A335" t="s">
        <v>535</v>
      </c>
      <c r="B335" t="s">
        <v>522</v>
      </c>
      <c r="C335" t="s">
        <v>523</v>
      </c>
      <c r="D335" t="s">
        <v>451</v>
      </c>
      <c r="E335" t="s">
        <v>524</v>
      </c>
      <c r="F335" t="s">
        <v>371</v>
      </c>
      <c r="H335" t="s">
        <v>566</v>
      </c>
      <c r="I335" s="29">
        <v>8000000</v>
      </c>
      <c r="J335" t="s">
        <v>451</v>
      </c>
      <c r="L335" t="s">
        <v>36</v>
      </c>
      <c r="M335" t="str">
        <f>IFERROR(INDEX(Diccionario!$N:$N,MATCH(F757,Diccionario!$C:$C,0)),"")</f>
        <v>Mensual</v>
      </c>
    </row>
    <row r="336" spans="1:13" ht="12" customHeight="1" x14ac:dyDescent="0.3">
      <c r="A336" t="s">
        <v>535</v>
      </c>
      <c r="B336" t="s">
        <v>522</v>
      </c>
      <c r="C336" t="s">
        <v>523</v>
      </c>
      <c r="D336" t="s">
        <v>451</v>
      </c>
      <c r="E336" t="s">
        <v>524</v>
      </c>
      <c r="F336" t="s">
        <v>371</v>
      </c>
      <c r="H336" t="s">
        <v>565</v>
      </c>
      <c r="I336" s="29">
        <v>95000000</v>
      </c>
      <c r="J336" t="s">
        <v>451</v>
      </c>
      <c r="L336" t="s">
        <v>36</v>
      </c>
      <c r="M336" t="str">
        <f>IFERROR(INDEX(Diccionario!$N:$N,MATCH(F756,Diccionario!$C:$C,0)),"")</f>
        <v>Mensual</v>
      </c>
    </row>
    <row r="337" spans="1:13" ht="12" customHeight="1" x14ac:dyDescent="0.3">
      <c r="A337" t="s">
        <v>535</v>
      </c>
      <c r="B337" t="s">
        <v>522</v>
      </c>
      <c r="C337" t="s">
        <v>523</v>
      </c>
      <c r="D337" t="s">
        <v>451</v>
      </c>
      <c r="E337" t="s">
        <v>524</v>
      </c>
      <c r="F337" t="s">
        <v>371</v>
      </c>
      <c r="H337" t="s">
        <v>569</v>
      </c>
      <c r="I337" s="29">
        <v>30000000</v>
      </c>
      <c r="J337" t="s">
        <v>451</v>
      </c>
      <c r="L337" t="s">
        <v>36</v>
      </c>
      <c r="M337" t="str">
        <f>IFERROR(INDEX(Diccionario!$N:$N,MATCH(F758,Diccionario!$C:$C,0)),"")</f>
        <v>Mensual</v>
      </c>
    </row>
    <row r="338" spans="1:13" ht="12" customHeight="1" x14ac:dyDescent="0.3">
      <c r="A338" t="s">
        <v>535</v>
      </c>
      <c r="B338" t="s">
        <v>522</v>
      </c>
      <c r="C338" t="s">
        <v>523</v>
      </c>
      <c r="D338" t="s">
        <v>451</v>
      </c>
      <c r="E338" t="s">
        <v>524</v>
      </c>
      <c r="F338" t="s">
        <v>371</v>
      </c>
      <c r="H338" t="s">
        <v>570</v>
      </c>
      <c r="I338" s="29">
        <v>3000000</v>
      </c>
      <c r="J338" t="s">
        <v>451</v>
      </c>
      <c r="L338" t="s">
        <v>36</v>
      </c>
      <c r="M338" t="str">
        <f>IFERROR(INDEX(Diccionario!$N:$N,MATCH(F759,Diccionario!$C:$C,0)),"")</f>
        <v>Mensual</v>
      </c>
    </row>
    <row r="339" spans="1:13" ht="12" customHeight="1" x14ac:dyDescent="0.3">
      <c r="A339" t="s">
        <v>536</v>
      </c>
      <c r="B339" t="s">
        <v>522</v>
      </c>
      <c r="C339" t="s">
        <v>523</v>
      </c>
      <c r="D339" t="s">
        <v>451</v>
      </c>
      <c r="E339" t="s">
        <v>524</v>
      </c>
      <c r="F339" t="s">
        <v>314</v>
      </c>
      <c r="H339" t="s">
        <v>577</v>
      </c>
      <c r="I339" s="29">
        <v>3200000</v>
      </c>
      <c r="J339" t="s">
        <v>451</v>
      </c>
      <c r="L339" t="s">
        <v>36</v>
      </c>
      <c r="M339" t="str">
        <f>IFERROR(INDEX(Diccionario!$N:$N,MATCH(F632,Diccionario!$C:$C,0)),"")</f>
        <v>Mensual</v>
      </c>
    </row>
    <row r="340" spans="1:13" ht="12" customHeight="1" x14ac:dyDescent="0.3">
      <c r="A340" t="s">
        <v>536</v>
      </c>
      <c r="B340" t="s">
        <v>522</v>
      </c>
      <c r="C340" t="s">
        <v>523</v>
      </c>
      <c r="D340" t="s">
        <v>451</v>
      </c>
      <c r="E340" t="s">
        <v>524</v>
      </c>
      <c r="F340" t="s">
        <v>314</v>
      </c>
      <c r="H340" t="s">
        <v>565</v>
      </c>
      <c r="I340" s="29">
        <v>66400000</v>
      </c>
      <c r="J340" t="s">
        <v>451</v>
      </c>
      <c r="L340" t="s">
        <v>36</v>
      </c>
      <c r="M340" t="str">
        <f>IFERROR(INDEX(Diccionario!$N:$N,MATCH(F631,Diccionario!$C:$C,0)),"")</f>
        <v>Mensual</v>
      </c>
    </row>
    <row r="341" spans="1:13" ht="12" customHeight="1" x14ac:dyDescent="0.3">
      <c r="A341" t="s">
        <v>536</v>
      </c>
      <c r="B341" t="s">
        <v>522</v>
      </c>
      <c r="C341" t="s">
        <v>523</v>
      </c>
      <c r="D341" t="s">
        <v>451</v>
      </c>
      <c r="E341" t="s">
        <v>524</v>
      </c>
      <c r="F341" t="s">
        <v>314</v>
      </c>
      <c r="H341" t="s">
        <v>569</v>
      </c>
      <c r="I341" s="29">
        <v>33000000</v>
      </c>
      <c r="J341" t="s">
        <v>451</v>
      </c>
      <c r="L341" t="s">
        <v>36</v>
      </c>
      <c r="M341" t="str">
        <f>IFERROR(INDEX(Diccionario!$N:$N,MATCH(F633,Diccionario!$C:$C,0)),"")</f>
        <v>Mensual</v>
      </c>
    </row>
    <row r="342" spans="1:13" ht="12" customHeight="1" x14ac:dyDescent="0.3">
      <c r="A342" t="s">
        <v>536</v>
      </c>
      <c r="B342" t="s">
        <v>522</v>
      </c>
      <c r="C342" t="s">
        <v>523</v>
      </c>
      <c r="D342" t="s">
        <v>451</v>
      </c>
      <c r="E342" t="s">
        <v>524</v>
      </c>
      <c r="F342" t="s">
        <v>314</v>
      </c>
      <c r="H342" t="s">
        <v>570</v>
      </c>
      <c r="I342" s="29">
        <v>5600000</v>
      </c>
      <c r="J342" t="s">
        <v>451</v>
      </c>
      <c r="L342" t="s">
        <v>36</v>
      </c>
      <c r="M342" t="str">
        <f>IFERROR(INDEX(Diccionario!$N:$N,MATCH(F634,Diccionario!$C:$C,0)),"")</f>
        <v>Mensual</v>
      </c>
    </row>
    <row r="343" spans="1:13" ht="12" customHeight="1" x14ac:dyDescent="0.3">
      <c r="A343" t="s">
        <v>536</v>
      </c>
      <c r="B343" t="s">
        <v>522</v>
      </c>
      <c r="C343" t="s">
        <v>523</v>
      </c>
      <c r="D343" t="s">
        <v>451</v>
      </c>
      <c r="E343" t="s">
        <v>524</v>
      </c>
      <c r="F343" t="s">
        <v>318</v>
      </c>
      <c r="H343" t="s">
        <v>574</v>
      </c>
      <c r="I343" s="29">
        <v>26800000</v>
      </c>
      <c r="J343" t="s">
        <v>451</v>
      </c>
      <c r="L343" t="s">
        <v>36</v>
      </c>
      <c r="M343" t="str">
        <f>IFERROR(INDEX(Diccionario!$N:$N,MATCH(F513,Diccionario!$C:$C,0)),"")</f>
        <v>Mensual</v>
      </c>
    </row>
    <row r="344" spans="1:13" ht="12" customHeight="1" x14ac:dyDescent="0.3">
      <c r="A344" t="s">
        <v>536</v>
      </c>
      <c r="B344" t="s">
        <v>522</v>
      </c>
      <c r="C344" t="s">
        <v>523</v>
      </c>
      <c r="D344" t="s">
        <v>451</v>
      </c>
      <c r="E344" t="s">
        <v>524</v>
      </c>
      <c r="F344" t="s">
        <v>318</v>
      </c>
      <c r="H344" t="s">
        <v>575</v>
      </c>
      <c r="I344" s="29">
        <v>8000000</v>
      </c>
      <c r="J344" t="s">
        <v>451</v>
      </c>
      <c r="L344" t="s">
        <v>36</v>
      </c>
      <c r="M344" t="str">
        <f>IFERROR(INDEX(Diccionario!$N:$N,MATCH(F514,Diccionario!$C:$C,0)),"")</f>
        <v>Mensual</v>
      </c>
    </row>
    <row r="345" spans="1:13" ht="12" customHeight="1" x14ac:dyDescent="0.3">
      <c r="A345" t="s">
        <v>536</v>
      </c>
      <c r="B345" t="s">
        <v>522</v>
      </c>
      <c r="C345" t="s">
        <v>523</v>
      </c>
      <c r="D345" t="s">
        <v>451</v>
      </c>
      <c r="E345" t="s">
        <v>524</v>
      </c>
      <c r="F345" t="s">
        <v>318</v>
      </c>
      <c r="H345" t="s">
        <v>573</v>
      </c>
      <c r="I345" s="29">
        <v>13500000</v>
      </c>
      <c r="J345" t="s">
        <v>451</v>
      </c>
      <c r="L345" t="s">
        <v>36</v>
      </c>
      <c r="M345" t="str">
        <f>IFERROR(INDEX(Diccionario!$N:$N,MATCH(F512,Diccionario!$C:$C,0)),"")</f>
        <v>Mensual</v>
      </c>
    </row>
    <row r="346" spans="1:13" ht="12" customHeight="1" x14ac:dyDescent="0.3">
      <c r="A346" t="s">
        <v>536</v>
      </c>
      <c r="B346" t="s">
        <v>522</v>
      </c>
      <c r="C346" t="s">
        <v>523</v>
      </c>
      <c r="D346" t="s">
        <v>451</v>
      </c>
      <c r="E346" t="s">
        <v>524</v>
      </c>
      <c r="F346" t="s">
        <v>318</v>
      </c>
      <c r="H346" t="s">
        <v>572</v>
      </c>
      <c r="I346" s="29">
        <v>123000000</v>
      </c>
      <c r="J346" t="s">
        <v>451</v>
      </c>
      <c r="L346" t="s">
        <v>36</v>
      </c>
      <c r="M346" t="str">
        <f>IFERROR(INDEX(Diccionario!$N:$N,MATCH(F511,Diccionario!$C:$C,0)),"")</f>
        <v>Mensual</v>
      </c>
    </row>
    <row r="347" spans="1:13" ht="12" customHeight="1" x14ac:dyDescent="0.3">
      <c r="A347" t="s">
        <v>536</v>
      </c>
      <c r="B347" t="s">
        <v>522</v>
      </c>
      <c r="C347" t="s">
        <v>523</v>
      </c>
      <c r="D347" t="s">
        <v>451</v>
      </c>
      <c r="E347" t="s">
        <v>524</v>
      </c>
      <c r="F347" t="s">
        <v>318</v>
      </c>
      <c r="H347" t="s">
        <v>576</v>
      </c>
      <c r="I347" s="29">
        <v>10000000</v>
      </c>
      <c r="J347" t="s">
        <v>451</v>
      </c>
      <c r="L347" t="s">
        <v>36</v>
      </c>
      <c r="M347" t="str">
        <f>IFERROR(INDEX(Diccionario!$N:$N,MATCH(F515,Diccionario!$C:$C,0)),"")</f>
        <v>Mensual</v>
      </c>
    </row>
    <row r="348" spans="1:13" ht="12" customHeight="1" x14ac:dyDescent="0.3">
      <c r="A348" t="s">
        <v>536</v>
      </c>
      <c r="B348" t="s">
        <v>522</v>
      </c>
      <c r="C348" t="s">
        <v>523</v>
      </c>
      <c r="E348" t="s">
        <v>524</v>
      </c>
      <c r="F348" t="s">
        <v>323</v>
      </c>
      <c r="I348" s="36">
        <v>14.18</v>
      </c>
      <c r="J348" t="s">
        <v>65</v>
      </c>
      <c r="L348" t="s">
        <v>36</v>
      </c>
      <c r="M348" t="str">
        <f>IFERROR(INDEX(Diccionario!$N:$N,MATCH(F1009,Diccionario!$C:$C,0)),"")</f>
        <v>Mensual</v>
      </c>
    </row>
    <row r="349" spans="1:13" ht="12" customHeight="1" x14ac:dyDescent="0.3">
      <c r="A349" t="s">
        <v>536</v>
      </c>
      <c r="B349" t="s">
        <v>522</v>
      </c>
      <c r="C349" t="s">
        <v>523</v>
      </c>
      <c r="D349" t="s">
        <v>451</v>
      </c>
      <c r="E349" t="s">
        <v>524</v>
      </c>
      <c r="F349" t="s">
        <v>309</v>
      </c>
      <c r="H349" t="s">
        <v>567</v>
      </c>
      <c r="I349" s="29">
        <v>26300000</v>
      </c>
      <c r="J349" t="s">
        <v>451</v>
      </c>
      <c r="L349" t="s">
        <v>36</v>
      </c>
      <c r="M349" t="str">
        <f>IFERROR(INDEX(Diccionario!$N:$N,MATCH(F333,Diccionario!$C:$C,0)),"")</f>
        <v>Mensual</v>
      </c>
    </row>
    <row r="350" spans="1:13" ht="12" customHeight="1" x14ac:dyDescent="0.3">
      <c r="A350" t="s">
        <v>536</v>
      </c>
      <c r="B350" t="s">
        <v>522</v>
      </c>
      <c r="C350" t="s">
        <v>523</v>
      </c>
      <c r="D350" t="s">
        <v>451</v>
      </c>
      <c r="E350" t="s">
        <v>524</v>
      </c>
      <c r="F350" t="s">
        <v>309</v>
      </c>
      <c r="H350" t="s">
        <v>571</v>
      </c>
      <c r="I350" s="29">
        <v>6000000</v>
      </c>
      <c r="J350" t="s">
        <v>451</v>
      </c>
      <c r="L350" t="s">
        <v>36</v>
      </c>
      <c r="M350" t="str">
        <f>IFERROR(INDEX(Diccionario!$N:$N,MATCH(F337,Diccionario!$C:$C,0)),"")</f>
        <v>Mensual</v>
      </c>
    </row>
    <row r="351" spans="1:13" ht="12" customHeight="1" x14ac:dyDescent="0.3">
      <c r="A351" t="s">
        <v>536</v>
      </c>
      <c r="B351" t="s">
        <v>522</v>
      </c>
      <c r="C351" t="s">
        <v>523</v>
      </c>
      <c r="D351" t="s">
        <v>451</v>
      </c>
      <c r="E351" t="s">
        <v>524</v>
      </c>
      <c r="F351" t="s">
        <v>309</v>
      </c>
      <c r="H351" t="s">
        <v>566</v>
      </c>
      <c r="I351" s="29">
        <v>103400000</v>
      </c>
      <c r="J351" t="s">
        <v>451</v>
      </c>
      <c r="L351" t="s">
        <v>36</v>
      </c>
      <c r="M351" t="str">
        <f>IFERROR(INDEX(Diccionario!$N:$N,MATCH(F332,Diccionario!$C:$C,0)),"")</f>
        <v>Mensual</v>
      </c>
    </row>
    <row r="352" spans="1:13" ht="12" customHeight="1" x14ac:dyDescent="0.3">
      <c r="A352" t="s">
        <v>536</v>
      </c>
      <c r="B352" t="s">
        <v>522</v>
      </c>
      <c r="C352" t="s">
        <v>523</v>
      </c>
      <c r="D352" t="s">
        <v>451</v>
      </c>
      <c r="E352" t="s">
        <v>524</v>
      </c>
      <c r="F352" t="s">
        <v>309</v>
      </c>
      <c r="H352" t="s">
        <v>565</v>
      </c>
      <c r="I352" s="29">
        <v>60600000</v>
      </c>
      <c r="J352" t="s">
        <v>451</v>
      </c>
      <c r="L352" t="s">
        <v>36</v>
      </c>
      <c r="M352" t="str">
        <f>IFERROR(INDEX(Diccionario!$N:$N,MATCH(F331,Diccionario!$C:$C,0)),"")</f>
        <v>Mensual</v>
      </c>
    </row>
    <row r="353" spans="1:13" ht="12" customHeight="1" x14ac:dyDescent="0.3">
      <c r="A353" t="s">
        <v>536</v>
      </c>
      <c r="B353" t="s">
        <v>522</v>
      </c>
      <c r="C353" t="s">
        <v>523</v>
      </c>
      <c r="D353" t="s">
        <v>451</v>
      </c>
      <c r="E353" t="s">
        <v>524</v>
      </c>
      <c r="F353" t="s">
        <v>309</v>
      </c>
      <c r="H353" t="s">
        <v>568</v>
      </c>
      <c r="I353" s="29">
        <v>9400000</v>
      </c>
      <c r="J353" t="s">
        <v>451</v>
      </c>
      <c r="L353" t="s">
        <v>36</v>
      </c>
      <c r="M353" t="str">
        <f>IFERROR(INDEX(Diccionario!$N:$N,MATCH(F334,Diccionario!$C:$C,0)),"")</f>
        <v>Mensual</v>
      </c>
    </row>
    <row r="354" spans="1:13" ht="12" customHeight="1" x14ac:dyDescent="0.3">
      <c r="A354" t="s">
        <v>536</v>
      </c>
      <c r="B354" t="s">
        <v>522</v>
      </c>
      <c r="C354" t="s">
        <v>523</v>
      </c>
      <c r="D354" t="s">
        <v>451</v>
      </c>
      <c r="E354" t="s">
        <v>524</v>
      </c>
      <c r="F354" t="s">
        <v>309</v>
      </c>
      <c r="H354" t="s">
        <v>569</v>
      </c>
      <c r="I354" s="29">
        <v>15000000</v>
      </c>
      <c r="J354" t="s">
        <v>451</v>
      </c>
      <c r="L354" t="s">
        <v>36</v>
      </c>
      <c r="M354" t="str">
        <f>IFERROR(INDEX(Diccionario!$N:$N,MATCH(F335,Diccionario!$C:$C,0)),"")</f>
        <v>Mensual</v>
      </c>
    </row>
    <row r="355" spans="1:13" ht="12" customHeight="1" x14ac:dyDescent="0.3">
      <c r="A355" t="s">
        <v>536</v>
      </c>
      <c r="B355" t="s">
        <v>522</v>
      </c>
      <c r="C355" t="s">
        <v>523</v>
      </c>
      <c r="D355" t="s">
        <v>451</v>
      </c>
      <c r="E355" t="s">
        <v>524</v>
      </c>
      <c r="F355" t="s">
        <v>309</v>
      </c>
      <c r="H355" t="s">
        <v>570</v>
      </c>
      <c r="I355" s="29">
        <v>8000000</v>
      </c>
      <c r="J355" t="s">
        <v>451</v>
      </c>
      <c r="L355" t="s">
        <v>36</v>
      </c>
      <c r="M355" t="str">
        <f>IFERROR(INDEX(Diccionario!$N:$N,MATCH(F336,Diccionario!$C:$C,0)),"")</f>
        <v>Mensual</v>
      </c>
    </row>
    <row r="356" spans="1:13" ht="12" customHeight="1" x14ac:dyDescent="0.3">
      <c r="A356" t="s">
        <v>536</v>
      </c>
      <c r="B356" t="s">
        <v>522</v>
      </c>
      <c r="C356" t="s">
        <v>523</v>
      </c>
      <c r="D356" t="s">
        <v>451</v>
      </c>
      <c r="E356" t="s">
        <v>524</v>
      </c>
      <c r="F356" t="s">
        <v>304</v>
      </c>
      <c r="H356" t="s">
        <v>564</v>
      </c>
      <c r="I356" s="29">
        <v>231000000</v>
      </c>
      <c r="J356" t="s">
        <v>451</v>
      </c>
      <c r="L356" t="s">
        <v>36</v>
      </c>
      <c r="M356" t="str">
        <f>IFERROR(INDEX(Diccionario!$N:$N,MATCH(F168,Diccionario!$C:$C,0)),"")</f>
        <v>Mensual</v>
      </c>
    </row>
    <row r="357" spans="1:13" ht="12" customHeight="1" x14ac:dyDescent="0.3">
      <c r="A357" t="s">
        <v>536</v>
      </c>
      <c r="B357" t="s">
        <v>522</v>
      </c>
      <c r="C357" t="s">
        <v>523</v>
      </c>
      <c r="D357" t="s">
        <v>451</v>
      </c>
      <c r="E357" t="s">
        <v>524</v>
      </c>
      <c r="F357" t="s">
        <v>304</v>
      </c>
      <c r="H357" t="s">
        <v>190</v>
      </c>
      <c r="I357" s="29">
        <v>175000000</v>
      </c>
      <c r="J357" t="s">
        <v>451</v>
      </c>
      <c r="L357" t="s">
        <v>36</v>
      </c>
      <c r="M357" t="str">
        <f>IFERROR(INDEX(Diccionario!$N:$N,MATCH(F167,Diccionario!$C:$C,0)),"")</f>
        <v>Mensual</v>
      </c>
    </row>
    <row r="358" spans="1:13" ht="12" customHeight="1" x14ac:dyDescent="0.3">
      <c r="A358" t="s">
        <v>536</v>
      </c>
      <c r="B358" t="s">
        <v>522</v>
      </c>
      <c r="C358" t="s">
        <v>523</v>
      </c>
      <c r="D358" t="s">
        <v>451</v>
      </c>
      <c r="E358" t="s">
        <v>524</v>
      </c>
      <c r="F358" t="s">
        <v>304</v>
      </c>
      <c r="H358" t="s">
        <v>561</v>
      </c>
      <c r="I358" s="29">
        <v>6500000</v>
      </c>
      <c r="J358" t="s">
        <v>451</v>
      </c>
      <c r="L358" t="s">
        <v>36</v>
      </c>
      <c r="M358" t="str">
        <f>IFERROR(INDEX(Diccionario!$N:$N,MATCH(F164,Diccionario!$C:$C,0)),"")</f>
        <v>Mensual</v>
      </c>
    </row>
    <row r="359" spans="1:13" ht="12" customHeight="1" x14ac:dyDescent="0.3">
      <c r="A359" t="s">
        <v>536</v>
      </c>
      <c r="B359" t="s">
        <v>522</v>
      </c>
      <c r="C359" t="s">
        <v>523</v>
      </c>
      <c r="D359" t="s">
        <v>451</v>
      </c>
      <c r="E359" t="s">
        <v>524</v>
      </c>
      <c r="F359" t="s">
        <v>304</v>
      </c>
      <c r="H359" t="s">
        <v>563</v>
      </c>
      <c r="I359" s="29">
        <v>182000000</v>
      </c>
      <c r="J359" t="s">
        <v>451</v>
      </c>
      <c r="L359" t="s">
        <v>36</v>
      </c>
      <c r="M359" t="str">
        <f>IFERROR(INDEX(Diccionario!$N:$N,MATCH(F166,Diccionario!$C:$C,0)),"")</f>
        <v>Mensual</v>
      </c>
    </row>
    <row r="360" spans="1:13" ht="12" customHeight="1" x14ac:dyDescent="0.3">
      <c r="A360" t="s">
        <v>536</v>
      </c>
      <c r="B360" t="s">
        <v>522</v>
      </c>
      <c r="C360" t="s">
        <v>523</v>
      </c>
      <c r="D360" t="s">
        <v>451</v>
      </c>
      <c r="E360" t="s">
        <v>524</v>
      </c>
      <c r="F360" t="s">
        <v>304</v>
      </c>
      <c r="H360" t="s">
        <v>562</v>
      </c>
      <c r="I360" s="29">
        <v>216000000</v>
      </c>
      <c r="J360" t="s">
        <v>451</v>
      </c>
      <c r="L360" t="s">
        <v>36</v>
      </c>
      <c r="M360" t="str">
        <f>IFERROR(INDEX(Diccionario!$N:$N,MATCH(F165,Diccionario!$C:$C,0)),"")</f>
        <v>Mensual</v>
      </c>
    </row>
    <row r="361" spans="1:13" ht="12" customHeight="1" x14ac:dyDescent="0.3">
      <c r="A361" t="s">
        <v>536</v>
      </c>
      <c r="B361" t="s">
        <v>522</v>
      </c>
      <c r="C361" t="s">
        <v>523</v>
      </c>
      <c r="D361" t="s">
        <v>451</v>
      </c>
      <c r="E361" t="s">
        <v>524</v>
      </c>
      <c r="F361" t="s">
        <v>377</v>
      </c>
      <c r="H361" t="s">
        <v>571</v>
      </c>
      <c r="I361" s="29">
        <v>8700000</v>
      </c>
      <c r="J361" t="s">
        <v>451</v>
      </c>
      <c r="L361" t="s">
        <v>36</v>
      </c>
      <c r="M361" t="str">
        <f>IFERROR(INDEX(Diccionario!$N:$N,MATCH(F898,Diccionario!$C:$C,0)),"")</f>
        <v>Mensual</v>
      </c>
    </row>
    <row r="362" spans="1:13" ht="12" customHeight="1" x14ac:dyDescent="0.3">
      <c r="A362" t="s">
        <v>536</v>
      </c>
      <c r="B362" t="s">
        <v>522</v>
      </c>
      <c r="C362" t="s">
        <v>523</v>
      </c>
      <c r="D362" t="s">
        <v>451</v>
      </c>
      <c r="E362" t="s">
        <v>524</v>
      </c>
      <c r="F362" t="s">
        <v>377</v>
      </c>
      <c r="H362" t="s">
        <v>577</v>
      </c>
      <c r="I362" s="29">
        <v>37400000</v>
      </c>
      <c r="J362" t="s">
        <v>451</v>
      </c>
      <c r="L362" t="s">
        <v>36</v>
      </c>
      <c r="M362" t="str">
        <f>IFERROR(INDEX(Diccionario!$N:$N,MATCH(F894,Diccionario!$C:$C,0)),"")</f>
        <v>Mensual</v>
      </c>
    </row>
    <row r="363" spans="1:13" ht="12" customHeight="1" x14ac:dyDescent="0.3">
      <c r="A363" t="s">
        <v>536</v>
      </c>
      <c r="B363" t="s">
        <v>522</v>
      </c>
      <c r="C363" t="s">
        <v>523</v>
      </c>
      <c r="D363" t="s">
        <v>451</v>
      </c>
      <c r="E363" t="s">
        <v>524</v>
      </c>
      <c r="F363" t="s">
        <v>377</v>
      </c>
      <c r="H363" t="s">
        <v>565</v>
      </c>
      <c r="I363" s="29">
        <v>79000000</v>
      </c>
      <c r="J363" t="s">
        <v>451</v>
      </c>
      <c r="L363" t="s">
        <v>36</v>
      </c>
      <c r="M363" t="str">
        <f>IFERROR(INDEX(Diccionario!$N:$N,MATCH(F893,Diccionario!$C:$C,0)),"")</f>
        <v>Mensual</v>
      </c>
    </row>
    <row r="364" spans="1:13" ht="12" customHeight="1" x14ac:dyDescent="0.3">
      <c r="A364" t="s">
        <v>536</v>
      </c>
      <c r="B364" t="s">
        <v>522</v>
      </c>
      <c r="C364" t="s">
        <v>523</v>
      </c>
      <c r="D364" t="s">
        <v>451</v>
      </c>
      <c r="E364" t="s">
        <v>524</v>
      </c>
      <c r="F364" t="s">
        <v>377</v>
      </c>
      <c r="H364" t="s">
        <v>568</v>
      </c>
      <c r="I364" s="29">
        <v>270000</v>
      </c>
      <c r="J364" t="s">
        <v>451</v>
      </c>
      <c r="L364" t="s">
        <v>36</v>
      </c>
      <c r="M364" t="str">
        <f>IFERROR(INDEX(Diccionario!$N:$N,MATCH(F895,Diccionario!$C:$C,0)),"")</f>
        <v>Mensual</v>
      </c>
    </row>
    <row r="365" spans="1:13" ht="12" customHeight="1" x14ac:dyDescent="0.3">
      <c r="A365" t="s">
        <v>536</v>
      </c>
      <c r="B365" t="s">
        <v>522</v>
      </c>
      <c r="C365" t="s">
        <v>523</v>
      </c>
      <c r="D365" t="s">
        <v>451</v>
      </c>
      <c r="E365" t="s">
        <v>524</v>
      </c>
      <c r="F365" t="s">
        <v>377</v>
      </c>
      <c r="H365" t="s">
        <v>569</v>
      </c>
      <c r="I365" s="29">
        <v>43800000</v>
      </c>
      <c r="J365" t="s">
        <v>451</v>
      </c>
      <c r="L365" t="s">
        <v>36</v>
      </c>
      <c r="M365" t="str">
        <f>IFERROR(INDEX(Diccionario!$N:$N,MATCH(F896,Diccionario!$C:$C,0)),"")</f>
        <v>Mensual</v>
      </c>
    </row>
    <row r="366" spans="1:13" ht="12" customHeight="1" x14ac:dyDescent="0.3">
      <c r="A366" t="s">
        <v>536</v>
      </c>
      <c r="B366" t="s">
        <v>522</v>
      </c>
      <c r="C366" t="s">
        <v>523</v>
      </c>
      <c r="D366" t="s">
        <v>451</v>
      </c>
      <c r="E366" t="s">
        <v>524</v>
      </c>
      <c r="F366" t="s">
        <v>377</v>
      </c>
      <c r="H366" t="s">
        <v>570</v>
      </c>
      <c r="I366" s="29">
        <v>6000000</v>
      </c>
      <c r="J366" t="s">
        <v>451</v>
      </c>
      <c r="L366" t="s">
        <v>36</v>
      </c>
      <c r="M366" t="str">
        <f>IFERROR(INDEX(Diccionario!$N:$N,MATCH(F897,Diccionario!$C:$C,0)),"")</f>
        <v>Mensual</v>
      </c>
    </row>
    <row r="367" spans="1:13" ht="12" customHeight="1" x14ac:dyDescent="0.3">
      <c r="A367" t="s">
        <v>536</v>
      </c>
      <c r="B367" t="s">
        <v>522</v>
      </c>
      <c r="C367" t="s">
        <v>523</v>
      </c>
      <c r="D367" t="s">
        <v>451</v>
      </c>
      <c r="E367" t="s">
        <v>524</v>
      </c>
      <c r="F367" t="s">
        <v>371</v>
      </c>
      <c r="H367" t="s">
        <v>566</v>
      </c>
      <c r="I367" s="29">
        <v>3300000</v>
      </c>
      <c r="J367" t="s">
        <v>451</v>
      </c>
      <c r="L367" t="s">
        <v>36</v>
      </c>
      <c r="M367" t="str">
        <f>IFERROR(INDEX(Diccionario!$N:$N,MATCH(F761,Diccionario!$C:$C,0)),"")</f>
        <v>Mensual</v>
      </c>
    </row>
    <row r="368" spans="1:13" ht="12" customHeight="1" x14ac:dyDescent="0.3">
      <c r="A368" t="s">
        <v>536</v>
      </c>
      <c r="B368" t="s">
        <v>522</v>
      </c>
      <c r="C368" t="s">
        <v>523</v>
      </c>
      <c r="D368" t="s">
        <v>451</v>
      </c>
      <c r="E368" t="s">
        <v>524</v>
      </c>
      <c r="F368" t="s">
        <v>371</v>
      </c>
      <c r="H368" t="s">
        <v>565</v>
      </c>
      <c r="I368" s="29">
        <v>100800000</v>
      </c>
      <c r="J368" t="s">
        <v>451</v>
      </c>
      <c r="L368" t="s">
        <v>36</v>
      </c>
      <c r="M368" t="str">
        <f>IFERROR(INDEX(Diccionario!$N:$N,MATCH(F760,Diccionario!$C:$C,0)),"")</f>
        <v>Mensual</v>
      </c>
    </row>
    <row r="369" spans="1:13" ht="12" customHeight="1" x14ac:dyDescent="0.3">
      <c r="A369" t="s">
        <v>536</v>
      </c>
      <c r="B369" t="s">
        <v>522</v>
      </c>
      <c r="C369" t="s">
        <v>523</v>
      </c>
      <c r="D369" t="s">
        <v>451</v>
      </c>
      <c r="E369" t="s">
        <v>524</v>
      </c>
      <c r="F369" t="s">
        <v>371</v>
      </c>
      <c r="H369" t="s">
        <v>569</v>
      </c>
      <c r="I369" s="29">
        <v>2600000</v>
      </c>
      <c r="J369" t="s">
        <v>451</v>
      </c>
      <c r="L369" t="s">
        <v>36</v>
      </c>
      <c r="M369" t="str">
        <f>IFERROR(INDEX(Diccionario!$N:$N,MATCH(F762,Diccionario!$C:$C,0)),"")</f>
        <v>Mensual</v>
      </c>
    </row>
    <row r="370" spans="1:13" ht="12" customHeight="1" x14ac:dyDescent="0.3">
      <c r="A370" t="s">
        <v>536</v>
      </c>
      <c r="B370" t="s">
        <v>522</v>
      </c>
      <c r="C370" t="s">
        <v>523</v>
      </c>
      <c r="D370" t="s">
        <v>451</v>
      </c>
      <c r="E370" t="s">
        <v>524</v>
      </c>
      <c r="F370" t="s">
        <v>371</v>
      </c>
      <c r="H370" t="s">
        <v>570</v>
      </c>
      <c r="I370" s="29">
        <v>3000000</v>
      </c>
      <c r="J370" t="s">
        <v>451</v>
      </c>
      <c r="L370" t="s">
        <v>36</v>
      </c>
      <c r="M370" t="str">
        <f>IFERROR(INDEX(Diccionario!$N:$N,MATCH(F763,Diccionario!$C:$C,0)),"")</f>
        <v>Mensual</v>
      </c>
    </row>
    <row r="371" spans="1:13" ht="12" customHeight="1" x14ac:dyDescent="0.3">
      <c r="A371" t="s">
        <v>537</v>
      </c>
      <c r="B371" t="s">
        <v>522</v>
      </c>
      <c r="C371" t="s">
        <v>523</v>
      </c>
      <c r="D371" t="s">
        <v>451</v>
      </c>
      <c r="E371" t="s">
        <v>524</v>
      </c>
      <c r="F371" t="s">
        <v>314</v>
      </c>
      <c r="H371" t="s">
        <v>565</v>
      </c>
      <c r="I371" s="29">
        <v>87200000</v>
      </c>
      <c r="J371" t="s">
        <v>451</v>
      </c>
      <c r="L371" t="s">
        <v>36</v>
      </c>
      <c r="M371" t="str">
        <f>IFERROR(INDEX(Diccionario!$N:$N,MATCH(F635,Diccionario!$C:$C,0)),"")</f>
        <v>Mensual</v>
      </c>
    </row>
    <row r="372" spans="1:13" ht="12" customHeight="1" x14ac:dyDescent="0.3">
      <c r="A372" t="s">
        <v>537</v>
      </c>
      <c r="B372" t="s">
        <v>522</v>
      </c>
      <c r="C372" t="s">
        <v>523</v>
      </c>
      <c r="D372" t="s">
        <v>451</v>
      </c>
      <c r="E372" t="s">
        <v>524</v>
      </c>
      <c r="F372" t="s">
        <v>314</v>
      </c>
      <c r="H372" t="s">
        <v>569</v>
      </c>
      <c r="I372" s="29">
        <v>4700000</v>
      </c>
      <c r="J372" t="s">
        <v>451</v>
      </c>
      <c r="L372" t="s">
        <v>36</v>
      </c>
      <c r="M372" t="str">
        <f>IFERROR(INDEX(Diccionario!$N:$N,MATCH(F636,Diccionario!$C:$C,0)),"")</f>
        <v>Mensual</v>
      </c>
    </row>
    <row r="373" spans="1:13" ht="12" customHeight="1" x14ac:dyDescent="0.3">
      <c r="A373" t="s">
        <v>537</v>
      </c>
      <c r="B373" t="s">
        <v>522</v>
      </c>
      <c r="C373" t="s">
        <v>523</v>
      </c>
      <c r="D373" t="s">
        <v>451</v>
      </c>
      <c r="E373" t="s">
        <v>524</v>
      </c>
      <c r="F373" t="s">
        <v>314</v>
      </c>
      <c r="H373" t="s">
        <v>570</v>
      </c>
      <c r="I373" s="29">
        <v>18500000</v>
      </c>
      <c r="J373" t="s">
        <v>451</v>
      </c>
      <c r="L373" t="s">
        <v>36</v>
      </c>
      <c r="M373" t="str">
        <f>IFERROR(INDEX(Diccionario!$N:$N,MATCH(F637,Diccionario!$C:$C,0)),"")</f>
        <v>Mensual</v>
      </c>
    </row>
    <row r="374" spans="1:13" ht="12" customHeight="1" x14ac:dyDescent="0.3">
      <c r="A374" t="s">
        <v>537</v>
      </c>
      <c r="B374" t="s">
        <v>522</v>
      </c>
      <c r="C374" t="s">
        <v>523</v>
      </c>
      <c r="D374" t="s">
        <v>451</v>
      </c>
      <c r="E374" t="s">
        <v>524</v>
      </c>
      <c r="F374" t="s">
        <v>309</v>
      </c>
      <c r="H374" t="s">
        <v>567</v>
      </c>
      <c r="I374" s="29">
        <v>7900000</v>
      </c>
      <c r="J374" t="s">
        <v>451</v>
      </c>
      <c r="L374" t="s">
        <v>36</v>
      </c>
      <c r="M374" t="str">
        <f>IFERROR(INDEX(Diccionario!$N:$N,MATCH(F340,Diccionario!$C:$C,0)),"")</f>
        <v>Mensual</v>
      </c>
    </row>
    <row r="375" spans="1:13" ht="12" customHeight="1" x14ac:dyDescent="0.3">
      <c r="A375" t="s">
        <v>537</v>
      </c>
      <c r="B375" t="s">
        <v>522</v>
      </c>
      <c r="C375" t="s">
        <v>523</v>
      </c>
      <c r="D375" t="s">
        <v>451</v>
      </c>
      <c r="E375" t="s">
        <v>524</v>
      </c>
      <c r="F375" t="s">
        <v>309</v>
      </c>
      <c r="H375" t="s">
        <v>571</v>
      </c>
      <c r="I375" s="29">
        <v>500000</v>
      </c>
      <c r="J375" t="s">
        <v>451</v>
      </c>
      <c r="L375" t="s">
        <v>36</v>
      </c>
      <c r="M375" t="str">
        <f>IFERROR(INDEX(Diccionario!$N:$N,MATCH(F344,Diccionario!$C:$C,0)),"")</f>
        <v>Mensual</v>
      </c>
    </row>
    <row r="376" spans="1:13" ht="12" customHeight="1" x14ac:dyDescent="0.3">
      <c r="A376" t="s">
        <v>537</v>
      </c>
      <c r="B376" t="s">
        <v>522</v>
      </c>
      <c r="C376" t="s">
        <v>523</v>
      </c>
      <c r="D376" t="s">
        <v>451</v>
      </c>
      <c r="E376" t="s">
        <v>524</v>
      </c>
      <c r="F376" t="s">
        <v>309</v>
      </c>
      <c r="H376" t="s">
        <v>566</v>
      </c>
      <c r="I376" s="29">
        <v>37400000</v>
      </c>
      <c r="J376" t="s">
        <v>451</v>
      </c>
      <c r="L376" t="s">
        <v>36</v>
      </c>
      <c r="M376" t="str">
        <f>IFERROR(INDEX(Diccionario!$N:$N,MATCH(F339,Diccionario!$C:$C,0)),"")</f>
        <v>Mensual</v>
      </c>
    </row>
    <row r="377" spans="1:13" ht="12" customHeight="1" x14ac:dyDescent="0.3">
      <c r="A377" t="s">
        <v>537</v>
      </c>
      <c r="B377" t="s">
        <v>522</v>
      </c>
      <c r="C377" t="s">
        <v>523</v>
      </c>
      <c r="D377" t="s">
        <v>451</v>
      </c>
      <c r="E377" t="s">
        <v>524</v>
      </c>
      <c r="F377" t="s">
        <v>309</v>
      </c>
      <c r="H377" t="s">
        <v>565</v>
      </c>
      <c r="I377" s="29">
        <v>60300000</v>
      </c>
      <c r="J377" t="s">
        <v>451</v>
      </c>
      <c r="L377" t="s">
        <v>36</v>
      </c>
      <c r="M377" t="str">
        <f>IFERROR(INDEX(Diccionario!$N:$N,MATCH(F338,Diccionario!$C:$C,0)),"")</f>
        <v>Mensual</v>
      </c>
    </row>
    <row r="378" spans="1:13" ht="12" customHeight="1" x14ac:dyDescent="0.3">
      <c r="A378" t="s">
        <v>537</v>
      </c>
      <c r="B378" t="s">
        <v>522</v>
      </c>
      <c r="C378" t="s">
        <v>523</v>
      </c>
      <c r="D378" t="s">
        <v>451</v>
      </c>
      <c r="E378" t="s">
        <v>524</v>
      </c>
      <c r="F378" t="s">
        <v>309</v>
      </c>
      <c r="H378" t="s">
        <v>568</v>
      </c>
      <c r="I378" s="29">
        <v>4200000</v>
      </c>
      <c r="J378" t="s">
        <v>451</v>
      </c>
      <c r="L378" t="s">
        <v>36</v>
      </c>
      <c r="M378" t="str">
        <f>IFERROR(INDEX(Diccionario!$N:$N,MATCH(F341,Diccionario!$C:$C,0)),"")</f>
        <v>Mensual</v>
      </c>
    </row>
    <row r="379" spans="1:13" ht="12" customHeight="1" x14ac:dyDescent="0.3">
      <c r="A379" t="s">
        <v>537</v>
      </c>
      <c r="B379" t="s">
        <v>522</v>
      </c>
      <c r="C379" t="s">
        <v>523</v>
      </c>
      <c r="D379" t="s">
        <v>451</v>
      </c>
      <c r="E379" t="s">
        <v>524</v>
      </c>
      <c r="F379" t="s">
        <v>309</v>
      </c>
      <c r="H379" t="s">
        <v>569</v>
      </c>
      <c r="I379" s="29">
        <v>20000000</v>
      </c>
      <c r="J379" t="s">
        <v>451</v>
      </c>
      <c r="L379" t="s">
        <v>36</v>
      </c>
      <c r="M379" t="str">
        <f>IFERROR(INDEX(Diccionario!$N:$N,MATCH(F342,Diccionario!$C:$C,0)),"")</f>
        <v>Mensual</v>
      </c>
    </row>
    <row r="380" spans="1:13" ht="12" customHeight="1" x14ac:dyDescent="0.3">
      <c r="A380" t="s">
        <v>537</v>
      </c>
      <c r="B380" t="s">
        <v>522</v>
      </c>
      <c r="C380" t="s">
        <v>523</v>
      </c>
      <c r="D380" t="s">
        <v>451</v>
      </c>
      <c r="E380" t="s">
        <v>524</v>
      </c>
      <c r="F380" t="s">
        <v>309</v>
      </c>
      <c r="H380" t="s">
        <v>570</v>
      </c>
      <c r="I380" s="29">
        <v>28000000</v>
      </c>
      <c r="J380" t="s">
        <v>451</v>
      </c>
      <c r="L380" t="s">
        <v>36</v>
      </c>
      <c r="M380" t="str">
        <f>IFERROR(INDEX(Diccionario!$N:$N,MATCH(F343,Diccionario!$C:$C,0)),"")</f>
        <v>Mensual</v>
      </c>
    </row>
    <row r="381" spans="1:13" ht="12" customHeight="1" x14ac:dyDescent="0.3">
      <c r="A381" t="s">
        <v>537</v>
      </c>
      <c r="B381" t="s">
        <v>522</v>
      </c>
      <c r="C381" t="s">
        <v>523</v>
      </c>
      <c r="D381" t="s">
        <v>451</v>
      </c>
      <c r="E381" t="s">
        <v>524</v>
      </c>
      <c r="F381" t="s">
        <v>304</v>
      </c>
      <c r="H381" t="s">
        <v>564</v>
      </c>
      <c r="I381" s="29">
        <v>158000000</v>
      </c>
      <c r="J381" t="s">
        <v>451</v>
      </c>
      <c r="L381" t="s">
        <v>36</v>
      </c>
      <c r="M381" t="str">
        <f>IFERROR(INDEX(Diccionario!$N:$N,MATCH(F173,Diccionario!$C:$C,0)),"")</f>
        <v>Mensual</v>
      </c>
    </row>
    <row r="382" spans="1:13" ht="12" customHeight="1" x14ac:dyDescent="0.3">
      <c r="A382" t="s">
        <v>537</v>
      </c>
      <c r="B382" t="s">
        <v>522</v>
      </c>
      <c r="C382" t="s">
        <v>523</v>
      </c>
      <c r="D382" t="s">
        <v>451</v>
      </c>
      <c r="E382" t="s">
        <v>524</v>
      </c>
      <c r="F382" t="s">
        <v>304</v>
      </c>
      <c r="H382" t="s">
        <v>190</v>
      </c>
      <c r="I382" s="29">
        <v>163000000</v>
      </c>
      <c r="J382" t="s">
        <v>451</v>
      </c>
      <c r="L382" t="s">
        <v>36</v>
      </c>
      <c r="M382" t="str">
        <f>IFERROR(INDEX(Diccionario!$N:$N,MATCH(F172,Diccionario!$C:$C,0)),"")</f>
        <v>Mensual</v>
      </c>
    </row>
    <row r="383" spans="1:13" ht="12" customHeight="1" x14ac:dyDescent="0.3">
      <c r="A383" t="s">
        <v>537</v>
      </c>
      <c r="B383" t="s">
        <v>522</v>
      </c>
      <c r="C383" t="s">
        <v>523</v>
      </c>
      <c r="D383" t="s">
        <v>451</v>
      </c>
      <c r="E383" t="s">
        <v>524</v>
      </c>
      <c r="F383" t="s">
        <v>304</v>
      </c>
      <c r="H383" t="s">
        <v>561</v>
      </c>
      <c r="I383" s="29">
        <v>4700000</v>
      </c>
      <c r="J383" t="s">
        <v>451</v>
      </c>
      <c r="L383" t="s">
        <v>36</v>
      </c>
      <c r="M383" t="str">
        <f>IFERROR(INDEX(Diccionario!$N:$N,MATCH(F169,Diccionario!$C:$C,0)),"")</f>
        <v>Mensual</v>
      </c>
    </row>
    <row r="384" spans="1:13" ht="12" customHeight="1" x14ac:dyDescent="0.3">
      <c r="A384" t="s">
        <v>537</v>
      </c>
      <c r="B384" t="s">
        <v>522</v>
      </c>
      <c r="C384" t="s">
        <v>523</v>
      </c>
      <c r="D384" t="s">
        <v>451</v>
      </c>
      <c r="E384" t="s">
        <v>524</v>
      </c>
      <c r="F384" t="s">
        <v>304</v>
      </c>
      <c r="H384" t="s">
        <v>563</v>
      </c>
      <c r="I384" s="29">
        <v>130000000</v>
      </c>
      <c r="J384" t="s">
        <v>451</v>
      </c>
      <c r="L384" t="s">
        <v>36</v>
      </c>
      <c r="M384" t="str">
        <f>IFERROR(INDEX(Diccionario!$N:$N,MATCH(F171,Diccionario!$C:$C,0)),"")</f>
        <v>Mensual</v>
      </c>
    </row>
    <row r="385" spans="1:13" ht="12" customHeight="1" x14ac:dyDescent="0.3">
      <c r="A385" t="s">
        <v>537</v>
      </c>
      <c r="B385" t="s">
        <v>522</v>
      </c>
      <c r="C385" t="s">
        <v>523</v>
      </c>
      <c r="D385" t="s">
        <v>451</v>
      </c>
      <c r="E385" t="s">
        <v>524</v>
      </c>
      <c r="F385" t="s">
        <v>304</v>
      </c>
      <c r="H385" t="s">
        <v>562</v>
      </c>
      <c r="I385" s="29">
        <v>238000000</v>
      </c>
      <c r="J385" t="s">
        <v>451</v>
      </c>
      <c r="L385" t="s">
        <v>36</v>
      </c>
      <c r="M385" t="str">
        <f>IFERROR(INDEX(Diccionario!$N:$N,MATCH(F170,Diccionario!$C:$C,0)),"")</f>
        <v>Mensual</v>
      </c>
    </row>
    <row r="386" spans="1:13" ht="12" customHeight="1" x14ac:dyDescent="0.3">
      <c r="A386" t="s">
        <v>537</v>
      </c>
      <c r="B386" t="s">
        <v>522</v>
      </c>
      <c r="C386" t="s">
        <v>523</v>
      </c>
      <c r="D386" t="s">
        <v>451</v>
      </c>
      <c r="E386" t="s">
        <v>524</v>
      </c>
      <c r="F386" t="s">
        <v>377</v>
      </c>
      <c r="H386" t="s">
        <v>571</v>
      </c>
      <c r="I386" s="29">
        <v>8400000</v>
      </c>
      <c r="J386" t="s">
        <v>451</v>
      </c>
      <c r="L386" t="s">
        <v>36</v>
      </c>
      <c r="M386" t="str">
        <f>IFERROR(INDEX(Diccionario!$N:$N,MATCH(F904,Diccionario!$C:$C,0)),"")</f>
        <v>Mensual</v>
      </c>
    </row>
    <row r="387" spans="1:13" ht="12" customHeight="1" x14ac:dyDescent="0.3">
      <c r="A387" t="s">
        <v>537</v>
      </c>
      <c r="B387" t="s">
        <v>522</v>
      </c>
      <c r="C387" t="s">
        <v>523</v>
      </c>
      <c r="D387" t="s">
        <v>451</v>
      </c>
      <c r="E387" t="s">
        <v>524</v>
      </c>
      <c r="F387" t="s">
        <v>377</v>
      </c>
      <c r="H387" t="s">
        <v>577</v>
      </c>
      <c r="I387" s="29">
        <v>0</v>
      </c>
      <c r="J387" t="s">
        <v>451</v>
      </c>
      <c r="L387" t="s">
        <v>36</v>
      </c>
      <c r="M387" t="str">
        <f>IFERROR(INDEX(Diccionario!$N:$N,MATCH(F900,Diccionario!$C:$C,0)),"")</f>
        <v>Mensual</v>
      </c>
    </row>
    <row r="388" spans="1:13" ht="12" customHeight="1" x14ac:dyDescent="0.3">
      <c r="A388" t="s">
        <v>537</v>
      </c>
      <c r="B388" t="s">
        <v>522</v>
      </c>
      <c r="C388" t="s">
        <v>523</v>
      </c>
      <c r="D388" t="s">
        <v>451</v>
      </c>
      <c r="E388" t="s">
        <v>524</v>
      </c>
      <c r="F388" t="s">
        <v>377</v>
      </c>
      <c r="H388" t="s">
        <v>565</v>
      </c>
      <c r="I388" s="29">
        <v>94600000</v>
      </c>
      <c r="J388" t="s">
        <v>451</v>
      </c>
      <c r="L388" t="s">
        <v>36</v>
      </c>
      <c r="M388" t="str">
        <f>IFERROR(INDEX(Diccionario!$N:$N,MATCH(F899,Diccionario!$C:$C,0)),"")</f>
        <v>Mensual</v>
      </c>
    </row>
    <row r="389" spans="1:13" ht="12" customHeight="1" x14ac:dyDescent="0.3">
      <c r="A389" t="s">
        <v>537</v>
      </c>
      <c r="B389" t="s">
        <v>522</v>
      </c>
      <c r="C389" t="s">
        <v>523</v>
      </c>
      <c r="D389" t="s">
        <v>451</v>
      </c>
      <c r="E389" t="s">
        <v>524</v>
      </c>
      <c r="F389" t="s">
        <v>377</v>
      </c>
      <c r="H389" t="s">
        <v>568</v>
      </c>
      <c r="I389" s="29">
        <v>0</v>
      </c>
      <c r="J389" t="s">
        <v>451</v>
      </c>
      <c r="L389" t="s">
        <v>36</v>
      </c>
      <c r="M389" t="str">
        <f>IFERROR(INDEX(Diccionario!$N:$N,MATCH(F901,Diccionario!$C:$C,0)),"")</f>
        <v>Mensual</v>
      </c>
    </row>
    <row r="390" spans="1:13" ht="12" customHeight="1" x14ac:dyDescent="0.3">
      <c r="A390" t="s">
        <v>537</v>
      </c>
      <c r="B390" t="s">
        <v>522</v>
      </c>
      <c r="C390" t="s">
        <v>523</v>
      </c>
      <c r="D390" t="s">
        <v>451</v>
      </c>
      <c r="E390" t="s">
        <v>524</v>
      </c>
      <c r="F390" t="s">
        <v>377</v>
      </c>
      <c r="H390" t="s">
        <v>569</v>
      </c>
      <c r="I390" s="29">
        <v>24800000</v>
      </c>
      <c r="J390" t="s">
        <v>451</v>
      </c>
      <c r="L390" t="s">
        <v>36</v>
      </c>
      <c r="M390" t="str">
        <f>IFERROR(INDEX(Diccionario!$N:$N,MATCH(F902,Diccionario!$C:$C,0)),"")</f>
        <v>Mensual</v>
      </c>
    </row>
    <row r="391" spans="1:13" ht="12" customHeight="1" x14ac:dyDescent="0.3">
      <c r="A391" t="s">
        <v>537</v>
      </c>
      <c r="B391" t="s">
        <v>522</v>
      </c>
      <c r="C391" t="s">
        <v>523</v>
      </c>
      <c r="D391" t="s">
        <v>451</v>
      </c>
      <c r="E391" t="s">
        <v>524</v>
      </c>
      <c r="F391" t="s">
        <v>377</v>
      </c>
      <c r="H391" t="s">
        <v>570</v>
      </c>
      <c r="I391" s="29">
        <v>35500000</v>
      </c>
      <c r="J391" t="s">
        <v>451</v>
      </c>
      <c r="L391" t="s">
        <v>36</v>
      </c>
      <c r="M391" t="str">
        <f>IFERROR(INDEX(Diccionario!$N:$N,MATCH(F903,Diccionario!$C:$C,0)),"")</f>
        <v>Mensual</v>
      </c>
    </row>
    <row r="392" spans="1:13" ht="12" customHeight="1" x14ac:dyDescent="0.3">
      <c r="A392" t="s">
        <v>537</v>
      </c>
      <c r="B392" t="s">
        <v>522</v>
      </c>
      <c r="C392" t="s">
        <v>523</v>
      </c>
      <c r="D392" t="s">
        <v>451</v>
      </c>
      <c r="E392" t="s">
        <v>524</v>
      </c>
      <c r="F392" t="s">
        <v>371</v>
      </c>
      <c r="H392" t="s">
        <v>566</v>
      </c>
      <c r="I392" s="29">
        <v>3800000</v>
      </c>
      <c r="J392" t="s">
        <v>451</v>
      </c>
      <c r="L392" t="s">
        <v>36</v>
      </c>
      <c r="M392" t="str">
        <f>IFERROR(INDEX(Diccionario!$N:$N,MATCH(F765,Diccionario!$C:$C,0)),"")</f>
        <v>Mensual</v>
      </c>
    </row>
    <row r="393" spans="1:13" ht="12" customHeight="1" x14ac:dyDescent="0.3">
      <c r="A393" t="s">
        <v>537</v>
      </c>
      <c r="B393" t="s">
        <v>522</v>
      </c>
      <c r="C393" t="s">
        <v>523</v>
      </c>
      <c r="D393" t="s">
        <v>451</v>
      </c>
      <c r="E393" t="s">
        <v>524</v>
      </c>
      <c r="F393" t="s">
        <v>371</v>
      </c>
      <c r="H393" t="s">
        <v>565</v>
      </c>
      <c r="I393" s="29">
        <v>120000000</v>
      </c>
      <c r="J393" t="s">
        <v>451</v>
      </c>
      <c r="L393" t="s">
        <v>36</v>
      </c>
      <c r="M393" t="str">
        <f>IFERROR(INDEX(Diccionario!$N:$N,MATCH(F764,Diccionario!$C:$C,0)),"")</f>
        <v>Mensual</v>
      </c>
    </row>
    <row r="394" spans="1:13" ht="12" customHeight="1" x14ac:dyDescent="0.3">
      <c r="A394" t="s">
        <v>537</v>
      </c>
      <c r="B394" t="s">
        <v>522</v>
      </c>
      <c r="C394" t="s">
        <v>523</v>
      </c>
      <c r="D394" t="s">
        <v>451</v>
      </c>
      <c r="E394" t="s">
        <v>524</v>
      </c>
      <c r="F394" t="s">
        <v>371</v>
      </c>
      <c r="H394" t="s">
        <v>569</v>
      </c>
      <c r="I394" s="29">
        <v>3300000</v>
      </c>
      <c r="J394" t="s">
        <v>451</v>
      </c>
      <c r="L394" t="s">
        <v>36</v>
      </c>
      <c r="M394" t="str">
        <f>IFERROR(INDEX(Diccionario!$N:$N,MATCH(F766,Diccionario!$C:$C,0)),"")</f>
        <v>Mensual</v>
      </c>
    </row>
    <row r="395" spans="1:13" ht="12" customHeight="1" x14ac:dyDescent="0.3">
      <c r="A395" t="s">
        <v>537</v>
      </c>
      <c r="B395" t="s">
        <v>522</v>
      </c>
      <c r="C395" t="s">
        <v>523</v>
      </c>
      <c r="D395" t="s">
        <v>451</v>
      </c>
      <c r="E395" t="s">
        <v>524</v>
      </c>
      <c r="F395" t="s">
        <v>371</v>
      </c>
      <c r="H395" t="s">
        <v>570</v>
      </c>
      <c r="I395" s="29">
        <v>0</v>
      </c>
      <c r="J395" t="s">
        <v>451</v>
      </c>
      <c r="L395" t="s">
        <v>36</v>
      </c>
      <c r="M395" t="str">
        <f>IFERROR(INDEX(Diccionario!$N:$N,MATCH(F767,Diccionario!$C:$C,0)),"")</f>
        <v>Mensual</v>
      </c>
    </row>
    <row r="396" spans="1:13" ht="12" customHeight="1" x14ac:dyDescent="0.3">
      <c r="A396" t="s">
        <v>538</v>
      </c>
      <c r="B396" t="s">
        <v>522</v>
      </c>
      <c r="C396" t="s">
        <v>523</v>
      </c>
      <c r="D396" t="s">
        <v>451</v>
      </c>
      <c r="E396" t="s">
        <v>524</v>
      </c>
      <c r="F396" t="s">
        <v>314</v>
      </c>
      <c r="H396" t="s">
        <v>577</v>
      </c>
      <c r="I396" s="29">
        <v>8000000</v>
      </c>
      <c r="J396" t="s">
        <v>451</v>
      </c>
      <c r="L396" t="s">
        <v>36</v>
      </c>
      <c r="M396" t="str">
        <f>IFERROR(INDEX(Diccionario!$N:$N,MATCH(F639,Diccionario!$C:$C,0)),"")</f>
        <v>Mensual</v>
      </c>
    </row>
    <row r="397" spans="1:13" ht="12" customHeight="1" x14ac:dyDescent="0.3">
      <c r="A397" t="s">
        <v>538</v>
      </c>
      <c r="B397" t="s">
        <v>522</v>
      </c>
      <c r="C397" t="s">
        <v>523</v>
      </c>
      <c r="D397" t="s">
        <v>451</v>
      </c>
      <c r="E397" t="s">
        <v>524</v>
      </c>
      <c r="F397" t="s">
        <v>314</v>
      </c>
      <c r="H397" t="s">
        <v>565</v>
      </c>
      <c r="I397" s="29">
        <v>100000000</v>
      </c>
      <c r="J397" t="s">
        <v>451</v>
      </c>
      <c r="L397" t="s">
        <v>36</v>
      </c>
      <c r="M397" t="str">
        <f>IFERROR(INDEX(Diccionario!$N:$N,MATCH(F638,Diccionario!$C:$C,0)),"")</f>
        <v>Mensual</v>
      </c>
    </row>
    <row r="398" spans="1:13" ht="12" customHeight="1" x14ac:dyDescent="0.3">
      <c r="A398" t="s">
        <v>538</v>
      </c>
      <c r="B398" t="s">
        <v>522</v>
      </c>
      <c r="C398" t="s">
        <v>523</v>
      </c>
      <c r="D398" t="s">
        <v>451</v>
      </c>
      <c r="E398" t="s">
        <v>524</v>
      </c>
      <c r="F398" t="s">
        <v>314</v>
      </c>
      <c r="H398" t="s">
        <v>569</v>
      </c>
      <c r="I398" s="29">
        <v>5300000</v>
      </c>
      <c r="J398" t="s">
        <v>451</v>
      </c>
      <c r="L398" t="s">
        <v>36</v>
      </c>
      <c r="M398" t="str">
        <f>IFERROR(INDEX(Diccionario!$N:$N,MATCH(F640,Diccionario!$C:$C,0)),"")</f>
        <v>Mensual</v>
      </c>
    </row>
    <row r="399" spans="1:13" ht="12" customHeight="1" x14ac:dyDescent="0.3">
      <c r="A399" t="s">
        <v>538</v>
      </c>
      <c r="B399" t="s">
        <v>522</v>
      </c>
      <c r="C399" t="s">
        <v>523</v>
      </c>
      <c r="D399" t="s">
        <v>451</v>
      </c>
      <c r="E399" t="s">
        <v>524</v>
      </c>
      <c r="F399" t="s">
        <v>314</v>
      </c>
      <c r="H399" t="s">
        <v>570</v>
      </c>
      <c r="I399" s="29">
        <v>5800000</v>
      </c>
      <c r="J399" t="s">
        <v>451</v>
      </c>
      <c r="L399" t="s">
        <v>36</v>
      </c>
      <c r="M399" t="str">
        <f>IFERROR(INDEX(Diccionario!$N:$N,MATCH(F641,Diccionario!$C:$C,0)),"")</f>
        <v>Mensual</v>
      </c>
    </row>
    <row r="400" spans="1:13" ht="12" customHeight="1" x14ac:dyDescent="0.3">
      <c r="A400" t="s">
        <v>538</v>
      </c>
      <c r="B400" t="s">
        <v>522</v>
      </c>
      <c r="C400" t="s">
        <v>523</v>
      </c>
      <c r="D400" t="s">
        <v>451</v>
      </c>
      <c r="E400" t="s">
        <v>524</v>
      </c>
      <c r="F400" t="s">
        <v>318</v>
      </c>
      <c r="H400" t="s">
        <v>574</v>
      </c>
      <c r="I400" s="29">
        <v>31100000</v>
      </c>
      <c r="J400" t="s">
        <v>451</v>
      </c>
      <c r="L400" t="s">
        <v>36</v>
      </c>
      <c r="M400" t="str">
        <f>IFERROR(INDEX(Diccionario!$N:$N,MATCH(F518,Diccionario!$C:$C,0)),"")</f>
        <v>Mensual</v>
      </c>
    </row>
    <row r="401" spans="1:13" ht="12" customHeight="1" x14ac:dyDescent="0.3">
      <c r="A401" t="s">
        <v>538</v>
      </c>
      <c r="B401" t="s">
        <v>522</v>
      </c>
      <c r="C401" t="s">
        <v>523</v>
      </c>
      <c r="D401" t="s">
        <v>451</v>
      </c>
      <c r="E401" t="s">
        <v>524</v>
      </c>
      <c r="F401" t="s">
        <v>318</v>
      </c>
      <c r="H401" t="s">
        <v>575</v>
      </c>
      <c r="I401" s="29">
        <v>10100000</v>
      </c>
      <c r="J401" t="s">
        <v>451</v>
      </c>
      <c r="L401" t="s">
        <v>36</v>
      </c>
      <c r="M401" t="str">
        <f>IFERROR(INDEX(Diccionario!$N:$N,MATCH(F519,Diccionario!$C:$C,0)),"")</f>
        <v>Mensual</v>
      </c>
    </row>
    <row r="402" spans="1:13" ht="12" customHeight="1" x14ac:dyDescent="0.3">
      <c r="A402" t="s">
        <v>538</v>
      </c>
      <c r="B402" t="s">
        <v>522</v>
      </c>
      <c r="C402" t="s">
        <v>523</v>
      </c>
      <c r="D402" t="s">
        <v>451</v>
      </c>
      <c r="E402" t="s">
        <v>524</v>
      </c>
      <c r="F402" t="s">
        <v>318</v>
      </c>
      <c r="H402" t="s">
        <v>573</v>
      </c>
      <c r="I402" s="29">
        <v>0</v>
      </c>
      <c r="J402" t="s">
        <v>451</v>
      </c>
      <c r="L402" t="s">
        <v>36</v>
      </c>
      <c r="M402" t="str">
        <f>IFERROR(INDEX(Diccionario!$N:$N,MATCH(F517,Diccionario!$C:$C,0)),"")</f>
        <v>Mensual</v>
      </c>
    </row>
    <row r="403" spans="1:13" ht="12" customHeight="1" x14ac:dyDescent="0.3">
      <c r="A403" t="s">
        <v>538</v>
      </c>
      <c r="B403" t="s">
        <v>522</v>
      </c>
      <c r="C403" t="s">
        <v>523</v>
      </c>
      <c r="D403" t="s">
        <v>451</v>
      </c>
      <c r="E403" t="s">
        <v>524</v>
      </c>
      <c r="F403" t="s">
        <v>318</v>
      </c>
      <c r="H403" t="s">
        <v>572</v>
      </c>
      <c r="I403" s="29">
        <v>0</v>
      </c>
      <c r="J403" t="s">
        <v>451</v>
      </c>
      <c r="L403" t="s">
        <v>36</v>
      </c>
      <c r="M403" t="str">
        <f>IFERROR(INDEX(Diccionario!$N:$N,MATCH(F516,Diccionario!$C:$C,0)),"")</f>
        <v>Mensual</v>
      </c>
    </row>
    <row r="404" spans="1:13" ht="12" customHeight="1" x14ac:dyDescent="0.3">
      <c r="A404" t="s">
        <v>538</v>
      </c>
      <c r="B404" t="s">
        <v>522</v>
      </c>
      <c r="C404" t="s">
        <v>523</v>
      </c>
      <c r="D404" t="s">
        <v>451</v>
      </c>
      <c r="E404" t="s">
        <v>524</v>
      </c>
      <c r="F404" t="s">
        <v>318</v>
      </c>
      <c r="H404" t="s">
        <v>576</v>
      </c>
      <c r="I404" s="29">
        <v>5100000</v>
      </c>
      <c r="J404" t="s">
        <v>451</v>
      </c>
      <c r="L404" t="s">
        <v>36</v>
      </c>
      <c r="M404" t="str">
        <f>IFERROR(INDEX(Diccionario!$N:$N,MATCH(F520,Diccionario!$C:$C,0)),"")</f>
        <v>Mensual</v>
      </c>
    </row>
    <row r="405" spans="1:13" ht="12" customHeight="1" x14ac:dyDescent="0.3">
      <c r="A405" t="s">
        <v>538</v>
      </c>
      <c r="B405" t="s">
        <v>522</v>
      </c>
      <c r="C405" t="s">
        <v>523</v>
      </c>
      <c r="E405" t="s">
        <v>524</v>
      </c>
      <c r="F405" t="s">
        <v>323</v>
      </c>
      <c r="I405" s="36">
        <v>8.2100000000000009</v>
      </c>
      <c r="J405" t="s">
        <v>65</v>
      </c>
      <c r="L405" t="s">
        <v>36</v>
      </c>
      <c r="M405" t="str">
        <f>IFERROR(INDEX(Diccionario!$N:$N,MATCH(F1010,Diccionario!$C:$C,0)),"")</f>
        <v>Mensual</v>
      </c>
    </row>
    <row r="406" spans="1:13" ht="12" customHeight="1" x14ac:dyDescent="0.3">
      <c r="A406" t="s">
        <v>538</v>
      </c>
      <c r="B406" t="s">
        <v>522</v>
      </c>
      <c r="C406" t="s">
        <v>523</v>
      </c>
      <c r="D406" t="s">
        <v>451</v>
      </c>
      <c r="E406" t="s">
        <v>524</v>
      </c>
      <c r="F406" t="s">
        <v>309</v>
      </c>
      <c r="H406" t="s">
        <v>567</v>
      </c>
      <c r="I406" s="29">
        <v>9100000</v>
      </c>
      <c r="J406" t="s">
        <v>451</v>
      </c>
      <c r="L406" t="s">
        <v>36</v>
      </c>
      <c r="M406" t="str">
        <f>IFERROR(INDEX(Diccionario!$N:$N,MATCH(F347,Diccionario!$C:$C,0)),"")</f>
        <v>Mensual</v>
      </c>
    </row>
    <row r="407" spans="1:13" ht="12" customHeight="1" x14ac:dyDescent="0.3">
      <c r="A407" t="s">
        <v>538</v>
      </c>
      <c r="B407" t="s">
        <v>522</v>
      </c>
      <c r="C407" t="s">
        <v>523</v>
      </c>
      <c r="D407" t="s">
        <v>451</v>
      </c>
      <c r="E407" t="s">
        <v>524</v>
      </c>
      <c r="F407" t="s">
        <v>309</v>
      </c>
      <c r="H407" t="s">
        <v>566</v>
      </c>
      <c r="I407" s="29">
        <v>4200000</v>
      </c>
      <c r="J407" t="s">
        <v>451</v>
      </c>
      <c r="L407" t="s">
        <v>36</v>
      </c>
      <c r="M407" t="str">
        <f>IFERROR(INDEX(Diccionario!$N:$N,MATCH(F346,Diccionario!$C:$C,0)),"")</f>
        <v>Mensual</v>
      </c>
    </row>
    <row r="408" spans="1:13" ht="12" customHeight="1" x14ac:dyDescent="0.3">
      <c r="A408" t="s">
        <v>538</v>
      </c>
      <c r="B408" t="s">
        <v>522</v>
      </c>
      <c r="C408" t="s">
        <v>523</v>
      </c>
      <c r="D408" t="s">
        <v>451</v>
      </c>
      <c r="E408" t="s">
        <v>524</v>
      </c>
      <c r="F408" t="s">
        <v>309</v>
      </c>
      <c r="H408" t="s">
        <v>565</v>
      </c>
      <c r="I408" s="29">
        <v>81000000</v>
      </c>
      <c r="J408" t="s">
        <v>451</v>
      </c>
      <c r="L408" t="s">
        <v>36</v>
      </c>
      <c r="M408" t="str">
        <f>IFERROR(INDEX(Diccionario!$N:$N,MATCH(F345,Diccionario!$C:$C,0)),"")</f>
        <v>Mensual</v>
      </c>
    </row>
    <row r="409" spans="1:13" ht="12" customHeight="1" x14ac:dyDescent="0.3">
      <c r="A409" t="s">
        <v>538</v>
      </c>
      <c r="B409" t="s">
        <v>522</v>
      </c>
      <c r="C409" t="s">
        <v>523</v>
      </c>
      <c r="D409" t="s">
        <v>451</v>
      </c>
      <c r="E409" t="s">
        <v>524</v>
      </c>
      <c r="F409" t="s">
        <v>309</v>
      </c>
      <c r="H409" t="s">
        <v>568</v>
      </c>
      <c r="I409" s="29">
        <v>3600000</v>
      </c>
      <c r="J409" t="s">
        <v>451</v>
      </c>
      <c r="L409" t="s">
        <v>36</v>
      </c>
      <c r="M409" t="str">
        <f>IFERROR(INDEX(Diccionario!$N:$N,MATCH(F348,Diccionario!$C:$C,0)),"")</f>
        <v>Mensual</v>
      </c>
    </row>
    <row r="410" spans="1:13" ht="12" customHeight="1" x14ac:dyDescent="0.3">
      <c r="A410" t="s">
        <v>538</v>
      </c>
      <c r="B410" t="s">
        <v>522</v>
      </c>
      <c r="C410" t="s">
        <v>523</v>
      </c>
      <c r="D410" t="s">
        <v>451</v>
      </c>
      <c r="E410" t="s">
        <v>524</v>
      </c>
      <c r="F410" t="s">
        <v>309</v>
      </c>
      <c r="H410" t="s">
        <v>569</v>
      </c>
      <c r="I410" s="29">
        <v>11700000</v>
      </c>
      <c r="J410" t="s">
        <v>451</v>
      </c>
      <c r="L410" t="s">
        <v>36</v>
      </c>
      <c r="M410" t="str">
        <f>IFERROR(INDEX(Diccionario!$N:$N,MATCH(F349,Diccionario!$C:$C,0)),"")</f>
        <v>Mensual</v>
      </c>
    </row>
    <row r="411" spans="1:13" ht="12" customHeight="1" x14ac:dyDescent="0.3">
      <c r="A411" t="s">
        <v>538</v>
      </c>
      <c r="B411" t="s">
        <v>522</v>
      </c>
      <c r="C411" t="s">
        <v>523</v>
      </c>
      <c r="D411" t="s">
        <v>451</v>
      </c>
      <c r="E411" t="s">
        <v>524</v>
      </c>
      <c r="F411" t="s">
        <v>309</v>
      </c>
      <c r="H411" t="s">
        <v>570</v>
      </c>
      <c r="I411" s="29">
        <v>30000000</v>
      </c>
      <c r="J411" t="s">
        <v>451</v>
      </c>
      <c r="L411" t="s">
        <v>36</v>
      </c>
      <c r="M411" t="str">
        <f>IFERROR(INDEX(Diccionario!$N:$N,MATCH(F350,Diccionario!$C:$C,0)),"")</f>
        <v>Mensual</v>
      </c>
    </row>
    <row r="412" spans="1:13" ht="12" customHeight="1" x14ac:dyDescent="0.3">
      <c r="A412" t="s">
        <v>538</v>
      </c>
      <c r="B412" t="s">
        <v>522</v>
      </c>
      <c r="C412" t="s">
        <v>523</v>
      </c>
      <c r="D412" t="s">
        <v>451</v>
      </c>
      <c r="E412" t="s">
        <v>524</v>
      </c>
      <c r="F412" t="s">
        <v>304</v>
      </c>
      <c r="H412" t="s">
        <v>564</v>
      </c>
      <c r="I412" s="29">
        <v>140000000</v>
      </c>
      <c r="J412" t="s">
        <v>451</v>
      </c>
      <c r="L412" t="s">
        <v>36</v>
      </c>
      <c r="M412" t="str">
        <f>IFERROR(INDEX(Diccionario!$N:$N,MATCH(F178,Diccionario!$C:$C,0)),"")</f>
        <v>Mensual</v>
      </c>
    </row>
    <row r="413" spans="1:13" ht="12" customHeight="1" x14ac:dyDescent="0.3">
      <c r="A413" t="s">
        <v>538</v>
      </c>
      <c r="B413" t="s">
        <v>522</v>
      </c>
      <c r="C413" t="s">
        <v>523</v>
      </c>
      <c r="D413" t="s">
        <v>451</v>
      </c>
      <c r="E413" t="s">
        <v>524</v>
      </c>
      <c r="F413" t="s">
        <v>304</v>
      </c>
      <c r="H413" t="s">
        <v>190</v>
      </c>
      <c r="I413" s="29">
        <v>233000000</v>
      </c>
      <c r="J413" t="s">
        <v>451</v>
      </c>
      <c r="L413" t="s">
        <v>36</v>
      </c>
      <c r="M413" t="str">
        <f>IFERROR(INDEX(Diccionario!$N:$N,MATCH(F177,Diccionario!$C:$C,0)),"")</f>
        <v>Mensual</v>
      </c>
    </row>
    <row r="414" spans="1:13" ht="12" customHeight="1" x14ac:dyDescent="0.3">
      <c r="A414" t="s">
        <v>538</v>
      </c>
      <c r="B414" t="s">
        <v>522</v>
      </c>
      <c r="C414" t="s">
        <v>523</v>
      </c>
      <c r="D414" t="s">
        <v>451</v>
      </c>
      <c r="E414" t="s">
        <v>524</v>
      </c>
      <c r="F414" t="s">
        <v>304</v>
      </c>
      <c r="H414" t="s">
        <v>561</v>
      </c>
      <c r="I414" s="29">
        <v>3800000</v>
      </c>
      <c r="J414" t="s">
        <v>451</v>
      </c>
      <c r="L414" t="s">
        <v>36</v>
      </c>
      <c r="M414" t="str">
        <f>IFERROR(INDEX(Diccionario!$N:$N,MATCH(F174,Diccionario!$C:$C,0)),"")</f>
        <v>Mensual</v>
      </c>
    </row>
    <row r="415" spans="1:13" ht="12" customHeight="1" x14ac:dyDescent="0.3">
      <c r="A415" t="s">
        <v>538</v>
      </c>
      <c r="B415" t="s">
        <v>522</v>
      </c>
      <c r="C415" t="s">
        <v>523</v>
      </c>
      <c r="D415" t="s">
        <v>451</v>
      </c>
      <c r="E415" t="s">
        <v>524</v>
      </c>
      <c r="F415" t="s">
        <v>304</v>
      </c>
      <c r="H415" t="s">
        <v>563</v>
      </c>
      <c r="I415" s="29">
        <v>47000000</v>
      </c>
      <c r="J415" t="s">
        <v>451</v>
      </c>
      <c r="L415" t="s">
        <v>36</v>
      </c>
      <c r="M415" t="str">
        <f>IFERROR(INDEX(Diccionario!$N:$N,MATCH(F176,Diccionario!$C:$C,0)),"")</f>
        <v>Mensual</v>
      </c>
    </row>
    <row r="416" spans="1:13" ht="12" customHeight="1" x14ac:dyDescent="0.3">
      <c r="A416" t="s">
        <v>538</v>
      </c>
      <c r="B416" t="s">
        <v>522</v>
      </c>
      <c r="C416" t="s">
        <v>523</v>
      </c>
      <c r="D416" t="s">
        <v>451</v>
      </c>
      <c r="E416" t="s">
        <v>524</v>
      </c>
      <c r="F416" t="s">
        <v>304</v>
      </c>
      <c r="H416" t="s">
        <v>562</v>
      </c>
      <c r="I416" s="29">
        <v>263000000</v>
      </c>
      <c r="J416" t="s">
        <v>451</v>
      </c>
      <c r="L416" t="s">
        <v>36</v>
      </c>
      <c r="M416" t="str">
        <f>IFERROR(INDEX(Diccionario!$N:$N,MATCH(F175,Diccionario!$C:$C,0)),"")</f>
        <v>Mensual</v>
      </c>
    </row>
    <row r="417" spans="1:13" ht="12" customHeight="1" x14ac:dyDescent="0.3">
      <c r="A417" t="s">
        <v>538</v>
      </c>
      <c r="B417" t="s">
        <v>522</v>
      </c>
      <c r="C417" t="s">
        <v>523</v>
      </c>
      <c r="D417" t="s">
        <v>451</v>
      </c>
      <c r="E417" t="s">
        <v>524</v>
      </c>
      <c r="F417" t="s">
        <v>377</v>
      </c>
      <c r="H417" t="s">
        <v>571</v>
      </c>
      <c r="I417" s="29">
        <v>5800000</v>
      </c>
      <c r="J417" t="s">
        <v>451</v>
      </c>
      <c r="L417" t="s">
        <v>36</v>
      </c>
      <c r="M417" t="str">
        <f>IFERROR(INDEX(Diccionario!$N:$N,MATCH(F910,Diccionario!$C:$C,0)),"")</f>
        <v>Mensual</v>
      </c>
    </row>
    <row r="418" spans="1:13" ht="12" customHeight="1" x14ac:dyDescent="0.3">
      <c r="A418" t="s">
        <v>538</v>
      </c>
      <c r="B418" t="s">
        <v>522</v>
      </c>
      <c r="C418" t="s">
        <v>523</v>
      </c>
      <c r="D418" t="s">
        <v>451</v>
      </c>
      <c r="E418" t="s">
        <v>524</v>
      </c>
      <c r="F418" t="s">
        <v>377</v>
      </c>
      <c r="H418" t="s">
        <v>577</v>
      </c>
      <c r="I418" s="29">
        <v>29300000</v>
      </c>
      <c r="J418" t="s">
        <v>451</v>
      </c>
      <c r="L418" t="s">
        <v>36</v>
      </c>
      <c r="M418" t="str">
        <f>IFERROR(INDEX(Diccionario!$N:$N,MATCH(F906,Diccionario!$C:$C,0)),"")</f>
        <v>Mensual</v>
      </c>
    </row>
    <row r="419" spans="1:13" ht="12" customHeight="1" x14ac:dyDescent="0.3">
      <c r="A419" t="s">
        <v>538</v>
      </c>
      <c r="B419" t="s">
        <v>522</v>
      </c>
      <c r="C419" t="s">
        <v>523</v>
      </c>
      <c r="D419" t="s">
        <v>451</v>
      </c>
      <c r="E419" t="s">
        <v>524</v>
      </c>
      <c r="F419" t="s">
        <v>377</v>
      </c>
      <c r="H419" t="s">
        <v>565</v>
      </c>
      <c r="I419" s="29">
        <v>110000000</v>
      </c>
      <c r="J419" t="s">
        <v>451</v>
      </c>
      <c r="L419" t="s">
        <v>36</v>
      </c>
      <c r="M419" t="str">
        <f>IFERROR(INDEX(Diccionario!$N:$N,MATCH(F905,Diccionario!$C:$C,0)),"")</f>
        <v>Mensual</v>
      </c>
    </row>
    <row r="420" spans="1:13" ht="12" customHeight="1" x14ac:dyDescent="0.3">
      <c r="A420" t="s">
        <v>538</v>
      </c>
      <c r="B420" t="s">
        <v>522</v>
      </c>
      <c r="C420" t="s">
        <v>523</v>
      </c>
      <c r="D420" t="s">
        <v>451</v>
      </c>
      <c r="E420" t="s">
        <v>524</v>
      </c>
      <c r="F420" t="s">
        <v>377</v>
      </c>
      <c r="H420" t="s">
        <v>568</v>
      </c>
      <c r="I420" s="29">
        <v>1500000</v>
      </c>
      <c r="J420" t="s">
        <v>451</v>
      </c>
      <c r="L420" t="s">
        <v>36</v>
      </c>
      <c r="M420" t="str">
        <f>IFERROR(INDEX(Diccionario!$N:$N,MATCH(F907,Diccionario!$C:$C,0)),"")</f>
        <v>Mensual</v>
      </c>
    </row>
    <row r="421" spans="1:13" ht="12" customHeight="1" x14ac:dyDescent="0.3">
      <c r="A421" t="s">
        <v>538</v>
      </c>
      <c r="B421" t="s">
        <v>522</v>
      </c>
      <c r="C421" t="s">
        <v>523</v>
      </c>
      <c r="D421" t="s">
        <v>451</v>
      </c>
      <c r="E421" t="s">
        <v>524</v>
      </c>
      <c r="F421" t="s">
        <v>377</v>
      </c>
      <c r="H421" t="s">
        <v>569</v>
      </c>
      <c r="I421" s="29">
        <v>38400000</v>
      </c>
      <c r="J421" t="s">
        <v>451</v>
      </c>
      <c r="L421" t="s">
        <v>36</v>
      </c>
      <c r="M421" t="str">
        <f>IFERROR(INDEX(Diccionario!$N:$N,MATCH(F908,Diccionario!$C:$C,0)),"")</f>
        <v>Mensual</v>
      </c>
    </row>
    <row r="422" spans="1:13" ht="12" customHeight="1" x14ac:dyDescent="0.3">
      <c r="A422" t="s">
        <v>538</v>
      </c>
      <c r="B422" t="s">
        <v>522</v>
      </c>
      <c r="C422" t="s">
        <v>523</v>
      </c>
      <c r="D422" t="s">
        <v>451</v>
      </c>
      <c r="E422" t="s">
        <v>524</v>
      </c>
      <c r="F422" t="s">
        <v>377</v>
      </c>
      <c r="H422" t="s">
        <v>570</v>
      </c>
      <c r="I422" s="29">
        <v>48100000</v>
      </c>
      <c r="J422" t="s">
        <v>451</v>
      </c>
      <c r="L422" t="s">
        <v>36</v>
      </c>
      <c r="M422" t="str">
        <f>IFERROR(INDEX(Diccionario!$N:$N,MATCH(F909,Diccionario!$C:$C,0)),"")</f>
        <v>Mensual</v>
      </c>
    </row>
    <row r="423" spans="1:13" ht="12" customHeight="1" x14ac:dyDescent="0.3">
      <c r="A423" t="s">
        <v>539</v>
      </c>
      <c r="B423" t="s">
        <v>522</v>
      </c>
      <c r="C423" t="s">
        <v>523</v>
      </c>
      <c r="D423" t="s">
        <v>451</v>
      </c>
      <c r="E423" t="s">
        <v>524</v>
      </c>
      <c r="F423" t="s">
        <v>314</v>
      </c>
      <c r="H423" t="s">
        <v>577</v>
      </c>
      <c r="I423" s="29">
        <v>300000</v>
      </c>
      <c r="J423" t="s">
        <v>451</v>
      </c>
      <c r="L423" t="s">
        <v>36</v>
      </c>
      <c r="M423" t="str">
        <f>IFERROR(INDEX(Diccionario!$N:$N,MATCH(F643,Diccionario!$C:$C,0)),"")</f>
        <v>Mensual</v>
      </c>
    </row>
    <row r="424" spans="1:13" ht="12" customHeight="1" x14ac:dyDescent="0.3">
      <c r="A424" t="s">
        <v>539</v>
      </c>
      <c r="B424" t="s">
        <v>522</v>
      </c>
      <c r="C424" t="s">
        <v>523</v>
      </c>
      <c r="D424" t="s">
        <v>451</v>
      </c>
      <c r="E424" t="s">
        <v>524</v>
      </c>
      <c r="F424" t="s">
        <v>314</v>
      </c>
      <c r="H424" t="s">
        <v>578</v>
      </c>
      <c r="I424" s="29">
        <v>0</v>
      </c>
      <c r="J424" t="s">
        <v>451</v>
      </c>
      <c r="L424" t="s">
        <v>36</v>
      </c>
      <c r="M424" t="str">
        <f>IFERROR(INDEX(Diccionario!$N:$N,MATCH(F645,Diccionario!$C:$C,0)),"")</f>
        <v>Mensual</v>
      </c>
    </row>
    <row r="425" spans="1:13" ht="12" customHeight="1" x14ac:dyDescent="0.3">
      <c r="A425" t="s">
        <v>539</v>
      </c>
      <c r="B425" t="s">
        <v>522</v>
      </c>
      <c r="C425" t="s">
        <v>523</v>
      </c>
      <c r="D425" t="s">
        <v>451</v>
      </c>
      <c r="E425" t="s">
        <v>524</v>
      </c>
      <c r="F425" t="s">
        <v>314</v>
      </c>
      <c r="H425" t="s">
        <v>565</v>
      </c>
      <c r="I425" s="29">
        <v>73500000</v>
      </c>
      <c r="J425" t="s">
        <v>451</v>
      </c>
      <c r="L425" t="s">
        <v>36</v>
      </c>
      <c r="M425" t="str">
        <f>IFERROR(INDEX(Diccionario!$N:$N,MATCH(F642,Diccionario!$C:$C,0)),"")</f>
        <v>Mensual</v>
      </c>
    </row>
    <row r="426" spans="1:13" ht="12" customHeight="1" x14ac:dyDescent="0.3">
      <c r="A426" t="s">
        <v>539</v>
      </c>
      <c r="B426" t="s">
        <v>522</v>
      </c>
      <c r="C426" t="s">
        <v>523</v>
      </c>
      <c r="D426" t="s">
        <v>451</v>
      </c>
      <c r="E426" t="s">
        <v>524</v>
      </c>
      <c r="F426" t="s">
        <v>314</v>
      </c>
      <c r="H426" t="s">
        <v>569</v>
      </c>
      <c r="I426" s="29">
        <v>19000000</v>
      </c>
      <c r="J426" t="s">
        <v>451</v>
      </c>
      <c r="L426" t="s">
        <v>36</v>
      </c>
      <c r="M426" t="str">
        <f>IFERROR(INDEX(Diccionario!$N:$N,MATCH(F644,Diccionario!$C:$C,0)),"")</f>
        <v>Mensual</v>
      </c>
    </row>
    <row r="427" spans="1:13" ht="12" customHeight="1" x14ac:dyDescent="0.3">
      <c r="A427" t="s">
        <v>539</v>
      </c>
      <c r="B427" t="s">
        <v>522</v>
      </c>
      <c r="C427" t="s">
        <v>523</v>
      </c>
      <c r="D427" t="s">
        <v>451</v>
      </c>
      <c r="E427" t="s">
        <v>524</v>
      </c>
      <c r="F427" t="s">
        <v>314</v>
      </c>
      <c r="H427" t="s">
        <v>570</v>
      </c>
      <c r="I427" s="29">
        <v>13800000</v>
      </c>
      <c r="J427" t="s">
        <v>451</v>
      </c>
      <c r="L427" t="s">
        <v>36</v>
      </c>
      <c r="M427" t="str">
        <f>IFERROR(INDEX(Diccionario!$N:$N,MATCH(F646,Diccionario!$C:$C,0)),"")</f>
        <v>Mensual</v>
      </c>
    </row>
    <row r="428" spans="1:13" ht="12" customHeight="1" x14ac:dyDescent="0.3">
      <c r="A428" t="s">
        <v>539</v>
      </c>
      <c r="B428" t="s">
        <v>522</v>
      </c>
      <c r="C428" t="s">
        <v>523</v>
      </c>
      <c r="D428" t="s">
        <v>451</v>
      </c>
      <c r="E428" t="s">
        <v>524</v>
      </c>
      <c r="F428" t="s">
        <v>318</v>
      </c>
      <c r="H428" t="s">
        <v>574</v>
      </c>
      <c r="I428" s="29">
        <v>24600000</v>
      </c>
      <c r="J428" t="s">
        <v>451</v>
      </c>
      <c r="L428" t="s">
        <v>36</v>
      </c>
      <c r="M428" t="str">
        <f>IFERROR(INDEX(Diccionario!$N:$N,MATCH(F523,Diccionario!$C:$C,0)),"")</f>
        <v>Mensual</v>
      </c>
    </row>
    <row r="429" spans="1:13" ht="12" customHeight="1" x14ac:dyDescent="0.3">
      <c r="A429" t="s">
        <v>539</v>
      </c>
      <c r="B429" t="s">
        <v>522</v>
      </c>
      <c r="C429" t="s">
        <v>523</v>
      </c>
      <c r="D429" t="s">
        <v>451</v>
      </c>
      <c r="E429" t="s">
        <v>524</v>
      </c>
      <c r="F429" t="s">
        <v>318</v>
      </c>
      <c r="H429" t="s">
        <v>575</v>
      </c>
      <c r="I429" s="29">
        <v>10300000</v>
      </c>
      <c r="J429" t="s">
        <v>451</v>
      </c>
      <c r="L429" t="s">
        <v>36</v>
      </c>
      <c r="M429" t="str">
        <f>IFERROR(INDEX(Diccionario!$N:$N,MATCH(F524,Diccionario!$C:$C,0)),"")</f>
        <v>Mensual</v>
      </c>
    </row>
    <row r="430" spans="1:13" ht="12" customHeight="1" x14ac:dyDescent="0.3">
      <c r="A430" t="s">
        <v>539</v>
      </c>
      <c r="B430" t="s">
        <v>522</v>
      </c>
      <c r="C430" t="s">
        <v>523</v>
      </c>
      <c r="D430" t="s">
        <v>451</v>
      </c>
      <c r="E430" t="s">
        <v>524</v>
      </c>
      <c r="F430" t="s">
        <v>318</v>
      </c>
      <c r="H430" t="s">
        <v>573</v>
      </c>
      <c r="I430" s="29">
        <v>91000</v>
      </c>
      <c r="J430" t="s">
        <v>451</v>
      </c>
      <c r="L430" t="s">
        <v>36</v>
      </c>
      <c r="M430" t="str">
        <f>IFERROR(INDEX(Diccionario!$N:$N,MATCH(F522,Diccionario!$C:$C,0)),"")</f>
        <v>Mensual</v>
      </c>
    </row>
    <row r="431" spans="1:13" ht="12" customHeight="1" x14ac:dyDescent="0.3">
      <c r="A431" t="s">
        <v>539</v>
      </c>
      <c r="B431" t="s">
        <v>522</v>
      </c>
      <c r="C431" t="s">
        <v>523</v>
      </c>
      <c r="D431" t="s">
        <v>451</v>
      </c>
      <c r="E431" t="s">
        <v>524</v>
      </c>
      <c r="F431" t="s">
        <v>318</v>
      </c>
      <c r="H431" t="s">
        <v>572</v>
      </c>
      <c r="I431" s="29">
        <v>167000000</v>
      </c>
      <c r="J431" t="s">
        <v>451</v>
      </c>
      <c r="L431" t="s">
        <v>36</v>
      </c>
      <c r="M431" t="str">
        <f>IFERROR(INDEX(Diccionario!$N:$N,MATCH(F521,Diccionario!$C:$C,0)),"")</f>
        <v>Mensual</v>
      </c>
    </row>
    <row r="432" spans="1:13" ht="12" customHeight="1" x14ac:dyDescent="0.3">
      <c r="A432" t="s">
        <v>539</v>
      </c>
      <c r="B432" t="s">
        <v>522</v>
      </c>
      <c r="C432" t="s">
        <v>523</v>
      </c>
      <c r="D432" t="s">
        <v>451</v>
      </c>
      <c r="E432" t="s">
        <v>524</v>
      </c>
      <c r="F432" t="s">
        <v>318</v>
      </c>
      <c r="H432" t="s">
        <v>576</v>
      </c>
      <c r="I432" s="29">
        <v>6009000</v>
      </c>
      <c r="J432" t="s">
        <v>451</v>
      </c>
      <c r="L432" t="s">
        <v>36</v>
      </c>
      <c r="M432" t="str">
        <f>IFERROR(INDEX(Diccionario!$N:$N,MATCH(F525,Diccionario!$C:$C,0)),"")</f>
        <v>Mensual</v>
      </c>
    </row>
    <row r="433" spans="1:13" ht="12" customHeight="1" x14ac:dyDescent="0.3">
      <c r="A433" t="s">
        <v>539</v>
      </c>
      <c r="B433" t="s">
        <v>522</v>
      </c>
      <c r="C433" t="s">
        <v>523</v>
      </c>
      <c r="E433" t="s">
        <v>524</v>
      </c>
      <c r="F433" t="s">
        <v>323</v>
      </c>
      <c r="I433" s="36">
        <v>29.93</v>
      </c>
      <c r="J433" t="s">
        <v>65</v>
      </c>
      <c r="L433" t="s">
        <v>36</v>
      </c>
      <c r="M433" t="str">
        <f>IFERROR(INDEX(Diccionario!$N:$N,MATCH(F1011,Diccionario!$C:$C,0)),"")</f>
        <v>Mensual</v>
      </c>
    </row>
    <row r="434" spans="1:13" ht="12" customHeight="1" x14ac:dyDescent="0.3">
      <c r="A434" t="s">
        <v>539</v>
      </c>
      <c r="B434" t="s">
        <v>522</v>
      </c>
      <c r="C434" t="s">
        <v>523</v>
      </c>
      <c r="D434" t="s">
        <v>451</v>
      </c>
      <c r="E434" t="s">
        <v>524</v>
      </c>
      <c r="F434" t="s">
        <v>309</v>
      </c>
      <c r="H434" t="s">
        <v>567</v>
      </c>
      <c r="I434" s="29">
        <v>7900000</v>
      </c>
      <c r="J434" t="s">
        <v>451</v>
      </c>
      <c r="L434" t="s">
        <v>36</v>
      </c>
      <c r="M434" t="str">
        <f>IFERROR(INDEX(Diccionario!$N:$N,MATCH(F353,Diccionario!$C:$C,0)),"")</f>
        <v>Mensual</v>
      </c>
    </row>
    <row r="435" spans="1:13" ht="12" customHeight="1" x14ac:dyDescent="0.3">
      <c r="A435" t="s">
        <v>539</v>
      </c>
      <c r="B435" t="s">
        <v>522</v>
      </c>
      <c r="C435" t="s">
        <v>523</v>
      </c>
      <c r="D435" t="s">
        <v>451</v>
      </c>
      <c r="E435" t="s">
        <v>524</v>
      </c>
      <c r="F435" t="s">
        <v>309</v>
      </c>
      <c r="H435" t="s">
        <v>571</v>
      </c>
      <c r="I435" s="29">
        <v>7100000</v>
      </c>
      <c r="J435" t="s">
        <v>451</v>
      </c>
      <c r="L435" t="s">
        <v>36</v>
      </c>
      <c r="M435" t="str">
        <f>IFERROR(INDEX(Diccionario!$N:$N,MATCH(F357,Diccionario!$C:$C,0)),"")</f>
        <v>Mensual</v>
      </c>
    </row>
    <row r="436" spans="1:13" ht="12" customHeight="1" x14ac:dyDescent="0.3">
      <c r="A436" t="s">
        <v>539</v>
      </c>
      <c r="B436" t="s">
        <v>522</v>
      </c>
      <c r="C436" t="s">
        <v>523</v>
      </c>
      <c r="D436" t="s">
        <v>451</v>
      </c>
      <c r="E436" t="s">
        <v>524</v>
      </c>
      <c r="F436" t="s">
        <v>309</v>
      </c>
      <c r="H436" t="s">
        <v>566</v>
      </c>
      <c r="I436" s="29">
        <v>9800000</v>
      </c>
      <c r="J436" t="s">
        <v>451</v>
      </c>
      <c r="L436" t="s">
        <v>36</v>
      </c>
      <c r="M436" t="str">
        <f>IFERROR(INDEX(Diccionario!$N:$N,MATCH(F352,Diccionario!$C:$C,0)),"")</f>
        <v>Mensual</v>
      </c>
    </row>
    <row r="437" spans="1:13" ht="12" customHeight="1" x14ac:dyDescent="0.3">
      <c r="A437" t="s">
        <v>539</v>
      </c>
      <c r="B437" t="s">
        <v>522</v>
      </c>
      <c r="C437" t="s">
        <v>523</v>
      </c>
      <c r="D437" t="s">
        <v>451</v>
      </c>
      <c r="E437" t="s">
        <v>524</v>
      </c>
      <c r="F437" t="s">
        <v>309</v>
      </c>
      <c r="H437" t="s">
        <v>565</v>
      </c>
      <c r="I437" s="29">
        <v>58800000</v>
      </c>
      <c r="J437" t="s">
        <v>451</v>
      </c>
      <c r="L437" t="s">
        <v>36</v>
      </c>
      <c r="M437" t="str">
        <f>IFERROR(INDEX(Diccionario!$N:$N,MATCH(F351,Diccionario!$C:$C,0)),"")</f>
        <v>Mensual</v>
      </c>
    </row>
    <row r="438" spans="1:13" ht="12" customHeight="1" x14ac:dyDescent="0.3">
      <c r="A438" t="s">
        <v>539</v>
      </c>
      <c r="B438" t="s">
        <v>522</v>
      </c>
      <c r="C438" t="s">
        <v>523</v>
      </c>
      <c r="D438" t="s">
        <v>451</v>
      </c>
      <c r="E438" t="s">
        <v>524</v>
      </c>
      <c r="F438" t="s">
        <v>309</v>
      </c>
      <c r="H438" t="s">
        <v>568</v>
      </c>
      <c r="I438" s="29">
        <v>2900000</v>
      </c>
      <c r="J438" t="s">
        <v>451</v>
      </c>
      <c r="L438" t="s">
        <v>36</v>
      </c>
      <c r="M438" t="str">
        <f>IFERROR(INDEX(Diccionario!$N:$N,MATCH(F354,Diccionario!$C:$C,0)),"")</f>
        <v>Mensual</v>
      </c>
    </row>
    <row r="439" spans="1:13" ht="12" customHeight="1" x14ac:dyDescent="0.3">
      <c r="A439" t="s">
        <v>539</v>
      </c>
      <c r="B439" t="s">
        <v>522</v>
      </c>
      <c r="C439" t="s">
        <v>523</v>
      </c>
      <c r="D439" t="s">
        <v>451</v>
      </c>
      <c r="E439" t="s">
        <v>524</v>
      </c>
      <c r="F439" t="s">
        <v>309</v>
      </c>
      <c r="H439" t="s">
        <v>569</v>
      </c>
      <c r="I439" s="29">
        <v>20700000</v>
      </c>
      <c r="J439" t="s">
        <v>451</v>
      </c>
      <c r="L439" t="s">
        <v>36</v>
      </c>
      <c r="M439" t="str">
        <f>IFERROR(INDEX(Diccionario!$N:$N,MATCH(F355,Diccionario!$C:$C,0)),"")</f>
        <v>Mensual</v>
      </c>
    </row>
    <row r="440" spans="1:13" ht="12" customHeight="1" x14ac:dyDescent="0.3">
      <c r="A440" t="s">
        <v>539</v>
      </c>
      <c r="B440" t="s">
        <v>522</v>
      </c>
      <c r="C440" t="s">
        <v>523</v>
      </c>
      <c r="D440" t="s">
        <v>451</v>
      </c>
      <c r="E440" t="s">
        <v>524</v>
      </c>
      <c r="F440" t="s">
        <v>309</v>
      </c>
      <c r="H440" t="s">
        <v>570</v>
      </c>
      <c r="I440" s="29">
        <v>33500000</v>
      </c>
      <c r="J440" t="s">
        <v>451</v>
      </c>
      <c r="L440" t="s">
        <v>36</v>
      </c>
      <c r="M440" t="str">
        <f>IFERROR(INDEX(Diccionario!$N:$N,MATCH(F356,Diccionario!$C:$C,0)),"")</f>
        <v>Mensual</v>
      </c>
    </row>
    <row r="441" spans="1:13" ht="12" customHeight="1" x14ac:dyDescent="0.3">
      <c r="A441" t="s">
        <v>539</v>
      </c>
      <c r="B441" t="s">
        <v>522</v>
      </c>
      <c r="C441" t="s">
        <v>523</v>
      </c>
      <c r="D441" t="s">
        <v>451</v>
      </c>
      <c r="E441" t="s">
        <v>524</v>
      </c>
      <c r="F441" t="s">
        <v>304</v>
      </c>
      <c r="H441" t="s">
        <v>564</v>
      </c>
      <c r="I441" s="29">
        <v>141000000</v>
      </c>
      <c r="J441" t="s">
        <v>451</v>
      </c>
      <c r="L441" t="s">
        <v>36</v>
      </c>
      <c r="M441" t="str">
        <f>IFERROR(INDEX(Diccionario!$N:$N,MATCH(F183,Diccionario!$C:$C,0)),"")</f>
        <v>Mensual</v>
      </c>
    </row>
    <row r="442" spans="1:13" ht="12" customHeight="1" x14ac:dyDescent="0.3">
      <c r="A442" t="s">
        <v>539</v>
      </c>
      <c r="B442" t="s">
        <v>522</v>
      </c>
      <c r="C442" t="s">
        <v>523</v>
      </c>
      <c r="D442" t="s">
        <v>451</v>
      </c>
      <c r="E442" t="s">
        <v>524</v>
      </c>
      <c r="F442" t="s">
        <v>304</v>
      </c>
      <c r="H442" t="s">
        <v>190</v>
      </c>
      <c r="I442" s="29">
        <v>227600000</v>
      </c>
      <c r="J442" t="s">
        <v>451</v>
      </c>
      <c r="L442" t="s">
        <v>36</v>
      </c>
      <c r="M442" t="str">
        <f>IFERROR(INDEX(Diccionario!$N:$N,MATCH(F182,Diccionario!$C:$C,0)),"")</f>
        <v>Mensual</v>
      </c>
    </row>
    <row r="443" spans="1:13" ht="12" customHeight="1" x14ac:dyDescent="0.3">
      <c r="A443" t="s">
        <v>539</v>
      </c>
      <c r="B443" t="s">
        <v>522</v>
      </c>
      <c r="C443" t="s">
        <v>523</v>
      </c>
      <c r="D443" t="s">
        <v>451</v>
      </c>
      <c r="E443" t="s">
        <v>524</v>
      </c>
      <c r="F443" t="s">
        <v>304</v>
      </c>
      <c r="H443" t="s">
        <v>561</v>
      </c>
      <c r="I443" s="29">
        <v>4700000</v>
      </c>
      <c r="J443" t="s">
        <v>451</v>
      </c>
      <c r="L443" t="s">
        <v>36</v>
      </c>
      <c r="M443" t="str">
        <f>IFERROR(INDEX(Diccionario!$N:$N,MATCH(F179,Diccionario!$C:$C,0)),"")</f>
        <v>Mensual</v>
      </c>
    </row>
    <row r="444" spans="1:13" ht="12" customHeight="1" x14ac:dyDescent="0.3">
      <c r="A444" t="s">
        <v>539</v>
      </c>
      <c r="B444" t="s">
        <v>522</v>
      </c>
      <c r="C444" t="s">
        <v>523</v>
      </c>
      <c r="D444" t="s">
        <v>451</v>
      </c>
      <c r="E444" t="s">
        <v>524</v>
      </c>
      <c r="F444" t="s">
        <v>304</v>
      </c>
      <c r="H444" t="s">
        <v>563</v>
      </c>
      <c r="I444" s="29">
        <v>208000000</v>
      </c>
      <c r="J444" t="s">
        <v>451</v>
      </c>
      <c r="L444" t="s">
        <v>36</v>
      </c>
      <c r="M444" t="str">
        <f>IFERROR(INDEX(Diccionario!$N:$N,MATCH(F181,Diccionario!$C:$C,0)),"")</f>
        <v>Mensual</v>
      </c>
    </row>
    <row r="445" spans="1:13" ht="12" customHeight="1" x14ac:dyDescent="0.3">
      <c r="A445" t="s">
        <v>539</v>
      </c>
      <c r="B445" t="s">
        <v>522</v>
      </c>
      <c r="C445" t="s">
        <v>523</v>
      </c>
      <c r="D445" t="s">
        <v>451</v>
      </c>
      <c r="E445" t="s">
        <v>524</v>
      </c>
      <c r="F445" t="s">
        <v>304</v>
      </c>
      <c r="H445" t="s">
        <v>562</v>
      </c>
      <c r="I445" s="29">
        <v>231000000</v>
      </c>
      <c r="J445" t="s">
        <v>451</v>
      </c>
      <c r="L445" t="s">
        <v>36</v>
      </c>
      <c r="M445" t="str">
        <f>IFERROR(INDEX(Diccionario!$N:$N,MATCH(F180,Diccionario!$C:$C,0)),"")</f>
        <v>Mensual</v>
      </c>
    </row>
    <row r="446" spans="1:13" ht="12" customHeight="1" x14ac:dyDescent="0.3">
      <c r="A446" t="s">
        <v>539</v>
      </c>
      <c r="B446" t="s">
        <v>522</v>
      </c>
      <c r="C446" t="s">
        <v>523</v>
      </c>
      <c r="D446" t="s">
        <v>451</v>
      </c>
      <c r="E446" t="s">
        <v>524</v>
      </c>
      <c r="F446" t="s">
        <v>377</v>
      </c>
      <c r="H446" t="s">
        <v>571</v>
      </c>
      <c r="I446" s="29">
        <v>8300000</v>
      </c>
      <c r="J446" t="s">
        <v>451</v>
      </c>
      <c r="L446" t="s">
        <v>36</v>
      </c>
      <c r="M446" t="str">
        <f>IFERROR(INDEX(Diccionario!$N:$N,MATCH(F916,Diccionario!$C:$C,0)),"")</f>
        <v>Mensual</v>
      </c>
    </row>
    <row r="447" spans="1:13" ht="12" customHeight="1" x14ac:dyDescent="0.3">
      <c r="A447" t="s">
        <v>539</v>
      </c>
      <c r="B447" t="s">
        <v>522</v>
      </c>
      <c r="C447" t="s">
        <v>523</v>
      </c>
      <c r="D447" t="s">
        <v>451</v>
      </c>
      <c r="E447" t="s">
        <v>524</v>
      </c>
      <c r="F447" t="s">
        <v>377</v>
      </c>
      <c r="H447" t="s">
        <v>577</v>
      </c>
      <c r="I447" s="29">
        <v>28800000</v>
      </c>
      <c r="J447" t="s">
        <v>451</v>
      </c>
      <c r="L447" t="s">
        <v>36</v>
      </c>
      <c r="M447" t="str">
        <f>IFERROR(INDEX(Diccionario!$N:$N,MATCH(F912,Diccionario!$C:$C,0)),"")</f>
        <v>Mensual</v>
      </c>
    </row>
    <row r="448" spans="1:13" ht="12" customHeight="1" x14ac:dyDescent="0.3">
      <c r="A448" t="s">
        <v>539</v>
      </c>
      <c r="B448" t="s">
        <v>522</v>
      </c>
      <c r="C448" t="s">
        <v>523</v>
      </c>
      <c r="D448" t="s">
        <v>451</v>
      </c>
      <c r="E448" t="s">
        <v>524</v>
      </c>
      <c r="F448" t="s">
        <v>377</v>
      </c>
      <c r="H448" t="s">
        <v>565</v>
      </c>
      <c r="I448" s="29">
        <v>112400000</v>
      </c>
      <c r="J448" t="s">
        <v>451</v>
      </c>
      <c r="L448" t="s">
        <v>36</v>
      </c>
      <c r="M448" t="str">
        <f>IFERROR(INDEX(Diccionario!$N:$N,MATCH(F911,Diccionario!$C:$C,0)),"")</f>
        <v>Mensual</v>
      </c>
    </row>
    <row r="449" spans="1:13" ht="12" customHeight="1" x14ac:dyDescent="0.3">
      <c r="A449" t="s">
        <v>539</v>
      </c>
      <c r="B449" t="s">
        <v>522</v>
      </c>
      <c r="C449" t="s">
        <v>523</v>
      </c>
      <c r="D449" t="s">
        <v>451</v>
      </c>
      <c r="E449" t="s">
        <v>524</v>
      </c>
      <c r="F449" t="s">
        <v>377</v>
      </c>
      <c r="H449" t="s">
        <v>568</v>
      </c>
      <c r="I449" s="29">
        <v>1600000</v>
      </c>
      <c r="J449" t="s">
        <v>451</v>
      </c>
      <c r="L449" t="s">
        <v>36</v>
      </c>
      <c r="M449" t="str">
        <f>IFERROR(INDEX(Diccionario!$N:$N,MATCH(F913,Diccionario!$C:$C,0)),"")</f>
        <v>Mensual</v>
      </c>
    </row>
    <row r="450" spans="1:13" ht="12" customHeight="1" x14ac:dyDescent="0.3">
      <c r="A450" t="s">
        <v>539</v>
      </c>
      <c r="B450" t="s">
        <v>522</v>
      </c>
      <c r="C450" t="s">
        <v>523</v>
      </c>
      <c r="D450" t="s">
        <v>451</v>
      </c>
      <c r="E450" t="s">
        <v>524</v>
      </c>
      <c r="F450" t="s">
        <v>377</v>
      </c>
      <c r="H450" t="s">
        <v>569</v>
      </c>
      <c r="I450" s="29">
        <v>43100000</v>
      </c>
      <c r="J450" t="s">
        <v>451</v>
      </c>
      <c r="L450" t="s">
        <v>36</v>
      </c>
      <c r="M450" t="str">
        <f>IFERROR(INDEX(Diccionario!$N:$N,MATCH(F914,Diccionario!$C:$C,0)),"")</f>
        <v>Mensual</v>
      </c>
    </row>
    <row r="451" spans="1:13" ht="12" customHeight="1" x14ac:dyDescent="0.3">
      <c r="A451" t="s">
        <v>539</v>
      </c>
      <c r="B451" t="s">
        <v>522</v>
      </c>
      <c r="C451" t="s">
        <v>523</v>
      </c>
      <c r="D451" t="s">
        <v>451</v>
      </c>
      <c r="E451" t="s">
        <v>524</v>
      </c>
      <c r="F451" t="s">
        <v>377</v>
      </c>
      <c r="H451" t="s">
        <v>570</v>
      </c>
      <c r="I451" s="29">
        <v>33200000</v>
      </c>
      <c r="J451" t="s">
        <v>451</v>
      </c>
      <c r="L451" t="s">
        <v>36</v>
      </c>
      <c r="M451" t="str">
        <f>IFERROR(INDEX(Diccionario!$N:$N,MATCH(F915,Diccionario!$C:$C,0)),"")</f>
        <v>Mensual</v>
      </c>
    </row>
    <row r="452" spans="1:13" ht="12" customHeight="1" x14ac:dyDescent="0.3">
      <c r="A452" t="s">
        <v>539</v>
      </c>
      <c r="B452" t="s">
        <v>522</v>
      </c>
      <c r="C452" t="s">
        <v>523</v>
      </c>
      <c r="D452" t="s">
        <v>451</v>
      </c>
      <c r="E452" t="s">
        <v>524</v>
      </c>
      <c r="F452" t="s">
        <v>371</v>
      </c>
      <c r="H452" t="s">
        <v>566</v>
      </c>
      <c r="I452" s="29">
        <v>13300000</v>
      </c>
      <c r="J452" t="s">
        <v>451</v>
      </c>
      <c r="L452" t="s">
        <v>36</v>
      </c>
      <c r="M452" t="str">
        <f>IFERROR(INDEX(Diccionario!$N:$N,MATCH(F769,Diccionario!$C:$C,0)),"")</f>
        <v>Mensual</v>
      </c>
    </row>
    <row r="453" spans="1:13" ht="12" customHeight="1" x14ac:dyDescent="0.3">
      <c r="A453" t="s">
        <v>539</v>
      </c>
      <c r="B453" t="s">
        <v>522</v>
      </c>
      <c r="C453" t="s">
        <v>523</v>
      </c>
      <c r="D453" t="s">
        <v>451</v>
      </c>
      <c r="E453" t="s">
        <v>524</v>
      </c>
      <c r="F453" t="s">
        <v>371</v>
      </c>
      <c r="H453" t="s">
        <v>565</v>
      </c>
      <c r="I453" s="29">
        <v>105400000</v>
      </c>
      <c r="J453" t="s">
        <v>451</v>
      </c>
      <c r="L453" t="s">
        <v>36</v>
      </c>
      <c r="M453" t="str">
        <f>IFERROR(INDEX(Diccionario!$N:$N,MATCH(F768,Diccionario!$C:$C,0)),"")</f>
        <v>Mensual</v>
      </c>
    </row>
    <row r="454" spans="1:13" ht="12" customHeight="1" x14ac:dyDescent="0.3">
      <c r="A454" t="s">
        <v>539</v>
      </c>
      <c r="B454" t="s">
        <v>522</v>
      </c>
      <c r="C454" t="s">
        <v>523</v>
      </c>
      <c r="D454" t="s">
        <v>451</v>
      </c>
      <c r="E454" t="s">
        <v>524</v>
      </c>
      <c r="F454" t="s">
        <v>371</v>
      </c>
      <c r="H454" t="s">
        <v>569</v>
      </c>
      <c r="I454" s="29">
        <v>3200000</v>
      </c>
      <c r="J454" t="s">
        <v>451</v>
      </c>
      <c r="L454" t="s">
        <v>36</v>
      </c>
      <c r="M454" t="str">
        <f>IFERROR(INDEX(Diccionario!$N:$N,MATCH(F770,Diccionario!$C:$C,0)),"")</f>
        <v>Mensual</v>
      </c>
    </row>
    <row r="455" spans="1:13" ht="12" customHeight="1" x14ac:dyDescent="0.3">
      <c r="A455" t="s">
        <v>539</v>
      </c>
      <c r="B455" t="s">
        <v>522</v>
      </c>
      <c r="C455" t="s">
        <v>523</v>
      </c>
      <c r="D455" t="s">
        <v>451</v>
      </c>
      <c r="E455" t="s">
        <v>524</v>
      </c>
      <c r="F455" t="s">
        <v>371</v>
      </c>
      <c r="H455" t="s">
        <v>570</v>
      </c>
      <c r="I455" s="29">
        <v>1900000</v>
      </c>
      <c r="J455" t="s">
        <v>451</v>
      </c>
      <c r="L455" t="s">
        <v>36</v>
      </c>
      <c r="M455" t="str">
        <f>IFERROR(INDEX(Diccionario!$N:$N,MATCH(F771,Diccionario!$C:$C,0)),"")</f>
        <v>Mensual</v>
      </c>
    </row>
    <row r="456" spans="1:13" ht="12" customHeight="1" x14ac:dyDescent="0.3">
      <c r="A456" t="s">
        <v>540</v>
      </c>
      <c r="B456" t="s">
        <v>522</v>
      </c>
      <c r="C456" t="s">
        <v>523</v>
      </c>
      <c r="D456" t="s">
        <v>451</v>
      </c>
      <c r="E456" t="s">
        <v>524</v>
      </c>
      <c r="F456" t="s">
        <v>314</v>
      </c>
      <c r="H456" t="s">
        <v>577</v>
      </c>
      <c r="I456" s="29">
        <v>11700000</v>
      </c>
      <c r="J456" t="s">
        <v>451</v>
      </c>
      <c r="L456" t="s">
        <v>36</v>
      </c>
      <c r="M456" t="str">
        <f>IFERROR(INDEX(Diccionario!$N:$N,MATCH(F648,Diccionario!$C:$C,0)),"")</f>
        <v>Mensual</v>
      </c>
    </row>
    <row r="457" spans="1:13" ht="12" customHeight="1" x14ac:dyDescent="0.3">
      <c r="A457" t="s">
        <v>540</v>
      </c>
      <c r="B457" t="s">
        <v>522</v>
      </c>
      <c r="C457" t="s">
        <v>523</v>
      </c>
      <c r="D457" t="s">
        <v>451</v>
      </c>
      <c r="E457" t="s">
        <v>524</v>
      </c>
      <c r="F457" t="s">
        <v>314</v>
      </c>
      <c r="H457" t="s">
        <v>565</v>
      </c>
      <c r="I457" s="29">
        <v>82000000</v>
      </c>
      <c r="J457" t="s">
        <v>451</v>
      </c>
      <c r="L457" t="s">
        <v>36</v>
      </c>
      <c r="M457" t="str">
        <f>IFERROR(INDEX(Diccionario!$N:$N,MATCH(F647,Diccionario!$C:$C,0)),"")</f>
        <v>Mensual</v>
      </c>
    </row>
    <row r="458" spans="1:13" ht="12" customHeight="1" x14ac:dyDescent="0.3">
      <c r="A458" t="s">
        <v>540</v>
      </c>
      <c r="B458" t="s">
        <v>522</v>
      </c>
      <c r="C458" t="s">
        <v>523</v>
      </c>
      <c r="D458" t="s">
        <v>451</v>
      </c>
      <c r="E458" t="s">
        <v>524</v>
      </c>
      <c r="F458" t="s">
        <v>314</v>
      </c>
      <c r="H458" t="s">
        <v>569</v>
      </c>
      <c r="I458" s="29">
        <v>15400000</v>
      </c>
      <c r="J458" t="s">
        <v>451</v>
      </c>
      <c r="L458" t="s">
        <v>36</v>
      </c>
      <c r="M458" t="str">
        <f>IFERROR(INDEX(Diccionario!$N:$N,MATCH(F649,Diccionario!$C:$C,0)),"")</f>
        <v>Mensual</v>
      </c>
    </row>
    <row r="459" spans="1:13" ht="12" customHeight="1" x14ac:dyDescent="0.3">
      <c r="A459" t="s">
        <v>540</v>
      </c>
      <c r="B459" t="s">
        <v>522</v>
      </c>
      <c r="C459" t="s">
        <v>523</v>
      </c>
      <c r="D459" t="s">
        <v>451</v>
      </c>
      <c r="E459" t="s">
        <v>524</v>
      </c>
      <c r="F459" t="s">
        <v>314</v>
      </c>
      <c r="H459" t="s">
        <v>570</v>
      </c>
      <c r="I459" s="29">
        <v>4200000</v>
      </c>
      <c r="J459" t="s">
        <v>451</v>
      </c>
      <c r="L459" t="s">
        <v>36</v>
      </c>
      <c r="M459" t="str">
        <f>IFERROR(INDEX(Diccionario!$N:$N,MATCH(F650,Diccionario!$C:$C,0)),"")</f>
        <v>Mensual</v>
      </c>
    </row>
    <row r="460" spans="1:13" ht="12" customHeight="1" x14ac:dyDescent="0.3">
      <c r="A460" t="s">
        <v>540</v>
      </c>
      <c r="B460" t="s">
        <v>522</v>
      </c>
      <c r="C460" t="s">
        <v>523</v>
      </c>
      <c r="D460" t="s">
        <v>451</v>
      </c>
      <c r="E460" t="s">
        <v>524</v>
      </c>
      <c r="F460" t="s">
        <v>318</v>
      </c>
      <c r="H460" t="s">
        <v>574</v>
      </c>
      <c r="I460" s="29">
        <v>46900000</v>
      </c>
      <c r="J460" t="s">
        <v>451</v>
      </c>
      <c r="L460" t="s">
        <v>36</v>
      </c>
      <c r="M460" t="str">
        <f>IFERROR(INDEX(Diccionario!$N:$N,MATCH(F528,Diccionario!$C:$C,0)),"")</f>
        <v>Mensual</v>
      </c>
    </row>
    <row r="461" spans="1:13" ht="12" customHeight="1" x14ac:dyDescent="0.3">
      <c r="A461" t="s">
        <v>540</v>
      </c>
      <c r="B461" t="s">
        <v>522</v>
      </c>
      <c r="C461" t="s">
        <v>523</v>
      </c>
      <c r="D461" t="s">
        <v>451</v>
      </c>
      <c r="E461" t="s">
        <v>524</v>
      </c>
      <c r="F461" t="s">
        <v>318</v>
      </c>
      <c r="H461" t="s">
        <v>575</v>
      </c>
      <c r="I461" s="29">
        <v>14100000</v>
      </c>
      <c r="J461" t="s">
        <v>451</v>
      </c>
      <c r="L461" t="s">
        <v>36</v>
      </c>
      <c r="M461" t="str">
        <f>IFERROR(INDEX(Diccionario!$N:$N,MATCH(F529,Diccionario!$C:$C,0)),"")</f>
        <v>Mensual</v>
      </c>
    </row>
    <row r="462" spans="1:13" ht="12" customHeight="1" x14ac:dyDescent="0.3">
      <c r="A462" t="s">
        <v>540</v>
      </c>
      <c r="B462" t="s">
        <v>522</v>
      </c>
      <c r="C462" t="s">
        <v>523</v>
      </c>
      <c r="D462" t="s">
        <v>451</v>
      </c>
      <c r="E462" t="s">
        <v>524</v>
      </c>
      <c r="F462" t="s">
        <v>318</v>
      </c>
      <c r="H462" t="s">
        <v>573</v>
      </c>
      <c r="I462" s="29">
        <v>0</v>
      </c>
      <c r="J462" t="s">
        <v>451</v>
      </c>
      <c r="L462" t="s">
        <v>36</v>
      </c>
      <c r="M462" t="str">
        <f>IFERROR(INDEX(Diccionario!$N:$N,MATCH(F527,Diccionario!$C:$C,0)),"")</f>
        <v>Mensual</v>
      </c>
    </row>
    <row r="463" spans="1:13" ht="12" customHeight="1" x14ac:dyDescent="0.3">
      <c r="A463" t="s">
        <v>540</v>
      </c>
      <c r="B463" t="s">
        <v>522</v>
      </c>
      <c r="C463" t="s">
        <v>523</v>
      </c>
      <c r="D463" t="s">
        <v>451</v>
      </c>
      <c r="E463" t="s">
        <v>524</v>
      </c>
      <c r="F463" t="s">
        <v>318</v>
      </c>
      <c r="H463" t="s">
        <v>572</v>
      </c>
      <c r="I463" s="29">
        <v>88200000</v>
      </c>
      <c r="J463" t="s">
        <v>451</v>
      </c>
      <c r="L463" t="s">
        <v>36</v>
      </c>
      <c r="M463" t="str">
        <f>IFERROR(INDEX(Diccionario!$N:$N,MATCH(F526,Diccionario!$C:$C,0)),"")</f>
        <v>Mensual</v>
      </c>
    </row>
    <row r="464" spans="1:13" ht="12" customHeight="1" x14ac:dyDescent="0.3">
      <c r="A464" t="s">
        <v>540</v>
      </c>
      <c r="B464" t="s">
        <v>522</v>
      </c>
      <c r="C464" t="s">
        <v>523</v>
      </c>
      <c r="D464" t="s">
        <v>451</v>
      </c>
      <c r="E464" t="s">
        <v>524</v>
      </c>
      <c r="F464" t="s">
        <v>318</v>
      </c>
      <c r="H464" t="s">
        <v>576</v>
      </c>
      <c r="I464" s="29">
        <v>6700000</v>
      </c>
      <c r="J464" t="s">
        <v>451</v>
      </c>
      <c r="L464" t="s">
        <v>36</v>
      </c>
      <c r="M464" t="str">
        <f>IFERROR(INDEX(Diccionario!$N:$N,MATCH(F530,Diccionario!$C:$C,0)),"")</f>
        <v>Mensual</v>
      </c>
    </row>
    <row r="465" spans="1:13" ht="12" customHeight="1" x14ac:dyDescent="0.3">
      <c r="A465" t="s">
        <v>540</v>
      </c>
      <c r="B465" t="s">
        <v>522</v>
      </c>
      <c r="C465" t="s">
        <v>523</v>
      </c>
      <c r="E465" t="s">
        <v>524</v>
      </c>
      <c r="F465" t="s">
        <v>323</v>
      </c>
      <c r="I465" s="36">
        <v>26.97</v>
      </c>
      <c r="J465" t="s">
        <v>65</v>
      </c>
      <c r="L465" t="s">
        <v>36</v>
      </c>
      <c r="M465" t="str">
        <f>IFERROR(INDEX(Diccionario!$N:$N,MATCH(F1012,Diccionario!$C:$C,0)),"")</f>
        <v>Mensual</v>
      </c>
    </row>
    <row r="466" spans="1:13" ht="12" customHeight="1" x14ac:dyDescent="0.3">
      <c r="A466" t="s">
        <v>540</v>
      </c>
      <c r="B466" t="s">
        <v>522</v>
      </c>
      <c r="C466" t="s">
        <v>523</v>
      </c>
      <c r="D466" t="s">
        <v>451</v>
      </c>
      <c r="E466" t="s">
        <v>524</v>
      </c>
      <c r="F466" t="s">
        <v>309</v>
      </c>
      <c r="H466" t="s">
        <v>567</v>
      </c>
      <c r="I466" s="29">
        <v>9100000</v>
      </c>
      <c r="J466" t="s">
        <v>451</v>
      </c>
      <c r="L466" t="s">
        <v>36</v>
      </c>
      <c r="M466" t="str">
        <f>IFERROR(INDEX(Diccionario!$N:$N,MATCH(F360,Diccionario!$C:$C,0)),"")</f>
        <v>Mensual</v>
      </c>
    </row>
    <row r="467" spans="1:13" ht="12" customHeight="1" x14ac:dyDescent="0.3">
      <c r="A467" t="s">
        <v>540</v>
      </c>
      <c r="B467" t="s">
        <v>522</v>
      </c>
      <c r="C467" t="s">
        <v>523</v>
      </c>
      <c r="D467" t="s">
        <v>451</v>
      </c>
      <c r="E467" t="s">
        <v>524</v>
      </c>
      <c r="F467" t="s">
        <v>309</v>
      </c>
      <c r="H467" t="s">
        <v>571</v>
      </c>
      <c r="I467" s="29">
        <v>2850000</v>
      </c>
      <c r="J467" t="s">
        <v>451</v>
      </c>
      <c r="L467" t="s">
        <v>36</v>
      </c>
      <c r="M467" t="str">
        <f>IFERROR(INDEX(Diccionario!$N:$N,MATCH(F364,Diccionario!$C:$C,0)),"")</f>
        <v>Mensual</v>
      </c>
    </row>
    <row r="468" spans="1:13" ht="12" customHeight="1" x14ac:dyDescent="0.3">
      <c r="A468" t="s">
        <v>540</v>
      </c>
      <c r="B468" t="s">
        <v>522</v>
      </c>
      <c r="C468" t="s">
        <v>523</v>
      </c>
      <c r="D468" t="s">
        <v>451</v>
      </c>
      <c r="E468" t="s">
        <v>524</v>
      </c>
      <c r="F468" t="s">
        <v>309</v>
      </c>
      <c r="H468" t="s">
        <v>566</v>
      </c>
      <c r="I468" s="29">
        <v>6150000</v>
      </c>
      <c r="J468" t="s">
        <v>451</v>
      </c>
      <c r="L468" t="s">
        <v>36</v>
      </c>
      <c r="M468" t="str">
        <f>IFERROR(INDEX(Diccionario!$N:$N,MATCH(F359,Diccionario!$C:$C,0)),"")</f>
        <v>Mensual</v>
      </c>
    </row>
    <row r="469" spans="1:13" ht="12" customHeight="1" x14ac:dyDescent="0.3">
      <c r="A469" t="s">
        <v>540</v>
      </c>
      <c r="B469" t="s">
        <v>522</v>
      </c>
      <c r="C469" t="s">
        <v>523</v>
      </c>
      <c r="D469" t="s">
        <v>451</v>
      </c>
      <c r="E469" t="s">
        <v>524</v>
      </c>
      <c r="F469" t="s">
        <v>309</v>
      </c>
      <c r="H469" t="s">
        <v>565</v>
      </c>
      <c r="I469" s="29">
        <v>58800000</v>
      </c>
      <c r="J469" t="s">
        <v>451</v>
      </c>
      <c r="L469" t="s">
        <v>36</v>
      </c>
      <c r="M469" t="str">
        <f>IFERROR(INDEX(Diccionario!$N:$N,MATCH(F358,Diccionario!$C:$C,0)),"")</f>
        <v>Mensual</v>
      </c>
    </row>
    <row r="470" spans="1:13" ht="12" customHeight="1" x14ac:dyDescent="0.3">
      <c r="A470" t="s">
        <v>540</v>
      </c>
      <c r="B470" t="s">
        <v>522</v>
      </c>
      <c r="C470" t="s">
        <v>523</v>
      </c>
      <c r="D470" t="s">
        <v>451</v>
      </c>
      <c r="E470" t="s">
        <v>524</v>
      </c>
      <c r="F470" t="s">
        <v>309</v>
      </c>
      <c r="H470" t="s">
        <v>568</v>
      </c>
      <c r="I470" s="29">
        <v>3400000</v>
      </c>
      <c r="J470" t="s">
        <v>451</v>
      </c>
      <c r="L470" t="s">
        <v>36</v>
      </c>
      <c r="M470" t="str">
        <f>IFERROR(INDEX(Diccionario!$N:$N,MATCH(F361,Diccionario!$C:$C,0)),"")</f>
        <v>Mensual</v>
      </c>
    </row>
    <row r="471" spans="1:13" ht="12" customHeight="1" x14ac:dyDescent="0.3">
      <c r="A471" t="s">
        <v>540</v>
      </c>
      <c r="B471" t="s">
        <v>522</v>
      </c>
      <c r="C471" t="s">
        <v>523</v>
      </c>
      <c r="D471" t="s">
        <v>451</v>
      </c>
      <c r="E471" t="s">
        <v>524</v>
      </c>
      <c r="F471" t="s">
        <v>309</v>
      </c>
      <c r="H471" t="s">
        <v>569</v>
      </c>
      <c r="I471" s="29">
        <v>6400000</v>
      </c>
      <c r="J471" t="s">
        <v>451</v>
      </c>
      <c r="L471" t="s">
        <v>36</v>
      </c>
      <c r="M471" t="str">
        <f>IFERROR(INDEX(Diccionario!$N:$N,MATCH(F362,Diccionario!$C:$C,0)),"")</f>
        <v>Mensual</v>
      </c>
    </row>
    <row r="472" spans="1:13" ht="12" customHeight="1" x14ac:dyDescent="0.3">
      <c r="A472" t="s">
        <v>540</v>
      </c>
      <c r="B472" t="s">
        <v>522</v>
      </c>
      <c r="C472" t="s">
        <v>523</v>
      </c>
      <c r="D472" t="s">
        <v>451</v>
      </c>
      <c r="E472" t="s">
        <v>524</v>
      </c>
      <c r="F472" t="s">
        <v>309</v>
      </c>
      <c r="H472" t="s">
        <v>570</v>
      </c>
      <c r="I472" s="29">
        <v>31100000</v>
      </c>
      <c r="J472" t="s">
        <v>451</v>
      </c>
      <c r="L472" t="s">
        <v>36</v>
      </c>
      <c r="M472" t="str">
        <f>IFERROR(INDEX(Diccionario!$N:$N,MATCH(F363,Diccionario!$C:$C,0)),"")</f>
        <v>Mensual</v>
      </c>
    </row>
    <row r="473" spans="1:13" ht="12" customHeight="1" x14ac:dyDescent="0.3">
      <c r="A473" t="s">
        <v>540</v>
      </c>
      <c r="B473" t="s">
        <v>522</v>
      </c>
      <c r="C473" t="s">
        <v>523</v>
      </c>
      <c r="D473" t="s">
        <v>451</v>
      </c>
      <c r="E473" t="s">
        <v>524</v>
      </c>
      <c r="F473" t="s">
        <v>304</v>
      </c>
      <c r="H473" t="s">
        <v>564</v>
      </c>
      <c r="I473" s="29">
        <v>118000000</v>
      </c>
      <c r="J473" t="s">
        <v>451</v>
      </c>
      <c r="L473" t="s">
        <v>36</v>
      </c>
      <c r="M473" t="str">
        <f>IFERROR(INDEX(Diccionario!$N:$N,MATCH(F188,Diccionario!$C:$C,0)),"")</f>
        <v>Mensual</v>
      </c>
    </row>
    <row r="474" spans="1:13" ht="12" customHeight="1" x14ac:dyDescent="0.3">
      <c r="A474" t="s">
        <v>540</v>
      </c>
      <c r="B474" t="s">
        <v>522</v>
      </c>
      <c r="C474" t="s">
        <v>523</v>
      </c>
      <c r="D474" t="s">
        <v>451</v>
      </c>
      <c r="E474" t="s">
        <v>524</v>
      </c>
      <c r="F474" t="s">
        <v>304</v>
      </c>
      <c r="H474" t="s">
        <v>190</v>
      </c>
      <c r="I474" s="29">
        <v>222000000</v>
      </c>
      <c r="J474" t="s">
        <v>451</v>
      </c>
      <c r="L474" t="s">
        <v>36</v>
      </c>
      <c r="M474" t="str">
        <f>IFERROR(INDEX(Diccionario!$N:$N,MATCH(F187,Diccionario!$C:$C,0)),"")</f>
        <v>Mensual</v>
      </c>
    </row>
    <row r="475" spans="1:13" ht="12" customHeight="1" x14ac:dyDescent="0.3">
      <c r="A475" t="s">
        <v>540</v>
      </c>
      <c r="B475" t="s">
        <v>522</v>
      </c>
      <c r="C475" t="s">
        <v>523</v>
      </c>
      <c r="D475" t="s">
        <v>451</v>
      </c>
      <c r="E475" t="s">
        <v>524</v>
      </c>
      <c r="F475" t="s">
        <v>304</v>
      </c>
      <c r="H475" t="s">
        <v>561</v>
      </c>
      <c r="I475" s="29">
        <v>5000000</v>
      </c>
      <c r="J475" t="s">
        <v>451</v>
      </c>
      <c r="L475" t="s">
        <v>36</v>
      </c>
      <c r="M475" t="str">
        <f>IFERROR(INDEX(Diccionario!$N:$N,MATCH(F184,Diccionario!$C:$C,0)),"")</f>
        <v>Mensual</v>
      </c>
    </row>
    <row r="476" spans="1:13" ht="12" customHeight="1" x14ac:dyDescent="0.3">
      <c r="A476" t="s">
        <v>540</v>
      </c>
      <c r="B476" t="s">
        <v>522</v>
      </c>
      <c r="C476" t="s">
        <v>523</v>
      </c>
      <c r="D476" t="s">
        <v>451</v>
      </c>
      <c r="E476" t="s">
        <v>524</v>
      </c>
      <c r="F476" t="s">
        <v>304</v>
      </c>
      <c r="H476" t="s">
        <v>563</v>
      </c>
      <c r="I476" s="29">
        <v>156000000</v>
      </c>
      <c r="J476" t="s">
        <v>451</v>
      </c>
      <c r="L476" t="s">
        <v>36</v>
      </c>
      <c r="M476" t="str">
        <f>IFERROR(INDEX(Diccionario!$N:$N,MATCH(F186,Diccionario!$C:$C,0)),"")</f>
        <v>Mensual</v>
      </c>
    </row>
    <row r="477" spans="1:13" ht="12" customHeight="1" x14ac:dyDescent="0.3">
      <c r="A477" t="s">
        <v>540</v>
      </c>
      <c r="B477" t="s">
        <v>522</v>
      </c>
      <c r="C477" t="s">
        <v>523</v>
      </c>
      <c r="D477" t="s">
        <v>451</v>
      </c>
      <c r="E477" t="s">
        <v>524</v>
      </c>
      <c r="F477" t="s">
        <v>304</v>
      </c>
      <c r="H477" t="s">
        <v>562</v>
      </c>
      <c r="I477" s="29">
        <v>253000000</v>
      </c>
      <c r="J477" t="s">
        <v>451</v>
      </c>
      <c r="L477" t="s">
        <v>36</v>
      </c>
      <c r="M477" t="str">
        <f>IFERROR(INDEX(Diccionario!$N:$N,MATCH(F185,Diccionario!$C:$C,0)),"")</f>
        <v>Mensual</v>
      </c>
    </row>
    <row r="478" spans="1:13" ht="12" customHeight="1" x14ac:dyDescent="0.3">
      <c r="A478" t="s">
        <v>540</v>
      </c>
      <c r="B478" t="s">
        <v>522</v>
      </c>
      <c r="C478" t="s">
        <v>523</v>
      </c>
      <c r="D478" t="s">
        <v>451</v>
      </c>
      <c r="E478" t="s">
        <v>524</v>
      </c>
      <c r="F478" t="s">
        <v>377</v>
      </c>
      <c r="H478" t="s">
        <v>571</v>
      </c>
      <c r="I478" s="29">
        <v>17500000</v>
      </c>
      <c r="J478" t="s">
        <v>451</v>
      </c>
      <c r="L478" t="s">
        <v>36</v>
      </c>
      <c r="M478" t="str">
        <f>IFERROR(INDEX(Diccionario!$N:$N,MATCH(F922,Diccionario!$C:$C,0)),"")</f>
        <v>Mensual</v>
      </c>
    </row>
    <row r="479" spans="1:13" ht="12" customHeight="1" x14ac:dyDescent="0.3">
      <c r="A479" t="s">
        <v>540</v>
      </c>
      <c r="B479" t="s">
        <v>522</v>
      </c>
      <c r="C479" t="s">
        <v>523</v>
      </c>
      <c r="D479" t="s">
        <v>451</v>
      </c>
      <c r="E479" t="s">
        <v>524</v>
      </c>
      <c r="F479" t="s">
        <v>377</v>
      </c>
      <c r="H479" t="s">
        <v>577</v>
      </c>
      <c r="I479" s="29">
        <v>60000000</v>
      </c>
      <c r="J479" t="s">
        <v>451</v>
      </c>
      <c r="L479" t="s">
        <v>36</v>
      </c>
      <c r="M479" t="str">
        <f>IFERROR(INDEX(Diccionario!$N:$N,MATCH(F918,Diccionario!$C:$C,0)),"")</f>
        <v>Mensual</v>
      </c>
    </row>
    <row r="480" spans="1:13" ht="12" customHeight="1" x14ac:dyDescent="0.3">
      <c r="A480" t="s">
        <v>540</v>
      </c>
      <c r="B480" t="s">
        <v>522</v>
      </c>
      <c r="C480" t="s">
        <v>523</v>
      </c>
      <c r="D480" t="s">
        <v>451</v>
      </c>
      <c r="E480" t="s">
        <v>524</v>
      </c>
      <c r="F480" t="s">
        <v>377</v>
      </c>
      <c r="H480" t="s">
        <v>565</v>
      </c>
      <c r="I480" s="29">
        <v>96200000</v>
      </c>
      <c r="J480" t="s">
        <v>451</v>
      </c>
      <c r="L480" t="s">
        <v>36</v>
      </c>
      <c r="M480" t="str">
        <f>IFERROR(INDEX(Diccionario!$N:$N,MATCH(F917,Diccionario!$C:$C,0)),"")</f>
        <v>Mensual</v>
      </c>
    </row>
    <row r="481" spans="1:13" ht="12" customHeight="1" x14ac:dyDescent="0.3">
      <c r="A481" t="s">
        <v>540</v>
      </c>
      <c r="B481" t="s">
        <v>522</v>
      </c>
      <c r="C481" t="s">
        <v>523</v>
      </c>
      <c r="D481" t="s">
        <v>451</v>
      </c>
      <c r="E481" t="s">
        <v>524</v>
      </c>
      <c r="F481" t="s">
        <v>377</v>
      </c>
      <c r="H481" t="s">
        <v>568</v>
      </c>
      <c r="I481" s="29">
        <v>1500000</v>
      </c>
      <c r="J481" t="s">
        <v>451</v>
      </c>
      <c r="L481" t="s">
        <v>36</v>
      </c>
      <c r="M481" t="str">
        <f>IFERROR(INDEX(Diccionario!$N:$N,MATCH(F919,Diccionario!$C:$C,0)),"")</f>
        <v>Mensual</v>
      </c>
    </row>
    <row r="482" spans="1:13" ht="12" customHeight="1" x14ac:dyDescent="0.3">
      <c r="A482" t="s">
        <v>540</v>
      </c>
      <c r="B482" t="s">
        <v>522</v>
      </c>
      <c r="C482" t="s">
        <v>523</v>
      </c>
      <c r="D482" t="s">
        <v>451</v>
      </c>
      <c r="E482" t="s">
        <v>524</v>
      </c>
      <c r="F482" t="s">
        <v>377</v>
      </c>
      <c r="H482" t="s">
        <v>569</v>
      </c>
      <c r="I482" s="29">
        <v>22000000</v>
      </c>
      <c r="J482" t="s">
        <v>451</v>
      </c>
      <c r="L482" t="s">
        <v>36</v>
      </c>
      <c r="M482" t="str">
        <f>IFERROR(INDEX(Diccionario!$N:$N,MATCH(F920,Diccionario!$C:$C,0)),"")</f>
        <v>Mensual</v>
      </c>
    </row>
    <row r="483" spans="1:13" ht="12" customHeight="1" x14ac:dyDescent="0.3">
      <c r="A483" t="s">
        <v>540</v>
      </c>
      <c r="B483" t="s">
        <v>522</v>
      </c>
      <c r="C483" t="s">
        <v>523</v>
      </c>
      <c r="D483" t="s">
        <v>451</v>
      </c>
      <c r="E483" t="s">
        <v>524</v>
      </c>
      <c r="F483" t="s">
        <v>377</v>
      </c>
      <c r="H483" t="s">
        <v>570</v>
      </c>
      <c r="I483" s="29">
        <v>31600000</v>
      </c>
      <c r="J483" t="s">
        <v>451</v>
      </c>
      <c r="L483" t="s">
        <v>36</v>
      </c>
      <c r="M483" t="str">
        <f>IFERROR(INDEX(Diccionario!$N:$N,MATCH(F921,Diccionario!$C:$C,0)),"")</f>
        <v>Mensual</v>
      </c>
    </row>
    <row r="484" spans="1:13" ht="12" customHeight="1" x14ac:dyDescent="0.3">
      <c r="A484" t="s">
        <v>540</v>
      </c>
      <c r="B484" t="s">
        <v>522</v>
      </c>
      <c r="C484" t="s">
        <v>523</v>
      </c>
      <c r="D484" t="s">
        <v>451</v>
      </c>
      <c r="E484" t="s">
        <v>524</v>
      </c>
      <c r="F484" t="s">
        <v>371</v>
      </c>
      <c r="H484" t="s">
        <v>566</v>
      </c>
      <c r="I484" s="29">
        <v>36800000</v>
      </c>
      <c r="J484" t="s">
        <v>451</v>
      </c>
      <c r="L484" t="s">
        <v>36</v>
      </c>
      <c r="M484" t="str">
        <f>IFERROR(INDEX(Diccionario!$N:$N,MATCH(F773,Diccionario!$C:$C,0)),"")</f>
        <v>Mensual</v>
      </c>
    </row>
    <row r="485" spans="1:13" ht="12" customHeight="1" x14ac:dyDescent="0.3">
      <c r="A485" t="s">
        <v>540</v>
      </c>
      <c r="B485" t="s">
        <v>522</v>
      </c>
      <c r="C485" t="s">
        <v>523</v>
      </c>
      <c r="D485" t="s">
        <v>451</v>
      </c>
      <c r="E485" t="s">
        <v>524</v>
      </c>
      <c r="F485" t="s">
        <v>371</v>
      </c>
      <c r="H485" t="s">
        <v>565</v>
      </c>
      <c r="I485" s="29">
        <v>104800000</v>
      </c>
      <c r="J485" t="s">
        <v>451</v>
      </c>
      <c r="L485" t="s">
        <v>36</v>
      </c>
      <c r="M485" t="str">
        <f>IFERROR(INDEX(Diccionario!$N:$N,MATCH(F772,Diccionario!$C:$C,0)),"")</f>
        <v>Mensual</v>
      </c>
    </row>
    <row r="486" spans="1:13" ht="12" customHeight="1" x14ac:dyDescent="0.3">
      <c r="A486" t="s">
        <v>540</v>
      </c>
      <c r="B486" t="s">
        <v>522</v>
      </c>
      <c r="C486" t="s">
        <v>523</v>
      </c>
      <c r="D486" t="s">
        <v>451</v>
      </c>
      <c r="E486" t="s">
        <v>524</v>
      </c>
      <c r="F486" t="s">
        <v>371</v>
      </c>
      <c r="H486" t="s">
        <v>569</v>
      </c>
      <c r="I486" s="29">
        <v>3200000</v>
      </c>
      <c r="J486" t="s">
        <v>451</v>
      </c>
      <c r="L486" t="s">
        <v>36</v>
      </c>
      <c r="M486" t="str">
        <f>IFERROR(INDEX(Diccionario!$N:$N,MATCH(F774,Diccionario!$C:$C,0)),"")</f>
        <v>Mensual</v>
      </c>
    </row>
    <row r="487" spans="1:13" ht="12" customHeight="1" x14ac:dyDescent="0.3">
      <c r="A487" t="s">
        <v>540</v>
      </c>
      <c r="B487" t="s">
        <v>522</v>
      </c>
      <c r="C487" t="s">
        <v>523</v>
      </c>
      <c r="D487" t="s">
        <v>451</v>
      </c>
      <c r="E487" t="s">
        <v>524</v>
      </c>
      <c r="F487" t="s">
        <v>371</v>
      </c>
      <c r="H487" t="s">
        <v>570</v>
      </c>
      <c r="I487" s="29">
        <v>76000</v>
      </c>
      <c r="J487" t="s">
        <v>451</v>
      </c>
      <c r="L487" t="s">
        <v>36</v>
      </c>
      <c r="M487" t="str">
        <f>IFERROR(INDEX(Diccionario!$N:$N,MATCH(F775,Diccionario!$C:$C,0)),"")</f>
        <v>Mensual</v>
      </c>
    </row>
    <row r="488" spans="1:13" ht="12" customHeight="1" x14ac:dyDescent="0.3">
      <c r="A488" t="s">
        <v>541</v>
      </c>
      <c r="B488" t="s">
        <v>522</v>
      </c>
      <c r="C488" t="s">
        <v>523</v>
      </c>
      <c r="D488" t="s">
        <v>451</v>
      </c>
      <c r="E488" t="s">
        <v>524</v>
      </c>
      <c r="F488" t="s">
        <v>255</v>
      </c>
      <c r="I488" s="29">
        <v>-11304705</v>
      </c>
      <c r="J488" t="s">
        <v>451</v>
      </c>
      <c r="L488" t="s">
        <v>36</v>
      </c>
      <c r="M488" t="str">
        <f>IFERROR(INDEX(Diccionario!$N:$N,MATCH(F1139,Diccionario!$C:$C,0)),"")</f>
        <v/>
      </c>
    </row>
    <row r="489" spans="1:13" ht="12" customHeight="1" x14ac:dyDescent="0.3">
      <c r="A489" t="s">
        <v>541</v>
      </c>
      <c r="B489" t="s">
        <v>522</v>
      </c>
      <c r="C489" t="s">
        <v>523</v>
      </c>
      <c r="D489" t="s">
        <v>451</v>
      </c>
      <c r="E489" t="s">
        <v>524</v>
      </c>
      <c r="F489" t="s">
        <v>252</v>
      </c>
      <c r="I489" s="29">
        <v>-37514312</v>
      </c>
      <c r="J489" t="s">
        <v>451</v>
      </c>
      <c r="L489" t="s">
        <v>36</v>
      </c>
      <c r="M489" t="str">
        <f>IFERROR(INDEX(Diccionario!$N:$N,MATCH(F1126,Diccionario!$C:$C,0)),"")</f>
        <v/>
      </c>
    </row>
    <row r="490" spans="1:13" ht="12" customHeight="1" x14ac:dyDescent="0.3">
      <c r="A490" t="s">
        <v>541</v>
      </c>
      <c r="B490" t="s">
        <v>522</v>
      </c>
      <c r="C490" t="s">
        <v>523</v>
      </c>
      <c r="D490" t="s">
        <v>451</v>
      </c>
      <c r="E490" t="s">
        <v>524</v>
      </c>
      <c r="F490" t="s">
        <v>314</v>
      </c>
      <c r="H490" t="s">
        <v>577</v>
      </c>
      <c r="I490" s="29">
        <v>2600000</v>
      </c>
      <c r="J490" t="s">
        <v>451</v>
      </c>
      <c r="L490" t="s">
        <v>36</v>
      </c>
      <c r="M490" t="str">
        <f>IFERROR(INDEX(Diccionario!$N:$N,MATCH(F652,Diccionario!$C:$C,0)),"")</f>
        <v>Mensual</v>
      </c>
    </row>
    <row r="491" spans="1:13" ht="12" customHeight="1" x14ac:dyDescent="0.3">
      <c r="A491" t="s">
        <v>541</v>
      </c>
      <c r="B491" t="s">
        <v>522</v>
      </c>
      <c r="C491" t="s">
        <v>523</v>
      </c>
      <c r="D491" t="s">
        <v>451</v>
      </c>
      <c r="E491" t="s">
        <v>524</v>
      </c>
      <c r="F491" t="s">
        <v>314</v>
      </c>
      <c r="H491" t="s">
        <v>578</v>
      </c>
      <c r="I491" s="29">
        <v>2000000</v>
      </c>
      <c r="J491" t="s">
        <v>451</v>
      </c>
      <c r="L491" t="s">
        <v>36</v>
      </c>
      <c r="M491" t="str">
        <f>IFERROR(INDEX(Diccionario!$N:$N,MATCH(F654,Diccionario!$C:$C,0)),"")</f>
        <v>Mensual</v>
      </c>
    </row>
    <row r="492" spans="1:13" ht="12" customHeight="1" x14ac:dyDescent="0.3">
      <c r="A492" t="s">
        <v>541</v>
      </c>
      <c r="B492" t="s">
        <v>522</v>
      </c>
      <c r="C492" t="s">
        <v>523</v>
      </c>
      <c r="D492" t="s">
        <v>451</v>
      </c>
      <c r="E492" t="s">
        <v>524</v>
      </c>
      <c r="F492" t="s">
        <v>314</v>
      </c>
      <c r="H492" t="s">
        <v>565</v>
      </c>
      <c r="I492" s="29">
        <v>89700000</v>
      </c>
      <c r="J492" t="s">
        <v>451</v>
      </c>
      <c r="L492" t="s">
        <v>36</v>
      </c>
      <c r="M492" t="str">
        <f>IFERROR(INDEX(Diccionario!$N:$N,MATCH(F651,Diccionario!$C:$C,0)),"")</f>
        <v>Mensual</v>
      </c>
    </row>
    <row r="493" spans="1:13" ht="12" customHeight="1" x14ac:dyDescent="0.3">
      <c r="A493" t="s">
        <v>541</v>
      </c>
      <c r="B493" t="s">
        <v>522</v>
      </c>
      <c r="C493" t="s">
        <v>523</v>
      </c>
      <c r="D493" t="s">
        <v>451</v>
      </c>
      <c r="E493" t="s">
        <v>524</v>
      </c>
      <c r="F493" t="s">
        <v>314</v>
      </c>
      <c r="H493" t="s">
        <v>569</v>
      </c>
      <c r="I493" s="29">
        <v>18400000</v>
      </c>
      <c r="J493" t="s">
        <v>451</v>
      </c>
      <c r="L493" t="s">
        <v>36</v>
      </c>
      <c r="M493" t="str">
        <f>IFERROR(INDEX(Diccionario!$N:$N,MATCH(F653,Diccionario!$C:$C,0)),"")</f>
        <v>Mensual</v>
      </c>
    </row>
    <row r="494" spans="1:13" ht="12" customHeight="1" x14ac:dyDescent="0.3">
      <c r="A494" t="s">
        <v>541</v>
      </c>
      <c r="B494" t="s">
        <v>522</v>
      </c>
      <c r="C494" t="s">
        <v>523</v>
      </c>
      <c r="D494" t="s">
        <v>451</v>
      </c>
      <c r="E494" t="s">
        <v>524</v>
      </c>
      <c r="F494" t="s">
        <v>314</v>
      </c>
      <c r="H494" t="s">
        <v>570</v>
      </c>
      <c r="I494" s="29">
        <v>2800000</v>
      </c>
      <c r="J494" t="s">
        <v>451</v>
      </c>
      <c r="L494" t="s">
        <v>36</v>
      </c>
      <c r="M494" t="str">
        <f>IFERROR(INDEX(Diccionario!$N:$N,MATCH(F655,Diccionario!$C:$C,0)),"")</f>
        <v>Mensual</v>
      </c>
    </row>
    <row r="495" spans="1:13" ht="12" customHeight="1" x14ac:dyDescent="0.3">
      <c r="A495" t="s">
        <v>541</v>
      </c>
      <c r="B495" t="s">
        <v>522</v>
      </c>
      <c r="C495" t="s">
        <v>523</v>
      </c>
      <c r="D495" t="s">
        <v>451</v>
      </c>
      <c r="E495" t="s">
        <v>524</v>
      </c>
      <c r="F495" t="s">
        <v>318</v>
      </c>
      <c r="H495" t="s">
        <v>574</v>
      </c>
      <c r="I495" s="29">
        <v>40400000</v>
      </c>
      <c r="J495" t="s">
        <v>451</v>
      </c>
      <c r="L495" t="s">
        <v>36</v>
      </c>
      <c r="M495" t="str">
        <f>IFERROR(INDEX(Diccionario!$N:$N,MATCH(F533,Diccionario!$C:$C,0)),"")</f>
        <v>Mensual</v>
      </c>
    </row>
    <row r="496" spans="1:13" ht="12" customHeight="1" x14ac:dyDescent="0.3">
      <c r="A496" t="s">
        <v>541</v>
      </c>
      <c r="B496" t="s">
        <v>522</v>
      </c>
      <c r="C496" t="s">
        <v>523</v>
      </c>
      <c r="D496" t="s">
        <v>451</v>
      </c>
      <c r="E496" t="s">
        <v>524</v>
      </c>
      <c r="F496" t="s">
        <v>318</v>
      </c>
      <c r="H496" t="s">
        <v>575</v>
      </c>
      <c r="I496" s="29">
        <v>15700000</v>
      </c>
      <c r="J496" t="s">
        <v>451</v>
      </c>
      <c r="L496" t="s">
        <v>36</v>
      </c>
      <c r="M496" t="str">
        <f>IFERROR(INDEX(Diccionario!$N:$N,MATCH(F534,Diccionario!$C:$C,0)),"")</f>
        <v>Mensual</v>
      </c>
    </row>
    <row r="497" spans="1:13" ht="12" customHeight="1" x14ac:dyDescent="0.3">
      <c r="A497" t="s">
        <v>541</v>
      </c>
      <c r="B497" t="s">
        <v>522</v>
      </c>
      <c r="C497" t="s">
        <v>523</v>
      </c>
      <c r="D497" t="s">
        <v>451</v>
      </c>
      <c r="E497" t="s">
        <v>524</v>
      </c>
      <c r="F497" t="s">
        <v>318</v>
      </c>
      <c r="H497" t="s">
        <v>573</v>
      </c>
      <c r="I497" s="29">
        <v>0</v>
      </c>
      <c r="J497" t="s">
        <v>451</v>
      </c>
      <c r="L497" t="s">
        <v>36</v>
      </c>
      <c r="M497" t="str">
        <f>IFERROR(INDEX(Diccionario!$N:$N,MATCH(F532,Diccionario!$C:$C,0)),"")</f>
        <v>Mensual</v>
      </c>
    </row>
    <row r="498" spans="1:13" ht="12" customHeight="1" x14ac:dyDescent="0.3">
      <c r="A498" t="s">
        <v>541</v>
      </c>
      <c r="B498" t="s">
        <v>522</v>
      </c>
      <c r="C498" t="s">
        <v>523</v>
      </c>
      <c r="D498" t="s">
        <v>451</v>
      </c>
      <c r="E498" t="s">
        <v>524</v>
      </c>
      <c r="F498" t="s">
        <v>318</v>
      </c>
      <c r="H498" t="s">
        <v>572</v>
      </c>
      <c r="I498" s="29">
        <v>83500000</v>
      </c>
      <c r="J498" t="s">
        <v>451</v>
      </c>
      <c r="L498" t="s">
        <v>36</v>
      </c>
      <c r="M498" t="str">
        <f>IFERROR(INDEX(Diccionario!$N:$N,MATCH(F531,Diccionario!$C:$C,0)),"")</f>
        <v>Mensual</v>
      </c>
    </row>
    <row r="499" spans="1:13" ht="12" customHeight="1" x14ac:dyDescent="0.3">
      <c r="A499" t="s">
        <v>541</v>
      </c>
      <c r="B499" t="s">
        <v>522</v>
      </c>
      <c r="C499" t="s">
        <v>523</v>
      </c>
      <c r="D499" t="s">
        <v>451</v>
      </c>
      <c r="E499" t="s">
        <v>524</v>
      </c>
      <c r="F499" t="s">
        <v>318</v>
      </c>
      <c r="H499" t="s">
        <v>576</v>
      </c>
      <c r="I499" s="29">
        <v>17400000</v>
      </c>
      <c r="J499" t="s">
        <v>451</v>
      </c>
      <c r="L499" t="s">
        <v>36</v>
      </c>
      <c r="M499" t="str">
        <f>IFERROR(INDEX(Diccionario!$N:$N,MATCH(F535,Diccionario!$C:$C,0)),"")</f>
        <v>Mensual</v>
      </c>
    </row>
    <row r="500" spans="1:13" ht="12" customHeight="1" x14ac:dyDescent="0.3">
      <c r="A500" t="s">
        <v>541</v>
      </c>
      <c r="B500" t="s">
        <v>522</v>
      </c>
      <c r="C500" t="s">
        <v>523</v>
      </c>
      <c r="E500" t="s">
        <v>524</v>
      </c>
      <c r="F500" t="s">
        <v>323</v>
      </c>
      <c r="I500" s="36">
        <v>21.93</v>
      </c>
      <c r="J500" t="s">
        <v>65</v>
      </c>
      <c r="L500" t="s">
        <v>36</v>
      </c>
      <c r="M500" t="str">
        <f>IFERROR(INDEX(Diccionario!$N:$N,MATCH(F1013,Diccionario!$C:$C,0)),"")</f>
        <v>Mensual</v>
      </c>
    </row>
    <row r="501" spans="1:13" ht="12" customHeight="1" x14ac:dyDescent="0.3">
      <c r="A501" t="s">
        <v>541</v>
      </c>
      <c r="B501" t="s">
        <v>522</v>
      </c>
      <c r="C501" t="s">
        <v>523</v>
      </c>
      <c r="D501" t="s">
        <v>451</v>
      </c>
      <c r="E501" t="s">
        <v>524</v>
      </c>
      <c r="F501" t="s">
        <v>246</v>
      </c>
      <c r="I501" s="29">
        <v>70990398</v>
      </c>
      <c r="J501" t="s">
        <v>451</v>
      </c>
      <c r="L501" t="s">
        <v>36</v>
      </c>
      <c r="M501" t="str">
        <f>IFERROR(INDEX(Diccionario!$N:$N,MATCH(F1113,Diccionario!$C:$C,0)),"")</f>
        <v/>
      </c>
    </row>
    <row r="502" spans="1:13" ht="12" customHeight="1" x14ac:dyDescent="0.3">
      <c r="A502" t="s">
        <v>541</v>
      </c>
      <c r="B502" t="s">
        <v>522</v>
      </c>
      <c r="C502" t="s">
        <v>523</v>
      </c>
      <c r="D502" t="s">
        <v>451</v>
      </c>
      <c r="E502" t="s">
        <v>524</v>
      </c>
      <c r="F502" t="s">
        <v>309</v>
      </c>
      <c r="H502" t="s">
        <v>567</v>
      </c>
      <c r="I502" s="29">
        <v>17400000</v>
      </c>
      <c r="J502" t="s">
        <v>451</v>
      </c>
      <c r="L502" t="s">
        <v>36</v>
      </c>
      <c r="M502" t="str">
        <f>IFERROR(INDEX(Diccionario!$N:$N,MATCH(F367,Diccionario!$C:$C,0)),"")</f>
        <v>Mensual</v>
      </c>
    </row>
    <row r="503" spans="1:13" ht="12" customHeight="1" x14ac:dyDescent="0.3">
      <c r="A503" t="s">
        <v>541</v>
      </c>
      <c r="B503" t="s">
        <v>522</v>
      </c>
      <c r="C503" t="s">
        <v>523</v>
      </c>
      <c r="D503" t="s">
        <v>451</v>
      </c>
      <c r="E503" t="s">
        <v>524</v>
      </c>
      <c r="F503" t="s">
        <v>309</v>
      </c>
      <c r="H503" t="s">
        <v>571</v>
      </c>
      <c r="I503" s="29">
        <v>1700000</v>
      </c>
      <c r="J503" t="s">
        <v>451</v>
      </c>
      <c r="L503" t="s">
        <v>36</v>
      </c>
      <c r="M503" t="str">
        <f>IFERROR(INDEX(Diccionario!$N:$N,MATCH(F371,Diccionario!$C:$C,0)),"")</f>
        <v>Mensual</v>
      </c>
    </row>
    <row r="504" spans="1:13" ht="12" customHeight="1" x14ac:dyDescent="0.3">
      <c r="A504" t="s">
        <v>541</v>
      </c>
      <c r="B504" t="s">
        <v>522</v>
      </c>
      <c r="C504" t="s">
        <v>523</v>
      </c>
      <c r="D504" t="s">
        <v>451</v>
      </c>
      <c r="E504" t="s">
        <v>524</v>
      </c>
      <c r="F504" t="s">
        <v>309</v>
      </c>
      <c r="H504" t="s">
        <v>566</v>
      </c>
      <c r="I504" s="29">
        <v>16000000</v>
      </c>
      <c r="J504" t="s">
        <v>451</v>
      </c>
      <c r="L504" t="s">
        <v>36</v>
      </c>
      <c r="M504" t="str">
        <f>IFERROR(INDEX(Diccionario!$N:$N,MATCH(F366,Diccionario!$C:$C,0)),"")</f>
        <v>Mensual</v>
      </c>
    </row>
    <row r="505" spans="1:13" ht="12" customHeight="1" x14ac:dyDescent="0.3">
      <c r="A505" t="s">
        <v>541</v>
      </c>
      <c r="B505" t="s">
        <v>522</v>
      </c>
      <c r="C505" t="s">
        <v>523</v>
      </c>
      <c r="D505" t="s">
        <v>451</v>
      </c>
      <c r="E505" t="s">
        <v>524</v>
      </c>
      <c r="F505" t="s">
        <v>309</v>
      </c>
      <c r="H505" t="s">
        <v>565</v>
      </c>
      <c r="I505" s="29">
        <v>60500000</v>
      </c>
      <c r="J505" t="s">
        <v>451</v>
      </c>
      <c r="L505" t="s">
        <v>36</v>
      </c>
      <c r="M505" t="str">
        <f>IFERROR(INDEX(Diccionario!$N:$N,MATCH(F365,Diccionario!$C:$C,0)),"")</f>
        <v>Mensual</v>
      </c>
    </row>
    <row r="506" spans="1:13" ht="12" customHeight="1" x14ac:dyDescent="0.3">
      <c r="A506" t="s">
        <v>541</v>
      </c>
      <c r="B506" t="s">
        <v>522</v>
      </c>
      <c r="C506" t="s">
        <v>523</v>
      </c>
      <c r="D506" t="s">
        <v>451</v>
      </c>
      <c r="E506" t="s">
        <v>524</v>
      </c>
      <c r="F506" t="s">
        <v>309</v>
      </c>
      <c r="H506" t="s">
        <v>568</v>
      </c>
      <c r="I506" s="29">
        <v>3400000</v>
      </c>
      <c r="J506" t="s">
        <v>451</v>
      </c>
      <c r="L506" t="s">
        <v>36</v>
      </c>
      <c r="M506" t="str">
        <f>IFERROR(INDEX(Diccionario!$N:$N,MATCH(F368,Diccionario!$C:$C,0)),"")</f>
        <v>Mensual</v>
      </c>
    </row>
    <row r="507" spans="1:13" ht="12" customHeight="1" x14ac:dyDescent="0.3">
      <c r="A507" t="s">
        <v>541</v>
      </c>
      <c r="B507" t="s">
        <v>522</v>
      </c>
      <c r="C507" t="s">
        <v>523</v>
      </c>
      <c r="D507" t="s">
        <v>451</v>
      </c>
      <c r="E507" t="s">
        <v>524</v>
      </c>
      <c r="F507" t="s">
        <v>309</v>
      </c>
      <c r="H507" t="s">
        <v>569</v>
      </c>
      <c r="I507" s="29">
        <v>2100000</v>
      </c>
      <c r="J507" t="s">
        <v>451</v>
      </c>
      <c r="L507" t="s">
        <v>36</v>
      </c>
      <c r="M507" t="str">
        <f>IFERROR(INDEX(Diccionario!$N:$N,MATCH(F369,Diccionario!$C:$C,0)),"")</f>
        <v>Mensual</v>
      </c>
    </row>
    <row r="508" spans="1:13" ht="12" customHeight="1" x14ac:dyDescent="0.3">
      <c r="A508" t="s">
        <v>541</v>
      </c>
      <c r="B508" t="s">
        <v>522</v>
      </c>
      <c r="C508" t="s">
        <v>523</v>
      </c>
      <c r="D508" t="s">
        <v>451</v>
      </c>
      <c r="E508" t="s">
        <v>524</v>
      </c>
      <c r="F508" t="s">
        <v>309</v>
      </c>
      <c r="H508" t="s">
        <v>570</v>
      </c>
      <c r="I508" s="29">
        <v>20300000</v>
      </c>
      <c r="J508" t="s">
        <v>451</v>
      </c>
      <c r="L508" t="s">
        <v>36</v>
      </c>
      <c r="M508" t="str">
        <f>IFERROR(INDEX(Diccionario!$N:$N,MATCH(F370,Diccionario!$C:$C,0)),"")</f>
        <v>Mensual</v>
      </c>
    </row>
    <row r="509" spans="1:13" ht="12" customHeight="1" x14ac:dyDescent="0.3">
      <c r="A509" t="s">
        <v>541</v>
      </c>
      <c r="B509" t="s">
        <v>522</v>
      </c>
      <c r="C509" t="s">
        <v>523</v>
      </c>
      <c r="D509" t="s">
        <v>451</v>
      </c>
      <c r="E509" t="s">
        <v>524</v>
      </c>
      <c r="F509" t="s">
        <v>304</v>
      </c>
      <c r="H509" t="s">
        <v>564</v>
      </c>
      <c r="I509" s="29">
        <v>121900000</v>
      </c>
      <c r="J509" t="s">
        <v>451</v>
      </c>
      <c r="L509" t="s">
        <v>36</v>
      </c>
      <c r="M509" t="str">
        <f>IFERROR(INDEX(Diccionario!$N:$N,MATCH(F193,Diccionario!$C:$C,0)),"")</f>
        <v>Mensual</v>
      </c>
    </row>
    <row r="510" spans="1:13" ht="12" customHeight="1" x14ac:dyDescent="0.3">
      <c r="A510" t="s">
        <v>541</v>
      </c>
      <c r="B510" t="s">
        <v>522</v>
      </c>
      <c r="C510" t="s">
        <v>523</v>
      </c>
      <c r="D510" t="s">
        <v>451</v>
      </c>
      <c r="E510" t="s">
        <v>524</v>
      </c>
      <c r="F510" t="s">
        <v>304</v>
      </c>
      <c r="H510" t="s">
        <v>190</v>
      </c>
      <c r="I510" s="29">
        <v>194000000</v>
      </c>
      <c r="J510" t="s">
        <v>451</v>
      </c>
      <c r="L510" t="s">
        <v>36</v>
      </c>
      <c r="M510" t="str">
        <f>IFERROR(INDEX(Diccionario!$N:$N,MATCH(F192,Diccionario!$C:$C,0)),"")</f>
        <v>Mensual</v>
      </c>
    </row>
    <row r="511" spans="1:13" ht="12" customHeight="1" x14ac:dyDescent="0.3">
      <c r="A511" t="s">
        <v>541</v>
      </c>
      <c r="B511" t="s">
        <v>522</v>
      </c>
      <c r="C511" t="s">
        <v>523</v>
      </c>
      <c r="D511" t="s">
        <v>451</v>
      </c>
      <c r="E511" t="s">
        <v>524</v>
      </c>
      <c r="F511" t="s">
        <v>304</v>
      </c>
      <c r="H511" t="s">
        <v>561</v>
      </c>
      <c r="I511" s="29">
        <v>200000</v>
      </c>
      <c r="J511" t="s">
        <v>451</v>
      </c>
      <c r="L511" t="s">
        <v>36</v>
      </c>
      <c r="M511" t="str">
        <f>IFERROR(INDEX(Diccionario!$N:$N,MATCH(F189,Diccionario!$C:$C,0)),"")</f>
        <v>Mensual</v>
      </c>
    </row>
    <row r="512" spans="1:13" ht="12" customHeight="1" x14ac:dyDescent="0.3">
      <c r="A512" t="s">
        <v>541</v>
      </c>
      <c r="B512" t="s">
        <v>522</v>
      </c>
      <c r="C512" t="s">
        <v>523</v>
      </c>
      <c r="D512" t="s">
        <v>451</v>
      </c>
      <c r="E512" t="s">
        <v>524</v>
      </c>
      <c r="F512" t="s">
        <v>304</v>
      </c>
      <c r="H512" t="s">
        <v>563</v>
      </c>
      <c r="I512" s="29">
        <v>157000000</v>
      </c>
      <c r="J512" t="s">
        <v>451</v>
      </c>
      <c r="L512" t="s">
        <v>36</v>
      </c>
      <c r="M512" t="str">
        <f>IFERROR(INDEX(Diccionario!$N:$N,MATCH(F191,Diccionario!$C:$C,0)),"")</f>
        <v>Mensual</v>
      </c>
    </row>
    <row r="513" spans="1:13" ht="12" customHeight="1" x14ac:dyDescent="0.3">
      <c r="A513" t="s">
        <v>541</v>
      </c>
      <c r="B513" t="s">
        <v>522</v>
      </c>
      <c r="C513" t="s">
        <v>523</v>
      </c>
      <c r="D513" t="s">
        <v>451</v>
      </c>
      <c r="E513" t="s">
        <v>524</v>
      </c>
      <c r="F513" t="s">
        <v>304</v>
      </c>
      <c r="H513" t="s">
        <v>562</v>
      </c>
      <c r="I513" s="29">
        <v>255000000</v>
      </c>
      <c r="J513" t="s">
        <v>451</v>
      </c>
      <c r="L513" t="s">
        <v>36</v>
      </c>
      <c r="M513" t="str">
        <f>IFERROR(INDEX(Diccionario!$N:$N,MATCH(F190,Diccionario!$C:$C,0)),"")</f>
        <v>Mensual</v>
      </c>
    </row>
    <row r="514" spans="1:13" ht="12" customHeight="1" x14ac:dyDescent="0.3">
      <c r="A514" t="s">
        <v>541</v>
      </c>
      <c r="B514" t="s">
        <v>522</v>
      </c>
      <c r="C514" t="s">
        <v>523</v>
      </c>
      <c r="D514" t="s">
        <v>451</v>
      </c>
      <c r="E514" t="s">
        <v>524</v>
      </c>
      <c r="F514" t="s">
        <v>377</v>
      </c>
      <c r="H514" t="s">
        <v>571</v>
      </c>
      <c r="I514" s="29">
        <v>9900000</v>
      </c>
      <c r="J514" t="s">
        <v>451</v>
      </c>
      <c r="L514" t="s">
        <v>36</v>
      </c>
      <c r="M514" t="str">
        <f>IFERROR(INDEX(Diccionario!$N:$N,MATCH(F928,Diccionario!$C:$C,0)),"")</f>
        <v>Mensual</v>
      </c>
    </row>
    <row r="515" spans="1:13" ht="12" customHeight="1" x14ac:dyDescent="0.3">
      <c r="A515" t="s">
        <v>541</v>
      </c>
      <c r="B515" t="s">
        <v>522</v>
      </c>
      <c r="C515" t="s">
        <v>523</v>
      </c>
      <c r="D515" t="s">
        <v>451</v>
      </c>
      <c r="E515" t="s">
        <v>524</v>
      </c>
      <c r="F515" t="s">
        <v>377</v>
      </c>
      <c r="H515" t="s">
        <v>577</v>
      </c>
      <c r="I515" s="29">
        <v>45000000</v>
      </c>
      <c r="J515" t="s">
        <v>451</v>
      </c>
      <c r="L515" t="s">
        <v>36</v>
      </c>
      <c r="M515" t="str">
        <f>IFERROR(INDEX(Diccionario!$N:$N,MATCH(F924,Diccionario!$C:$C,0)),"")</f>
        <v>Mensual</v>
      </c>
    </row>
    <row r="516" spans="1:13" ht="12" customHeight="1" x14ac:dyDescent="0.3">
      <c r="A516" t="s">
        <v>541</v>
      </c>
      <c r="B516" t="s">
        <v>522</v>
      </c>
      <c r="C516" t="s">
        <v>523</v>
      </c>
      <c r="D516" t="s">
        <v>451</v>
      </c>
      <c r="E516" t="s">
        <v>524</v>
      </c>
      <c r="F516" t="s">
        <v>377</v>
      </c>
      <c r="H516" t="s">
        <v>565</v>
      </c>
      <c r="I516" s="29">
        <v>103300000</v>
      </c>
      <c r="J516" t="s">
        <v>451</v>
      </c>
      <c r="L516" t="s">
        <v>36</v>
      </c>
      <c r="M516" t="str">
        <f>IFERROR(INDEX(Diccionario!$N:$N,MATCH(F923,Diccionario!$C:$C,0)),"")</f>
        <v>Mensual</v>
      </c>
    </row>
    <row r="517" spans="1:13" ht="12" customHeight="1" x14ac:dyDescent="0.3">
      <c r="A517" t="s">
        <v>541</v>
      </c>
      <c r="B517" t="s">
        <v>522</v>
      </c>
      <c r="C517" t="s">
        <v>523</v>
      </c>
      <c r="D517" t="s">
        <v>451</v>
      </c>
      <c r="E517" t="s">
        <v>524</v>
      </c>
      <c r="F517" t="s">
        <v>377</v>
      </c>
      <c r="H517" t="s">
        <v>568</v>
      </c>
      <c r="I517" s="29">
        <v>0</v>
      </c>
      <c r="J517" t="s">
        <v>451</v>
      </c>
      <c r="L517" t="s">
        <v>36</v>
      </c>
      <c r="M517" t="str">
        <f>IFERROR(INDEX(Diccionario!$N:$N,MATCH(F925,Diccionario!$C:$C,0)),"")</f>
        <v>Mensual</v>
      </c>
    </row>
    <row r="518" spans="1:13" ht="12" customHeight="1" x14ac:dyDescent="0.3">
      <c r="A518" t="s">
        <v>541</v>
      </c>
      <c r="B518" t="s">
        <v>522</v>
      </c>
      <c r="C518" t="s">
        <v>523</v>
      </c>
      <c r="D518" t="s">
        <v>451</v>
      </c>
      <c r="E518" t="s">
        <v>524</v>
      </c>
      <c r="F518" t="s">
        <v>377</v>
      </c>
      <c r="H518" t="s">
        <v>569</v>
      </c>
      <c r="I518" s="29">
        <v>9500000</v>
      </c>
      <c r="J518" t="s">
        <v>451</v>
      </c>
      <c r="L518" t="s">
        <v>36</v>
      </c>
      <c r="M518" t="str">
        <f>IFERROR(INDEX(Diccionario!$N:$N,MATCH(F926,Diccionario!$C:$C,0)),"")</f>
        <v>Mensual</v>
      </c>
    </row>
    <row r="519" spans="1:13" ht="12" customHeight="1" x14ac:dyDescent="0.3">
      <c r="A519" t="s">
        <v>541</v>
      </c>
      <c r="B519" t="s">
        <v>522</v>
      </c>
      <c r="C519" t="s">
        <v>523</v>
      </c>
      <c r="D519" t="s">
        <v>451</v>
      </c>
      <c r="E519" t="s">
        <v>524</v>
      </c>
      <c r="F519" t="s">
        <v>377</v>
      </c>
      <c r="H519" t="s">
        <v>570</v>
      </c>
      <c r="I519" s="29">
        <v>25600000</v>
      </c>
      <c r="J519" t="s">
        <v>451</v>
      </c>
      <c r="L519" t="s">
        <v>36</v>
      </c>
      <c r="M519" t="str">
        <f>IFERROR(INDEX(Diccionario!$N:$N,MATCH(F927,Diccionario!$C:$C,0)),"")</f>
        <v>Mensual</v>
      </c>
    </row>
    <row r="520" spans="1:13" ht="12" customHeight="1" x14ac:dyDescent="0.3">
      <c r="A520" t="s">
        <v>541</v>
      </c>
      <c r="B520" t="s">
        <v>522</v>
      </c>
      <c r="C520" t="s">
        <v>523</v>
      </c>
      <c r="D520" t="s">
        <v>451</v>
      </c>
      <c r="E520" t="s">
        <v>524</v>
      </c>
      <c r="F520" t="s">
        <v>371</v>
      </c>
      <c r="H520" t="s">
        <v>566</v>
      </c>
      <c r="I520" s="29">
        <v>26200000</v>
      </c>
      <c r="J520" t="s">
        <v>451</v>
      </c>
      <c r="L520" t="s">
        <v>36</v>
      </c>
      <c r="M520" t="str">
        <f>IFERROR(INDEX(Diccionario!$N:$N,MATCH(F777,Diccionario!$C:$C,0)),"")</f>
        <v>Mensual</v>
      </c>
    </row>
    <row r="521" spans="1:13" ht="12" customHeight="1" x14ac:dyDescent="0.3">
      <c r="A521" t="s">
        <v>541</v>
      </c>
      <c r="B521" t="s">
        <v>522</v>
      </c>
      <c r="C521" t="s">
        <v>523</v>
      </c>
      <c r="D521" t="s">
        <v>451</v>
      </c>
      <c r="E521" t="s">
        <v>524</v>
      </c>
      <c r="F521" t="s">
        <v>371</v>
      </c>
      <c r="H521" t="s">
        <v>565</v>
      </c>
      <c r="I521" s="29">
        <v>110000000</v>
      </c>
      <c r="J521" t="s">
        <v>451</v>
      </c>
      <c r="L521" t="s">
        <v>36</v>
      </c>
      <c r="M521" t="str">
        <f>IFERROR(INDEX(Diccionario!$N:$N,MATCH(F776,Diccionario!$C:$C,0)),"")</f>
        <v>Mensual</v>
      </c>
    </row>
    <row r="522" spans="1:13" ht="12" customHeight="1" x14ac:dyDescent="0.3">
      <c r="A522" t="s">
        <v>541</v>
      </c>
      <c r="B522" t="s">
        <v>522</v>
      </c>
      <c r="C522" t="s">
        <v>523</v>
      </c>
      <c r="D522" t="s">
        <v>451</v>
      </c>
      <c r="E522" t="s">
        <v>524</v>
      </c>
      <c r="F522" t="s">
        <v>371</v>
      </c>
      <c r="H522" t="s">
        <v>569</v>
      </c>
      <c r="I522" s="29">
        <v>3300000</v>
      </c>
      <c r="J522" t="s">
        <v>451</v>
      </c>
      <c r="L522" t="s">
        <v>36</v>
      </c>
      <c r="M522" t="str">
        <f>IFERROR(INDEX(Diccionario!$N:$N,MATCH(F778,Diccionario!$C:$C,0)),"")</f>
        <v>Mensual</v>
      </c>
    </row>
    <row r="523" spans="1:13" ht="12" customHeight="1" x14ac:dyDescent="0.3">
      <c r="A523" t="s">
        <v>541</v>
      </c>
      <c r="B523" t="s">
        <v>522</v>
      </c>
      <c r="C523" t="s">
        <v>523</v>
      </c>
      <c r="D523" t="s">
        <v>451</v>
      </c>
      <c r="E523" t="s">
        <v>524</v>
      </c>
      <c r="F523" t="s">
        <v>371</v>
      </c>
      <c r="H523" t="s">
        <v>570</v>
      </c>
      <c r="I523" s="29">
        <v>0</v>
      </c>
      <c r="J523" t="s">
        <v>451</v>
      </c>
      <c r="L523" t="s">
        <v>36</v>
      </c>
      <c r="M523" t="str">
        <f>IFERROR(INDEX(Diccionario!$N:$N,MATCH(F779,Diccionario!$C:$C,0)),"")</f>
        <v>Mensual</v>
      </c>
    </row>
    <row r="524" spans="1:13" ht="12" customHeight="1" x14ac:dyDescent="0.3">
      <c r="A524" t="s">
        <v>541</v>
      </c>
      <c r="B524" t="s">
        <v>522</v>
      </c>
      <c r="C524" t="s">
        <v>523</v>
      </c>
      <c r="D524" t="s">
        <v>451</v>
      </c>
      <c r="E524" t="s">
        <v>524</v>
      </c>
      <c r="F524" t="s">
        <v>241</v>
      </c>
      <c r="I524" s="29">
        <v>12236217</v>
      </c>
      <c r="J524" t="s">
        <v>451</v>
      </c>
      <c r="L524" t="s">
        <v>36</v>
      </c>
      <c r="M524" t="str">
        <f>IFERROR(INDEX(Diccionario!$N:$N,MATCH(F1097,Diccionario!$C:$C,0)),"")</f>
        <v/>
      </c>
    </row>
    <row r="525" spans="1:13" ht="12" customHeight="1" x14ac:dyDescent="0.3">
      <c r="A525" t="s">
        <v>541</v>
      </c>
      <c r="B525" t="s">
        <v>522</v>
      </c>
      <c r="C525" t="s">
        <v>523</v>
      </c>
      <c r="D525" t="s">
        <v>451</v>
      </c>
      <c r="E525" t="s">
        <v>524</v>
      </c>
      <c r="F525" t="s">
        <v>249</v>
      </c>
      <c r="I525" s="29">
        <v>0</v>
      </c>
      <c r="J525" t="s">
        <v>451</v>
      </c>
      <c r="L525" t="s">
        <v>36</v>
      </c>
      <c r="M525" t="str">
        <f>IFERROR(INDEX(Diccionario!$N:$N,MATCH(F1110,Diccionario!$C:$C,0)),"")</f>
        <v/>
      </c>
    </row>
    <row r="526" spans="1:13" ht="12" customHeight="1" x14ac:dyDescent="0.3">
      <c r="A526" t="s">
        <v>541</v>
      </c>
      <c r="B526" t="s">
        <v>522</v>
      </c>
      <c r="C526" t="s">
        <v>523</v>
      </c>
      <c r="D526" t="s">
        <v>451</v>
      </c>
      <c r="E526" t="s">
        <v>524</v>
      </c>
      <c r="F526" t="s">
        <v>258</v>
      </c>
      <c r="I526" s="29">
        <v>697602788</v>
      </c>
      <c r="J526" t="s">
        <v>451</v>
      </c>
      <c r="L526" t="s">
        <v>36</v>
      </c>
      <c r="M526" t="str">
        <f>IFERROR(INDEX(Diccionario!$N:$N,MATCH(F1084,Diccionario!$C:$C,0)),"")</f>
        <v/>
      </c>
    </row>
    <row r="527" spans="1:13" ht="12" customHeight="1" x14ac:dyDescent="0.3">
      <c r="A527" t="s">
        <v>542</v>
      </c>
      <c r="B527" t="s">
        <v>522</v>
      </c>
      <c r="C527" t="s">
        <v>523</v>
      </c>
      <c r="D527" t="s">
        <v>451</v>
      </c>
      <c r="E527" t="s">
        <v>524</v>
      </c>
      <c r="F527" t="s">
        <v>255</v>
      </c>
      <c r="I527" s="29">
        <v>-7460000</v>
      </c>
      <c r="J527" t="s">
        <v>451</v>
      </c>
      <c r="L527" t="s">
        <v>36</v>
      </c>
      <c r="M527" t="str">
        <f>IFERROR(INDEX(Diccionario!$N:$N,MATCH(F1140,Diccionario!$C:$C,0)),"")</f>
        <v/>
      </c>
    </row>
    <row r="528" spans="1:13" ht="12" customHeight="1" x14ac:dyDescent="0.3">
      <c r="A528" t="s">
        <v>542</v>
      </c>
      <c r="B528" t="s">
        <v>522</v>
      </c>
      <c r="C528" t="s">
        <v>523</v>
      </c>
      <c r="D528" t="s">
        <v>451</v>
      </c>
      <c r="E528" t="s">
        <v>524</v>
      </c>
      <c r="F528" t="s">
        <v>252</v>
      </c>
      <c r="I528" s="29">
        <v>-29275713</v>
      </c>
      <c r="J528" t="s">
        <v>451</v>
      </c>
      <c r="L528" t="s">
        <v>36</v>
      </c>
      <c r="M528" t="str">
        <f>IFERROR(INDEX(Diccionario!$N:$N,MATCH(F1127,Diccionario!$C:$C,0)),"")</f>
        <v/>
      </c>
    </row>
    <row r="529" spans="1:13" ht="12" customHeight="1" x14ac:dyDescent="0.3">
      <c r="A529" t="s">
        <v>542</v>
      </c>
      <c r="B529" t="s">
        <v>522</v>
      </c>
      <c r="C529" t="s">
        <v>523</v>
      </c>
      <c r="D529" t="s">
        <v>451</v>
      </c>
      <c r="E529" t="s">
        <v>524</v>
      </c>
      <c r="F529" t="s">
        <v>314</v>
      </c>
      <c r="H529" t="s">
        <v>577</v>
      </c>
      <c r="I529" s="29">
        <v>2500000</v>
      </c>
      <c r="J529" t="s">
        <v>451</v>
      </c>
      <c r="L529" t="s">
        <v>36</v>
      </c>
      <c r="M529" t="str">
        <f>IFERROR(INDEX(Diccionario!$N:$N,MATCH(F657,Diccionario!$C:$C,0)),"")</f>
        <v>Mensual</v>
      </c>
    </row>
    <row r="530" spans="1:13" ht="12" customHeight="1" x14ac:dyDescent="0.3">
      <c r="A530" t="s">
        <v>542</v>
      </c>
      <c r="B530" t="s">
        <v>522</v>
      </c>
      <c r="C530" t="s">
        <v>523</v>
      </c>
      <c r="D530" t="s">
        <v>451</v>
      </c>
      <c r="E530" t="s">
        <v>524</v>
      </c>
      <c r="F530" t="s">
        <v>314</v>
      </c>
      <c r="H530" t="s">
        <v>578</v>
      </c>
      <c r="I530" s="29">
        <v>400000</v>
      </c>
      <c r="J530" t="s">
        <v>451</v>
      </c>
      <c r="L530" t="s">
        <v>36</v>
      </c>
      <c r="M530" t="str">
        <f>IFERROR(INDEX(Diccionario!$N:$N,MATCH(F659,Diccionario!$C:$C,0)),"")</f>
        <v>Mensual</v>
      </c>
    </row>
    <row r="531" spans="1:13" ht="12" customHeight="1" x14ac:dyDescent="0.3">
      <c r="A531" t="s">
        <v>542</v>
      </c>
      <c r="B531" t="s">
        <v>522</v>
      </c>
      <c r="C531" t="s">
        <v>523</v>
      </c>
      <c r="D531" t="s">
        <v>451</v>
      </c>
      <c r="E531" t="s">
        <v>524</v>
      </c>
      <c r="F531" t="s">
        <v>314</v>
      </c>
      <c r="H531" t="s">
        <v>565</v>
      </c>
      <c r="I531" s="29">
        <v>89000000</v>
      </c>
      <c r="J531" t="s">
        <v>451</v>
      </c>
      <c r="L531" t="s">
        <v>36</v>
      </c>
      <c r="M531" t="str">
        <f>IFERROR(INDEX(Diccionario!$N:$N,MATCH(F656,Diccionario!$C:$C,0)),"")</f>
        <v>Mensual</v>
      </c>
    </row>
    <row r="532" spans="1:13" ht="12" customHeight="1" x14ac:dyDescent="0.3">
      <c r="A532" t="s">
        <v>542</v>
      </c>
      <c r="B532" t="s">
        <v>522</v>
      </c>
      <c r="C532" t="s">
        <v>523</v>
      </c>
      <c r="D532" t="s">
        <v>451</v>
      </c>
      <c r="E532" t="s">
        <v>524</v>
      </c>
      <c r="F532" t="s">
        <v>314</v>
      </c>
      <c r="H532" t="s">
        <v>569</v>
      </c>
      <c r="I532" s="29">
        <v>34500000</v>
      </c>
      <c r="J532" t="s">
        <v>451</v>
      </c>
      <c r="L532" t="s">
        <v>36</v>
      </c>
      <c r="M532" t="str">
        <f>IFERROR(INDEX(Diccionario!$N:$N,MATCH(F658,Diccionario!$C:$C,0)),"")</f>
        <v>Mensual</v>
      </c>
    </row>
    <row r="533" spans="1:13" ht="12" customHeight="1" x14ac:dyDescent="0.3">
      <c r="A533" t="s">
        <v>542</v>
      </c>
      <c r="B533" t="s">
        <v>522</v>
      </c>
      <c r="C533" t="s">
        <v>523</v>
      </c>
      <c r="D533" t="s">
        <v>451</v>
      </c>
      <c r="E533" t="s">
        <v>524</v>
      </c>
      <c r="F533" t="s">
        <v>314</v>
      </c>
      <c r="H533" t="s">
        <v>570</v>
      </c>
      <c r="I533" s="29">
        <v>3630000</v>
      </c>
      <c r="J533" t="s">
        <v>451</v>
      </c>
      <c r="L533" t="s">
        <v>36</v>
      </c>
      <c r="M533" t="str">
        <f>IFERROR(INDEX(Diccionario!$N:$N,MATCH(F660,Diccionario!$C:$C,0)),"")</f>
        <v>Mensual</v>
      </c>
    </row>
    <row r="534" spans="1:13" ht="12" customHeight="1" x14ac:dyDescent="0.3">
      <c r="A534" t="s">
        <v>542</v>
      </c>
      <c r="B534" t="s">
        <v>522</v>
      </c>
      <c r="C534" t="s">
        <v>523</v>
      </c>
      <c r="D534" t="s">
        <v>451</v>
      </c>
      <c r="E534" t="s">
        <v>524</v>
      </c>
      <c r="F534" t="s">
        <v>318</v>
      </c>
      <c r="H534" t="s">
        <v>574</v>
      </c>
      <c r="I534" s="29">
        <v>30200000</v>
      </c>
      <c r="J534" t="s">
        <v>451</v>
      </c>
      <c r="L534" t="s">
        <v>36</v>
      </c>
      <c r="M534" t="str">
        <f>IFERROR(INDEX(Diccionario!$N:$N,MATCH(F538,Diccionario!$C:$C,0)),"")</f>
        <v>Mensual</v>
      </c>
    </row>
    <row r="535" spans="1:13" ht="12" customHeight="1" x14ac:dyDescent="0.3">
      <c r="A535" t="s">
        <v>542</v>
      </c>
      <c r="B535" t="s">
        <v>522</v>
      </c>
      <c r="C535" t="s">
        <v>523</v>
      </c>
      <c r="D535" t="s">
        <v>451</v>
      </c>
      <c r="E535" t="s">
        <v>524</v>
      </c>
      <c r="F535" t="s">
        <v>318</v>
      </c>
      <c r="H535" t="s">
        <v>575</v>
      </c>
      <c r="I535" s="29">
        <v>15680000</v>
      </c>
      <c r="J535" t="s">
        <v>451</v>
      </c>
      <c r="L535" t="s">
        <v>36</v>
      </c>
      <c r="M535" t="str">
        <f>IFERROR(INDEX(Diccionario!$N:$N,MATCH(F539,Diccionario!$C:$C,0)),"")</f>
        <v>Mensual</v>
      </c>
    </row>
    <row r="536" spans="1:13" ht="12" customHeight="1" x14ac:dyDescent="0.3">
      <c r="A536" t="s">
        <v>542</v>
      </c>
      <c r="B536" t="s">
        <v>522</v>
      </c>
      <c r="C536" t="s">
        <v>523</v>
      </c>
      <c r="D536" t="s">
        <v>451</v>
      </c>
      <c r="E536" t="s">
        <v>524</v>
      </c>
      <c r="F536" t="s">
        <v>318</v>
      </c>
      <c r="H536" t="s">
        <v>573</v>
      </c>
      <c r="I536" s="29">
        <v>0</v>
      </c>
      <c r="J536" t="s">
        <v>451</v>
      </c>
      <c r="L536" t="s">
        <v>36</v>
      </c>
      <c r="M536" t="str">
        <f>IFERROR(INDEX(Diccionario!$N:$N,MATCH(F537,Diccionario!$C:$C,0)),"")</f>
        <v>Mensual</v>
      </c>
    </row>
    <row r="537" spans="1:13" ht="12" customHeight="1" x14ac:dyDescent="0.3">
      <c r="A537" t="s">
        <v>542</v>
      </c>
      <c r="B537" t="s">
        <v>522</v>
      </c>
      <c r="C537" t="s">
        <v>523</v>
      </c>
      <c r="D537" t="s">
        <v>451</v>
      </c>
      <c r="E537" t="s">
        <v>524</v>
      </c>
      <c r="F537" t="s">
        <v>318</v>
      </c>
      <c r="H537" t="s">
        <v>572</v>
      </c>
      <c r="I537" s="29">
        <v>50900000</v>
      </c>
      <c r="J537" t="s">
        <v>451</v>
      </c>
      <c r="L537" t="s">
        <v>36</v>
      </c>
      <c r="M537" t="str">
        <f>IFERROR(INDEX(Diccionario!$N:$N,MATCH(F536,Diccionario!$C:$C,0)),"")</f>
        <v>Mensual</v>
      </c>
    </row>
    <row r="538" spans="1:13" ht="12" customHeight="1" x14ac:dyDescent="0.3">
      <c r="A538" t="s">
        <v>542</v>
      </c>
      <c r="B538" t="s">
        <v>522</v>
      </c>
      <c r="C538" t="s">
        <v>523</v>
      </c>
      <c r="D538" t="s">
        <v>451</v>
      </c>
      <c r="E538" t="s">
        <v>524</v>
      </c>
      <c r="F538" t="s">
        <v>318</v>
      </c>
      <c r="H538" t="s">
        <v>576</v>
      </c>
      <c r="I538" s="29">
        <v>22400000</v>
      </c>
      <c r="J538" t="s">
        <v>451</v>
      </c>
      <c r="L538" t="s">
        <v>36</v>
      </c>
      <c r="M538" t="str">
        <f>IFERROR(INDEX(Diccionario!$N:$N,MATCH(F540,Diccionario!$C:$C,0)),"")</f>
        <v>Mensual</v>
      </c>
    </row>
    <row r="539" spans="1:13" ht="12" customHeight="1" x14ac:dyDescent="0.3">
      <c r="A539" t="s">
        <v>542</v>
      </c>
      <c r="B539" t="s">
        <v>522</v>
      </c>
      <c r="C539" t="s">
        <v>523</v>
      </c>
      <c r="E539" t="s">
        <v>524</v>
      </c>
      <c r="F539" t="s">
        <v>323</v>
      </c>
      <c r="I539" s="36">
        <v>19.54</v>
      </c>
      <c r="J539" t="s">
        <v>65</v>
      </c>
      <c r="L539" t="s">
        <v>36</v>
      </c>
      <c r="M539" t="str">
        <f>IFERROR(INDEX(Diccionario!$N:$N,MATCH(F1014,Diccionario!$C:$C,0)),"")</f>
        <v>Mensual</v>
      </c>
    </row>
    <row r="540" spans="1:13" ht="12" customHeight="1" x14ac:dyDescent="0.3">
      <c r="A540" t="s">
        <v>542</v>
      </c>
      <c r="B540" t="s">
        <v>522</v>
      </c>
      <c r="C540" t="s">
        <v>523</v>
      </c>
      <c r="D540" t="s">
        <v>451</v>
      </c>
      <c r="E540" t="s">
        <v>524</v>
      </c>
      <c r="F540" t="s">
        <v>246</v>
      </c>
      <c r="I540" s="29">
        <v>39382286</v>
      </c>
      <c r="J540" t="s">
        <v>451</v>
      </c>
      <c r="L540" t="s">
        <v>36</v>
      </c>
      <c r="M540" t="str">
        <f>IFERROR(INDEX(Diccionario!$N:$N,MATCH(F1114,Diccionario!$C:$C,0)),"")</f>
        <v/>
      </c>
    </row>
    <row r="541" spans="1:13" ht="12" customHeight="1" x14ac:dyDescent="0.3">
      <c r="A541" t="s">
        <v>542</v>
      </c>
      <c r="B541" t="s">
        <v>522</v>
      </c>
      <c r="C541" t="s">
        <v>523</v>
      </c>
      <c r="D541" t="s">
        <v>451</v>
      </c>
      <c r="E541" t="s">
        <v>524</v>
      </c>
      <c r="F541" t="s">
        <v>309</v>
      </c>
      <c r="H541" t="s">
        <v>567</v>
      </c>
      <c r="I541" s="29">
        <v>1300000</v>
      </c>
      <c r="J541" t="s">
        <v>451</v>
      </c>
      <c r="L541" t="s">
        <v>36</v>
      </c>
      <c r="M541" t="str">
        <f>IFERROR(INDEX(Diccionario!$N:$N,MATCH(F374,Diccionario!$C:$C,0)),"")</f>
        <v>Mensual</v>
      </c>
    </row>
    <row r="542" spans="1:13" ht="12" customHeight="1" x14ac:dyDescent="0.3">
      <c r="A542" t="s">
        <v>542</v>
      </c>
      <c r="B542" t="s">
        <v>522</v>
      </c>
      <c r="C542" t="s">
        <v>523</v>
      </c>
      <c r="D542" t="s">
        <v>451</v>
      </c>
      <c r="E542" t="s">
        <v>524</v>
      </c>
      <c r="F542" t="s">
        <v>309</v>
      </c>
      <c r="H542" t="s">
        <v>571</v>
      </c>
      <c r="I542" s="29">
        <v>2440000</v>
      </c>
      <c r="J542" t="s">
        <v>451</v>
      </c>
      <c r="L542" t="s">
        <v>36</v>
      </c>
      <c r="M542" t="str">
        <f>IFERROR(INDEX(Diccionario!$N:$N,MATCH(F378,Diccionario!$C:$C,0)),"")</f>
        <v>Mensual</v>
      </c>
    </row>
    <row r="543" spans="1:13" ht="12" customHeight="1" x14ac:dyDescent="0.3">
      <c r="A543" t="s">
        <v>542</v>
      </c>
      <c r="B543" t="s">
        <v>522</v>
      </c>
      <c r="C543" t="s">
        <v>523</v>
      </c>
      <c r="D543" t="s">
        <v>451</v>
      </c>
      <c r="E543" t="s">
        <v>524</v>
      </c>
      <c r="F543" t="s">
        <v>309</v>
      </c>
      <c r="H543" t="s">
        <v>566</v>
      </c>
      <c r="I543" s="29">
        <v>9900000</v>
      </c>
      <c r="J543" t="s">
        <v>451</v>
      </c>
      <c r="L543" t="s">
        <v>36</v>
      </c>
      <c r="M543" t="str">
        <f>IFERROR(INDEX(Diccionario!$N:$N,MATCH(F373,Diccionario!$C:$C,0)),"")</f>
        <v>Mensual</v>
      </c>
    </row>
    <row r="544" spans="1:13" ht="12" customHeight="1" x14ac:dyDescent="0.3">
      <c r="A544" t="s">
        <v>542</v>
      </c>
      <c r="B544" t="s">
        <v>522</v>
      </c>
      <c r="C544" t="s">
        <v>523</v>
      </c>
      <c r="D544" t="s">
        <v>451</v>
      </c>
      <c r="E544" t="s">
        <v>524</v>
      </c>
      <c r="F544" t="s">
        <v>309</v>
      </c>
      <c r="H544" t="s">
        <v>565</v>
      </c>
      <c r="I544" s="29">
        <v>60000000</v>
      </c>
      <c r="J544" t="s">
        <v>451</v>
      </c>
      <c r="L544" t="s">
        <v>36</v>
      </c>
      <c r="M544" t="str">
        <f>IFERROR(INDEX(Diccionario!$N:$N,MATCH(F372,Diccionario!$C:$C,0)),"")</f>
        <v>Mensual</v>
      </c>
    </row>
    <row r="545" spans="1:13" ht="12" customHeight="1" x14ac:dyDescent="0.3">
      <c r="A545" t="s">
        <v>542</v>
      </c>
      <c r="B545" t="s">
        <v>522</v>
      </c>
      <c r="C545" t="s">
        <v>523</v>
      </c>
      <c r="D545" t="s">
        <v>451</v>
      </c>
      <c r="E545" t="s">
        <v>524</v>
      </c>
      <c r="F545" t="s">
        <v>309</v>
      </c>
      <c r="H545" t="s">
        <v>568</v>
      </c>
      <c r="I545" s="29">
        <v>4200000</v>
      </c>
      <c r="J545" t="s">
        <v>451</v>
      </c>
      <c r="L545" t="s">
        <v>36</v>
      </c>
      <c r="M545" t="str">
        <f>IFERROR(INDEX(Diccionario!$N:$N,MATCH(F375,Diccionario!$C:$C,0)),"")</f>
        <v>Mensual</v>
      </c>
    </row>
    <row r="546" spans="1:13" ht="12" customHeight="1" x14ac:dyDescent="0.3">
      <c r="A546" t="s">
        <v>542</v>
      </c>
      <c r="B546" t="s">
        <v>522</v>
      </c>
      <c r="C546" t="s">
        <v>523</v>
      </c>
      <c r="D546" t="s">
        <v>451</v>
      </c>
      <c r="E546" t="s">
        <v>524</v>
      </c>
      <c r="F546" t="s">
        <v>309</v>
      </c>
      <c r="H546" t="s">
        <v>569</v>
      </c>
      <c r="I546" s="29">
        <v>17800000</v>
      </c>
      <c r="J546" t="s">
        <v>451</v>
      </c>
      <c r="L546" t="s">
        <v>36</v>
      </c>
      <c r="M546" t="str">
        <f>IFERROR(INDEX(Diccionario!$N:$N,MATCH(F376,Diccionario!$C:$C,0)),"")</f>
        <v>Mensual</v>
      </c>
    </row>
    <row r="547" spans="1:13" ht="12" customHeight="1" x14ac:dyDescent="0.3">
      <c r="A547" t="s">
        <v>542</v>
      </c>
      <c r="B547" t="s">
        <v>522</v>
      </c>
      <c r="C547" t="s">
        <v>523</v>
      </c>
      <c r="D547" t="s">
        <v>451</v>
      </c>
      <c r="E547" t="s">
        <v>524</v>
      </c>
      <c r="F547" t="s">
        <v>309</v>
      </c>
      <c r="H547" t="s">
        <v>570</v>
      </c>
      <c r="I547" s="29">
        <v>1100000</v>
      </c>
      <c r="J547" t="s">
        <v>451</v>
      </c>
      <c r="L547" t="s">
        <v>36</v>
      </c>
      <c r="M547" t="str">
        <f>IFERROR(INDEX(Diccionario!$N:$N,MATCH(F377,Diccionario!$C:$C,0)),"")</f>
        <v>Mensual</v>
      </c>
    </row>
    <row r="548" spans="1:13" ht="12" customHeight="1" x14ac:dyDescent="0.3">
      <c r="A548" t="s">
        <v>542</v>
      </c>
      <c r="B548" t="s">
        <v>522</v>
      </c>
      <c r="C548" t="s">
        <v>523</v>
      </c>
      <c r="D548" t="s">
        <v>451</v>
      </c>
      <c r="E548" t="s">
        <v>524</v>
      </c>
      <c r="F548" t="s">
        <v>304</v>
      </c>
      <c r="H548" t="s">
        <v>564</v>
      </c>
      <c r="I548" s="29">
        <v>105000000</v>
      </c>
      <c r="J548" t="s">
        <v>451</v>
      </c>
      <c r="L548" t="s">
        <v>36</v>
      </c>
      <c r="M548" t="str">
        <f>IFERROR(INDEX(Diccionario!$N:$N,MATCH(F198,Diccionario!$C:$C,0)),"")</f>
        <v>Mensual</v>
      </c>
    </row>
    <row r="549" spans="1:13" ht="12" customHeight="1" x14ac:dyDescent="0.3">
      <c r="A549" t="s">
        <v>542</v>
      </c>
      <c r="B549" t="s">
        <v>522</v>
      </c>
      <c r="C549" t="s">
        <v>523</v>
      </c>
      <c r="D549" t="s">
        <v>451</v>
      </c>
      <c r="E549" t="s">
        <v>524</v>
      </c>
      <c r="F549" t="s">
        <v>304</v>
      </c>
      <c r="H549" t="s">
        <v>190</v>
      </c>
      <c r="I549" s="29">
        <v>226000000</v>
      </c>
      <c r="J549" t="s">
        <v>451</v>
      </c>
      <c r="L549" t="s">
        <v>36</v>
      </c>
      <c r="M549" t="str">
        <f>IFERROR(INDEX(Diccionario!$N:$N,MATCH(F197,Diccionario!$C:$C,0)),"")</f>
        <v>Mensual</v>
      </c>
    </row>
    <row r="550" spans="1:13" ht="12" customHeight="1" x14ac:dyDescent="0.3">
      <c r="A550" t="s">
        <v>542</v>
      </c>
      <c r="B550" t="s">
        <v>522</v>
      </c>
      <c r="C550" t="s">
        <v>523</v>
      </c>
      <c r="D550" t="s">
        <v>451</v>
      </c>
      <c r="E550" t="s">
        <v>524</v>
      </c>
      <c r="F550" t="s">
        <v>304</v>
      </c>
      <c r="H550" t="s">
        <v>561</v>
      </c>
      <c r="I550" s="29">
        <v>600000</v>
      </c>
      <c r="J550" t="s">
        <v>451</v>
      </c>
      <c r="L550" t="s">
        <v>36</v>
      </c>
      <c r="M550" t="str">
        <f>IFERROR(INDEX(Diccionario!$N:$N,MATCH(F194,Diccionario!$C:$C,0)),"")</f>
        <v>Mensual</v>
      </c>
    </row>
    <row r="551" spans="1:13" ht="12" customHeight="1" x14ac:dyDescent="0.3">
      <c r="A551" t="s">
        <v>542</v>
      </c>
      <c r="B551" t="s">
        <v>522</v>
      </c>
      <c r="C551" t="s">
        <v>523</v>
      </c>
      <c r="D551" t="s">
        <v>451</v>
      </c>
      <c r="E551" t="s">
        <v>524</v>
      </c>
      <c r="F551" t="s">
        <v>304</v>
      </c>
      <c r="H551" t="s">
        <v>563</v>
      </c>
      <c r="I551" s="29">
        <v>119000000</v>
      </c>
      <c r="J551" t="s">
        <v>451</v>
      </c>
      <c r="L551" t="s">
        <v>36</v>
      </c>
      <c r="M551" t="str">
        <f>IFERROR(INDEX(Diccionario!$N:$N,MATCH(F196,Diccionario!$C:$C,0)),"")</f>
        <v>Mensual</v>
      </c>
    </row>
    <row r="552" spans="1:13" ht="12" customHeight="1" x14ac:dyDescent="0.3">
      <c r="A552" t="s">
        <v>542</v>
      </c>
      <c r="B552" t="s">
        <v>522</v>
      </c>
      <c r="C552" t="s">
        <v>523</v>
      </c>
      <c r="D552" t="s">
        <v>451</v>
      </c>
      <c r="E552" t="s">
        <v>524</v>
      </c>
      <c r="F552" t="s">
        <v>304</v>
      </c>
      <c r="H552" t="s">
        <v>562</v>
      </c>
      <c r="I552" s="29">
        <v>260000000</v>
      </c>
      <c r="J552" t="s">
        <v>451</v>
      </c>
      <c r="L552" t="s">
        <v>36</v>
      </c>
      <c r="M552" t="str">
        <f>IFERROR(INDEX(Diccionario!$N:$N,MATCH(F195,Diccionario!$C:$C,0)),"")</f>
        <v>Mensual</v>
      </c>
    </row>
    <row r="553" spans="1:13" ht="12" customHeight="1" x14ac:dyDescent="0.3">
      <c r="A553" t="s">
        <v>542</v>
      </c>
      <c r="B553" t="s">
        <v>522</v>
      </c>
      <c r="C553" t="s">
        <v>523</v>
      </c>
      <c r="D553" t="s">
        <v>451</v>
      </c>
      <c r="E553" t="s">
        <v>524</v>
      </c>
      <c r="F553" t="s">
        <v>377</v>
      </c>
      <c r="H553" t="s">
        <v>571</v>
      </c>
      <c r="I553" s="29">
        <v>8800000</v>
      </c>
      <c r="J553" t="s">
        <v>451</v>
      </c>
      <c r="L553" t="s">
        <v>36</v>
      </c>
      <c r="M553" t="str">
        <f>IFERROR(INDEX(Diccionario!$N:$N,MATCH(F934,Diccionario!$C:$C,0)),"")</f>
        <v>Mensual</v>
      </c>
    </row>
    <row r="554" spans="1:13" ht="12" customHeight="1" x14ac:dyDescent="0.3">
      <c r="A554" t="s">
        <v>542</v>
      </c>
      <c r="B554" t="s">
        <v>522</v>
      </c>
      <c r="C554" t="s">
        <v>523</v>
      </c>
      <c r="D554" t="s">
        <v>451</v>
      </c>
      <c r="E554" t="s">
        <v>524</v>
      </c>
      <c r="F554" t="s">
        <v>377</v>
      </c>
      <c r="H554" t="s">
        <v>577</v>
      </c>
      <c r="I554" s="29">
        <v>39961000</v>
      </c>
      <c r="J554" t="s">
        <v>451</v>
      </c>
      <c r="L554" t="s">
        <v>36</v>
      </c>
      <c r="M554" t="str">
        <f>IFERROR(INDEX(Diccionario!$N:$N,MATCH(F930,Diccionario!$C:$C,0)),"")</f>
        <v>Mensual</v>
      </c>
    </row>
    <row r="555" spans="1:13" ht="12" customHeight="1" x14ac:dyDescent="0.3">
      <c r="A555" t="s">
        <v>542</v>
      </c>
      <c r="B555" t="s">
        <v>522</v>
      </c>
      <c r="C555" t="s">
        <v>523</v>
      </c>
      <c r="D555" t="s">
        <v>451</v>
      </c>
      <c r="E555" t="s">
        <v>524</v>
      </c>
      <c r="F555" t="s">
        <v>377</v>
      </c>
      <c r="H555" t="s">
        <v>565</v>
      </c>
      <c r="I555" s="29">
        <v>105800000</v>
      </c>
      <c r="J555" t="s">
        <v>451</v>
      </c>
      <c r="L555" t="s">
        <v>36</v>
      </c>
      <c r="M555" t="str">
        <f>IFERROR(INDEX(Diccionario!$N:$N,MATCH(F929,Diccionario!$C:$C,0)),"")</f>
        <v>Mensual</v>
      </c>
    </row>
    <row r="556" spans="1:13" ht="12" customHeight="1" x14ac:dyDescent="0.3">
      <c r="A556" t="s">
        <v>542</v>
      </c>
      <c r="B556" t="s">
        <v>522</v>
      </c>
      <c r="C556" t="s">
        <v>523</v>
      </c>
      <c r="D556" t="s">
        <v>451</v>
      </c>
      <c r="E556" t="s">
        <v>524</v>
      </c>
      <c r="F556" t="s">
        <v>377</v>
      </c>
      <c r="H556" t="s">
        <v>568</v>
      </c>
      <c r="I556" s="29">
        <v>0</v>
      </c>
      <c r="J556" t="s">
        <v>451</v>
      </c>
      <c r="L556" t="s">
        <v>36</v>
      </c>
      <c r="M556" t="str">
        <f>IFERROR(INDEX(Diccionario!$N:$N,MATCH(F931,Diccionario!$C:$C,0)),"")</f>
        <v>Mensual</v>
      </c>
    </row>
    <row r="557" spans="1:13" ht="12" customHeight="1" x14ac:dyDescent="0.3">
      <c r="A557" t="s">
        <v>542</v>
      </c>
      <c r="B557" t="s">
        <v>522</v>
      </c>
      <c r="C557" t="s">
        <v>523</v>
      </c>
      <c r="D557" t="s">
        <v>451</v>
      </c>
      <c r="E557" t="s">
        <v>524</v>
      </c>
      <c r="F557" t="s">
        <v>377</v>
      </c>
      <c r="H557" t="s">
        <v>569</v>
      </c>
      <c r="I557" s="29">
        <v>26300000</v>
      </c>
      <c r="J557" t="s">
        <v>451</v>
      </c>
      <c r="L557" t="s">
        <v>36</v>
      </c>
      <c r="M557" t="str">
        <f>IFERROR(INDEX(Diccionario!$N:$N,MATCH(F932,Diccionario!$C:$C,0)),"")</f>
        <v>Mensual</v>
      </c>
    </row>
    <row r="558" spans="1:13" ht="12" customHeight="1" x14ac:dyDescent="0.3">
      <c r="A558" t="s">
        <v>542</v>
      </c>
      <c r="B558" t="s">
        <v>522</v>
      </c>
      <c r="C558" t="s">
        <v>523</v>
      </c>
      <c r="D558" t="s">
        <v>451</v>
      </c>
      <c r="E558" t="s">
        <v>524</v>
      </c>
      <c r="F558" t="s">
        <v>377</v>
      </c>
      <c r="H558" t="s">
        <v>570</v>
      </c>
      <c r="I558" s="29">
        <v>44990000</v>
      </c>
      <c r="J558" t="s">
        <v>451</v>
      </c>
      <c r="L558" t="s">
        <v>36</v>
      </c>
      <c r="M558" t="str">
        <f>IFERROR(INDEX(Diccionario!$N:$N,MATCH(F933,Diccionario!$C:$C,0)),"")</f>
        <v>Mensual</v>
      </c>
    </row>
    <row r="559" spans="1:13" ht="12" customHeight="1" x14ac:dyDescent="0.3">
      <c r="A559" t="s">
        <v>542</v>
      </c>
      <c r="B559" t="s">
        <v>522</v>
      </c>
      <c r="C559" t="s">
        <v>523</v>
      </c>
      <c r="D559" t="s">
        <v>451</v>
      </c>
      <c r="E559" t="s">
        <v>524</v>
      </c>
      <c r="F559" t="s">
        <v>371</v>
      </c>
      <c r="H559" t="s">
        <v>566</v>
      </c>
      <c r="I559" s="29">
        <v>6840000</v>
      </c>
      <c r="J559" t="s">
        <v>451</v>
      </c>
      <c r="L559" t="s">
        <v>36</v>
      </c>
      <c r="M559" t="str">
        <f>IFERROR(INDEX(Diccionario!$N:$N,MATCH(F781,Diccionario!$C:$C,0)),"")</f>
        <v>Mensual</v>
      </c>
    </row>
    <row r="560" spans="1:13" ht="12" customHeight="1" x14ac:dyDescent="0.3">
      <c r="A560" t="s">
        <v>542</v>
      </c>
      <c r="B560" t="s">
        <v>522</v>
      </c>
      <c r="C560" t="s">
        <v>523</v>
      </c>
      <c r="D560" t="s">
        <v>451</v>
      </c>
      <c r="E560" t="s">
        <v>524</v>
      </c>
      <c r="F560" t="s">
        <v>371</v>
      </c>
      <c r="H560" t="s">
        <v>565</v>
      </c>
      <c r="I560" s="29">
        <v>116800000</v>
      </c>
      <c r="J560" t="s">
        <v>451</v>
      </c>
      <c r="L560" t="s">
        <v>36</v>
      </c>
      <c r="M560" t="str">
        <f>IFERROR(INDEX(Diccionario!$N:$N,MATCH(F780,Diccionario!$C:$C,0)),"")</f>
        <v>Mensual</v>
      </c>
    </row>
    <row r="561" spans="1:13" ht="12" customHeight="1" x14ac:dyDescent="0.3">
      <c r="A561" t="s">
        <v>542</v>
      </c>
      <c r="B561" t="s">
        <v>522</v>
      </c>
      <c r="C561" t="s">
        <v>523</v>
      </c>
      <c r="D561" t="s">
        <v>451</v>
      </c>
      <c r="E561" t="s">
        <v>524</v>
      </c>
      <c r="F561" t="s">
        <v>371</v>
      </c>
      <c r="H561" t="s">
        <v>569</v>
      </c>
      <c r="I561" s="29">
        <v>4530000</v>
      </c>
      <c r="J561" t="s">
        <v>451</v>
      </c>
      <c r="L561" t="s">
        <v>36</v>
      </c>
      <c r="M561" t="str">
        <f>IFERROR(INDEX(Diccionario!$N:$N,MATCH(F782,Diccionario!$C:$C,0)),"")</f>
        <v>Mensual</v>
      </c>
    </row>
    <row r="562" spans="1:13" ht="12" customHeight="1" x14ac:dyDescent="0.3">
      <c r="A562" t="s">
        <v>542</v>
      </c>
      <c r="B562" t="s">
        <v>522</v>
      </c>
      <c r="C562" t="s">
        <v>523</v>
      </c>
      <c r="D562" t="s">
        <v>451</v>
      </c>
      <c r="E562" t="s">
        <v>524</v>
      </c>
      <c r="F562" t="s">
        <v>371</v>
      </c>
      <c r="H562" t="s">
        <v>570</v>
      </c>
      <c r="I562" s="29">
        <v>1856000</v>
      </c>
      <c r="J562" t="s">
        <v>451</v>
      </c>
      <c r="L562" t="s">
        <v>36</v>
      </c>
      <c r="M562" t="str">
        <f>IFERROR(INDEX(Diccionario!$N:$N,MATCH(F783,Diccionario!$C:$C,0)),"")</f>
        <v>Mensual</v>
      </c>
    </row>
    <row r="563" spans="1:13" ht="12" customHeight="1" x14ac:dyDescent="0.3">
      <c r="A563" t="s">
        <v>542</v>
      </c>
      <c r="B563" t="s">
        <v>522</v>
      </c>
      <c r="C563" t="s">
        <v>523</v>
      </c>
      <c r="D563" t="s">
        <v>451</v>
      </c>
      <c r="E563" t="s">
        <v>524</v>
      </c>
      <c r="F563" t="s">
        <v>241</v>
      </c>
      <c r="I563" s="29">
        <v>18476082</v>
      </c>
      <c r="J563" t="s">
        <v>451</v>
      </c>
      <c r="L563" t="s">
        <v>36</v>
      </c>
      <c r="M563" t="str">
        <f>IFERROR(INDEX(Diccionario!$N:$N,MATCH(F1098,Diccionario!$C:$C,0)),"")</f>
        <v/>
      </c>
    </row>
    <row r="564" spans="1:13" ht="12" customHeight="1" x14ac:dyDescent="0.3">
      <c r="A564" t="s">
        <v>542</v>
      </c>
      <c r="B564" t="s">
        <v>522</v>
      </c>
      <c r="C564" t="s">
        <v>523</v>
      </c>
      <c r="D564" t="s">
        <v>451</v>
      </c>
      <c r="E564" t="s">
        <v>524</v>
      </c>
      <c r="F564" t="s">
        <v>249</v>
      </c>
      <c r="I564" s="29">
        <v>0</v>
      </c>
      <c r="J564" t="s">
        <v>451</v>
      </c>
      <c r="L564" t="s">
        <v>36</v>
      </c>
      <c r="M564" t="str">
        <f>IFERROR(INDEX(Diccionario!$N:$N,MATCH(F1111,Diccionario!$C:$C,0)),"")</f>
        <v/>
      </c>
    </row>
    <row r="565" spans="1:13" ht="12" customHeight="1" x14ac:dyDescent="0.3">
      <c r="A565" t="s">
        <v>542</v>
      </c>
      <c r="B565" t="s">
        <v>522</v>
      </c>
      <c r="C565" t="s">
        <v>523</v>
      </c>
      <c r="D565" t="s">
        <v>451</v>
      </c>
      <c r="E565" t="s">
        <v>524</v>
      </c>
      <c r="F565" t="s">
        <v>258</v>
      </c>
      <c r="I565" s="29">
        <v>631984829</v>
      </c>
      <c r="J565" t="s">
        <v>451</v>
      </c>
      <c r="L565" t="s">
        <v>36</v>
      </c>
      <c r="M565" t="str">
        <f>IFERROR(INDEX(Diccionario!$N:$N,MATCH(F1085,Diccionario!$C:$C,0)),"")</f>
        <v/>
      </c>
    </row>
    <row r="566" spans="1:13" ht="12" customHeight="1" x14ac:dyDescent="0.3">
      <c r="A566" t="s">
        <v>543</v>
      </c>
      <c r="B566" t="s">
        <v>522</v>
      </c>
      <c r="C566" t="s">
        <v>523</v>
      </c>
      <c r="D566" t="s">
        <v>451</v>
      </c>
      <c r="E566" t="s">
        <v>524</v>
      </c>
      <c r="F566" t="s">
        <v>255</v>
      </c>
      <c r="I566" s="29">
        <v>0</v>
      </c>
      <c r="J566" t="s">
        <v>451</v>
      </c>
      <c r="L566" t="s">
        <v>36</v>
      </c>
      <c r="M566" t="str">
        <f>IFERROR(INDEX(Diccionario!$N:$N,MATCH(F1141,Diccionario!$C:$C,0)),"")</f>
        <v/>
      </c>
    </row>
    <row r="567" spans="1:13" ht="12" customHeight="1" x14ac:dyDescent="0.3">
      <c r="A567" t="s">
        <v>543</v>
      </c>
      <c r="B567" t="s">
        <v>522</v>
      </c>
      <c r="C567" t="s">
        <v>523</v>
      </c>
      <c r="D567" t="s">
        <v>451</v>
      </c>
      <c r="E567" t="s">
        <v>524</v>
      </c>
      <c r="F567" t="s">
        <v>252</v>
      </c>
      <c r="I567" s="29">
        <v>-66478867</v>
      </c>
      <c r="J567" t="s">
        <v>451</v>
      </c>
      <c r="L567" t="s">
        <v>36</v>
      </c>
      <c r="M567" t="str">
        <f>IFERROR(INDEX(Diccionario!$N:$N,MATCH(F1128,Diccionario!$C:$C,0)),"")</f>
        <v/>
      </c>
    </row>
    <row r="568" spans="1:13" ht="12" customHeight="1" x14ac:dyDescent="0.3">
      <c r="A568" t="s">
        <v>543</v>
      </c>
      <c r="B568" t="s">
        <v>522</v>
      </c>
      <c r="C568" t="s">
        <v>523</v>
      </c>
      <c r="D568" t="s">
        <v>451</v>
      </c>
      <c r="E568" t="s">
        <v>524</v>
      </c>
      <c r="F568" t="s">
        <v>314</v>
      </c>
      <c r="H568" t="s">
        <v>577</v>
      </c>
      <c r="I568" s="29">
        <v>500000</v>
      </c>
      <c r="J568" t="s">
        <v>451</v>
      </c>
      <c r="L568" t="s">
        <v>36</v>
      </c>
      <c r="M568" t="str">
        <f>IFERROR(INDEX(Diccionario!$N:$N,MATCH(F662,Diccionario!$C:$C,0)),"")</f>
        <v>Mensual</v>
      </c>
    </row>
    <row r="569" spans="1:13" ht="12" customHeight="1" x14ac:dyDescent="0.3">
      <c r="A569" t="s">
        <v>543</v>
      </c>
      <c r="B569" t="s">
        <v>522</v>
      </c>
      <c r="C569" t="s">
        <v>523</v>
      </c>
      <c r="D569" t="s">
        <v>451</v>
      </c>
      <c r="E569" t="s">
        <v>524</v>
      </c>
      <c r="F569" t="s">
        <v>314</v>
      </c>
      <c r="H569" t="s">
        <v>578</v>
      </c>
      <c r="I569" s="29">
        <v>0</v>
      </c>
      <c r="J569" t="s">
        <v>451</v>
      </c>
      <c r="L569" t="s">
        <v>36</v>
      </c>
      <c r="M569" t="str">
        <f>IFERROR(INDEX(Diccionario!$N:$N,MATCH(F664,Diccionario!$C:$C,0)),"")</f>
        <v>Mensual</v>
      </c>
    </row>
    <row r="570" spans="1:13" ht="12" customHeight="1" x14ac:dyDescent="0.3">
      <c r="A570" t="s">
        <v>543</v>
      </c>
      <c r="B570" t="s">
        <v>522</v>
      </c>
      <c r="C570" t="s">
        <v>523</v>
      </c>
      <c r="D570" t="s">
        <v>451</v>
      </c>
      <c r="E570" t="s">
        <v>524</v>
      </c>
      <c r="F570" t="s">
        <v>314</v>
      </c>
      <c r="H570" t="s">
        <v>565</v>
      </c>
      <c r="I570" s="29">
        <v>75200000</v>
      </c>
      <c r="J570" t="s">
        <v>451</v>
      </c>
      <c r="L570" t="s">
        <v>36</v>
      </c>
      <c r="M570" t="str">
        <f>IFERROR(INDEX(Diccionario!$N:$N,MATCH(F661,Diccionario!$C:$C,0)),"")</f>
        <v>Mensual</v>
      </c>
    </row>
    <row r="571" spans="1:13" ht="12" customHeight="1" x14ac:dyDescent="0.3">
      <c r="A571" t="s">
        <v>543</v>
      </c>
      <c r="B571" t="s">
        <v>522</v>
      </c>
      <c r="C571" t="s">
        <v>523</v>
      </c>
      <c r="D571" t="s">
        <v>451</v>
      </c>
      <c r="E571" t="s">
        <v>524</v>
      </c>
      <c r="F571" t="s">
        <v>314</v>
      </c>
      <c r="H571" t="s">
        <v>569</v>
      </c>
      <c r="I571" s="29">
        <v>17800000</v>
      </c>
      <c r="J571" t="s">
        <v>451</v>
      </c>
      <c r="L571" t="s">
        <v>36</v>
      </c>
      <c r="M571" t="str">
        <f>IFERROR(INDEX(Diccionario!$N:$N,MATCH(F663,Diccionario!$C:$C,0)),"")</f>
        <v>Mensual</v>
      </c>
    </row>
    <row r="572" spans="1:13" ht="12" customHeight="1" x14ac:dyDescent="0.3">
      <c r="A572" t="s">
        <v>543</v>
      </c>
      <c r="B572" t="s">
        <v>522</v>
      </c>
      <c r="C572" t="s">
        <v>523</v>
      </c>
      <c r="D572" t="s">
        <v>451</v>
      </c>
      <c r="E572" t="s">
        <v>524</v>
      </c>
      <c r="F572" t="s">
        <v>314</v>
      </c>
      <c r="H572" t="s">
        <v>570</v>
      </c>
      <c r="I572" s="29">
        <v>12400000</v>
      </c>
      <c r="J572" t="s">
        <v>451</v>
      </c>
      <c r="L572" t="s">
        <v>36</v>
      </c>
      <c r="M572" t="str">
        <f>IFERROR(INDEX(Diccionario!$N:$N,MATCH(F665,Diccionario!$C:$C,0)),"")</f>
        <v>Mensual</v>
      </c>
    </row>
    <row r="573" spans="1:13" ht="12" customHeight="1" x14ac:dyDescent="0.3">
      <c r="A573" t="s">
        <v>543</v>
      </c>
      <c r="B573" t="s">
        <v>522</v>
      </c>
      <c r="C573" t="s">
        <v>523</v>
      </c>
      <c r="D573" t="s">
        <v>451</v>
      </c>
      <c r="E573" t="s">
        <v>524</v>
      </c>
      <c r="F573" t="s">
        <v>318</v>
      </c>
      <c r="H573" t="s">
        <v>574</v>
      </c>
      <c r="I573" s="29">
        <v>62400000</v>
      </c>
      <c r="J573" t="s">
        <v>451</v>
      </c>
      <c r="L573" t="s">
        <v>36</v>
      </c>
      <c r="M573" t="str">
        <f>IFERROR(INDEX(Diccionario!$N:$N,MATCH(F543,Diccionario!$C:$C,0)),"")</f>
        <v>Mensual</v>
      </c>
    </row>
    <row r="574" spans="1:13" ht="12" customHeight="1" x14ac:dyDescent="0.3">
      <c r="A574" t="s">
        <v>543</v>
      </c>
      <c r="B574" t="s">
        <v>522</v>
      </c>
      <c r="C574" t="s">
        <v>523</v>
      </c>
      <c r="D574" t="s">
        <v>451</v>
      </c>
      <c r="E574" t="s">
        <v>524</v>
      </c>
      <c r="F574" t="s">
        <v>318</v>
      </c>
      <c r="H574" t="s">
        <v>575</v>
      </c>
      <c r="I574" s="29">
        <v>16600000</v>
      </c>
      <c r="J574" t="s">
        <v>451</v>
      </c>
      <c r="L574" t="s">
        <v>36</v>
      </c>
      <c r="M574" t="str">
        <f>IFERROR(INDEX(Diccionario!$N:$N,MATCH(F544,Diccionario!$C:$C,0)),"")</f>
        <v>Mensual</v>
      </c>
    </row>
    <row r="575" spans="1:13" ht="12" customHeight="1" x14ac:dyDescent="0.3">
      <c r="A575" t="s">
        <v>543</v>
      </c>
      <c r="B575" t="s">
        <v>522</v>
      </c>
      <c r="C575" t="s">
        <v>523</v>
      </c>
      <c r="D575" t="s">
        <v>451</v>
      </c>
      <c r="E575" t="s">
        <v>524</v>
      </c>
      <c r="F575" t="s">
        <v>318</v>
      </c>
      <c r="H575" t="s">
        <v>573</v>
      </c>
      <c r="I575" s="29">
        <v>0</v>
      </c>
      <c r="J575" t="s">
        <v>451</v>
      </c>
      <c r="L575" t="s">
        <v>36</v>
      </c>
      <c r="M575" t="str">
        <f>IFERROR(INDEX(Diccionario!$N:$N,MATCH(F542,Diccionario!$C:$C,0)),"")</f>
        <v>Mensual</v>
      </c>
    </row>
    <row r="576" spans="1:13" ht="12" customHeight="1" x14ac:dyDescent="0.3">
      <c r="A576" t="s">
        <v>543</v>
      </c>
      <c r="B576" t="s">
        <v>522</v>
      </c>
      <c r="C576" t="s">
        <v>523</v>
      </c>
      <c r="D576" t="s">
        <v>451</v>
      </c>
      <c r="E576" t="s">
        <v>524</v>
      </c>
      <c r="F576" t="s">
        <v>318</v>
      </c>
      <c r="H576" t="s">
        <v>572</v>
      </c>
      <c r="I576" s="29">
        <v>213300000</v>
      </c>
      <c r="J576" t="s">
        <v>451</v>
      </c>
      <c r="L576" t="s">
        <v>36</v>
      </c>
      <c r="M576" t="str">
        <f>IFERROR(INDEX(Diccionario!$N:$N,MATCH(F541,Diccionario!$C:$C,0)),"")</f>
        <v>Mensual</v>
      </c>
    </row>
    <row r="577" spans="1:13" ht="12" customHeight="1" x14ac:dyDescent="0.3">
      <c r="A577" t="s">
        <v>543</v>
      </c>
      <c r="B577" t="s">
        <v>522</v>
      </c>
      <c r="C577" t="s">
        <v>523</v>
      </c>
      <c r="D577" t="s">
        <v>451</v>
      </c>
      <c r="E577" t="s">
        <v>524</v>
      </c>
      <c r="F577" t="s">
        <v>318</v>
      </c>
      <c r="H577" t="s">
        <v>576</v>
      </c>
      <c r="I577" s="29">
        <v>9900000</v>
      </c>
      <c r="J577" t="s">
        <v>451</v>
      </c>
      <c r="L577" t="s">
        <v>36</v>
      </c>
      <c r="M577" t="str">
        <f>IFERROR(INDEX(Diccionario!$N:$N,MATCH(F545,Diccionario!$C:$C,0)),"")</f>
        <v>Mensual</v>
      </c>
    </row>
    <row r="578" spans="1:13" ht="12" customHeight="1" x14ac:dyDescent="0.3">
      <c r="A578" t="s">
        <v>543</v>
      </c>
      <c r="B578" t="s">
        <v>522</v>
      </c>
      <c r="C578" t="s">
        <v>523</v>
      </c>
      <c r="E578" t="s">
        <v>524</v>
      </c>
      <c r="F578" t="s">
        <v>323</v>
      </c>
      <c r="I578" s="36">
        <v>46.64</v>
      </c>
      <c r="J578" t="s">
        <v>65</v>
      </c>
      <c r="L578" t="s">
        <v>36</v>
      </c>
      <c r="M578" t="str">
        <f>IFERROR(INDEX(Diccionario!$N:$N,MATCH(F1015,Diccionario!$C:$C,0)),"")</f>
        <v>Mensual</v>
      </c>
    </row>
    <row r="579" spans="1:13" ht="12" customHeight="1" x14ac:dyDescent="0.3">
      <c r="A579" t="s">
        <v>543</v>
      </c>
      <c r="B579" t="s">
        <v>522</v>
      </c>
      <c r="C579" t="s">
        <v>523</v>
      </c>
      <c r="D579" t="s">
        <v>451</v>
      </c>
      <c r="E579" t="s">
        <v>524</v>
      </c>
      <c r="F579" t="s">
        <v>246</v>
      </c>
      <c r="I579" s="29">
        <v>33230383</v>
      </c>
      <c r="J579" t="s">
        <v>451</v>
      </c>
      <c r="L579" t="s">
        <v>36</v>
      </c>
      <c r="M579" t="str">
        <f>IFERROR(INDEX(Diccionario!$N:$N,MATCH(F1115,Diccionario!$C:$C,0)),"")</f>
        <v/>
      </c>
    </row>
    <row r="580" spans="1:13" ht="12" customHeight="1" x14ac:dyDescent="0.3">
      <c r="A580" t="s">
        <v>543</v>
      </c>
      <c r="B580" t="s">
        <v>522</v>
      </c>
      <c r="C580" t="s">
        <v>523</v>
      </c>
      <c r="D580" t="s">
        <v>451</v>
      </c>
      <c r="E580" t="s">
        <v>524</v>
      </c>
      <c r="F580" t="s">
        <v>309</v>
      </c>
      <c r="H580" t="s">
        <v>567</v>
      </c>
      <c r="I580" s="29">
        <v>16300000</v>
      </c>
      <c r="J580" t="s">
        <v>451</v>
      </c>
      <c r="L580" t="s">
        <v>36</v>
      </c>
      <c r="M580" t="str">
        <f>IFERROR(INDEX(Diccionario!$N:$N,MATCH(F381,Diccionario!$C:$C,0)),"")</f>
        <v>Mensual</v>
      </c>
    </row>
    <row r="581" spans="1:13" ht="12" customHeight="1" x14ac:dyDescent="0.3">
      <c r="A581" t="s">
        <v>543</v>
      </c>
      <c r="B581" t="s">
        <v>522</v>
      </c>
      <c r="C581" t="s">
        <v>523</v>
      </c>
      <c r="D581" t="s">
        <v>451</v>
      </c>
      <c r="E581" t="s">
        <v>524</v>
      </c>
      <c r="F581" t="s">
        <v>309</v>
      </c>
      <c r="H581" t="s">
        <v>571</v>
      </c>
      <c r="I581" s="29">
        <v>8900000</v>
      </c>
      <c r="J581" t="s">
        <v>451</v>
      </c>
      <c r="L581" t="s">
        <v>36</v>
      </c>
      <c r="M581" t="str">
        <f>IFERROR(INDEX(Diccionario!$N:$N,MATCH(F385,Diccionario!$C:$C,0)),"")</f>
        <v>Mensual</v>
      </c>
    </row>
    <row r="582" spans="1:13" ht="12" customHeight="1" x14ac:dyDescent="0.3">
      <c r="A582" t="s">
        <v>543</v>
      </c>
      <c r="B582" t="s">
        <v>522</v>
      </c>
      <c r="C582" t="s">
        <v>523</v>
      </c>
      <c r="D582" t="s">
        <v>451</v>
      </c>
      <c r="E582" t="s">
        <v>524</v>
      </c>
      <c r="F582" t="s">
        <v>309</v>
      </c>
      <c r="H582" t="s">
        <v>566</v>
      </c>
      <c r="I582" s="29">
        <v>16000000</v>
      </c>
      <c r="J582" t="s">
        <v>451</v>
      </c>
      <c r="L582" t="s">
        <v>36</v>
      </c>
      <c r="M582" t="str">
        <f>IFERROR(INDEX(Diccionario!$N:$N,MATCH(F380,Diccionario!$C:$C,0)),"")</f>
        <v>Mensual</v>
      </c>
    </row>
    <row r="583" spans="1:13" ht="12" customHeight="1" x14ac:dyDescent="0.3">
      <c r="A583" t="s">
        <v>543</v>
      </c>
      <c r="B583" t="s">
        <v>522</v>
      </c>
      <c r="C583" t="s">
        <v>523</v>
      </c>
      <c r="D583" t="s">
        <v>451</v>
      </c>
      <c r="E583" t="s">
        <v>524</v>
      </c>
      <c r="F583" t="s">
        <v>309</v>
      </c>
      <c r="H583" t="s">
        <v>565</v>
      </c>
      <c r="I583" s="29">
        <v>60600000</v>
      </c>
      <c r="J583" t="s">
        <v>451</v>
      </c>
      <c r="L583" t="s">
        <v>36</v>
      </c>
      <c r="M583" t="str">
        <f>IFERROR(INDEX(Diccionario!$N:$N,MATCH(F379,Diccionario!$C:$C,0)),"")</f>
        <v>Mensual</v>
      </c>
    </row>
    <row r="584" spans="1:13" ht="12" customHeight="1" x14ac:dyDescent="0.3">
      <c r="A584" t="s">
        <v>543</v>
      </c>
      <c r="B584" t="s">
        <v>522</v>
      </c>
      <c r="C584" t="s">
        <v>523</v>
      </c>
      <c r="D584" t="s">
        <v>451</v>
      </c>
      <c r="E584" t="s">
        <v>524</v>
      </c>
      <c r="F584" t="s">
        <v>309</v>
      </c>
      <c r="H584" t="s">
        <v>568</v>
      </c>
      <c r="I584" s="29">
        <v>3400000</v>
      </c>
      <c r="J584" t="s">
        <v>451</v>
      </c>
      <c r="L584" t="s">
        <v>36</v>
      </c>
      <c r="M584" t="str">
        <f>IFERROR(INDEX(Diccionario!$N:$N,MATCH(F382,Diccionario!$C:$C,0)),"")</f>
        <v>Mensual</v>
      </c>
    </row>
    <row r="585" spans="1:13" ht="12" customHeight="1" x14ac:dyDescent="0.3">
      <c r="A585" t="s">
        <v>543</v>
      </c>
      <c r="B585" t="s">
        <v>522</v>
      </c>
      <c r="C585" t="s">
        <v>523</v>
      </c>
      <c r="D585" t="s">
        <v>451</v>
      </c>
      <c r="E585" t="s">
        <v>524</v>
      </c>
      <c r="F585" t="s">
        <v>309</v>
      </c>
      <c r="H585" t="s">
        <v>569</v>
      </c>
      <c r="I585" s="29">
        <v>9800000</v>
      </c>
      <c r="J585" t="s">
        <v>451</v>
      </c>
      <c r="L585" t="s">
        <v>36</v>
      </c>
      <c r="M585" t="str">
        <f>IFERROR(INDEX(Diccionario!$N:$N,MATCH(F383,Diccionario!$C:$C,0)),"")</f>
        <v>Mensual</v>
      </c>
    </row>
    <row r="586" spans="1:13" ht="12" customHeight="1" x14ac:dyDescent="0.3">
      <c r="A586" t="s">
        <v>543</v>
      </c>
      <c r="B586" t="s">
        <v>522</v>
      </c>
      <c r="C586" t="s">
        <v>523</v>
      </c>
      <c r="D586" t="s">
        <v>451</v>
      </c>
      <c r="E586" t="s">
        <v>524</v>
      </c>
      <c r="F586" t="s">
        <v>309</v>
      </c>
      <c r="H586" t="s">
        <v>570</v>
      </c>
      <c r="I586" s="29">
        <v>3100000</v>
      </c>
      <c r="J586" t="s">
        <v>451</v>
      </c>
      <c r="L586" t="s">
        <v>36</v>
      </c>
      <c r="M586" t="str">
        <f>IFERROR(INDEX(Diccionario!$N:$N,MATCH(F384,Diccionario!$C:$C,0)),"")</f>
        <v>Mensual</v>
      </c>
    </row>
    <row r="587" spans="1:13" ht="12" customHeight="1" x14ac:dyDescent="0.3">
      <c r="A587" t="s">
        <v>543</v>
      </c>
      <c r="B587" t="s">
        <v>522</v>
      </c>
      <c r="C587" t="s">
        <v>523</v>
      </c>
      <c r="D587" t="s">
        <v>451</v>
      </c>
      <c r="E587" t="s">
        <v>524</v>
      </c>
      <c r="F587" t="s">
        <v>304</v>
      </c>
      <c r="H587" t="s">
        <v>564</v>
      </c>
      <c r="I587" s="29">
        <v>122700000</v>
      </c>
      <c r="J587" t="s">
        <v>451</v>
      </c>
      <c r="L587" t="s">
        <v>36</v>
      </c>
      <c r="M587" t="str">
        <f>IFERROR(INDEX(Diccionario!$N:$N,MATCH(F203,Diccionario!$C:$C,0)),"")</f>
        <v>Mensual</v>
      </c>
    </row>
    <row r="588" spans="1:13" ht="12" customHeight="1" x14ac:dyDescent="0.3">
      <c r="A588" t="s">
        <v>543</v>
      </c>
      <c r="B588" t="s">
        <v>522</v>
      </c>
      <c r="C588" t="s">
        <v>523</v>
      </c>
      <c r="D588" t="s">
        <v>451</v>
      </c>
      <c r="E588" t="s">
        <v>524</v>
      </c>
      <c r="F588" t="s">
        <v>304</v>
      </c>
      <c r="H588" t="s">
        <v>190</v>
      </c>
      <c r="I588" s="29">
        <v>227000000</v>
      </c>
      <c r="J588" t="s">
        <v>451</v>
      </c>
      <c r="L588" t="s">
        <v>36</v>
      </c>
      <c r="M588" t="str">
        <f>IFERROR(INDEX(Diccionario!$N:$N,MATCH(F202,Diccionario!$C:$C,0)),"")</f>
        <v>Mensual</v>
      </c>
    </row>
    <row r="589" spans="1:13" ht="12" customHeight="1" x14ac:dyDescent="0.3">
      <c r="A589" t="s">
        <v>543</v>
      </c>
      <c r="B589" t="s">
        <v>522</v>
      </c>
      <c r="C589" t="s">
        <v>523</v>
      </c>
      <c r="D589" t="s">
        <v>451</v>
      </c>
      <c r="E589" t="s">
        <v>524</v>
      </c>
      <c r="F589" t="s">
        <v>304</v>
      </c>
      <c r="H589" t="s">
        <v>561</v>
      </c>
      <c r="I589" s="29">
        <v>1800000</v>
      </c>
      <c r="J589" t="s">
        <v>451</v>
      </c>
      <c r="L589" t="s">
        <v>36</v>
      </c>
      <c r="M589" t="str">
        <f>IFERROR(INDEX(Diccionario!$N:$N,MATCH(F199,Diccionario!$C:$C,0)),"")</f>
        <v>Mensual</v>
      </c>
    </row>
    <row r="590" spans="1:13" ht="12" customHeight="1" x14ac:dyDescent="0.3">
      <c r="A590" t="s">
        <v>543</v>
      </c>
      <c r="B590" t="s">
        <v>522</v>
      </c>
      <c r="C590" t="s">
        <v>523</v>
      </c>
      <c r="D590" t="s">
        <v>451</v>
      </c>
      <c r="E590" t="s">
        <v>524</v>
      </c>
      <c r="F590" t="s">
        <v>304</v>
      </c>
      <c r="H590" t="s">
        <v>563</v>
      </c>
      <c r="I590" s="29">
        <v>302000000</v>
      </c>
      <c r="J590" t="s">
        <v>451</v>
      </c>
      <c r="L590" t="s">
        <v>36</v>
      </c>
      <c r="M590" t="str">
        <f>IFERROR(INDEX(Diccionario!$N:$N,MATCH(F201,Diccionario!$C:$C,0)),"")</f>
        <v>Mensual</v>
      </c>
    </row>
    <row r="591" spans="1:13" ht="12" customHeight="1" x14ac:dyDescent="0.3">
      <c r="A591" t="s">
        <v>543</v>
      </c>
      <c r="B591" t="s">
        <v>522</v>
      </c>
      <c r="C591" t="s">
        <v>523</v>
      </c>
      <c r="D591" t="s">
        <v>451</v>
      </c>
      <c r="E591" t="s">
        <v>524</v>
      </c>
      <c r="F591" t="s">
        <v>304</v>
      </c>
      <c r="H591" t="s">
        <v>562</v>
      </c>
      <c r="I591" s="29">
        <v>230000000</v>
      </c>
      <c r="J591" t="s">
        <v>451</v>
      </c>
      <c r="L591" t="s">
        <v>36</v>
      </c>
      <c r="M591" t="str">
        <f>IFERROR(INDEX(Diccionario!$N:$N,MATCH(F200,Diccionario!$C:$C,0)),"")</f>
        <v>Mensual</v>
      </c>
    </row>
    <row r="592" spans="1:13" ht="12" customHeight="1" x14ac:dyDescent="0.3">
      <c r="A592" t="s">
        <v>543</v>
      </c>
      <c r="B592" t="s">
        <v>522</v>
      </c>
      <c r="C592" t="s">
        <v>523</v>
      </c>
      <c r="D592" t="s">
        <v>451</v>
      </c>
      <c r="E592" t="s">
        <v>524</v>
      </c>
      <c r="F592" t="s">
        <v>377</v>
      </c>
      <c r="H592" t="s">
        <v>571</v>
      </c>
      <c r="I592" s="29">
        <v>11100000</v>
      </c>
      <c r="J592" t="s">
        <v>451</v>
      </c>
      <c r="L592" t="s">
        <v>36</v>
      </c>
      <c r="M592" t="str">
        <f>IFERROR(INDEX(Diccionario!$N:$N,MATCH(F940,Diccionario!$C:$C,0)),"")</f>
        <v>Mensual</v>
      </c>
    </row>
    <row r="593" spans="1:13" ht="12" customHeight="1" x14ac:dyDescent="0.3">
      <c r="A593" t="s">
        <v>543</v>
      </c>
      <c r="B593" t="s">
        <v>522</v>
      </c>
      <c r="C593" t="s">
        <v>523</v>
      </c>
      <c r="D593" t="s">
        <v>451</v>
      </c>
      <c r="E593" t="s">
        <v>524</v>
      </c>
      <c r="F593" t="s">
        <v>377</v>
      </c>
      <c r="H593" t="s">
        <v>577</v>
      </c>
      <c r="I593" s="29">
        <v>54765000</v>
      </c>
      <c r="J593" t="s">
        <v>451</v>
      </c>
      <c r="L593" t="s">
        <v>36</v>
      </c>
      <c r="M593" t="str">
        <f>IFERROR(INDEX(Diccionario!$N:$N,MATCH(F936,Diccionario!$C:$C,0)),"")</f>
        <v>Mensual</v>
      </c>
    </row>
    <row r="594" spans="1:13" ht="12" customHeight="1" x14ac:dyDescent="0.3">
      <c r="A594" t="s">
        <v>543</v>
      </c>
      <c r="B594" t="s">
        <v>522</v>
      </c>
      <c r="C594" t="s">
        <v>523</v>
      </c>
      <c r="D594" t="s">
        <v>451</v>
      </c>
      <c r="E594" t="s">
        <v>524</v>
      </c>
      <c r="F594" t="s">
        <v>377</v>
      </c>
      <c r="H594" t="s">
        <v>565</v>
      </c>
      <c r="I594" s="29">
        <v>91900000</v>
      </c>
      <c r="J594" t="s">
        <v>451</v>
      </c>
      <c r="L594" t="s">
        <v>36</v>
      </c>
      <c r="M594" t="str">
        <f>IFERROR(INDEX(Diccionario!$N:$N,MATCH(F935,Diccionario!$C:$C,0)),"")</f>
        <v>Mensual</v>
      </c>
    </row>
    <row r="595" spans="1:13" ht="12" customHeight="1" x14ac:dyDescent="0.3">
      <c r="A595" t="s">
        <v>543</v>
      </c>
      <c r="B595" t="s">
        <v>522</v>
      </c>
      <c r="C595" t="s">
        <v>523</v>
      </c>
      <c r="D595" t="s">
        <v>451</v>
      </c>
      <c r="E595" t="s">
        <v>524</v>
      </c>
      <c r="F595" t="s">
        <v>377</v>
      </c>
      <c r="H595" t="s">
        <v>568</v>
      </c>
      <c r="I595" s="29">
        <v>300000</v>
      </c>
      <c r="J595" t="s">
        <v>451</v>
      </c>
      <c r="L595" t="s">
        <v>36</v>
      </c>
      <c r="M595" t="str">
        <f>IFERROR(INDEX(Diccionario!$N:$N,MATCH(F937,Diccionario!$C:$C,0)),"")</f>
        <v>Mensual</v>
      </c>
    </row>
    <row r="596" spans="1:13" ht="12" customHeight="1" x14ac:dyDescent="0.3">
      <c r="A596" t="s">
        <v>543</v>
      </c>
      <c r="B596" t="s">
        <v>522</v>
      </c>
      <c r="C596" t="s">
        <v>523</v>
      </c>
      <c r="D596" t="s">
        <v>451</v>
      </c>
      <c r="E596" t="s">
        <v>524</v>
      </c>
      <c r="F596" t="s">
        <v>377</v>
      </c>
      <c r="H596" t="s">
        <v>569</v>
      </c>
      <c r="I596" s="29">
        <v>58200000</v>
      </c>
      <c r="J596" t="s">
        <v>451</v>
      </c>
      <c r="L596" t="s">
        <v>36</v>
      </c>
      <c r="M596" t="str">
        <f>IFERROR(INDEX(Diccionario!$N:$N,MATCH(F938,Diccionario!$C:$C,0)),"")</f>
        <v>Mensual</v>
      </c>
    </row>
    <row r="597" spans="1:13" ht="12" customHeight="1" x14ac:dyDescent="0.3">
      <c r="A597" t="s">
        <v>543</v>
      </c>
      <c r="B597" t="s">
        <v>522</v>
      </c>
      <c r="C597" t="s">
        <v>523</v>
      </c>
      <c r="D597" t="s">
        <v>451</v>
      </c>
      <c r="E597" t="s">
        <v>524</v>
      </c>
      <c r="F597" t="s">
        <v>377</v>
      </c>
      <c r="H597" t="s">
        <v>570</v>
      </c>
      <c r="I597" s="29">
        <v>23400000</v>
      </c>
      <c r="J597" t="s">
        <v>451</v>
      </c>
      <c r="L597" t="s">
        <v>36</v>
      </c>
      <c r="M597" t="str">
        <f>IFERROR(INDEX(Diccionario!$N:$N,MATCH(F939,Diccionario!$C:$C,0)),"")</f>
        <v>Mensual</v>
      </c>
    </row>
    <row r="598" spans="1:13" ht="12" customHeight="1" x14ac:dyDescent="0.3">
      <c r="A598" t="s">
        <v>543</v>
      </c>
      <c r="B598" t="s">
        <v>522</v>
      </c>
      <c r="C598" t="s">
        <v>523</v>
      </c>
      <c r="D598" t="s">
        <v>451</v>
      </c>
      <c r="E598" t="s">
        <v>524</v>
      </c>
      <c r="F598" t="s">
        <v>371</v>
      </c>
      <c r="H598" t="s">
        <v>566</v>
      </c>
      <c r="I598" s="29">
        <v>12400000</v>
      </c>
      <c r="J598" t="s">
        <v>451</v>
      </c>
      <c r="L598" t="s">
        <v>36</v>
      </c>
      <c r="M598" t="str">
        <f>IFERROR(INDEX(Diccionario!$N:$N,MATCH(F785,Diccionario!$C:$C,0)),"")</f>
        <v>Mensual</v>
      </c>
    </row>
    <row r="599" spans="1:13" ht="12" customHeight="1" x14ac:dyDescent="0.3">
      <c r="A599" t="s">
        <v>543</v>
      </c>
      <c r="B599" t="s">
        <v>522</v>
      </c>
      <c r="C599" t="s">
        <v>523</v>
      </c>
      <c r="D599" t="s">
        <v>451</v>
      </c>
      <c r="E599" t="s">
        <v>524</v>
      </c>
      <c r="F599" t="s">
        <v>371</v>
      </c>
      <c r="H599" t="s">
        <v>565</v>
      </c>
      <c r="I599" s="29">
        <v>118200000</v>
      </c>
      <c r="J599" t="s">
        <v>451</v>
      </c>
      <c r="L599" t="s">
        <v>36</v>
      </c>
      <c r="M599" t="str">
        <f>IFERROR(INDEX(Diccionario!$N:$N,MATCH(F784,Diccionario!$C:$C,0)),"")</f>
        <v>Mensual</v>
      </c>
    </row>
    <row r="600" spans="1:13" ht="12" customHeight="1" x14ac:dyDescent="0.3">
      <c r="A600" t="s">
        <v>543</v>
      </c>
      <c r="B600" t="s">
        <v>522</v>
      </c>
      <c r="C600" t="s">
        <v>523</v>
      </c>
      <c r="D600" t="s">
        <v>451</v>
      </c>
      <c r="E600" t="s">
        <v>524</v>
      </c>
      <c r="F600" t="s">
        <v>371</v>
      </c>
      <c r="H600" t="s">
        <v>569</v>
      </c>
      <c r="I600" s="29">
        <v>3200000</v>
      </c>
      <c r="J600" t="s">
        <v>451</v>
      </c>
      <c r="L600" t="s">
        <v>36</v>
      </c>
      <c r="M600" t="str">
        <f>IFERROR(INDEX(Diccionario!$N:$N,MATCH(F786,Diccionario!$C:$C,0)),"")</f>
        <v>Mensual</v>
      </c>
    </row>
    <row r="601" spans="1:13" ht="12" customHeight="1" x14ac:dyDescent="0.3">
      <c r="A601" t="s">
        <v>543</v>
      </c>
      <c r="B601" t="s">
        <v>522</v>
      </c>
      <c r="C601" t="s">
        <v>523</v>
      </c>
      <c r="D601" t="s">
        <v>451</v>
      </c>
      <c r="E601" t="s">
        <v>524</v>
      </c>
      <c r="F601" t="s">
        <v>371</v>
      </c>
      <c r="H601" t="s">
        <v>570</v>
      </c>
      <c r="I601" s="29">
        <v>500000</v>
      </c>
      <c r="J601" t="s">
        <v>451</v>
      </c>
      <c r="L601" t="s">
        <v>36</v>
      </c>
      <c r="M601" t="str">
        <f>IFERROR(INDEX(Diccionario!$N:$N,MATCH(F787,Diccionario!$C:$C,0)),"")</f>
        <v>Mensual</v>
      </c>
    </row>
    <row r="602" spans="1:13" ht="12" customHeight="1" x14ac:dyDescent="0.3">
      <c r="A602" t="s">
        <v>543</v>
      </c>
      <c r="B602" t="s">
        <v>522</v>
      </c>
      <c r="C602" t="s">
        <v>523</v>
      </c>
      <c r="D602" t="s">
        <v>451</v>
      </c>
      <c r="E602" t="s">
        <v>524</v>
      </c>
      <c r="F602" t="s">
        <v>241</v>
      </c>
      <c r="I602" s="29">
        <v>0</v>
      </c>
      <c r="J602" t="s">
        <v>451</v>
      </c>
      <c r="L602" t="s">
        <v>36</v>
      </c>
      <c r="M602" t="str">
        <f>IFERROR(INDEX(Diccionario!$N:$N,MATCH(F1099,Diccionario!$C:$C,0)),"")</f>
        <v/>
      </c>
    </row>
    <row r="603" spans="1:13" ht="12" customHeight="1" x14ac:dyDescent="0.3">
      <c r="A603" t="s">
        <v>543</v>
      </c>
      <c r="B603" t="s">
        <v>522</v>
      </c>
      <c r="C603" t="s">
        <v>523</v>
      </c>
      <c r="D603" t="s">
        <v>451</v>
      </c>
      <c r="E603" t="s">
        <v>524</v>
      </c>
      <c r="F603" t="s">
        <v>258</v>
      </c>
      <c r="I603" s="29">
        <v>665215212</v>
      </c>
      <c r="J603" t="s">
        <v>451</v>
      </c>
      <c r="L603" t="s">
        <v>36</v>
      </c>
      <c r="M603" t="str">
        <f>IFERROR(INDEX(Diccionario!$N:$N,MATCH(F1086,Diccionario!$C:$C,0)),"")</f>
        <v/>
      </c>
    </row>
    <row r="604" spans="1:13" ht="12" customHeight="1" x14ac:dyDescent="0.3">
      <c r="A604" t="s">
        <v>544</v>
      </c>
      <c r="B604" t="s">
        <v>522</v>
      </c>
      <c r="C604" t="s">
        <v>523</v>
      </c>
      <c r="D604" t="s">
        <v>451</v>
      </c>
      <c r="E604" t="s">
        <v>524</v>
      </c>
      <c r="F604" t="s">
        <v>255</v>
      </c>
      <c r="I604" s="29">
        <v>-11465728</v>
      </c>
      <c r="J604" t="s">
        <v>451</v>
      </c>
      <c r="L604" t="s">
        <v>36</v>
      </c>
      <c r="M604" t="str">
        <f>IFERROR(INDEX(Diccionario!$N:$N,MATCH(F1142,Diccionario!$C:$C,0)),"")</f>
        <v/>
      </c>
    </row>
    <row r="605" spans="1:13" ht="12" customHeight="1" x14ac:dyDescent="0.3">
      <c r="A605" t="s">
        <v>544</v>
      </c>
      <c r="B605" t="s">
        <v>522</v>
      </c>
      <c r="C605" t="s">
        <v>523</v>
      </c>
      <c r="D605" t="s">
        <v>451</v>
      </c>
      <c r="E605" t="s">
        <v>524</v>
      </c>
      <c r="F605" t="s">
        <v>252</v>
      </c>
      <c r="I605" s="29">
        <v>-53026479</v>
      </c>
      <c r="J605" t="s">
        <v>451</v>
      </c>
      <c r="L605" t="s">
        <v>36</v>
      </c>
      <c r="M605" t="str">
        <f>IFERROR(INDEX(Diccionario!$N:$N,MATCH(F1129,Diccionario!$C:$C,0)),"")</f>
        <v/>
      </c>
    </row>
    <row r="606" spans="1:13" ht="12" customHeight="1" x14ac:dyDescent="0.3">
      <c r="A606" t="s">
        <v>544</v>
      </c>
      <c r="B606" t="s">
        <v>522</v>
      </c>
      <c r="C606" t="s">
        <v>523</v>
      </c>
      <c r="D606" t="s">
        <v>451</v>
      </c>
      <c r="E606" t="s">
        <v>524</v>
      </c>
      <c r="F606" t="s">
        <v>314</v>
      </c>
      <c r="H606" t="s">
        <v>577</v>
      </c>
      <c r="I606" s="29">
        <v>0</v>
      </c>
      <c r="J606" t="s">
        <v>451</v>
      </c>
      <c r="L606" t="s">
        <v>36</v>
      </c>
      <c r="M606" t="str">
        <f>IFERROR(INDEX(Diccionario!$N:$N,MATCH(F667,Diccionario!$C:$C,0)),"")</f>
        <v>Mensual</v>
      </c>
    </row>
    <row r="607" spans="1:13" ht="12" customHeight="1" x14ac:dyDescent="0.3">
      <c r="A607" t="s">
        <v>544</v>
      </c>
      <c r="B607" t="s">
        <v>522</v>
      </c>
      <c r="C607" t="s">
        <v>523</v>
      </c>
      <c r="D607" t="s">
        <v>451</v>
      </c>
      <c r="E607" t="s">
        <v>524</v>
      </c>
      <c r="F607" t="s">
        <v>314</v>
      </c>
      <c r="H607" t="s">
        <v>578</v>
      </c>
      <c r="I607" s="29">
        <v>0</v>
      </c>
      <c r="J607" t="s">
        <v>451</v>
      </c>
      <c r="L607" t="s">
        <v>36</v>
      </c>
      <c r="M607" t="str">
        <f>IFERROR(INDEX(Diccionario!$N:$N,MATCH(F669,Diccionario!$C:$C,0)),"")</f>
        <v>Mensual</v>
      </c>
    </row>
    <row r="608" spans="1:13" ht="12" customHeight="1" x14ac:dyDescent="0.3">
      <c r="A608" t="s">
        <v>544</v>
      </c>
      <c r="B608" t="s">
        <v>522</v>
      </c>
      <c r="C608" t="s">
        <v>523</v>
      </c>
      <c r="D608" t="s">
        <v>451</v>
      </c>
      <c r="E608" t="s">
        <v>524</v>
      </c>
      <c r="F608" t="s">
        <v>314</v>
      </c>
      <c r="H608" t="s">
        <v>565</v>
      </c>
      <c r="I608" s="29">
        <v>74000000</v>
      </c>
      <c r="J608" t="s">
        <v>451</v>
      </c>
      <c r="L608" t="s">
        <v>36</v>
      </c>
      <c r="M608" t="str">
        <f>IFERROR(INDEX(Diccionario!$N:$N,MATCH(F666,Diccionario!$C:$C,0)),"")</f>
        <v>Mensual</v>
      </c>
    </row>
    <row r="609" spans="1:13" ht="12" customHeight="1" x14ac:dyDescent="0.3">
      <c r="A609" t="s">
        <v>544</v>
      </c>
      <c r="B609" t="s">
        <v>522</v>
      </c>
      <c r="C609" t="s">
        <v>523</v>
      </c>
      <c r="D609" t="s">
        <v>451</v>
      </c>
      <c r="E609" t="s">
        <v>524</v>
      </c>
      <c r="F609" t="s">
        <v>314</v>
      </c>
      <c r="H609" t="s">
        <v>569</v>
      </c>
      <c r="I609" s="29">
        <v>9000000</v>
      </c>
      <c r="J609" t="s">
        <v>451</v>
      </c>
      <c r="L609" t="s">
        <v>36</v>
      </c>
      <c r="M609" t="str">
        <f>IFERROR(INDEX(Diccionario!$N:$N,MATCH(F668,Diccionario!$C:$C,0)),"")</f>
        <v>Mensual</v>
      </c>
    </row>
    <row r="610" spans="1:13" ht="12" customHeight="1" x14ac:dyDescent="0.3">
      <c r="A610" t="s">
        <v>544</v>
      </c>
      <c r="B610" t="s">
        <v>522</v>
      </c>
      <c r="C610" t="s">
        <v>523</v>
      </c>
      <c r="D610" t="s">
        <v>451</v>
      </c>
      <c r="E610" t="s">
        <v>524</v>
      </c>
      <c r="F610" t="s">
        <v>314</v>
      </c>
      <c r="H610" t="s">
        <v>570</v>
      </c>
      <c r="I610" s="29">
        <v>16400000</v>
      </c>
      <c r="J610" t="s">
        <v>451</v>
      </c>
      <c r="L610" t="s">
        <v>36</v>
      </c>
      <c r="M610" t="str">
        <f>IFERROR(INDEX(Diccionario!$N:$N,MATCH(F670,Diccionario!$C:$C,0)),"")</f>
        <v>Mensual</v>
      </c>
    </row>
    <row r="611" spans="1:13" ht="12" customHeight="1" x14ac:dyDescent="0.3">
      <c r="A611" t="s">
        <v>544</v>
      </c>
      <c r="B611" t="s">
        <v>522</v>
      </c>
      <c r="C611" t="s">
        <v>523</v>
      </c>
      <c r="D611" t="s">
        <v>451</v>
      </c>
      <c r="E611" t="s">
        <v>524</v>
      </c>
      <c r="F611" t="s">
        <v>318</v>
      </c>
      <c r="H611" t="s">
        <v>574</v>
      </c>
      <c r="I611" s="29">
        <v>30100000</v>
      </c>
      <c r="J611" t="s">
        <v>451</v>
      </c>
      <c r="L611" t="s">
        <v>36</v>
      </c>
      <c r="M611" t="str">
        <f>IFERROR(INDEX(Diccionario!$N:$N,MATCH(F548,Diccionario!$C:$C,0)),"")</f>
        <v>Mensual</v>
      </c>
    </row>
    <row r="612" spans="1:13" ht="12" customHeight="1" x14ac:dyDescent="0.3">
      <c r="A612" t="s">
        <v>544</v>
      </c>
      <c r="B612" t="s">
        <v>522</v>
      </c>
      <c r="C612" t="s">
        <v>523</v>
      </c>
      <c r="D612" t="s">
        <v>451</v>
      </c>
      <c r="E612" t="s">
        <v>524</v>
      </c>
      <c r="F612" t="s">
        <v>318</v>
      </c>
      <c r="H612" t="s">
        <v>575</v>
      </c>
      <c r="I612" s="29">
        <v>12070000</v>
      </c>
      <c r="J612" t="s">
        <v>451</v>
      </c>
      <c r="L612" t="s">
        <v>36</v>
      </c>
      <c r="M612" t="str">
        <f>IFERROR(INDEX(Diccionario!$N:$N,MATCH(F549,Diccionario!$C:$C,0)),"")</f>
        <v>Mensual</v>
      </c>
    </row>
    <row r="613" spans="1:13" ht="12" customHeight="1" x14ac:dyDescent="0.3">
      <c r="A613" t="s">
        <v>544</v>
      </c>
      <c r="B613" t="s">
        <v>522</v>
      </c>
      <c r="C613" t="s">
        <v>523</v>
      </c>
      <c r="D613" t="s">
        <v>451</v>
      </c>
      <c r="E613" t="s">
        <v>524</v>
      </c>
      <c r="F613" t="s">
        <v>318</v>
      </c>
      <c r="H613" t="s">
        <v>573</v>
      </c>
      <c r="I613" s="29">
        <v>0</v>
      </c>
      <c r="J613" t="s">
        <v>451</v>
      </c>
      <c r="L613" t="s">
        <v>36</v>
      </c>
      <c r="M613" t="str">
        <f>IFERROR(INDEX(Diccionario!$N:$N,MATCH(F547,Diccionario!$C:$C,0)),"")</f>
        <v>Mensual</v>
      </c>
    </row>
    <row r="614" spans="1:13" ht="12" customHeight="1" x14ac:dyDescent="0.3">
      <c r="A614" t="s">
        <v>544</v>
      </c>
      <c r="B614" t="s">
        <v>522</v>
      </c>
      <c r="C614" t="s">
        <v>523</v>
      </c>
      <c r="D614" t="s">
        <v>451</v>
      </c>
      <c r="E614" t="s">
        <v>524</v>
      </c>
      <c r="F614" t="s">
        <v>318</v>
      </c>
      <c r="H614" t="s">
        <v>572</v>
      </c>
      <c r="I614" s="29">
        <v>0</v>
      </c>
      <c r="J614" t="s">
        <v>451</v>
      </c>
      <c r="L614" t="s">
        <v>36</v>
      </c>
      <c r="M614" t="str">
        <f>IFERROR(INDEX(Diccionario!$N:$N,MATCH(F546,Diccionario!$C:$C,0)),"")</f>
        <v>Mensual</v>
      </c>
    </row>
    <row r="615" spans="1:13" ht="12" customHeight="1" x14ac:dyDescent="0.3">
      <c r="A615" t="s">
        <v>544</v>
      </c>
      <c r="B615" t="s">
        <v>522</v>
      </c>
      <c r="C615" t="s">
        <v>523</v>
      </c>
      <c r="D615" t="s">
        <v>451</v>
      </c>
      <c r="E615" t="s">
        <v>524</v>
      </c>
      <c r="F615" t="s">
        <v>318</v>
      </c>
      <c r="H615" t="s">
        <v>576</v>
      </c>
      <c r="I615" s="29">
        <v>7900000</v>
      </c>
      <c r="J615" t="s">
        <v>451</v>
      </c>
      <c r="L615" t="s">
        <v>36</v>
      </c>
      <c r="M615" t="str">
        <f>IFERROR(INDEX(Diccionario!$N:$N,MATCH(F550,Diccionario!$C:$C,0)),"")</f>
        <v>Mensual</v>
      </c>
    </row>
    <row r="616" spans="1:13" ht="12" customHeight="1" x14ac:dyDescent="0.3">
      <c r="A616" t="s">
        <v>544</v>
      </c>
      <c r="B616" t="s">
        <v>522</v>
      </c>
      <c r="C616" t="s">
        <v>523</v>
      </c>
      <c r="E616" t="s">
        <v>524</v>
      </c>
      <c r="F616" t="s">
        <v>323</v>
      </c>
      <c r="I616" s="36">
        <v>7.9</v>
      </c>
      <c r="J616" t="s">
        <v>65</v>
      </c>
      <c r="L616" t="s">
        <v>36</v>
      </c>
      <c r="M616" t="str">
        <f>IFERROR(INDEX(Diccionario!$N:$N,MATCH(F1016,Diccionario!$C:$C,0)),"")</f>
        <v>Mensual</v>
      </c>
    </row>
    <row r="617" spans="1:13" ht="12" customHeight="1" x14ac:dyDescent="0.3">
      <c r="A617" t="s">
        <v>544</v>
      </c>
      <c r="B617" t="s">
        <v>522</v>
      </c>
      <c r="C617" t="s">
        <v>523</v>
      </c>
      <c r="D617" t="s">
        <v>451</v>
      </c>
      <c r="E617" t="s">
        <v>524</v>
      </c>
      <c r="F617" t="s">
        <v>246</v>
      </c>
      <c r="I617" s="29">
        <v>10257072</v>
      </c>
      <c r="J617" t="s">
        <v>451</v>
      </c>
      <c r="L617" t="s">
        <v>36</v>
      </c>
      <c r="M617" t="str">
        <f>IFERROR(INDEX(Diccionario!$N:$N,MATCH(F1116,Diccionario!$C:$C,0)),"")</f>
        <v/>
      </c>
    </row>
    <row r="618" spans="1:13" ht="12" customHeight="1" x14ac:dyDescent="0.3">
      <c r="A618" t="s">
        <v>544</v>
      </c>
      <c r="B618" t="s">
        <v>522</v>
      </c>
      <c r="C618" t="s">
        <v>523</v>
      </c>
      <c r="D618" t="s">
        <v>451</v>
      </c>
      <c r="E618" t="s">
        <v>524</v>
      </c>
      <c r="F618" t="s">
        <v>309</v>
      </c>
      <c r="H618" t="s">
        <v>567</v>
      </c>
      <c r="I618" s="29">
        <v>16100000</v>
      </c>
      <c r="J618" t="s">
        <v>451</v>
      </c>
      <c r="L618" t="s">
        <v>36</v>
      </c>
      <c r="M618" t="str">
        <f>IFERROR(INDEX(Diccionario!$N:$N,MATCH(F388,Diccionario!$C:$C,0)),"")</f>
        <v>Mensual</v>
      </c>
    </row>
    <row r="619" spans="1:13" ht="12" customHeight="1" x14ac:dyDescent="0.3">
      <c r="A619" t="s">
        <v>544</v>
      </c>
      <c r="B619" t="s">
        <v>522</v>
      </c>
      <c r="C619" t="s">
        <v>523</v>
      </c>
      <c r="D619" t="s">
        <v>451</v>
      </c>
      <c r="E619" t="s">
        <v>524</v>
      </c>
      <c r="F619" t="s">
        <v>309</v>
      </c>
      <c r="H619" t="s">
        <v>571</v>
      </c>
      <c r="I619" s="29">
        <v>27200000</v>
      </c>
      <c r="J619" t="s">
        <v>451</v>
      </c>
      <c r="L619" t="s">
        <v>36</v>
      </c>
      <c r="M619" t="str">
        <f>IFERROR(INDEX(Diccionario!$N:$N,MATCH(F392,Diccionario!$C:$C,0)),"")</f>
        <v>Mensual</v>
      </c>
    </row>
    <row r="620" spans="1:13" ht="12" customHeight="1" x14ac:dyDescent="0.3">
      <c r="A620" t="s">
        <v>544</v>
      </c>
      <c r="B620" t="s">
        <v>522</v>
      </c>
      <c r="C620" t="s">
        <v>523</v>
      </c>
      <c r="D620" t="s">
        <v>451</v>
      </c>
      <c r="E620" t="s">
        <v>524</v>
      </c>
      <c r="F620" t="s">
        <v>309</v>
      </c>
      <c r="H620" t="s">
        <v>566</v>
      </c>
      <c r="I620" s="29">
        <v>6100000</v>
      </c>
      <c r="J620" t="s">
        <v>451</v>
      </c>
      <c r="L620" t="s">
        <v>36</v>
      </c>
      <c r="M620" t="str">
        <f>IFERROR(INDEX(Diccionario!$N:$N,MATCH(F387,Diccionario!$C:$C,0)),"")</f>
        <v>Mensual</v>
      </c>
    </row>
    <row r="621" spans="1:13" ht="12" customHeight="1" x14ac:dyDescent="0.3">
      <c r="A621" t="s">
        <v>544</v>
      </c>
      <c r="B621" t="s">
        <v>522</v>
      </c>
      <c r="C621" t="s">
        <v>523</v>
      </c>
      <c r="D621" t="s">
        <v>451</v>
      </c>
      <c r="E621" t="s">
        <v>524</v>
      </c>
      <c r="F621" t="s">
        <v>309</v>
      </c>
      <c r="H621" t="s">
        <v>565</v>
      </c>
      <c r="I621" s="29">
        <v>62400000</v>
      </c>
      <c r="J621" t="s">
        <v>451</v>
      </c>
      <c r="L621" t="s">
        <v>36</v>
      </c>
      <c r="M621" t="str">
        <f>IFERROR(INDEX(Diccionario!$N:$N,MATCH(F386,Diccionario!$C:$C,0)),"")</f>
        <v>Mensual</v>
      </c>
    </row>
    <row r="622" spans="1:13" ht="12" customHeight="1" x14ac:dyDescent="0.3">
      <c r="A622" t="s">
        <v>544</v>
      </c>
      <c r="B622" t="s">
        <v>522</v>
      </c>
      <c r="C622" t="s">
        <v>523</v>
      </c>
      <c r="D622" t="s">
        <v>451</v>
      </c>
      <c r="E622" t="s">
        <v>524</v>
      </c>
      <c r="F622" t="s">
        <v>309</v>
      </c>
      <c r="H622" t="s">
        <v>568</v>
      </c>
      <c r="I622" s="29">
        <v>1800000</v>
      </c>
      <c r="J622" t="s">
        <v>451</v>
      </c>
      <c r="L622" t="s">
        <v>36</v>
      </c>
      <c r="M622" t="str">
        <f>IFERROR(INDEX(Diccionario!$N:$N,MATCH(F389,Diccionario!$C:$C,0)),"")</f>
        <v>Mensual</v>
      </c>
    </row>
    <row r="623" spans="1:13" ht="12" customHeight="1" x14ac:dyDescent="0.3">
      <c r="A623" t="s">
        <v>544</v>
      </c>
      <c r="B623" t="s">
        <v>522</v>
      </c>
      <c r="C623" t="s">
        <v>523</v>
      </c>
      <c r="D623" t="s">
        <v>451</v>
      </c>
      <c r="E623" t="s">
        <v>524</v>
      </c>
      <c r="F623" t="s">
        <v>309</v>
      </c>
      <c r="H623" t="s">
        <v>569</v>
      </c>
      <c r="I623" s="29">
        <v>3000000</v>
      </c>
      <c r="J623" t="s">
        <v>451</v>
      </c>
      <c r="L623" t="s">
        <v>36</v>
      </c>
      <c r="M623" t="str">
        <f>IFERROR(INDEX(Diccionario!$N:$N,MATCH(F390,Diccionario!$C:$C,0)),"")</f>
        <v>Mensual</v>
      </c>
    </row>
    <row r="624" spans="1:13" ht="12" customHeight="1" x14ac:dyDescent="0.3">
      <c r="A624" t="s">
        <v>544</v>
      </c>
      <c r="B624" t="s">
        <v>522</v>
      </c>
      <c r="C624" t="s">
        <v>523</v>
      </c>
      <c r="D624" t="s">
        <v>451</v>
      </c>
      <c r="E624" t="s">
        <v>524</v>
      </c>
      <c r="F624" t="s">
        <v>309</v>
      </c>
      <c r="H624" t="s">
        <v>570</v>
      </c>
      <c r="I624" s="29">
        <v>4300000</v>
      </c>
      <c r="J624" t="s">
        <v>451</v>
      </c>
      <c r="L624" t="s">
        <v>36</v>
      </c>
      <c r="M624" t="str">
        <f>IFERROR(INDEX(Diccionario!$N:$N,MATCH(F391,Diccionario!$C:$C,0)),"")</f>
        <v>Mensual</v>
      </c>
    </row>
    <row r="625" spans="1:13" ht="12" customHeight="1" x14ac:dyDescent="0.3">
      <c r="A625" t="s">
        <v>544</v>
      </c>
      <c r="B625" t="s">
        <v>522</v>
      </c>
      <c r="C625" t="s">
        <v>523</v>
      </c>
      <c r="D625" t="s">
        <v>451</v>
      </c>
      <c r="E625" t="s">
        <v>524</v>
      </c>
      <c r="F625" t="s">
        <v>304</v>
      </c>
      <c r="H625" t="s">
        <v>564</v>
      </c>
      <c r="I625" s="29">
        <v>121000000</v>
      </c>
      <c r="J625" t="s">
        <v>451</v>
      </c>
      <c r="L625" t="s">
        <v>36</v>
      </c>
      <c r="M625" t="str">
        <f>IFERROR(INDEX(Diccionario!$N:$N,MATCH(F208,Diccionario!$C:$C,0)),"")</f>
        <v>Mensual</v>
      </c>
    </row>
    <row r="626" spans="1:13" ht="12" customHeight="1" x14ac:dyDescent="0.3">
      <c r="A626" t="s">
        <v>544</v>
      </c>
      <c r="B626" t="s">
        <v>522</v>
      </c>
      <c r="C626" t="s">
        <v>523</v>
      </c>
      <c r="D626" t="s">
        <v>451</v>
      </c>
      <c r="E626" t="s">
        <v>524</v>
      </c>
      <c r="F626" t="s">
        <v>304</v>
      </c>
      <c r="H626" t="s">
        <v>190</v>
      </c>
      <c r="I626" s="29">
        <v>169000000</v>
      </c>
      <c r="J626" t="s">
        <v>451</v>
      </c>
      <c r="L626" t="s">
        <v>36</v>
      </c>
      <c r="M626" t="str">
        <f>IFERROR(INDEX(Diccionario!$N:$N,MATCH(F207,Diccionario!$C:$C,0)),"")</f>
        <v>Mensual</v>
      </c>
    </row>
    <row r="627" spans="1:13" ht="12" customHeight="1" x14ac:dyDescent="0.3">
      <c r="A627" t="s">
        <v>544</v>
      </c>
      <c r="B627" t="s">
        <v>522</v>
      </c>
      <c r="C627" t="s">
        <v>523</v>
      </c>
      <c r="D627" t="s">
        <v>451</v>
      </c>
      <c r="E627" t="s">
        <v>524</v>
      </c>
      <c r="F627" t="s">
        <v>304</v>
      </c>
      <c r="H627" t="s">
        <v>561</v>
      </c>
      <c r="I627" s="29">
        <v>1400000</v>
      </c>
      <c r="J627" t="s">
        <v>451</v>
      </c>
      <c r="L627" t="s">
        <v>36</v>
      </c>
      <c r="M627" t="str">
        <f>IFERROR(INDEX(Diccionario!$N:$N,MATCH(F204,Diccionario!$C:$C,0)),"")</f>
        <v>Mensual</v>
      </c>
    </row>
    <row r="628" spans="1:13" ht="12" customHeight="1" x14ac:dyDescent="0.3">
      <c r="A628" t="s">
        <v>544</v>
      </c>
      <c r="B628" t="s">
        <v>522</v>
      </c>
      <c r="C628" t="s">
        <v>523</v>
      </c>
      <c r="D628" t="s">
        <v>451</v>
      </c>
      <c r="E628" t="s">
        <v>524</v>
      </c>
      <c r="F628" t="s">
        <v>304</v>
      </c>
      <c r="H628" t="s">
        <v>563</v>
      </c>
      <c r="I628" s="29">
        <v>102000000</v>
      </c>
      <c r="J628" t="s">
        <v>451</v>
      </c>
      <c r="L628" t="s">
        <v>36</v>
      </c>
      <c r="M628" t="str">
        <f>IFERROR(INDEX(Diccionario!$N:$N,MATCH(F206,Diccionario!$C:$C,0)),"")</f>
        <v>Mensual</v>
      </c>
    </row>
    <row r="629" spans="1:13" ht="12" customHeight="1" x14ac:dyDescent="0.3">
      <c r="A629" t="s">
        <v>544</v>
      </c>
      <c r="B629" t="s">
        <v>522</v>
      </c>
      <c r="C629" t="s">
        <v>523</v>
      </c>
      <c r="D629" t="s">
        <v>451</v>
      </c>
      <c r="E629" t="s">
        <v>524</v>
      </c>
      <c r="F629" t="s">
        <v>304</v>
      </c>
      <c r="H629" t="s">
        <v>562</v>
      </c>
      <c r="I629" s="29">
        <v>332000000</v>
      </c>
      <c r="J629" t="s">
        <v>451</v>
      </c>
      <c r="L629" t="s">
        <v>36</v>
      </c>
      <c r="M629" t="str">
        <f>IFERROR(INDEX(Diccionario!$N:$N,MATCH(F205,Diccionario!$C:$C,0)),"")</f>
        <v>Mensual</v>
      </c>
    </row>
    <row r="630" spans="1:13" ht="12" customHeight="1" x14ac:dyDescent="0.3">
      <c r="A630" t="s">
        <v>544</v>
      </c>
      <c r="B630" t="s">
        <v>522</v>
      </c>
      <c r="C630" t="s">
        <v>523</v>
      </c>
      <c r="D630" t="s">
        <v>451</v>
      </c>
      <c r="E630" t="s">
        <v>524</v>
      </c>
      <c r="F630" t="s">
        <v>377</v>
      </c>
      <c r="H630" t="s">
        <v>571</v>
      </c>
      <c r="I630" s="29">
        <v>7600000</v>
      </c>
      <c r="J630" t="s">
        <v>451</v>
      </c>
      <c r="L630" t="s">
        <v>36</v>
      </c>
      <c r="M630" t="str">
        <f>IFERROR(INDEX(Diccionario!$N:$N,MATCH(F946,Diccionario!$C:$C,0)),"")</f>
        <v>Mensual</v>
      </c>
    </row>
    <row r="631" spans="1:13" ht="12" customHeight="1" x14ac:dyDescent="0.3">
      <c r="A631" t="s">
        <v>544</v>
      </c>
      <c r="B631" t="s">
        <v>522</v>
      </c>
      <c r="C631" t="s">
        <v>523</v>
      </c>
      <c r="D631" t="s">
        <v>451</v>
      </c>
      <c r="E631" t="s">
        <v>524</v>
      </c>
      <c r="F631" t="s">
        <v>377</v>
      </c>
      <c r="H631" t="s">
        <v>577</v>
      </c>
      <c r="I631" s="29">
        <v>24700000</v>
      </c>
      <c r="J631" t="s">
        <v>451</v>
      </c>
      <c r="L631" t="s">
        <v>36</v>
      </c>
      <c r="M631" t="str">
        <f>IFERROR(INDEX(Diccionario!$N:$N,MATCH(F942,Diccionario!$C:$C,0)),"")</f>
        <v>Mensual</v>
      </c>
    </row>
    <row r="632" spans="1:13" ht="12" customHeight="1" x14ac:dyDescent="0.3">
      <c r="A632" t="s">
        <v>544</v>
      </c>
      <c r="B632" t="s">
        <v>522</v>
      </c>
      <c r="C632" t="s">
        <v>523</v>
      </c>
      <c r="D632" t="s">
        <v>451</v>
      </c>
      <c r="E632" t="s">
        <v>524</v>
      </c>
      <c r="F632" t="s">
        <v>377</v>
      </c>
      <c r="H632" t="s">
        <v>565</v>
      </c>
      <c r="I632" s="29">
        <v>77100000</v>
      </c>
      <c r="J632" t="s">
        <v>451</v>
      </c>
      <c r="L632" t="s">
        <v>36</v>
      </c>
      <c r="M632" t="str">
        <f>IFERROR(INDEX(Diccionario!$N:$N,MATCH(F941,Diccionario!$C:$C,0)),"")</f>
        <v>Mensual</v>
      </c>
    </row>
    <row r="633" spans="1:13" ht="12" customHeight="1" x14ac:dyDescent="0.3">
      <c r="A633" t="s">
        <v>544</v>
      </c>
      <c r="B633" t="s">
        <v>522</v>
      </c>
      <c r="C633" t="s">
        <v>523</v>
      </c>
      <c r="D633" t="s">
        <v>451</v>
      </c>
      <c r="E633" t="s">
        <v>524</v>
      </c>
      <c r="F633" t="s">
        <v>377</v>
      </c>
      <c r="H633" t="s">
        <v>568</v>
      </c>
      <c r="I633" s="29">
        <v>0</v>
      </c>
      <c r="J633" t="s">
        <v>451</v>
      </c>
      <c r="L633" t="s">
        <v>36</v>
      </c>
      <c r="M633" t="str">
        <f>IFERROR(INDEX(Diccionario!$N:$N,MATCH(F943,Diccionario!$C:$C,0)),"")</f>
        <v>Mensual</v>
      </c>
    </row>
    <row r="634" spans="1:13" ht="12" customHeight="1" x14ac:dyDescent="0.3">
      <c r="A634" t="s">
        <v>544</v>
      </c>
      <c r="B634" t="s">
        <v>522</v>
      </c>
      <c r="C634" t="s">
        <v>523</v>
      </c>
      <c r="D634" t="s">
        <v>451</v>
      </c>
      <c r="E634" t="s">
        <v>524</v>
      </c>
      <c r="F634" t="s">
        <v>377</v>
      </c>
      <c r="H634" t="s">
        <v>569</v>
      </c>
      <c r="I634" s="29">
        <v>33200000</v>
      </c>
      <c r="J634" t="s">
        <v>451</v>
      </c>
      <c r="L634" t="s">
        <v>36</v>
      </c>
      <c r="M634" t="str">
        <f>IFERROR(INDEX(Diccionario!$N:$N,MATCH(F944,Diccionario!$C:$C,0)),"")</f>
        <v>Mensual</v>
      </c>
    </row>
    <row r="635" spans="1:13" ht="12" customHeight="1" x14ac:dyDescent="0.3">
      <c r="A635" t="s">
        <v>544</v>
      </c>
      <c r="B635" t="s">
        <v>522</v>
      </c>
      <c r="C635" t="s">
        <v>523</v>
      </c>
      <c r="D635" t="s">
        <v>451</v>
      </c>
      <c r="E635" t="s">
        <v>524</v>
      </c>
      <c r="F635" t="s">
        <v>377</v>
      </c>
      <c r="H635" t="s">
        <v>570</v>
      </c>
      <c r="I635" s="29">
        <v>26700000</v>
      </c>
      <c r="J635" t="s">
        <v>451</v>
      </c>
      <c r="L635" t="s">
        <v>36</v>
      </c>
      <c r="M635" t="str">
        <f>IFERROR(INDEX(Diccionario!$N:$N,MATCH(F945,Diccionario!$C:$C,0)),"")</f>
        <v>Mensual</v>
      </c>
    </row>
    <row r="636" spans="1:13" ht="12" customHeight="1" x14ac:dyDescent="0.3">
      <c r="A636" t="s">
        <v>544</v>
      </c>
      <c r="B636" t="s">
        <v>522</v>
      </c>
      <c r="C636" t="s">
        <v>523</v>
      </c>
      <c r="D636" t="s">
        <v>451</v>
      </c>
      <c r="E636" t="s">
        <v>524</v>
      </c>
      <c r="F636" t="s">
        <v>371</v>
      </c>
      <c r="H636" t="s">
        <v>566</v>
      </c>
      <c r="I636" s="29">
        <v>7600000</v>
      </c>
      <c r="J636" t="s">
        <v>451</v>
      </c>
      <c r="L636" t="s">
        <v>36</v>
      </c>
      <c r="M636" t="str">
        <f>IFERROR(INDEX(Diccionario!$N:$N,MATCH(F789,Diccionario!$C:$C,0)),"")</f>
        <v>Mensual</v>
      </c>
    </row>
    <row r="637" spans="1:13" ht="12" customHeight="1" x14ac:dyDescent="0.3">
      <c r="A637" t="s">
        <v>544</v>
      </c>
      <c r="B637" t="s">
        <v>522</v>
      </c>
      <c r="C637" t="s">
        <v>523</v>
      </c>
      <c r="D637" t="s">
        <v>451</v>
      </c>
      <c r="E637" t="s">
        <v>524</v>
      </c>
      <c r="F637" t="s">
        <v>371</v>
      </c>
      <c r="H637" t="s">
        <v>565</v>
      </c>
      <c r="I637" s="29">
        <v>200000000</v>
      </c>
      <c r="J637" t="s">
        <v>451</v>
      </c>
      <c r="L637" t="s">
        <v>36</v>
      </c>
      <c r="M637" t="str">
        <f>IFERROR(INDEX(Diccionario!$N:$N,MATCH(F788,Diccionario!$C:$C,0)),"")</f>
        <v>Mensual</v>
      </c>
    </row>
    <row r="638" spans="1:13" ht="12" customHeight="1" x14ac:dyDescent="0.3">
      <c r="A638" t="s">
        <v>544</v>
      </c>
      <c r="B638" t="s">
        <v>522</v>
      </c>
      <c r="C638" t="s">
        <v>523</v>
      </c>
      <c r="D638" t="s">
        <v>451</v>
      </c>
      <c r="E638" t="s">
        <v>524</v>
      </c>
      <c r="F638" t="s">
        <v>371</v>
      </c>
      <c r="H638" t="s">
        <v>569</v>
      </c>
      <c r="I638" s="29">
        <v>15200000</v>
      </c>
      <c r="J638" t="s">
        <v>451</v>
      </c>
      <c r="L638" t="s">
        <v>36</v>
      </c>
      <c r="M638" t="str">
        <f>IFERROR(INDEX(Diccionario!$N:$N,MATCH(F790,Diccionario!$C:$C,0)),"")</f>
        <v>Mensual</v>
      </c>
    </row>
    <row r="639" spans="1:13" ht="12" customHeight="1" x14ac:dyDescent="0.3">
      <c r="A639" t="s">
        <v>544</v>
      </c>
      <c r="B639" t="s">
        <v>522</v>
      </c>
      <c r="C639" t="s">
        <v>523</v>
      </c>
      <c r="D639" t="s">
        <v>451</v>
      </c>
      <c r="E639" t="s">
        <v>524</v>
      </c>
      <c r="F639" t="s">
        <v>371</v>
      </c>
      <c r="H639" t="s">
        <v>570</v>
      </c>
      <c r="I639" s="29">
        <v>9000000</v>
      </c>
      <c r="J639" t="s">
        <v>451</v>
      </c>
      <c r="L639" t="s">
        <v>36</v>
      </c>
      <c r="M639" t="str">
        <f>IFERROR(INDEX(Diccionario!$N:$N,MATCH(F791,Diccionario!$C:$C,0)),"")</f>
        <v>Mensual</v>
      </c>
    </row>
    <row r="640" spans="1:13" ht="12" customHeight="1" x14ac:dyDescent="0.3">
      <c r="A640" t="s">
        <v>544</v>
      </c>
      <c r="B640" t="s">
        <v>522</v>
      </c>
      <c r="C640" t="s">
        <v>523</v>
      </c>
      <c r="D640" t="s">
        <v>451</v>
      </c>
      <c r="E640" t="s">
        <v>524</v>
      </c>
      <c r="F640" t="s">
        <v>241</v>
      </c>
      <c r="I640" s="29">
        <v>30328404</v>
      </c>
      <c r="J640" t="s">
        <v>451</v>
      </c>
      <c r="L640" t="s">
        <v>36</v>
      </c>
      <c r="M640" t="str">
        <f>IFERROR(INDEX(Diccionario!$N:$N,MATCH(F1100,Diccionario!$C:$C,0)),"")</f>
        <v/>
      </c>
    </row>
    <row r="641" spans="1:13" ht="12" customHeight="1" x14ac:dyDescent="0.3">
      <c r="A641" t="s">
        <v>544</v>
      </c>
      <c r="B641" t="s">
        <v>522</v>
      </c>
      <c r="C641" t="s">
        <v>523</v>
      </c>
      <c r="D641" t="s">
        <v>451</v>
      </c>
      <c r="E641" t="s">
        <v>524</v>
      </c>
      <c r="F641" t="s">
        <v>258</v>
      </c>
      <c r="I641" s="29">
        <v>645143880</v>
      </c>
      <c r="J641" t="s">
        <v>451</v>
      </c>
      <c r="L641" t="s">
        <v>36</v>
      </c>
      <c r="M641" t="str">
        <f>IFERROR(INDEX(Diccionario!$N:$N,MATCH(F1087,Diccionario!$C:$C,0)),"")</f>
        <v/>
      </c>
    </row>
    <row r="642" spans="1:13" ht="12" customHeight="1" x14ac:dyDescent="0.3">
      <c r="A642" t="s">
        <v>545</v>
      </c>
      <c r="B642" t="s">
        <v>522</v>
      </c>
      <c r="C642" t="s">
        <v>523</v>
      </c>
      <c r="D642" t="s">
        <v>451</v>
      </c>
      <c r="E642" t="s">
        <v>524</v>
      </c>
      <c r="F642" t="s">
        <v>255</v>
      </c>
      <c r="I642" s="29">
        <v>-1414500</v>
      </c>
      <c r="J642" t="s">
        <v>451</v>
      </c>
      <c r="L642" t="s">
        <v>36</v>
      </c>
      <c r="M642" t="str">
        <f>IFERROR(INDEX(Diccionario!$N:$N,MATCH(F1143,Diccionario!$C:$C,0)),"")</f>
        <v/>
      </c>
    </row>
    <row r="643" spans="1:13" ht="12" customHeight="1" x14ac:dyDescent="0.3">
      <c r="A643" t="s">
        <v>545</v>
      </c>
      <c r="B643" t="s">
        <v>522</v>
      </c>
      <c r="C643" t="s">
        <v>523</v>
      </c>
      <c r="D643" t="s">
        <v>451</v>
      </c>
      <c r="E643" t="s">
        <v>524</v>
      </c>
      <c r="F643" t="s">
        <v>252</v>
      </c>
      <c r="I643" s="29">
        <v>-47500121</v>
      </c>
      <c r="J643" t="s">
        <v>451</v>
      </c>
      <c r="L643" t="s">
        <v>36</v>
      </c>
      <c r="M643" t="str">
        <f>IFERROR(INDEX(Diccionario!$N:$N,MATCH(F1130,Diccionario!$C:$C,0)),"")</f>
        <v/>
      </c>
    </row>
    <row r="644" spans="1:13" ht="12" customHeight="1" x14ac:dyDescent="0.3">
      <c r="A644" t="s">
        <v>545</v>
      </c>
      <c r="B644" t="s">
        <v>522</v>
      </c>
      <c r="C644" t="s">
        <v>523</v>
      </c>
      <c r="D644" t="s">
        <v>451</v>
      </c>
      <c r="E644" t="s">
        <v>524</v>
      </c>
      <c r="F644" t="s">
        <v>314</v>
      </c>
      <c r="H644" t="s">
        <v>577</v>
      </c>
      <c r="I644" s="29">
        <v>4000000</v>
      </c>
      <c r="J644" t="s">
        <v>451</v>
      </c>
      <c r="L644" t="s">
        <v>36</v>
      </c>
      <c r="M644" t="str">
        <f>IFERROR(INDEX(Diccionario!$N:$N,MATCH(F672,Diccionario!$C:$C,0)),"")</f>
        <v>Mensual</v>
      </c>
    </row>
    <row r="645" spans="1:13" ht="12" customHeight="1" x14ac:dyDescent="0.3">
      <c r="A645" t="s">
        <v>545</v>
      </c>
      <c r="B645" t="s">
        <v>522</v>
      </c>
      <c r="C645" t="s">
        <v>523</v>
      </c>
      <c r="D645" t="s">
        <v>451</v>
      </c>
      <c r="E645" t="s">
        <v>524</v>
      </c>
      <c r="F645" t="s">
        <v>314</v>
      </c>
      <c r="H645" t="s">
        <v>578</v>
      </c>
      <c r="I645" s="29">
        <v>500000</v>
      </c>
      <c r="J645" t="s">
        <v>451</v>
      </c>
      <c r="L645" t="s">
        <v>36</v>
      </c>
      <c r="M645" t="str">
        <f>IFERROR(INDEX(Diccionario!$N:$N,MATCH(F674,Diccionario!$C:$C,0)),"")</f>
        <v>Mensual</v>
      </c>
    </row>
    <row r="646" spans="1:13" ht="12" customHeight="1" x14ac:dyDescent="0.3">
      <c r="A646" t="s">
        <v>545</v>
      </c>
      <c r="B646" t="s">
        <v>522</v>
      </c>
      <c r="C646" t="s">
        <v>523</v>
      </c>
      <c r="D646" t="s">
        <v>451</v>
      </c>
      <c r="E646" t="s">
        <v>524</v>
      </c>
      <c r="F646" t="s">
        <v>314</v>
      </c>
      <c r="H646" t="s">
        <v>565</v>
      </c>
      <c r="I646" s="29">
        <v>62500000</v>
      </c>
      <c r="J646" t="s">
        <v>451</v>
      </c>
      <c r="L646" t="s">
        <v>36</v>
      </c>
      <c r="M646" t="str">
        <f>IFERROR(INDEX(Diccionario!$N:$N,MATCH(F671,Diccionario!$C:$C,0)),"")</f>
        <v>Mensual</v>
      </c>
    </row>
    <row r="647" spans="1:13" ht="12" customHeight="1" x14ac:dyDescent="0.3">
      <c r="A647" t="s">
        <v>545</v>
      </c>
      <c r="B647" t="s">
        <v>522</v>
      </c>
      <c r="C647" t="s">
        <v>523</v>
      </c>
      <c r="D647" t="s">
        <v>451</v>
      </c>
      <c r="E647" t="s">
        <v>524</v>
      </c>
      <c r="F647" t="s">
        <v>314</v>
      </c>
      <c r="H647" t="s">
        <v>569</v>
      </c>
      <c r="I647" s="29">
        <v>9800000</v>
      </c>
      <c r="J647" t="s">
        <v>451</v>
      </c>
      <c r="L647" t="s">
        <v>36</v>
      </c>
      <c r="M647" t="str">
        <f>IFERROR(INDEX(Diccionario!$N:$N,MATCH(F673,Diccionario!$C:$C,0)),"")</f>
        <v>Mensual</v>
      </c>
    </row>
    <row r="648" spans="1:13" ht="12" customHeight="1" x14ac:dyDescent="0.3">
      <c r="A648" t="s">
        <v>545</v>
      </c>
      <c r="B648" t="s">
        <v>522</v>
      </c>
      <c r="C648" t="s">
        <v>523</v>
      </c>
      <c r="D648" t="s">
        <v>451</v>
      </c>
      <c r="E648" t="s">
        <v>524</v>
      </c>
      <c r="F648" t="s">
        <v>314</v>
      </c>
      <c r="H648" t="s">
        <v>570</v>
      </c>
      <c r="I648" s="29">
        <v>8600000</v>
      </c>
      <c r="J648" t="s">
        <v>451</v>
      </c>
      <c r="L648" t="s">
        <v>36</v>
      </c>
      <c r="M648" t="str">
        <f>IFERROR(INDEX(Diccionario!$N:$N,MATCH(F675,Diccionario!$C:$C,0)),"")</f>
        <v>Mensual</v>
      </c>
    </row>
    <row r="649" spans="1:13" ht="12" customHeight="1" x14ac:dyDescent="0.3">
      <c r="A649" t="s">
        <v>545</v>
      </c>
      <c r="B649" t="s">
        <v>522</v>
      </c>
      <c r="C649" t="s">
        <v>523</v>
      </c>
      <c r="D649" t="s">
        <v>451</v>
      </c>
      <c r="E649" t="s">
        <v>524</v>
      </c>
      <c r="F649" t="s">
        <v>318</v>
      </c>
      <c r="H649" t="s">
        <v>574</v>
      </c>
      <c r="I649" s="29">
        <v>75800000</v>
      </c>
      <c r="J649" t="s">
        <v>451</v>
      </c>
      <c r="L649" t="s">
        <v>36</v>
      </c>
      <c r="M649" t="str">
        <f>IFERROR(INDEX(Diccionario!$N:$N,MATCH(F553,Diccionario!$C:$C,0)),"")</f>
        <v>Mensual</v>
      </c>
    </row>
    <row r="650" spans="1:13" ht="12" customHeight="1" x14ac:dyDescent="0.3">
      <c r="A650" t="s">
        <v>545</v>
      </c>
      <c r="B650" t="s">
        <v>522</v>
      </c>
      <c r="C650" t="s">
        <v>523</v>
      </c>
      <c r="D650" t="s">
        <v>451</v>
      </c>
      <c r="E650" t="s">
        <v>524</v>
      </c>
      <c r="F650" t="s">
        <v>318</v>
      </c>
      <c r="H650" t="s">
        <v>575</v>
      </c>
      <c r="I650" s="29">
        <v>10800000</v>
      </c>
      <c r="J650" t="s">
        <v>451</v>
      </c>
      <c r="L650" t="s">
        <v>36</v>
      </c>
      <c r="M650" t="str">
        <f>IFERROR(INDEX(Diccionario!$N:$N,MATCH(F554,Diccionario!$C:$C,0)),"")</f>
        <v>Mensual</v>
      </c>
    </row>
    <row r="651" spans="1:13" ht="12" customHeight="1" x14ac:dyDescent="0.3">
      <c r="A651" t="s">
        <v>545</v>
      </c>
      <c r="B651" t="s">
        <v>522</v>
      </c>
      <c r="C651" t="s">
        <v>523</v>
      </c>
      <c r="D651" t="s">
        <v>451</v>
      </c>
      <c r="E651" t="s">
        <v>524</v>
      </c>
      <c r="F651" t="s">
        <v>318</v>
      </c>
      <c r="H651" t="s">
        <v>573</v>
      </c>
      <c r="I651" s="29">
        <v>0</v>
      </c>
      <c r="J651" t="s">
        <v>451</v>
      </c>
      <c r="L651" t="s">
        <v>36</v>
      </c>
      <c r="M651" t="str">
        <f>IFERROR(INDEX(Diccionario!$N:$N,MATCH(F552,Diccionario!$C:$C,0)),"")</f>
        <v>Mensual</v>
      </c>
    </row>
    <row r="652" spans="1:13" ht="12" customHeight="1" x14ac:dyDescent="0.3">
      <c r="A652" t="s">
        <v>545</v>
      </c>
      <c r="B652" t="s">
        <v>522</v>
      </c>
      <c r="C652" t="s">
        <v>523</v>
      </c>
      <c r="D652" t="s">
        <v>451</v>
      </c>
      <c r="E652" t="s">
        <v>524</v>
      </c>
      <c r="F652" t="s">
        <v>318</v>
      </c>
      <c r="H652" t="s">
        <v>572</v>
      </c>
      <c r="I652" s="29">
        <v>0</v>
      </c>
      <c r="J652" t="s">
        <v>451</v>
      </c>
      <c r="L652" t="s">
        <v>36</v>
      </c>
      <c r="M652" t="str">
        <f>IFERROR(INDEX(Diccionario!$N:$N,MATCH(F551,Diccionario!$C:$C,0)),"")</f>
        <v>Mensual</v>
      </c>
    </row>
    <row r="653" spans="1:13" ht="12" customHeight="1" x14ac:dyDescent="0.3">
      <c r="A653" t="s">
        <v>545</v>
      </c>
      <c r="B653" t="s">
        <v>522</v>
      </c>
      <c r="C653" t="s">
        <v>523</v>
      </c>
      <c r="D653" t="s">
        <v>451</v>
      </c>
      <c r="E653" t="s">
        <v>524</v>
      </c>
      <c r="F653" t="s">
        <v>318</v>
      </c>
      <c r="H653" t="s">
        <v>576</v>
      </c>
      <c r="I653" s="29">
        <v>14600000</v>
      </c>
      <c r="J653" t="s">
        <v>451</v>
      </c>
      <c r="L653" t="s">
        <v>36</v>
      </c>
      <c r="M653" t="str">
        <f>IFERROR(INDEX(Diccionario!$N:$N,MATCH(F555,Diccionario!$C:$C,0)),"")</f>
        <v>Mensual</v>
      </c>
    </row>
    <row r="654" spans="1:13" ht="12" customHeight="1" x14ac:dyDescent="0.3">
      <c r="A654" t="s">
        <v>545</v>
      </c>
      <c r="B654" t="s">
        <v>522</v>
      </c>
      <c r="C654" t="s">
        <v>523</v>
      </c>
      <c r="E654" t="s">
        <v>524</v>
      </c>
      <c r="F654" t="s">
        <v>323</v>
      </c>
      <c r="I654" s="36">
        <v>13.35</v>
      </c>
      <c r="J654" t="s">
        <v>65</v>
      </c>
      <c r="L654" t="s">
        <v>36</v>
      </c>
      <c r="M654" t="str">
        <f>IFERROR(INDEX(Diccionario!$N:$N,MATCH(F1017,Diccionario!$C:$C,0)),"")</f>
        <v>Mensual</v>
      </c>
    </row>
    <row r="655" spans="1:13" ht="12" customHeight="1" x14ac:dyDescent="0.3">
      <c r="A655" t="s">
        <v>545</v>
      </c>
      <c r="B655" t="s">
        <v>522</v>
      </c>
      <c r="C655" t="s">
        <v>523</v>
      </c>
      <c r="D655" t="s">
        <v>451</v>
      </c>
      <c r="E655" t="s">
        <v>524</v>
      </c>
      <c r="F655" t="s">
        <v>246</v>
      </c>
      <c r="I655" s="29">
        <v>20728046</v>
      </c>
      <c r="J655" t="s">
        <v>451</v>
      </c>
      <c r="L655" t="s">
        <v>36</v>
      </c>
      <c r="M655" t="str">
        <f>IFERROR(INDEX(Diccionario!$N:$N,MATCH(F1117,Diccionario!$C:$C,0)),"")</f>
        <v/>
      </c>
    </row>
    <row r="656" spans="1:13" ht="12" customHeight="1" x14ac:dyDescent="0.3">
      <c r="A656" t="s">
        <v>545</v>
      </c>
      <c r="B656" t="s">
        <v>522</v>
      </c>
      <c r="C656" t="s">
        <v>523</v>
      </c>
      <c r="D656" t="s">
        <v>451</v>
      </c>
      <c r="E656" t="s">
        <v>524</v>
      </c>
      <c r="F656" t="s">
        <v>309</v>
      </c>
      <c r="H656" t="s">
        <v>567</v>
      </c>
      <c r="I656" s="29">
        <v>12700000</v>
      </c>
      <c r="J656" t="s">
        <v>451</v>
      </c>
      <c r="L656" t="s">
        <v>36</v>
      </c>
      <c r="M656" t="str">
        <f>IFERROR(INDEX(Diccionario!$N:$N,MATCH(F395,Diccionario!$C:$C,0)),"")</f>
        <v>Mensual</v>
      </c>
    </row>
    <row r="657" spans="1:13" ht="12" customHeight="1" x14ac:dyDescent="0.3">
      <c r="A657" t="s">
        <v>545</v>
      </c>
      <c r="B657" t="s">
        <v>522</v>
      </c>
      <c r="C657" t="s">
        <v>523</v>
      </c>
      <c r="D657" t="s">
        <v>451</v>
      </c>
      <c r="E657" t="s">
        <v>524</v>
      </c>
      <c r="F657" t="s">
        <v>309</v>
      </c>
      <c r="H657" t="s">
        <v>571</v>
      </c>
      <c r="I657" s="29">
        <v>8000000</v>
      </c>
      <c r="J657" t="s">
        <v>451</v>
      </c>
      <c r="L657" t="s">
        <v>36</v>
      </c>
      <c r="M657" t="str">
        <f>IFERROR(INDEX(Diccionario!$N:$N,MATCH(F399,Diccionario!$C:$C,0)),"")</f>
        <v>Mensual</v>
      </c>
    </row>
    <row r="658" spans="1:13" ht="12" customHeight="1" x14ac:dyDescent="0.3">
      <c r="A658" t="s">
        <v>545</v>
      </c>
      <c r="B658" t="s">
        <v>522</v>
      </c>
      <c r="C658" t="s">
        <v>523</v>
      </c>
      <c r="D658" t="s">
        <v>451</v>
      </c>
      <c r="E658" t="s">
        <v>524</v>
      </c>
      <c r="F658" t="s">
        <v>309</v>
      </c>
      <c r="H658" t="s">
        <v>566</v>
      </c>
      <c r="I658" s="29">
        <v>20100000</v>
      </c>
      <c r="J658" t="s">
        <v>451</v>
      </c>
      <c r="L658" t="s">
        <v>36</v>
      </c>
      <c r="M658" t="str">
        <f>IFERROR(INDEX(Diccionario!$N:$N,MATCH(F394,Diccionario!$C:$C,0)),"")</f>
        <v>Mensual</v>
      </c>
    </row>
    <row r="659" spans="1:13" ht="12" customHeight="1" x14ac:dyDescent="0.3">
      <c r="A659" t="s">
        <v>545</v>
      </c>
      <c r="B659" t="s">
        <v>522</v>
      </c>
      <c r="C659" t="s">
        <v>523</v>
      </c>
      <c r="D659" t="s">
        <v>451</v>
      </c>
      <c r="E659" t="s">
        <v>524</v>
      </c>
      <c r="F659" t="s">
        <v>309</v>
      </c>
      <c r="H659" t="s">
        <v>565</v>
      </c>
      <c r="I659" s="29">
        <v>66300000</v>
      </c>
      <c r="J659" t="s">
        <v>451</v>
      </c>
      <c r="L659" t="s">
        <v>36</v>
      </c>
      <c r="M659" t="str">
        <f>IFERROR(INDEX(Diccionario!$N:$N,MATCH(F393,Diccionario!$C:$C,0)),"")</f>
        <v>Mensual</v>
      </c>
    </row>
    <row r="660" spans="1:13" ht="12" customHeight="1" x14ac:dyDescent="0.3">
      <c r="A660" t="s">
        <v>545</v>
      </c>
      <c r="B660" t="s">
        <v>522</v>
      </c>
      <c r="C660" t="s">
        <v>523</v>
      </c>
      <c r="D660" t="s">
        <v>451</v>
      </c>
      <c r="E660" t="s">
        <v>524</v>
      </c>
      <c r="F660" t="s">
        <v>309</v>
      </c>
      <c r="H660" t="s">
        <v>568</v>
      </c>
      <c r="I660" s="29">
        <v>5800000</v>
      </c>
      <c r="J660" t="s">
        <v>451</v>
      </c>
      <c r="L660" t="s">
        <v>36</v>
      </c>
      <c r="M660" t="str">
        <f>IFERROR(INDEX(Diccionario!$N:$N,MATCH(F396,Diccionario!$C:$C,0)),"")</f>
        <v>Mensual</v>
      </c>
    </row>
    <row r="661" spans="1:13" ht="12" customHeight="1" x14ac:dyDescent="0.3">
      <c r="A661" t="s">
        <v>545</v>
      </c>
      <c r="B661" t="s">
        <v>522</v>
      </c>
      <c r="C661" t="s">
        <v>523</v>
      </c>
      <c r="D661" t="s">
        <v>451</v>
      </c>
      <c r="E661" t="s">
        <v>524</v>
      </c>
      <c r="F661" t="s">
        <v>309</v>
      </c>
      <c r="H661" t="s">
        <v>569</v>
      </c>
      <c r="I661" s="29">
        <v>6500000</v>
      </c>
      <c r="J661" t="s">
        <v>451</v>
      </c>
      <c r="L661" t="s">
        <v>36</v>
      </c>
      <c r="M661" t="str">
        <f>IFERROR(INDEX(Diccionario!$N:$N,MATCH(F397,Diccionario!$C:$C,0)),"")</f>
        <v>Mensual</v>
      </c>
    </row>
    <row r="662" spans="1:13" ht="12" customHeight="1" x14ac:dyDescent="0.3">
      <c r="A662" t="s">
        <v>545</v>
      </c>
      <c r="B662" t="s">
        <v>522</v>
      </c>
      <c r="C662" t="s">
        <v>523</v>
      </c>
      <c r="D662" t="s">
        <v>451</v>
      </c>
      <c r="E662" t="s">
        <v>524</v>
      </c>
      <c r="F662" t="s">
        <v>309</v>
      </c>
      <c r="H662" t="s">
        <v>570</v>
      </c>
      <c r="I662" s="29">
        <v>15100000</v>
      </c>
      <c r="J662" t="s">
        <v>451</v>
      </c>
      <c r="L662" t="s">
        <v>36</v>
      </c>
      <c r="M662" t="str">
        <f>IFERROR(INDEX(Diccionario!$N:$N,MATCH(F398,Diccionario!$C:$C,0)),"")</f>
        <v>Mensual</v>
      </c>
    </row>
    <row r="663" spans="1:13" ht="12" customHeight="1" x14ac:dyDescent="0.3">
      <c r="A663" t="s">
        <v>545</v>
      </c>
      <c r="B663" t="s">
        <v>522</v>
      </c>
      <c r="C663" t="s">
        <v>523</v>
      </c>
      <c r="D663" t="s">
        <v>451</v>
      </c>
      <c r="E663" t="s">
        <v>524</v>
      </c>
      <c r="F663" t="s">
        <v>304</v>
      </c>
      <c r="H663" t="s">
        <v>564</v>
      </c>
      <c r="I663" s="29">
        <v>138000000</v>
      </c>
      <c r="J663" t="s">
        <v>451</v>
      </c>
      <c r="L663" t="s">
        <v>36</v>
      </c>
      <c r="M663" t="str">
        <f>IFERROR(INDEX(Diccionario!$N:$N,MATCH(F213,Diccionario!$C:$C,0)),"")</f>
        <v>Mensual</v>
      </c>
    </row>
    <row r="664" spans="1:13" ht="12" customHeight="1" x14ac:dyDescent="0.3">
      <c r="A664" t="s">
        <v>545</v>
      </c>
      <c r="B664" t="s">
        <v>522</v>
      </c>
      <c r="C664" t="s">
        <v>523</v>
      </c>
      <c r="D664" t="s">
        <v>451</v>
      </c>
      <c r="E664" t="s">
        <v>524</v>
      </c>
      <c r="F664" t="s">
        <v>304</v>
      </c>
      <c r="H664" t="s">
        <v>190</v>
      </c>
      <c r="I664" s="29">
        <v>184000000</v>
      </c>
      <c r="J664" t="s">
        <v>451</v>
      </c>
      <c r="L664" t="s">
        <v>36</v>
      </c>
      <c r="M664" t="str">
        <f>IFERROR(INDEX(Diccionario!$N:$N,MATCH(F212,Diccionario!$C:$C,0)),"")</f>
        <v>Mensual</v>
      </c>
    </row>
    <row r="665" spans="1:13" ht="12" customHeight="1" x14ac:dyDescent="0.3">
      <c r="A665" t="s">
        <v>545</v>
      </c>
      <c r="B665" t="s">
        <v>522</v>
      </c>
      <c r="C665" t="s">
        <v>523</v>
      </c>
      <c r="D665" t="s">
        <v>451</v>
      </c>
      <c r="E665" t="s">
        <v>524</v>
      </c>
      <c r="F665" t="s">
        <v>304</v>
      </c>
      <c r="H665" t="s">
        <v>561</v>
      </c>
      <c r="I665" s="29">
        <v>10600000</v>
      </c>
      <c r="J665" t="s">
        <v>451</v>
      </c>
      <c r="L665" t="s">
        <v>36</v>
      </c>
      <c r="M665" t="str">
        <f>IFERROR(INDEX(Diccionario!$N:$N,MATCH(F209,Diccionario!$C:$C,0)),"")</f>
        <v>Mensual</v>
      </c>
    </row>
    <row r="666" spans="1:13" ht="12" customHeight="1" x14ac:dyDescent="0.3">
      <c r="A666" t="s">
        <v>545</v>
      </c>
      <c r="B666" t="s">
        <v>522</v>
      </c>
      <c r="C666" t="s">
        <v>523</v>
      </c>
      <c r="D666" t="s">
        <v>451</v>
      </c>
      <c r="E666" t="s">
        <v>524</v>
      </c>
      <c r="F666" t="s">
        <v>304</v>
      </c>
      <c r="H666" t="s">
        <v>563</v>
      </c>
      <c r="I666" s="29">
        <v>101000000</v>
      </c>
      <c r="J666" t="s">
        <v>451</v>
      </c>
      <c r="L666" t="s">
        <v>36</v>
      </c>
      <c r="M666" t="str">
        <f>IFERROR(INDEX(Diccionario!$N:$N,MATCH(F211,Diccionario!$C:$C,0)),"")</f>
        <v>Mensual</v>
      </c>
    </row>
    <row r="667" spans="1:13" ht="12" customHeight="1" x14ac:dyDescent="0.3">
      <c r="A667" t="s">
        <v>545</v>
      </c>
      <c r="B667" t="s">
        <v>522</v>
      </c>
      <c r="C667" t="s">
        <v>523</v>
      </c>
      <c r="D667" t="s">
        <v>451</v>
      </c>
      <c r="E667" t="s">
        <v>524</v>
      </c>
      <c r="F667" t="s">
        <v>304</v>
      </c>
      <c r="H667" t="s">
        <v>562</v>
      </c>
      <c r="I667" s="29">
        <v>269000000</v>
      </c>
      <c r="J667" t="s">
        <v>451</v>
      </c>
      <c r="L667" t="s">
        <v>36</v>
      </c>
      <c r="M667" t="str">
        <f>IFERROR(INDEX(Diccionario!$N:$N,MATCH(F210,Diccionario!$C:$C,0)),"")</f>
        <v>Mensual</v>
      </c>
    </row>
    <row r="668" spans="1:13" ht="12" customHeight="1" x14ac:dyDescent="0.3">
      <c r="A668" t="s">
        <v>545</v>
      </c>
      <c r="B668" t="s">
        <v>522</v>
      </c>
      <c r="C668" t="s">
        <v>523</v>
      </c>
      <c r="D668" t="s">
        <v>451</v>
      </c>
      <c r="E668" t="s">
        <v>524</v>
      </c>
      <c r="F668" t="s">
        <v>377</v>
      </c>
      <c r="H668" t="s">
        <v>571</v>
      </c>
      <c r="I668" s="29">
        <v>10600000</v>
      </c>
      <c r="J668" t="s">
        <v>451</v>
      </c>
      <c r="L668" t="s">
        <v>36</v>
      </c>
      <c r="M668" t="str">
        <f>IFERROR(INDEX(Diccionario!$N:$N,MATCH(F952,Diccionario!$C:$C,0)),"")</f>
        <v>Mensual</v>
      </c>
    </row>
    <row r="669" spans="1:13" ht="12" customHeight="1" x14ac:dyDescent="0.3">
      <c r="A669" t="s">
        <v>545</v>
      </c>
      <c r="B669" t="s">
        <v>522</v>
      </c>
      <c r="C669" t="s">
        <v>523</v>
      </c>
      <c r="D669" t="s">
        <v>451</v>
      </c>
      <c r="E669" t="s">
        <v>524</v>
      </c>
      <c r="F669" t="s">
        <v>377</v>
      </c>
      <c r="H669" t="s">
        <v>577</v>
      </c>
      <c r="I669" s="29">
        <v>38000000</v>
      </c>
      <c r="J669" t="s">
        <v>451</v>
      </c>
      <c r="L669" t="s">
        <v>36</v>
      </c>
      <c r="M669" t="str">
        <f>IFERROR(INDEX(Diccionario!$N:$N,MATCH(F948,Diccionario!$C:$C,0)),"")</f>
        <v>Mensual</v>
      </c>
    </row>
    <row r="670" spans="1:13" ht="12" customHeight="1" x14ac:dyDescent="0.3">
      <c r="A670" t="s">
        <v>545</v>
      </c>
      <c r="B670" t="s">
        <v>522</v>
      </c>
      <c r="C670" t="s">
        <v>523</v>
      </c>
      <c r="D670" t="s">
        <v>451</v>
      </c>
      <c r="E670" t="s">
        <v>524</v>
      </c>
      <c r="F670" t="s">
        <v>377</v>
      </c>
      <c r="H670" t="s">
        <v>565</v>
      </c>
      <c r="I670" s="29">
        <v>66220000</v>
      </c>
      <c r="J670" t="s">
        <v>451</v>
      </c>
      <c r="L670" t="s">
        <v>36</v>
      </c>
      <c r="M670" t="str">
        <f>IFERROR(INDEX(Diccionario!$N:$N,MATCH(F947,Diccionario!$C:$C,0)),"")</f>
        <v>Mensual</v>
      </c>
    </row>
    <row r="671" spans="1:13" ht="12" customHeight="1" x14ac:dyDescent="0.3">
      <c r="A671" t="s">
        <v>545</v>
      </c>
      <c r="B671" t="s">
        <v>522</v>
      </c>
      <c r="C671" t="s">
        <v>523</v>
      </c>
      <c r="D671" t="s">
        <v>451</v>
      </c>
      <c r="E671" t="s">
        <v>524</v>
      </c>
      <c r="F671" t="s">
        <v>377</v>
      </c>
      <c r="H671" t="s">
        <v>568</v>
      </c>
      <c r="I671" s="29">
        <v>1900000</v>
      </c>
      <c r="J671" t="s">
        <v>451</v>
      </c>
      <c r="L671" t="s">
        <v>36</v>
      </c>
      <c r="M671" t="str">
        <f>IFERROR(INDEX(Diccionario!$N:$N,MATCH(F949,Diccionario!$C:$C,0)),"")</f>
        <v>Mensual</v>
      </c>
    </row>
    <row r="672" spans="1:13" ht="12" customHeight="1" x14ac:dyDescent="0.3">
      <c r="A672" t="s">
        <v>545</v>
      </c>
      <c r="B672" t="s">
        <v>522</v>
      </c>
      <c r="C672" t="s">
        <v>523</v>
      </c>
      <c r="D672" t="s">
        <v>451</v>
      </c>
      <c r="E672" t="s">
        <v>524</v>
      </c>
      <c r="F672" t="s">
        <v>377</v>
      </c>
      <c r="H672" t="s">
        <v>569</v>
      </c>
      <c r="I672" s="29">
        <v>52800000</v>
      </c>
      <c r="J672" t="s">
        <v>451</v>
      </c>
      <c r="L672" t="s">
        <v>36</v>
      </c>
      <c r="M672" t="str">
        <f>IFERROR(INDEX(Diccionario!$N:$N,MATCH(F950,Diccionario!$C:$C,0)),"")</f>
        <v>Mensual</v>
      </c>
    </row>
    <row r="673" spans="1:13" ht="12" customHeight="1" x14ac:dyDescent="0.3">
      <c r="A673" t="s">
        <v>545</v>
      </c>
      <c r="B673" t="s">
        <v>522</v>
      </c>
      <c r="C673" t="s">
        <v>523</v>
      </c>
      <c r="D673" t="s">
        <v>451</v>
      </c>
      <c r="E673" t="s">
        <v>524</v>
      </c>
      <c r="F673" t="s">
        <v>377</v>
      </c>
      <c r="H673" t="s">
        <v>570</v>
      </c>
      <c r="I673" s="29">
        <v>19100000</v>
      </c>
      <c r="J673" t="s">
        <v>451</v>
      </c>
      <c r="L673" t="s">
        <v>36</v>
      </c>
      <c r="M673" t="str">
        <f>IFERROR(INDEX(Diccionario!$N:$N,MATCH(F951,Diccionario!$C:$C,0)),"")</f>
        <v>Mensual</v>
      </c>
    </row>
    <row r="674" spans="1:13" ht="12" customHeight="1" x14ac:dyDescent="0.3">
      <c r="A674" t="s">
        <v>545</v>
      </c>
      <c r="B674" t="s">
        <v>522</v>
      </c>
      <c r="C674" t="s">
        <v>523</v>
      </c>
      <c r="D674" t="s">
        <v>451</v>
      </c>
      <c r="E674" t="s">
        <v>524</v>
      </c>
      <c r="F674" t="s">
        <v>371</v>
      </c>
      <c r="H674" t="s">
        <v>566</v>
      </c>
      <c r="I674" s="29">
        <v>7300000</v>
      </c>
      <c r="J674" t="s">
        <v>451</v>
      </c>
      <c r="L674" t="s">
        <v>36</v>
      </c>
      <c r="M674" t="str">
        <f>IFERROR(INDEX(Diccionario!$N:$N,MATCH(F793,Diccionario!$C:$C,0)),"")</f>
        <v>Mensual</v>
      </c>
    </row>
    <row r="675" spans="1:13" ht="12" customHeight="1" x14ac:dyDescent="0.3">
      <c r="A675" t="s">
        <v>545</v>
      </c>
      <c r="B675" t="s">
        <v>522</v>
      </c>
      <c r="C675" t="s">
        <v>523</v>
      </c>
      <c r="D675" t="s">
        <v>451</v>
      </c>
      <c r="E675" t="s">
        <v>524</v>
      </c>
      <c r="F675" t="s">
        <v>371</v>
      </c>
      <c r="H675" t="s">
        <v>565</v>
      </c>
      <c r="I675" s="29">
        <v>168100000</v>
      </c>
      <c r="J675" t="s">
        <v>451</v>
      </c>
      <c r="L675" t="s">
        <v>36</v>
      </c>
      <c r="M675" t="str">
        <f>IFERROR(INDEX(Diccionario!$N:$N,MATCH(F792,Diccionario!$C:$C,0)),"")</f>
        <v>Mensual</v>
      </c>
    </row>
    <row r="676" spans="1:13" ht="12" customHeight="1" x14ac:dyDescent="0.3">
      <c r="A676" t="s">
        <v>545</v>
      </c>
      <c r="B676" t="s">
        <v>522</v>
      </c>
      <c r="C676" t="s">
        <v>523</v>
      </c>
      <c r="D676" t="s">
        <v>451</v>
      </c>
      <c r="E676" t="s">
        <v>524</v>
      </c>
      <c r="F676" t="s">
        <v>371</v>
      </c>
      <c r="H676" t="s">
        <v>569</v>
      </c>
      <c r="I676" s="29">
        <v>6400000</v>
      </c>
      <c r="J676" t="s">
        <v>451</v>
      </c>
      <c r="L676" t="s">
        <v>36</v>
      </c>
      <c r="M676" t="str">
        <f>IFERROR(INDEX(Diccionario!$N:$N,MATCH(F794,Diccionario!$C:$C,0)),"")</f>
        <v>Mensual</v>
      </c>
    </row>
    <row r="677" spans="1:13" ht="12" customHeight="1" x14ac:dyDescent="0.3">
      <c r="A677" t="s">
        <v>545</v>
      </c>
      <c r="B677" t="s">
        <v>522</v>
      </c>
      <c r="C677" t="s">
        <v>523</v>
      </c>
      <c r="D677" t="s">
        <v>451</v>
      </c>
      <c r="E677" t="s">
        <v>524</v>
      </c>
      <c r="F677" t="s">
        <v>371</v>
      </c>
      <c r="H677" t="s">
        <v>570</v>
      </c>
      <c r="I677" s="29">
        <v>1700000</v>
      </c>
      <c r="J677" t="s">
        <v>451</v>
      </c>
      <c r="L677" t="s">
        <v>36</v>
      </c>
      <c r="M677" t="str">
        <f>IFERROR(INDEX(Diccionario!$N:$N,MATCH(F795,Diccionario!$C:$C,0)),"")</f>
        <v>Mensual</v>
      </c>
    </row>
    <row r="678" spans="1:13" ht="12" customHeight="1" x14ac:dyDescent="0.3">
      <c r="A678" t="s">
        <v>545</v>
      </c>
      <c r="B678" t="s">
        <v>522</v>
      </c>
      <c r="C678" t="s">
        <v>523</v>
      </c>
      <c r="D678" t="s">
        <v>451</v>
      </c>
      <c r="E678" t="s">
        <v>524</v>
      </c>
      <c r="F678" t="s">
        <v>241</v>
      </c>
      <c r="I678" s="29">
        <v>66758720</v>
      </c>
      <c r="J678" t="s">
        <v>451</v>
      </c>
      <c r="L678" t="s">
        <v>36</v>
      </c>
      <c r="M678" t="str">
        <f>IFERROR(INDEX(Diccionario!$N:$N,MATCH(F1101,Diccionario!$C:$C,0)),"")</f>
        <v/>
      </c>
    </row>
    <row r="679" spans="1:13" ht="12" customHeight="1" x14ac:dyDescent="0.3">
      <c r="A679" t="s">
        <v>545</v>
      </c>
      <c r="B679" t="s">
        <v>522</v>
      </c>
      <c r="C679" t="s">
        <v>523</v>
      </c>
      <c r="D679" t="s">
        <v>451</v>
      </c>
      <c r="E679" t="s">
        <v>524</v>
      </c>
      <c r="F679" t="s">
        <v>249</v>
      </c>
      <c r="I679" s="29">
        <v>0</v>
      </c>
      <c r="J679" t="s">
        <v>451</v>
      </c>
      <c r="L679" t="s">
        <v>36</v>
      </c>
      <c r="M679" t="str">
        <f>IFERROR(INDEX(Diccionario!$N:$N,MATCH(F1112,Diccionario!$C:$C,0)),"")</f>
        <v/>
      </c>
    </row>
    <row r="680" spans="1:13" ht="12" customHeight="1" x14ac:dyDescent="0.3">
      <c r="A680" t="s">
        <v>545</v>
      </c>
      <c r="B680" t="s">
        <v>522</v>
      </c>
      <c r="C680" t="s">
        <v>523</v>
      </c>
      <c r="D680" t="s">
        <v>451</v>
      </c>
      <c r="E680" t="s">
        <v>524</v>
      </c>
      <c r="F680" t="s">
        <v>258</v>
      </c>
      <c r="I680" s="29">
        <v>599113206</v>
      </c>
      <c r="J680" t="s">
        <v>451</v>
      </c>
      <c r="L680" t="s">
        <v>36</v>
      </c>
      <c r="M680" t="str">
        <f>IFERROR(INDEX(Diccionario!$N:$N,MATCH(F1088,Diccionario!$C:$C,0)),"")</f>
        <v/>
      </c>
    </row>
    <row r="681" spans="1:13" ht="12" customHeight="1" x14ac:dyDescent="0.3">
      <c r="A681" t="s">
        <v>546</v>
      </c>
      <c r="B681" t="s">
        <v>522</v>
      </c>
      <c r="C681" t="s">
        <v>523</v>
      </c>
      <c r="D681" t="s">
        <v>451</v>
      </c>
      <c r="E681" t="s">
        <v>524</v>
      </c>
      <c r="F681" t="s">
        <v>255</v>
      </c>
      <c r="I681" s="29">
        <v>-906843</v>
      </c>
      <c r="J681" t="s">
        <v>451</v>
      </c>
      <c r="L681" t="s">
        <v>36</v>
      </c>
      <c r="M681" t="str">
        <f>IFERROR(INDEX(Diccionario!$N:$N,MATCH(F1144,Diccionario!$C:$C,0)),"")</f>
        <v/>
      </c>
    </row>
    <row r="682" spans="1:13" ht="12" customHeight="1" x14ac:dyDescent="0.3">
      <c r="A682" t="s">
        <v>546</v>
      </c>
      <c r="B682" t="s">
        <v>522</v>
      </c>
      <c r="C682" t="s">
        <v>523</v>
      </c>
      <c r="D682" t="s">
        <v>451</v>
      </c>
      <c r="E682" t="s">
        <v>524</v>
      </c>
      <c r="F682" t="s">
        <v>252</v>
      </c>
      <c r="I682" s="29">
        <v>-40805021</v>
      </c>
      <c r="J682" t="s">
        <v>451</v>
      </c>
      <c r="L682" t="s">
        <v>36</v>
      </c>
      <c r="M682" t="str">
        <f>IFERROR(INDEX(Diccionario!$N:$N,MATCH(F1131,Diccionario!$C:$C,0)),"")</f>
        <v/>
      </c>
    </row>
    <row r="683" spans="1:13" ht="12" customHeight="1" x14ac:dyDescent="0.3">
      <c r="A683" t="s">
        <v>546</v>
      </c>
      <c r="B683" t="s">
        <v>522</v>
      </c>
      <c r="C683" t="s">
        <v>523</v>
      </c>
      <c r="D683" t="s">
        <v>451</v>
      </c>
      <c r="E683" t="s">
        <v>524</v>
      </c>
      <c r="F683" t="s">
        <v>314</v>
      </c>
      <c r="H683" t="s">
        <v>577</v>
      </c>
      <c r="I683" s="29">
        <v>1900000</v>
      </c>
      <c r="J683" t="s">
        <v>451</v>
      </c>
      <c r="L683" t="s">
        <v>36</v>
      </c>
      <c r="M683" t="str">
        <f>IFERROR(INDEX(Diccionario!$N:$N,MATCH(F677,Diccionario!$C:$C,0)),"")</f>
        <v>Mensual</v>
      </c>
    </row>
    <row r="684" spans="1:13" ht="12" customHeight="1" x14ac:dyDescent="0.3">
      <c r="A684" t="s">
        <v>546</v>
      </c>
      <c r="B684" t="s">
        <v>522</v>
      </c>
      <c r="C684" t="s">
        <v>523</v>
      </c>
      <c r="D684" t="s">
        <v>451</v>
      </c>
      <c r="E684" t="s">
        <v>524</v>
      </c>
      <c r="F684" t="s">
        <v>314</v>
      </c>
      <c r="H684" t="s">
        <v>578</v>
      </c>
      <c r="I684" s="29">
        <v>0</v>
      </c>
      <c r="J684" t="s">
        <v>451</v>
      </c>
      <c r="L684" t="s">
        <v>36</v>
      </c>
      <c r="M684" t="str">
        <f>IFERROR(INDEX(Diccionario!$N:$N,MATCH(F679,Diccionario!$C:$C,0)),"")</f>
        <v>Mensual</v>
      </c>
    </row>
    <row r="685" spans="1:13" ht="12" customHeight="1" x14ac:dyDescent="0.3">
      <c r="A685" t="s">
        <v>546</v>
      </c>
      <c r="B685" t="s">
        <v>522</v>
      </c>
      <c r="C685" t="s">
        <v>523</v>
      </c>
      <c r="D685" t="s">
        <v>451</v>
      </c>
      <c r="E685" t="s">
        <v>524</v>
      </c>
      <c r="F685" t="s">
        <v>314</v>
      </c>
      <c r="H685" t="s">
        <v>565</v>
      </c>
      <c r="I685" s="29">
        <v>62900000</v>
      </c>
      <c r="J685" t="s">
        <v>451</v>
      </c>
      <c r="L685" t="s">
        <v>36</v>
      </c>
      <c r="M685" t="str">
        <f>IFERROR(INDEX(Diccionario!$N:$N,MATCH(F676,Diccionario!$C:$C,0)),"")</f>
        <v>Mensual</v>
      </c>
    </row>
    <row r="686" spans="1:13" ht="12" customHeight="1" x14ac:dyDescent="0.3">
      <c r="A686" t="s">
        <v>546</v>
      </c>
      <c r="B686" t="s">
        <v>522</v>
      </c>
      <c r="C686" t="s">
        <v>523</v>
      </c>
      <c r="D686" t="s">
        <v>451</v>
      </c>
      <c r="E686" t="s">
        <v>524</v>
      </c>
      <c r="F686" t="s">
        <v>314</v>
      </c>
      <c r="H686" t="s">
        <v>569</v>
      </c>
      <c r="I686" s="29">
        <v>22600000</v>
      </c>
      <c r="J686" t="s">
        <v>451</v>
      </c>
      <c r="L686" t="s">
        <v>36</v>
      </c>
      <c r="M686" t="str">
        <f>IFERROR(INDEX(Diccionario!$N:$N,MATCH(F678,Diccionario!$C:$C,0)),"")</f>
        <v>Mensual</v>
      </c>
    </row>
    <row r="687" spans="1:13" ht="12" customHeight="1" x14ac:dyDescent="0.3">
      <c r="A687" t="s">
        <v>546</v>
      </c>
      <c r="B687" t="s">
        <v>522</v>
      </c>
      <c r="C687" t="s">
        <v>523</v>
      </c>
      <c r="D687" t="s">
        <v>451</v>
      </c>
      <c r="E687" t="s">
        <v>524</v>
      </c>
      <c r="F687" t="s">
        <v>314</v>
      </c>
      <c r="H687" t="s">
        <v>570</v>
      </c>
      <c r="I687" s="29">
        <v>21400000</v>
      </c>
      <c r="J687" t="s">
        <v>451</v>
      </c>
      <c r="L687" t="s">
        <v>36</v>
      </c>
      <c r="M687" t="str">
        <f>IFERROR(INDEX(Diccionario!$N:$N,MATCH(F680,Diccionario!$C:$C,0)),"")</f>
        <v>Mensual</v>
      </c>
    </row>
    <row r="688" spans="1:13" ht="12" customHeight="1" x14ac:dyDescent="0.3">
      <c r="A688" t="s">
        <v>546</v>
      </c>
      <c r="B688" t="s">
        <v>522</v>
      </c>
      <c r="C688" t="s">
        <v>523</v>
      </c>
      <c r="D688" t="s">
        <v>451</v>
      </c>
      <c r="E688" t="s">
        <v>524</v>
      </c>
      <c r="F688" t="s">
        <v>318</v>
      </c>
      <c r="H688" t="s">
        <v>574</v>
      </c>
      <c r="I688" s="29">
        <v>30000000</v>
      </c>
      <c r="J688" t="s">
        <v>451</v>
      </c>
      <c r="L688" t="s">
        <v>36</v>
      </c>
      <c r="M688" t="str">
        <f>IFERROR(INDEX(Diccionario!$N:$N,MATCH(F558,Diccionario!$C:$C,0)),"")</f>
        <v>Mensual</v>
      </c>
    </row>
    <row r="689" spans="1:13" ht="12" customHeight="1" x14ac:dyDescent="0.3">
      <c r="A689" t="s">
        <v>546</v>
      </c>
      <c r="B689" t="s">
        <v>522</v>
      </c>
      <c r="C689" t="s">
        <v>523</v>
      </c>
      <c r="D689" t="s">
        <v>451</v>
      </c>
      <c r="E689" t="s">
        <v>524</v>
      </c>
      <c r="F689" t="s">
        <v>318</v>
      </c>
      <c r="H689" t="s">
        <v>575</v>
      </c>
      <c r="I689" s="29">
        <v>14200000</v>
      </c>
      <c r="J689" t="s">
        <v>451</v>
      </c>
      <c r="L689" t="s">
        <v>36</v>
      </c>
      <c r="M689" t="str">
        <f>IFERROR(INDEX(Diccionario!$N:$N,MATCH(F559,Diccionario!$C:$C,0)),"")</f>
        <v>Mensual</v>
      </c>
    </row>
    <row r="690" spans="1:13" ht="12" customHeight="1" x14ac:dyDescent="0.3">
      <c r="A690" t="s">
        <v>546</v>
      </c>
      <c r="B690" t="s">
        <v>522</v>
      </c>
      <c r="C690" t="s">
        <v>523</v>
      </c>
      <c r="D690" t="s">
        <v>451</v>
      </c>
      <c r="E690" t="s">
        <v>524</v>
      </c>
      <c r="F690" t="s">
        <v>318</v>
      </c>
      <c r="H690" t="s">
        <v>573</v>
      </c>
      <c r="I690" s="29">
        <v>0</v>
      </c>
      <c r="J690" t="s">
        <v>451</v>
      </c>
      <c r="L690" t="s">
        <v>36</v>
      </c>
      <c r="M690" t="str">
        <f>IFERROR(INDEX(Diccionario!$N:$N,MATCH(F557,Diccionario!$C:$C,0)),"")</f>
        <v>Mensual</v>
      </c>
    </row>
    <row r="691" spans="1:13" ht="12" customHeight="1" x14ac:dyDescent="0.3">
      <c r="A691" t="s">
        <v>546</v>
      </c>
      <c r="B691" t="s">
        <v>522</v>
      </c>
      <c r="C691" t="s">
        <v>523</v>
      </c>
      <c r="D691" t="s">
        <v>451</v>
      </c>
      <c r="E691" t="s">
        <v>524</v>
      </c>
      <c r="F691" t="s">
        <v>318</v>
      </c>
      <c r="H691" t="s">
        <v>572</v>
      </c>
      <c r="I691" s="29">
        <v>104500000</v>
      </c>
      <c r="J691" t="s">
        <v>451</v>
      </c>
      <c r="L691" t="s">
        <v>36</v>
      </c>
      <c r="M691" t="str">
        <f>IFERROR(INDEX(Diccionario!$N:$N,MATCH(F556,Diccionario!$C:$C,0)),"")</f>
        <v>Mensual</v>
      </c>
    </row>
    <row r="692" spans="1:13" ht="12" customHeight="1" x14ac:dyDescent="0.3">
      <c r="A692" t="s">
        <v>546</v>
      </c>
      <c r="B692" t="s">
        <v>522</v>
      </c>
      <c r="C692" t="s">
        <v>523</v>
      </c>
      <c r="D692" t="s">
        <v>451</v>
      </c>
      <c r="E692" t="s">
        <v>524</v>
      </c>
      <c r="F692" t="s">
        <v>318</v>
      </c>
      <c r="H692" t="s">
        <v>576</v>
      </c>
      <c r="I692" s="29">
        <v>24300000</v>
      </c>
      <c r="J692" t="s">
        <v>451</v>
      </c>
      <c r="L692" t="s">
        <v>36</v>
      </c>
      <c r="M692" t="str">
        <f>IFERROR(INDEX(Diccionario!$N:$N,MATCH(F560,Diccionario!$C:$C,0)),"")</f>
        <v>Mensual</v>
      </c>
    </row>
    <row r="693" spans="1:13" ht="12" customHeight="1" x14ac:dyDescent="0.3">
      <c r="A693" t="s">
        <v>546</v>
      </c>
      <c r="B693" t="s">
        <v>522</v>
      </c>
      <c r="C693" t="s">
        <v>523</v>
      </c>
      <c r="E693" t="s">
        <v>524</v>
      </c>
      <c r="F693" t="s">
        <v>323</v>
      </c>
      <c r="I693" s="36">
        <v>25.04</v>
      </c>
      <c r="J693" t="s">
        <v>65</v>
      </c>
      <c r="L693" t="s">
        <v>36</v>
      </c>
      <c r="M693" t="str">
        <f>IFERROR(INDEX(Diccionario!$N:$N,MATCH(F1018,Diccionario!$C:$C,0)),"")</f>
        <v>Mensual</v>
      </c>
    </row>
    <row r="694" spans="1:13" ht="12" customHeight="1" x14ac:dyDescent="0.3">
      <c r="A694" t="s">
        <v>546</v>
      </c>
      <c r="B694" t="s">
        <v>522</v>
      </c>
      <c r="C694" t="s">
        <v>523</v>
      </c>
      <c r="D694" t="s">
        <v>451</v>
      </c>
      <c r="E694" t="s">
        <v>524</v>
      </c>
      <c r="F694" t="s">
        <v>246</v>
      </c>
      <c r="I694" s="29">
        <v>32161155</v>
      </c>
      <c r="J694" t="s">
        <v>451</v>
      </c>
      <c r="L694" t="s">
        <v>36</v>
      </c>
      <c r="M694" t="str">
        <f>IFERROR(INDEX(Diccionario!$N:$N,MATCH(F1118,Diccionario!$C:$C,0)),"")</f>
        <v/>
      </c>
    </row>
    <row r="695" spans="1:13" ht="12" customHeight="1" x14ac:dyDescent="0.3">
      <c r="A695" t="s">
        <v>546</v>
      </c>
      <c r="B695" t="s">
        <v>522</v>
      </c>
      <c r="C695" t="s">
        <v>523</v>
      </c>
      <c r="D695" t="s">
        <v>451</v>
      </c>
      <c r="E695" t="s">
        <v>524</v>
      </c>
      <c r="F695" t="s">
        <v>309</v>
      </c>
      <c r="H695" t="s">
        <v>567</v>
      </c>
      <c r="I695" s="29">
        <v>4600000</v>
      </c>
      <c r="J695" t="s">
        <v>451</v>
      </c>
      <c r="L695" t="s">
        <v>36</v>
      </c>
      <c r="M695" t="str">
        <f>IFERROR(INDEX(Diccionario!$N:$N,MATCH(F402,Diccionario!$C:$C,0)),"")</f>
        <v>Mensual</v>
      </c>
    </row>
    <row r="696" spans="1:13" ht="12" customHeight="1" x14ac:dyDescent="0.3">
      <c r="A696" t="s">
        <v>546</v>
      </c>
      <c r="B696" t="s">
        <v>522</v>
      </c>
      <c r="C696" t="s">
        <v>523</v>
      </c>
      <c r="D696" t="s">
        <v>451</v>
      </c>
      <c r="E696" t="s">
        <v>524</v>
      </c>
      <c r="F696" t="s">
        <v>309</v>
      </c>
      <c r="H696" t="s">
        <v>571</v>
      </c>
      <c r="I696" s="29">
        <v>33100000</v>
      </c>
      <c r="J696" t="s">
        <v>451</v>
      </c>
      <c r="L696" t="s">
        <v>36</v>
      </c>
      <c r="M696" t="str">
        <f>IFERROR(INDEX(Diccionario!$N:$N,MATCH(F406,Diccionario!$C:$C,0)),"")</f>
        <v>Mensual</v>
      </c>
    </row>
    <row r="697" spans="1:13" ht="12" customHeight="1" x14ac:dyDescent="0.3">
      <c r="A697" t="s">
        <v>546</v>
      </c>
      <c r="B697" t="s">
        <v>522</v>
      </c>
      <c r="C697" t="s">
        <v>523</v>
      </c>
      <c r="D697" t="s">
        <v>451</v>
      </c>
      <c r="E697" t="s">
        <v>524</v>
      </c>
      <c r="F697" t="s">
        <v>309</v>
      </c>
      <c r="H697" t="s">
        <v>566</v>
      </c>
      <c r="I697" s="29">
        <v>9700000</v>
      </c>
      <c r="J697" t="s">
        <v>451</v>
      </c>
      <c r="L697" t="s">
        <v>36</v>
      </c>
      <c r="M697" t="str">
        <f>IFERROR(INDEX(Diccionario!$N:$N,MATCH(F401,Diccionario!$C:$C,0)),"")</f>
        <v>Mensual</v>
      </c>
    </row>
    <row r="698" spans="1:13" ht="12" customHeight="1" x14ac:dyDescent="0.3">
      <c r="A698" t="s">
        <v>546</v>
      </c>
      <c r="B698" t="s">
        <v>522</v>
      </c>
      <c r="C698" t="s">
        <v>523</v>
      </c>
      <c r="D698" t="s">
        <v>451</v>
      </c>
      <c r="E698" t="s">
        <v>524</v>
      </c>
      <c r="F698" t="s">
        <v>309</v>
      </c>
      <c r="H698" t="s">
        <v>565</v>
      </c>
      <c r="I698" s="29">
        <v>59600000</v>
      </c>
      <c r="J698" t="s">
        <v>451</v>
      </c>
      <c r="L698" t="s">
        <v>36</v>
      </c>
      <c r="M698" t="str">
        <f>IFERROR(INDEX(Diccionario!$N:$N,MATCH(F400,Diccionario!$C:$C,0)),"")</f>
        <v>Mensual</v>
      </c>
    </row>
    <row r="699" spans="1:13" ht="12" customHeight="1" x14ac:dyDescent="0.3">
      <c r="A699" t="s">
        <v>546</v>
      </c>
      <c r="B699" t="s">
        <v>522</v>
      </c>
      <c r="C699" t="s">
        <v>523</v>
      </c>
      <c r="D699" t="s">
        <v>451</v>
      </c>
      <c r="E699" t="s">
        <v>524</v>
      </c>
      <c r="F699" t="s">
        <v>309</v>
      </c>
      <c r="H699" t="s">
        <v>568</v>
      </c>
      <c r="I699" s="29">
        <v>2800000</v>
      </c>
      <c r="J699" t="s">
        <v>451</v>
      </c>
      <c r="L699" t="s">
        <v>36</v>
      </c>
      <c r="M699" t="str">
        <f>IFERROR(INDEX(Diccionario!$N:$N,MATCH(F403,Diccionario!$C:$C,0)),"")</f>
        <v>Mensual</v>
      </c>
    </row>
    <row r="700" spans="1:13" ht="12" customHeight="1" x14ac:dyDescent="0.3">
      <c r="A700" t="s">
        <v>546</v>
      </c>
      <c r="B700" t="s">
        <v>522</v>
      </c>
      <c r="C700" t="s">
        <v>523</v>
      </c>
      <c r="D700" t="s">
        <v>451</v>
      </c>
      <c r="E700" t="s">
        <v>524</v>
      </c>
      <c r="F700" t="s">
        <v>309</v>
      </c>
      <c r="H700" t="s">
        <v>569</v>
      </c>
      <c r="I700" s="29">
        <v>7600000</v>
      </c>
      <c r="J700" t="s">
        <v>451</v>
      </c>
      <c r="L700" t="s">
        <v>36</v>
      </c>
      <c r="M700" t="str">
        <f>IFERROR(INDEX(Diccionario!$N:$N,MATCH(F404,Diccionario!$C:$C,0)),"")</f>
        <v>Mensual</v>
      </c>
    </row>
    <row r="701" spans="1:13" ht="12" customHeight="1" x14ac:dyDescent="0.3">
      <c r="A701" t="s">
        <v>546</v>
      </c>
      <c r="B701" t="s">
        <v>522</v>
      </c>
      <c r="C701" t="s">
        <v>523</v>
      </c>
      <c r="D701" t="s">
        <v>451</v>
      </c>
      <c r="E701" t="s">
        <v>524</v>
      </c>
      <c r="F701" t="s">
        <v>309</v>
      </c>
      <c r="H701" t="s">
        <v>570</v>
      </c>
      <c r="I701" s="29">
        <v>11500000</v>
      </c>
      <c r="J701" t="s">
        <v>451</v>
      </c>
      <c r="L701" t="s">
        <v>36</v>
      </c>
      <c r="M701" t="str">
        <f>IFERROR(INDEX(Diccionario!$N:$N,MATCH(F405,Diccionario!$C:$C,0)),"")</f>
        <v>Mensual</v>
      </c>
    </row>
    <row r="702" spans="1:13" ht="12" customHeight="1" x14ac:dyDescent="0.3">
      <c r="A702" t="s">
        <v>546</v>
      </c>
      <c r="B702" t="s">
        <v>522</v>
      </c>
      <c r="C702" t="s">
        <v>523</v>
      </c>
      <c r="D702" t="s">
        <v>451</v>
      </c>
      <c r="E702" t="s">
        <v>524</v>
      </c>
      <c r="F702" t="s">
        <v>304</v>
      </c>
      <c r="H702" t="s">
        <v>564</v>
      </c>
      <c r="I702" s="29">
        <v>127900000</v>
      </c>
      <c r="J702" t="s">
        <v>451</v>
      </c>
      <c r="L702" t="s">
        <v>36</v>
      </c>
      <c r="M702" t="str">
        <f>IFERROR(INDEX(Diccionario!$N:$N,MATCH(F218,Diccionario!$C:$C,0)),"")</f>
        <v>Mensual</v>
      </c>
    </row>
    <row r="703" spans="1:13" ht="12" customHeight="1" x14ac:dyDescent="0.3">
      <c r="A703" t="s">
        <v>546</v>
      </c>
      <c r="B703" t="s">
        <v>522</v>
      </c>
      <c r="C703" t="s">
        <v>523</v>
      </c>
      <c r="D703" t="s">
        <v>451</v>
      </c>
      <c r="E703" t="s">
        <v>524</v>
      </c>
      <c r="F703" t="s">
        <v>304</v>
      </c>
      <c r="H703" t="s">
        <v>190</v>
      </c>
      <c r="I703" s="29">
        <v>165000000</v>
      </c>
      <c r="J703" t="s">
        <v>451</v>
      </c>
      <c r="L703" t="s">
        <v>36</v>
      </c>
      <c r="M703" t="str">
        <f>IFERROR(INDEX(Diccionario!$N:$N,MATCH(F217,Diccionario!$C:$C,0)),"")</f>
        <v>Mensual</v>
      </c>
    </row>
    <row r="704" spans="1:13" ht="12" customHeight="1" x14ac:dyDescent="0.3">
      <c r="A704" t="s">
        <v>546</v>
      </c>
      <c r="B704" t="s">
        <v>522</v>
      </c>
      <c r="C704" t="s">
        <v>523</v>
      </c>
      <c r="D704" t="s">
        <v>451</v>
      </c>
      <c r="E704" t="s">
        <v>524</v>
      </c>
      <c r="F704" t="s">
        <v>304</v>
      </c>
      <c r="H704" t="s">
        <v>561</v>
      </c>
      <c r="I704" s="29">
        <v>10300000</v>
      </c>
      <c r="J704" t="s">
        <v>451</v>
      </c>
      <c r="L704" t="s">
        <v>36</v>
      </c>
      <c r="M704" t="str">
        <f>IFERROR(INDEX(Diccionario!$N:$N,MATCH(F214,Diccionario!$C:$C,0)),"")</f>
        <v>Mensual</v>
      </c>
    </row>
    <row r="705" spans="1:13" ht="12" customHeight="1" x14ac:dyDescent="0.3">
      <c r="A705" t="s">
        <v>546</v>
      </c>
      <c r="B705" t="s">
        <v>522</v>
      </c>
      <c r="C705" t="s">
        <v>523</v>
      </c>
      <c r="D705" t="s">
        <v>451</v>
      </c>
      <c r="E705" t="s">
        <v>524</v>
      </c>
      <c r="F705" t="s">
        <v>304</v>
      </c>
      <c r="H705" t="s">
        <v>563</v>
      </c>
      <c r="I705" s="29">
        <v>173000000</v>
      </c>
      <c r="J705" t="s">
        <v>451</v>
      </c>
      <c r="L705" t="s">
        <v>36</v>
      </c>
      <c r="M705" t="str">
        <f>IFERROR(INDEX(Diccionario!$N:$N,MATCH(F216,Diccionario!$C:$C,0)),"")</f>
        <v>Mensual</v>
      </c>
    </row>
    <row r="706" spans="1:13" ht="12" customHeight="1" x14ac:dyDescent="0.3">
      <c r="A706" t="s">
        <v>546</v>
      </c>
      <c r="B706" t="s">
        <v>522</v>
      </c>
      <c r="C706" t="s">
        <v>523</v>
      </c>
      <c r="D706" t="s">
        <v>451</v>
      </c>
      <c r="E706" t="s">
        <v>524</v>
      </c>
      <c r="F706" t="s">
        <v>304</v>
      </c>
      <c r="H706" t="s">
        <v>562</v>
      </c>
      <c r="I706" s="29">
        <v>301900000</v>
      </c>
      <c r="J706" t="s">
        <v>451</v>
      </c>
      <c r="L706" t="s">
        <v>36</v>
      </c>
      <c r="M706" t="str">
        <f>IFERROR(INDEX(Diccionario!$N:$N,MATCH(F215,Diccionario!$C:$C,0)),"")</f>
        <v>Mensual</v>
      </c>
    </row>
    <row r="707" spans="1:13" ht="12" customHeight="1" x14ac:dyDescent="0.3">
      <c r="A707" t="s">
        <v>546</v>
      </c>
      <c r="B707" t="s">
        <v>522</v>
      </c>
      <c r="C707" t="s">
        <v>523</v>
      </c>
      <c r="D707" t="s">
        <v>451</v>
      </c>
      <c r="E707" t="s">
        <v>524</v>
      </c>
      <c r="F707" t="s">
        <v>377</v>
      </c>
      <c r="H707" t="s">
        <v>571</v>
      </c>
      <c r="I707" s="29">
        <v>9000000</v>
      </c>
      <c r="J707" t="s">
        <v>451</v>
      </c>
      <c r="L707" t="s">
        <v>36</v>
      </c>
      <c r="M707" t="str">
        <f>IFERROR(INDEX(Diccionario!$N:$N,MATCH(F958,Diccionario!$C:$C,0)),"")</f>
        <v>Mensual</v>
      </c>
    </row>
    <row r="708" spans="1:13" ht="12" customHeight="1" x14ac:dyDescent="0.3">
      <c r="A708" t="s">
        <v>546</v>
      </c>
      <c r="B708" t="s">
        <v>522</v>
      </c>
      <c r="C708" t="s">
        <v>523</v>
      </c>
      <c r="D708" t="s">
        <v>451</v>
      </c>
      <c r="E708" t="s">
        <v>524</v>
      </c>
      <c r="F708" t="s">
        <v>377</v>
      </c>
      <c r="H708" t="s">
        <v>577</v>
      </c>
      <c r="I708" s="29">
        <v>38600000</v>
      </c>
      <c r="J708" t="s">
        <v>451</v>
      </c>
      <c r="L708" t="s">
        <v>36</v>
      </c>
      <c r="M708" t="str">
        <f>IFERROR(INDEX(Diccionario!$N:$N,MATCH(F954,Diccionario!$C:$C,0)),"")</f>
        <v>Mensual</v>
      </c>
    </row>
    <row r="709" spans="1:13" ht="12" customHeight="1" x14ac:dyDescent="0.3">
      <c r="A709" t="s">
        <v>546</v>
      </c>
      <c r="B709" t="s">
        <v>522</v>
      </c>
      <c r="C709" t="s">
        <v>523</v>
      </c>
      <c r="D709" t="s">
        <v>451</v>
      </c>
      <c r="E709" t="s">
        <v>524</v>
      </c>
      <c r="F709" t="s">
        <v>377</v>
      </c>
      <c r="H709" t="s">
        <v>565</v>
      </c>
      <c r="I709" s="29">
        <v>80100000</v>
      </c>
      <c r="J709" t="s">
        <v>451</v>
      </c>
      <c r="L709" t="s">
        <v>36</v>
      </c>
      <c r="M709" t="str">
        <f>IFERROR(INDEX(Diccionario!$N:$N,MATCH(F953,Diccionario!$C:$C,0)),"")</f>
        <v>Mensual</v>
      </c>
    </row>
    <row r="710" spans="1:13" ht="12" customHeight="1" x14ac:dyDescent="0.3">
      <c r="A710" t="s">
        <v>546</v>
      </c>
      <c r="B710" t="s">
        <v>522</v>
      </c>
      <c r="C710" t="s">
        <v>523</v>
      </c>
      <c r="D710" t="s">
        <v>451</v>
      </c>
      <c r="E710" t="s">
        <v>524</v>
      </c>
      <c r="F710" t="s">
        <v>377</v>
      </c>
      <c r="H710" t="s">
        <v>568</v>
      </c>
      <c r="I710" s="29">
        <v>100000</v>
      </c>
      <c r="J710" t="s">
        <v>451</v>
      </c>
      <c r="L710" t="s">
        <v>36</v>
      </c>
      <c r="M710" t="str">
        <f>IFERROR(INDEX(Diccionario!$N:$N,MATCH(F955,Diccionario!$C:$C,0)),"")</f>
        <v>Mensual</v>
      </c>
    </row>
    <row r="711" spans="1:13" ht="12" customHeight="1" x14ac:dyDescent="0.3">
      <c r="A711" t="s">
        <v>546</v>
      </c>
      <c r="B711" t="s">
        <v>522</v>
      </c>
      <c r="C711" t="s">
        <v>523</v>
      </c>
      <c r="D711" t="s">
        <v>451</v>
      </c>
      <c r="E711" t="s">
        <v>524</v>
      </c>
      <c r="F711" t="s">
        <v>377</v>
      </c>
      <c r="H711" t="s">
        <v>569</v>
      </c>
      <c r="I711" s="29">
        <v>14000000</v>
      </c>
      <c r="J711" t="s">
        <v>451</v>
      </c>
      <c r="L711" t="s">
        <v>36</v>
      </c>
      <c r="M711" t="str">
        <f>IFERROR(INDEX(Diccionario!$N:$N,MATCH(F956,Diccionario!$C:$C,0)),"")</f>
        <v>Mensual</v>
      </c>
    </row>
    <row r="712" spans="1:13" ht="12" customHeight="1" x14ac:dyDescent="0.3">
      <c r="A712" t="s">
        <v>546</v>
      </c>
      <c r="B712" t="s">
        <v>522</v>
      </c>
      <c r="C712" t="s">
        <v>523</v>
      </c>
      <c r="D712" t="s">
        <v>451</v>
      </c>
      <c r="E712" t="s">
        <v>524</v>
      </c>
      <c r="F712" t="s">
        <v>377</v>
      </c>
      <c r="H712" t="s">
        <v>570</v>
      </c>
      <c r="I712" s="29">
        <v>23200000</v>
      </c>
      <c r="J712" t="s">
        <v>451</v>
      </c>
      <c r="L712" t="s">
        <v>36</v>
      </c>
      <c r="M712" t="str">
        <f>IFERROR(INDEX(Diccionario!$N:$N,MATCH(F957,Diccionario!$C:$C,0)),"")</f>
        <v>Mensual</v>
      </c>
    </row>
    <row r="713" spans="1:13" ht="12" customHeight="1" x14ac:dyDescent="0.3">
      <c r="A713" t="s">
        <v>546</v>
      </c>
      <c r="B713" t="s">
        <v>522</v>
      </c>
      <c r="C713" t="s">
        <v>523</v>
      </c>
      <c r="D713" t="s">
        <v>451</v>
      </c>
      <c r="E713" t="s">
        <v>524</v>
      </c>
      <c r="F713" t="s">
        <v>371</v>
      </c>
      <c r="H713" t="s">
        <v>566</v>
      </c>
      <c r="I713" s="29">
        <v>8600000</v>
      </c>
      <c r="J713" t="s">
        <v>451</v>
      </c>
      <c r="L713" t="s">
        <v>36</v>
      </c>
      <c r="M713" t="str">
        <f>IFERROR(INDEX(Diccionario!$N:$N,MATCH(F797,Diccionario!$C:$C,0)),"")</f>
        <v>Mensual</v>
      </c>
    </row>
    <row r="714" spans="1:13" ht="12" customHeight="1" x14ac:dyDescent="0.3">
      <c r="A714" t="s">
        <v>546</v>
      </c>
      <c r="B714" t="s">
        <v>522</v>
      </c>
      <c r="C714" t="s">
        <v>523</v>
      </c>
      <c r="D714" t="s">
        <v>451</v>
      </c>
      <c r="E714" t="s">
        <v>524</v>
      </c>
      <c r="F714" t="s">
        <v>371</v>
      </c>
      <c r="H714" t="s">
        <v>565</v>
      </c>
      <c r="I714" s="29">
        <v>168200000</v>
      </c>
      <c r="J714" t="s">
        <v>451</v>
      </c>
      <c r="L714" t="s">
        <v>36</v>
      </c>
      <c r="M714" t="str">
        <f>IFERROR(INDEX(Diccionario!$N:$N,MATCH(F796,Diccionario!$C:$C,0)),"")</f>
        <v>Mensual</v>
      </c>
    </row>
    <row r="715" spans="1:13" ht="12" customHeight="1" x14ac:dyDescent="0.3">
      <c r="A715" t="s">
        <v>546</v>
      </c>
      <c r="B715" t="s">
        <v>522</v>
      </c>
      <c r="C715" t="s">
        <v>523</v>
      </c>
      <c r="D715" t="s">
        <v>451</v>
      </c>
      <c r="E715" t="s">
        <v>524</v>
      </c>
      <c r="F715" t="s">
        <v>371</v>
      </c>
      <c r="H715" t="s">
        <v>569</v>
      </c>
      <c r="I715" s="29">
        <v>17600000</v>
      </c>
      <c r="J715" t="s">
        <v>451</v>
      </c>
      <c r="L715" t="s">
        <v>36</v>
      </c>
      <c r="M715" t="str">
        <f>IFERROR(INDEX(Diccionario!$N:$N,MATCH(F798,Diccionario!$C:$C,0)),"")</f>
        <v>Mensual</v>
      </c>
    </row>
    <row r="716" spans="1:13" ht="12" customHeight="1" x14ac:dyDescent="0.3">
      <c r="A716" t="s">
        <v>546</v>
      </c>
      <c r="B716" t="s">
        <v>522</v>
      </c>
      <c r="C716" t="s">
        <v>523</v>
      </c>
      <c r="D716" t="s">
        <v>451</v>
      </c>
      <c r="E716" t="s">
        <v>524</v>
      </c>
      <c r="F716" t="s">
        <v>371</v>
      </c>
      <c r="H716" t="s">
        <v>570</v>
      </c>
      <c r="I716" s="29">
        <v>100000</v>
      </c>
      <c r="J716" t="s">
        <v>451</v>
      </c>
      <c r="L716" t="s">
        <v>36</v>
      </c>
      <c r="M716" t="str">
        <f>IFERROR(INDEX(Diccionario!$N:$N,MATCH(F799,Diccionario!$C:$C,0)),"")</f>
        <v>Mensual</v>
      </c>
    </row>
    <row r="717" spans="1:13" ht="12" customHeight="1" x14ac:dyDescent="0.3">
      <c r="A717" t="s">
        <v>546</v>
      </c>
      <c r="B717" t="s">
        <v>522</v>
      </c>
      <c r="C717" t="s">
        <v>523</v>
      </c>
      <c r="D717" t="s">
        <v>451</v>
      </c>
      <c r="E717" t="s">
        <v>524</v>
      </c>
      <c r="F717" t="s">
        <v>241</v>
      </c>
      <c r="I717" s="29">
        <v>9744000</v>
      </c>
      <c r="J717" t="s">
        <v>451</v>
      </c>
      <c r="L717" t="s">
        <v>36</v>
      </c>
      <c r="M717" t="str">
        <f>IFERROR(INDEX(Diccionario!$N:$N,MATCH(F1102,Diccionario!$C:$C,0)),"")</f>
        <v/>
      </c>
    </row>
    <row r="718" spans="1:13" ht="12" customHeight="1" x14ac:dyDescent="0.3">
      <c r="A718" t="s">
        <v>546</v>
      </c>
      <c r="B718" t="s">
        <v>522</v>
      </c>
      <c r="C718" t="s">
        <v>523</v>
      </c>
      <c r="D718" t="s">
        <v>451</v>
      </c>
      <c r="E718" t="s">
        <v>524</v>
      </c>
      <c r="F718" t="s">
        <v>258</v>
      </c>
      <c r="I718" s="29">
        <v>621530361</v>
      </c>
      <c r="J718" t="s">
        <v>451</v>
      </c>
      <c r="L718" t="s">
        <v>36</v>
      </c>
      <c r="M718" t="str">
        <f>IFERROR(INDEX(Diccionario!$N:$N,MATCH(F1089,Diccionario!$C:$C,0)),"")</f>
        <v/>
      </c>
    </row>
    <row r="719" spans="1:13" ht="12" customHeight="1" x14ac:dyDescent="0.3">
      <c r="A719" t="s">
        <v>547</v>
      </c>
      <c r="B719" t="s">
        <v>522</v>
      </c>
      <c r="C719" t="s">
        <v>523</v>
      </c>
      <c r="D719" t="s">
        <v>451</v>
      </c>
      <c r="E719" t="s">
        <v>524</v>
      </c>
      <c r="F719" t="s">
        <v>255</v>
      </c>
      <c r="I719" s="29">
        <v>-5800000</v>
      </c>
      <c r="J719" t="s">
        <v>451</v>
      </c>
      <c r="L719" t="s">
        <v>36</v>
      </c>
      <c r="M719" t="str">
        <f>IFERROR(INDEX(Diccionario!$N:$N,MATCH(F1145,Diccionario!$C:$C,0)),"")</f>
        <v/>
      </c>
    </row>
    <row r="720" spans="1:13" ht="12" customHeight="1" x14ac:dyDescent="0.3">
      <c r="A720" t="s">
        <v>547</v>
      </c>
      <c r="B720" t="s">
        <v>522</v>
      </c>
      <c r="C720" t="s">
        <v>523</v>
      </c>
      <c r="D720" t="s">
        <v>451</v>
      </c>
      <c r="E720" t="s">
        <v>524</v>
      </c>
      <c r="F720" t="s">
        <v>252</v>
      </c>
      <c r="I720" s="29">
        <v>-46520913</v>
      </c>
      <c r="J720" t="s">
        <v>451</v>
      </c>
      <c r="L720" t="s">
        <v>36</v>
      </c>
      <c r="M720" t="str">
        <f>IFERROR(INDEX(Diccionario!$N:$N,MATCH(F1132,Diccionario!$C:$C,0)),"")</f>
        <v/>
      </c>
    </row>
    <row r="721" spans="1:13" ht="12" customHeight="1" x14ac:dyDescent="0.3">
      <c r="A721" t="s">
        <v>547</v>
      </c>
      <c r="B721" t="s">
        <v>522</v>
      </c>
      <c r="C721" t="s">
        <v>523</v>
      </c>
      <c r="D721" t="s">
        <v>451</v>
      </c>
      <c r="E721" t="s">
        <v>524</v>
      </c>
      <c r="F721" t="s">
        <v>314</v>
      </c>
      <c r="H721" t="s">
        <v>577</v>
      </c>
      <c r="I721" s="29">
        <v>0</v>
      </c>
      <c r="J721" t="s">
        <v>451</v>
      </c>
      <c r="L721" t="s">
        <v>36</v>
      </c>
      <c r="M721" t="str">
        <f>IFERROR(INDEX(Diccionario!$N:$N,MATCH(F682,Diccionario!$C:$C,0)),"")</f>
        <v>Mensual</v>
      </c>
    </row>
    <row r="722" spans="1:13" ht="12" customHeight="1" x14ac:dyDescent="0.3">
      <c r="A722" t="s">
        <v>547</v>
      </c>
      <c r="B722" t="s">
        <v>522</v>
      </c>
      <c r="C722" t="s">
        <v>523</v>
      </c>
      <c r="D722" t="s">
        <v>451</v>
      </c>
      <c r="E722" t="s">
        <v>524</v>
      </c>
      <c r="F722" t="s">
        <v>314</v>
      </c>
      <c r="H722" t="s">
        <v>578</v>
      </c>
      <c r="I722" s="29">
        <v>0</v>
      </c>
      <c r="J722" t="s">
        <v>451</v>
      </c>
      <c r="L722" t="s">
        <v>36</v>
      </c>
      <c r="M722" t="str">
        <f>IFERROR(INDEX(Diccionario!$N:$N,MATCH(F684,Diccionario!$C:$C,0)),"")</f>
        <v>Mensual</v>
      </c>
    </row>
    <row r="723" spans="1:13" ht="12" customHeight="1" x14ac:dyDescent="0.3">
      <c r="A723" t="s">
        <v>547</v>
      </c>
      <c r="B723" t="s">
        <v>522</v>
      </c>
      <c r="C723" t="s">
        <v>523</v>
      </c>
      <c r="D723" t="s">
        <v>451</v>
      </c>
      <c r="E723" t="s">
        <v>524</v>
      </c>
      <c r="F723" t="s">
        <v>314</v>
      </c>
      <c r="H723" t="s">
        <v>565</v>
      </c>
      <c r="I723" s="29">
        <v>59500000</v>
      </c>
      <c r="J723" t="s">
        <v>451</v>
      </c>
      <c r="L723" t="s">
        <v>36</v>
      </c>
      <c r="M723" t="str">
        <f>IFERROR(INDEX(Diccionario!$N:$N,MATCH(F681,Diccionario!$C:$C,0)),"")</f>
        <v>Mensual</v>
      </c>
    </row>
    <row r="724" spans="1:13" ht="12" customHeight="1" x14ac:dyDescent="0.3">
      <c r="A724" t="s">
        <v>547</v>
      </c>
      <c r="B724" t="s">
        <v>522</v>
      </c>
      <c r="C724" t="s">
        <v>523</v>
      </c>
      <c r="D724" t="s">
        <v>451</v>
      </c>
      <c r="E724" t="s">
        <v>524</v>
      </c>
      <c r="F724" t="s">
        <v>314</v>
      </c>
      <c r="H724" t="s">
        <v>569</v>
      </c>
      <c r="I724" s="29">
        <v>9900000</v>
      </c>
      <c r="J724" t="s">
        <v>451</v>
      </c>
      <c r="L724" t="s">
        <v>36</v>
      </c>
      <c r="M724" t="str">
        <f>IFERROR(INDEX(Diccionario!$N:$N,MATCH(F683,Diccionario!$C:$C,0)),"")</f>
        <v>Mensual</v>
      </c>
    </row>
    <row r="725" spans="1:13" ht="12" customHeight="1" x14ac:dyDescent="0.3">
      <c r="A725" t="s">
        <v>547</v>
      </c>
      <c r="B725" t="s">
        <v>522</v>
      </c>
      <c r="C725" t="s">
        <v>523</v>
      </c>
      <c r="D725" t="s">
        <v>451</v>
      </c>
      <c r="E725" t="s">
        <v>524</v>
      </c>
      <c r="F725" t="s">
        <v>314</v>
      </c>
      <c r="H725" t="s">
        <v>570</v>
      </c>
      <c r="I725" s="29">
        <v>2300000</v>
      </c>
      <c r="J725" t="s">
        <v>451</v>
      </c>
      <c r="L725" t="s">
        <v>36</v>
      </c>
      <c r="M725" t="str">
        <f>IFERROR(INDEX(Diccionario!$N:$N,MATCH(F685,Diccionario!$C:$C,0)),"")</f>
        <v>Mensual</v>
      </c>
    </row>
    <row r="726" spans="1:13" ht="12" customHeight="1" x14ac:dyDescent="0.3">
      <c r="A726" t="s">
        <v>547</v>
      </c>
      <c r="B726" t="s">
        <v>522</v>
      </c>
      <c r="C726" t="s">
        <v>523</v>
      </c>
      <c r="D726" t="s">
        <v>451</v>
      </c>
      <c r="E726" t="s">
        <v>524</v>
      </c>
      <c r="F726" t="s">
        <v>318</v>
      </c>
      <c r="H726" t="s">
        <v>574</v>
      </c>
      <c r="I726" s="29">
        <v>12900000</v>
      </c>
      <c r="J726" t="s">
        <v>451</v>
      </c>
      <c r="L726" t="s">
        <v>36</v>
      </c>
      <c r="M726" t="str">
        <f>IFERROR(INDEX(Diccionario!$N:$N,MATCH(F563,Diccionario!$C:$C,0)),"")</f>
        <v>Mensual</v>
      </c>
    </row>
    <row r="727" spans="1:13" ht="12" customHeight="1" x14ac:dyDescent="0.3">
      <c r="A727" t="s">
        <v>547</v>
      </c>
      <c r="B727" t="s">
        <v>522</v>
      </c>
      <c r="C727" t="s">
        <v>523</v>
      </c>
      <c r="D727" t="s">
        <v>451</v>
      </c>
      <c r="E727" t="s">
        <v>524</v>
      </c>
      <c r="F727" t="s">
        <v>318</v>
      </c>
      <c r="H727" t="s">
        <v>575</v>
      </c>
      <c r="I727" s="29">
        <v>15000000</v>
      </c>
      <c r="J727" t="s">
        <v>451</v>
      </c>
      <c r="L727" t="s">
        <v>36</v>
      </c>
      <c r="M727" t="str">
        <f>IFERROR(INDEX(Diccionario!$N:$N,MATCH(F564,Diccionario!$C:$C,0)),"")</f>
        <v>Mensual</v>
      </c>
    </row>
    <row r="728" spans="1:13" ht="12" customHeight="1" x14ac:dyDescent="0.3">
      <c r="A728" t="s">
        <v>547</v>
      </c>
      <c r="B728" t="s">
        <v>522</v>
      </c>
      <c r="C728" t="s">
        <v>523</v>
      </c>
      <c r="D728" t="s">
        <v>451</v>
      </c>
      <c r="E728" t="s">
        <v>524</v>
      </c>
      <c r="F728" t="s">
        <v>318</v>
      </c>
      <c r="H728" t="s">
        <v>573</v>
      </c>
      <c r="I728" s="29">
        <v>0</v>
      </c>
      <c r="J728" t="s">
        <v>451</v>
      </c>
      <c r="L728" t="s">
        <v>36</v>
      </c>
      <c r="M728" t="str">
        <f>IFERROR(INDEX(Diccionario!$N:$N,MATCH(F562,Diccionario!$C:$C,0)),"")</f>
        <v>Mensual</v>
      </c>
    </row>
    <row r="729" spans="1:13" ht="12" customHeight="1" x14ac:dyDescent="0.3">
      <c r="A729" t="s">
        <v>547</v>
      </c>
      <c r="B729" t="s">
        <v>522</v>
      </c>
      <c r="C729" t="s">
        <v>523</v>
      </c>
      <c r="D729" t="s">
        <v>451</v>
      </c>
      <c r="E729" t="s">
        <v>524</v>
      </c>
      <c r="F729" t="s">
        <v>318</v>
      </c>
      <c r="H729" t="s">
        <v>572</v>
      </c>
      <c r="I729" s="29">
        <v>230500000</v>
      </c>
      <c r="J729" t="s">
        <v>451</v>
      </c>
      <c r="L729" t="s">
        <v>36</v>
      </c>
      <c r="M729" t="str">
        <f>IFERROR(INDEX(Diccionario!$N:$N,MATCH(F561,Diccionario!$C:$C,0)),"")</f>
        <v>Mensual</v>
      </c>
    </row>
    <row r="730" spans="1:13" ht="12" customHeight="1" x14ac:dyDescent="0.3">
      <c r="A730" t="s">
        <v>547</v>
      </c>
      <c r="B730" t="s">
        <v>522</v>
      </c>
      <c r="C730" t="s">
        <v>523</v>
      </c>
      <c r="D730" t="s">
        <v>451</v>
      </c>
      <c r="E730" t="s">
        <v>524</v>
      </c>
      <c r="F730" t="s">
        <v>318</v>
      </c>
      <c r="H730" t="s">
        <v>576</v>
      </c>
      <c r="I730" s="29">
        <v>19400000</v>
      </c>
      <c r="J730" t="s">
        <v>451</v>
      </c>
      <c r="L730" t="s">
        <v>36</v>
      </c>
      <c r="M730" t="str">
        <f>IFERROR(INDEX(Diccionario!$N:$N,MATCH(F565,Diccionario!$C:$C,0)),"")</f>
        <v>Mensual</v>
      </c>
    </row>
    <row r="731" spans="1:13" ht="12" customHeight="1" x14ac:dyDescent="0.3">
      <c r="A731" t="s">
        <v>547</v>
      </c>
      <c r="B731" t="s">
        <v>522</v>
      </c>
      <c r="C731" t="s">
        <v>523</v>
      </c>
      <c r="E731" t="s">
        <v>524</v>
      </c>
      <c r="F731" t="s">
        <v>323</v>
      </c>
      <c r="I731" s="36">
        <v>39.69</v>
      </c>
      <c r="J731" t="s">
        <v>65</v>
      </c>
      <c r="L731" t="s">
        <v>36</v>
      </c>
      <c r="M731" t="str">
        <f>IFERROR(INDEX(Diccionario!$N:$N,MATCH(F1019,Diccionario!$C:$C,0)),"")</f>
        <v>Mensual</v>
      </c>
    </row>
    <row r="732" spans="1:13" ht="12" customHeight="1" x14ac:dyDescent="0.3">
      <c r="A732" t="s">
        <v>547</v>
      </c>
      <c r="B732" t="s">
        <v>522</v>
      </c>
      <c r="C732" t="s">
        <v>523</v>
      </c>
      <c r="D732" t="s">
        <v>451</v>
      </c>
      <c r="E732" t="s">
        <v>524</v>
      </c>
      <c r="F732" t="s">
        <v>246</v>
      </c>
      <c r="I732" s="29">
        <v>30488403</v>
      </c>
      <c r="J732" t="s">
        <v>451</v>
      </c>
      <c r="L732" t="s">
        <v>36</v>
      </c>
      <c r="M732" t="str">
        <f>IFERROR(INDEX(Diccionario!$N:$N,MATCH(F1119,Diccionario!$C:$C,0)),"")</f>
        <v/>
      </c>
    </row>
    <row r="733" spans="1:13" ht="12" customHeight="1" x14ac:dyDescent="0.3">
      <c r="A733" t="s">
        <v>547</v>
      </c>
      <c r="B733" t="s">
        <v>522</v>
      </c>
      <c r="C733" t="s">
        <v>523</v>
      </c>
      <c r="D733" t="s">
        <v>451</v>
      </c>
      <c r="E733" t="s">
        <v>524</v>
      </c>
      <c r="F733" t="s">
        <v>309</v>
      </c>
      <c r="H733" t="s">
        <v>567</v>
      </c>
      <c r="I733" s="29">
        <v>12700000</v>
      </c>
      <c r="J733" t="s">
        <v>451</v>
      </c>
      <c r="L733" t="s">
        <v>36</v>
      </c>
      <c r="M733" t="str">
        <f>IFERROR(INDEX(Diccionario!$N:$N,MATCH(F409,Diccionario!$C:$C,0)),"")</f>
        <v>Mensual</v>
      </c>
    </row>
    <row r="734" spans="1:13" ht="12" customHeight="1" x14ac:dyDescent="0.3">
      <c r="A734" t="s">
        <v>547</v>
      </c>
      <c r="B734" t="s">
        <v>522</v>
      </c>
      <c r="C734" t="s">
        <v>523</v>
      </c>
      <c r="D734" t="s">
        <v>451</v>
      </c>
      <c r="E734" t="s">
        <v>524</v>
      </c>
      <c r="F734" t="s">
        <v>309</v>
      </c>
      <c r="H734" t="s">
        <v>571</v>
      </c>
      <c r="I734" s="29">
        <v>53200000</v>
      </c>
      <c r="J734" t="s">
        <v>451</v>
      </c>
      <c r="L734" t="s">
        <v>36</v>
      </c>
      <c r="M734" t="str">
        <f>IFERROR(INDEX(Diccionario!$N:$N,MATCH(F413,Diccionario!$C:$C,0)),"")</f>
        <v>Mensual</v>
      </c>
    </row>
    <row r="735" spans="1:13" ht="12" customHeight="1" x14ac:dyDescent="0.3">
      <c r="A735" t="s">
        <v>547</v>
      </c>
      <c r="B735" t="s">
        <v>522</v>
      </c>
      <c r="C735" t="s">
        <v>523</v>
      </c>
      <c r="D735" t="s">
        <v>451</v>
      </c>
      <c r="E735" t="s">
        <v>524</v>
      </c>
      <c r="F735" t="s">
        <v>309</v>
      </c>
      <c r="H735" t="s">
        <v>566</v>
      </c>
      <c r="I735" s="29">
        <v>2500000</v>
      </c>
      <c r="J735" t="s">
        <v>451</v>
      </c>
      <c r="L735" t="s">
        <v>36</v>
      </c>
      <c r="M735" t="str">
        <f>IFERROR(INDEX(Diccionario!$N:$N,MATCH(F408,Diccionario!$C:$C,0)),"")</f>
        <v>Mensual</v>
      </c>
    </row>
    <row r="736" spans="1:13" ht="12" customHeight="1" x14ac:dyDescent="0.3">
      <c r="A736" t="s">
        <v>547</v>
      </c>
      <c r="B736" t="s">
        <v>522</v>
      </c>
      <c r="C736" t="s">
        <v>523</v>
      </c>
      <c r="D736" t="s">
        <v>451</v>
      </c>
      <c r="E736" t="s">
        <v>524</v>
      </c>
      <c r="F736" t="s">
        <v>309</v>
      </c>
      <c r="H736" t="s">
        <v>565</v>
      </c>
      <c r="I736" s="29">
        <v>55000000</v>
      </c>
      <c r="J736" t="s">
        <v>451</v>
      </c>
      <c r="L736" t="s">
        <v>36</v>
      </c>
      <c r="M736" t="str">
        <f>IFERROR(INDEX(Diccionario!$N:$N,MATCH(F407,Diccionario!$C:$C,0)),"")</f>
        <v>Mensual</v>
      </c>
    </row>
    <row r="737" spans="1:13" ht="12" customHeight="1" x14ac:dyDescent="0.3">
      <c r="A737" t="s">
        <v>547</v>
      </c>
      <c r="B737" t="s">
        <v>522</v>
      </c>
      <c r="C737" t="s">
        <v>523</v>
      </c>
      <c r="D737" t="s">
        <v>451</v>
      </c>
      <c r="E737" t="s">
        <v>524</v>
      </c>
      <c r="F737" t="s">
        <v>309</v>
      </c>
      <c r="H737" t="s">
        <v>568</v>
      </c>
      <c r="I737" s="29">
        <v>1500000</v>
      </c>
      <c r="J737" t="s">
        <v>451</v>
      </c>
      <c r="L737" t="s">
        <v>36</v>
      </c>
      <c r="M737" t="str">
        <f>IFERROR(INDEX(Diccionario!$N:$N,MATCH(F410,Diccionario!$C:$C,0)),"")</f>
        <v>Mensual</v>
      </c>
    </row>
    <row r="738" spans="1:13" ht="12" customHeight="1" x14ac:dyDescent="0.3">
      <c r="A738" t="s">
        <v>547</v>
      </c>
      <c r="B738" t="s">
        <v>522</v>
      </c>
      <c r="C738" t="s">
        <v>523</v>
      </c>
      <c r="D738" t="s">
        <v>451</v>
      </c>
      <c r="E738" t="s">
        <v>524</v>
      </c>
      <c r="F738" t="s">
        <v>309</v>
      </c>
      <c r="H738" t="s">
        <v>569</v>
      </c>
      <c r="I738" s="29">
        <v>4100000</v>
      </c>
      <c r="J738" t="s">
        <v>451</v>
      </c>
      <c r="L738" t="s">
        <v>36</v>
      </c>
      <c r="M738" t="str">
        <f>IFERROR(INDEX(Diccionario!$N:$N,MATCH(F411,Diccionario!$C:$C,0)),"")</f>
        <v>Mensual</v>
      </c>
    </row>
    <row r="739" spans="1:13" ht="12" customHeight="1" x14ac:dyDescent="0.3">
      <c r="A739" t="s">
        <v>547</v>
      </c>
      <c r="B739" t="s">
        <v>522</v>
      </c>
      <c r="C739" t="s">
        <v>523</v>
      </c>
      <c r="D739" t="s">
        <v>451</v>
      </c>
      <c r="E739" t="s">
        <v>524</v>
      </c>
      <c r="F739" t="s">
        <v>309</v>
      </c>
      <c r="H739" t="s">
        <v>570</v>
      </c>
      <c r="I739" s="29">
        <v>16600000</v>
      </c>
      <c r="J739" t="s">
        <v>451</v>
      </c>
      <c r="L739" t="s">
        <v>36</v>
      </c>
      <c r="M739" t="str">
        <f>IFERROR(INDEX(Diccionario!$N:$N,MATCH(F412,Diccionario!$C:$C,0)),"")</f>
        <v>Mensual</v>
      </c>
    </row>
    <row r="740" spans="1:13" ht="12" customHeight="1" x14ac:dyDescent="0.3">
      <c r="A740" t="s">
        <v>547</v>
      </c>
      <c r="B740" t="s">
        <v>522</v>
      </c>
      <c r="C740" t="s">
        <v>523</v>
      </c>
      <c r="D740" t="s">
        <v>451</v>
      </c>
      <c r="E740" t="s">
        <v>524</v>
      </c>
      <c r="F740" t="s">
        <v>304</v>
      </c>
      <c r="H740" t="s">
        <v>564</v>
      </c>
      <c r="I740" s="29">
        <v>151500000</v>
      </c>
      <c r="J740" t="s">
        <v>451</v>
      </c>
      <c r="L740" t="s">
        <v>36</v>
      </c>
      <c r="M740" t="str">
        <f>IFERROR(INDEX(Diccionario!$N:$N,MATCH(F223,Diccionario!$C:$C,0)),"")</f>
        <v>Mensual</v>
      </c>
    </row>
    <row r="741" spans="1:13" ht="12" customHeight="1" x14ac:dyDescent="0.3">
      <c r="A741" t="s">
        <v>547</v>
      </c>
      <c r="B741" t="s">
        <v>522</v>
      </c>
      <c r="C741" t="s">
        <v>523</v>
      </c>
      <c r="D741" t="s">
        <v>451</v>
      </c>
      <c r="E741" t="s">
        <v>524</v>
      </c>
      <c r="F741" t="s">
        <v>304</v>
      </c>
      <c r="H741" t="s">
        <v>190</v>
      </c>
      <c r="I741" s="29">
        <v>171300000</v>
      </c>
      <c r="J741" t="s">
        <v>451</v>
      </c>
      <c r="L741" t="s">
        <v>36</v>
      </c>
      <c r="M741" t="str">
        <f>IFERROR(INDEX(Diccionario!$N:$N,MATCH(F222,Diccionario!$C:$C,0)),"")</f>
        <v>Mensual</v>
      </c>
    </row>
    <row r="742" spans="1:13" ht="12" customHeight="1" x14ac:dyDescent="0.3">
      <c r="A742" t="s">
        <v>547</v>
      </c>
      <c r="B742" t="s">
        <v>522</v>
      </c>
      <c r="C742" t="s">
        <v>523</v>
      </c>
      <c r="D742" t="s">
        <v>451</v>
      </c>
      <c r="E742" t="s">
        <v>524</v>
      </c>
      <c r="F742" t="s">
        <v>304</v>
      </c>
      <c r="H742" t="s">
        <v>561</v>
      </c>
      <c r="I742" s="29">
        <v>8200000</v>
      </c>
      <c r="J742" t="s">
        <v>451</v>
      </c>
      <c r="L742" t="s">
        <v>36</v>
      </c>
      <c r="M742" t="str">
        <f>IFERROR(INDEX(Diccionario!$N:$N,MATCH(F219,Diccionario!$C:$C,0)),"")</f>
        <v>Mensual</v>
      </c>
    </row>
    <row r="743" spans="1:13" ht="12" customHeight="1" x14ac:dyDescent="0.3">
      <c r="A743" t="s">
        <v>547</v>
      </c>
      <c r="B743" t="s">
        <v>522</v>
      </c>
      <c r="C743" t="s">
        <v>523</v>
      </c>
      <c r="D743" t="s">
        <v>451</v>
      </c>
      <c r="E743" t="s">
        <v>524</v>
      </c>
      <c r="F743" t="s">
        <v>304</v>
      </c>
      <c r="H743" t="s">
        <v>563</v>
      </c>
      <c r="I743" s="29">
        <v>277900000</v>
      </c>
      <c r="J743" t="s">
        <v>451</v>
      </c>
      <c r="L743" t="s">
        <v>36</v>
      </c>
      <c r="M743" t="str">
        <f>IFERROR(INDEX(Diccionario!$N:$N,MATCH(F221,Diccionario!$C:$C,0)),"")</f>
        <v>Mensual</v>
      </c>
    </row>
    <row r="744" spans="1:13" ht="12" customHeight="1" x14ac:dyDescent="0.3">
      <c r="A744" t="s">
        <v>547</v>
      </c>
      <c r="B744" t="s">
        <v>522</v>
      </c>
      <c r="C744" t="s">
        <v>523</v>
      </c>
      <c r="D744" t="s">
        <v>451</v>
      </c>
      <c r="E744" t="s">
        <v>524</v>
      </c>
      <c r="F744" t="s">
        <v>304</v>
      </c>
      <c r="H744" t="s">
        <v>562</v>
      </c>
      <c r="I744" s="29">
        <v>261900000</v>
      </c>
      <c r="J744" t="s">
        <v>451</v>
      </c>
      <c r="L744" t="s">
        <v>36</v>
      </c>
      <c r="M744" t="str">
        <f>IFERROR(INDEX(Diccionario!$N:$N,MATCH(F220,Diccionario!$C:$C,0)),"")</f>
        <v>Mensual</v>
      </c>
    </row>
    <row r="745" spans="1:13" ht="12" customHeight="1" x14ac:dyDescent="0.3">
      <c r="A745" t="s">
        <v>547</v>
      </c>
      <c r="B745" t="s">
        <v>522</v>
      </c>
      <c r="C745" t="s">
        <v>523</v>
      </c>
      <c r="D745" t="s">
        <v>451</v>
      </c>
      <c r="E745" t="s">
        <v>524</v>
      </c>
      <c r="F745" t="s">
        <v>377</v>
      </c>
      <c r="H745" t="s">
        <v>571</v>
      </c>
      <c r="I745" s="29">
        <v>16100000</v>
      </c>
      <c r="J745" t="s">
        <v>451</v>
      </c>
      <c r="L745" t="s">
        <v>36</v>
      </c>
      <c r="M745" t="str">
        <f>IFERROR(INDEX(Diccionario!$N:$N,MATCH(F964,Diccionario!$C:$C,0)),"")</f>
        <v>Mensual</v>
      </c>
    </row>
    <row r="746" spans="1:13" ht="12" customHeight="1" x14ac:dyDescent="0.3">
      <c r="A746" t="s">
        <v>547</v>
      </c>
      <c r="B746" t="s">
        <v>522</v>
      </c>
      <c r="C746" t="s">
        <v>523</v>
      </c>
      <c r="D746" t="s">
        <v>451</v>
      </c>
      <c r="E746" t="s">
        <v>524</v>
      </c>
      <c r="F746" t="s">
        <v>377</v>
      </c>
      <c r="H746" t="s">
        <v>577</v>
      </c>
      <c r="I746" s="29">
        <v>16500000</v>
      </c>
      <c r="J746" t="s">
        <v>451</v>
      </c>
      <c r="L746" t="s">
        <v>36</v>
      </c>
      <c r="M746" t="str">
        <f>IFERROR(INDEX(Diccionario!$N:$N,MATCH(F960,Diccionario!$C:$C,0)),"")</f>
        <v>Mensual</v>
      </c>
    </row>
    <row r="747" spans="1:13" ht="12" customHeight="1" x14ac:dyDescent="0.3">
      <c r="A747" t="s">
        <v>547</v>
      </c>
      <c r="B747" t="s">
        <v>522</v>
      </c>
      <c r="C747" t="s">
        <v>523</v>
      </c>
      <c r="D747" t="s">
        <v>451</v>
      </c>
      <c r="E747" t="s">
        <v>524</v>
      </c>
      <c r="F747" t="s">
        <v>377</v>
      </c>
      <c r="H747" t="s">
        <v>565</v>
      </c>
      <c r="I747" s="29">
        <v>107200000</v>
      </c>
      <c r="J747" t="s">
        <v>451</v>
      </c>
      <c r="L747" t="s">
        <v>36</v>
      </c>
      <c r="M747" t="str">
        <f>IFERROR(INDEX(Diccionario!$N:$N,MATCH(F959,Diccionario!$C:$C,0)),"")</f>
        <v>Mensual</v>
      </c>
    </row>
    <row r="748" spans="1:13" ht="12" customHeight="1" x14ac:dyDescent="0.3">
      <c r="A748" t="s">
        <v>547</v>
      </c>
      <c r="B748" t="s">
        <v>522</v>
      </c>
      <c r="C748" t="s">
        <v>523</v>
      </c>
      <c r="D748" t="s">
        <v>451</v>
      </c>
      <c r="E748" t="s">
        <v>524</v>
      </c>
      <c r="F748" t="s">
        <v>377</v>
      </c>
      <c r="H748" t="s">
        <v>568</v>
      </c>
      <c r="I748" s="29">
        <v>400000</v>
      </c>
      <c r="J748" t="s">
        <v>451</v>
      </c>
      <c r="L748" t="s">
        <v>36</v>
      </c>
      <c r="M748" t="str">
        <f>IFERROR(INDEX(Diccionario!$N:$N,MATCH(F961,Diccionario!$C:$C,0)),"")</f>
        <v>Mensual</v>
      </c>
    </row>
    <row r="749" spans="1:13" ht="12" customHeight="1" x14ac:dyDescent="0.3">
      <c r="A749" t="s">
        <v>547</v>
      </c>
      <c r="B749" t="s">
        <v>522</v>
      </c>
      <c r="C749" t="s">
        <v>523</v>
      </c>
      <c r="D749" t="s">
        <v>451</v>
      </c>
      <c r="E749" t="s">
        <v>524</v>
      </c>
      <c r="F749" t="s">
        <v>377</v>
      </c>
      <c r="H749" t="s">
        <v>569</v>
      </c>
      <c r="I749" s="29">
        <v>21600000</v>
      </c>
      <c r="J749" t="s">
        <v>451</v>
      </c>
      <c r="L749" t="s">
        <v>36</v>
      </c>
      <c r="M749" t="str">
        <f>IFERROR(INDEX(Diccionario!$N:$N,MATCH(F962,Diccionario!$C:$C,0)),"")</f>
        <v>Mensual</v>
      </c>
    </row>
    <row r="750" spans="1:13" ht="12" customHeight="1" x14ac:dyDescent="0.3">
      <c r="A750" t="s">
        <v>547</v>
      </c>
      <c r="B750" t="s">
        <v>522</v>
      </c>
      <c r="C750" t="s">
        <v>523</v>
      </c>
      <c r="D750" t="s">
        <v>451</v>
      </c>
      <c r="E750" t="s">
        <v>524</v>
      </c>
      <c r="F750" t="s">
        <v>377</v>
      </c>
      <c r="H750" t="s">
        <v>570</v>
      </c>
      <c r="I750" s="29">
        <v>9300000</v>
      </c>
      <c r="J750" t="s">
        <v>451</v>
      </c>
      <c r="L750" t="s">
        <v>36</v>
      </c>
      <c r="M750" t="str">
        <f>IFERROR(INDEX(Diccionario!$N:$N,MATCH(F963,Diccionario!$C:$C,0)),"")</f>
        <v>Mensual</v>
      </c>
    </row>
    <row r="751" spans="1:13" ht="12" customHeight="1" x14ac:dyDescent="0.3">
      <c r="A751" t="s">
        <v>547</v>
      </c>
      <c r="B751" t="s">
        <v>522</v>
      </c>
      <c r="C751" t="s">
        <v>523</v>
      </c>
      <c r="D751" t="s">
        <v>451</v>
      </c>
      <c r="E751" t="s">
        <v>524</v>
      </c>
      <c r="F751" t="s">
        <v>371</v>
      </c>
      <c r="H751" t="s">
        <v>566</v>
      </c>
      <c r="I751" s="29">
        <v>3800000</v>
      </c>
      <c r="J751" t="s">
        <v>451</v>
      </c>
      <c r="L751" t="s">
        <v>36</v>
      </c>
      <c r="M751" t="str">
        <f>IFERROR(INDEX(Diccionario!$N:$N,MATCH(F801,Diccionario!$C:$C,0)),"")</f>
        <v>Mensual</v>
      </c>
    </row>
    <row r="752" spans="1:13" ht="12" customHeight="1" x14ac:dyDescent="0.3">
      <c r="A752" t="s">
        <v>547</v>
      </c>
      <c r="B752" t="s">
        <v>522</v>
      </c>
      <c r="C752" t="s">
        <v>523</v>
      </c>
      <c r="D752" t="s">
        <v>451</v>
      </c>
      <c r="E752" t="s">
        <v>524</v>
      </c>
      <c r="F752" t="s">
        <v>371</v>
      </c>
      <c r="H752" t="s">
        <v>565</v>
      </c>
      <c r="I752" s="29">
        <v>174000000</v>
      </c>
      <c r="J752" t="s">
        <v>451</v>
      </c>
      <c r="L752" t="s">
        <v>36</v>
      </c>
      <c r="M752" t="str">
        <f>IFERROR(INDEX(Diccionario!$N:$N,MATCH(F800,Diccionario!$C:$C,0)),"")</f>
        <v>Mensual</v>
      </c>
    </row>
    <row r="753" spans="1:13" ht="12" customHeight="1" x14ac:dyDescent="0.3">
      <c r="A753" t="s">
        <v>547</v>
      </c>
      <c r="B753" t="s">
        <v>522</v>
      </c>
      <c r="C753" t="s">
        <v>523</v>
      </c>
      <c r="D753" t="s">
        <v>451</v>
      </c>
      <c r="E753" t="s">
        <v>524</v>
      </c>
      <c r="F753" t="s">
        <v>371</v>
      </c>
      <c r="H753" t="s">
        <v>569</v>
      </c>
      <c r="I753" s="29">
        <v>12600000</v>
      </c>
      <c r="J753" t="s">
        <v>451</v>
      </c>
      <c r="L753" t="s">
        <v>36</v>
      </c>
      <c r="M753" t="str">
        <f>IFERROR(INDEX(Diccionario!$N:$N,MATCH(F802,Diccionario!$C:$C,0)),"")</f>
        <v>Mensual</v>
      </c>
    </row>
    <row r="754" spans="1:13" ht="12" customHeight="1" x14ac:dyDescent="0.3">
      <c r="A754" t="s">
        <v>547</v>
      </c>
      <c r="B754" t="s">
        <v>522</v>
      </c>
      <c r="C754" t="s">
        <v>523</v>
      </c>
      <c r="D754" t="s">
        <v>451</v>
      </c>
      <c r="E754" t="s">
        <v>524</v>
      </c>
      <c r="F754" t="s">
        <v>371</v>
      </c>
      <c r="H754" t="s">
        <v>570</v>
      </c>
      <c r="I754" s="29">
        <v>0</v>
      </c>
      <c r="J754" t="s">
        <v>451</v>
      </c>
      <c r="L754" t="s">
        <v>36</v>
      </c>
      <c r="M754" t="str">
        <f>IFERROR(INDEX(Diccionario!$N:$N,MATCH(F803,Diccionario!$C:$C,0)),"")</f>
        <v>Mensual</v>
      </c>
    </row>
    <row r="755" spans="1:13" ht="12" customHeight="1" x14ac:dyDescent="0.3">
      <c r="A755" t="s">
        <v>547</v>
      </c>
      <c r="B755" t="s">
        <v>522</v>
      </c>
      <c r="C755" t="s">
        <v>523</v>
      </c>
      <c r="D755" t="s">
        <v>451</v>
      </c>
      <c r="E755" t="s">
        <v>524</v>
      </c>
      <c r="F755" t="s">
        <v>241</v>
      </c>
      <c r="I755" s="29">
        <v>4576586</v>
      </c>
      <c r="J755" t="s">
        <v>451</v>
      </c>
      <c r="L755" t="s">
        <v>36</v>
      </c>
      <c r="M755" t="str">
        <f>IFERROR(INDEX(Diccionario!$N:$N,MATCH(F1103,Diccionario!$C:$C,0)),"")</f>
        <v/>
      </c>
    </row>
    <row r="756" spans="1:13" ht="12" customHeight="1" x14ac:dyDescent="0.3">
      <c r="A756" t="s">
        <v>547</v>
      </c>
      <c r="B756" t="s">
        <v>522</v>
      </c>
      <c r="C756" t="s">
        <v>523</v>
      </c>
      <c r="D756" t="s">
        <v>451</v>
      </c>
      <c r="E756" t="s">
        <v>524</v>
      </c>
      <c r="F756" t="s">
        <v>258</v>
      </c>
      <c r="I756" s="29">
        <v>647442178</v>
      </c>
      <c r="J756" t="s">
        <v>451</v>
      </c>
      <c r="L756" t="s">
        <v>36</v>
      </c>
      <c r="M756" t="str">
        <f>IFERROR(INDEX(Diccionario!$N:$N,MATCH(F1090,Diccionario!$C:$C,0)),"")</f>
        <v/>
      </c>
    </row>
    <row r="757" spans="1:13" ht="12" customHeight="1" x14ac:dyDescent="0.3">
      <c r="A757" t="s">
        <v>548</v>
      </c>
      <c r="B757" t="s">
        <v>522</v>
      </c>
      <c r="C757" t="s">
        <v>523</v>
      </c>
      <c r="D757" t="s">
        <v>451</v>
      </c>
      <c r="E757" t="s">
        <v>524</v>
      </c>
      <c r="F757" t="s">
        <v>255</v>
      </c>
      <c r="I757" s="29">
        <v>-1685823</v>
      </c>
      <c r="J757" t="s">
        <v>451</v>
      </c>
      <c r="L757" t="s">
        <v>36</v>
      </c>
      <c r="M757" t="str">
        <f>IFERROR(INDEX(Diccionario!$N:$N,MATCH(F1146,Diccionario!$C:$C,0)),"")</f>
        <v/>
      </c>
    </row>
    <row r="758" spans="1:13" ht="12" customHeight="1" x14ac:dyDescent="0.3">
      <c r="A758" t="s">
        <v>548</v>
      </c>
      <c r="B758" t="s">
        <v>522</v>
      </c>
      <c r="C758" t="s">
        <v>523</v>
      </c>
      <c r="D758" t="s">
        <v>451</v>
      </c>
      <c r="E758" t="s">
        <v>524</v>
      </c>
      <c r="F758" t="s">
        <v>252</v>
      </c>
      <c r="I758" s="29">
        <v>-63176870</v>
      </c>
      <c r="J758" t="s">
        <v>451</v>
      </c>
      <c r="L758" t="s">
        <v>36</v>
      </c>
      <c r="M758" t="str">
        <f>IFERROR(INDEX(Diccionario!$N:$N,MATCH(F1133,Diccionario!$C:$C,0)),"")</f>
        <v/>
      </c>
    </row>
    <row r="759" spans="1:13" ht="12" customHeight="1" x14ac:dyDescent="0.3">
      <c r="A759" t="s">
        <v>548</v>
      </c>
      <c r="B759" t="s">
        <v>522</v>
      </c>
      <c r="C759" t="s">
        <v>523</v>
      </c>
      <c r="D759" t="s">
        <v>451</v>
      </c>
      <c r="E759" t="s">
        <v>524</v>
      </c>
      <c r="F759" t="s">
        <v>314</v>
      </c>
      <c r="H759" t="s">
        <v>577</v>
      </c>
      <c r="I759" s="29">
        <v>4300000</v>
      </c>
      <c r="J759" t="s">
        <v>451</v>
      </c>
      <c r="L759" t="s">
        <v>36</v>
      </c>
      <c r="M759" t="str">
        <f>IFERROR(INDEX(Diccionario!$N:$N,MATCH(F687,Diccionario!$C:$C,0)),"")</f>
        <v>Mensual</v>
      </c>
    </row>
    <row r="760" spans="1:13" ht="12" customHeight="1" x14ac:dyDescent="0.3">
      <c r="A760" t="s">
        <v>548</v>
      </c>
      <c r="B760" t="s">
        <v>522</v>
      </c>
      <c r="C760" t="s">
        <v>523</v>
      </c>
      <c r="D760" t="s">
        <v>451</v>
      </c>
      <c r="E760" t="s">
        <v>524</v>
      </c>
      <c r="F760" t="s">
        <v>314</v>
      </c>
      <c r="H760" t="s">
        <v>578</v>
      </c>
      <c r="I760" s="29">
        <v>0</v>
      </c>
      <c r="J760" t="s">
        <v>451</v>
      </c>
      <c r="L760" t="s">
        <v>36</v>
      </c>
      <c r="M760" t="str">
        <f>IFERROR(INDEX(Diccionario!$N:$N,MATCH(F689,Diccionario!$C:$C,0)),"")</f>
        <v>Mensual</v>
      </c>
    </row>
    <row r="761" spans="1:13" ht="12" customHeight="1" x14ac:dyDescent="0.3">
      <c r="A761" t="s">
        <v>548</v>
      </c>
      <c r="B761" t="s">
        <v>522</v>
      </c>
      <c r="C761" t="s">
        <v>523</v>
      </c>
      <c r="D761" t="s">
        <v>451</v>
      </c>
      <c r="E761" t="s">
        <v>524</v>
      </c>
      <c r="F761" t="s">
        <v>314</v>
      </c>
      <c r="H761" t="s">
        <v>565</v>
      </c>
      <c r="I761" s="29">
        <v>60800000</v>
      </c>
      <c r="J761" t="s">
        <v>451</v>
      </c>
      <c r="L761" t="s">
        <v>36</v>
      </c>
      <c r="M761" t="str">
        <f>IFERROR(INDEX(Diccionario!$N:$N,MATCH(F686,Diccionario!$C:$C,0)),"")</f>
        <v>Mensual</v>
      </c>
    </row>
    <row r="762" spans="1:13" ht="12" customHeight="1" x14ac:dyDescent="0.3">
      <c r="A762" t="s">
        <v>548</v>
      </c>
      <c r="B762" t="s">
        <v>522</v>
      </c>
      <c r="C762" t="s">
        <v>523</v>
      </c>
      <c r="D762" t="s">
        <v>451</v>
      </c>
      <c r="E762" t="s">
        <v>524</v>
      </c>
      <c r="F762" t="s">
        <v>314</v>
      </c>
      <c r="H762" t="s">
        <v>569</v>
      </c>
      <c r="I762" s="29">
        <v>21900000</v>
      </c>
      <c r="J762" t="s">
        <v>451</v>
      </c>
      <c r="L762" t="s">
        <v>36</v>
      </c>
      <c r="M762" t="str">
        <f>IFERROR(INDEX(Diccionario!$N:$N,MATCH(F688,Diccionario!$C:$C,0)),"")</f>
        <v>Mensual</v>
      </c>
    </row>
    <row r="763" spans="1:13" ht="12" customHeight="1" x14ac:dyDescent="0.3">
      <c r="A763" t="s">
        <v>548</v>
      </c>
      <c r="B763" t="s">
        <v>522</v>
      </c>
      <c r="C763" t="s">
        <v>523</v>
      </c>
      <c r="D763" t="s">
        <v>451</v>
      </c>
      <c r="E763" t="s">
        <v>524</v>
      </c>
      <c r="F763" t="s">
        <v>314</v>
      </c>
      <c r="H763" t="s">
        <v>570</v>
      </c>
      <c r="I763" s="29">
        <v>2300000</v>
      </c>
      <c r="J763" t="s">
        <v>451</v>
      </c>
      <c r="L763" t="s">
        <v>36</v>
      </c>
      <c r="M763" t="str">
        <f>IFERROR(INDEX(Diccionario!$N:$N,MATCH(F690,Diccionario!$C:$C,0)),"")</f>
        <v>Mensual</v>
      </c>
    </row>
    <row r="764" spans="1:13" ht="12" customHeight="1" x14ac:dyDescent="0.3">
      <c r="A764" t="s">
        <v>548</v>
      </c>
      <c r="B764" t="s">
        <v>522</v>
      </c>
      <c r="C764" t="s">
        <v>523</v>
      </c>
      <c r="D764" t="s">
        <v>451</v>
      </c>
      <c r="E764" t="s">
        <v>524</v>
      </c>
      <c r="F764" t="s">
        <v>318</v>
      </c>
      <c r="H764" t="s">
        <v>574</v>
      </c>
      <c r="I764" s="29">
        <v>25100000</v>
      </c>
      <c r="J764" t="s">
        <v>451</v>
      </c>
      <c r="L764" t="s">
        <v>36</v>
      </c>
      <c r="M764" t="str">
        <f>IFERROR(INDEX(Diccionario!$N:$N,MATCH(F568,Diccionario!$C:$C,0)),"")</f>
        <v>Mensual</v>
      </c>
    </row>
    <row r="765" spans="1:13" ht="12" customHeight="1" x14ac:dyDescent="0.3">
      <c r="A765" t="s">
        <v>548</v>
      </c>
      <c r="B765" t="s">
        <v>522</v>
      </c>
      <c r="C765" t="s">
        <v>523</v>
      </c>
      <c r="D765" t="s">
        <v>451</v>
      </c>
      <c r="E765" t="s">
        <v>524</v>
      </c>
      <c r="F765" t="s">
        <v>318</v>
      </c>
      <c r="H765" t="s">
        <v>575</v>
      </c>
      <c r="I765" s="29">
        <v>16100000</v>
      </c>
      <c r="J765" t="s">
        <v>451</v>
      </c>
      <c r="L765" t="s">
        <v>36</v>
      </c>
      <c r="M765" t="str">
        <f>IFERROR(INDEX(Diccionario!$N:$N,MATCH(F569,Diccionario!$C:$C,0)),"")</f>
        <v>Mensual</v>
      </c>
    </row>
    <row r="766" spans="1:13" ht="12" customHeight="1" x14ac:dyDescent="0.3">
      <c r="A766" t="s">
        <v>548</v>
      </c>
      <c r="B766" t="s">
        <v>522</v>
      </c>
      <c r="C766" t="s">
        <v>523</v>
      </c>
      <c r="D766" t="s">
        <v>451</v>
      </c>
      <c r="E766" t="s">
        <v>524</v>
      </c>
      <c r="F766" t="s">
        <v>318</v>
      </c>
      <c r="H766" t="s">
        <v>573</v>
      </c>
      <c r="I766" s="29">
        <v>0</v>
      </c>
      <c r="J766" t="s">
        <v>451</v>
      </c>
      <c r="L766" t="s">
        <v>36</v>
      </c>
      <c r="M766" t="str">
        <f>IFERROR(INDEX(Diccionario!$N:$N,MATCH(F567,Diccionario!$C:$C,0)),"")</f>
        <v>Mensual</v>
      </c>
    </row>
    <row r="767" spans="1:13" ht="12" customHeight="1" x14ac:dyDescent="0.3">
      <c r="A767" t="s">
        <v>548</v>
      </c>
      <c r="B767" t="s">
        <v>522</v>
      </c>
      <c r="C767" t="s">
        <v>523</v>
      </c>
      <c r="D767" t="s">
        <v>451</v>
      </c>
      <c r="E767" t="s">
        <v>524</v>
      </c>
      <c r="F767" t="s">
        <v>318</v>
      </c>
      <c r="H767" t="s">
        <v>572</v>
      </c>
      <c r="I767" s="29">
        <v>107300000</v>
      </c>
      <c r="J767" t="s">
        <v>451</v>
      </c>
      <c r="L767" t="s">
        <v>36</v>
      </c>
      <c r="M767" t="str">
        <f>IFERROR(INDEX(Diccionario!$N:$N,MATCH(F566,Diccionario!$C:$C,0)),"")</f>
        <v>Mensual</v>
      </c>
    </row>
    <row r="768" spans="1:13" ht="12" customHeight="1" x14ac:dyDescent="0.3">
      <c r="A768" t="s">
        <v>548</v>
      </c>
      <c r="B768" t="s">
        <v>522</v>
      </c>
      <c r="C768" t="s">
        <v>523</v>
      </c>
      <c r="D768" t="s">
        <v>451</v>
      </c>
      <c r="E768" t="s">
        <v>524</v>
      </c>
      <c r="F768" t="s">
        <v>318</v>
      </c>
      <c r="H768" t="s">
        <v>576</v>
      </c>
      <c r="I768" s="29">
        <v>9300000</v>
      </c>
      <c r="J768" t="s">
        <v>451</v>
      </c>
      <c r="L768" t="s">
        <v>36</v>
      </c>
      <c r="M768" t="str">
        <f>IFERROR(INDEX(Diccionario!$N:$N,MATCH(F570,Diccionario!$C:$C,0)),"")</f>
        <v>Mensual</v>
      </c>
    </row>
    <row r="769" spans="1:13" ht="12" customHeight="1" x14ac:dyDescent="0.3">
      <c r="A769" t="s">
        <v>548</v>
      </c>
      <c r="B769" t="s">
        <v>522</v>
      </c>
      <c r="C769" t="s">
        <v>523</v>
      </c>
      <c r="E769" t="s">
        <v>524</v>
      </c>
      <c r="F769" t="s">
        <v>323</v>
      </c>
      <c r="I769" s="36">
        <v>20.96</v>
      </c>
      <c r="J769" t="s">
        <v>65</v>
      </c>
      <c r="L769" t="s">
        <v>36</v>
      </c>
      <c r="M769" t="str">
        <f>IFERROR(INDEX(Diccionario!$N:$N,MATCH(F1020,Diccionario!$C:$C,0)),"")</f>
        <v>Mensual</v>
      </c>
    </row>
    <row r="770" spans="1:13" ht="12" customHeight="1" x14ac:dyDescent="0.3">
      <c r="A770" t="s">
        <v>548</v>
      </c>
      <c r="B770" t="s">
        <v>522</v>
      </c>
      <c r="C770" t="s">
        <v>523</v>
      </c>
      <c r="D770" t="s">
        <v>451</v>
      </c>
      <c r="E770" t="s">
        <v>524</v>
      </c>
      <c r="F770" t="s">
        <v>246</v>
      </c>
      <c r="I770" s="29">
        <v>7435487</v>
      </c>
      <c r="J770" t="s">
        <v>451</v>
      </c>
      <c r="L770" t="s">
        <v>36</v>
      </c>
      <c r="M770" t="str">
        <f>IFERROR(INDEX(Diccionario!$N:$N,MATCH(F1120,Diccionario!$C:$C,0)),"")</f>
        <v/>
      </c>
    </row>
    <row r="771" spans="1:13" ht="12" customHeight="1" x14ac:dyDescent="0.3">
      <c r="A771" t="s">
        <v>548</v>
      </c>
      <c r="B771" t="s">
        <v>522</v>
      </c>
      <c r="C771" t="s">
        <v>523</v>
      </c>
      <c r="D771" t="s">
        <v>451</v>
      </c>
      <c r="E771" t="s">
        <v>524</v>
      </c>
      <c r="F771" t="s">
        <v>309</v>
      </c>
      <c r="H771" t="s">
        <v>567</v>
      </c>
      <c r="I771" s="29">
        <v>12400000</v>
      </c>
      <c r="J771" t="s">
        <v>451</v>
      </c>
      <c r="L771" t="s">
        <v>36</v>
      </c>
      <c r="M771" t="str">
        <f>IFERROR(INDEX(Diccionario!$N:$N,MATCH(F416,Diccionario!$C:$C,0)),"")</f>
        <v>Mensual</v>
      </c>
    </row>
    <row r="772" spans="1:13" ht="12" customHeight="1" x14ac:dyDescent="0.3">
      <c r="A772" t="s">
        <v>548</v>
      </c>
      <c r="B772" t="s">
        <v>522</v>
      </c>
      <c r="C772" t="s">
        <v>523</v>
      </c>
      <c r="D772" t="s">
        <v>451</v>
      </c>
      <c r="E772" t="s">
        <v>524</v>
      </c>
      <c r="F772" t="s">
        <v>309</v>
      </c>
      <c r="H772" t="s">
        <v>571</v>
      </c>
      <c r="I772" s="29">
        <v>9400000</v>
      </c>
      <c r="J772" t="s">
        <v>451</v>
      </c>
      <c r="L772" t="s">
        <v>36</v>
      </c>
      <c r="M772" t="str">
        <f>IFERROR(INDEX(Diccionario!$N:$N,MATCH(F420,Diccionario!$C:$C,0)),"")</f>
        <v>Mensual</v>
      </c>
    </row>
    <row r="773" spans="1:13" ht="12" customHeight="1" x14ac:dyDescent="0.3">
      <c r="A773" t="s">
        <v>548</v>
      </c>
      <c r="B773" t="s">
        <v>522</v>
      </c>
      <c r="C773" t="s">
        <v>523</v>
      </c>
      <c r="D773" t="s">
        <v>451</v>
      </c>
      <c r="E773" t="s">
        <v>524</v>
      </c>
      <c r="F773" t="s">
        <v>309</v>
      </c>
      <c r="H773" t="s">
        <v>566</v>
      </c>
      <c r="I773" s="29">
        <v>9200000</v>
      </c>
      <c r="J773" t="s">
        <v>451</v>
      </c>
      <c r="L773" t="s">
        <v>36</v>
      </c>
      <c r="M773" t="str">
        <f>IFERROR(INDEX(Diccionario!$N:$N,MATCH(F415,Diccionario!$C:$C,0)),"")</f>
        <v>Mensual</v>
      </c>
    </row>
    <row r="774" spans="1:13" ht="12" customHeight="1" x14ac:dyDescent="0.3">
      <c r="A774" t="s">
        <v>548</v>
      </c>
      <c r="B774" t="s">
        <v>522</v>
      </c>
      <c r="C774" t="s">
        <v>523</v>
      </c>
      <c r="D774" t="s">
        <v>451</v>
      </c>
      <c r="E774" t="s">
        <v>524</v>
      </c>
      <c r="F774" t="s">
        <v>309</v>
      </c>
      <c r="H774" t="s">
        <v>565</v>
      </c>
      <c r="I774" s="29">
        <v>40100000</v>
      </c>
      <c r="J774" t="s">
        <v>451</v>
      </c>
      <c r="L774" t="s">
        <v>36</v>
      </c>
      <c r="M774" t="str">
        <f>IFERROR(INDEX(Diccionario!$N:$N,MATCH(F414,Diccionario!$C:$C,0)),"")</f>
        <v>Mensual</v>
      </c>
    </row>
    <row r="775" spans="1:13" ht="12" customHeight="1" x14ac:dyDescent="0.3">
      <c r="A775" t="s">
        <v>548</v>
      </c>
      <c r="B775" t="s">
        <v>522</v>
      </c>
      <c r="C775" t="s">
        <v>523</v>
      </c>
      <c r="D775" t="s">
        <v>451</v>
      </c>
      <c r="E775" t="s">
        <v>524</v>
      </c>
      <c r="F775" t="s">
        <v>309</v>
      </c>
      <c r="H775" t="s">
        <v>568</v>
      </c>
      <c r="I775" s="29">
        <v>3000000</v>
      </c>
      <c r="J775" t="s">
        <v>451</v>
      </c>
      <c r="L775" t="s">
        <v>36</v>
      </c>
      <c r="M775" t="str">
        <f>IFERROR(INDEX(Diccionario!$N:$N,MATCH(F417,Diccionario!$C:$C,0)),"")</f>
        <v>Mensual</v>
      </c>
    </row>
    <row r="776" spans="1:13" ht="12" customHeight="1" x14ac:dyDescent="0.3">
      <c r="A776" t="s">
        <v>548</v>
      </c>
      <c r="B776" t="s">
        <v>522</v>
      </c>
      <c r="C776" t="s">
        <v>523</v>
      </c>
      <c r="D776" t="s">
        <v>451</v>
      </c>
      <c r="E776" t="s">
        <v>524</v>
      </c>
      <c r="F776" t="s">
        <v>309</v>
      </c>
      <c r="H776" t="s">
        <v>569</v>
      </c>
      <c r="I776" s="29">
        <v>5700000</v>
      </c>
      <c r="J776" t="s">
        <v>451</v>
      </c>
      <c r="L776" t="s">
        <v>36</v>
      </c>
      <c r="M776" t="str">
        <f>IFERROR(INDEX(Diccionario!$N:$N,MATCH(F418,Diccionario!$C:$C,0)),"")</f>
        <v>Mensual</v>
      </c>
    </row>
    <row r="777" spans="1:13" ht="12" customHeight="1" x14ac:dyDescent="0.3">
      <c r="A777" t="s">
        <v>548</v>
      </c>
      <c r="B777" t="s">
        <v>522</v>
      </c>
      <c r="C777" t="s">
        <v>523</v>
      </c>
      <c r="D777" t="s">
        <v>451</v>
      </c>
      <c r="E777" t="s">
        <v>524</v>
      </c>
      <c r="F777" t="s">
        <v>309</v>
      </c>
      <c r="H777" t="s">
        <v>570</v>
      </c>
      <c r="I777" s="29">
        <v>2900000</v>
      </c>
      <c r="J777" t="s">
        <v>451</v>
      </c>
      <c r="L777" t="s">
        <v>36</v>
      </c>
      <c r="M777" t="str">
        <f>IFERROR(INDEX(Diccionario!$N:$N,MATCH(F419,Diccionario!$C:$C,0)),"")</f>
        <v>Mensual</v>
      </c>
    </row>
    <row r="778" spans="1:13" ht="12" customHeight="1" x14ac:dyDescent="0.3">
      <c r="A778" t="s">
        <v>548</v>
      </c>
      <c r="B778" t="s">
        <v>522</v>
      </c>
      <c r="C778" t="s">
        <v>523</v>
      </c>
      <c r="D778" t="s">
        <v>451</v>
      </c>
      <c r="E778" t="s">
        <v>524</v>
      </c>
      <c r="F778" t="s">
        <v>304</v>
      </c>
      <c r="H778" t="s">
        <v>564</v>
      </c>
      <c r="I778" s="29">
        <v>83100000</v>
      </c>
      <c r="J778" t="s">
        <v>451</v>
      </c>
      <c r="L778" t="s">
        <v>36</v>
      </c>
      <c r="M778" t="str">
        <f>IFERROR(INDEX(Diccionario!$N:$N,MATCH(F228,Diccionario!$C:$C,0)),"")</f>
        <v>Mensual</v>
      </c>
    </row>
    <row r="779" spans="1:13" ht="12" customHeight="1" x14ac:dyDescent="0.3">
      <c r="A779" t="s">
        <v>548</v>
      </c>
      <c r="B779" t="s">
        <v>522</v>
      </c>
      <c r="C779" t="s">
        <v>523</v>
      </c>
      <c r="D779" t="s">
        <v>451</v>
      </c>
      <c r="E779" t="s">
        <v>524</v>
      </c>
      <c r="F779" t="s">
        <v>304</v>
      </c>
      <c r="H779" t="s">
        <v>190</v>
      </c>
      <c r="I779" s="29">
        <v>194800000</v>
      </c>
      <c r="J779" t="s">
        <v>451</v>
      </c>
      <c r="L779" t="s">
        <v>36</v>
      </c>
      <c r="M779" t="str">
        <f>IFERROR(INDEX(Diccionario!$N:$N,MATCH(F227,Diccionario!$C:$C,0)),"")</f>
        <v>Mensual</v>
      </c>
    </row>
    <row r="780" spans="1:13" ht="12" customHeight="1" x14ac:dyDescent="0.3">
      <c r="A780" t="s">
        <v>548</v>
      </c>
      <c r="B780" t="s">
        <v>522</v>
      </c>
      <c r="C780" t="s">
        <v>523</v>
      </c>
      <c r="D780" t="s">
        <v>451</v>
      </c>
      <c r="E780" t="s">
        <v>524</v>
      </c>
      <c r="F780" t="s">
        <v>304</v>
      </c>
      <c r="H780" t="s">
        <v>561</v>
      </c>
      <c r="I780" s="29">
        <v>13100000</v>
      </c>
      <c r="J780" t="s">
        <v>451</v>
      </c>
      <c r="L780" t="s">
        <v>36</v>
      </c>
      <c r="M780" t="str">
        <f>IFERROR(INDEX(Diccionario!$N:$N,MATCH(F224,Diccionario!$C:$C,0)),"")</f>
        <v>Mensual</v>
      </c>
    </row>
    <row r="781" spans="1:13" ht="12" customHeight="1" x14ac:dyDescent="0.3">
      <c r="A781" t="s">
        <v>548</v>
      </c>
      <c r="B781" t="s">
        <v>522</v>
      </c>
      <c r="C781" t="s">
        <v>523</v>
      </c>
      <c r="D781" t="s">
        <v>451</v>
      </c>
      <c r="E781" t="s">
        <v>524</v>
      </c>
      <c r="F781" t="s">
        <v>304</v>
      </c>
      <c r="H781" t="s">
        <v>563</v>
      </c>
      <c r="I781" s="29">
        <v>154700000</v>
      </c>
      <c r="J781" t="s">
        <v>451</v>
      </c>
      <c r="L781" t="s">
        <v>36</v>
      </c>
      <c r="M781" t="str">
        <f>IFERROR(INDEX(Diccionario!$N:$N,MATCH(F226,Diccionario!$C:$C,0)),"")</f>
        <v>Mensual</v>
      </c>
    </row>
    <row r="782" spans="1:13" ht="12" customHeight="1" x14ac:dyDescent="0.3">
      <c r="A782" t="s">
        <v>548</v>
      </c>
      <c r="B782" t="s">
        <v>522</v>
      </c>
      <c r="C782" t="s">
        <v>523</v>
      </c>
      <c r="D782" t="s">
        <v>451</v>
      </c>
      <c r="E782" t="s">
        <v>524</v>
      </c>
      <c r="F782" t="s">
        <v>304</v>
      </c>
      <c r="H782" t="s">
        <v>562</v>
      </c>
      <c r="I782" s="29">
        <v>272200000</v>
      </c>
      <c r="J782" t="s">
        <v>451</v>
      </c>
      <c r="L782" t="s">
        <v>36</v>
      </c>
      <c r="M782" t="str">
        <f>IFERROR(INDEX(Diccionario!$N:$N,MATCH(F225,Diccionario!$C:$C,0)),"")</f>
        <v>Mensual</v>
      </c>
    </row>
    <row r="783" spans="1:13" ht="12" customHeight="1" x14ac:dyDescent="0.3">
      <c r="A783" t="s">
        <v>548</v>
      </c>
      <c r="B783" t="s">
        <v>522</v>
      </c>
      <c r="C783" t="s">
        <v>523</v>
      </c>
      <c r="D783" t="s">
        <v>451</v>
      </c>
      <c r="E783" t="s">
        <v>524</v>
      </c>
      <c r="F783" t="s">
        <v>377</v>
      </c>
      <c r="H783" t="s">
        <v>571</v>
      </c>
      <c r="I783" s="29">
        <v>12200000</v>
      </c>
      <c r="J783" t="s">
        <v>451</v>
      </c>
      <c r="L783" t="s">
        <v>36</v>
      </c>
      <c r="M783" t="str">
        <f>IFERROR(INDEX(Diccionario!$N:$N,MATCH(F970,Diccionario!$C:$C,0)),"")</f>
        <v>Mensual</v>
      </c>
    </row>
    <row r="784" spans="1:13" ht="12" customHeight="1" x14ac:dyDescent="0.3">
      <c r="A784" t="s">
        <v>548</v>
      </c>
      <c r="B784" t="s">
        <v>522</v>
      </c>
      <c r="C784" t="s">
        <v>523</v>
      </c>
      <c r="D784" t="s">
        <v>451</v>
      </c>
      <c r="E784" t="s">
        <v>524</v>
      </c>
      <c r="F784" t="s">
        <v>377</v>
      </c>
      <c r="H784" t="s">
        <v>577</v>
      </c>
      <c r="I784" s="29">
        <v>47800000</v>
      </c>
      <c r="J784" t="s">
        <v>451</v>
      </c>
      <c r="L784" t="s">
        <v>36</v>
      </c>
      <c r="M784" t="str">
        <f>IFERROR(INDEX(Diccionario!$N:$N,MATCH(F966,Diccionario!$C:$C,0)),"")</f>
        <v>Mensual</v>
      </c>
    </row>
    <row r="785" spans="1:13" ht="12" customHeight="1" x14ac:dyDescent="0.3">
      <c r="A785" t="s">
        <v>548</v>
      </c>
      <c r="B785" t="s">
        <v>522</v>
      </c>
      <c r="C785" t="s">
        <v>523</v>
      </c>
      <c r="D785" t="s">
        <v>451</v>
      </c>
      <c r="E785" t="s">
        <v>524</v>
      </c>
      <c r="F785" t="s">
        <v>377</v>
      </c>
      <c r="H785" t="s">
        <v>565</v>
      </c>
      <c r="I785" s="29">
        <v>99200000</v>
      </c>
      <c r="J785" t="s">
        <v>451</v>
      </c>
      <c r="L785" t="s">
        <v>36</v>
      </c>
      <c r="M785" t="str">
        <f>IFERROR(INDEX(Diccionario!$N:$N,MATCH(F965,Diccionario!$C:$C,0)),"")</f>
        <v>Mensual</v>
      </c>
    </row>
    <row r="786" spans="1:13" ht="12" customHeight="1" x14ac:dyDescent="0.3">
      <c r="A786" t="s">
        <v>548</v>
      </c>
      <c r="B786" t="s">
        <v>522</v>
      </c>
      <c r="C786" t="s">
        <v>523</v>
      </c>
      <c r="D786" t="s">
        <v>451</v>
      </c>
      <c r="E786" t="s">
        <v>524</v>
      </c>
      <c r="F786" t="s">
        <v>377</v>
      </c>
      <c r="H786" t="s">
        <v>568</v>
      </c>
      <c r="I786" s="29">
        <v>700000</v>
      </c>
      <c r="J786" t="s">
        <v>451</v>
      </c>
      <c r="L786" t="s">
        <v>36</v>
      </c>
      <c r="M786" t="str">
        <f>IFERROR(INDEX(Diccionario!$N:$N,MATCH(F967,Diccionario!$C:$C,0)),"")</f>
        <v>Mensual</v>
      </c>
    </row>
    <row r="787" spans="1:13" ht="12" customHeight="1" x14ac:dyDescent="0.3">
      <c r="A787" t="s">
        <v>548</v>
      </c>
      <c r="B787" t="s">
        <v>522</v>
      </c>
      <c r="C787" t="s">
        <v>523</v>
      </c>
      <c r="D787" t="s">
        <v>451</v>
      </c>
      <c r="E787" t="s">
        <v>524</v>
      </c>
      <c r="F787" t="s">
        <v>377</v>
      </c>
      <c r="H787" t="s">
        <v>569</v>
      </c>
      <c r="I787" s="29">
        <v>23300000</v>
      </c>
      <c r="J787" t="s">
        <v>451</v>
      </c>
      <c r="L787" t="s">
        <v>36</v>
      </c>
      <c r="M787" t="str">
        <f>IFERROR(INDEX(Diccionario!$N:$N,MATCH(F968,Diccionario!$C:$C,0)),"")</f>
        <v>Mensual</v>
      </c>
    </row>
    <row r="788" spans="1:13" ht="12" customHeight="1" x14ac:dyDescent="0.3">
      <c r="A788" t="s">
        <v>548</v>
      </c>
      <c r="B788" t="s">
        <v>522</v>
      </c>
      <c r="C788" t="s">
        <v>523</v>
      </c>
      <c r="D788" t="s">
        <v>451</v>
      </c>
      <c r="E788" t="s">
        <v>524</v>
      </c>
      <c r="F788" t="s">
        <v>377</v>
      </c>
      <c r="H788" t="s">
        <v>570</v>
      </c>
      <c r="I788" s="29">
        <v>11400000</v>
      </c>
      <c r="J788" t="s">
        <v>451</v>
      </c>
      <c r="L788" t="s">
        <v>36</v>
      </c>
      <c r="M788" t="str">
        <f>IFERROR(INDEX(Diccionario!$N:$N,MATCH(F969,Diccionario!$C:$C,0)),"")</f>
        <v>Mensual</v>
      </c>
    </row>
    <row r="789" spans="1:13" ht="12" customHeight="1" x14ac:dyDescent="0.3">
      <c r="A789" t="s">
        <v>548</v>
      </c>
      <c r="B789" t="s">
        <v>522</v>
      </c>
      <c r="C789" t="s">
        <v>523</v>
      </c>
      <c r="D789" t="s">
        <v>451</v>
      </c>
      <c r="E789" t="s">
        <v>524</v>
      </c>
      <c r="F789" t="s">
        <v>371</v>
      </c>
      <c r="H789" t="s">
        <v>566</v>
      </c>
      <c r="I789" s="29">
        <v>7200000</v>
      </c>
      <c r="J789" t="s">
        <v>451</v>
      </c>
      <c r="L789" t="s">
        <v>36</v>
      </c>
      <c r="M789" t="str">
        <f>IFERROR(INDEX(Diccionario!$N:$N,MATCH(F805,Diccionario!$C:$C,0)),"")</f>
        <v>Mensual</v>
      </c>
    </row>
    <row r="790" spans="1:13" ht="12" customHeight="1" x14ac:dyDescent="0.3">
      <c r="A790" t="s">
        <v>548</v>
      </c>
      <c r="B790" t="s">
        <v>522</v>
      </c>
      <c r="C790" t="s">
        <v>523</v>
      </c>
      <c r="D790" t="s">
        <v>451</v>
      </c>
      <c r="E790" t="s">
        <v>524</v>
      </c>
      <c r="F790" t="s">
        <v>371</v>
      </c>
      <c r="H790" t="s">
        <v>565</v>
      </c>
      <c r="I790" s="29">
        <v>164000000</v>
      </c>
      <c r="J790" t="s">
        <v>451</v>
      </c>
      <c r="L790" t="s">
        <v>36</v>
      </c>
      <c r="M790" t="str">
        <f>IFERROR(INDEX(Diccionario!$N:$N,MATCH(F804,Diccionario!$C:$C,0)),"")</f>
        <v>Mensual</v>
      </c>
    </row>
    <row r="791" spans="1:13" ht="12" customHeight="1" x14ac:dyDescent="0.3">
      <c r="A791" t="s">
        <v>548</v>
      </c>
      <c r="B791" t="s">
        <v>522</v>
      </c>
      <c r="C791" t="s">
        <v>523</v>
      </c>
      <c r="D791" t="s">
        <v>451</v>
      </c>
      <c r="E791" t="s">
        <v>524</v>
      </c>
      <c r="F791" t="s">
        <v>371</v>
      </c>
      <c r="H791" t="s">
        <v>569</v>
      </c>
      <c r="I791" s="29">
        <v>4300000</v>
      </c>
      <c r="J791" t="s">
        <v>451</v>
      </c>
      <c r="L791" t="s">
        <v>36</v>
      </c>
      <c r="M791" t="str">
        <f>IFERROR(INDEX(Diccionario!$N:$N,MATCH(F806,Diccionario!$C:$C,0)),"")</f>
        <v>Mensual</v>
      </c>
    </row>
    <row r="792" spans="1:13" ht="12" customHeight="1" x14ac:dyDescent="0.3">
      <c r="A792" t="s">
        <v>548</v>
      </c>
      <c r="B792" t="s">
        <v>522</v>
      </c>
      <c r="C792" t="s">
        <v>523</v>
      </c>
      <c r="D792" t="s">
        <v>451</v>
      </c>
      <c r="E792" t="s">
        <v>524</v>
      </c>
      <c r="F792" t="s">
        <v>371</v>
      </c>
      <c r="H792" t="s">
        <v>570</v>
      </c>
      <c r="I792" s="29">
        <v>3100000</v>
      </c>
      <c r="J792" t="s">
        <v>451</v>
      </c>
      <c r="L792" t="s">
        <v>36</v>
      </c>
      <c r="M792" t="str">
        <f>IFERROR(INDEX(Diccionario!$N:$N,MATCH(F807,Diccionario!$C:$C,0)),"")</f>
        <v>Mensual</v>
      </c>
    </row>
    <row r="793" spans="1:13" ht="12" customHeight="1" x14ac:dyDescent="0.3">
      <c r="A793" t="s">
        <v>548</v>
      </c>
      <c r="B793" t="s">
        <v>522</v>
      </c>
      <c r="C793" t="s">
        <v>523</v>
      </c>
      <c r="D793" t="s">
        <v>451</v>
      </c>
      <c r="E793" t="s">
        <v>524</v>
      </c>
      <c r="F793" t="s">
        <v>241</v>
      </c>
      <c r="I793" s="29">
        <v>121130467</v>
      </c>
      <c r="J793" t="s">
        <v>451</v>
      </c>
      <c r="L793" t="s">
        <v>36</v>
      </c>
      <c r="M793" t="str">
        <f>IFERROR(INDEX(Diccionario!$N:$N,MATCH(F1104,Diccionario!$C:$C,0)),"")</f>
        <v/>
      </c>
    </row>
    <row r="794" spans="1:13" ht="12" customHeight="1" x14ac:dyDescent="0.3">
      <c r="A794" t="s">
        <v>548</v>
      </c>
      <c r="B794" t="s">
        <v>522</v>
      </c>
      <c r="C794" t="s">
        <v>523</v>
      </c>
      <c r="D794" t="s">
        <v>451</v>
      </c>
      <c r="E794" t="s">
        <v>524</v>
      </c>
      <c r="F794" t="s">
        <v>258</v>
      </c>
      <c r="I794" s="29">
        <v>533747198</v>
      </c>
      <c r="J794" t="s">
        <v>451</v>
      </c>
      <c r="L794" t="s">
        <v>36</v>
      </c>
      <c r="M794" t="str">
        <f>IFERROR(INDEX(Diccionario!$N:$N,MATCH(F1091,Diccionario!$C:$C,0)),"")</f>
        <v/>
      </c>
    </row>
    <row r="795" spans="1:13" ht="12" customHeight="1" x14ac:dyDescent="0.3">
      <c r="A795" t="s">
        <v>549</v>
      </c>
      <c r="B795" t="s">
        <v>522</v>
      </c>
      <c r="C795" t="s">
        <v>523</v>
      </c>
      <c r="D795" t="s">
        <v>451</v>
      </c>
      <c r="E795" t="s">
        <v>524</v>
      </c>
      <c r="F795" t="s">
        <v>255</v>
      </c>
      <c r="I795" s="29">
        <v>-35983665</v>
      </c>
      <c r="J795" t="s">
        <v>451</v>
      </c>
      <c r="L795" t="s">
        <v>36</v>
      </c>
      <c r="M795" t="str">
        <f>IFERROR(INDEX(Diccionario!$N:$N,MATCH(F1147,Diccionario!$C:$C,0)),"")</f>
        <v/>
      </c>
    </row>
    <row r="796" spans="1:13" ht="12" customHeight="1" x14ac:dyDescent="0.3">
      <c r="A796" t="s">
        <v>549</v>
      </c>
      <c r="B796" t="s">
        <v>522</v>
      </c>
      <c r="C796" t="s">
        <v>523</v>
      </c>
      <c r="D796" t="s">
        <v>451</v>
      </c>
      <c r="E796" t="s">
        <v>524</v>
      </c>
      <c r="F796" t="s">
        <v>252</v>
      </c>
      <c r="I796" s="29">
        <v>-37202034</v>
      </c>
      <c r="J796" t="s">
        <v>451</v>
      </c>
      <c r="L796" t="s">
        <v>36</v>
      </c>
      <c r="M796" t="str">
        <f>IFERROR(INDEX(Diccionario!$N:$N,MATCH(F1134,Diccionario!$C:$C,0)),"")</f>
        <v/>
      </c>
    </row>
    <row r="797" spans="1:13" ht="12" customHeight="1" x14ac:dyDescent="0.3">
      <c r="A797" t="s">
        <v>549</v>
      </c>
      <c r="B797" t="s">
        <v>522</v>
      </c>
      <c r="C797" t="s">
        <v>523</v>
      </c>
      <c r="D797" t="s">
        <v>451</v>
      </c>
      <c r="E797" t="s">
        <v>524</v>
      </c>
      <c r="F797" t="s">
        <v>314</v>
      </c>
      <c r="H797" t="s">
        <v>577</v>
      </c>
      <c r="I797" s="29">
        <v>0</v>
      </c>
      <c r="J797" t="s">
        <v>451</v>
      </c>
      <c r="L797" t="s">
        <v>36</v>
      </c>
      <c r="M797" t="str">
        <f>IFERROR(INDEX(Diccionario!$N:$N,MATCH(F692,Diccionario!$C:$C,0)),"")</f>
        <v>Mensual</v>
      </c>
    </row>
    <row r="798" spans="1:13" ht="12" customHeight="1" x14ac:dyDescent="0.3">
      <c r="A798" t="s">
        <v>549</v>
      </c>
      <c r="B798" t="s">
        <v>522</v>
      </c>
      <c r="C798" t="s">
        <v>523</v>
      </c>
      <c r="D798" t="s">
        <v>451</v>
      </c>
      <c r="E798" t="s">
        <v>524</v>
      </c>
      <c r="F798" t="s">
        <v>314</v>
      </c>
      <c r="H798" t="s">
        <v>578</v>
      </c>
      <c r="I798" s="29">
        <v>354000</v>
      </c>
      <c r="J798" t="s">
        <v>451</v>
      </c>
      <c r="L798" t="s">
        <v>36</v>
      </c>
      <c r="M798" t="str">
        <f>IFERROR(INDEX(Diccionario!$N:$N,MATCH(F694,Diccionario!$C:$C,0)),"")</f>
        <v>Mensual</v>
      </c>
    </row>
    <row r="799" spans="1:13" ht="12" customHeight="1" x14ac:dyDescent="0.3">
      <c r="A799" t="s">
        <v>549</v>
      </c>
      <c r="B799" t="s">
        <v>522</v>
      </c>
      <c r="C799" t="s">
        <v>523</v>
      </c>
      <c r="D799" t="s">
        <v>451</v>
      </c>
      <c r="E799" t="s">
        <v>524</v>
      </c>
      <c r="F799" t="s">
        <v>314</v>
      </c>
      <c r="H799" t="s">
        <v>565</v>
      </c>
      <c r="I799" s="29">
        <v>55300000</v>
      </c>
      <c r="J799" t="s">
        <v>451</v>
      </c>
      <c r="L799" t="s">
        <v>36</v>
      </c>
      <c r="M799" t="str">
        <f>IFERROR(INDEX(Diccionario!$N:$N,MATCH(F691,Diccionario!$C:$C,0)),"")</f>
        <v>Mensual</v>
      </c>
    </row>
    <row r="800" spans="1:13" ht="12" customHeight="1" x14ac:dyDescent="0.3">
      <c r="A800" t="s">
        <v>549</v>
      </c>
      <c r="B800" t="s">
        <v>522</v>
      </c>
      <c r="C800" t="s">
        <v>523</v>
      </c>
      <c r="D800" t="s">
        <v>451</v>
      </c>
      <c r="E800" t="s">
        <v>524</v>
      </c>
      <c r="F800" t="s">
        <v>314</v>
      </c>
      <c r="H800" t="s">
        <v>569</v>
      </c>
      <c r="I800" s="29">
        <v>17400000</v>
      </c>
      <c r="J800" t="s">
        <v>451</v>
      </c>
      <c r="L800" t="s">
        <v>36</v>
      </c>
      <c r="M800" t="str">
        <f>IFERROR(INDEX(Diccionario!$N:$N,MATCH(F693,Diccionario!$C:$C,0)),"")</f>
        <v>Mensual</v>
      </c>
    </row>
    <row r="801" spans="1:13" ht="12" customHeight="1" x14ac:dyDescent="0.3">
      <c r="A801" t="s">
        <v>549</v>
      </c>
      <c r="B801" t="s">
        <v>522</v>
      </c>
      <c r="C801" t="s">
        <v>523</v>
      </c>
      <c r="D801" t="s">
        <v>451</v>
      </c>
      <c r="E801" t="s">
        <v>524</v>
      </c>
      <c r="F801" t="s">
        <v>314</v>
      </c>
      <c r="H801" t="s">
        <v>570</v>
      </c>
      <c r="I801" s="29">
        <v>307000</v>
      </c>
      <c r="J801" t="s">
        <v>451</v>
      </c>
      <c r="L801" t="s">
        <v>36</v>
      </c>
      <c r="M801" t="str">
        <f>IFERROR(INDEX(Diccionario!$N:$N,MATCH(F695,Diccionario!$C:$C,0)),"")</f>
        <v>Mensual</v>
      </c>
    </row>
    <row r="802" spans="1:13" ht="12" customHeight="1" x14ac:dyDescent="0.3">
      <c r="A802" t="s">
        <v>549</v>
      </c>
      <c r="B802" t="s">
        <v>522</v>
      </c>
      <c r="C802" t="s">
        <v>523</v>
      </c>
      <c r="D802" t="s">
        <v>451</v>
      </c>
      <c r="E802" t="s">
        <v>524</v>
      </c>
      <c r="F802" t="s">
        <v>318</v>
      </c>
      <c r="H802" t="s">
        <v>574</v>
      </c>
      <c r="I802" s="29">
        <v>33600000</v>
      </c>
      <c r="J802" t="s">
        <v>451</v>
      </c>
      <c r="L802" t="s">
        <v>36</v>
      </c>
      <c r="M802" t="str">
        <f>IFERROR(INDEX(Diccionario!$N:$N,MATCH(F573,Diccionario!$C:$C,0)),"")</f>
        <v>Mensual</v>
      </c>
    </row>
    <row r="803" spans="1:13" ht="12" customHeight="1" x14ac:dyDescent="0.3">
      <c r="A803" t="s">
        <v>549</v>
      </c>
      <c r="B803" t="s">
        <v>522</v>
      </c>
      <c r="C803" t="s">
        <v>523</v>
      </c>
      <c r="D803" t="s">
        <v>451</v>
      </c>
      <c r="E803" t="s">
        <v>524</v>
      </c>
      <c r="F803" t="s">
        <v>318</v>
      </c>
      <c r="H803" t="s">
        <v>575</v>
      </c>
      <c r="I803" s="29">
        <v>17900000</v>
      </c>
      <c r="J803" t="s">
        <v>451</v>
      </c>
      <c r="L803" t="s">
        <v>36</v>
      </c>
      <c r="M803" t="str">
        <f>IFERROR(INDEX(Diccionario!$N:$N,MATCH(F574,Diccionario!$C:$C,0)),"")</f>
        <v>Mensual</v>
      </c>
    </row>
    <row r="804" spans="1:13" ht="12" customHeight="1" x14ac:dyDescent="0.3">
      <c r="A804" t="s">
        <v>549</v>
      </c>
      <c r="B804" t="s">
        <v>522</v>
      </c>
      <c r="C804" t="s">
        <v>523</v>
      </c>
      <c r="D804" t="s">
        <v>451</v>
      </c>
      <c r="E804" t="s">
        <v>524</v>
      </c>
      <c r="F804" t="s">
        <v>318</v>
      </c>
      <c r="H804" t="s">
        <v>573</v>
      </c>
      <c r="I804" s="29">
        <v>0</v>
      </c>
      <c r="J804" t="s">
        <v>451</v>
      </c>
      <c r="L804" t="s">
        <v>36</v>
      </c>
      <c r="M804" t="str">
        <f>IFERROR(INDEX(Diccionario!$N:$N,MATCH(F572,Diccionario!$C:$C,0)),"")</f>
        <v>Mensual</v>
      </c>
    </row>
    <row r="805" spans="1:13" ht="12" customHeight="1" x14ac:dyDescent="0.3">
      <c r="A805" t="s">
        <v>549</v>
      </c>
      <c r="B805" t="s">
        <v>522</v>
      </c>
      <c r="C805" t="s">
        <v>523</v>
      </c>
      <c r="D805" t="s">
        <v>451</v>
      </c>
      <c r="E805" t="s">
        <v>524</v>
      </c>
      <c r="F805" t="s">
        <v>318</v>
      </c>
      <c r="H805" t="s">
        <v>572</v>
      </c>
      <c r="I805" s="29">
        <v>0</v>
      </c>
      <c r="J805" t="s">
        <v>451</v>
      </c>
      <c r="L805" t="s">
        <v>36</v>
      </c>
      <c r="M805" t="str">
        <f>IFERROR(INDEX(Diccionario!$N:$N,MATCH(F571,Diccionario!$C:$C,0)),"")</f>
        <v>Mensual</v>
      </c>
    </row>
    <row r="806" spans="1:13" ht="12" customHeight="1" x14ac:dyDescent="0.3">
      <c r="A806" t="s">
        <v>549</v>
      </c>
      <c r="B806" t="s">
        <v>522</v>
      </c>
      <c r="C806" t="s">
        <v>523</v>
      </c>
      <c r="D806" t="s">
        <v>451</v>
      </c>
      <c r="E806" t="s">
        <v>524</v>
      </c>
      <c r="F806" t="s">
        <v>318</v>
      </c>
      <c r="H806" t="s">
        <v>576</v>
      </c>
      <c r="I806" s="29">
        <v>15300000</v>
      </c>
      <c r="J806" t="s">
        <v>451</v>
      </c>
      <c r="L806" t="s">
        <v>36</v>
      </c>
      <c r="M806" t="str">
        <f>IFERROR(INDEX(Diccionario!$N:$N,MATCH(F575,Diccionario!$C:$C,0)),"")</f>
        <v>Mensual</v>
      </c>
    </row>
    <row r="807" spans="1:13" ht="12" customHeight="1" x14ac:dyDescent="0.3">
      <c r="A807" t="s">
        <v>549</v>
      </c>
      <c r="B807" t="s">
        <v>522</v>
      </c>
      <c r="C807" t="s">
        <v>523</v>
      </c>
      <c r="E807" t="s">
        <v>524</v>
      </c>
      <c r="F807" t="s">
        <v>323</v>
      </c>
      <c r="I807" s="36">
        <v>10.55</v>
      </c>
      <c r="J807" t="s">
        <v>65</v>
      </c>
      <c r="L807" t="s">
        <v>36</v>
      </c>
      <c r="M807" t="str">
        <f>IFERROR(INDEX(Diccionario!$N:$N,MATCH(F1021,Diccionario!$C:$C,0)),"")</f>
        <v>Mensual</v>
      </c>
    </row>
    <row r="808" spans="1:13" ht="12" customHeight="1" x14ac:dyDescent="0.3">
      <c r="A808" t="s">
        <v>549</v>
      </c>
      <c r="B808" t="s">
        <v>522</v>
      </c>
      <c r="C808" t="s">
        <v>523</v>
      </c>
      <c r="D808" t="s">
        <v>451</v>
      </c>
      <c r="E808" t="s">
        <v>524</v>
      </c>
      <c r="F808" t="s">
        <v>246</v>
      </c>
      <c r="I808" s="29">
        <v>62692450</v>
      </c>
      <c r="J808" t="s">
        <v>451</v>
      </c>
      <c r="L808" t="s">
        <v>36</v>
      </c>
      <c r="M808" t="str">
        <f>IFERROR(INDEX(Diccionario!$N:$N,MATCH(F1121,Diccionario!$C:$C,0)),"")</f>
        <v/>
      </c>
    </row>
    <row r="809" spans="1:13" ht="12" customHeight="1" x14ac:dyDescent="0.3">
      <c r="A809" t="s">
        <v>549</v>
      </c>
      <c r="B809" t="s">
        <v>522</v>
      </c>
      <c r="C809" t="s">
        <v>523</v>
      </c>
      <c r="D809" t="s">
        <v>451</v>
      </c>
      <c r="E809" t="s">
        <v>524</v>
      </c>
      <c r="F809" t="s">
        <v>309</v>
      </c>
      <c r="H809" t="s">
        <v>567</v>
      </c>
      <c r="I809" s="29">
        <v>12200000</v>
      </c>
      <c r="J809" t="s">
        <v>451</v>
      </c>
      <c r="L809" t="s">
        <v>36</v>
      </c>
      <c r="M809" t="str">
        <f>IFERROR(INDEX(Diccionario!$N:$N,MATCH(F423,Diccionario!$C:$C,0)),"")</f>
        <v>Mensual</v>
      </c>
    </row>
    <row r="810" spans="1:13" ht="12" customHeight="1" x14ac:dyDescent="0.3">
      <c r="A810" t="s">
        <v>549</v>
      </c>
      <c r="B810" t="s">
        <v>522</v>
      </c>
      <c r="C810" t="s">
        <v>523</v>
      </c>
      <c r="D810" t="s">
        <v>451</v>
      </c>
      <c r="E810" t="s">
        <v>524</v>
      </c>
      <c r="F810" t="s">
        <v>309</v>
      </c>
      <c r="H810" t="s">
        <v>571</v>
      </c>
      <c r="I810" s="29">
        <v>6800000</v>
      </c>
      <c r="J810" t="s">
        <v>451</v>
      </c>
      <c r="L810" t="s">
        <v>36</v>
      </c>
      <c r="M810" t="str">
        <f>IFERROR(INDEX(Diccionario!$N:$N,MATCH(F427,Diccionario!$C:$C,0)),"")</f>
        <v>Mensual</v>
      </c>
    </row>
    <row r="811" spans="1:13" ht="12" customHeight="1" x14ac:dyDescent="0.3">
      <c r="A811" t="s">
        <v>549</v>
      </c>
      <c r="B811" t="s">
        <v>522</v>
      </c>
      <c r="C811" t="s">
        <v>523</v>
      </c>
      <c r="D811" t="s">
        <v>451</v>
      </c>
      <c r="E811" t="s">
        <v>524</v>
      </c>
      <c r="F811" t="s">
        <v>309</v>
      </c>
      <c r="H811" t="s">
        <v>566</v>
      </c>
      <c r="I811" s="29">
        <v>6900000</v>
      </c>
      <c r="J811" t="s">
        <v>451</v>
      </c>
      <c r="L811" t="s">
        <v>36</v>
      </c>
      <c r="M811" t="str">
        <f>IFERROR(INDEX(Diccionario!$N:$N,MATCH(F422,Diccionario!$C:$C,0)),"")</f>
        <v>Mensual</v>
      </c>
    </row>
    <row r="812" spans="1:13" ht="12" customHeight="1" x14ac:dyDescent="0.3">
      <c r="A812" t="s">
        <v>549</v>
      </c>
      <c r="B812" t="s">
        <v>522</v>
      </c>
      <c r="C812" t="s">
        <v>523</v>
      </c>
      <c r="D812" t="s">
        <v>451</v>
      </c>
      <c r="E812" t="s">
        <v>524</v>
      </c>
      <c r="F812" t="s">
        <v>309</v>
      </c>
      <c r="H812" t="s">
        <v>565</v>
      </c>
      <c r="I812" s="29">
        <v>58300000</v>
      </c>
      <c r="J812" t="s">
        <v>451</v>
      </c>
      <c r="L812" t="s">
        <v>36</v>
      </c>
      <c r="M812" t="str">
        <f>IFERROR(INDEX(Diccionario!$N:$N,MATCH(F421,Diccionario!$C:$C,0)),"")</f>
        <v>Mensual</v>
      </c>
    </row>
    <row r="813" spans="1:13" ht="12" customHeight="1" x14ac:dyDescent="0.3">
      <c r="A813" t="s">
        <v>549</v>
      </c>
      <c r="B813" t="s">
        <v>522</v>
      </c>
      <c r="C813" t="s">
        <v>523</v>
      </c>
      <c r="D813" t="s">
        <v>451</v>
      </c>
      <c r="E813" t="s">
        <v>524</v>
      </c>
      <c r="F813" t="s">
        <v>309</v>
      </c>
      <c r="H813" t="s">
        <v>568</v>
      </c>
      <c r="I813" s="29">
        <v>3500000</v>
      </c>
      <c r="J813" t="s">
        <v>451</v>
      </c>
      <c r="L813" t="s">
        <v>36</v>
      </c>
      <c r="M813" t="str">
        <f>IFERROR(INDEX(Diccionario!$N:$N,MATCH(F424,Diccionario!$C:$C,0)),"")</f>
        <v>Mensual</v>
      </c>
    </row>
    <row r="814" spans="1:13" ht="12" customHeight="1" x14ac:dyDescent="0.3">
      <c r="A814" t="s">
        <v>549</v>
      </c>
      <c r="B814" t="s">
        <v>522</v>
      </c>
      <c r="C814" t="s">
        <v>523</v>
      </c>
      <c r="D814" t="s">
        <v>451</v>
      </c>
      <c r="E814" t="s">
        <v>524</v>
      </c>
      <c r="F814" t="s">
        <v>309</v>
      </c>
      <c r="H814" t="s">
        <v>569</v>
      </c>
      <c r="I814" s="29">
        <v>6600000</v>
      </c>
      <c r="J814" t="s">
        <v>451</v>
      </c>
      <c r="L814" t="s">
        <v>36</v>
      </c>
      <c r="M814" t="str">
        <f>IFERROR(INDEX(Diccionario!$N:$N,MATCH(F425,Diccionario!$C:$C,0)),"")</f>
        <v>Mensual</v>
      </c>
    </row>
    <row r="815" spans="1:13" ht="12" customHeight="1" x14ac:dyDescent="0.3">
      <c r="A815" t="s">
        <v>549</v>
      </c>
      <c r="B815" t="s">
        <v>522</v>
      </c>
      <c r="C815" t="s">
        <v>523</v>
      </c>
      <c r="D815" t="s">
        <v>451</v>
      </c>
      <c r="E815" t="s">
        <v>524</v>
      </c>
      <c r="F815" t="s">
        <v>309</v>
      </c>
      <c r="H815" t="s">
        <v>570</v>
      </c>
      <c r="I815" s="29">
        <v>4200000</v>
      </c>
      <c r="J815" t="s">
        <v>451</v>
      </c>
      <c r="L815" t="s">
        <v>36</v>
      </c>
      <c r="M815" t="str">
        <f>IFERROR(INDEX(Diccionario!$N:$N,MATCH(F426,Diccionario!$C:$C,0)),"")</f>
        <v>Mensual</v>
      </c>
    </row>
    <row r="816" spans="1:13" ht="12" customHeight="1" x14ac:dyDescent="0.3">
      <c r="A816" t="s">
        <v>549</v>
      </c>
      <c r="B816" t="s">
        <v>522</v>
      </c>
      <c r="C816" t="s">
        <v>523</v>
      </c>
      <c r="D816" t="s">
        <v>451</v>
      </c>
      <c r="E816" t="s">
        <v>524</v>
      </c>
      <c r="F816" t="s">
        <v>304</v>
      </c>
      <c r="H816" t="s">
        <v>564</v>
      </c>
      <c r="I816" s="29">
        <v>98700000</v>
      </c>
      <c r="J816" t="s">
        <v>451</v>
      </c>
      <c r="L816" t="s">
        <v>36</v>
      </c>
      <c r="M816" t="str">
        <f>IFERROR(INDEX(Diccionario!$N:$N,MATCH(F233,Diccionario!$C:$C,0)),"")</f>
        <v>Mensual</v>
      </c>
    </row>
    <row r="817" spans="1:13" ht="12" customHeight="1" x14ac:dyDescent="0.3">
      <c r="A817" t="s">
        <v>549</v>
      </c>
      <c r="B817" t="s">
        <v>522</v>
      </c>
      <c r="C817" t="s">
        <v>523</v>
      </c>
      <c r="D817" t="s">
        <v>451</v>
      </c>
      <c r="E817" t="s">
        <v>524</v>
      </c>
      <c r="F817" t="s">
        <v>304</v>
      </c>
      <c r="H817" t="s">
        <v>190</v>
      </c>
      <c r="I817" s="29">
        <v>131600000</v>
      </c>
      <c r="J817" t="s">
        <v>451</v>
      </c>
      <c r="L817" t="s">
        <v>36</v>
      </c>
      <c r="M817" t="str">
        <f>IFERROR(INDEX(Diccionario!$N:$N,MATCH(F232,Diccionario!$C:$C,0)),"")</f>
        <v>Mensual</v>
      </c>
    </row>
    <row r="818" spans="1:13" ht="12" customHeight="1" x14ac:dyDescent="0.3">
      <c r="A818" t="s">
        <v>549</v>
      </c>
      <c r="B818" t="s">
        <v>522</v>
      </c>
      <c r="C818" t="s">
        <v>523</v>
      </c>
      <c r="D818" t="s">
        <v>451</v>
      </c>
      <c r="E818" t="s">
        <v>524</v>
      </c>
      <c r="F818" t="s">
        <v>304</v>
      </c>
      <c r="H818" t="s">
        <v>561</v>
      </c>
      <c r="I818" s="29">
        <v>7000000</v>
      </c>
      <c r="J818" t="s">
        <v>451</v>
      </c>
      <c r="L818" t="s">
        <v>36</v>
      </c>
      <c r="M818" t="str">
        <f>IFERROR(INDEX(Diccionario!$N:$N,MATCH(F229,Diccionario!$C:$C,0)),"")</f>
        <v>Mensual</v>
      </c>
    </row>
    <row r="819" spans="1:13" ht="12" customHeight="1" x14ac:dyDescent="0.3">
      <c r="A819" t="s">
        <v>549</v>
      </c>
      <c r="B819" t="s">
        <v>522</v>
      </c>
      <c r="C819" t="s">
        <v>523</v>
      </c>
      <c r="D819" t="s">
        <v>451</v>
      </c>
      <c r="E819" t="s">
        <v>524</v>
      </c>
      <c r="F819" t="s">
        <v>304</v>
      </c>
      <c r="H819" t="s">
        <v>563</v>
      </c>
      <c r="I819" s="29">
        <v>66900000</v>
      </c>
      <c r="J819" t="s">
        <v>451</v>
      </c>
      <c r="L819" t="s">
        <v>36</v>
      </c>
      <c r="M819" t="str">
        <f>IFERROR(INDEX(Diccionario!$N:$N,MATCH(F231,Diccionario!$C:$C,0)),"")</f>
        <v>Mensual</v>
      </c>
    </row>
    <row r="820" spans="1:13" ht="12" customHeight="1" x14ac:dyDescent="0.3">
      <c r="A820" t="s">
        <v>549</v>
      </c>
      <c r="B820" t="s">
        <v>522</v>
      </c>
      <c r="C820" t="s">
        <v>523</v>
      </c>
      <c r="D820" t="s">
        <v>451</v>
      </c>
      <c r="E820" t="s">
        <v>524</v>
      </c>
      <c r="F820" t="s">
        <v>304</v>
      </c>
      <c r="H820" t="s">
        <v>562</v>
      </c>
      <c r="I820" s="29">
        <v>244900000</v>
      </c>
      <c r="J820" t="s">
        <v>451</v>
      </c>
      <c r="L820" t="s">
        <v>36</v>
      </c>
      <c r="M820" t="str">
        <f>IFERROR(INDEX(Diccionario!$N:$N,MATCH(F230,Diccionario!$C:$C,0)),"")</f>
        <v>Mensual</v>
      </c>
    </row>
    <row r="821" spans="1:13" ht="12" customHeight="1" x14ac:dyDescent="0.3">
      <c r="A821" t="s">
        <v>549</v>
      </c>
      <c r="B821" t="s">
        <v>522</v>
      </c>
      <c r="C821" t="s">
        <v>523</v>
      </c>
      <c r="D821" t="s">
        <v>451</v>
      </c>
      <c r="E821" t="s">
        <v>524</v>
      </c>
      <c r="F821" t="s">
        <v>377</v>
      </c>
      <c r="H821" t="s">
        <v>571</v>
      </c>
      <c r="I821" s="29">
        <v>10300000</v>
      </c>
      <c r="J821" t="s">
        <v>451</v>
      </c>
      <c r="L821" t="s">
        <v>36</v>
      </c>
      <c r="M821" t="str">
        <f>IFERROR(INDEX(Diccionario!$N:$N,MATCH(F976,Diccionario!$C:$C,0)),"")</f>
        <v>Mensual</v>
      </c>
    </row>
    <row r="822" spans="1:13" ht="12" customHeight="1" x14ac:dyDescent="0.3">
      <c r="A822" t="s">
        <v>549</v>
      </c>
      <c r="B822" t="s">
        <v>522</v>
      </c>
      <c r="C822" t="s">
        <v>523</v>
      </c>
      <c r="D822" t="s">
        <v>451</v>
      </c>
      <c r="E822" t="s">
        <v>524</v>
      </c>
      <c r="F822" t="s">
        <v>377</v>
      </c>
      <c r="H822" t="s">
        <v>577</v>
      </c>
      <c r="I822" s="29">
        <v>29800000</v>
      </c>
      <c r="J822" t="s">
        <v>451</v>
      </c>
      <c r="L822" t="s">
        <v>36</v>
      </c>
      <c r="M822" t="str">
        <f>IFERROR(INDEX(Diccionario!$N:$N,MATCH(F972,Diccionario!$C:$C,0)),"")</f>
        <v>Mensual</v>
      </c>
    </row>
    <row r="823" spans="1:13" ht="12" customHeight="1" x14ac:dyDescent="0.3">
      <c r="A823" t="s">
        <v>549</v>
      </c>
      <c r="B823" t="s">
        <v>522</v>
      </c>
      <c r="C823" t="s">
        <v>523</v>
      </c>
      <c r="D823" t="s">
        <v>451</v>
      </c>
      <c r="E823" t="s">
        <v>524</v>
      </c>
      <c r="F823" t="s">
        <v>377</v>
      </c>
      <c r="H823" t="s">
        <v>565</v>
      </c>
      <c r="I823" s="29">
        <v>72020000</v>
      </c>
      <c r="J823" t="s">
        <v>451</v>
      </c>
      <c r="L823" t="s">
        <v>36</v>
      </c>
      <c r="M823" t="str">
        <f>IFERROR(INDEX(Diccionario!$N:$N,MATCH(F971,Diccionario!$C:$C,0)),"")</f>
        <v>Mensual</v>
      </c>
    </row>
    <row r="824" spans="1:13" ht="12" customHeight="1" x14ac:dyDescent="0.3">
      <c r="A824" t="s">
        <v>549</v>
      </c>
      <c r="B824" t="s">
        <v>522</v>
      </c>
      <c r="C824" t="s">
        <v>523</v>
      </c>
      <c r="D824" t="s">
        <v>451</v>
      </c>
      <c r="E824" t="s">
        <v>524</v>
      </c>
      <c r="F824" t="s">
        <v>377</v>
      </c>
      <c r="H824" t="s">
        <v>568</v>
      </c>
      <c r="I824" s="29">
        <v>2700000</v>
      </c>
      <c r="J824" t="s">
        <v>451</v>
      </c>
      <c r="L824" t="s">
        <v>36</v>
      </c>
      <c r="M824" t="str">
        <f>IFERROR(INDEX(Diccionario!$N:$N,MATCH(F973,Diccionario!$C:$C,0)),"")</f>
        <v>Mensual</v>
      </c>
    </row>
    <row r="825" spans="1:13" ht="12" customHeight="1" x14ac:dyDescent="0.3">
      <c r="A825" t="s">
        <v>549</v>
      </c>
      <c r="B825" t="s">
        <v>522</v>
      </c>
      <c r="C825" t="s">
        <v>523</v>
      </c>
      <c r="D825" t="s">
        <v>451</v>
      </c>
      <c r="E825" t="s">
        <v>524</v>
      </c>
      <c r="F825" t="s">
        <v>377</v>
      </c>
      <c r="H825" t="s">
        <v>569</v>
      </c>
      <c r="I825" s="29">
        <v>8600000</v>
      </c>
      <c r="J825" t="s">
        <v>451</v>
      </c>
      <c r="L825" t="s">
        <v>36</v>
      </c>
      <c r="M825" t="str">
        <f>IFERROR(INDEX(Diccionario!$N:$N,MATCH(F974,Diccionario!$C:$C,0)),"")</f>
        <v>Mensual</v>
      </c>
    </row>
    <row r="826" spans="1:13" ht="12" customHeight="1" x14ac:dyDescent="0.3">
      <c r="A826" t="s">
        <v>549</v>
      </c>
      <c r="B826" t="s">
        <v>522</v>
      </c>
      <c r="C826" t="s">
        <v>523</v>
      </c>
      <c r="D826" t="s">
        <v>451</v>
      </c>
      <c r="E826" t="s">
        <v>524</v>
      </c>
      <c r="F826" t="s">
        <v>377</v>
      </c>
      <c r="H826" t="s">
        <v>570</v>
      </c>
      <c r="I826" s="29">
        <v>8100000</v>
      </c>
      <c r="J826" t="s">
        <v>451</v>
      </c>
      <c r="L826" t="s">
        <v>36</v>
      </c>
      <c r="M826" t="str">
        <f>IFERROR(INDEX(Diccionario!$N:$N,MATCH(F975,Diccionario!$C:$C,0)),"")</f>
        <v>Mensual</v>
      </c>
    </row>
    <row r="827" spans="1:13" ht="12" customHeight="1" x14ac:dyDescent="0.3">
      <c r="A827" t="s">
        <v>549</v>
      </c>
      <c r="B827" t="s">
        <v>522</v>
      </c>
      <c r="C827" t="s">
        <v>523</v>
      </c>
      <c r="D827" t="s">
        <v>451</v>
      </c>
      <c r="E827" t="s">
        <v>524</v>
      </c>
      <c r="F827" t="s">
        <v>371</v>
      </c>
      <c r="H827" t="s">
        <v>566</v>
      </c>
      <c r="I827" s="29">
        <v>6900000</v>
      </c>
      <c r="J827" t="s">
        <v>451</v>
      </c>
      <c r="L827" t="s">
        <v>36</v>
      </c>
      <c r="M827" t="str">
        <f>IFERROR(INDEX(Diccionario!$N:$N,MATCH(F809,Diccionario!$C:$C,0)),"")</f>
        <v>Mensual</v>
      </c>
    </row>
    <row r="828" spans="1:13" ht="12" customHeight="1" x14ac:dyDescent="0.3">
      <c r="A828" t="s">
        <v>549</v>
      </c>
      <c r="B828" t="s">
        <v>522</v>
      </c>
      <c r="C828" t="s">
        <v>523</v>
      </c>
      <c r="D828" t="s">
        <v>451</v>
      </c>
      <c r="E828" t="s">
        <v>524</v>
      </c>
      <c r="F828" t="s">
        <v>371</v>
      </c>
      <c r="H828" t="s">
        <v>565</v>
      </c>
      <c r="I828" s="29">
        <v>159700000</v>
      </c>
      <c r="J828" t="s">
        <v>451</v>
      </c>
      <c r="L828" t="s">
        <v>36</v>
      </c>
      <c r="M828" t="str">
        <f>IFERROR(INDEX(Diccionario!$N:$N,MATCH(F808,Diccionario!$C:$C,0)),"")</f>
        <v>Mensual</v>
      </c>
    </row>
    <row r="829" spans="1:13" ht="12" customHeight="1" x14ac:dyDescent="0.3">
      <c r="A829" t="s">
        <v>549</v>
      </c>
      <c r="B829" t="s">
        <v>522</v>
      </c>
      <c r="C829" t="s">
        <v>523</v>
      </c>
      <c r="D829" t="s">
        <v>451</v>
      </c>
      <c r="E829" t="s">
        <v>524</v>
      </c>
      <c r="F829" t="s">
        <v>371</v>
      </c>
      <c r="H829" t="s">
        <v>569</v>
      </c>
      <c r="I829" s="29">
        <v>3900000</v>
      </c>
      <c r="J829" t="s">
        <v>451</v>
      </c>
      <c r="L829" t="s">
        <v>36</v>
      </c>
      <c r="M829" t="str">
        <f>IFERROR(INDEX(Diccionario!$N:$N,MATCH(F810,Diccionario!$C:$C,0)),"")</f>
        <v>Mensual</v>
      </c>
    </row>
    <row r="830" spans="1:13" ht="12" customHeight="1" x14ac:dyDescent="0.3">
      <c r="A830" t="s">
        <v>549</v>
      </c>
      <c r="B830" t="s">
        <v>522</v>
      </c>
      <c r="C830" t="s">
        <v>523</v>
      </c>
      <c r="D830" t="s">
        <v>451</v>
      </c>
      <c r="E830" t="s">
        <v>524</v>
      </c>
      <c r="F830" t="s">
        <v>371</v>
      </c>
      <c r="H830" t="s">
        <v>570</v>
      </c>
      <c r="I830" s="29">
        <v>923000</v>
      </c>
      <c r="J830" t="s">
        <v>451</v>
      </c>
      <c r="L830" t="s">
        <v>36</v>
      </c>
      <c r="M830" t="str">
        <f>IFERROR(INDEX(Diccionario!$N:$N,MATCH(F811,Diccionario!$C:$C,0)),"")</f>
        <v>Mensual</v>
      </c>
    </row>
    <row r="831" spans="1:13" ht="12" customHeight="1" x14ac:dyDescent="0.3">
      <c r="A831" t="s">
        <v>549</v>
      </c>
      <c r="B831" t="s">
        <v>522</v>
      </c>
      <c r="C831" t="s">
        <v>523</v>
      </c>
      <c r="D831" t="s">
        <v>451</v>
      </c>
      <c r="E831" t="s">
        <v>524</v>
      </c>
      <c r="F831" t="s">
        <v>241</v>
      </c>
      <c r="I831" s="29">
        <v>42197000</v>
      </c>
      <c r="J831" t="s">
        <v>451</v>
      </c>
      <c r="L831" t="s">
        <v>36</v>
      </c>
      <c r="M831" t="str">
        <f>IFERROR(INDEX(Diccionario!$N:$N,MATCH(F1105,Diccionario!$C:$C,0)),"")</f>
        <v/>
      </c>
    </row>
    <row r="832" spans="1:13" ht="12" customHeight="1" x14ac:dyDescent="0.3">
      <c r="A832" t="s">
        <v>549</v>
      </c>
      <c r="B832" t="s">
        <v>522</v>
      </c>
      <c r="C832" t="s">
        <v>523</v>
      </c>
      <c r="D832" t="s">
        <v>451</v>
      </c>
      <c r="E832" t="s">
        <v>524</v>
      </c>
      <c r="F832" t="s">
        <v>258</v>
      </c>
      <c r="I832" s="29">
        <v>554242648</v>
      </c>
      <c r="J832" t="s">
        <v>451</v>
      </c>
      <c r="L832" t="s">
        <v>36</v>
      </c>
      <c r="M832" t="str">
        <f>IFERROR(INDEX(Diccionario!$N:$N,MATCH(F1092,Diccionario!$C:$C,0)),"")</f>
        <v/>
      </c>
    </row>
    <row r="833" spans="1:13" ht="12" customHeight="1" x14ac:dyDescent="0.3">
      <c r="A833" t="s">
        <v>551</v>
      </c>
      <c r="B833" t="s">
        <v>522</v>
      </c>
      <c r="C833" t="s">
        <v>523</v>
      </c>
      <c r="D833" t="s">
        <v>451</v>
      </c>
      <c r="E833" t="s">
        <v>524</v>
      </c>
      <c r="F833" t="s">
        <v>255</v>
      </c>
      <c r="I833" s="29">
        <v>-9736599</v>
      </c>
      <c r="J833" t="s">
        <v>451</v>
      </c>
      <c r="L833" t="s">
        <v>36</v>
      </c>
      <c r="M833" t="str">
        <f>IFERROR(INDEX(Diccionario!$N:$N,MATCH(F1148,Diccionario!$C:$C,0)),"")</f>
        <v/>
      </c>
    </row>
    <row r="834" spans="1:13" ht="12" customHeight="1" x14ac:dyDescent="0.3">
      <c r="A834" t="s">
        <v>551</v>
      </c>
      <c r="B834" t="s">
        <v>522</v>
      </c>
      <c r="C834" t="s">
        <v>523</v>
      </c>
      <c r="D834" t="s">
        <v>451</v>
      </c>
      <c r="E834" t="s">
        <v>524</v>
      </c>
      <c r="F834" t="s">
        <v>252</v>
      </c>
      <c r="I834" s="29">
        <v>-11016136</v>
      </c>
      <c r="J834" t="s">
        <v>451</v>
      </c>
      <c r="L834" t="s">
        <v>36</v>
      </c>
      <c r="M834" t="str">
        <f>IFERROR(INDEX(Diccionario!$N:$N,MATCH(F1135,Diccionario!$C:$C,0)),"")</f>
        <v/>
      </c>
    </row>
    <row r="835" spans="1:13" ht="12" customHeight="1" x14ac:dyDescent="0.3">
      <c r="A835" t="s">
        <v>551</v>
      </c>
      <c r="B835" t="s">
        <v>522</v>
      </c>
      <c r="C835" t="s">
        <v>523</v>
      </c>
      <c r="D835" t="s">
        <v>451</v>
      </c>
      <c r="E835" t="s">
        <v>524</v>
      </c>
      <c r="F835" t="s">
        <v>314</v>
      </c>
      <c r="H835" t="s">
        <v>577</v>
      </c>
      <c r="I835" s="29">
        <v>0</v>
      </c>
      <c r="J835" t="s">
        <v>451</v>
      </c>
      <c r="L835" t="s">
        <v>36</v>
      </c>
      <c r="M835" t="str">
        <f>IFERROR(INDEX(Diccionario!$N:$N,MATCH(F697,Diccionario!$C:$C,0)),"")</f>
        <v>Mensual</v>
      </c>
    </row>
    <row r="836" spans="1:13" ht="12" customHeight="1" x14ac:dyDescent="0.3">
      <c r="A836" t="s">
        <v>551</v>
      </c>
      <c r="B836" t="s">
        <v>522</v>
      </c>
      <c r="C836" t="s">
        <v>523</v>
      </c>
      <c r="D836" t="s">
        <v>451</v>
      </c>
      <c r="E836" t="s">
        <v>524</v>
      </c>
      <c r="F836" t="s">
        <v>314</v>
      </c>
      <c r="H836" t="s">
        <v>578</v>
      </c>
      <c r="I836" s="29">
        <v>400000</v>
      </c>
      <c r="J836" t="s">
        <v>451</v>
      </c>
      <c r="L836" t="s">
        <v>36</v>
      </c>
      <c r="M836" t="str">
        <f>IFERROR(INDEX(Diccionario!$N:$N,MATCH(F699,Diccionario!$C:$C,0)),"")</f>
        <v>Mensual</v>
      </c>
    </row>
    <row r="837" spans="1:13" ht="12" customHeight="1" x14ac:dyDescent="0.3">
      <c r="A837" t="s">
        <v>551</v>
      </c>
      <c r="B837" t="s">
        <v>522</v>
      </c>
      <c r="C837" t="s">
        <v>523</v>
      </c>
      <c r="D837" t="s">
        <v>451</v>
      </c>
      <c r="E837" t="s">
        <v>524</v>
      </c>
      <c r="F837" t="s">
        <v>314</v>
      </c>
      <c r="H837" t="s">
        <v>565</v>
      </c>
      <c r="I837" s="29">
        <v>54800000</v>
      </c>
      <c r="J837" t="s">
        <v>451</v>
      </c>
      <c r="L837" t="s">
        <v>36</v>
      </c>
      <c r="M837" t="str">
        <f>IFERROR(INDEX(Diccionario!$N:$N,MATCH(F696,Diccionario!$C:$C,0)),"")</f>
        <v>Mensual</v>
      </c>
    </row>
    <row r="838" spans="1:13" ht="12" customHeight="1" x14ac:dyDescent="0.3">
      <c r="A838" t="s">
        <v>551</v>
      </c>
      <c r="B838" t="s">
        <v>522</v>
      </c>
      <c r="C838" t="s">
        <v>523</v>
      </c>
      <c r="D838" t="s">
        <v>451</v>
      </c>
      <c r="E838" t="s">
        <v>524</v>
      </c>
      <c r="F838" t="s">
        <v>314</v>
      </c>
      <c r="H838" t="s">
        <v>569</v>
      </c>
      <c r="I838" s="29">
        <v>12400000</v>
      </c>
      <c r="J838" t="s">
        <v>451</v>
      </c>
      <c r="L838" t="s">
        <v>36</v>
      </c>
      <c r="M838" t="str">
        <f>IFERROR(INDEX(Diccionario!$N:$N,MATCH(F698,Diccionario!$C:$C,0)),"")</f>
        <v>Mensual</v>
      </c>
    </row>
    <row r="839" spans="1:13" ht="12" customHeight="1" x14ac:dyDescent="0.3">
      <c r="A839" t="s">
        <v>551</v>
      </c>
      <c r="B839" t="s">
        <v>522</v>
      </c>
      <c r="C839" t="s">
        <v>523</v>
      </c>
      <c r="D839" t="s">
        <v>451</v>
      </c>
      <c r="E839" t="s">
        <v>524</v>
      </c>
      <c r="F839" t="s">
        <v>314</v>
      </c>
      <c r="H839" t="s">
        <v>570</v>
      </c>
      <c r="I839" s="29">
        <v>7600000</v>
      </c>
      <c r="J839" t="s">
        <v>451</v>
      </c>
      <c r="L839" t="s">
        <v>36</v>
      </c>
      <c r="M839" t="str">
        <f>IFERROR(INDEX(Diccionario!$N:$N,MATCH(F700,Diccionario!$C:$C,0)),"")</f>
        <v>Mensual</v>
      </c>
    </row>
    <row r="840" spans="1:13" ht="12" customHeight="1" x14ac:dyDescent="0.3">
      <c r="A840" t="s">
        <v>551</v>
      </c>
      <c r="B840" t="s">
        <v>522</v>
      </c>
      <c r="C840" t="s">
        <v>523</v>
      </c>
      <c r="D840" t="s">
        <v>451</v>
      </c>
      <c r="E840" t="s">
        <v>524</v>
      </c>
      <c r="F840" t="s">
        <v>318</v>
      </c>
      <c r="H840" t="s">
        <v>574</v>
      </c>
      <c r="I840" s="29">
        <v>25600000</v>
      </c>
      <c r="J840" t="s">
        <v>451</v>
      </c>
      <c r="L840" t="s">
        <v>36</v>
      </c>
      <c r="M840" t="str">
        <f>IFERROR(INDEX(Diccionario!$N:$N,MATCH(F578,Diccionario!$C:$C,0)),"")</f>
        <v>Mensual</v>
      </c>
    </row>
    <row r="841" spans="1:13" ht="12" customHeight="1" x14ac:dyDescent="0.3">
      <c r="A841" t="s">
        <v>551</v>
      </c>
      <c r="B841" t="s">
        <v>522</v>
      </c>
      <c r="C841" t="s">
        <v>523</v>
      </c>
      <c r="D841" t="s">
        <v>451</v>
      </c>
      <c r="E841" t="s">
        <v>524</v>
      </c>
      <c r="F841" t="s">
        <v>318</v>
      </c>
      <c r="H841" t="s">
        <v>575</v>
      </c>
      <c r="I841" s="29">
        <v>19100000</v>
      </c>
      <c r="J841" t="s">
        <v>451</v>
      </c>
      <c r="L841" t="s">
        <v>36</v>
      </c>
      <c r="M841" t="str">
        <f>IFERROR(INDEX(Diccionario!$N:$N,MATCH(F579,Diccionario!$C:$C,0)),"")</f>
        <v>Mensual</v>
      </c>
    </row>
    <row r="842" spans="1:13" ht="12" customHeight="1" x14ac:dyDescent="0.3">
      <c r="A842" t="s">
        <v>551</v>
      </c>
      <c r="B842" t="s">
        <v>522</v>
      </c>
      <c r="C842" t="s">
        <v>523</v>
      </c>
      <c r="D842" t="s">
        <v>451</v>
      </c>
      <c r="E842" t="s">
        <v>524</v>
      </c>
      <c r="F842" t="s">
        <v>318</v>
      </c>
      <c r="H842" t="s">
        <v>573</v>
      </c>
      <c r="I842" s="29">
        <v>0</v>
      </c>
      <c r="J842" t="s">
        <v>451</v>
      </c>
      <c r="L842" t="s">
        <v>36</v>
      </c>
      <c r="M842" t="str">
        <f>IFERROR(INDEX(Diccionario!$N:$N,MATCH(F577,Diccionario!$C:$C,0)),"")</f>
        <v>Mensual</v>
      </c>
    </row>
    <row r="843" spans="1:13" ht="12" customHeight="1" x14ac:dyDescent="0.3">
      <c r="A843" t="s">
        <v>551</v>
      </c>
      <c r="B843" t="s">
        <v>522</v>
      </c>
      <c r="C843" t="s">
        <v>523</v>
      </c>
      <c r="D843" t="s">
        <v>451</v>
      </c>
      <c r="E843" t="s">
        <v>524</v>
      </c>
      <c r="F843" t="s">
        <v>318</v>
      </c>
      <c r="H843" t="s">
        <v>572</v>
      </c>
      <c r="I843" s="29">
        <v>106900000</v>
      </c>
      <c r="J843" t="s">
        <v>451</v>
      </c>
      <c r="L843" t="s">
        <v>36</v>
      </c>
      <c r="M843" t="str">
        <f>IFERROR(INDEX(Diccionario!$N:$N,MATCH(F576,Diccionario!$C:$C,0)),"")</f>
        <v>Mensual</v>
      </c>
    </row>
    <row r="844" spans="1:13" ht="12" customHeight="1" x14ac:dyDescent="0.3">
      <c r="A844" t="s">
        <v>551</v>
      </c>
      <c r="B844" t="s">
        <v>522</v>
      </c>
      <c r="C844" t="s">
        <v>523</v>
      </c>
      <c r="D844" t="s">
        <v>451</v>
      </c>
      <c r="E844" t="s">
        <v>524</v>
      </c>
      <c r="F844" t="s">
        <v>318</v>
      </c>
      <c r="H844" t="s">
        <v>576</v>
      </c>
      <c r="I844" s="29">
        <v>25900000</v>
      </c>
      <c r="J844" t="s">
        <v>451</v>
      </c>
      <c r="L844" t="s">
        <v>36</v>
      </c>
      <c r="M844" t="str">
        <f>IFERROR(INDEX(Diccionario!$N:$N,MATCH(F580,Diccionario!$C:$C,0)),"")</f>
        <v>Mensual</v>
      </c>
    </row>
    <row r="845" spans="1:13" ht="12" customHeight="1" x14ac:dyDescent="0.3">
      <c r="A845" t="s">
        <v>551</v>
      </c>
      <c r="B845" t="s">
        <v>522</v>
      </c>
      <c r="C845" t="s">
        <v>523</v>
      </c>
      <c r="E845" t="s">
        <v>524</v>
      </c>
      <c r="F845" t="s">
        <v>323</v>
      </c>
      <c r="I845" s="36">
        <v>23.86</v>
      </c>
      <c r="J845" t="s">
        <v>65</v>
      </c>
      <c r="L845" t="s">
        <v>36</v>
      </c>
      <c r="M845" t="str">
        <f>IFERROR(INDEX(Diccionario!$N:$N,MATCH(F1022,Diccionario!$C:$C,0)),"")</f>
        <v>Mensual</v>
      </c>
    </row>
    <row r="846" spans="1:13" ht="12" customHeight="1" x14ac:dyDescent="0.3">
      <c r="A846" t="s">
        <v>551</v>
      </c>
      <c r="B846" t="s">
        <v>522</v>
      </c>
      <c r="C846" t="s">
        <v>523</v>
      </c>
      <c r="D846" t="s">
        <v>451</v>
      </c>
      <c r="E846" t="s">
        <v>524</v>
      </c>
      <c r="F846" t="s">
        <v>246</v>
      </c>
      <c r="I846" s="29">
        <v>139839642</v>
      </c>
      <c r="J846" t="s">
        <v>451</v>
      </c>
      <c r="L846" t="s">
        <v>36</v>
      </c>
      <c r="M846" t="str">
        <f>IFERROR(INDEX(Diccionario!$N:$N,MATCH(F1122,Diccionario!$C:$C,0)),"")</f>
        <v/>
      </c>
    </row>
    <row r="847" spans="1:13" ht="12" customHeight="1" x14ac:dyDescent="0.3">
      <c r="A847" t="s">
        <v>551</v>
      </c>
      <c r="B847" t="s">
        <v>522</v>
      </c>
      <c r="C847" t="s">
        <v>523</v>
      </c>
      <c r="D847" t="s">
        <v>451</v>
      </c>
      <c r="E847" t="s">
        <v>524</v>
      </c>
      <c r="F847" t="s">
        <v>309</v>
      </c>
      <c r="H847" t="s">
        <v>567</v>
      </c>
      <c r="I847" s="29">
        <v>12000000</v>
      </c>
      <c r="J847" t="s">
        <v>451</v>
      </c>
      <c r="L847" t="s">
        <v>36</v>
      </c>
      <c r="M847" t="str">
        <f>IFERROR(INDEX(Diccionario!$N:$N,MATCH(F430,Diccionario!$C:$C,0)),"")</f>
        <v>Mensual</v>
      </c>
    </row>
    <row r="848" spans="1:13" ht="12" customHeight="1" x14ac:dyDescent="0.3">
      <c r="A848" t="s">
        <v>551</v>
      </c>
      <c r="B848" t="s">
        <v>522</v>
      </c>
      <c r="C848" t="s">
        <v>523</v>
      </c>
      <c r="D848" t="s">
        <v>451</v>
      </c>
      <c r="E848" t="s">
        <v>524</v>
      </c>
      <c r="F848" t="s">
        <v>309</v>
      </c>
      <c r="H848" t="s">
        <v>571</v>
      </c>
      <c r="I848" s="29">
        <v>5900000</v>
      </c>
      <c r="J848" t="s">
        <v>451</v>
      </c>
      <c r="L848" t="s">
        <v>36</v>
      </c>
      <c r="M848" t="str">
        <f>IFERROR(INDEX(Diccionario!$N:$N,MATCH(F434,Diccionario!$C:$C,0)),"")</f>
        <v>Mensual</v>
      </c>
    </row>
    <row r="849" spans="1:13" ht="12" customHeight="1" x14ac:dyDescent="0.3">
      <c r="A849" t="s">
        <v>551</v>
      </c>
      <c r="B849" t="s">
        <v>522</v>
      </c>
      <c r="C849" t="s">
        <v>523</v>
      </c>
      <c r="D849" t="s">
        <v>451</v>
      </c>
      <c r="E849" t="s">
        <v>524</v>
      </c>
      <c r="F849" t="s">
        <v>309</v>
      </c>
      <c r="H849" t="s">
        <v>566</v>
      </c>
      <c r="I849" s="29">
        <v>10500000</v>
      </c>
      <c r="J849" t="s">
        <v>451</v>
      </c>
      <c r="L849" t="s">
        <v>36</v>
      </c>
      <c r="M849" t="str">
        <f>IFERROR(INDEX(Diccionario!$N:$N,MATCH(F429,Diccionario!$C:$C,0)),"")</f>
        <v>Mensual</v>
      </c>
    </row>
    <row r="850" spans="1:13" ht="12" customHeight="1" x14ac:dyDescent="0.3">
      <c r="A850" t="s">
        <v>551</v>
      </c>
      <c r="B850" t="s">
        <v>522</v>
      </c>
      <c r="C850" t="s">
        <v>523</v>
      </c>
      <c r="D850" t="s">
        <v>451</v>
      </c>
      <c r="E850" t="s">
        <v>524</v>
      </c>
      <c r="F850" t="s">
        <v>309</v>
      </c>
      <c r="H850" t="s">
        <v>565</v>
      </c>
      <c r="I850" s="29">
        <v>62800000</v>
      </c>
      <c r="J850" t="s">
        <v>451</v>
      </c>
      <c r="L850" t="s">
        <v>36</v>
      </c>
      <c r="M850" t="str">
        <f>IFERROR(INDEX(Diccionario!$N:$N,MATCH(F428,Diccionario!$C:$C,0)),"")</f>
        <v>Mensual</v>
      </c>
    </row>
    <row r="851" spans="1:13" ht="12" customHeight="1" x14ac:dyDescent="0.3">
      <c r="A851" t="s">
        <v>551</v>
      </c>
      <c r="B851" t="s">
        <v>522</v>
      </c>
      <c r="C851" t="s">
        <v>523</v>
      </c>
      <c r="D851" t="s">
        <v>451</v>
      </c>
      <c r="E851" t="s">
        <v>524</v>
      </c>
      <c r="F851" t="s">
        <v>309</v>
      </c>
      <c r="H851" t="s">
        <v>568</v>
      </c>
      <c r="I851" s="29">
        <v>3600000</v>
      </c>
      <c r="J851" t="s">
        <v>451</v>
      </c>
      <c r="L851" t="s">
        <v>36</v>
      </c>
      <c r="M851" t="str">
        <f>IFERROR(INDEX(Diccionario!$N:$N,MATCH(F431,Diccionario!$C:$C,0)),"")</f>
        <v>Mensual</v>
      </c>
    </row>
    <row r="852" spans="1:13" ht="12" customHeight="1" x14ac:dyDescent="0.3">
      <c r="A852" t="s">
        <v>551</v>
      </c>
      <c r="B852" t="s">
        <v>522</v>
      </c>
      <c r="C852" t="s">
        <v>523</v>
      </c>
      <c r="D852" t="s">
        <v>451</v>
      </c>
      <c r="E852" t="s">
        <v>524</v>
      </c>
      <c r="F852" t="s">
        <v>309</v>
      </c>
      <c r="H852" t="s">
        <v>569</v>
      </c>
      <c r="I852" s="29">
        <v>3300000</v>
      </c>
      <c r="J852" t="s">
        <v>451</v>
      </c>
      <c r="L852" t="s">
        <v>36</v>
      </c>
      <c r="M852" t="str">
        <f>IFERROR(INDEX(Diccionario!$N:$N,MATCH(F432,Diccionario!$C:$C,0)),"")</f>
        <v>Mensual</v>
      </c>
    </row>
    <row r="853" spans="1:13" ht="12" customHeight="1" x14ac:dyDescent="0.3">
      <c r="A853" t="s">
        <v>551</v>
      </c>
      <c r="B853" t="s">
        <v>522</v>
      </c>
      <c r="C853" t="s">
        <v>523</v>
      </c>
      <c r="D853" t="s">
        <v>451</v>
      </c>
      <c r="E853" t="s">
        <v>524</v>
      </c>
      <c r="F853" t="s">
        <v>309</v>
      </c>
      <c r="H853" t="s">
        <v>570</v>
      </c>
      <c r="I853" s="29">
        <v>3600000</v>
      </c>
      <c r="J853" t="s">
        <v>451</v>
      </c>
      <c r="L853" t="s">
        <v>36</v>
      </c>
      <c r="M853" t="str">
        <f>IFERROR(INDEX(Diccionario!$N:$N,MATCH(F433,Diccionario!$C:$C,0)),"")</f>
        <v>Mensual</v>
      </c>
    </row>
    <row r="854" spans="1:13" ht="12" customHeight="1" x14ac:dyDescent="0.3">
      <c r="A854" t="s">
        <v>551</v>
      </c>
      <c r="B854" t="s">
        <v>522</v>
      </c>
      <c r="C854" t="s">
        <v>523</v>
      </c>
      <c r="D854" t="s">
        <v>451</v>
      </c>
      <c r="E854" t="s">
        <v>524</v>
      </c>
      <c r="F854" t="s">
        <v>304</v>
      </c>
      <c r="H854" t="s">
        <v>564</v>
      </c>
      <c r="I854" s="29">
        <v>105600000</v>
      </c>
      <c r="J854" t="s">
        <v>451</v>
      </c>
      <c r="L854" t="s">
        <v>36</v>
      </c>
      <c r="M854" t="str">
        <f>IFERROR(INDEX(Diccionario!$N:$N,MATCH(F238,Diccionario!$C:$C,0)),"")</f>
        <v>Mensual</v>
      </c>
    </row>
    <row r="855" spans="1:13" ht="12" customHeight="1" x14ac:dyDescent="0.3">
      <c r="A855" t="s">
        <v>551</v>
      </c>
      <c r="B855" t="s">
        <v>522</v>
      </c>
      <c r="C855" t="s">
        <v>523</v>
      </c>
      <c r="D855" t="s">
        <v>451</v>
      </c>
      <c r="E855" t="s">
        <v>524</v>
      </c>
      <c r="F855" t="s">
        <v>304</v>
      </c>
      <c r="H855" t="s">
        <v>190</v>
      </c>
      <c r="I855" s="29">
        <v>159500000</v>
      </c>
      <c r="J855" t="s">
        <v>451</v>
      </c>
      <c r="L855" t="s">
        <v>36</v>
      </c>
      <c r="M855" t="str">
        <f>IFERROR(INDEX(Diccionario!$N:$N,MATCH(F237,Diccionario!$C:$C,0)),"")</f>
        <v>Mensual</v>
      </c>
    </row>
    <row r="856" spans="1:13" ht="12" customHeight="1" x14ac:dyDescent="0.3">
      <c r="A856" t="s">
        <v>551</v>
      </c>
      <c r="B856" t="s">
        <v>522</v>
      </c>
      <c r="C856" t="s">
        <v>523</v>
      </c>
      <c r="D856" t="s">
        <v>451</v>
      </c>
      <c r="E856" t="s">
        <v>524</v>
      </c>
      <c r="F856" t="s">
        <v>304</v>
      </c>
      <c r="H856" t="s">
        <v>561</v>
      </c>
      <c r="I856" s="29">
        <v>5500000</v>
      </c>
      <c r="J856" t="s">
        <v>451</v>
      </c>
      <c r="L856" t="s">
        <v>36</v>
      </c>
      <c r="M856" t="str">
        <f>IFERROR(INDEX(Diccionario!$N:$N,MATCH(F234,Diccionario!$C:$C,0)),"")</f>
        <v>Mensual</v>
      </c>
    </row>
    <row r="857" spans="1:13" ht="12" customHeight="1" x14ac:dyDescent="0.3">
      <c r="A857" t="s">
        <v>551</v>
      </c>
      <c r="B857" t="s">
        <v>522</v>
      </c>
      <c r="C857" t="s">
        <v>523</v>
      </c>
      <c r="D857" t="s">
        <v>451</v>
      </c>
      <c r="E857" t="s">
        <v>524</v>
      </c>
      <c r="F857" t="s">
        <v>304</v>
      </c>
      <c r="H857" t="s">
        <v>563</v>
      </c>
      <c r="I857" s="29">
        <v>177700000</v>
      </c>
      <c r="J857" t="s">
        <v>451</v>
      </c>
      <c r="L857" t="s">
        <v>36</v>
      </c>
      <c r="M857" t="str">
        <f>IFERROR(INDEX(Diccionario!$N:$N,MATCH(F236,Diccionario!$C:$C,0)),"")</f>
        <v>Mensual</v>
      </c>
    </row>
    <row r="858" spans="1:13" ht="12" customHeight="1" x14ac:dyDescent="0.3">
      <c r="A858" t="s">
        <v>551</v>
      </c>
      <c r="B858" t="s">
        <v>522</v>
      </c>
      <c r="C858" t="s">
        <v>523</v>
      </c>
      <c r="D858" t="s">
        <v>451</v>
      </c>
      <c r="E858" t="s">
        <v>524</v>
      </c>
      <c r="F858" t="s">
        <v>304</v>
      </c>
      <c r="H858" t="s">
        <v>562</v>
      </c>
      <c r="I858" s="29">
        <v>241100000</v>
      </c>
      <c r="J858" t="s">
        <v>451</v>
      </c>
      <c r="L858" t="s">
        <v>36</v>
      </c>
      <c r="M858" t="str">
        <f>IFERROR(INDEX(Diccionario!$N:$N,MATCH(F235,Diccionario!$C:$C,0)),"")</f>
        <v>Mensual</v>
      </c>
    </row>
    <row r="859" spans="1:13" ht="12" customHeight="1" x14ac:dyDescent="0.3">
      <c r="A859" t="s">
        <v>551</v>
      </c>
      <c r="B859" t="s">
        <v>522</v>
      </c>
      <c r="C859" t="s">
        <v>523</v>
      </c>
      <c r="D859" t="s">
        <v>451</v>
      </c>
      <c r="E859" t="s">
        <v>524</v>
      </c>
      <c r="F859" t="s">
        <v>377</v>
      </c>
      <c r="H859" t="s">
        <v>571</v>
      </c>
      <c r="I859" s="29">
        <v>11000000</v>
      </c>
      <c r="J859" t="s">
        <v>451</v>
      </c>
      <c r="L859" t="s">
        <v>36</v>
      </c>
      <c r="M859" t="str">
        <f>IFERROR(INDEX(Diccionario!$N:$N,MATCH(F982,Diccionario!$C:$C,0)),"")</f>
        <v>Mensual</v>
      </c>
    </row>
    <row r="860" spans="1:13" ht="12" customHeight="1" x14ac:dyDescent="0.3">
      <c r="A860" t="s">
        <v>551</v>
      </c>
      <c r="B860" t="s">
        <v>522</v>
      </c>
      <c r="C860" t="s">
        <v>523</v>
      </c>
      <c r="D860" t="s">
        <v>451</v>
      </c>
      <c r="E860" t="s">
        <v>524</v>
      </c>
      <c r="F860" t="s">
        <v>377</v>
      </c>
      <c r="H860" t="s">
        <v>577</v>
      </c>
      <c r="I860" s="29">
        <v>19400000</v>
      </c>
      <c r="J860" t="s">
        <v>451</v>
      </c>
      <c r="L860" t="s">
        <v>36</v>
      </c>
      <c r="M860" t="str">
        <f>IFERROR(INDEX(Diccionario!$N:$N,MATCH(F978,Diccionario!$C:$C,0)),"")</f>
        <v>Mensual</v>
      </c>
    </row>
    <row r="861" spans="1:13" ht="12" customHeight="1" x14ac:dyDescent="0.3">
      <c r="A861" t="s">
        <v>551</v>
      </c>
      <c r="B861" t="s">
        <v>522</v>
      </c>
      <c r="C861" t="s">
        <v>523</v>
      </c>
      <c r="D861" t="s">
        <v>451</v>
      </c>
      <c r="E861" t="s">
        <v>524</v>
      </c>
      <c r="F861" t="s">
        <v>377</v>
      </c>
      <c r="H861" t="s">
        <v>565</v>
      </c>
      <c r="I861" s="29">
        <v>97900000</v>
      </c>
      <c r="J861" t="s">
        <v>451</v>
      </c>
      <c r="L861" t="s">
        <v>36</v>
      </c>
      <c r="M861" t="str">
        <f>IFERROR(INDEX(Diccionario!$N:$N,MATCH(F977,Diccionario!$C:$C,0)),"")</f>
        <v>Mensual</v>
      </c>
    </row>
    <row r="862" spans="1:13" ht="12" customHeight="1" x14ac:dyDescent="0.3">
      <c r="A862" t="s">
        <v>551</v>
      </c>
      <c r="B862" t="s">
        <v>522</v>
      </c>
      <c r="C862" t="s">
        <v>523</v>
      </c>
      <c r="D862" t="s">
        <v>451</v>
      </c>
      <c r="E862" t="s">
        <v>524</v>
      </c>
      <c r="F862" t="s">
        <v>377</v>
      </c>
      <c r="H862" t="s">
        <v>568</v>
      </c>
      <c r="I862" s="29">
        <v>400000</v>
      </c>
      <c r="J862" t="s">
        <v>451</v>
      </c>
      <c r="L862" t="s">
        <v>36</v>
      </c>
      <c r="M862" t="str">
        <f>IFERROR(INDEX(Diccionario!$N:$N,MATCH(F979,Diccionario!$C:$C,0)),"")</f>
        <v>Mensual</v>
      </c>
    </row>
    <row r="863" spans="1:13" ht="12" customHeight="1" x14ac:dyDescent="0.3">
      <c r="A863" t="s">
        <v>551</v>
      </c>
      <c r="B863" t="s">
        <v>522</v>
      </c>
      <c r="C863" t="s">
        <v>523</v>
      </c>
      <c r="D863" t="s">
        <v>451</v>
      </c>
      <c r="E863" t="s">
        <v>524</v>
      </c>
      <c r="F863" t="s">
        <v>377</v>
      </c>
      <c r="H863" t="s">
        <v>569</v>
      </c>
      <c r="I863" s="29">
        <v>20200000</v>
      </c>
      <c r="J863" t="s">
        <v>451</v>
      </c>
      <c r="L863" t="s">
        <v>36</v>
      </c>
      <c r="M863" t="str">
        <f>IFERROR(INDEX(Diccionario!$N:$N,MATCH(F980,Diccionario!$C:$C,0)),"")</f>
        <v>Mensual</v>
      </c>
    </row>
    <row r="864" spans="1:13" ht="12" customHeight="1" x14ac:dyDescent="0.3">
      <c r="A864" t="s">
        <v>551</v>
      </c>
      <c r="B864" t="s">
        <v>522</v>
      </c>
      <c r="C864" t="s">
        <v>523</v>
      </c>
      <c r="D864" t="s">
        <v>451</v>
      </c>
      <c r="E864" t="s">
        <v>524</v>
      </c>
      <c r="F864" t="s">
        <v>377</v>
      </c>
      <c r="H864" t="s">
        <v>570</v>
      </c>
      <c r="I864" s="29">
        <v>10200000</v>
      </c>
      <c r="J864" t="s">
        <v>451</v>
      </c>
      <c r="L864" t="s">
        <v>36</v>
      </c>
      <c r="M864" t="str">
        <f>IFERROR(INDEX(Diccionario!$N:$N,MATCH(F981,Diccionario!$C:$C,0)),"")</f>
        <v>Mensual</v>
      </c>
    </row>
    <row r="865" spans="1:13" ht="12" customHeight="1" x14ac:dyDescent="0.3">
      <c r="A865" t="s">
        <v>551</v>
      </c>
      <c r="B865" t="s">
        <v>522</v>
      </c>
      <c r="C865" t="s">
        <v>523</v>
      </c>
      <c r="D865" t="s">
        <v>451</v>
      </c>
      <c r="E865" t="s">
        <v>524</v>
      </c>
      <c r="F865" t="s">
        <v>371</v>
      </c>
      <c r="H865" t="s">
        <v>566</v>
      </c>
      <c r="I865" s="29">
        <v>5800000</v>
      </c>
      <c r="J865" t="s">
        <v>451</v>
      </c>
      <c r="L865" t="s">
        <v>36</v>
      </c>
      <c r="M865" t="str">
        <f>IFERROR(INDEX(Diccionario!$N:$N,MATCH(F813,Diccionario!$C:$C,0)),"")</f>
        <v>Mensual</v>
      </c>
    </row>
    <row r="866" spans="1:13" ht="12" customHeight="1" x14ac:dyDescent="0.3">
      <c r="A866" t="s">
        <v>551</v>
      </c>
      <c r="B866" t="s">
        <v>522</v>
      </c>
      <c r="C866" t="s">
        <v>523</v>
      </c>
      <c r="D866" t="s">
        <v>451</v>
      </c>
      <c r="E866" t="s">
        <v>524</v>
      </c>
      <c r="F866" t="s">
        <v>371</v>
      </c>
      <c r="H866" t="s">
        <v>565</v>
      </c>
      <c r="I866" s="29">
        <v>156090000</v>
      </c>
      <c r="J866" t="s">
        <v>451</v>
      </c>
      <c r="L866" t="s">
        <v>36</v>
      </c>
      <c r="M866" t="str">
        <f>IFERROR(INDEX(Diccionario!$N:$N,MATCH(F812,Diccionario!$C:$C,0)),"")</f>
        <v>Mensual</v>
      </c>
    </row>
    <row r="867" spans="1:13" ht="12" customHeight="1" x14ac:dyDescent="0.3">
      <c r="A867" t="s">
        <v>551</v>
      </c>
      <c r="B867" t="s">
        <v>522</v>
      </c>
      <c r="C867" t="s">
        <v>523</v>
      </c>
      <c r="D867" t="s">
        <v>451</v>
      </c>
      <c r="E867" t="s">
        <v>524</v>
      </c>
      <c r="F867" t="s">
        <v>371</v>
      </c>
      <c r="H867" t="s">
        <v>569</v>
      </c>
      <c r="I867" s="29">
        <v>3600000</v>
      </c>
      <c r="J867" t="s">
        <v>451</v>
      </c>
      <c r="L867" t="s">
        <v>36</v>
      </c>
      <c r="M867" t="str">
        <f>IFERROR(INDEX(Diccionario!$N:$N,MATCH(F814,Diccionario!$C:$C,0)),"")</f>
        <v>Mensual</v>
      </c>
    </row>
    <row r="868" spans="1:13" ht="12" customHeight="1" x14ac:dyDescent="0.3">
      <c r="A868" t="s">
        <v>551</v>
      </c>
      <c r="B868" t="s">
        <v>522</v>
      </c>
      <c r="C868" t="s">
        <v>523</v>
      </c>
      <c r="D868" t="s">
        <v>451</v>
      </c>
      <c r="E868" t="s">
        <v>524</v>
      </c>
      <c r="F868" t="s">
        <v>371</v>
      </c>
      <c r="H868" t="s">
        <v>570</v>
      </c>
      <c r="I868" s="29">
        <v>0</v>
      </c>
      <c r="J868" t="s">
        <v>451</v>
      </c>
      <c r="L868" t="s">
        <v>36</v>
      </c>
      <c r="M868" t="str">
        <f>IFERROR(INDEX(Diccionario!$N:$N,MATCH(F815,Diccionario!$C:$C,0)),"")</f>
        <v>Mensual</v>
      </c>
    </row>
    <row r="869" spans="1:13" ht="12" customHeight="1" x14ac:dyDescent="0.3">
      <c r="A869" t="s">
        <v>551</v>
      </c>
      <c r="B869" t="s">
        <v>522</v>
      </c>
      <c r="C869" t="s">
        <v>523</v>
      </c>
      <c r="D869" t="s">
        <v>451</v>
      </c>
      <c r="E869" t="s">
        <v>524</v>
      </c>
      <c r="F869" t="s">
        <v>241</v>
      </c>
      <c r="I869" s="29">
        <v>67164125</v>
      </c>
      <c r="J869" t="s">
        <v>451</v>
      </c>
      <c r="L869" t="s">
        <v>36</v>
      </c>
      <c r="M869" t="str">
        <f>IFERROR(INDEX(Diccionario!$N:$N,MATCH(F1106,Diccionario!$C:$C,0)),"")</f>
        <v/>
      </c>
    </row>
    <row r="870" spans="1:13" ht="12" customHeight="1" x14ac:dyDescent="0.3">
      <c r="A870" t="s">
        <v>551</v>
      </c>
      <c r="B870" t="s">
        <v>522</v>
      </c>
      <c r="C870" t="s">
        <v>523</v>
      </c>
      <c r="D870" t="s">
        <v>451</v>
      </c>
      <c r="E870" t="s">
        <v>524</v>
      </c>
      <c r="F870" t="s">
        <v>258</v>
      </c>
      <c r="I870" s="29">
        <v>626918165</v>
      </c>
      <c r="J870" t="s">
        <v>451</v>
      </c>
      <c r="L870" t="s">
        <v>36</v>
      </c>
      <c r="M870" t="str">
        <f>IFERROR(INDEX(Diccionario!$N:$N,MATCH(F1093,Diccionario!$C:$C,0)),"")</f>
        <v/>
      </c>
    </row>
    <row r="871" spans="1:13" ht="12" customHeight="1" x14ac:dyDescent="0.3">
      <c r="A871" t="s">
        <v>552</v>
      </c>
      <c r="B871" t="s">
        <v>522</v>
      </c>
      <c r="C871" t="s">
        <v>523</v>
      </c>
      <c r="D871" t="s">
        <v>451</v>
      </c>
      <c r="E871" t="s">
        <v>524</v>
      </c>
      <c r="F871" t="s">
        <v>255</v>
      </c>
      <c r="I871" s="29">
        <v>-11358174</v>
      </c>
      <c r="J871" t="s">
        <v>451</v>
      </c>
      <c r="L871" t="s">
        <v>36</v>
      </c>
      <c r="M871" t="str">
        <f>IFERROR(INDEX(Diccionario!$N:$N,MATCH(F1149,Diccionario!$C:$C,0)),"")</f>
        <v/>
      </c>
    </row>
    <row r="872" spans="1:13" ht="12" customHeight="1" x14ac:dyDescent="0.3">
      <c r="A872" t="s">
        <v>552</v>
      </c>
      <c r="B872" t="s">
        <v>522</v>
      </c>
      <c r="C872" t="s">
        <v>523</v>
      </c>
      <c r="D872" t="s">
        <v>451</v>
      </c>
      <c r="E872" t="s">
        <v>524</v>
      </c>
      <c r="F872" t="s">
        <v>252</v>
      </c>
      <c r="I872" s="29">
        <v>-25206134</v>
      </c>
      <c r="J872" t="s">
        <v>451</v>
      </c>
      <c r="L872" t="s">
        <v>36</v>
      </c>
      <c r="M872" t="str">
        <f>IFERROR(INDEX(Diccionario!$N:$N,MATCH(F1136,Diccionario!$C:$C,0)),"")</f>
        <v/>
      </c>
    </row>
    <row r="873" spans="1:13" ht="12" customHeight="1" x14ac:dyDescent="0.3">
      <c r="A873" t="s">
        <v>552</v>
      </c>
      <c r="B873" t="s">
        <v>522</v>
      </c>
      <c r="C873" t="s">
        <v>523</v>
      </c>
      <c r="D873" t="s">
        <v>451</v>
      </c>
      <c r="E873" t="s">
        <v>524</v>
      </c>
      <c r="F873" t="s">
        <v>314</v>
      </c>
      <c r="H873" t="s">
        <v>577</v>
      </c>
      <c r="I873" s="29">
        <v>0</v>
      </c>
      <c r="J873" t="s">
        <v>451</v>
      </c>
      <c r="L873" t="s">
        <v>36</v>
      </c>
      <c r="M873" t="str">
        <f>IFERROR(INDEX(Diccionario!$N:$N,MATCH(F702,Diccionario!$C:$C,0)),"")</f>
        <v>Mensual</v>
      </c>
    </row>
    <row r="874" spans="1:13" ht="12" customHeight="1" x14ac:dyDescent="0.3">
      <c r="A874" t="s">
        <v>552</v>
      </c>
      <c r="B874" t="s">
        <v>522</v>
      </c>
      <c r="C874" t="s">
        <v>523</v>
      </c>
      <c r="D874" t="s">
        <v>451</v>
      </c>
      <c r="E874" t="s">
        <v>524</v>
      </c>
      <c r="F874" t="s">
        <v>314</v>
      </c>
      <c r="H874" t="s">
        <v>578</v>
      </c>
      <c r="I874" s="29">
        <v>516000</v>
      </c>
      <c r="J874" t="s">
        <v>451</v>
      </c>
      <c r="L874" t="s">
        <v>36</v>
      </c>
      <c r="M874" t="str">
        <f>IFERROR(INDEX(Diccionario!$N:$N,MATCH(F704,Diccionario!$C:$C,0)),"")</f>
        <v>Mensual</v>
      </c>
    </row>
    <row r="875" spans="1:13" ht="12" customHeight="1" x14ac:dyDescent="0.3">
      <c r="A875" t="s">
        <v>552</v>
      </c>
      <c r="B875" t="s">
        <v>522</v>
      </c>
      <c r="C875" t="s">
        <v>523</v>
      </c>
      <c r="D875" t="s">
        <v>451</v>
      </c>
      <c r="E875" t="s">
        <v>524</v>
      </c>
      <c r="F875" t="s">
        <v>314</v>
      </c>
      <c r="H875" t="s">
        <v>565</v>
      </c>
      <c r="I875" s="29">
        <v>56300000</v>
      </c>
      <c r="J875" t="s">
        <v>451</v>
      </c>
      <c r="L875" t="s">
        <v>36</v>
      </c>
      <c r="M875" t="str">
        <f>IFERROR(INDEX(Diccionario!$N:$N,MATCH(F701,Diccionario!$C:$C,0)),"")</f>
        <v>Mensual</v>
      </c>
    </row>
    <row r="876" spans="1:13" ht="12" customHeight="1" x14ac:dyDescent="0.3">
      <c r="A876" t="s">
        <v>552</v>
      </c>
      <c r="B876" t="s">
        <v>522</v>
      </c>
      <c r="C876" t="s">
        <v>523</v>
      </c>
      <c r="D876" t="s">
        <v>451</v>
      </c>
      <c r="E876" t="s">
        <v>524</v>
      </c>
      <c r="F876" t="s">
        <v>314</v>
      </c>
      <c r="H876" t="s">
        <v>569</v>
      </c>
      <c r="I876" s="29">
        <v>11300000</v>
      </c>
      <c r="J876" t="s">
        <v>451</v>
      </c>
      <c r="L876" t="s">
        <v>36</v>
      </c>
      <c r="M876" t="str">
        <f>IFERROR(INDEX(Diccionario!$N:$N,MATCH(F703,Diccionario!$C:$C,0)),"")</f>
        <v>Mensual</v>
      </c>
    </row>
    <row r="877" spans="1:13" ht="12" customHeight="1" x14ac:dyDescent="0.3">
      <c r="A877" t="s">
        <v>552</v>
      </c>
      <c r="B877" t="s">
        <v>522</v>
      </c>
      <c r="C877" t="s">
        <v>523</v>
      </c>
      <c r="D877" t="s">
        <v>451</v>
      </c>
      <c r="E877" t="s">
        <v>524</v>
      </c>
      <c r="F877" t="s">
        <v>314</v>
      </c>
      <c r="H877" t="s">
        <v>570</v>
      </c>
      <c r="I877" s="29">
        <v>8100000</v>
      </c>
      <c r="J877" t="s">
        <v>451</v>
      </c>
      <c r="L877" t="s">
        <v>36</v>
      </c>
      <c r="M877" t="str">
        <f>IFERROR(INDEX(Diccionario!$N:$N,MATCH(F705,Diccionario!$C:$C,0)),"")</f>
        <v>Mensual</v>
      </c>
    </row>
    <row r="878" spans="1:13" ht="12" customHeight="1" x14ac:dyDescent="0.3">
      <c r="A878" t="s">
        <v>552</v>
      </c>
      <c r="B878" t="s">
        <v>522</v>
      </c>
      <c r="C878" t="s">
        <v>523</v>
      </c>
      <c r="D878" t="s">
        <v>451</v>
      </c>
      <c r="E878" t="s">
        <v>524</v>
      </c>
      <c r="F878" t="s">
        <v>318</v>
      </c>
      <c r="H878" t="s">
        <v>574</v>
      </c>
      <c r="I878" s="29">
        <v>27400000</v>
      </c>
      <c r="J878" t="s">
        <v>451</v>
      </c>
      <c r="L878" t="s">
        <v>36</v>
      </c>
      <c r="M878" t="str">
        <f>IFERROR(INDEX(Diccionario!$N:$N,MATCH(F583,Diccionario!$C:$C,0)),"")</f>
        <v>Mensual</v>
      </c>
    </row>
    <row r="879" spans="1:13" ht="12" customHeight="1" x14ac:dyDescent="0.3">
      <c r="A879" t="s">
        <v>552</v>
      </c>
      <c r="B879" t="s">
        <v>522</v>
      </c>
      <c r="C879" t="s">
        <v>523</v>
      </c>
      <c r="D879" t="s">
        <v>451</v>
      </c>
      <c r="E879" t="s">
        <v>524</v>
      </c>
      <c r="F879" t="s">
        <v>318</v>
      </c>
      <c r="H879" t="s">
        <v>575</v>
      </c>
      <c r="I879" s="29">
        <v>21100000</v>
      </c>
      <c r="J879" t="s">
        <v>451</v>
      </c>
      <c r="L879" t="s">
        <v>36</v>
      </c>
      <c r="M879" t="str">
        <f>IFERROR(INDEX(Diccionario!$N:$N,MATCH(F584,Diccionario!$C:$C,0)),"")</f>
        <v>Mensual</v>
      </c>
    </row>
    <row r="880" spans="1:13" ht="12" customHeight="1" x14ac:dyDescent="0.3">
      <c r="A880" t="s">
        <v>552</v>
      </c>
      <c r="B880" t="s">
        <v>522</v>
      </c>
      <c r="C880" t="s">
        <v>523</v>
      </c>
      <c r="D880" t="s">
        <v>451</v>
      </c>
      <c r="E880" t="s">
        <v>524</v>
      </c>
      <c r="F880" t="s">
        <v>318</v>
      </c>
      <c r="H880" t="s">
        <v>573</v>
      </c>
      <c r="I880" s="29">
        <v>0</v>
      </c>
      <c r="J880" t="s">
        <v>451</v>
      </c>
      <c r="L880" t="s">
        <v>36</v>
      </c>
      <c r="M880" t="str">
        <f>IFERROR(INDEX(Diccionario!$N:$N,MATCH(F582,Diccionario!$C:$C,0)),"")</f>
        <v>Mensual</v>
      </c>
    </row>
    <row r="881" spans="1:13" ht="12" customHeight="1" x14ac:dyDescent="0.3">
      <c r="A881" t="s">
        <v>552</v>
      </c>
      <c r="B881" t="s">
        <v>522</v>
      </c>
      <c r="C881" t="s">
        <v>523</v>
      </c>
      <c r="D881" t="s">
        <v>451</v>
      </c>
      <c r="E881" t="s">
        <v>524</v>
      </c>
      <c r="F881" t="s">
        <v>318</v>
      </c>
      <c r="H881" t="s">
        <v>572</v>
      </c>
      <c r="I881" s="29">
        <v>219900000</v>
      </c>
      <c r="J881" t="s">
        <v>451</v>
      </c>
      <c r="L881" t="s">
        <v>36</v>
      </c>
      <c r="M881" t="str">
        <f>IFERROR(INDEX(Diccionario!$N:$N,MATCH(F581,Diccionario!$C:$C,0)),"")</f>
        <v>Mensual</v>
      </c>
    </row>
    <row r="882" spans="1:13" ht="12" customHeight="1" x14ac:dyDescent="0.3">
      <c r="A882" t="s">
        <v>552</v>
      </c>
      <c r="B882" t="s">
        <v>522</v>
      </c>
      <c r="C882" t="s">
        <v>523</v>
      </c>
      <c r="D882" t="s">
        <v>451</v>
      </c>
      <c r="E882" t="s">
        <v>524</v>
      </c>
      <c r="F882" t="s">
        <v>318</v>
      </c>
      <c r="H882" t="s">
        <v>576</v>
      </c>
      <c r="I882" s="29">
        <v>6000000</v>
      </c>
      <c r="J882" t="s">
        <v>451</v>
      </c>
      <c r="L882" t="s">
        <v>36</v>
      </c>
      <c r="M882" t="str">
        <f>IFERROR(INDEX(Diccionario!$N:$N,MATCH(F585,Diccionario!$C:$C,0)),"")</f>
        <v>Mensual</v>
      </c>
    </row>
    <row r="883" spans="1:13" ht="12" customHeight="1" x14ac:dyDescent="0.3">
      <c r="A883" t="s">
        <v>552</v>
      </c>
      <c r="B883" t="s">
        <v>522</v>
      </c>
      <c r="C883" t="s">
        <v>523</v>
      </c>
      <c r="E883" t="s">
        <v>524</v>
      </c>
      <c r="F883" t="s">
        <v>323</v>
      </c>
      <c r="I883" s="36">
        <v>35.68</v>
      </c>
      <c r="J883" t="s">
        <v>65</v>
      </c>
      <c r="L883" t="s">
        <v>36</v>
      </c>
      <c r="M883" t="str">
        <f>IFERROR(INDEX(Diccionario!$N:$N,MATCH(F1023,Diccionario!$C:$C,0)),"")</f>
        <v>Mensual</v>
      </c>
    </row>
    <row r="884" spans="1:13" ht="12" customHeight="1" x14ac:dyDescent="0.3">
      <c r="A884" t="s">
        <v>552</v>
      </c>
      <c r="B884" t="s">
        <v>522</v>
      </c>
      <c r="C884" t="s">
        <v>523</v>
      </c>
      <c r="D884" t="s">
        <v>451</v>
      </c>
      <c r="E884" t="s">
        <v>524</v>
      </c>
      <c r="F884" t="s">
        <v>246</v>
      </c>
      <c r="I884" s="29">
        <v>60430077</v>
      </c>
      <c r="J884" t="s">
        <v>451</v>
      </c>
      <c r="L884" t="s">
        <v>36</v>
      </c>
      <c r="M884" t="str">
        <f>IFERROR(INDEX(Diccionario!$N:$N,MATCH(F1123,Diccionario!$C:$C,0)),"")</f>
        <v/>
      </c>
    </row>
    <row r="885" spans="1:13" ht="12" customHeight="1" x14ac:dyDescent="0.3">
      <c r="A885" t="s">
        <v>552</v>
      </c>
      <c r="B885" t="s">
        <v>522</v>
      </c>
      <c r="C885" t="s">
        <v>523</v>
      </c>
      <c r="D885" t="s">
        <v>451</v>
      </c>
      <c r="E885" t="s">
        <v>524</v>
      </c>
      <c r="F885" t="s">
        <v>309</v>
      </c>
      <c r="H885" t="s">
        <v>567</v>
      </c>
      <c r="I885" s="29">
        <v>10700000</v>
      </c>
      <c r="J885" t="s">
        <v>451</v>
      </c>
      <c r="L885" t="s">
        <v>36</v>
      </c>
      <c r="M885" t="str">
        <f>IFERROR(INDEX(Diccionario!$N:$N,MATCH(F437,Diccionario!$C:$C,0)),"")</f>
        <v>Mensual</v>
      </c>
    </row>
    <row r="886" spans="1:13" ht="12" customHeight="1" x14ac:dyDescent="0.3">
      <c r="A886" t="s">
        <v>552</v>
      </c>
      <c r="B886" t="s">
        <v>522</v>
      </c>
      <c r="C886" t="s">
        <v>523</v>
      </c>
      <c r="D886" t="s">
        <v>451</v>
      </c>
      <c r="E886" t="s">
        <v>524</v>
      </c>
      <c r="F886" t="s">
        <v>309</v>
      </c>
      <c r="H886" t="s">
        <v>571</v>
      </c>
      <c r="I886" s="29">
        <v>14100000</v>
      </c>
      <c r="J886" t="s">
        <v>451</v>
      </c>
      <c r="L886" t="s">
        <v>36</v>
      </c>
      <c r="M886" t="str">
        <f>IFERROR(INDEX(Diccionario!$N:$N,MATCH(F441,Diccionario!$C:$C,0)),"")</f>
        <v>Mensual</v>
      </c>
    </row>
    <row r="887" spans="1:13" ht="12" customHeight="1" x14ac:dyDescent="0.3">
      <c r="A887" t="s">
        <v>552</v>
      </c>
      <c r="B887" t="s">
        <v>522</v>
      </c>
      <c r="C887" t="s">
        <v>523</v>
      </c>
      <c r="D887" t="s">
        <v>451</v>
      </c>
      <c r="E887" t="s">
        <v>524</v>
      </c>
      <c r="F887" t="s">
        <v>309</v>
      </c>
      <c r="H887" t="s">
        <v>566</v>
      </c>
      <c r="I887" s="29">
        <v>29900000</v>
      </c>
      <c r="J887" t="s">
        <v>451</v>
      </c>
      <c r="L887" t="s">
        <v>36</v>
      </c>
      <c r="M887" t="str">
        <f>IFERROR(INDEX(Diccionario!$N:$N,MATCH(F436,Diccionario!$C:$C,0)),"")</f>
        <v>Mensual</v>
      </c>
    </row>
    <row r="888" spans="1:13" ht="12" customHeight="1" x14ac:dyDescent="0.3">
      <c r="A888" t="s">
        <v>552</v>
      </c>
      <c r="B888" t="s">
        <v>522</v>
      </c>
      <c r="C888" t="s">
        <v>523</v>
      </c>
      <c r="D888" t="s">
        <v>451</v>
      </c>
      <c r="E888" t="s">
        <v>524</v>
      </c>
      <c r="F888" t="s">
        <v>309</v>
      </c>
      <c r="H888" t="s">
        <v>565</v>
      </c>
      <c r="I888" s="29">
        <v>68200000</v>
      </c>
      <c r="J888" t="s">
        <v>451</v>
      </c>
      <c r="L888" t="s">
        <v>36</v>
      </c>
      <c r="M888" t="str">
        <f>IFERROR(INDEX(Diccionario!$N:$N,MATCH(F435,Diccionario!$C:$C,0)),"")</f>
        <v>Mensual</v>
      </c>
    </row>
    <row r="889" spans="1:13" ht="12" customHeight="1" x14ac:dyDescent="0.3">
      <c r="A889" t="s">
        <v>552</v>
      </c>
      <c r="B889" t="s">
        <v>522</v>
      </c>
      <c r="C889" t="s">
        <v>523</v>
      </c>
      <c r="D889" t="s">
        <v>451</v>
      </c>
      <c r="E889" t="s">
        <v>524</v>
      </c>
      <c r="F889" t="s">
        <v>309</v>
      </c>
      <c r="H889" t="s">
        <v>568</v>
      </c>
      <c r="I889" s="29">
        <v>1700000</v>
      </c>
      <c r="J889" t="s">
        <v>451</v>
      </c>
      <c r="L889" t="s">
        <v>36</v>
      </c>
      <c r="M889" t="str">
        <f>IFERROR(INDEX(Diccionario!$N:$N,MATCH(F438,Diccionario!$C:$C,0)),"")</f>
        <v>Mensual</v>
      </c>
    </row>
    <row r="890" spans="1:13" ht="12" customHeight="1" x14ac:dyDescent="0.3">
      <c r="A890" t="s">
        <v>552</v>
      </c>
      <c r="B890" t="s">
        <v>522</v>
      </c>
      <c r="C890" t="s">
        <v>523</v>
      </c>
      <c r="D890" t="s">
        <v>451</v>
      </c>
      <c r="E890" t="s">
        <v>524</v>
      </c>
      <c r="F890" t="s">
        <v>309</v>
      </c>
      <c r="H890" t="s">
        <v>569</v>
      </c>
      <c r="I890" s="29">
        <v>4400000</v>
      </c>
      <c r="J890" t="s">
        <v>451</v>
      </c>
      <c r="L890" t="s">
        <v>36</v>
      </c>
      <c r="M890" t="str">
        <f>IFERROR(INDEX(Diccionario!$N:$N,MATCH(F439,Diccionario!$C:$C,0)),"")</f>
        <v>Mensual</v>
      </c>
    </row>
    <row r="891" spans="1:13" ht="12" customHeight="1" x14ac:dyDescent="0.3">
      <c r="A891" t="s">
        <v>552</v>
      </c>
      <c r="B891" t="s">
        <v>522</v>
      </c>
      <c r="C891" t="s">
        <v>523</v>
      </c>
      <c r="D891" t="s">
        <v>451</v>
      </c>
      <c r="E891" t="s">
        <v>524</v>
      </c>
      <c r="F891" t="s">
        <v>309</v>
      </c>
      <c r="H891" t="s">
        <v>570</v>
      </c>
      <c r="I891" s="29">
        <v>5100000</v>
      </c>
      <c r="J891" t="s">
        <v>451</v>
      </c>
      <c r="L891" t="s">
        <v>36</v>
      </c>
      <c r="M891" t="str">
        <f>IFERROR(INDEX(Diccionario!$N:$N,MATCH(F440,Diccionario!$C:$C,0)),"")</f>
        <v>Mensual</v>
      </c>
    </row>
    <row r="892" spans="1:13" ht="12" customHeight="1" x14ac:dyDescent="0.3">
      <c r="A892" t="s">
        <v>552</v>
      </c>
      <c r="B892" t="s">
        <v>522</v>
      </c>
      <c r="C892" t="s">
        <v>523</v>
      </c>
      <c r="D892" t="s">
        <v>451</v>
      </c>
      <c r="E892" t="s">
        <v>524</v>
      </c>
      <c r="F892" t="s">
        <v>304</v>
      </c>
      <c r="H892" t="s">
        <v>564</v>
      </c>
      <c r="I892" s="29">
        <v>134400000</v>
      </c>
      <c r="J892" t="s">
        <v>451</v>
      </c>
      <c r="L892" t="s">
        <v>36</v>
      </c>
      <c r="M892" t="str">
        <f>IFERROR(INDEX(Diccionario!$N:$N,MATCH(F243,Diccionario!$C:$C,0)),"")</f>
        <v>Mensual</v>
      </c>
    </row>
    <row r="893" spans="1:13" ht="12" customHeight="1" x14ac:dyDescent="0.3">
      <c r="A893" t="s">
        <v>552</v>
      </c>
      <c r="B893" t="s">
        <v>522</v>
      </c>
      <c r="C893" t="s">
        <v>523</v>
      </c>
      <c r="D893" t="s">
        <v>451</v>
      </c>
      <c r="E893" t="s">
        <v>524</v>
      </c>
      <c r="F893" t="s">
        <v>304</v>
      </c>
      <c r="H893" t="s">
        <v>190</v>
      </c>
      <c r="I893" s="29">
        <v>144000000</v>
      </c>
      <c r="J893" t="s">
        <v>451</v>
      </c>
      <c r="L893" t="s">
        <v>36</v>
      </c>
      <c r="M893" t="str">
        <f>IFERROR(INDEX(Diccionario!$N:$N,MATCH(F242,Diccionario!$C:$C,0)),"")</f>
        <v>Mensual</v>
      </c>
    </row>
    <row r="894" spans="1:13" ht="12" customHeight="1" x14ac:dyDescent="0.3">
      <c r="A894" t="s">
        <v>552</v>
      </c>
      <c r="B894" t="s">
        <v>522</v>
      </c>
      <c r="C894" t="s">
        <v>523</v>
      </c>
      <c r="D894" t="s">
        <v>451</v>
      </c>
      <c r="E894" t="s">
        <v>524</v>
      </c>
      <c r="F894" t="s">
        <v>304</v>
      </c>
      <c r="H894" t="s">
        <v>561</v>
      </c>
      <c r="I894" s="29">
        <v>5400000</v>
      </c>
      <c r="J894" t="s">
        <v>451</v>
      </c>
      <c r="L894" t="s">
        <v>36</v>
      </c>
      <c r="M894" t="str">
        <f>IFERROR(INDEX(Diccionario!$N:$N,MATCH(F239,Diccionario!$C:$C,0)),"")</f>
        <v>Mensual</v>
      </c>
    </row>
    <row r="895" spans="1:13" ht="12" customHeight="1" x14ac:dyDescent="0.3">
      <c r="A895" t="s">
        <v>552</v>
      </c>
      <c r="B895" t="s">
        <v>522</v>
      </c>
      <c r="C895" t="s">
        <v>523</v>
      </c>
      <c r="D895" t="s">
        <v>451</v>
      </c>
      <c r="E895" t="s">
        <v>524</v>
      </c>
      <c r="F895" t="s">
        <v>304</v>
      </c>
      <c r="H895" t="s">
        <v>563</v>
      </c>
      <c r="I895" s="29">
        <v>274600000</v>
      </c>
      <c r="J895" t="s">
        <v>451</v>
      </c>
      <c r="L895" t="s">
        <v>36</v>
      </c>
      <c r="M895" t="str">
        <f>IFERROR(INDEX(Diccionario!$N:$N,MATCH(F241,Diccionario!$C:$C,0)),"")</f>
        <v>Mensual</v>
      </c>
    </row>
    <row r="896" spans="1:13" ht="12" customHeight="1" x14ac:dyDescent="0.3">
      <c r="A896" t="s">
        <v>552</v>
      </c>
      <c r="B896" t="s">
        <v>522</v>
      </c>
      <c r="C896" t="s">
        <v>523</v>
      </c>
      <c r="D896" t="s">
        <v>451</v>
      </c>
      <c r="E896" t="s">
        <v>524</v>
      </c>
      <c r="F896" t="s">
        <v>304</v>
      </c>
      <c r="H896" t="s">
        <v>562</v>
      </c>
      <c r="I896" s="29">
        <v>248000000</v>
      </c>
      <c r="J896" t="s">
        <v>451</v>
      </c>
      <c r="L896" t="s">
        <v>36</v>
      </c>
      <c r="M896" t="str">
        <f>IFERROR(INDEX(Diccionario!$N:$N,MATCH(F240,Diccionario!$C:$C,0)),"")</f>
        <v>Mensual</v>
      </c>
    </row>
    <row r="897" spans="1:13" ht="12" customHeight="1" x14ac:dyDescent="0.3">
      <c r="A897" t="s">
        <v>552</v>
      </c>
      <c r="B897" t="s">
        <v>522</v>
      </c>
      <c r="C897" t="s">
        <v>523</v>
      </c>
      <c r="D897" t="s">
        <v>451</v>
      </c>
      <c r="E897" t="s">
        <v>524</v>
      </c>
      <c r="F897" t="s">
        <v>377</v>
      </c>
      <c r="H897" t="s">
        <v>571</v>
      </c>
      <c r="I897" s="29">
        <v>18500000</v>
      </c>
      <c r="J897" t="s">
        <v>451</v>
      </c>
      <c r="L897" t="s">
        <v>36</v>
      </c>
      <c r="M897" t="str">
        <f>IFERROR(INDEX(Diccionario!$N:$N,MATCH(F988,Diccionario!$C:$C,0)),"")</f>
        <v>Mensual</v>
      </c>
    </row>
    <row r="898" spans="1:13" ht="12" customHeight="1" x14ac:dyDescent="0.3">
      <c r="A898" t="s">
        <v>552</v>
      </c>
      <c r="B898" t="s">
        <v>522</v>
      </c>
      <c r="C898" t="s">
        <v>523</v>
      </c>
      <c r="D898" t="s">
        <v>451</v>
      </c>
      <c r="E898" t="s">
        <v>524</v>
      </c>
      <c r="F898" t="s">
        <v>377</v>
      </c>
      <c r="H898" t="s">
        <v>577</v>
      </c>
      <c r="I898" s="29">
        <v>25400000</v>
      </c>
      <c r="J898" t="s">
        <v>451</v>
      </c>
      <c r="L898" t="s">
        <v>36</v>
      </c>
      <c r="M898" t="str">
        <f>IFERROR(INDEX(Diccionario!$N:$N,MATCH(F984,Diccionario!$C:$C,0)),"")</f>
        <v>Mensual</v>
      </c>
    </row>
    <row r="899" spans="1:13" ht="12" customHeight="1" x14ac:dyDescent="0.3">
      <c r="A899" t="s">
        <v>552</v>
      </c>
      <c r="B899" t="s">
        <v>522</v>
      </c>
      <c r="C899" t="s">
        <v>523</v>
      </c>
      <c r="D899" t="s">
        <v>451</v>
      </c>
      <c r="E899" t="s">
        <v>524</v>
      </c>
      <c r="F899" t="s">
        <v>377</v>
      </c>
      <c r="H899" t="s">
        <v>565</v>
      </c>
      <c r="I899" s="29">
        <v>81200000</v>
      </c>
      <c r="J899" t="s">
        <v>451</v>
      </c>
      <c r="L899" t="s">
        <v>36</v>
      </c>
      <c r="M899" t="str">
        <f>IFERROR(INDEX(Diccionario!$N:$N,MATCH(F983,Diccionario!$C:$C,0)),"")</f>
        <v>Mensual</v>
      </c>
    </row>
    <row r="900" spans="1:13" ht="12" customHeight="1" x14ac:dyDescent="0.3">
      <c r="A900" t="s">
        <v>552</v>
      </c>
      <c r="B900" t="s">
        <v>522</v>
      </c>
      <c r="C900" t="s">
        <v>523</v>
      </c>
      <c r="D900" t="s">
        <v>451</v>
      </c>
      <c r="E900" t="s">
        <v>524</v>
      </c>
      <c r="F900" t="s">
        <v>377</v>
      </c>
      <c r="H900" t="s">
        <v>568</v>
      </c>
      <c r="I900" s="29">
        <v>256000</v>
      </c>
      <c r="J900" t="s">
        <v>451</v>
      </c>
      <c r="L900" t="s">
        <v>36</v>
      </c>
      <c r="M900" t="str">
        <f>IFERROR(INDEX(Diccionario!$N:$N,MATCH(F985,Diccionario!$C:$C,0)),"")</f>
        <v>Mensual</v>
      </c>
    </row>
    <row r="901" spans="1:13" ht="12" customHeight="1" x14ac:dyDescent="0.3">
      <c r="A901" t="s">
        <v>552</v>
      </c>
      <c r="B901" t="s">
        <v>522</v>
      </c>
      <c r="C901" t="s">
        <v>523</v>
      </c>
      <c r="D901" t="s">
        <v>451</v>
      </c>
      <c r="E901" t="s">
        <v>524</v>
      </c>
      <c r="F901" t="s">
        <v>377</v>
      </c>
      <c r="H901" t="s">
        <v>569</v>
      </c>
      <c r="I901" s="29">
        <v>10900000</v>
      </c>
      <c r="J901" t="s">
        <v>451</v>
      </c>
      <c r="L901" t="s">
        <v>36</v>
      </c>
      <c r="M901" t="str">
        <f>IFERROR(INDEX(Diccionario!$N:$N,MATCH(F986,Diccionario!$C:$C,0)),"")</f>
        <v>Mensual</v>
      </c>
    </row>
    <row r="902" spans="1:13" ht="12" customHeight="1" x14ac:dyDescent="0.3">
      <c r="A902" t="s">
        <v>552</v>
      </c>
      <c r="B902" t="s">
        <v>522</v>
      </c>
      <c r="C902" t="s">
        <v>523</v>
      </c>
      <c r="D902" t="s">
        <v>451</v>
      </c>
      <c r="E902" t="s">
        <v>524</v>
      </c>
      <c r="F902" t="s">
        <v>377</v>
      </c>
      <c r="H902" t="s">
        <v>570</v>
      </c>
      <c r="I902" s="29">
        <v>7600000</v>
      </c>
      <c r="J902" t="s">
        <v>451</v>
      </c>
      <c r="L902" t="s">
        <v>36</v>
      </c>
      <c r="M902" t="str">
        <f>IFERROR(INDEX(Diccionario!$N:$N,MATCH(F987,Diccionario!$C:$C,0)),"")</f>
        <v>Mensual</v>
      </c>
    </row>
    <row r="903" spans="1:13" ht="12" customHeight="1" x14ac:dyDescent="0.3">
      <c r="A903" t="s">
        <v>552</v>
      </c>
      <c r="B903" t="s">
        <v>522</v>
      </c>
      <c r="C903" t="s">
        <v>523</v>
      </c>
      <c r="D903" t="s">
        <v>451</v>
      </c>
      <c r="E903" t="s">
        <v>524</v>
      </c>
      <c r="F903" t="s">
        <v>371</v>
      </c>
      <c r="H903" t="s">
        <v>566</v>
      </c>
      <c r="I903" s="29">
        <v>7010000</v>
      </c>
      <c r="J903" t="s">
        <v>451</v>
      </c>
      <c r="L903" t="s">
        <v>36</v>
      </c>
      <c r="M903" t="str">
        <f>IFERROR(INDEX(Diccionario!$N:$N,MATCH(F817,Diccionario!$C:$C,0)),"")</f>
        <v>Mensual</v>
      </c>
    </row>
    <row r="904" spans="1:13" ht="12" customHeight="1" x14ac:dyDescent="0.3">
      <c r="A904" t="s">
        <v>552</v>
      </c>
      <c r="B904" t="s">
        <v>522</v>
      </c>
      <c r="C904" t="s">
        <v>523</v>
      </c>
      <c r="D904" t="s">
        <v>451</v>
      </c>
      <c r="E904" t="s">
        <v>524</v>
      </c>
      <c r="F904" t="s">
        <v>371</v>
      </c>
      <c r="H904" t="s">
        <v>565</v>
      </c>
      <c r="I904" s="29">
        <v>148500000</v>
      </c>
      <c r="J904" t="s">
        <v>451</v>
      </c>
      <c r="L904" t="s">
        <v>36</v>
      </c>
      <c r="M904" t="str">
        <f>IFERROR(INDEX(Diccionario!$N:$N,MATCH(F816,Diccionario!$C:$C,0)),"")</f>
        <v>Mensual</v>
      </c>
    </row>
    <row r="905" spans="1:13" ht="12" customHeight="1" x14ac:dyDescent="0.3">
      <c r="A905" t="s">
        <v>552</v>
      </c>
      <c r="B905" t="s">
        <v>522</v>
      </c>
      <c r="C905" t="s">
        <v>523</v>
      </c>
      <c r="D905" t="s">
        <v>451</v>
      </c>
      <c r="E905" t="s">
        <v>524</v>
      </c>
      <c r="F905" t="s">
        <v>371</v>
      </c>
      <c r="H905" t="s">
        <v>569</v>
      </c>
      <c r="I905" s="29">
        <v>24100000</v>
      </c>
      <c r="J905" t="s">
        <v>451</v>
      </c>
      <c r="L905" t="s">
        <v>36</v>
      </c>
      <c r="M905" t="str">
        <f>IFERROR(INDEX(Diccionario!$N:$N,MATCH(F818,Diccionario!$C:$C,0)),"")</f>
        <v>Mensual</v>
      </c>
    </row>
    <row r="906" spans="1:13" ht="12" customHeight="1" x14ac:dyDescent="0.3">
      <c r="A906" t="s">
        <v>552</v>
      </c>
      <c r="B906" t="s">
        <v>522</v>
      </c>
      <c r="C906" t="s">
        <v>523</v>
      </c>
      <c r="D906" t="s">
        <v>451</v>
      </c>
      <c r="E906" t="s">
        <v>524</v>
      </c>
      <c r="F906" t="s">
        <v>371</v>
      </c>
      <c r="H906" t="s">
        <v>570</v>
      </c>
      <c r="I906" s="29">
        <v>0</v>
      </c>
      <c r="J906" t="s">
        <v>451</v>
      </c>
      <c r="L906" t="s">
        <v>36</v>
      </c>
      <c r="M906" t="str">
        <f>IFERROR(INDEX(Diccionario!$N:$N,MATCH(F819,Diccionario!$C:$C,0)),"")</f>
        <v>Mensual</v>
      </c>
    </row>
    <row r="907" spans="1:13" ht="12" customHeight="1" x14ac:dyDescent="0.3">
      <c r="A907" t="s">
        <v>552</v>
      </c>
      <c r="B907" t="s">
        <v>522</v>
      </c>
      <c r="C907" t="s">
        <v>523</v>
      </c>
      <c r="D907" t="s">
        <v>451</v>
      </c>
      <c r="E907" t="s">
        <v>524</v>
      </c>
      <c r="F907" t="s">
        <v>241</v>
      </c>
      <c r="I907" s="29">
        <v>20433810</v>
      </c>
      <c r="J907" t="s">
        <v>451</v>
      </c>
      <c r="L907" t="s">
        <v>36</v>
      </c>
      <c r="M907" t="str">
        <f>IFERROR(INDEX(Diccionario!$N:$N,MATCH(F1107,Diccionario!$C:$C,0)),"")</f>
        <v/>
      </c>
    </row>
    <row r="908" spans="1:13" ht="12" customHeight="1" x14ac:dyDescent="0.3">
      <c r="A908" t="s">
        <v>552</v>
      </c>
      <c r="B908" t="s">
        <v>522</v>
      </c>
      <c r="C908" t="s">
        <v>523</v>
      </c>
      <c r="D908" t="s">
        <v>451</v>
      </c>
      <c r="E908" t="s">
        <v>524</v>
      </c>
      <c r="F908" t="s">
        <v>258</v>
      </c>
      <c r="I908" s="29">
        <v>666914432</v>
      </c>
      <c r="J908" t="s">
        <v>451</v>
      </c>
      <c r="L908" t="s">
        <v>36</v>
      </c>
      <c r="M908" t="str">
        <f>IFERROR(INDEX(Diccionario!$N:$N,MATCH(F1094,Diccionario!$C:$C,0)),"")</f>
        <v/>
      </c>
    </row>
    <row r="909" spans="1:13" ht="12" customHeight="1" x14ac:dyDescent="0.3">
      <c r="A909" t="s">
        <v>553</v>
      </c>
      <c r="B909" t="s">
        <v>522</v>
      </c>
      <c r="C909" t="s">
        <v>523</v>
      </c>
      <c r="D909" t="s">
        <v>451</v>
      </c>
      <c r="E909" t="s">
        <v>524</v>
      </c>
      <c r="F909" t="s">
        <v>255</v>
      </c>
      <c r="I909" s="29">
        <v>-1358174</v>
      </c>
      <c r="J909" t="s">
        <v>451</v>
      </c>
      <c r="L909" t="s">
        <v>36</v>
      </c>
      <c r="M909" t="str">
        <f>IFERROR(INDEX(Diccionario!$N:$N,MATCH(F1150,Diccionario!$C:$C,0)),"")</f>
        <v/>
      </c>
    </row>
    <row r="910" spans="1:13" ht="12" customHeight="1" x14ac:dyDescent="0.3">
      <c r="A910" t="s">
        <v>553</v>
      </c>
      <c r="B910" t="s">
        <v>522</v>
      </c>
      <c r="C910" t="s">
        <v>523</v>
      </c>
      <c r="D910" t="s">
        <v>451</v>
      </c>
      <c r="E910" t="s">
        <v>524</v>
      </c>
      <c r="F910" t="s">
        <v>252</v>
      </c>
      <c r="I910" s="29">
        <v>-17709872</v>
      </c>
      <c r="J910" t="s">
        <v>451</v>
      </c>
      <c r="L910" t="s">
        <v>36</v>
      </c>
      <c r="M910" t="str">
        <f>IFERROR(INDEX(Diccionario!$N:$N,MATCH(F1137,Diccionario!$C:$C,0)),"")</f>
        <v/>
      </c>
    </row>
    <row r="911" spans="1:13" ht="12" customHeight="1" x14ac:dyDescent="0.3">
      <c r="A911" t="s">
        <v>553</v>
      </c>
      <c r="B911" t="s">
        <v>522</v>
      </c>
      <c r="C911" t="s">
        <v>523</v>
      </c>
      <c r="D911" t="s">
        <v>451</v>
      </c>
      <c r="E911" t="s">
        <v>524</v>
      </c>
      <c r="F911" t="s">
        <v>314</v>
      </c>
      <c r="H911" t="s">
        <v>577</v>
      </c>
      <c r="I911" s="29">
        <v>0</v>
      </c>
      <c r="J911" t="s">
        <v>451</v>
      </c>
      <c r="L911" t="s">
        <v>36</v>
      </c>
      <c r="M911" t="str">
        <f>IFERROR(INDEX(Diccionario!$N:$N,MATCH(F707,Diccionario!$C:$C,0)),"")</f>
        <v>Mensual</v>
      </c>
    </row>
    <row r="912" spans="1:13" ht="12" customHeight="1" x14ac:dyDescent="0.3">
      <c r="A912" t="s">
        <v>553</v>
      </c>
      <c r="B912" t="s">
        <v>522</v>
      </c>
      <c r="C912" t="s">
        <v>523</v>
      </c>
      <c r="D912" t="s">
        <v>451</v>
      </c>
      <c r="E912" t="s">
        <v>524</v>
      </c>
      <c r="F912" t="s">
        <v>314</v>
      </c>
      <c r="H912" t="s">
        <v>578</v>
      </c>
      <c r="I912" s="29">
        <v>900000</v>
      </c>
      <c r="J912" t="s">
        <v>451</v>
      </c>
      <c r="L912" t="s">
        <v>36</v>
      </c>
      <c r="M912" t="str">
        <f>IFERROR(INDEX(Diccionario!$N:$N,MATCH(F709,Diccionario!$C:$C,0)),"")</f>
        <v>Mensual</v>
      </c>
    </row>
    <row r="913" spans="1:13" ht="12" customHeight="1" x14ac:dyDescent="0.3">
      <c r="A913" t="s">
        <v>553</v>
      </c>
      <c r="B913" t="s">
        <v>522</v>
      </c>
      <c r="C913" t="s">
        <v>523</v>
      </c>
      <c r="D913" t="s">
        <v>451</v>
      </c>
      <c r="E913" t="s">
        <v>524</v>
      </c>
      <c r="F913" t="s">
        <v>314</v>
      </c>
      <c r="H913" t="s">
        <v>565</v>
      </c>
      <c r="I913" s="29">
        <v>86400000</v>
      </c>
      <c r="J913" t="s">
        <v>451</v>
      </c>
      <c r="L913" t="s">
        <v>36</v>
      </c>
      <c r="M913" t="str">
        <f>IFERROR(INDEX(Diccionario!$N:$N,MATCH(F706,Diccionario!$C:$C,0)),"")</f>
        <v>Mensual</v>
      </c>
    </row>
    <row r="914" spans="1:13" ht="12" customHeight="1" x14ac:dyDescent="0.3">
      <c r="A914" t="s">
        <v>553</v>
      </c>
      <c r="B914" t="s">
        <v>522</v>
      </c>
      <c r="C914" t="s">
        <v>523</v>
      </c>
      <c r="D914" t="s">
        <v>451</v>
      </c>
      <c r="E914" t="s">
        <v>524</v>
      </c>
      <c r="F914" t="s">
        <v>314</v>
      </c>
      <c r="H914" t="s">
        <v>569</v>
      </c>
      <c r="I914" s="29">
        <v>14800000</v>
      </c>
      <c r="J914" t="s">
        <v>451</v>
      </c>
      <c r="L914" t="s">
        <v>36</v>
      </c>
      <c r="M914" t="str">
        <f>IFERROR(INDEX(Diccionario!$N:$N,MATCH(F708,Diccionario!$C:$C,0)),"")</f>
        <v>Mensual</v>
      </c>
    </row>
    <row r="915" spans="1:13" ht="12" customHeight="1" x14ac:dyDescent="0.3">
      <c r="A915" t="s">
        <v>553</v>
      </c>
      <c r="B915" t="s">
        <v>522</v>
      </c>
      <c r="C915" t="s">
        <v>523</v>
      </c>
      <c r="D915" t="s">
        <v>451</v>
      </c>
      <c r="E915" t="s">
        <v>524</v>
      </c>
      <c r="F915" t="s">
        <v>314</v>
      </c>
      <c r="H915" t="s">
        <v>570</v>
      </c>
      <c r="I915" s="29">
        <v>21800000</v>
      </c>
      <c r="J915" t="s">
        <v>451</v>
      </c>
      <c r="L915" t="s">
        <v>36</v>
      </c>
      <c r="M915" t="str">
        <f>IFERROR(INDEX(Diccionario!$N:$N,MATCH(F710,Diccionario!$C:$C,0)),"")</f>
        <v>Mensual</v>
      </c>
    </row>
    <row r="916" spans="1:13" ht="12" customHeight="1" x14ac:dyDescent="0.3">
      <c r="A916" t="s">
        <v>553</v>
      </c>
      <c r="B916" t="s">
        <v>522</v>
      </c>
      <c r="C916" t="s">
        <v>523</v>
      </c>
      <c r="D916" t="s">
        <v>451</v>
      </c>
      <c r="E916" t="s">
        <v>524</v>
      </c>
      <c r="F916" t="s">
        <v>318</v>
      </c>
      <c r="H916" t="s">
        <v>574</v>
      </c>
      <c r="I916" s="29">
        <v>32100000</v>
      </c>
      <c r="J916" t="s">
        <v>451</v>
      </c>
      <c r="L916" t="s">
        <v>36</v>
      </c>
      <c r="M916" t="str">
        <f>IFERROR(INDEX(Diccionario!$N:$N,MATCH(F588,Diccionario!$C:$C,0)),"")</f>
        <v>Mensual</v>
      </c>
    </row>
    <row r="917" spans="1:13" ht="12" customHeight="1" x14ac:dyDescent="0.3">
      <c r="A917" t="s">
        <v>553</v>
      </c>
      <c r="B917" t="s">
        <v>522</v>
      </c>
      <c r="C917" t="s">
        <v>523</v>
      </c>
      <c r="D917" t="s">
        <v>451</v>
      </c>
      <c r="E917" t="s">
        <v>524</v>
      </c>
      <c r="F917" t="s">
        <v>318</v>
      </c>
      <c r="H917" t="s">
        <v>575</v>
      </c>
      <c r="I917" s="29">
        <v>21000000</v>
      </c>
      <c r="J917" t="s">
        <v>451</v>
      </c>
      <c r="L917" t="s">
        <v>36</v>
      </c>
      <c r="M917" t="str">
        <f>IFERROR(INDEX(Diccionario!$N:$N,MATCH(F589,Diccionario!$C:$C,0)),"")</f>
        <v>Mensual</v>
      </c>
    </row>
    <row r="918" spans="1:13" ht="12" customHeight="1" x14ac:dyDescent="0.3">
      <c r="A918" t="s">
        <v>553</v>
      </c>
      <c r="B918" t="s">
        <v>522</v>
      </c>
      <c r="C918" t="s">
        <v>523</v>
      </c>
      <c r="D918" t="s">
        <v>451</v>
      </c>
      <c r="E918" t="s">
        <v>524</v>
      </c>
      <c r="F918" t="s">
        <v>318</v>
      </c>
      <c r="H918" t="s">
        <v>573</v>
      </c>
      <c r="I918" s="29">
        <v>0</v>
      </c>
      <c r="J918" t="s">
        <v>451</v>
      </c>
      <c r="L918" t="s">
        <v>36</v>
      </c>
      <c r="M918" t="str">
        <f>IFERROR(INDEX(Diccionario!$N:$N,MATCH(F587,Diccionario!$C:$C,0)),"")</f>
        <v>Mensual</v>
      </c>
    </row>
    <row r="919" spans="1:13" ht="12" customHeight="1" x14ac:dyDescent="0.3">
      <c r="A919" t="s">
        <v>553</v>
      </c>
      <c r="B919" t="s">
        <v>522</v>
      </c>
      <c r="C919" t="s">
        <v>523</v>
      </c>
      <c r="D919" t="s">
        <v>451</v>
      </c>
      <c r="E919" t="s">
        <v>524</v>
      </c>
      <c r="F919" t="s">
        <v>318</v>
      </c>
      <c r="H919" t="s">
        <v>572</v>
      </c>
      <c r="I919" s="29">
        <v>111800000</v>
      </c>
      <c r="J919" t="s">
        <v>451</v>
      </c>
      <c r="L919" t="s">
        <v>36</v>
      </c>
      <c r="M919" t="str">
        <f>IFERROR(INDEX(Diccionario!$N:$N,MATCH(F586,Diccionario!$C:$C,0)),"")</f>
        <v>Mensual</v>
      </c>
    </row>
    <row r="920" spans="1:13" ht="12" customHeight="1" x14ac:dyDescent="0.3">
      <c r="A920" t="s">
        <v>553</v>
      </c>
      <c r="B920" t="s">
        <v>522</v>
      </c>
      <c r="C920" t="s">
        <v>523</v>
      </c>
      <c r="D920" t="s">
        <v>451</v>
      </c>
      <c r="E920" t="s">
        <v>524</v>
      </c>
      <c r="F920" t="s">
        <v>318</v>
      </c>
      <c r="H920" t="s">
        <v>576</v>
      </c>
      <c r="I920" s="29">
        <v>29000000</v>
      </c>
      <c r="J920" t="s">
        <v>451</v>
      </c>
      <c r="L920" t="s">
        <v>36</v>
      </c>
      <c r="M920" t="str">
        <f>IFERROR(INDEX(Diccionario!$N:$N,MATCH(F590,Diccionario!$C:$C,0)),"")</f>
        <v>Mensual</v>
      </c>
    </row>
    <row r="921" spans="1:13" ht="12" customHeight="1" x14ac:dyDescent="0.3">
      <c r="A921" t="s">
        <v>553</v>
      </c>
      <c r="B921" t="s">
        <v>522</v>
      </c>
      <c r="C921" t="s">
        <v>523</v>
      </c>
      <c r="E921" t="s">
        <v>524</v>
      </c>
      <c r="F921" t="s">
        <v>323</v>
      </c>
      <c r="I921" s="36">
        <v>25.72</v>
      </c>
      <c r="J921" t="s">
        <v>65</v>
      </c>
      <c r="L921" t="s">
        <v>36</v>
      </c>
      <c r="M921" t="str">
        <f>IFERROR(INDEX(Diccionario!$N:$N,MATCH(F1024,Diccionario!$C:$C,0)),"")</f>
        <v>Mensual</v>
      </c>
    </row>
    <row r="922" spans="1:13" ht="12" customHeight="1" x14ac:dyDescent="0.3">
      <c r="A922" t="s">
        <v>553</v>
      </c>
      <c r="B922" t="s">
        <v>522</v>
      </c>
      <c r="C922" t="s">
        <v>523</v>
      </c>
      <c r="D922" t="s">
        <v>451</v>
      </c>
      <c r="E922" t="s">
        <v>524</v>
      </c>
      <c r="F922" t="s">
        <v>246</v>
      </c>
      <c r="I922" s="29">
        <v>37926081</v>
      </c>
      <c r="J922" t="s">
        <v>451</v>
      </c>
      <c r="L922" t="s">
        <v>36</v>
      </c>
      <c r="M922" t="str">
        <f>IFERROR(INDEX(Diccionario!$N:$N,MATCH(F1124,Diccionario!$C:$C,0)),"")</f>
        <v/>
      </c>
    </row>
    <row r="923" spans="1:13" ht="12" customHeight="1" x14ac:dyDescent="0.3">
      <c r="A923" t="s">
        <v>553</v>
      </c>
      <c r="B923" t="s">
        <v>522</v>
      </c>
      <c r="C923" t="s">
        <v>523</v>
      </c>
      <c r="D923" t="s">
        <v>451</v>
      </c>
      <c r="E923" t="s">
        <v>524</v>
      </c>
      <c r="F923" t="s">
        <v>309</v>
      </c>
      <c r="H923" t="s">
        <v>567</v>
      </c>
      <c r="I923" s="29">
        <v>10500000</v>
      </c>
      <c r="J923" t="s">
        <v>451</v>
      </c>
      <c r="L923" t="s">
        <v>36</v>
      </c>
      <c r="M923" t="str">
        <f>IFERROR(INDEX(Diccionario!$N:$N,MATCH(F444,Diccionario!$C:$C,0)),"")</f>
        <v>Mensual</v>
      </c>
    </row>
    <row r="924" spans="1:13" ht="12" customHeight="1" x14ac:dyDescent="0.3">
      <c r="A924" t="s">
        <v>553</v>
      </c>
      <c r="B924" t="s">
        <v>522</v>
      </c>
      <c r="C924" t="s">
        <v>523</v>
      </c>
      <c r="D924" t="s">
        <v>451</v>
      </c>
      <c r="E924" t="s">
        <v>524</v>
      </c>
      <c r="F924" t="s">
        <v>309</v>
      </c>
      <c r="H924" t="s">
        <v>571</v>
      </c>
      <c r="I924" s="29">
        <v>21600000</v>
      </c>
      <c r="J924" t="s">
        <v>451</v>
      </c>
      <c r="L924" t="s">
        <v>36</v>
      </c>
      <c r="M924" t="str">
        <f>IFERROR(INDEX(Diccionario!$N:$N,MATCH(F448,Diccionario!$C:$C,0)),"")</f>
        <v>Mensual</v>
      </c>
    </row>
    <row r="925" spans="1:13" ht="12" customHeight="1" x14ac:dyDescent="0.3">
      <c r="A925" t="s">
        <v>553</v>
      </c>
      <c r="B925" t="s">
        <v>522</v>
      </c>
      <c r="C925" t="s">
        <v>523</v>
      </c>
      <c r="D925" t="s">
        <v>451</v>
      </c>
      <c r="E925" t="s">
        <v>524</v>
      </c>
      <c r="F925" t="s">
        <v>309</v>
      </c>
      <c r="H925" t="s">
        <v>566</v>
      </c>
      <c r="I925" s="29">
        <v>19800000</v>
      </c>
      <c r="J925" t="s">
        <v>451</v>
      </c>
      <c r="L925" t="s">
        <v>36</v>
      </c>
      <c r="M925" t="str">
        <f>IFERROR(INDEX(Diccionario!$N:$N,MATCH(F443,Diccionario!$C:$C,0)),"")</f>
        <v>Mensual</v>
      </c>
    </row>
    <row r="926" spans="1:13" ht="12" customHeight="1" x14ac:dyDescent="0.3">
      <c r="A926" t="s">
        <v>553</v>
      </c>
      <c r="B926" t="s">
        <v>522</v>
      </c>
      <c r="C926" t="s">
        <v>523</v>
      </c>
      <c r="D926" t="s">
        <v>451</v>
      </c>
      <c r="E926" t="s">
        <v>524</v>
      </c>
      <c r="F926" t="s">
        <v>309</v>
      </c>
      <c r="H926" t="s">
        <v>565</v>
      </c>
      <c r="I926" s="29">
        <v>57500000</v>
      </c>
      <c r="J926" t="s">
        <v>451</v>
      </c>
      <c r="L926" t="s">
        <v>36</v>
      </c>
      <c r="M926" t="str">
        <f>IFERROR(INDEX(Diccionario!$N:$N,MATCH(F442,Diccionario!$C:$C,0)),"")</f>
        <v>Mensual</v>
      </c>
    </row>
    <row r="927" spans="1:13" ht="12" customHeight="1" x14ac:dyDescent="0.3">
      <c r="A927" t="s">
        <v>553</v>
      </c>
      <c r="B927" t="s">
        <v>522</v>
      </c>
      <c r="C927" t="s">
        <v>523</v>
      </c>
      <c r="D927" t="s">
        <v>451</v>
      </c>
      <c r="E927" t="s">
        <v>524</v>
      </c>
      <c r="F927" t="s">
        <v>309</v>
      </c>
      <c r="H927" t="s">
        <v>568</v>
      </c>
      <c r="I927" s="29">
        <v>900000</v>
      </c>
      <c r="J927" t="s">
        <v>451</v>
      </c>
      <c r="L927" t="s">
        <v>36</v>
      </c>
      <c r="M927" t="str">
        <f>IFERROR(INDEX(Diccionario!$N:$N,MATCH(F445,Diccionario!$C:$C,0)),"")</f>
        <v>Mensual</v>
      </c>
    </row>
    <row r="928" spans="1:13" ht="12" customHeight="1" x14ac:dyDescent="0.3">
      <c r="A928" t="s">
        <v>553</v>
      </c>
      <c r="B928" t="s">
        <v>522</v>
      </c>
      <c r="C928" t="s">
        <v>523</v>
      </c>
      <c r="D928" t="s">
        <v>451</v>
      </c>
      <c r="E928" t="s">
        <v>524</v>
      </c>
      <c r="F928" t="s">
        <v>309</v>
      </c>
      <c r="H928" t="s">
        <v>569</v>
      </c>
      <c r="I928" s="29">
        <v>3600000</v>
      </c>
      <c r="J928" t="s">
        <v>451</v>
      </c>
      <c r="L928" t="s">
        <v>36</v>
      </c>
      <c r="M928" t="str">
        <f>IFERROR(INDEX(Diccionario!$N:$N,MATCH(F446,Diccionario!$C:$C,0)),"")</f>
        <v>Mensual</v>
      </c>
    </row>
    <row r="929" spans="1:13" ht="12" customHeight="1" x14ac:dyDescent="0.3">
      <c r="A929" t="s">
        <v>553</v>
      </c>
      <c r="B929" t="s">
        <v>522</v>
      </c>
      <c r="C929" t="s">
        <v>523</v>
      </c>
      <c r="D929" t="s">
        <v>451</v>
      </c>
      <c r="E929" t="s">
        <v>524</v>
      </c>
      <c r="F929" t="s">
        <v>309</v>
      </c>
      <c r="H929" t="s">
        <v>570</v>
      </c>
      <c r="I929" s="29">
        <v>0</v>
      </c>
      <c r="J929" t="s">
        <v>451</v>
      </c>
      <c r="L929" t="s">
        <v>36</v>
      </c>
      <c r="M929" t="str">
        <f>IFERROR(INDEX(Diccionario!$N:$N,MATCH(F447,Diccionario!$C:$C,0)),"")</f>
        <v>Mensual</v>
      </c>
    </row>
    <row r="930" spans="1:13" ht="12" customHeight="1" x14ac:dyDescent="0.3">
      <c r="A930" t="s">
        <v>553</v>
      </c>
      <c r="B930" t="s">
        <v>522</v>
      </c>
      <c r="C930" t="s">
        <v>523</v>
      </c>
      <c r="D930" t="s">
        <v>451</v>
      </c>
      <c r="E930" t="s">
        <v>524</v>
      </c>
      <c r="F930" t="s">
        <v>304</v>
      </c>
      <c r="H930" t="s">
        <v>564</v>
      </c>
      <c r="I930" s="29">
        <v>114200000</v>
      </c>
      <c r="J930" t="s">
        <v>451</v>
      </c>
      <c r="L930" t="s">
        <v>36</v>
      </c>
      <c r="M930" t="str">
        <f>IFERROR(INDEX(Diccionario!$N:$N,MATCH(F248,Diccionario!$C:$C,0)),"")</f>
        <v>Mensual</v>
      </c>
    </row>
    <row r="931" spans="1:13" ht="12" customHeight="1" x14ac:dyDescent="0.3">
      <c r="A931" t="s">
        <v>553</v>
      </c>
      <c r="B931" t="s">
        <v>522</v>
      </c>
      <c r="C931" t="s">
        <v>523</v>
      </c>
      <c r="D931" t="s">
        <v>451</v>
      </c>
      <c r="E931" t="s">
        <v>524</v>
      </c>
      <c r="F931" t="s">
        <v>304</v>
      </c>
      <c r="H931" t="s">
        <v>190</v>
      </c>
      <c r="I931" s="29">
        <v>130200000</v>
      </c>
      <c r="J931" t="s">
        <v>451</v>
      </c>
      <c r="L931" t="s">
        <v>36</v>
      </c>
      <c r="M931" t="str">
        <f>IFERROR(INDEX(Diccionario!$N:$N,MATCH(F247,Diccionario!$C:$C,0)),"")</f>
        <v>Mensual</v>
      </c>
    </row>
    <row r="932" spans="1:13" ht="12" customHeight="1" x14ac:dyDescent="0.3">
      <c r="A932" t="s">
        <v>553</v>
      </c>
      <c r="B932" t="s">
        <v>522</v>
      </c>
      <c r="C932" t="s">
        <v>523</v>
      </c>
      <c r="D932" t="s">
        <v>451</v>
      </c>
      <c r="E932" t="s">
        <v>524</v>
      </c>
      <c r="F932" t="s">
        <v>304</v>
      </c>
      <c r="H932" t="s">
        <v>561</v>
      </c>
      <c r="I932" s="29">
        <v>5000000</v>
      </c>
      <c r="J932" t="s">
        <v>451</v>
      </c>
      <c r="L932" t="s">
        <v>36</v>
      </c>
      <c r="M932" t="str">
        <f>IFERROR(INDEX(Diccionario!$N:$N,MATCH(F244,Diccionario!$C:$C,0)),"")</f>
        <v>Mensual</v>
      </c>
    </row>
    <row r="933" spans="1:13" ht="12" customHeight="1" x14ac:dyDescent="0.3">
      <c r="A933" t="s">
        <v>553</v>
      </c>
      <c r="B933" t="s">
        <v>522</v>
      </c>
      <c r="C933" t="s">
        <v>523</v>
      </c>
      <c r="D933" t="s">
        <v>451</v>
      </c>
      <c r="E933" t="s">
        <v>524</v>
      </c>
      <c r="F933" t="s">
        <v>304</v>
      </c>
      <c r="H933" t="s">
        <v>563</v>
      </c>
      <c r="I933" s="29">
        <v>194000000</v>
      </c>
      <c r="J933" t="s">
        <v>451</v>
      </c>
      <c r="L933" t="s">
        <v>36</v>
      </c>
      <c r="M933" t="str">
        <f>IFERROR(INDEX(Diccionario!$N:$N,MATCH(F246,Diccionario!$C:$C,0)),"")</f>
        <v>Mensual</v>
      </c>
    </row>
    <row r="934" spans="1:13" ht="12" customHeight="1" x14ac:dyDescent="0.3">
      <c r="A934" t="s">
        <v>553</v>
      </c>
      <c r="B934" t="s">
        <v>522</v>
      </c>
      <c r="C934" t="s">
        <v>523</v>
      </c>
      <c r="D934" t="s">
        <v>451</v>
      </c>
      <c r="E934" t="s">
        <v>524</v>
      </c>
      <c r="F934" t="s">
        <v>304</v>
      </c>
      <c r="H934" t="s">
        <v>562</v>
      </c>
      <c r="I934" s="29">
        <v>311400000</v>
      </c>
      <c r="J934" t="s">
        <v>451</v>
      </c>
      <c r="L934" t="s">
        <v>36</v>
      </c>
      <c r="M934" t="str">
        <f>IFERROR(INDEX(Diccionario!$N:$N,MATCH(F245,Diccionario!$C:$C,0)),"")</f>
        <v>Mensual</v>
      </c>
    </row>
    <row r="935" spans="1:13" ht="12" customHeight="1" x14ac:dyDescent="0.3">
      <c r="A935" t="s">
        <v>553</v>
      </c>
      <c r="B935" t="s">
        <v>522</v>
      </c>
      <c r="C935" t="s">
        <v>523</v>
      </c>
      <c r="D935" t="s">
        <v>451</v>
      </c>
      <c r="E935" t="s">
        <v>524</v>
      </c>
      <c r="F935" t="s">
        <v>377</v>
      </c>
      <c r="H935" t="s">
        <v>571</v>
      </c>
      <c r="I935" s="29">
        <v>9100000</v>
      </c>
      <c r="J935" t="s">
        <v>451</v>
      </c>
      <c r="L935" t="s">
        <v>36</v>
      </c>
      <c r="M935" t="str">
        <f>IFERROR(INDEX(Diccionario!$N:$N,MATCH(F994,Diccionario!$C:$C,0)),"")</f>
        <v>Mensual</v>
      </c>
    </row>
    <row r="936" spans="1:13" ht="12" customHeight="1" x14ac:dyDescent="0.3">
      <c r="A936" t="s">
        <v>553</v>
      </c>
      <c r="B936" t="s">
        <v>522</v>
      </c>
      <c r="C936" t="s">
        <v>523</v>
      </c>
      <c r="D936" t="s">
        <v>451</v>
      </c>
      <c r="E936" t="s">
        <v>524</v>
      </c>
      <c r="F936" t="s">
        <v>377</v>
      </c>
      <c r="H936" t="s">
        <v>577</v>
      </c>
      <c r="I936" s="29">
        <v>28900000</v>
      </c>
      <c r="J936" t="s">
        <v>451</v>
      </c>
      <c r="L936" t="s">
        <v>36</v>
      </c>
      <c r="M936" t="str">
        <f>IFERROR(INDEX(Diccionario!$N:$N,MATCH(F990,Diccionario!$C:$C,0)),"")</f>
        <v>Mensual</v>
      </c>
    </row>
    <row r="937" spans="1:13" ht="12" customHeight="1" x14ac:dyDescent="0.3">
      <c r="A937" t="s">
        <v>553</v>
      </c>
      <c r="B937" t="s">
        <v>522</v>
      </c>
      <c r="C937" t="s">
        <v>523</v>
      </c>
      <c r="D937" t="s">
        <v>451</v>
      </c>
      <c r="E937" t="s">
        <v>524</v>
      </c>
      <c r="F937" t="s">
        <v>377</v>
      </c>
      <c r="H937" t="s">
        <v>565</v>
      </c>
      <c r="I937" s="29">
        <v>61100000</v>
      </c>
      <c r="J937" t="s">
        <v>451</v>
      </c>
      <c r="L937" t="s">
        <v>36</v>
      </c>
      <c r="M937" t="str">
        <f>IFERROR(INDEX(Diccionario!$N:$N,MATCH(F989,Diccionario!$C:$C,0)),"")</f>
        <v>Mensual</v>
      </c>
    </row>
    <row r="938" spans="1:13" ht="12" customHeight="1" x14ac:dyDescent="0.3">
      <c r="A938" t="s">
        <v>553</v>
      </c>
      <c r="B938" t="s">
        <v>522</v>
      </c>
      <c r="C938" t="s">
        <v>523</v>
      </c>
      <c r="D938" t="s">
        <v>451</v>
      </c>
      <c r="E938" t="s">
        <v>524</v>
      </c>
      <c r="F938" t="s">
        <v>377</v>
      </c>
      <c r="H938" t="s">
        <v>568</v>
      </c>
      <c r="I938" s="29">
        <v>100000</v>
      </c>
      <c r="J938" t="s">
        <v>451</v>
      </c>
      <c r="L938" t="s">
        <v>36</v>
      </c>
      <c r="M938" t="str">
        <f>IFERROR(INDEX(Diccionario!$N:$N,MATCH(F991,Diccionario!$C:$C,0)),"")</f>
        <v>Mensual</v>
      </c>
    </row>
    <row r="939" spans="1:13" ht="12" customHeight="1" x14ac:dyDescent="0.3">
      <c r="A939" t="s">
        <v>553</v>
      </c>
      <c r="B939" t="s">
        <v>522</v>
      </c>
      <c r="C939" t="s">
        <v>523</v>
      </c>
      <c r="D939" t="s">
        <v>451</v>
      </c>
      <c r="E939" t="s">
        <v>524</v>
      </c>
      <c r="F939" t="s">
        <v>377</v>
      </c>
      <c r="H939" t="s">
        <v>569</v>
      </c>
      <c r="I939" s="29">
        <v>23100000</v>
      </c>
      <c r="J939" t="s">
        <v>451</v>
      </c>
      <c r="L939" t="s">
        <v>36</v>
      </c>
      <c r="M939" t="str">
        <f>IFERROR(INDEX(Diccionario!$N:$N,MATCH(F992,Diccionario!$C:$C,0)),"")</f>
        <v>Mensual</v>
      </c>
    </row>
    <row r="940" spans="1:13" ht="12" customHeight="1" x14ac:dyDescent="0.3">
      <c r="A940" t="s">
        <v>553</v>
      </c>
      <c r="B940" t="s">
        <v>522</v>
      </c>
      <c r="C940" t="s">
        <v>523</v>
      </c>
      <c r="D940" t="s">
        <v>451</v>
      </c>
      <c r="E940" t="s">
        <v>524</v>
      </c>
      <c r="F940" t="s">
        <v>377</v>
      </c>
      <c r="H940" t="s">
        <v>570</v>
      </c>
      <c r="I940" s="29">
        <v>7700000</v>
      </c>
      <c r="J940" t="s">
        <v>451</v>
      </c>
      <c r="L940" t="s">
        <v>36</v>
      </c>
      <c r="M940" t="str">
        <f>IFERROR(INDEX(Diccionario!$N:$N,MATCH(F993,Diccionario!$C:$C,0)),"")</f>
        <v>Mensual</v>
      </c>
    </row>
    <row r="941" spans="1:13" ht="12" customHeight="1" x14ac:dyDescent="0.3">
      <c r="A941" t="s">
        <v>553</v>
      </c>
      <c r="B941" t="s">
        <v>522</v>
      </c>
      <c r="C941" t="s">
        <v>523</v>
      </c>
      <c r="D941" t="s">
        <v>451</v>
      </c>
      <c r="E941" t="s">
        <v>524</v>
      </c>
      <c r="F941" t="s">
        <v>371</v>
      </c>
      <c r="H941" t="s">
        <v>566</v>
      </c>
      <c r="I941" s="29">
        <v>6900000</v>
      </c>
      <c r="J941" t="s">
        <v>451</v>
      </c>
      <c r="L941" t="s">
        <v>36</v>
      </c>
      <c r="M941" t="str">
        <f>IFERROR(INDEX(Diccionario!$N:$N,MATCH(F821,Diccionario!$C:$C,0)),"")</f>
        <v>Mensual</v>
      </c>
    </row>
    <row r="942" spans="1:13" ht="12" customHeight="1" x14ac:dyDescent="0.3">
      <c r="A942" t="s">
        <v>553</v>
      </c>
      <c r="B942" t="s">
        <v>522</v>
      </c>
      <c r="C942" t="s">
        <v>523</v>
      </c>
      <c r="D942" t="s">
        <v>451</v>
      </c>
      <c r="E942" t="s">
        <v>524</v>
      </c>
      <c r="F942" t="s">
        <v>371</v>
      </c>
      <c r="H942" t="s">
        <v>565</v>
      </c>
      <c r="I942" s="29">
        <v>163400000</v>
      </c>
      <c r="J942" t="s">
        <v>451</v>
      </c>
      <c r="L942" t="s">
        <v>36</v>
      </c>
      <c r="M942" t="str">
        <f>IFERROR(INDEX(Diccionario!$N:$N,MATCH(F820,Diccionario!$C:$C,0)),"")</f>
        <v>Mensual</v>
      </c>
    </row>
    <row r="943" spans="1:13" ht="12" customHeight="1" x14ac:dyDescent="0.3">
      <c r="A943" t="s">
        <v>553</v>
      </c>
      <c r="B943" t="s">
        <v>522</v>
      </c>
      <c r="C943" t="s">
        <v>523</v>
      </c>
      <c r="D943" t="s">
        <v>451</v>
      </c>
      <c r="E943" t="s">
        <v>524</v>
      </c>
      <c r="F943" t="s">
        <v>371</v>
      </c>
      <c r="H943" t="s">
        <v>569</v>
      </c>
      <c r="I943" s="29">
        <v>14700000</v>
      </c>
      <c r="J943" t="s">
        <v>451</v>
      </c>
      <c r="L943" t="s">
        <v>36</v>
      </c>
      <c r="M943" t="str">
        <f>IFERROR(INDEX(Diccionario!$N:$N,MATCH(F822,Diccionario!$C:$C,0)),"")</f>
        <v>Mensual</v>
      </c>
    </row>
    <row r="944" spans="1:13" ht="12" customHeight="1" x14ac:dyDescent="0.3">
      <c r="A944" t="s">
        <v>553</v>
      </c>
      <c r="B944" t="s">
        <v>522</v>
      </c>
      <c r="C944" t="s">
        <v>523</v>
      </c>
      <c r="D944" t="s">
        <v>451</v>
      </c>
      <c r="E944" t="s">
        <v>524</v>
      </c>
      <c r="F944" t="s">
        <v>371</v>
      </c>
      <c r="H944" t="s">
        <v>570</v>
      </c>
      <c r="I944" s="29">
        <v>0</v>
      </c>
      <c r="J944" t="s">
        <v>451</v>
      </c>
      <c r="L944" t="s">
        <v>36</v>
      </c>
      <c r="M944" t="str">
        <f>IFERROR(INDEX(Diccionario!$N:$N,MATCH(F823,Diccionario!$C:$C,0)),"")</f>
        <v>Mensual</v>
      </c>
    </row>
    <row r="945" spans="1:13" ht="12" customHeight="1" x14ac:dyDescent="0.3">
      <c r="A945" t="s">
        <v>553</v>
      </c>
      <c r="B945" t="s">
        <v>522</v>
      </c>
      <c r="C945" t="s">
        <v>523</v>
      </c>
      <c r="D945" t="s">
        <v>451</v>
      </c>
      <c r="E945" t="s">
        <v>524</v>
      </c>
      <c r="F945" t="s">
        <v>241</v>
      </c>
      <c r="I945" s="29">
        <v>19704840</v>
      </c>
      <c r="J945" t="s">
        <v>451</v>
      </c>
      <c r="L945" t="s">
        <v>36</v>
      </c>
      <c r="M945" t="str">
        <f>IFERROR(INDEX(Diccionario!$N:$N,MATCH(F1108,Diccionario!$C:$C,0)),"")</f>
        <v/>
      </c>
    </row>
    <row r="946" spans="1:13" ht="12" customHeight="1" x14ac:dyDescent="0.3">
      <c r="A946" t="s">
        <v>553</v>
      </c>
      <c r="B946" t="s">
        <v>522</v>
      </c>
      <c r="C946" t="s">
        <v>523</v>
      </c>
      <c r="D946" t="s">
        <v>451</v>
      </c>
      <c r="E946" t="s">
        <v>524</v>
      </c>
      <c r="F946" t="s">
        <v>258</v>
      </c>
      <c r="I946" s="29">
        <v>685135673</v>
      </c>
      <c r="J946" t="s">
        <v>451</v>
      </c>
      <c r="L946" t="s">
        <v>36</v>
      </c>
      <c r="M946" t="str">
        <f>IFERROR(INDEX(Diccionario!$N:$N,MATCH(F1095,Diccionario!$C:$C,0)),"")</f>
        <v/>
      </c>
    </row>
    <row r="947" spans="1:13" ht="12" customHeight="1" x14ac:dyDescent="0.3">
      <c r="A947" t="s">
        <v>554</v>
      </c>
      <c r="B947" t="s">
        <v>522</v>
      </c>
      <c r="C947" t="s">
        <v>523</v>
      </c>
      <c r="D947" t="s">
        <v>451</v>
      </c>
      <c r="E947" t="s">
        <v>524</v>
      </c>
      <c r="F947" t="s">
        <v>355</v>
      </c>
      <c r="I947" s="36">
        <v>45.36</v>
      </c>
      <c r="J947" t="s">
        <v>65</v>
      </c>
      <c r="K947" t="s">
        <v>558</v>
      </c>
      <c r="L947" t="s">
        <v>36</v>
      </c>
      <c r="M947" t="str">
        <f>IFERROR(INDEX(Diccionario!$N:$N,MATCH(F111,Diccionario!$C:$C,0)),"")</f>
        <v>Mensual</v>
      </c>
    </row>
    <row r="948" spans="1:13" ht="12" customHeight="1" x14ac:dyDescent="0.3">
      <c r="A948" t="s">
        <v>554</v>
      </c>
      <c r="B948" t="s">
        <v>522</v>
      </c>
      <c r="C948" t="s">
        <v>523</v>
      </c>
      <c r="D948" t="s">
        <v>451</v>
      </c>
      <c r="E948" t="s">
        <v>524</v>
      </c>
      <c r="F948" t="s">
        <v>344</v>
      </c>
      <c r="I948" s="29">
        <v>9726509</v>
      </c>
      <c r="J948" t="s">
        <v>451</v>
      </c>
      <c r="L948" t="s">
        <v>36</v>
      </c>
      <c r="M948" t="str">
        <f>IFERROR(INDEX(Diccionario!$N:$N,MATCH(F107,Diccionario!$C:$C,0)),"")</f>
        <v>Mensual</v>
      </c>
    </row>
    <row r="949" spans="1:13" ht="12" customHeight="1" x14ac:dyDescent="0.3">
      <c r="A949" t="s">
        <v>554</v>
      </c>
      <c r="B949" t="s">
        <v>522</v>
      </c>
      <c r="C949" t="s">
        <v>523</v>
      </c>
      <c r="D949" t="s">
        <v>451</v>
      </c>
      <c r="E949" t="s">
        <v>524</v>
      </c>
      <c r="F949" t="s">
        <v>352</v>
      </c>
      <c r="I949" s="36">
        <v>37.9</v>
      </c>
      <c r="J949" t="s">
        <v>65</v>
      </c>
      <c r="K949" t="s">
        <v>557</v>
      </c>
      <c r="L949" t="s">
        <v>36</v>
      </c>
      <c r="M949" t="str">
        <f>IFERROR(INDEX(Diccionario!$N:$N,MATCH(F110,Diccionario!$C:$C,0)),"")</f>
        <v>Mensual</v>
      </c>
    </row>
    <row r="950" spans="1:13" ht="12" customHeight="1" x14ac:dyDescent="0.3">
      <c r="A950" t="s">
        <v>554</v>
      </c>
      <c r="B950" t="s">
        <v>522</v>
      </c>
      <c r="C950" t="s">
        <v>523</v>
      </c>
      <c r="D950" t="s">
        <v>451</v>
      </c>
      <c r="E950" t="s">
        <v>524</v>
      </c>
      <c r="F950" t="s">
        <v>276</v>
      </c>
      <c r="I950" s="29">
        <v>1097766089.6300001</v>
      </c>
      <c r="J950" t="s">
        <v>451</v>
      </c>
      <c r="L950" t="s">
        <v>36</v>
      </c>
      <c r="M950" t="str">
        <f>IFERROR(INDEX(Diccionario!$N:$N,MATCH(F106,Diccionario!$C:$C,0)),"")</f>
        <v>Mensual</v>
      </c>
    </row>
    <row r="951" spans="1:13" ht="12" customHeight="1" x14ac:dyDescent="0.3">
      <c r="A951" t="s">
        <v>554</v>
      </c>
      <c r="B951" t="s">
        <v>522</v>
      </c>
      <c r="C951" t="s">
        <v>523</v>
      </c>
      <c r="D951" t="s">
        <v>451</v>
      </c>
      <c r="E951" t="s">
        <v>524</v>
      </c>
      <c r="F951" t="s">
        <v>269</v>
      </c>
      <c r="I951" s="29">
        <v>1681540719.4300001</v>
      </c>
      <c r="J951" t="s">
        <v>451</v>
      </c>
      <c r="L951" t="s">
        <v>36</v>
      </c>
      <c r="M951" t="str">
        <f>IFERROR(INDEX(Diccionario!$N:$N,MATCH(F104,Diccionario!$C:$C,0)),"")</f>
        <v>Mensual</v>
      </c>
    </row>
    <row r="952" spans="1:13" ht="12" customHeight="1" x14ac:dyDescent="0.3">
      <c r="A952" t="s">
        <v>554</v>
      </c>
      <c r="B952" t="s">
        <v>522</v>
      </c>
      <c r="C952" t="s">
        <v>523</v>
      </c>
      <c r="D952" t="s">
        <v>451</v>
      </c>
      <c r="E952" t="s">
        <v>524</v>
      </c>
      <c r="F952" t="s">
        <v>273</v>
      </c>
      <c r="I952" s="29">
        <v>583774629.79999995</v>
      </c>
      <c r="J952" t="s">
        <v>451</v>
      </c>
      <c r="L952" t="s">
        <v>36</v>
      </c>
      <c r="M952" t="str">
        <f>IFERROR(INDEX(Diccionario!$N:$N,MATCH(F105,Diccionario!$C:$C,0)),"")</f>
        <v>Mensual</v>
      </c>
    </row>
    <row r="953" spans="1:13" ht="12" customHeight="1" x14ac:dyDescent="0.3">
      <c r="A953" t="s">
        <v>554</v>
      </c>
      <c r="B953" t="s">
        <v>522</v>
      </c>
      <c r="C953" t="s">
        <v>523</v>
      </c>
      <c r="E953" t="s">
        <v>524</v>
      </c>
      <c r="F953" t="s">
        <v>279</v>
      </c>
      <c r="H953" t="s">
        <v>586</v>
      </c>
      <c r="I953" s="36">
        <v>7</v>
      </c>
      <c r="J953" t="s">
        <v>65</v>
      </c>
      <c r="L953" t="s">
        <v>36</v>
      </c>
      <c r="M953" t="str">
        <f>IFERROR(INDEX(Diccionario!$N:$N,MATCH(F1213,Diccionario!$C:$C,0)),"")</f>
        <v/>
      </c>
    </row>
    <row r="954" spans="1:13" ht="12" customHeight="1" x14ac:dyDescent="0.3">
      <c r="A954" t="s">
        <v>554</v>
      </c>
      <c r="B954" t="s">
        <v>522</v>
      </c>
      <c r="C954" t="s">
        <v>523</v>
      </c>
      <c r="E954" t="s">
        <v>524</v>
      </c>
      <c r="F954" t="s">
        <v>279</v>
      </c>
      <c r="H954" t="s">
        <v>588</v>
      </c>
      <c r="I954" s="36">
        <v>6</v>
      </c>
      <c r="J954" t="s">
        <v>65</v>
      </c>
      <c r="L954" t="s">
        <v>36</v>
      </c>
      <c r="M954" t="str">
        <f>IFERROR(INDEX(Diccionario!$N:$N,MATCH(F1215,Diccionario!$C:$C,0)),"")</f>
        <v/>
      </c>
    </row>
    <row r="955" spans="1:13" ht="12" customHeight="1" x14ac:dyDescent="0.3">
      <c r="A955" t="s">
        <v>554</v>
      </c>
      <c r="B955" t="s">
        <v>522</v>
      </c>
      <c r="C955" t="s">
        <v>523</v>
      </c>
      <c r="E955" t="s">
        <v>524</v>
      </c>
      <c r="F955" t="s">
        <v>279</v>
      </c>
      <c r="H955" t="s">
        <v>591</v>
      </c>
      <c r="I955" s="36">
        <v>4</v>
      </c>
      <c r="J955" t="s">
        <v>65</v>
      </c>
      <c r="L955" t="s">
        <v>36</v>
      </c>
      <c r="M955" t="str">
        <f>IFERROR(INDEX(Diccionario!$N:$N,MATCH(F1218,Diccionario!$C:$C,0)),"")</f>
        <v/>
      </c>
    </row>
    <row r="956" spans="1:13" ht="12" customHeight="1" x14ac:dyDescent="0.3">
      <c r="A956" t="s">
        <v>554</v>
      </c>
      <c r="B956" t="s">
        <v>522</v>
      </c>
      <c r="C956" t="s">
        <v>523</v>
      </c>
      <c r="E956" t="s">
        <v>524</v>
      </c>
      <c r="F956" t="s">
        <v>279</v>
      </c>
      <c r="H956" t="s">
        <v>585</v>
      </c>
      <c r="I956" s="36">
        <v>11</v>
      </c>
      <c r="J956" t="s">
        <v>65</v>
      </c>
      <c r="L956" t="s">
        <v>36</v>
      </c>
      <c r="M956" t="str">
        <f>IFERROR(INDEX(Diccionario!$N:$N,MATCH(F1212,Diccionario!$C:$C,0)),"")</f>
        <v/>
      </c>
    </row>
    <row r="957" spans="1:13" ht="12" customHeight="1" x14ac:dyDescent="0.3">
      <c r="A957" t="s">
        <v>554</v>
      </c>
      <c r="B957" t="s">
        <v>522</v>
      </c>
      <c r="C957" t="s">
        <v>523</v>
      </c>
      <c r="E957" t="s">
        <v>524</v>
      </c>
      <c r="F957" t="s">
        <v>279</v>
      </c>
      <c r="H957" t="s">
        <v>589</v>
      </c>
      <c r="I957" s="36">
        <v>4</v>
      </c>
      <c r="J957" t="s">
        <v>65</v>
      </c>
      <c r="L957" t="s">
        <v>36</v>
      </c>
      <c r="M957" t="str">
        <f>IFERROR(INDEX(Diccionario!$N:$N,MATCH(F1216,Diccionario!$C:$C,0)),"")</f>
        <v/>
      </c>
    </row>
    <row r="958" spans="1:13" ht="12" customHeight="1" x14ac:dyDescent="0.3">
      <c r="A958" t="s">
        <v>554</v>
      </c>
      <c r="B958" t="s">
        <v>522</v>
      </c>
      <c r="C958" t="s">
        <v>523</v>
      </c>
      <c r="E958" t="s">
        <v>524</v>
      </c>
      <c r="F958" t="s">
        <v>279</v>
      </c>
      <c r="H958" t="s">
        <v>587</v>
      </c>
      <c r="I958" s="36">
        <v>5</v>
      </c>
      <c r="J958" t="s">
        <v>65</v>
      </c>
      <c r="L958" t="s">
        <v>36</v>
      </c>
      <c r="M958" t="str">
        <f>IFERROR(INDEX(Diccionario!$N:$N,MATCH(F1214,Diccionario!$C:$C,0)),"")</f>
        <v/>
      </c>
    </row>
    <row r="959" spans="1:13" ht="12" customHeight="1" x14ac:dyDescent="0.3">
      <c r="A959" t="s">
        <v>554</v>
      </c>
      <c r="B959" t="s">
        <v>522</v>
      </c>
      <c r="C959" t="s">
        <v>523</v>
      </c>
      <c r="E959" t="s">
        <v>524</v>
      </c>
      <c r="F959" t="s">
        <v>279</v>
      </c>
      <c r="H959" t="s">
        <v>590</v>
      </c>
      <c r="I959" s="36">
        <v>4</v>
      </c>
      <c r="J959" t="s">
        <v>65</v>
      </c>
      <c r="L959" t="s">
        <v>36</v>
      </c>
      <c r="M959" t="str">
        <f>IFERROR(INDEX(Diccionario!$N:$N,MATCH(F1217,Diccionario!$C:$C,0)),"")</f>
        <v/>
      </c>
    </row>
    <row r="960" spans="1:13" ht="12" customHeight="1" x14ac:dyDescent="0.3">
      <c r="A960" t="s">
        <v>554</v>
      </c>
      <c r="B960" t="s">
        <v>522</v>
      </c>
      <c r="C960" t="s">
        <v>523</v>
      </c>
      <c r="E960" t="s">
        <v>524</v>
      </c>
      <c r="F960" t="s">
        <v>279</v>
      </c>
      <c r="H960" t="s">
        <v>576</v>
      </c>
      <c r="I960" s="36">
        <v>59</v>
      </c>
      <c r="J960" t="s">
        <v>65</v>
      </c>
      <c r="L960" t="s">
        <v>36</v>
      </c>
      <c r="M960" t="str">
        <f>IFERROR(INDEX(Diccionario!$N:$N,MATCH(F1219,Diccionario!$C:$C,0)),"")</f>
        <v/>
      </c>
    </row>
    <row r="961" spans="1:13" ht="12" customHeight="1" x14ac:dyDescent="0.3">
      <c r="A961" t="s">
        <v>554</v>
      </c>
      <c r="B961" t="s">
        <v>522</v>
      </c>
      <c r="C961" t="s">
        <v>523</v>
      </c>
      <c r="D961" t="s">
        <v>451</v>
      </c>
      <c r="E961" t="s">
        <v>524</v>
      </c>
      <c r="F961" t="s">
        <v>255</v>
      </c>
      <c r="I961" s="29">
        <v>0</v>
      </c>
      <c r="J961" t="s">
        <v>451</v>
      </c>
      <c r="L961" t="s">
        <v>36</v>
      </c>
      <c r="M961" t="str">
        <f>IFERROR(INDEX(Diccionario!$N:$N,MATCH(F1151,Diccionario!$C:$C,0)),"")</f>
        <v/>
      </c>
    </row>
    <row r="962" spans="1:13" ht="12" customHeight="1" x14ac:dyDescent="0.3">
      <c r="A962" t="s">
        <v>554</v>
      </c>
      <c r="B962" t="s">
        <v>522</v>
      </c>
      <c r="C962" t="s">
        <v>523</v>
      </c>
      <c r="D962" t="s">
        <v>451</v>
      </c>
      <c r="E962" t="s">
        <v>524</v>
      </c>
      <c r="F962" t="s">
        <v>359</v>
      </c>
      <c r="I962" s="36">
        <v>17.100000000000001</v>
      </c>
      <c r="J962" t="s">
        <v>65</v>
      </c>
      <c r="K962" t="s">
        <v>559</v>
      </c>
      <c r="L962" t="s">
        <v>36</v>
      </c>
      <c r="M962" t="str">
        <f>IFERROR(INDEX(Diccionario!$N:$N,MATCH(F112,Diccionario!$C:$C,0)),"")</f>
        <v>Mensual</v>
      </c>
    </row>
    <row r="963" spans="1:13" ht="12" customHeight="1" x14ac:dyDescent="0.3">
      <c r="A963" t="s">
        <v>554</v>
      </c>
      <c r="B963" t="s">
        <v>522</v>
      </c>
      <c r="C963" t="s">
        <v>523</v>
      </c>
      <c r="D963" t="s">
        <v>451</v>
      </c>
      <c r="E963" t="s">
        <v>524</v>
      </c>
      <c r="F963" t="s">
        <v>252</v>
      </c>
      <c r="I963" s="29">
        <v>-43867662</v>
      </c>
      <c r="J963" t="s">
        <v>451</v>
      </c>
      <c r="L963" t="s">
        <v>36</v>
      </c>
      <c r="M963" t="str">
        <f>IFERROR(INDEX(Diccionario!$N:$N,MATCH(F1138,Diccionario!$C:$C,0)),"")</f>
        <v/>
      </c>
    </row>
    <row r="964" spans="1:13" ht="12" customHeight="1" x14ac:dyDescent="0.3">
      <c r="A964" t="s">
        <v>554</v>
      </c>
      <c r="B964" t="s">
        <v>522</v>
      </c>
      <c r="C964" t="s">
        <v>523</v>
      </c>
      <c r="D964" t="s">
        <v>451</v>
      </c>
      <c r="E964" t="s">
        <v>524</v>
      </c>
      <c r="F964" t="s">
        <v>314</v>
      </c>
      <c r="H964" t="s">
        <v>577</v>
      </c>
      <c r="I964" s="29">
        <v>0</v>
      </c>
      <c r="J964" t="s">
        <v>451</v>
      </c>
      <c r="L964" t="s">
        <v>36</v>
      </c>
      <c r="M964" t="str">
        <f>IFERROR(INDEX(Diccionario!$N:$N,MATCH(F712,Diccionario!$C:$C,0)),"")</f>
        <v>Mensual</v>
      </c>
    </row>
    <row r="965" spans="1:13" ht="12" customHeight="1" x14ac:dyDescent="0.3">
      <c r="A965" t="s">
        <v>554</v>
      </c>
      <c r="B965" t="s">
        <v>522</v>
      </c>
      <c r="C965" t="s">
        <v>523</v>
      </c>
      <c r="D965" t="s">
        <v>451</v>
      </c>
      <c r="E965" t="s">
        <v>524</v>
      </c>
      <c r="F965" t="s">
        <v>314</v>
      </c>
      <c r="H965" t="s">
        <v>578</v>
      </c>
      <c r="I965" s="29">
        <v>0</v>
      </c>
      <c r="J965" t="s">
        <v>451</v>
      </c>
      <c r="L965" t="s">
        <v>36</v>
      </c>
      <c r="M965" t="str">
        <f>IFERROR(INDEX(Diccionario!$N:$N,MATCH(F714,Diccionario!$C:$C,0)),"")</f>
        <v>Mensual</v>
      </c>
    </row>
    <row r="966" spans="1:13" ht="12" customHeight="1" x14ac:dyDescent="0.3">
      <c r="A966" t="s">
        <v>554</v>
      </c>
      <c r="B966" t="s">
        <v>522</v>
      </c>
      <c r="C966" t="s">
        <v>523</v>
      </c>
      <c r="D966" t="s">
        <v>451</v>
      </c>
      <c r="E966" t="s">
        <v>524</v>
      </c>
      <c r="F966" t="s">
        <v>314</v>
      </c>
      <c r="H966" t="s">
        <v>565</v>
      </c>
      <c r="I966" s="29">
        <v>92900000</v>
      </c>
      <c r="J966" t="s">
        <v>451</v>
      </c>
      <c r="L966" t="s">
        <v>36</v>
      </c>
      <c r="M966" t="str">
        <f>IFERROR(INDEX(Diccionario!$N:$N,MATCH(F711,Diccionario!$C:$C,0)),"")</f>
        <v>Mensual</v>
      </c>
    </row>
    <row r="967" spans="1:13" ht="12" customHeight="1" x14ac:dyDescent="0.3">
      <c r="A967" t="s">
        <v>554</v>
      </c>
      <c r="B967" t="s">
        <v>522</v>
      </c>
      <c r="C967" t="s">
        <v>523</v>
      </c>
      <c r="D967" t="s">
        <v>451</v>
      </c>
      <c r="E967" t="s">
        <v>524</v>
      </c>
      <c r="F967" t="s">
        <v>314</v>
      </c>
      <c r="H967" t="s">
        <v>569</v>
      </c>
      <c r="I967" s="29">
        <v>11200000</v>
      </c>
      <c r="J967" t="s">
        <v>451</v>
      </c>
      <c r="L967" t="s">
        <v>36</v>
      </c>
      <c r="M967" t="str">
        <f>IFERROR(INDEX(Diccionario!$N:$N,MATCH(F713,Diccionario!$C:$C,0)),"")</f>
        <v>Mensual</v>
      </c>
    </row>
    <row r="968" spans="1:13" ht="12" customHeight="1" x14ac:dyDescent="0.3">
      <c r="A968" t="s">
        <v>554</v>
      </c>
      <c r="B968" t="s">
        <v>522</v>
      </c>
      <c r="C968" t="s">
        <v>523</v>
      </c>
      <c r="D968" t="s">
        <v>451</v>
      </c>
      <c r="E968" t="s">
        <v>524</v>
      </c>
      <c r="F968" t="s">
        <v>314</v>
      </c>
      <c r="H968" t="s">
        <v>570</v>
      </c>
      <c r="I968" s="29">
        <v>16300000</v>
      </c>
      <c r="J968" t="s">
        <v>451</v>
      </c>
      <c r="L968" t="s">
        <v>36</v>
      </c>
      <c r="M968" t="str">
        <f>IFERROR(INDEX(Diccionario!$N:$N,MATCH(F715,Diccionario!$C:$C,0)),"")</f>
        <v>Mensual</v>
      </c>
    </row>
    <row r="969" spans="1:13" ht="12" customHeight="1" x14ac:dyDescent="0.3">
      <c r="A969" t="s">
        <v>554</v>
      </c>
      <c r="B969" t="s">
        <v>522</v>
      </c>
      <c r="C969" t="s">
        <v>523</v>
      </c>
      <c r="D969" t="s">
        <v>451</v>
      </c>
      <c r="E969" t="s">
        <v>524</v>
      </c>
      <c r="F969" t="s">
        <v>318</v>
      </c>
      <c r="H969" t="s">
        <v>574</v>
      </c>
      <c r="I969" s="29">
        <v>34300000</v>
      </c>
      <c r="J969" t="s">
        <v>451</v>
      </c>
      <c r="L969" t="s">
        <v>36</v>
      </c>
      <c r="M969" t="str">
        <f>IFERROR(INDEX(Diccionario!$N:$N,MATCH(F593,Diccionario!$C:$C,0)),"")</f>
        <v>Mensual</v>
      </c>
    </row>
    <row r="970" spans="1:13" ht="12" customHeight="1" x14ac:dyDescent="0.3">
      <c r="A970" t="s">
        <v>554</v>
      </c>
      <c r="B970" t="s">
        <v>522</v>
      </c>
      <c r="C970" t="s">
        <v>523</v>
      </c>
      <c r="D970" t="s">
        <v>451</v>
      </c>
      <c r="E970" t="s">
        <v>524</v>
      </c>
      <c r="F970" t="s">
        <v>318</v>
      </c>
      <c r="H970" t="s">
        <v>575</v>
      </c>
      <c r="I970" s="29">
        <v>21500000</v>
      </c>
      <c r="J970" t="s">
        <v>451</v>
      </c>
      <c r="L970" t="s">
        <v>36</v>
      </c>
      <c r="M970" t="str">
        <f>IFERROR(INDEX(Diccionario!$N:$N,MATCH(F594,Diccionario!$C:$C,0)),"")</f>
        <v>Mensual</v>
      </c>
    </row>
    <row r="971" spans="1:13" ht="12" customHeight="1" x14ac:dyDescent="0.3">
      <c r="A971" t="s">
        <v>554</v>
      </c>
      <c r="B971" t="s">
        <v>522</v>
      </c>
      <c r="C971" t="s">
        <v>523</v>
      </c>
      <c r="D971" t="s">
        <v>451</v>
      </c>
      <c r="E971" t="s">
        <v>524</v>
      </c>
      <c r="F971" t="s">
        <v>318</v>
      </c>
      <c r="H971" t="s">
        <v>573</v>
      </c>
      <c r="I971" s="29">
        <v>0</v>
      </c>
      <c r="J971" t="s">
        <v>451</v>
      </c>
      <c r="L971" t="s">
        <v>36</v>
      </c>
      <c r="M971" t="str">
        <f>IFERROR(INDEX(Diccionario!$N:$N,MATCH(F592,Diccionario!$C:$C,0)),"")</f>
        <v>Mensual</v>
      </c>
    </row>
    <row r="972" spans="1:13" ht="12" customHeight="1" x14ac:dyDescent="0.3">
      <c r="A972" t="s">
        <v>554</v>
      </c>
      <c r="B972" t="s">
        <v>522</v>
      </c>
      <c r="C972" t="s">
        <v>523</v>
      </c>
      <c r="D972" t="s">
        <v>451</v>
      </c>
      <c r="E972" t="s">
        <v>524</v>
      </c>
      <c r="F972" t="s">
        <v>318</v>
      </c>
      <c r="H972" t="s">
        <v>572</v>
      </c>
      <c r="I972" s="29">
        <v>112300000</v>
      </c>
      <c r="J972" t="s">
        <v>451</v>
      </c>
      <c r="L972" t="s">
        <v>36</v>
      </c>
      <c r="M972" t="str">
        <f>IFERROR(INDEX(Diccionario!$N:$N,MATCH(F591,Diccionario!$C:$C,0)),"")</f>
        <v>Mensual</v>
      </c>
    </row>
    <row r="973" spans="1:13" ht="12" customHeight="1" x14ac:dyDescent="0.3">
      <c r="A973" t="s">
        <v>554</v>
      </c>
      <c r="B973" t="s">
        <v>522</v>
      </c>
      <c r="C973" t="s">
        <v>523</v>
      </c>
      <c r="D973" t="s">
        <v>451</v>
      </c>
      <c r="E973" t="s">
        <v>524</v>
      </c>
      <c r="F973" t="s">
        <v>318</v>
      </c>
      <c r="H973" t="s">
        <v>576</v>
      </c>
      <c r="I973" s="29">
        <v>18300000</v>
      </c>
      <c r="J973" t="s">
        <v>451</v>
      </c>
      <c r="L973" t="s">
        <v>36</v>
      </c>
      <c r="M973" t="str">
        <f>IFERROR(INDEX(Diccionario!$N:$N,MATCH(F595,Diccionario!$C:$C,0)),"")</f>
        <v>Mensual</v>
      </c>
    </row>
    <row r="974" spans="1:13" ht="12" customHeight="1" x14ac:dyDescent="0.3">
      <c r="A974" t="s">
        <v>554</v>
      </c>
      <c r="B974" t="s">
        <v>522</v>
      </c>
      <c r="C974" t="s">
        <v>523</v>
      </c>
      <c r="E974" t="s">
        <v>524</v>
      </c>
      <c r="F974" t="s">
        <v>323</v>
      </c>
      <c r="I974" s="36">
        <v>22.96</v>
      </c>
      <c r="J974" t="s">
        <v>65</v>
      </c>
      <c r="L974" t="s">
        <v>36</v>
      </c>
      <c r="M974" t="str">
        <f>IFERROR(INDEX(Diccionario!$N:$N,MATCH(F1025,Diccionario!$C:$C,0)),"")</f>
        <v>Mensual</v>
      </c>
    </row>
    <row r="975" spans="1:13" ht="12" customHeight="1" x14ac:dyDescent="0.3">
      <c r="A975" t="s">
        <v>554</v>
      </c>
      <c r="B975" t="s">
        <v>522</v>
      </c>
      <c r="C975" t="s">
        <v>523</v>
      </c>
      <c r="D975" t="s">
        <v>451</v>
      </c>
      <c r="E975" t="s">
        <v>524</v>
      </c>
      <c r="F975" t="s">
        <v>290</v>
      </c>
      <c r="I975" s="38">
        <v>71</v>
      </c>
      <c r="J975" t="s">
        <v>293</v>
      </c>
      <c r="K975" t="s">
        <v>556</v>
      </c>
      <c r="L975" t="s">
        <v>36</v>
      </c>
      <c r="M975" t="str">
        <f>IFERROR(INDEX(Diccionario!$N:$N,MATCH(F108,Diccionario!$C:$C,0)),"")</f>
        <v>Mensual</v>
      </c>
    </row>
    <row r="976" spans="1:13" ht="12" customHeight="1" x14ac:dyDescent="0.3">
      <c r="A976" t="s">
        <v>554</v>
      </c>
      <c r="B976" t="s">
        <v>522</v>
      </c>
      <c r="C976" t="s">
        <v>523</v>
      </c>
      <c r="D976" t="s">
        <v>451</v>
      </c>
      <c r="E976" t="s">
        <v>524</v>
      </c>
      <c r="F976" t="s">
        <v>246</v>
      </c>
      <c r="I976" s="29">
        <v>10796596</v>
      </c>
      <c r="J976" t="s">
        <v>451</v>
      </c>
      <c r="L976" t="s">
        <v>36</v>
      </c>
      <c r="M976" t="str">
        <f>IFERROR(INDEX(Diccionario!$N:$N,MATCH(F1125,Diccionario!$C:$C,0)),"")</f>
        <v/>
      </c>
    </row>
    <row r="977" spans="1:13" ht="12" customHeight="1" x14ac:dyDescent="0.3">
      <c r="A977" t="s">
        <v>554</v>
      </c>
      <c r="B977" t="s">
        <v>522</v>
      </c>
      <c r="C977" t="s">
        <v>523</v>
      </c>
      <c r="D977" t="s">
        <v>451</v>
      </c>
      <c r="E977" t="s">
        <v>524</v>
      </c>
      <c r="F977" t="s">
        <v>309</v>
      </c>
      <c r="H977" t="s">
        <v>567</v>
      </c>
      <c r="I977" s="29">
        <v>10100000</v>
      </c>
      <c r="J977" t="s">
        <v>451</v>
      </c>
      <c r="L977" t="s">
        <v>36</v>
      </c>
      <c r="M977" t="str">
        <f>IFERROR(INDEX(Diccionario!$N:$N,MATCH(F451,Diccionario!$C:$C,0)),"")</f>
        <v>Mensual</v>
      </c>
    </row>
    <row r="978" spans="1:13" ht="12" customHeight="1" x14ac:dyDescent="0.3">
      <c r="A978" t="s">
        <v>554</v>
      </c>
      <c r="B978" t="s">
        <v>522</v>
      </c>
      <c r="C978" t="s">
        <v>523</v>
      </c>
      <c r="D978" t="s">
        <v>451</v>
      </c>
      <c r="E978" t="s">
        <v>524</v>
      </c>
      <c r="F978" t="s">
        <v>309</v>
      </c>
      <c r="H978" t="s">
        <v>571</v>
      </c>
      <c r="I978" s="29">
        <v>14100000</v>
      </c>
      <c r="J978" t="s">
        <v>451</v>
      </c>
      <c r="L978" t="s">
        <v>36</v>
      </c>
      <c r="M978" t="str">
        <f>IFERROR(INDEX(Diccionario!$N:$N,MATCH(F455,Diccionario!$C:$C,0)),"")</f>
        <v>Mensual</v>
      </c>
    </row>
    <row r="979" spans="1:13" ht="12" customHeight="1" x14ac:dyDescent="0.3">
      <c r="A979" t="s">
        <v>554</v>
      </c>
      <c r="B979" t="s">
        <v>522</v>
      </c>
      <c r="C979" t="s">
        <v>523</v>
      </c>
      <c r="D979" t="s">
        <v>451</v>
      </c>
      <c r="E979" t="s">
        <v>524</v>
      </c>
      <c r="F979" t="s">
        <v>309</v>
      </c>
      <c r="H979" t="s">
        <v>566</v>
      </c>
      <c r="I979" s="29">
        <v>17100000</v>
      </c>
      <c r="J979" t="s">
        <v>451</v>
      </c>
      <c r="L979" t="s">
        <v>36</v>
      </c>
      <c r="M979" t="str">
        <f>IFERROR(INDEX(Diccionario!$N:$N,MATCH(F450,Diccionario!$C:$C,0)),"")</f>
        <v>Mensual</v>
      </c>
    </row>
    <row r="980" spans="1:13" ht="12" customHeight="1" x14ac:dyDescent="0.3">
      <c r="A980" t="s">
        <v>554</v>
      </c>
      <c r="B980" t="s">
        <v>522</v>
      </c>
      <c r="C980" t="s">
        <v>523</v>
      </c>
      <c r="D980" t="s">
        <v>451</v>
      </c>
      <c r="E980" t="s">
        <v>524</v>
      </c>
      <c r="F980" t="s">
        <v>309</v>
      </c>
      <c r="H980" t="s">
        <v>565</v>
      </c>
      <c r="I980" s="29">
        <v>62300000</v>
      </c>
      <c r="J980" t="s">
        <v>451</v>
      </c>
      <c r="L980" t="s">
        <v>36</v>
      </c>
      <c r="M980" t="str">
        <f>IFERROR(INDEX(Diccionario!$N:$N,MATCH(F449,Diccionario!$C:$C,0)),"")</f>
        <v>Mensual</v>
      </c>
    </row>
    <row r="981" spans="1:13" ht="12" customHeight="1" x14ac:dyDescent="0.3">
      <c r="A981" t="s">
        <v>554</v>
      </c>
      <c r="B981" t="s">
        <v>522</v>
      </c>
      <c r="C981" t="s">
        <v>523</v>
      </c>
      <c r="D981" t="s">
        <v>451</v>
      </c>
      <c r="E981" t="s">
        <v>524</v>
      </c>
      <c r="F981" t="s">
        <v>309</v>
      </c>
      <c r="H981" t="s">
        <v>568</v>
      </c>
      <c r="I981" s="29">
        <v>900000</v>
      </c>
      <c r="J981" t="s">
        <v>451</v>
      </c>
      <c r="L981" t="s">
        <v>36</v>
      </c>
      <c r="M981" t="str">
        <f>IFERROR(INDEX(Diccionario!$N:$N,MATCH(F452,Diccionario!$C:$C,0)),"")</f>
        <v>Mensual</v>
      </c>
    </row>
    <row r="982" spans="1:13" ht="12" customHeight="1" x14ac:dyDescent="0.3">
      <c r="A982" t="s">
        <v>554</v>
      </c>
      <c r="B982" t="s">
        <v>522</v>
      </c>
      <c r="C982" t="s">
        <v>523</v>
      </c>
      <c r="D982" t="s">
        <v>451</v>
      </c>
      <c r="E982" t="s">
        <v>524</v>
      </c>
      <c r="F982" t="s">
        <v>309</v>
      </c>
      <c r="H982" t="s">
        <v>569</v>
      </c>
      <c r="I982" s="29">
        <v>6600000</v>
      </c>
      <c r="J982" t="s">
        <v>451</v>
      </c>
      <c r="L982" t="s">
        <v>36</v>
      </c>
      <c r="M982" t="str">
        <f>IFERROR(INDEX(Diccionario!$N:$N,MATCH(F453,Diccionario!$C:$C,0)),"")</f>
        <v>Mensual</v>
      </c>
    </row>
    <row r="983" spans="1:13" ht="12" customHeight="1" x14ac:dyDescent="0.3">
      <c r="A983" t="s">
        <v>554</v>
      </c>
      <c r="B983" t="s">
        <v>522</v>
      </c>
      <c r="C983" t="s">
        <v>523</v>
      </c>
      <c r="D983" t="s">
        <v>451</v>
      </c>
      <c r="E983" t="s">
        <v>524</v>
      </c>
      <c r="F983" t="s">
        <v>309</v>
      </c>
      <c r="H983" t="s">
        <v>570</v>
      </c>
      <c r="I983" s="29">
        <v>5200000</v>
      </c>
      <c r="J983" t="s">
        <v>451</v>
      </c>
      <c r="L983" t="s">
        <v>36</v>
      </c>
      <c r="M983" t="str">
        <f>IFERROR(INDEX(Diccionario!$N:$N,MATCH(F454,Diccionario!$C:$C,0)),"")</f>
        <v>Mensual</v>
      </c>
    </row>
    <row r="984" spans="1:13" ht="12" customHeight="1" x14ac:dyDescent="0.3">
      <c r="A984" t="s">
        <v>554</v>
      </c>
      <c r="B984" t="s">
        <v>522</v>
      </c>
      <c r="C984" t="s">
        <v>523</v>
      </c>
      <c r="D984" t="s">
        <v>451</v>
      </c>
      <c r="E984" t="s">
        <v>524</v>
      </c>
      <c r="F984" t="s">
        <v>304</v>
      </c>
      <c r="H984" t="s">
        <v>564</v>
      </c>
      <c r="I984" s="29">
        <v>116800000</v>
      </c>
      <c r="J984" t="s">
        <v>451</v>
      </c>
      <c r="L984" t="s">
        <v>36</v>
      </c>
      <c r="M984" t="str">
        <f>IFERROR(INDEX(Diccionario!$N:$N,MATCH(F253,Diccionario!$C:$C,0)),"")</f>
        <v>Mensual</v>
      </c>
    </row>
    <row r="985" spans="1:13" ht="12" customHeight="1" x14ac:dyDescent="0.3">
      <c r="A985" t="s">
        <v>554</v>
      </c>
      <c r="B985" t="s">
        <v>522</v>
      </c>
      <c r="C985" t="s">
        <v>523</v>
      </c>
      <c r="D985" t="s">
        <v>451</v>
      </c>
      <c r="E985" t="s">
        <v>524</v>
      </c>
      <c r="F985" t="s">
        <v>304</v>
      </c>
      <c r="H985" t="s">
        <v>190</v>
      </c>
      <c r="I985" s="29">
        <v>120200000</v>
      </c>
      <c r="J985" t="s">
        <v>451</v>
      </c>
      <c r="L985" t="s">
        <v>36</v>
      </c>
      <c r="M985" t="str">
        <f>IFERROR(INDEX(Diccionario!$N:$N,MATCH(F252,Diccionario!$C:$C,0)),"")</f>
        <v>Mensual</v>
      </c>
    </row>
    <row r="986" spans="1:13" ht="12" customHeight="1" x14ac:dyDescent="0.3">
      <c r="A986" t="s">
        <v>554</v>
      </c>
      <c r="B986" t="s">
        <v>522</v>
      </c>
      <c r="C986" t="s">
        <v>523</v>
      </c>
      <c r="D986" t="s">
        <v>451</v>
      </c>
      <c r="E986" t="s">
        <v>524</v>
      </c>
      <c r="F986" t="s">
        <v>304</v>
      </c>
      <c r="H986" t="s">
        <v>561</v>
      </c>
      <c r="I986" s="29">
        <v>6000000</v>
      </c>
      <c r="J986" t="s">
        <v>451</v>
      </c>
      <c r="L986" t="s">
        <v>36</v>
      </c>
      <c r="M986" t="str">
        <f>IFERROR(INDEX(Diccionario!$N:$N,MATCH(F249,Diccionario!$C:$C,0)),"")</f>
        <v>Mensual</v>
      </c>
    </row>
    <row r="987" spans="1:13" ht="12" customHeight="1" x14ac:dyDescent="0.3">
      <c r="A987" t="s">
        <v>554</v>
      </c>
      <c r="B987" t="s">
        <v>522</v>
      </c>
      <c r="C987" t="s">
        <v>523</v>
      </c>
      <c r="D987" t="s">
        <v>451</v>
      </c>
      <c r="E987" t="s">
        <v>524</v>
      </c>
      <c r="F987" t="s">
        <v>304</v>
      </c>
      <c r="H987" t="s">
        <v>563</v>
      </c>
      <c r="I987" s="29">
        <v>186500000</v>
      </c>
      <c r="J987" t="s">
        <v>451</v>
      </c>
      <c r="L987" t="s">
        <v>36</v>
      </c>
      <c r="M987" t="str">
        <f>IFERROR(INDEX(Diccionario!$N:$N,MATCH(F251,Diccionario!$C:$C,0)),"")</f>
        <v>Mensual</v>
      </c>
    </row>
    <row r="988" spans="1:13" ht="12" customHeight="1" x14ac:dyDescent="0.3">
      <c r="A988" t="s">
        <v>554</v>
      </c>
      <c r="B988" t="s">
        <v>522</v>
      </c>
      <c r="C988" t="s">
        <v>523</v>
      </c>
      <c r="D988" t="s">
        <v>451</v>
      </c>
      <c r="E988" t="s">
        <v>524</v>
      </c>
      <c r="F988" t="s">
        <v>304</v>
      </c>
      <c r="H988" t="s">
        <v>562</v>
      </c>
      <c r="I988" s="29">
        <v>289900000</v>
      </c>
      <c r="J988" t="s">
        <v>451</v>
      </c>
      <c r="L988" t="s">
        <v>36</v>
      </c>
      <c r="M988" t="str">
        <f>IFERROR(INDEX(Diccionario!$N:$N,MATCH(F250,Diccionario!$C:$C,0)),"")</f>
        <v>Mensual</v>
      </c>
    </row>
    <row r="989" spans="1:13" ht="12" customHeight="1" x14ac:dyDescent="0.3">
      <c r="A989" t="s">
        <v>554</v>
      </c>
      <c r="B989" t="s">
        <v>522</v>
      </c>
      <c r="C989" t="s">
        <v>523</v>
      </c>
      <c r="D989" t="s">
        <v>451</v>
      </c>
      <c r="E989" t="s">
        <v>524</v>
      </c>
      <c r="F989" t="s">
        <v>377</v>
      </c>
      <c r="H989" t="s">
        <v>571</v>
      </c>
      <c r="I989" s="29">
        <v>11600000</v>
      </c>
      <c r="J989" t="s">
        <v>451</v>
      </c>
      <c r="L989" t="s">
        <v>36</v>
      </c>
      <c r="M989" t="str">
        <f>IFERROR(INDEX(Diccionario!$N:$N,MATCH(F1000,Diccionario!$C:$C,0)),"")</f>
        <v>Mensual</v>
      </c>
    </row>
    <row r="990" spans="1:13" ht="12" customHeight="1" x14ac:dyDescent="0.3">
      <c r="A990" t="s">
        <v>554</v>
      </c>
      <c r="B990" t="s">
        <v>522</v>
      </c>
      <c r="C990" t="s">
        <v>523</v>
      </c>
      <c r="D990" t="s">
        <v>451</v>
      </c>
      <c r="E990" t="s">
        <v>524</v>
      </c>
      <c r="F990" t="s">
        <v>377</v>
      </c>
      <c r="H990" t="s">
        <v>577</v>
      </c>
      <c r="I990" s="29">
        <v>30600000</v>
      </c>
      <c r="J990" t="s">
        <v>451</v>
      </c>
      <c r="L990" t="s">
        <v>36</v>
      </c>
      <c r="M990" t="str">
        <f>IFERROR(INDEX(Diccionario!$N:$N,MATCH(F996,Diccionario!$C:$C,0)),"")</f>
        <v>Mensual</v>
      </c>
    </row>
    <row r="991" spans="1:13" ht="12" customHeight="1" x14ac:dyDescent="0.3">
      <c r="A991" t="s">
        <v>554</v>
      </c>
      <c r="B991" t="s">
        <v>522</v>
      </c>
      <c r="C991" t="s">
        <v>523</v>
      </c>
      <c r="D991" t="s">
        <v>451</v>
      </c>
      <c r="E991" t="s">
        <v>524</v>
      </c>
      <c r="F991" t="s">
        <v>377</v>
      </c>
      <c r="H991" t="s">
        <v>565</v>
      </c>
      <c r="I991" s="29">
        <v>54300000</v>
      </c>
      <c r="J991" t="s">
        <v>451</v>
      </c>
      <c r="L991" t="s">
        <v>36</v>
      </c>
      <c r="M991" t="str">
        <f>IFERROR(INDEX(Diccionario!$N:$N,MATCH(F995,Diccionario!$C:$C,0)),"")</f>
        <v>Mensual</v>
      </c>
    </row>
    <row r="992" spans="1:13" ht="12" customHeight="1" x14ac:dyDescent="0.3">
      <c r="A992" t="s">
        <v>554</v>
      </c>
      <c r="B992" t="s">
        <v>522</v>
      </c>
      <c r="C992" t="s">
        <v>523</v>
      </c>
      <c r="D992" t="s">
        <v>451</v>
      </c>
      <c r="E992" t="s">
        <v>524</v>
      </c>
      <c r="F992" t="s">
        <v>377</v>
      </c>
      <c r="H992" t="s">
        <v>568</v>
      </c>
      <c r="I992" s="29">
        <v>2100000</v>
      </c>
      <c r="J992" t="s">
        <v>451</v>
      </c>
      <c r="L992" t="s">
        <v>36</v>
      </c>
      <c r="M992" t="str">
        <f>IFERROR(INDEX(Diccionario!$N:$N,MATCH(F997,Diccionario!$C:$C,0)),"")</f>
        <v>Mensual</v>
      </c>
    </row>
    <row r="993" spans="1:13" ht="12" customHeight="1" x14ac:dyDescent="0.3">
      <c r="A993" t="s">
        <v>554</v>
      </c>
      <c r="B993" t="s">
        <v>522</v>
      </c>
      <c r="C993" t="s">
        <v>523</v>
      </c>
      <c r="D993" t="s">
        <v>451</v>
      </c>
      <c r="E993" t="s">
        <v>524</v>
      </c>
      <c r="F993" t="s">
        <v>377</v>
      </c>
      <c r="H993" t="s">
        <v>569</v>
      </c>
      <c r="I993" s="29">
        <v>12200000</v>
      </c>
      <c r="J993" t="s">
        <v>451</v>
      </c>
      <c r="L993" t="s">
        <v>36</v>
      </c>
      <c r="M993" t="str">
        <f>IFERROR(INDEX(Diccionario!$N:$N,MATCH(F998,Diccionario!$C:$C,0)),"")</f>
        <v>Mensual</v>
      </c>
    </row>
    <row r="994" spans="1:13" ht="12" customHeight="1" x14ac:dyDescent="0.3">
      <c r="A994" t="s">
        <v>554</v>
      </c>
      <c r="B994" t="s">
        <v>522</v>
      </c>
      <c r="C994" t="s">
        <v>523</v>
      </c>
      <c r="D994" t="s">
        <v>451</v>
      </c>
      <c r="E994" t="s">
        <v>524</v>
      </c>
      <c r="F994" t="s">
        <v>377</v>
      </c>
      <c r="H994" t="s">
        <v>570</v>
      </c>
      <c r="I994" s="29">
        <v>9100000</v>
      </c>
      <c r="J994" t="s">
        <v>451</v>
      </c>
      <c r="L994" t="s">
        <v>36</v>
      </c>
      <c r="M994" t="str">
        <f>IFERROR(INDEX(Diccionario!$N:$N,MATCH(F999,Diccionario!$C:$C,0)),"")</f>
        <v>Mensual</v>
      </c>
    </row>
    <row r="995" spans="1:13" ht="12" customHeight="1" x14ac:dyDescent="0.3">
      <c r="A995" t="s">
        <v>554</v>
      </c>
      <c r="B995" t="s">
        <v>522</v>
      </c>
      <c r="C995" t="s">
        <v>523</v>
      </c>
      <c r="D995" t="s">
        <v>451</v>
      </c>
      <c r="E995" t="s">
        <v>524</v>
      </c>
      <c r="F995" t="s">
        <v>371</v>
      </c>
      <c r="H995" t="s">
        <v>566</v>
      </c>
      <c r="I995" s="29">
        <v>7000000</v>
      </c>
      <c r="J995" t="s">
        <v>451</v>
      </c>
      <c r="L995" t="s">
        <v>36</v>
      </c>
      <c r="M995" t="str">
        <f>IFERROR(INDEX(Diccionario!$N:$N,MATCH(F825,Diccionario!$C:$C,0)),"")</f>
        <v>Mensual</v>
      </c>
    </row>
    <row r="996" spans="1:13" ht="12" customHeight="1" x14ac:dyDescent="0.3">
      <c r="A996" t="s">
        <v>554</v>
      </c>
      <c r="B996" t="s">
        <v>522</v>
      </c>
      <c r="C996" t="s">
        <v>523</v>
      </c>
      <c r="D996" t="s">
        <v>451</v>
      </c>
      <c r="E996" t="s">
        <v>524</v>
      </c>
      <c r="F996" t="s">
        <v>371</v>
      </c>
      <c r="H996" t="s">
        <v>565</v>
      </c>
      <c r="I996" s="29">
        <v>157900000</v>
      </c>
      <c r="J996" t="s">
        <v>451</v>
      </c>
      <c r="L996" t="s">
        <v>36</v>
      </c>
      <c r="M996" t="str">
        <f>IFERROR(INDEX(Diccionario!$N:$N,MATCH(F824,Diccionario!$C:$C,0)),"")</f>
        <v>Mensual</v>
      </c>
    </row>
    <row r="997" spans="1:13" ht="12" customHeight="1" x14ac:dyDescent="0.3">
      <c r="A997" t="s">
        <v>554</v>
      </c>
      <c r="B997" t="s">
        <v>522</v>
      </c>
      <c r="C997" t="s">
        <v>523</v>
      </c>
      <c r="D997" t="s">
        <v>451</v>
      </c>
      <c r="E997" t="s">
        <v>524</v>
      </c>
      <c r="F997" t="s">
        <v>371</v>
      </c>
      <c r="H997" t="s">
        <v>569</v>
      </c>
      <c r="I997" s="29">
        <v>3800000</v>
      </c>
      <c r="J997" t="s">
        <v>451</v>
      </c>
      <c r="L997" t="s">
        <v>36</v>
      </c>
      <c r="M997" t="str">
        <f>IFERROR(INDEX(Diccionario!$N:$N,MATCH(F826,Diccionario!$C:$C,0)),"")</f>
        <v>Mensual</v>
      </c>
    </row>
    <row r="998" spans="1:13" ht="12" customHeight="1" x14ac:dyDescent="0.3">
      <c r="A998" t="s">
        <v>554</v>
      </c>
      <c r="B998" t="s">
        <v>522</v>
      </c>
      <c r="C998" t="s">
        <v>523</v>
      </c>
      <c r="D998" t="s">
        <v>451</v>
      </c>
      <c r="E998" t="s">
        <v>524</v>
      </c>
      <c r="F998" t="s">
        <v>371</v>
      </c>
      <c r="H998" t="s">
        <v>570</v>
      </c>
      <c r="I998" s="29">
        <v>0</v>
      </c>
      <c r="J998" t="s">
        <v>451</v>
      </c>
      <c r="L998" t="s">
        <v>36</v>
      </c>
      <c r="M998" t="str">
        <f>IFERROR(INDEX(Diccionario!$N:$N,MATCH(F827,Diccionario!$C:$C,0)),"")</f>
        <v>Mensual</v>
      </c>
    </row>
    <row r="999" spans="1:13" ht="12" customHeight="1" x14ac:dyDescent="0.3">
      <c r="A999" t="s">
        <v>554</v>
      </c>
      <c r="B999" t="s">
        <v>522</v>
      </c>
      <c r="C999" t="s">
        <v>523</v>
      </c>
      <c r="D999" t="s">
        <v>451</v>
      </c>
      <c r="E999" t="s">
        <v>524</v>
      </c>
      <c r="F999" t="s">
        <v>348</v>
      </c>
      <c r="I999" s="36">
        <v>10.5</v>
      </c>
      <c r="J999" t="s">
        <v>65</v>
      </c>
      <c r="K999" t="s">
        <v>557</v>
      </c>
      <c r="L999" t="s">
        <v>36</v>
      </c>
      <c r="M999" t="str">
        <f>IFERROR(INDEX(Diccionario!$N:$N,MATCH(F109,Diccionario!$C:$C,0)),"")</f>
        <v>Mensual</v>
      </c>
    </row>
    <row r="1000" spans="1:13" ht="12" customHeight="1" x14ac:dyDescent="0.3">
      <c r="A1000" t="s">
        <v>554</v>
      </c>
      <c r="B1000" t="s">
        <v>522</v>
      </c>
      <c r="C1000" t="s">
        <v>523</v>
      </c>
      <c r="D1000" t="s">
        <v>451</v>
      </c>
      <c r="E1000" t="s">
        <v>524</v>
      </c>
      <c r="F1000" t="s">
        <v>241</v>
      </c>
      <c r="I1000" s="29">
        <v>57840476</v>
      </c>
      <c r="J1000" t="s">
        <v>451</v>
      </c>
      <c r="L1000" t="s">
        <v>36</v>
      </c>
      <c r="M1000" t="str">
        <f>IFERROR(INDEX(Diccionario!$N:$N,MATCH(F1109,Diccionario!$C:$C,0)),"")</f>
        <v/>
      </c>
    </row>
    <row r="1001" spans="1:13" ht="12" customHeight="1" x14ac:dyDescent="0.3">
      <c r="A1001" t="s">
        <v>554</v>
      </c>
      <c r="B1001" t="s">
        <v>522</v>
      </c>
      <c r="C1001" t="s">
        <v>523</v>
      </c>
      <c r="D1001" t="s">
        <v>451</v>
      </c>
      <c r="E1001" t="s">
        <v>524</v>
      </c>
      <c r="F1001" t="s">
        <v>258</v>
      </c>
      <c r="I1001" s="29">
        <v>638091793</v>
      </c>
      <c r="J1001" t="s">
        <v>451</v>
      </c>
      <c r="L1001" t="s">
        <v>36</v>
      </c>
      <c r="M1001" t="str">
        <f>IFERROR(INDEX(Diccionario!$N:$N,MATCH(F1096,Diccionario!$C:$C,0)),"")</f>
        <v/>
      </c>
    </row>
    <row r="1002" spans="1:13" ht="12" customHeight="1" x14ac:dyDescent="0.3">
      <c r="A1002" t="s">
        <v>554</v>
      </c>
      <c r="B1002" t="s">
        <v>522</v>
      </c>
      <c r="C1002" t="s">
        <v>523</v>
      </c>
      <c r="E1002" t="s">
        <v>524</v>
      </c>
      <c r="F1002" t="s">
        <v>326</v>
      </c>
      <c r="H1002" t="s">
        <v>601</v>
      </c>
      <c r="I1002" s="36">
        <v>18.829999999999998</v>
      </c>
      <c r="J1002" t="s">
        <v>65</v>
      </c>
      <c r="L1002" t="s">
        <v>36</v>
      </c>
      <c r="M1002" t="str">
        <f>IFERROR(INDEX(Diccionario!$N:$N,MATCH(F1235,Diccionario!$C:$C,0)),"")</f>
        <v/>
      </c>
    </row>
    <row r="1003" spans="1:13" ht="12" customHeight="1" x14ac:dyDescent="0.3">
      <c r="A1003" t="s">
        <v>554</v>
      </c>
      <c r="B1003" t="s">
        <v>522</v>
      </c>
      <c r="C1003" t="s">
        <v>523</v>
      </c>
      <c r="E1003" t="s">
        <v>524</v>
      </c>
      <c r="F1003" t="s">
        <v>326</v>
      </c>
      <c r="H1003" t="s">
        <v>190</v>
      </c>
      <c r="I1003" s="36">
        <v>20.12</v>
      </c>
      <c r="J1003" t="s">
        <v>65</v>
      </c>
      <c r="L1003" t="s">
        <v>36</v>
      </c>
      <c r="M1003" t="str">
        <f>IFERROR(INDEX(Diccionario!$N:$N,MATCH(F1234,Diccionario!$C:$C,0)),"")</f>
        <v/>
      </c>
    </row>
    <row r="1004" spans="1:13" ht="12" customHeight="1" x14ac:dyDescent="0.3">
      <c r="A1004" t="s">
        <v>554</v>
      </c>
      <c r="B1004" t="s">
        <v>522</v>
      </c>
      <c r="C1004" t="s">
        <v>523</v>
      </c>
      <c r="E1004" t="s">
        <v>524</v>
      </c>
      <c r="F1004" t="s">
        <v>326</v>
      </c>
      <c r="H1004" t="s">
        <v>599</v>
      </c>
      <c r="I1004" s="36">
        <v>39.049999999999997</v>
      </c>
      <c r="J1004" t="s">
        <v>65</v>
      </c>
      <c r="L1004" t="s">
        <v>36</v>
      </c>
      <c r="M1004" t="str">
        <f>IFERROR(INDEX(Diccionario!$N:$N,MATCH(F1232,Diccionario!$C:$C,0)),"")</f>
        <v/>
      </c>
    </row>
    <row r="1005" spans="1:13" ht="12" customHeight="1" x14ac:dyDescent="0.3">
      <c r="A1005" t="s">
        <v>554</v>
      </c>
      <c r="B1005" t="s">
        <v>522</v>
      </c>
      <c r="C1005" t="s">
        <v>523</v>
      </c>
      <c r="E1005" t="s">
        <v>524</v>
      </c>
      <c r="F1005" t="s">
        <v>326</v>
      </c>
      <c r="H1005" t="s">
        <v>600</v>
      </c>
      <c r="I1005" s="36">
        <v>22</v>
      </c>
      <c r="J1005" t="s">
        <v>65</v>
      </c>
      <c r="L1005" t="s">
        <v>36</v>
      </c>
      <c r="M1005" t="str">
        <f>IFERROR(INDEX(Diccionario!$N:$N,MATCH(F1233,Diccionario!$C:$C,0)),"")</f>
        <v/>
      </c>
    </row>
    <row r="1006" spans="1:13" ht="12" customHeight="1" x14ac:dyDescent="0.3">
      <c r="A1006" t="s">
        <v>554</v>
      </c>
      <c r="B1006" t="s">
        <v>522</v>
      </c>
      <c r="C1006" t="s">
        <v>523</v>
      </c>
      <c r="D1006" t="s">
        <v>451</v>
      </c>
      <c r="E1006" t="s">
        <v>524</v>
      </c>
      <c r="F1006" t="s">
        <v>363</v>
      </c>
      <c r="I1006" s="36">
        <v>0.57999999999999996</v>
      </c>
      <c r="J1006" t="s">
        <v>65</v>
      </c>
      <c r="K1006" t="s">
        <v>560</v>
      </c>
      <c r="L1006" t="s">
        <v>36</v>
      </c>
      <c r="M1006" t="str">
        <f>IFERROR(INDEX(Diccionario!$N:$N,MATCH(F113,Diccionario!$C:$C,0)),"")</f>
        <v>Mensual</v>
      </c>
    </row>
    <row r="1007" spans="1:13" x14ac:dyDescent="0.3">
      <c r="A1007" t="s">
        <v>603</v>
      </c>
      <c r="B1007" t="s">
        <v>522</v>
      </c>
      <c r="C1007" t="s">
        <v>523</v>
      </c>
      <c r="D1007" t="s">
        <v>451</v>
      </c>
      <c r="E1007" t="s">
        <v>524</v>
      </c>
      <c r="F1007" t="s">
        <v>355</v>
      </c>
      <c r="I1007" s="36">
        <v>46.47</v>
      </c>
      <c r="J1007" t="s">
        <v>65</v>
      </c>
      <c r="K1007" t="s">
        <v>643</v>
      </c>
      <c r="L1007" t="s">
        <v>36</v>
      </c>
      <c r="M1007" t="s">
        <v>24</v>
      </c>
    </row>
    <row r="1008" spans="1:13" x14ac:dyDescent="0.3">
      <c r="A1008" t="s">
        <v>603</v>
      </c>
      <c r="B1008" t="s">
        <v>522</v>
      </c>
      <c r="C1008" t="s">
        <v>523</v>
      </c>
      <c r="D1008" t="s">
        <v>451</v>
      </c>
      <c r="E1008" t="s">
        <v>524</v>
      </c>
      <c r="F1008" t="s">
        <v>344</v>
      </c>
      <c r="I1008" s="29">
        <v>61936947</v>
      </c>
      <c r="J1008" t="s">
        <v>451</v>
      </c>
      <c r="K1008" t="s">
        <v>640</v>
      </c>
      <c r="L1008" t="s">
        <v>36</v>
      </c>
      <c r="M1008" t="s">
        <v>24</v>
      </c>
    </row>
    <row r="1009" spans="1:13" x14ac:dyDescent="0.3">
      <c r="A1009" t="s">
        <v>603</v>
      </c>
      <c r="B1009" t="s">
        <v>522</v>
      </c>
      <c r="C1009" t="s">
        <v>523</v>
      </c>
      <c r="D1009" t="s">
        <v>451</v>
      </c>
      <c r="E1009" t="s">
        <v>524</v>
      </c>
      <c r="F1009" t="s">
        <v>352</v>
      </c>
      <c r="I1009" s="36">
        <v>20.3</v>
      </c>
      <c r="J1009" t="s">
        <v>65</v>
      </c>
      <c r="K1009" t="s">
        <v>642</v>
      </c>
      <c r="L1009" t="s">
        <v>36</v>
      </c>
      <c r="M1009" t="s">
        <v>24</v>
      </c>
    </row>
    <row r="1010" spans="1:13" x14ac:dyDescent="0.3">
      <c r="A1010" t="s">
        <v>603</v>
      </c>
      <c r="B1010" t="s">
        <v>522</v>
      </c>
      <c r="C1010" t="s">
        <v>523</v>
      </c>
      <c r="D1010" t="s">
        <v>451</v>
      </c>
      <c r="E1010" t="s">
        <v>524</v>
      </c>
      <c r="F1010" t="s">
        <v>276</v>
      </c>
      <c r="I1010" s="29">
        <v>1503241757.0999999</v>
      </c>
      <c r="J1010" t="s">
        <v>451</v>
      </c>
      <c r="K1010" t="s">
        <v>640</v>
      </c>
      <c r="L1010" t="s">
        <v>36</v>
      </c>
      <c r="M1010" t="s">
        <v>24</v>
      </c>
    </row>
    <row r="1011" spans="1:13" x14ac:dyDescent="0.3">
      <c r="A1011" t="s">
        <v>603</v>
      </c>
      <c r="B1011" t="s">
        <v>522</v>
      </c>
      <c r="C1011" t="s">
        <v>523</v>
      </c>
      <c r="D1011" t="s">
        <v>451</v>
      </c>
      <c r="E1011" t="s">
        <v>524</v>
      </c>
      <c r="F1011" t="s">
        <v>269</v>
      </c>
      <c r="I1011" s="29">
        <v>1799431102</v>
      </c>
      <c r="J1011" t="s">
        <v>451</v>
      </c>
      <c r="K1011" t="s">
        <v>639</v>
      </c>
      <c r="L1011" t="s">
        <v>36</v>
      </c>
      <c r="M1011" t="s">
        <v>24</v>
      </c>
    </row>
    <row r="1012" spans="1:13" x14ac:dyDescent="0.3">
      <c r="A1012" t="s">
        <v>603</v>
      </c>
      <c r="B1012" t="s">
        <v>522</v>
      </c>
      <c r="C1012" t="s">
        <v>523</v>
      </c>
      <c r="D1012" t="s">
        <v>451</v>
      </c>
      <c r="E1012" t="s">
        <v>524</v>
      </c>
      <c r="F1012" t="s">
        <v>273</v>
      </c>
      <c r="I1012" s="29">
        <v>579012623.10000002</v>
      </c>
      <c r="J1012" t="s">
        <v>451</v>
      </c>
      <c r="K1012" t="s">
        <v>640</v>
      </c>
      <c r="L1012" t="s">
        <v>36</v>
      </c>
      <c r="M1012" t="s">
        <v>24</v>
      </c>
    </row>
    <row r="1013" spans="1:13" x14ac:dyDescent="0.3">
      <c r="A1013" t="s">
        <v>603</v>
      </c>
      <c r="B1013" t="s">
        <v>522</v>
      </c>
      <c r="C1013" t="s">
        <v>523</v>
      </c>
      <c r="E1013" t="s">
        <v>524</v>
      </c>
      <c r="F1013" t="s">
        <v>279</v>
      </c>
      <c r="H1013" t="s">
        <v>646</v>
      </c>
      <c r="I1013" s="36">
        <v>17</v>
      </c>
      <c r="J1013" t="s">
        <v>65</v>
      </c>
      <c r="K1013" t="s">
        <v>640</v>
      </c>
      <c r="L1013" t="s">
        <v>36</v>
      </c>
      <c r="M1013" t="s">
        <v>24</v>
      </c>
    </row>
    <row r="1014" spans="1:13" x14ac:dyDescent="0.3">
      <c r="A1014" t="s">
        <v>603</v>
      </c>
      <c r="B1014" t="s">
        <v>522</v>
      </c>
      <c r="C1014" t="s">
        <v>523</v>
      </c>
      <c r="E1014" t="s">
        <v>524</v>
      </c>
      <c r="F1014" t="s">
        <v>279</v>
      </c>
      <c r="H1014" t="s">
        <v>650</v>
      </c>
      <c r="I1014" s="36">
        <v>4.8</v>
      </c>
      <c r="J1014" t="s">
        <v>65</v>
      </c>
      <c r="K1014" t="s">
        <v>640</v>
      </c>
      <c r="L1014" t="s">
        <v>36</v>
      </c>
      <c r="M1014" t="s">
        <v>24</v>
      </c>
    </row>
    <row r="1015" spans="1:13" x14ac:dyDescent="0.3">
      <c r="A1015" t="s">
        <v>603</v>
      </c>
      <c r="B1015" t="s">
        <v>522</v>
      </c>
      <c r="C1015" t="s">
        <v>523</v>
      </c>
      <c r="E1015" t="s">
        <v>524</v>
      </c>
      <c r="F1015" t="s">
        <v>279</v>
      </c>
      <c r="H1015" t="s">
        <v>587</v>
      </c>
      <c r="I1015" s="36">
        <v>4.9000000000000004</v>
      </c>
      <c r="J1015" t="s">
        <v>65</v>
      </c>
      <c r="K1015" t="s">
        <v>640</v>
      </c>
      <c r="L1015" t="s">
        <v>36</v>
      </c>
      <c r="M1015" t="s">
        <v>24</v>
      </c>
    </row>
    <row r="1016" spans="1:13" x14ac:dyDescent="0.3">
      <c r="A1016" t="s">
        <v>603</v>
      </c>
      <c r="B1016" t="s">
        <v>522</v>
      </c>
      <c r="C1016" t="s">
        <v>523</v>
      </c>
      <c r="E1016" t="s">
        <v>524</v>
      </c>
      <c r="F1016" t="s">
        <v>279</v>
      </c>
      <c r="H1016" t="s">
        <v>576</v>
      </c>
      <c r="I1016" s="36">
        <v>53.5</v>
      </c>
      <c r="J1016" t="s">
        <v>65</v>
      </c>
      <c r="K1016" t="s">
        <v>640</v>
      </c>
      <c r="L1016" t="s">
        <v>36</v>
      </c>
      <c r="M1016" t="s">
        <v>24</v>
      </c>
    </row>
    <row r="1017" spans="1:13" x14ac:dyDescent="0.3">
      <c r="A1017" t="s">
        <v>603</v>
      </c>
      <c r="B1017" t="s">
        <v>522</v>
      </c>
      <c r="C1017" t="s">
        <v>523</v>
      </c>
      <c r="E1017" t="s">
        <v>524</v>
      </c>
      <c r="F1017" t="s">
        <v>279</v>
      </c>
      <c r="H1017" t="s">
        <v>647</v>
      </c>
      <c r="I1017" s="36">
        <v>9.6</v>
      </c>
      <c r="J1017" t="s">
        <v>65</v>
      </c>
      <c r="K1017" t="s">
        <v>640</v>
      </c>
      <c r="L1017" t="s">
        <v>36</v>
      </c>
      <c r="M1017" t="s">
        <v>24</v>
      </c>
    </row>
    <row r="1018" spans="1:13" x14ac:dyDescent="0.3">
      <c r="A1018" t="s">
        <v>603</v>
      </c>
      <c r="B1018" t="s">
        <v>522</v>
      </c>
      <c r="C1018" t="s">
        <v>523</v>
      </c>
      <c r="E1018" t="s">
        <v>524</v>
      </c>
      <c r="F1018" t="s">
        <v>279</v>
      </c>
      <c r="H1018" t="s">
        <v>648</v>
      </c>
      <c r="I1018" s="36">
        <v>5.3</v>
      </c>
      <c r="J1018" t="s">
        <v>65</v>
      </c>
      <c r="K1018" t="s">
        <v>640</v>
      </c>
      <c r="L1018" t="s">
        <v>36</v>
      </c>
      <c r="M1018" t="s">
        <v>24</v>
      </c>
    </row>
    <row r="1019" spans="1:13" x14ac:dyDescent="0.3">
      <c r="A1019" t="s">
        <v>603</v>
      </c>
      <c r="B1019" t="s">
        <v>522</v>
      </c>
      <c r="C1019" t="s">
        <v>523</v>
      </c>
      <c r="E1019" t="s">
        <v>524</v>
      </c>
      <c r="F1019" t="s">
        <v>279</v>
      </c>
      <c r="H1019" t="s">
        <v>649</v>
      </c>
      <c r="I1019" s="36">
        <v>4.9000000000000004</v>
      </c>
      <c r="J1019" t="s">
        <v>65</v>
      </c>
      <c r="K1019" t="s">
        <v>640</v>
      </c>
      <c r="L1019" t="s">
        <v>36</v>
      </c>
      <c r="M1019" t="s">
        <v>24</v>
      </c>
    </row>
    <row r="1020" spans="1:13" x14ac:dyDescent="0.3">
      <c r="A1020" t="s">
        <v>603</v>
      </c>
      <c r="B1020" t="s">
        <v>522</v>
      </c>
      <c r="C1020" t="s">
        <v>523</v>
      </c>
      <c r="D1020" t="s">
        <v>451</v>
      </c>
      <c r="E1020" t="s">
        <v>524</v>
      </c>
      <c r="F1020" t="s">
        <v>359</v>
      </c>
      <c r="I1020" s="36">
        <v>17.100000000000001</v>
      </c>
      <c r="J1020" t="s">
        <v>65</v>
      </c>
      <c r="K1020" t="s">
        <v>644</v>
      </c>
      <c r="L1020" t="s">
        <v>36</v>
      </c>
      <c r="M1020" t="s">
        <v>24</v>
      </c>
    </row>
    <row r="1021" spans="1:13" x14ac:dyDescent="0.3">
      <c r="A1021" t="s">
        <v>603</v>
      </c>
      <c r="B1021" t="s">
        <v>522</v>
      </c>
      <c r="C1021" t="s">
        <v>523</v>
      </c>
      <c r="D1021" t="s">
        <v>451</v>
      </c>
      <c r="E1021" t="s">
        <v>524</v>
      </c>
      <c r="F1021" t="s">
        <v>290</v>
      </c>
      <c r="I1021" s="38">
        <v>70.760000000000005</v>
      </c>
      <c r="J1021" t="s">
        <v>293</v>
      </c>
      <c r="K1021" t="s">
        <v>641</v>
      </c>
      <c r="L1021" t="s">
        <v>36</v>
      </c>
      <c r="M1021" t="s">
        <v>24</v>
      </c>
    </row>
    <row r="1022" spans="1:13" x14ac:dyDescent="0.3">
      <c r="A1022" t="s">
        <v>603</v>
      </c>
      <c r="B1022" t="s">
        <v>522</v>
      </c>
      <c r="C1022" t="s">
        <v>523</v>
      </c>
      <c r="D1022" t="s">
        <v>451</v>
      </c>
      <c r="E1022" t="s">
        <v>524</v>
      </c>
      <c r="F1022" t="s">
        <v>309</v>
      </c>
      <c r="H1022" t="s">
        <v>567</v>
      </c>
      <c r="I1022" s="29">
        <v>10000000</v>
      </c>
      <c r="J1022" t="s">
        <v>451</v>
      </c>
      <c r="L1022" t="s">
        <v>36</v>
      </c>
      <c r="M1022" t="s">
        <v>24</v>
      </c>
    </row>
    <row r="1023" spans="1:13" x14ac:dyDescent="0.3">
      <c r="A1023" t="s">
        <v>603</v>
      </c>
      <c r="B1023" t="s">
        <v>522</v>
      </c>
      <c r="C1023" t="s">
        <v>523</v>
      </c>
      <c r="D1023" t="s">
        <v>451</v>
      </c>
      <c r="E1023" t="s">
        <v>524</v>
      </c>
      <c r="F1023" t="s">
        <v>309</v>
      </c>
      <c r="H1023" t="s">
        <v>566</v>
      </c>
      <c r="I1023" s="29">
        <v>19500000</v>
      </c>
      <c r="J1023" t="s">
        <v>451</v>
      </c>
      <c r="L1023" t="s">
        <v>36</v>
      </c>
      <c r="M1023" t="s">
        <v>24</v>
      </c>
    </row>
    <row r="1024" spans="1:13" x14ac:dyDescent="0.3">
      <c r="A1024" t="s">
        <v>603</v>
      </c>
      <c r="B1024" t="s">
        <v>522</v>
      </c>
      <c r="C1024" t="s">
        <v>523</v>
      </c>
      <c r="D1024" t="s">
        <v>451</v>
      </c>
      <c r="E1024" t="s">
        <v>524</v>
      </c>
      <c r="F1024" t="s">
        <v>309</v>
      </c>
      <c r="H1024" t="s">
        <v>565</v>
      </c>
      <c r="I1024" s="29">
        <v>57300000</v>
      </c>
      <c r="J1024" t="s">
        <v>451</v>
      </c>
      <c r="L1024" t="s">
        <v>36</v>
      </c>
      <c r="M1024" t="s">
        <v>24</v>
      </c>
    </row>
    <row r="1025" spans="1:13" x14ac:dyDescent="0.3">
      <c r="A1025" t="s">
        <v>603</v>
      </c>
      <c r="B1025" t="s">
        <v>522</v>
      </c>
      <c r="C1025" t="s">
        <v>523</v>
      </c>
      <c r="D1025" t="s">
        <v>451</v>
      </c>
      <c r="E1025" t="s">
        <v>524</v>
      </c>
      <c r="F1025" t="s">
        <v>309</v>
      </c>
      <c r="H1025" t="s">
        <v>568</v>
      </c>
      <c r="I1025" s="29">
        <v>900000</v>
      </c>
      <c r="J1025" t="s">
        <v>451</v>
      </c>
      <c r="L1025" t="s">
        <v>36</v>
      </c>
      <c r="M1025" t="s">
        <v>24</v>
      </c>
    </row>
    <row r="1026" spans="1:13" x14ac:dyDescent="0.3">
      <c r="A1026" t="s">
        <v>603</v>
      </c>
      <c r="B1026" t="s">
        <v>522</v>
      </c>
      <c r="C1026" t="s">
        <v>523</v>
      </c>
      <c r="D1026" t="s">
        <v>451</v>
      </c>
      <c r="E1026" t="s">
        <v>524</v>
      </c>
      <c r="F1026" t="s">
        <v>309</v>
      </c>
      <c r="H1026" t="s">
        <v>569</v>
      </c>
      <c r="I1026" s="29">
        <v>3400000</v>
      </c>
      <c r="J1026" t="s">
        <v>451</v>
      </c>
      <c r="L1026" t="s">
        <v>36</v>
      </c>
      <c r="M1026" t="s">
        <v>24</v>
      </c>
    </row>
    <row r="1027" spans="1:13" x14ac:dyDescent="0.3">
      <c r="A1027" t="s">
        <v>603</v>
      </c>
      <c r="B1027" t="s">
        <v>522</v>
      </c>
      <c r="C1027" t="s">
        <v>523</v>
      </c>
      <c r="D1027" t="s">
        <v>451</v>
      </c>
      <c r="E1027" t="s">
        <v>524</v>
      </c>
      <c r="F1027" t="s">
        <v>309</v>
      </c>
      <c r="H1027" t="s">
        <v>570</v>
      </c>
      <c r="I1027" s="29">
        <v>80000</v>
      </c>
      <c r="J1027" t="s">
        <v>451</v>
      </c>
      <c r="L1027" t="s">
        <v>36</v>
      </c>
      <c r="M1027" t="s">
        <v>24</v>
      </c>
    </row>
    <row r="1028" spans="1:13" x14ac:dyDescent="0.3">
      <c r="A1028" t="s">
        <v>603</v>
      </c>
      <c r="B1028" t="s">
        <v>522</v>
      </c>
      <c r="C1028" t="s">
        <v>523</v>
      </c>
      <c r="D1028" t="s">
        <v>451</v>
      </c>
      <c r="E1028" t="s">
        <v>524</v>
      </c>
      <c r="F1028" t="s">
        <v>304</v>
      </c>
      <c r="H1028" t="s">
        <v>564</v>
      </c>
      <c r="I1028" s="29">
        <v>112200000</v>
      </c>
      <c r="J1028" t="s">
        <v>451</v>
      </c>
      <c r="L1028" t="s">
        <v>36</v>
      </c>
      <c r="M1028" t="s">
        <v>24</v>
      </c>
    </row>
    <row r="1029" spans="1:13" x14ac:dyDescent="0.3">
      <c r="A1029" t="s">
        <v>603</v>
      </c>
      <c r="B1029" t="s">
        <v>522</v>
      </c>
      <c r="C1029" t="s">
        <v>523</v>
      </c>
      <c r="D1029" t="s">
        <v>451</v>
      </c>
      <c r="E1029" t="s">
        <v>524</v>
      </c>
      <c r="F1029" t="s">
        <v>304</v>
      </c>
      <c r="H1029" t="s">
        <v>190</v>
      </c>
      <c r="I1029" s="29">
        <v>146800000</v>
      </c>
      <c r="J1029" t="s">
        <v>451</v>
      </c>
      <c r="L1029" t="s">
        <v>36</v>
      </c>
      <c r="M1029" t="s">
        <v>24</v>
      </c>
    </row>
    <row r="1030" spans="1:13" x14ac:dyDescent="0.3">
      <c r="A1030" t="s">
        <v>603</v>
      </c>
      <c r="B1030" t="s">
        <v>522</v>
      </c>
      <c r="C1030" t="s">
        <v>523</v>
      </c>
      <c r="D1030" t="s">
        <v>451</v>
      </c>
      <c r="E1030" t="s">
        <v>524</v>
      </c>
      <c r="F1030" t="s">
        <v>304</v>
      </c>
      <c r="H1030" t="s">
        <v>561</v>
      </c>
      <c r="I1030" s="29">
        <v>5500000</v>
      </c>
      <c r="J1030" t="s">
        <v>451</v>
      </c>
      <c r="L1030" t="s">
        <v>36</v>
      </c>
      <c r="M1030" t="s">
        <v>24</v>
      </c>
    </row>
    <row r="1031" spans="1:13" x14ac:dyDescent="0.3">
      <c r="A1031" t="s">
        <v>603</v>
      </c>
      <c r="B1031" t="s">
        <v>522</v>
      </c>
      <c r="C1031" t="s">
        <v>523</v>
      </c>
      <c r="D1031" t="s">
        <v>451</v>
      </c>
      <c r="E1031" t="s">
        <v>524</v>
      </c>
      <c r="F1031" t="s">
        <v>304</v>
      </c>
      <c r="H1031" t="s">
        <v>563</v>
      </c>
      <c r="I1031" s="29">
        <v>188500000</v>
      </c>
      <c r="J1031" t="s">
        <v>451</v>
      </c>
      <c r="L1031" t="s">
        <v>36</v>
      </c>
      <c r="M1031" t="s">
        <v>24</v>
      </c>
    </row>
    <row r="1032" spans="1:13" x14ac:dyDescent="0.3">
      <c r="A1032" t="s">
        <v>603</v>
      </c>
      <c r="B1032" t="s">
        <v>522</v>
      </c>
      <c r="C1032" t="s">
        <v>523</v>
      </c>
      <c r="D1032" t="s">
        <v>451</v>
      </c>
      <c r="E1032" t="s">
        <v>524</v>
      </c>
      <c r="F1032" t="s">
        <v>304</v>
      </c>
      <c r="H1032" t="s">
        <v>562</v>
      </c>
      <c r="I1032" s="29">
        <v>268800000</v>
      </c>
      <c r="J1032" t="s">
        <v>451</v>
      </c>
      <c r="L1032" t="s">
        <v>36</v>
      </c>
      <c r="M1032" t="s">
        <v>24</v>
      </c>
    </row>
    <row r="1033" spans="1:13" x14ac:dyDescent="0.3">
      <c r="A1033" t="s">
        <v>603</v>
      </c>
      <c r="B1033" t="s">
        <v>522</v>
      </c>
      <c r="C1033" t="s">
        <v>523</v>
      </c>
      <c r="D1033" t="s">
        <v>451</v>
      </c>
      <c r="E1033" t="s">
        <v>524</v>
      </c>
      <c r="F1033" t="s">
        <v>348</v>
      </c>
      <c r="I1033" s="36">
        <v>27.81</v>
      </c>
      <c r="J1033" t="s">
        <v>65</v>
      </c>
      <c r="K1033" t="s">
        <v>642</v>
      </c>
      <c r="L1033" t="s">
        <v>36</v>
      </c>
      <c r="M1033" t="s">
        <v>24</v>
      </c>
    </row>
    <row r="1034" spans="1:13" x14ac:dyDescent="0.3">
      <c r="A1034" t="s">
        <v>603</v>
      </c>
      <c r="B1034" t="s">
        <v>522</v>
      </c>
      <c r="C1034" t="s">
        <v>523</v>
      </c>
      <c r="D1034" t="s">
        <v>451</v>
      </c>
      <c r="E1034" t="s">
        <v>524</v>
      </c>
      <c r="F1034" t="s">
        <v>363</v>
      </c>
      <c r="I1034" s="36">
        <v>0.25</v>
      </c>
      <c r="J1034" t="s">
        <v>65</v>
      </c>
      <c r="K1034" t="s">
        <v>645</v>
      </c>
      <c r="L1034" t="s">
        <v>36</v>
      </c>
      <c r="M1034" t="s">
        <v>24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6"/>
  <sheetViews>
    <sheetView workbookViewId="0"/>
  </sheetViews>
  <sheetFormatPr defaultColWidth="8.6640625" defaultRowHeight="14.4" x14ac:dyDescent="0.3"/>
  <cols>
    <col min="1" max="1" width="9" customWidth="1"/>
    <col min="2" max="2" width="12" customWidth="1"/>
    <col min="3" max="3" width="14" customWidth="1"/>
    <col min="4" max="4" width="7" customWidth="1"/>
    <col min="5" max="5" width="9" customWidth="1"/>
    <col min="6" max="6" width="26" customWidth="1"/>
    <col min="7" max="7" width="12" customWidth="1"/>
    <col min="8" max="8" width="20" customWidth="1"/>
    <col min="9" max="9" width="16" customWidth="1"/>
    <col min="10" max="10" width="9" customWidth="1"/>
    <col min="11" max="11" width="30" customWidth="1"/>
    <col min="12" max="12" width="14" customWidth="1"/>
    <col min="13" max="13" width="11" customWidth="1"/>
  </cols>
  <sheetData>
    <row r="1" spans="1:13" ht="12.9" customHeight="1" x14ac:dyDescent="0.3">
      <c r="A1" s="37" t="s">
        <v>732</v>
      </c>
    </row>
    <row r="2" spans="1:13" ht="12" customHeight="1" x14ac:dyDescent="0.3">
      <c r="A2" s="28" t="s">
        <v>733</v>
      </c>
    </row>
    <row r="4" spans="1:13" ht="12" customHeight="1" x14ac:dyDescent="0.3">
      <c r="A4" s="35" t="s">
        <v>17</v>
      </c>
      <c r="B4" s="35" t="s">
        <v>27</v>
      </c>
      <c r="C4" s="35" t="s">
        <v>32</v>
      </c>
      <c r="D4" s="35" t="s">
        <v>38</v>
      </c>
      <c r="E4" s="35" t="s">
        <v>44</v>
      </c>
      <c r="F4" s="35" t="s">
        <v>513</v>
      </c>
      <c r="G4" s="35" t="s">
        <v>514</v>
      </c>
      <c r="H4" s="35" t="s">
        <v>515</v>
      </c>
      <c r="I4" s="35" t="s">
        <v>516</v>
      </c>
      <c r="J4" s="35" t="s">
        <v>517</v>
      </c>
      <c r="K4" s="35" t="s">
        <v>518</v>
      </c>
      <c r="L4" s="35" t="s">
        <v>520</v>
      </c>
      <c r="M4" s="35" t="s">
        <v>15</v>
      </c>
    </row>
    <row r="5" spans="1:13" ht="12" customHeight="1" x14ac:dyDescent="0.3">
      <c r="A5" t="s">
        <v>554</v>
      </c>
      <c r="B5" t="s">
        <v>522</v>
      </c>
      <c r="C5" t="s">
        <v>523</v>
      </c>
      <c r="D5" t="s">
        <v>451</v>
      </c>
      <c r="E5" t="s">
        <v>524</v>
      </c>
      <c r="F5" t="s">
        <v>112</v>
      </c>
      <c r="I5" s="29">
        <v>3706946282</v>
      </c>
      <c r="J5" t="s">
        <v>451</v>
      </c>
      <c r="K5" t="s">
        <v>555</v>
      </c>
      <c r="L5" t="s">
        <v>35</v>
      </c>
      <c r="M5" t="str">
        <f>IFERROR(INDEX(Diccionario!$N:$N,MATCH(F103,Diccionario!$C:$C,0)),"")</f>
        <v/>
      </c>
    </row>
    <row r="6" spans="1:13" x14ac:dyDescent="0.3">
      <c r="A6" t="s">
        <v>603</v>
      </c>
      <c r="B6" t="s">
        <v>522</v>
      </c>
      <c r="C6" t="s">
        <v>523</v>
      </c>
      <c r="D6" t="s">
        <v>451</v>
      </c>
      <c r="E6" t="s">
        <v>524</v>
      </c>
      <c r="F6" t="s">
        <v>112</v>
      </c>
      <c r="I6" s="29">
        <v>4480477715</v>
      </c>
      <c r="J6" t="s">
        <v>451</v>
      </c>
      <c r="K6" t="s">
        <v>555</v>
      </c>
      <c r="L6" t="s">
        <v>35</v>
      </c>
      <c r="M6" t="s">
        <v>24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64"/>
  <sheetViews>
    <sheetView topLeftCell="F1" workbookViewId="0"/>
  </sheetViews>
  <sheetFormatPr defaultColWidth="8.6640625" defaultRowHeight="14.4" x14ac:dyDescent="0.3"/>
  <cols>
    <col min="1" max="1" width="9" customWidth="1"/>
    <col min="2" max="2" width="12" customWidth="1"/>
    <col min="3" max="3" width="14" customWidth="1"/>
    <col min="4" max="4" width="7" customWidth="1"/>
    <col min="5" max="5" width="9" customWidth="1"/>
    <col min="6" max="6" width="26" customWidth="1"/>
    <col min="7" max="7" width="12" customWidth="1"/>
    <col min="8" max="8" width="20" customWidth="1"/>
    <col min="9" max="9" width="16" customWidth="1"/>
    <col min="10" max="10" width="9" customWidth="1"/>
    <col min="11" max="11" width="30" customWidth="1"/>
    <col min="12" max="12" width="14" customWidth="1"/>
    <col min="13" max="13" width="11" customWidth="1"/>
  </cols>
  <sheetData>
    <row r="1" spans="1:13" ht="12.9" customHeight="1" x14ac:dyDescent="0.3">
      <c r="A1" s="37" t="s">
        <v>734</v>
      </c>
    </row>
    <row r="2" spans="1:13" ht="12" customHeight="1" x14ac:dyDescent="0.3">
      <c r="A2" s="28" t="s">
        <v>735</v>
      </c>
    </row>
    <row r="4" spans="1:13" ht="12" customHeight="1" x14ac:dyDescent="0.3">
      <c r="A4" s="35" t="s">
        <v>17</v>
      </c>
      <c r="B4" s="35" t="s">
        <v>27</v>
      </c>
      <c r="C4" s="35" t="s">
        <v>32</v>
      </c>
      <c r="D4" s="35" t="s">
        <v>38</v>
      </c>
      <c r="E4" s="35" t="s">
        <v>44</v>
      </c>
      <c r="F4" s="35" t="s">
        <v>513</v>
      </c>
      <c r="G4" s="35" t="s">
        <v>514</v>
      </c>
      <c r="H4" s="35" t="s">
        <v>515</v>
      </c>
      <c r="I4" s="35" t="s">
        <v>516</v>
      </c>
      <c r="J4" s="35" t="s">
        <v>517</v>
      </c>
      <c r="K4" s="35" t="s">
        <v>518</v>
      </c>
      <c r="L4" s="35" t="s">
        <v>520</v>
      </c>
      <c r="M4" s="35" t="s">
        <v>15</v>
      </c>
    </row>
    <row r="5" spans="1:13" ht="12" customHeight="1" x14ac:dyDescent="0.3">
      <c r="A5" t="s">
        <v>541</v>
      </c>
      <c r="B5" t="s">
        <v>522</v>
      </c>
      <c r="C5" t="s">
        <v>523</v>
      </c>
      <c r="E5" t="s">
        <v>524</v>
      </c>
      <c r="F5" t="s">
        <v>382</v>
      </c>
      <c r="H5" t="s">
        <v>582</v>
      </c>
      <c r="I5" s="36">
        <v>33.9</v>
      </c>
      <c r="J5" t="s">
        <v>65</v>
      </c>
      <c r="L5" t="s">
        <v>190</v>
      </c>
      <c r="M5" t="str">
        <f>IFERROR(INDEX(Diccionario!$N:$N,MATCH(F1173,Diccionario!$C:$C,0)),"")</f>
        <v/>
      </c>
    </row>
    <row r="6" spans="1:13" ht="12" customHeight="1" x14ac:dyDescent="0.3">
      <c r="A6" t="s">
        <v>541</v>
      </c>
      <c r="B6" t="s">
        <v>522</v>
      </c>
      <c r="C6" t="s">
        <v>523</v>
      </c>
      <c r="E6" t="s">
        <v>524</v>
      </c>
      <c r="F6" t="s">
        <v>382</v>
      </c>
      <c r="H6" t="s">
        <v>583</v>
      </c>
      <c r="I6" s="36">
        <v>51.53</v>
      </c>
      <c r="J6" t="s">
        <v>65</v>
      </c>
      <c r="L6" t="s">
        <v>190</v>
      </c>
      <c r="M6" t="str">
        <f>IFERROR(INDEX(Diccionario!$N:$N,MATCH(F1186,Diccionario!$C:$C,0)),"")</f>
        <v/>
      </c>
    </row>
    <row r="7" spans="1:13" ht="12" customHeight="1" x14ac:dyDescent="0.3">
      <c r="A7" t="s">
        <v>541</v>
      </c>
      <c r="B7" t="s">
        <v>522</v>
      </c>
      <c r="C7" t="s">
        <v>523</v>
      </c>
      <c r="E7" t="s">
        <v>524</v>
      </c>
      <c r="F7" t="s">
        <v>382</v>
      </c>
      <c r="H7" t="s">
        <v>584</v>
      </c>
      <c r="I7" s="36">
        <v>14.57</v>
      </c>
      <c r="J7" t="s">
        <v>65</v>
      </c>
      <c r="L7" t="s">
        <v>190</v>
      </c>
      <c r="M7" t="str">
        <f>IFERROR(INDEX(Diccionario!$N:$N,MATCH(F1199,Diccionario!$C:$C,0)),"")</f>
        <v/>
      </c>
    </row>
    <row r="8" spans="1:13" ht="12" customHeight="1" x14ac:dyDescent="0.3">
      <c r="A8" t="s">
        <v>542</v>
      </c>
      <c r="B8" t="s">
        <v>522</v>
      </c>
      <c r="C8" t="s">
        <v>523</v>
      </c>
      <c r="E8" t="s">
        <v>524</v>
      </c>
      <c r="F8" t="s">
        <v>382</v>
      </c>
      <c r="H8" t="s">
        <v>582</v>
      </c>
      <c r="I8" s="36">
        <v>40</v>
      </c>
      <c r="J8" t="s">
        <v>65</v>
      </c>
      <c r="L8" t="s">
        <v>190</v>
      </c>
      <c r="M8" t="str">
        <f>IFERROR(INDEX(Diccionario!$N:$N,MATCH(F1174,Diccionario!$C:$C,0)),"")</f>
        <v/>
      </c>
    </row>
    <row r="9" spans="1:13" ht="12" customHeight="1" x14ac:dyDescent="0.3">
      <c r="A9" t="s">
        <v>542</v>
      </c>
      <c r="B9" t="s">
        <v>522</v>
      </c>
      <c r="C9" t="s">
        <v>523</v>
      </c>
      <c r="E9" t="s">
        <v>524</v>
      </c>
      <c r="F9" t="s">
        <v>382</v>
      </c>
      <c r="H9" t="s">
        <v>583</v>
      </c>
      <c r="I9" s="36">
        <v>56</v>
      </c>
      <c r="J9" t="s">
        <v>65</v>
      </c>
      <c r="L9" t="s">
        <v>190</v>
      </c>
      <c r="M9" t="str">
        <f>IFERROR(INDEX(Diccionario!$N:$N,MATCH(F1187,Diccionario!$C:$C,0)),"")</f>
        <v/>
      </c>
    </row>
    <row r="10" spans="1:13" ht="12" customHeight="1" x14ac:dyDescent="0.3">
      <c r="A10" t="s">
        <v>542</v>
      </c>
      <c r="B10" t="s">
        <v>522</v>
      </c>
      <c r="C10" t="s">
        <v>523</v>
      </c>
      <c r="E10" t="s">
        <v>524</v>
      </c>
      <c r="F10" t="s">
        <v>382</v>
      </c>
      <c r="H10" t="s">
        <v>584</v>
      </c>
      <c r="I10" s="36">
        <v>4</v>
      </c>
      <c r="J10" t="s">
        <v>65</v>
      </c>
      <c r="L10" t="s">
        <v>190</v>
      </c>
      <c r="M10" t="str">
        <f>IFERROR(INDEX(Diccionario!$N:$N,MATCH(F1200,Diccionario!$C:$C,0)),"")</f>
        <v/>
      </c>
    </row>
    <row r="11" spans="1:13" ht="12" customHeight="1" x14ac:dyDescent="0.3">
      <c r="A11" t="s">
        <v>543</v>
      </c>
      <c r="B11" t="s">
        <v>522</v>
      </c>
      <c r="C11" t="s">
        <v>523</v>
      </c>
      <c r="E11" t="s">
        <v>524</v>
      </c>
      <c r="F11" t="s">
        <v>382</v>
      </c>
      <c r="H11" t="s">
        <v>582</v>
      </c>
      <c r="I11" s="36">
        <v>37</v>
      </c>
      <c r="J11" t="s">
        <v>65</v>
      </c>
      <c r="L11" t="s">
        <v>190</v>
      </c>
      <c r="M11" t="str">
        <f>IFERROR(INDEX(Diccionario!$N:$N,MATCH(F1175,Diccionario!$C:$C,0)),"")</f>
        <v/>
      </c>
    </row>
    <row r="12" spans="1:13" ht="12" customHeight="1" x14ac:dyDescent="0.3">
      <c r="A12" t="s">
        <v>543</v>
      </c>
      <c r="B12" t="s">
        <v>522</v>
      </c>
      <c r="C12" t="s">
        <v>523</v>
      </c>
      <c r="E12" t="s">
        <v>524</v>
      </c>
      <c r="F12" t="s">
        <v>382</v>
      </c>
      <c r="H12" t="s">
        <v>583</v>
      </c>
      <c r="I12" s="36">
        <v>59</v>
      </c>
      <c r="J12" t="s">
        <v>65</v>
      </c>
      <c r="L12" t="s">
        <v>190</v>
      </c>
      <c r="M12" t="str">
        <f>IFERROR(INDEX(Diccionario!$N:$N,MATCH(F1188,Diccionario!$C:$C,0)),"")</f>
        <v/>
      </c>
    </row>
    <row r="13" spans="1:13" ht="12" customHeight="1" x14ac:dyDescent="0.3">
      <c r="A13" t="s">
        <v>543</v>
      </c>
      <c r="B13" t="s">
        <v>522</v>
      </c>
      <c r="C13" t="s">
        <v>523</v>
      </c>
      <c r="E13" t="s">
        <v>524</v>
      </c>
      <c r="F13" t="s">
        <v>382</v>
      </c>
      <c r="H13" t="s">
        <v>584</v>
      </c>
      <c r="I13" s="36">
        <v>4</v>
      </c>
      <c r="J13" t="s">
        <v>65</v>
      </c>
      <c r="L13" t="s">
        <v>190</v>
      </c>
      <c r="M13" t="str">
        <f>IFERROR(INDEX(Diccionario!$N:$N,MATCH(F1201,Diccionario!$C:$C,0)),"")</f>
        <v/>
      </c>
    </row>
    <row r="14" spans="1:13" ht="12" customHeight="1" x14ac:dyDescent="0.3">
      <c r="A14" t="s">
        <v>544</v>
      </c>
      <c r="B14" t="s">
        <v>522</v>
      </c>
      <c r="C14" t="s">
        <v>523</v>
      </c>
      <c r="E14" t="s">
        <v>524</v>
      </c>
      <c r="F14" t="s">
        <v>382</v>
      </c>
      <c r="H14" t="s">
        <v>582</v>
      </c>
      <c r="I14" s="36">
        <v>37</v>
      </c>
      <c r="J14" t="s">
        <v>65</v>
      </c>
      <c r="L14" t="s">
        <v>190</v>
      </c>
      <c r="M14" t="str">
        <f>IFERROR(INDEX(Diccionario!$N:$N,MATCH(F1176,Diccionario!$C:$C,0)),"")</f>
        <v/>
      </c>
    </row>
    <row r="15" spans="1:13" ht="12" customHeight="1" x14ac:dyDescent="0.3">
      <c r="A15" t="s">
        <v>544</v>
      </c>
      <c r="B15" t="s">
        <v>522</v>
      </c>
      <c r="C15" t="s">
        <v>523</v>
      </c>
      <c r="E15" t="s">
        <v>524</v>
      </c>
      <c r="F15" t="s">
        <v>382</v>
      </c>
      <c r="H15" t="s">
        <v>583</v>
      </c>
      <c r="I15" s="36">
        <v>49.6</v>
      </c>
      <c r="J15" t="s">
        <v>65</v>
      </c>
      <c r="L15" t="s">
        <v>190</v>
      </c>
      <c r="M15" t="str">
        <f>IFERROR(INDEX(Diccionario!$N:$N,MATCH(F1189,Diccionario!$C:$C,0)),"")</f>
        <v/>
      </c>
    </row>
    <row r="16" spans="1:13" ht="12" customHeight="1" x14ac:dyDescent="0.3">
      <c r="A16" t="s">
        <v>544</v>
      </c>
      <c r="B16" t="s">
        <v>522</v>
      </c>
      <c r="C16" t="s">
        <v>523</v>
      </c>
      <c r="E16" t="s">
        <v>524</v>
      </c>
      <c r="F16" t="s">
        <v>382</v>
      </c>
      <c r="H16" t="s">
        <v>584</v>
      </c>
      <c r="I16" s="36">
        <v>13.1</v>
      </c>
      <c r="J16" t="s">
        <v>65</v>
      </c>
      <c r="L16" t="s">
        <v>190</v>
      </c>
      <c r="M16" t="str">
        <f>IFERROR(INDEX(Diccionario!$N:$N,MATCH(F1202,Diccionario!$C:$C,0)),"")</f>
        <v/>
      </c>
    </row>
    <row r="17" spans="1:13" ht="12" customHeight="1" x14ac:dyDescent="0.3">
      <c r="A17" t="s">
        <v>545</v>
      </c>
      <c r="B17" t="s">
        <v>522</v>
      </c>
      <c r="C17" t="s">
        <v>523</v>
      </c>
      <c r="E17" t="s">
        <v>524</v>
      </c>
      <c r="F17" t="s">
        <v>382</v>
      </c>
      <c r="H17" t="s">
        <v>582</v>
      </c>
      <c r="I17" s="36">
        <v>20.9</v>
      </c>
      <c r="J17" t="s">
        <v>65</v>
      </c>
      <c r="L17" t="s">
        <v>190</v>
      </c>
      <c r="M17" t="str">
        <f>IFERROR(INDEX(Diccionario!$N:$N,MATCH(F1177,Diccionario!$C:$C,0)),"")</f>
        <v/>
      </c>
    </row>
    <row r="18" spans="1:13" ht="12" customHeight="1" x14ac:dyDescent="0.3">
      <c r="A18" t="s">
        <v>545</v>
      </c>
      <c r="B18" t="s">
        <v>522</v>
      </c>
      <c r="C18" t="s">
        <v>523</v>
      </c>
      <c r="E18" t="s">
        <v>524</v>
      </c>
      <c r="F18" t="s">
        <v>382</v>
      </c>
      <c r="H18" t="s">
        <v>583</v>
      </c>
      <c r="I18" s="36">
        <v>61.7</v>
      </c>
      <c r="J18" t="s">
        <v>65</v>
      </c>
      <c r="L18" t="s">
        <v>190</v>
      </c>
      <c r="M18" t="str">
        <f>IFERROR(INDEX(Diccionario!$N:$N,MATCH(F1190,Diccionario!$C:$C,0)),"")</f>
        <v/>
      </c>
    </row>
    <row r="19" spans="1:13" ht="12" customHeight="1" x14ac:dyDescent="0.3">
      <c r="A19" t="s">
        <v>545</v>
      </c>
      <c r="B19" t="s">
        <v>522</v>
      </c>
      <c r="C19" t="s">
        <v>523</v>
      </c>
      <c r="E19" t="s">
        <v>524</v>
      </c>
      <c r="F19" t="s">
        <v>382</v>
      </c>
      <c r="H19" t="s">
        <v>584</v>
      </c>
      <c r="I19" s="36">
        <v>17.37</v>
      </c>
      <c r="J19" t="s">
        <v>65</v>
      </c>
      <c r="L19" t="s">
        <v>190</v>
      </c>
      <c r="M19" t="str">
        <f>IFERROR(INDEX(Diccionario!$N:$N,MATCH(F1203,Diccionario!$C:$C,0)),"")</f>
        <v/>
      </c>
    </row>
    <row r="20" spans="1:13" ht="12" customHeight="1" x14ac:dyDescent="0.3">
      <c r="A20" t="s">
        <v>546</v>
      </c>
      <c r="B20" t="s">
        <v>522</v>
      </c>
      <c r="C20" t="s">
        <v>523</v>
      </c>
      <c r="E20" t="s">
        <v>524</v>
      </c>
      <c r="F20" t="s">
        <v>382</v>
      </c>
      <c r="H20" t="s">
        <v>582</v>
      </c>
      <c r="I20" s="36">
        <v>21</v>
      </c>
      <c r="J20" t="s">
        <v>65</v>
      </c>
      <c r="L20" t="s">
        <v>190</v>
      </c>
      <c r="M20" t="str">
        <f>IFERROR(INDEX(Diccionario!$N:$N,MATCH(F1178,Diccionario!$C:$C,0)),"")</f>
        <v/>
      </c>
    </row>
    <row r="21" spans="1:13" ht="12" customHeight="1" x14ac:dyDescent="0.3">
      <c r="A21" t="s">
        <v>546</v>
      </c>
      <c r="B21" t="s">
        <v>522</v>
      </c>
      <c r="C21" t="s">
        <v>523</v>
      </c>
      <c r="E21" t="s">
        <v>524</v>
      </c>
      <c r="F21" t="s">
        <v>382</v>
      </c>
      <c r="H21" t="s">
        <v>583</v>
      </c>
      <c r="I21" s="36">
        <v>65</v>
      </c>
      <c r="J21" t="s">
        <v>65</v>
      </c>
      <c r="L21" t="s">
        <v>190</v>
      </c>
      <c r="M21" t="str">
        <f>IFERROR(INDEX(Diccionario!$N:$N,MATCH(F1191,Diccionario!$C:$C,0)),"")</f>
        <v/>
      </c>
    </row>
    <row r="22" spans="1:13" ht="12" customHeight="1" x14ac:dyDescent="0.3">
      <c r="A22" t="s">
        <v>546</v>
      </c>
      <c r="B22" t="s">
        <v>522</v>
      </c>
      <c r="C22" t="s">
        <v>523</v>
      </c>
      <c r="E22" t="s">
        <v>524</v>
      </c>
      <c r="F22" t="s">
        <v>382</v>
      </c>
      <c r="H22" t="s">
        <v>584</v>
      </c>
      <c r="I22" s="36">
        <v>10</v>
      </c>
      <c r="J22" t="s">
        <v>65</v>
      </c>
      <c r="L22" t="s">
        <v>190</v>
      </c>
      <c r="M22" t="str">
        <f>IFERROR(INDEX(Diccionario!$N:$N,MATCH(F1204,Diccionario!$C:$C,0)),"")</f>
        <v/>
      </c>
    </row>
    <row r="23" spans="1:13" ht="12" customHeight="1" x14ac:dyDescent="0.3">
      <c r="A23" t="s">
        <v>547</v>
      </c>
      <c r="B23" t="s">
        <v>522</v>
      </c>
      <c r="C23" t="s">
        <v>523</v>
      </c>
      <c r="E23" t="s">
        <v>524</v>
      </c>
      <c r="F23" t="s">
        <v>382</v>
      </c>
      <c r="H23" t="s">
        <v>582</v>
      </c>
      <c r="I23" s="36">
        <v>28</v>
      </c>
      <c r="J23" t="s">
        <v>65</v>
      </c>
      <c r="L23" t="s">
        <v>190</v>
      </c>
      <c r="M23" t="str">
        <f>IFERROR(INDEX(Diccionario!$N:$N,MATCH(F1179,Diccionario!$C:$C,0)),"")</f>
        <v/>
      </c>
    </row>
    <row r="24" spans="1:13" ht="12" customHeight="1" x14ac:dyDescent="0.3">
      <c r="A24" t="s">
        <v>547</v>
      </c>
      <c r="B24" t="s">
        <v>522</v>
      </c>
      <c r="C24" t="s">
        <v>523</v>
      </c>
      <c r="E24" t="s">
        <v>524</v>
      </c>
      <c r="F24" t="s">
        <v>382</v>
      </c>
      <c r="H24" t="s">
        <v>583</v>
      </c>
      <c r="I24" s="36">
        <v>67</v>
      </c>
      <c r="J24" t="s">
        <v>65</v>
      </c>
      <c r="L24" t="s">
        <v>190</v>
      </c>
      <c r="M24" t="str">
        <f>IFERROR(INDEX(Diccionario!$N:$N,MATCH(F1192,Diccionario!$C:$C,0)),"")</f>
        <v/>
      </c>
    </row>
    <row r="25" spans="1:13" ht="12" customHeight="1" x14ac:dyDescent="0.3">
      <c r="A25" t="s">
        <v>547</v>
      </c>
      <c r="B25" t="s">
        <v>522</v>
      </c>
      <c r="C25" t="s">
        <v>523</v>
      </c>
      <c r="E25" t="s">
        <v>524</v>
      </c>
      <c r="F25" t="s">
        <v>382</v>
      </c>
      <c r="H25" t="s">
        <v>584</v>
      </c>
      <c r="I25" s="36">
        <v>5</v>
      </c>
      <c r="J25" t="s">
        <v>65</v>
      </c>
      <c r="L25" t="s">
        <v>190</v>
      </c>
      <c r="M25" t="str">
        <f>IFERROR(INDEX(Diccionario!$N:$N,MATCH(F1205,Diccionario!$C:$C,0)),"")</f>
        <v/>
      </c>
    </row>
    <row r="26" spans="1:13" ht="12" customHeight="1" x14ac:dyDescent="0.3">
      <c r="A26" t="s">
        <v>548</v>
      </c>
      <c r="B26" t="s">
        <v>522</v>
      </c>
      <c r="C26" t="s">
        <v>523</v>
      </c>
      <c r="E26" t="s">
        <v>524</v>
      </c>
      <c r="F26" t="s">
        <v>382</v>
      </c>
      <c r="H26" t="s">
        <v>582</v>
      </c>
      <c r="I26" s="36">
        <v>16</v>
      </c>
      <c r="J26" t="s">
        <v>65</v>
      </c>
      <c r="L26" t="s">
        <v>190</v>
      </c>
      <c r="M26" t="str">
        <f>IFERROR(INDEX(Diccionario!$N:$N,MATCH(F1180,Diccionario!$C:$C,0)),"")</f>
        <v/>
      </c>
    </row>
    <row r="27" spans="1:13" ht="12" customHeight="1" x14ac:dyDescent="0.3">
      <c r="A27" t="s">
        <v>548</v>
      </c>
      <c r="B27" t="s">
        <v>522</v>
      </c>
      <c r="C27" t="s">
        <v>523</v>
      </c>
      <c r="E27" t="s">
        <v>524</v>
      </c>
      <c r="F27" t="s">
        <v>382</v>
      </c>
      <c r="H27" t="s">
        <v>583</v>
      </c>
      <c r="I27" s="36">
        <v>77</v>
      </c>
      <c r="J27" t="s">
        <v>65</v>
      </c>
      <c r="L27" t="s">
        <v>190</v>
      </c>
      <c r="M27" t="str">
        <f>IFERROR(INDEX(Diccionario!$N:$N,MATCH(F1193,Diccionario!$C:$C,0)),"")</f>
        <v/>
      </c>
    </row>
    <row r="28" spans="1:13" ht="12" customHeight="1" x14ac:dyDescent="0.3">
      <c r="A28" t="s">
        <v>548</v>
      </c>
      <c r="B28" t="s">
        <v>522</v>
      </c>
      <c r="C28" t="s">
        <v>523</v>
      </c>
      <c r="E28" t="s">
        <v>524</v>
      </c>
      <c r="F28" t="s">
        <v>382</v>
      </c>
      <c r="H28" t="s">
        <v>584</v>
      </c>
      <c r="I28" s="36">
        <v>7</v>
      </c>
      <c r="J28" t="s">
        <v>65</v>
      </c>
      <c r="L28" t="s">
        <v>190</v>
      </c>
      <c r="M28" t="str">
        <f>IFERROR(INDEX(Diccionario!$N:$N,MATCH(F1206,Diccionario!$C:$C,0)),"")</f>
        <v/>
      </c>
    </row>
    <row r="29" spans="1:13" ht="12" customHeight="1" x14ac:dyDescent="0.3">
      <c r="A29" t="s">
        <v>549</v>
      </c>
      <c r="B29" t="s">
        <v>522</v>
      </c>
      <c r="C29" t="s">
        <v>523</v>
      </c>
      <c r="E29" t="s">
        <v>524</v>
      </c>
      <c r="F29" t="s">
        <v>382</v>
      </c>
      <c r="H29" t="s">
        <v>582</v>
      </c>
      <c r="I29" s="36">
        <v>40</v>
      </c>
      <c r="J29" t="s">
        <v>65</v>
      </c>
      <c r="L29" t="s">
        <v>190</v>
      </c>
      <c r="M29" t="str">
        <f>IFERROR(INDEX(Diccionario!$N:$N,MATCH(F1181,Diccionario!$C:$C,0)),"")</f>
        <v/>
      </c>
    </row>
    <row r="30" spans="1:13" ht="12" customHeight="1" x14ac:dyDescent="0.3">
      <c r="A30" t="s">
        <v>549</v>
      </c>
      <c r="B30" t="s">
        <v>522</v>
      </c>
      <c r="C30" t="s">
        <v>523</v>
      </c>
      <c r="E30" t="s">
        <v>524</v>
      </c>
      <c r="F30" t="s">
        <v>382</v>
      </c>
      <c r="H30" t="s">
        <v>583</v>
      </c>
      <c r="I30" s="36">
        <v>55</v>
      </c>
      <c r="J30" t="s">
        <v>65</v>
      </c>
      <c r="L30" t="s">
        <v>190</v>
      </c>
      <c r="M30" t="str">
        <f>IFERROR(INDEX(Diccionario!$N:$N,MATCH(F1194,Diccionario!$C:$C,0)),"")</f>
        <v/>
      </c>
    </row>
    <row r="31" spans="1:13" ht="12" customHeight="1" x14ac:dyDescent="0.3">
      <c r="A31" t="s">
        <v>549</v>
      </c>
      <c r="B31" t="s">
        <v>522</v>
      </c>
      <c r="C31" t="s">
        <v>523</v>
      </c>
      <c r="E31" t="s">
        <v>524</v>
      </c>
      <c r="F31" t="s">
        <v>382</v>
      </c>
      <c r="H31" t="s">
        <v>584</v>
      </c>
      <c r="I31" s="36">
        <v>5</v>
      </c>
      <c r="J31" t="s">
        <v>65</v>
      </c>
      <c r="L31" t="s">
        <v>190</v>
      </c>
      <c r="M31" t="str">
        <f>IFERROR(INDEX(Diccionario!$N:$N,MATCH(F1207,Diccionario!$C:$C,0)),"")</f>
        <v/>
      </c>
    </row>
    <row r="32" spans="1:13" ht="12" customHeight="1" x14ac:dyDescent="0.3">
      <c r="A32" t="s">
        <v>551</v>
      </c>
      <c r="B32" t="s">
        <v>522</v>
      </c>
      <c r="C32" t="s">
        <v>523</v>
      </c>
      <c r="E32" t="s">
        <v>524</v>
      </c>
      <c r="F32" t="s">
        <v>382</v>
      </c>
      <c r="H32" t="s">
        <v>582</v>
      </c>
      <c r="I32" s="36">
        <v>25</v>
      </c>
      <c r="J32" t="s">
        <v>65</v>
      </c>
      <c r="L32" t="s">
        <v>190</v>
      </c>
      <c r="M32" t="str">
        <f>IFERROR(INDEX(Diccionario!$N:$N,MATCH(F1182,Diccionario!$C:$C,0)),"")</f>
        <v/>
      </c>
    </row>
    <row r="33" spans="1:13" ht="12" customHeight="1" x14ac:dyDescent="0.3">
      <c r="A33" t="s">
        <v>551</v>
      </c>
      <c r="B33" t="s">
        <v>522</v>
      </c>
      <c r="C33" t="s">
        <v>523</v>
      </c>
      <c r="E33" t="s">
        <v>524</v>
      </c>
      <c r="F33" t="s">
        <v>382</v>
      </c>
      <c r="H33" t="s">
        <v>583</v>
      </c>
      <c r="I33" s="36">
        <v>64</v>
      </c>
      <c r="J33" t="s">
        <v>65</v>
      </c>
      <c r="L33" t="s">
        <v>190</v>
      </c>
      <c r="M33" t="str">
        <f>IFERROR(INDEX(Diccionario!$N:$N,MATCH(F1195,Diccionario!$C:$C,0)),"")</f>
        <v/>
      </c>
    </row>
    <row r="34" spans="1:13" ht="12" customHeight="1" x14ac:dyDescent="0.3">
      <c r="A34" t="s">
        <v>551</v>
      </c>
      <c r="B34" t="s">
        <v>522</v>
      </c>
      <c r="C34" t="s">
        <v>523</v>
      </c>
      <c r="E34" t="s">
        <v>524</v>
      </c>
      <c r="F34" t="s">
        <v>382</v>
      </c>
      <c r="H34" t="s">
        <v>584</v>
      </c>
      <c r="I34" s="36">
        <v>11</v>
      </c>
      <c r="J34" t="s">
        <v>65</v>
      </c>
      <c r="L34" t="s">
        <v>190</v>
      </c>
      <c r="M34" t="str">
        <f>IFERROR(INDEX(Diccionario!$N:$N,MATCH(F1208,Diccionario!$C:$C,0)),"")</f>
        <v/>
      </c>
    </row>
    <row r="35" spans="1:13" ht="12" customHeight="1" x14ac:dyDescent="0.3">
      <c r="A35" t="s">
        <v>551</v>
      </c>
      <c r="B35" t="s">
        <v>522</v>
      </c>
      <c r="C35" t="s">
        <v>523</v>
      </c>
      <c r="D35" t="s">
        <v>451</v>
      </c>
      <c r="E35" t="s">
        <v>524</v>
      </c>
      <c r="F35" t="s">
        <v>146</v>
      </c>
      <c r="I35" s="29">
        <v>9022720</v>
      </c>
      <c r="J35" t="s">
        <v>451</v>
      </c>
      <c r="K35" t="s">
        <v>627</v>
      </c>
      <c r="L35" t="s">
        <v>53</v>
      </c>
      <c r="M35" t="str">
        <f>IFERROR(INDEX(Diccionario!$N:$N,MATCH(F1289,Diccionario!$C:$C,0)),"")</f>
        <v/>
      </c>
    </row>
    <row r="36" spans="1:13" ht="12" customHeight="1" x14ac:dyDescent="0.3">
      <c r="A36" t="s">
        <v>552</v>
      </c>
      <c r="B36" t="s">
        <v>522</v>
      </c>
      <c r="C36" t="s">
        <v>523</v>
      </c>
      <c r="E36" t="s">
        <v>524</v>
      </c>
      <c r="F36" t="s">
        <v>382</v>
      </c>
      <c r="H36" t="s">
        <v>582</v>
      </c>
      <c r="I36" s="36">
        <v>23</v>
      </c>
      <c r="J36" t="s">
        <v>65</v>
      </c>
      <c r="L36" t="s">
        <v>190</v>
      </c>
      <c r="M36" t="str">
        <f>IFERROR(INDEX(Diccionario!$N:$N,MATCH(F1183,Diccionario!$C:$C,0)),"")</f>
        <v/>
      </c>
    </row>
    <row r="37" spans="1:13" ht="12" customHeight="1" x14ac:dyDescent="0.3">
      <c r="A37" t="s">
        <v>552</v>
      </c>
      <c r="B37" t="s">
        <v>522</v>
      </c>
      <c r="C37" t="s">
        <v>523</v>
      </c>
      <c r="E37" t="s">
        <v>524</v>
      </c>
      <c r="F37" t="s">
        <v>382</v>
      </c>
      <c r="H37" t="s">
        <v>583</v>
      </c>
      <c r="I37" s="36">
        <v>65</v>
      </c>
      <c r="J37" t="s">
        <v>65</v>
      </c>
      <c r="L37" t="s">
        <v>190</v>
      </c>
      <c r="M37" t="str">
        <f>IFERROR(INDEX(Diccionario!$N:$N,MATCH(F1196,Diccionario!$C:$C,0)),"")</f>
        <v/>
      </c>
    </row>
    <row r="38" spans="1:13" ht="12" customHeight="1" x14ac:dyDescent="0.3">
      <c r="A38" t="s">
        <v>552</v>
      </c>
      <c r="B38" t="s">
        <v>522</v>
      </c>
      <c r="C38" t="s">
        <v>523</v>
      </c>
      <c r="E38" t="s">
        <v>524</v>
      </c>
      <c r="F38" t="s">
        <v>382</v>
      </c>
      <c r="H38" t="s">
        <v>584</v>
      </c>
      <c r="I38" s="36">
        <v>12</v>
      </c>
      <c r="J38" t="s">
        <v>65</v>
      </c>
      <c r="L38" t="s">
        <v>190</v>
      </c>
      <c r="M38" t="str">
        <f>IFERROR(INDEX(Diccionario!$N:$N,MATCH(F1209,Diccionario!$C:$C,0)),"")</f>
        <v/>
      </c>
    </row>
    <row r="39" spans="1:13" ht="12" customHeight="1" x14ac:dyDescent="0.3">
      <c r="A39" t="s">
        <v>552</v>
      </c>
      <c r="B39" t="s">
        <v>522</v>
      </c>
      <c r="C39" t="s">
        <v>523</v>
      </c>
      <c r="D39" t="s">
        <v>451</v>
      </c>
      <c r="E39" t="s">
        <v>524</v>
      </c>
      <c r="F39" t="s">
        <v>146</v>
      </c>
      <c r="I39" s="29">
        <v>270528826</v>
      </c>
      <c r="J39" t="s">
        <v>451</v>
      </c>
      <c r="K39" t="s">
        <v>627</v>
      </c>
      <c r="L39" t="s">
        <v>53</v>
      </c>
      <c r="M39" t="str">
        <f>IFERROR(INDEX(Diccionario!$N:$N,MATCH(F1290,Diccionario!$C:$C,0)),"")</f>
        <v/>
      </c>
    </row>
    <row r="40" spans="1:13" ht="12" customHeight="1" x14ac:dyDescent="0.3">
      <c r="A40" t="s">
        <v>553</v>
      </c>
      <c r="B40" t="s">
        <v>522</v>
      </c>
      <c r="C40" t="s">
        <v>523</v>
      </c>
      <c r="E40" t="s">
        <v>524</v>
      </c>
      <c r="F40" t="s">
        <v>382</v>
      </c>
      <c r="H40" t="s">
        <v>582</v>
      </c>
      <c r="I40" s="36">
        <v>27</v>
      </c>
      <c r="J40" t="s">
        <v>65</v>
      </c>
      <c r="L40" t="s">
        <v>190</v>
      </c>
      <c r="M40" t="str">
        <f>IFERROR(INDEX(Diccionario!$N:$N,MATCH(F1184,Diccionario!$C:$C,0)),"")</f>
        <v/>
      </c>
    </row>
    <row r="41" spans="1:13" ht="12" customHeight="1" x14ac:dyDescent="0.3">
      <c r="A41" t="s">
        <v>553</v>
      </c>
      <c r="B41" t="s">
        <v>522</v>
      </c>
      <c r="C41" t="s">
        <v>523</v>
      </c>
      <c r="E41" t="s">
        <v>524</v>
      </c>
      <c r="F41" t="s">
        <v>382</v>
      </c>
      <c r="H41" t="s">
        <v>583</v>
      </c>
      <c r="I41" s="36">
        <v>67</v>
      </c>
      <c r="J41" t="s">
        <v>65</v>
      </c>
      <c r="L41" t="s">
        <v>190</v>
      </c>
      <c r="M41" t="str">
        <f>IFERROR(INDEX(Diccionario!$N:$N,MATCH(F1197,Diccionario!$C:$C,0)),"")</f>
        <v/>
      </c>
    </row>
    <row r="42" spans="1:13" ht="12" customHeight="1" x14ac:dyDescent="0.3">
      <c r="A42" t="s">
        <v>553</v>
      </c>
      <c r="B42" t="s">
        <v>522</v>
      </c>
      <c r="C42" t="s">
        <v>523</v>
      </c>
      <c r="E42" t="s">
        <v>524</v>
      </c>
      <c r="F42" t="s">
        <v>382</v>
      </c>
      <c r="H42" t="s">
        <v>584</v>
      </c>
      <c r="I42" s="36">
        <v>6</v>
      </c>
      <c r="J42" t="s">
        <v>65</v>
      </c>
      <c r="L42" t="s">
        <v>190</v>
      </c>
      <c r="M42" t="str">
        <f>IFERROR(INDEX(Diccionario!$N:$N,MATCH(F1210,Diccionario!$C:$C,0)),"")</f>
        <v/>
      </c>
    </row>
    <row r="43" spans="1:13" ht="12" customHeight="1" x14ac:dyDescent="0.3">
      <c r="A43" t="s">
        <v>553</v>
      </c>
      <c r="B43" t="s">
        <v>522</v>
      </c>
      <c r="C43" t="s">
        <v>523</v>
      </c>
      <c r="D43" t="s">
        <v>451</v>
      </c>
      <c r="E43" t="s">
        <v>524</v>
      </c>
      <c r="F43" t="s">
        <v>146</v>
      </c>
      <c r="I43" s="29">
        <v>307827060</v>
      </c>
      <c r="J43" t="s">
        <v>451</v>
      </c>
      <c r="K43" t="s">
        <v>627</v>
      </c>
      <c r="L43" t="s">
        <v>53</v>
      </c>
      <c r="M43" t="str">
        <f>IFERROR(INDEX(Diccionario!$N:$N,MATCH(F1291,Diccionario!$C:$C,0)),"")</f>
        <v/>
      </c>
    </row>
    <row r="44" spans="1:13" ht="12" customHeight="1" x14ac:dyDescent="0.3">
      <c r="A44" t="s">
        <v>554</v>
      </c>
      <c r="B44" t="s">
        <v>522</v>
      </c>
      <c r="C44" t="s">
        <v>523</v>
      </c>
      <c r="E44" t="s">
        <v>524</v>
      </c>
      <c r="F44" t="s">
        <v>382</v>
      </c>
      <c r="H44" t="s">
        <v>582</v>
      </c>
      <c r="I44" s="36">
        <v>15</v>
      </c>
      <c r="J44" t="s">
        <v>65</v>
      </c>
      <c r="L44" t="s">
        <v>190</v>
      </c>
      <c r="M44" t="str">
        <f>IFERROR(INDEX(Diccionario!$N:$N,MATCH(F1185,Diccionario!$C:$C,0)),"")</f>
        <v/>
      </c>
    </row>
    <row r="45" spans="1:13" ht="12" customHeight="1" x14ac:dyDescent="0.3">
      <c r="A45" t="s">
        <v>554</v>
      </c>
      <c r="B45" t="s">
        <v>522</v>
      </c>
      <c r="C45" t="s">
        <v>523</v>
      </c>
      <c r="E45" t="s">
        <v>524</v>
      </c>
      <c r="F45" t="s">
        <v>382</v>
      </c>
      <c r="H45" t="s">
        <v>583</v>
      </c>
      <c r="I45" s="36">
        <v>78</v>
      </c>
      <c r="J45" t="s">
        <v>65</v>
      </c>
      <c r="L45" t="s">
        <v>190</v>
      </c>
      <c r="M45" t="str">
        <f>IFERROR(INDEX(Diccionario!$N:$N,MATCH(F1198,Diccionario!$C:$C,0)),"")</f>
        <v/>
      </c>
    </row>
    <row r="46" spans="1:13" ht="12" customHeight="1" x14ac:dyDescent="0.3">
      <c r="A46" t="s">
        <v>554</v>
      </c>
      <c r="B46" t="s">
        <v>522</v>
      </c>
      <c r="C46" t="s">
        <v>523</v>
      </c>
      <c r="E46" t="s">
        <v>524</v>
      </c>
      <c r="F46" t="s">
        <v>382</v>
      </c>
      <c r="H46" t="s">
        <v>584</v>
      </c>
      <c r="I46" s="36">
        <v>7</v>
      </c>
      <c r="J46" t="s">
        <v>65</v>
      </c>
      <c r="L46" t="s">
        <v>190</v>
      </c>
      <c r="M46" t="str">
        <f>IFERROR(INDEX(Diccionario!$N:$N,MATCH(F1211,Diccionario!$C:$C,0)),"")</f>
        <v/>
      </c>
    </row>
    <row r="47" spans="1:13" ht="12" customHeight="1" x14ac:dyDescent="0.3">
      <c r="A47" t="s">
        <v>554</v>
      </c>
      <c r="B47" t="s">
        <v>522</v>
      </c>
      <c r="C47" t="s">
        <v>523</v>
      </c>
      <c r="D47" t="s">
        <v>451</v>
      </c>
      <c r="E47" t="s">
        <v>524</v>
      </c>
      <c r="F47" t="s">
        <v>146</v>
      </c>
      <c r="I47" s="29">
        <v>106463773</v>
      </c>
      <c r="J47" t="s">
        <v>451</v>
      </c>
      <c r="K47" t="s">
        <v>627</v>
      </c>
      <c r="L47" t="s">
        <v>53</v>
      </c>
      <c r="M47" t="str">
        <f>IFERROR(INDEX(Diccionario!$N:$N,MATCH(F1292,Diccionario!$C:$C,0)),"")</f>
        <v/>
      </c>
    </row>
    <row r="48" spans="1:13" ht="12" customHeight="1" x14ac:dyDescent="0.3">
      <c r="A48" t="s">
        <v>624</v>
      </c>
      <c r="B48" t="s">
        <v>522</v>
      </c>
      <c r="C48" t="s">
        <v>523</v>
      </c>
      <c r="D48" t="s">
        <v>451</v>
      </c>
      <c r="E48" t="s">
        <v>524</v>
      </c>
      <c r="F48" t="s">
        <v>430</v>
      </c>
      <c r="I48" s="29">
        <v>0</v>
      </c>
      <c r="J48" t="s">
        <v>158</v>
      </c>
      <c r="K48" t="s">
        <v>626</v>
      </c>
      <c r="L48" t="s">
        <v>53</v>
      </c>
      <c r="M48" t="str">
        <f>IFERROR(INDEX(Diccionario!$N:$N,MATCH(F1288,Diccionario!$C:$C,0)),"")</f>
        <v/>
      </c>
    </row>
    <row r="49" spans="1:13" ht="12" customHeight="1" x14ac:dyDescent="0.3">
      <c r="A49" t="s">
        <v>624</v>
      </c>
      <c r="B49" t="s">
        <v>522</v>
      </c>
      <c r="C49" t="s">
        <v>523</v>
      </c>
      <c r="D49" t="s">
        <v>451</v>
      </c>
      <c r="E49" t="s">
        <v>524</v>
      </c>
      <c r="F49" t="s">
        <v>146</v>
      </c>
      <c r="I49" s="29">
        <v>40159561</v>
      </c>
      <c r="J49" t="s">
        <v>451</v>
      </c>
      <c r="K49" t="s">
        <v>627</v>
      </c>
      <c r="L49" t="s">
        <v>53</v>
      </c>
      <c r="M49" t="str">
        <f>IFERROR(INDEX(Diccionario!$N:$N,MATCH(F1293,Diccionario!$C:$C,0)),"")</f>
        <v/>
      </c>
    </row>
    <row r="50" spans="1:13" ht="12" customHeight="1" x14ac:dyDescent="0.3">
      <c r="A50" t="s">
        <v>624</v>
      </c>
      <c r="B50" t="s">
        <v>522</v>
      </c>
      <c r="C50" t="s">
        <v>523</v>
      </c>
      <c r="D50" t="s">
        <v>451</v>
      </c>
      <c r="E50" t="s">
        <v>524</v>
      </c>
      <c r="F50" t="s">
        <v>132</v>
      </c>
      <c r="H50" t="s">
        <v>630</v>
      </c>
      <c r="I50" s="29">
        <v>204094777</v>
      </c>
      <c r="J50" t="s">
        <v>451</v>
      </c>
      <c r="K50" t="s">
        <v>629</v>
      </c>
      <c r="L50" t="s">
        <v>53</v>
      </c>
      <c r="M50" t="str">
        <f>IFERROR(INDEX(Diccionario!$N:$N,MATCH(F1297,Diccionario!$C:$C,0)),"")</f>
        <v/>
      </c>
    </row>
    <row r="51" spans="1:13" ht="12" customHeight="1" x14ac:dyDescent="0.3">
      <c r="A51" t="s">
        <v>624</v>
      </c>
      <c r="B51" t="s">
        <v>522</v>
      </c>
      <c r="C51" t="s">
        <v>523</v>
      </c>
      <c r="D51" t="s">
        <v>451</v>
      </c>
      <c r="E51" t="s">
        <v>524</v>
      </c>
      <c r="F51" t="s">
        <v>132</v>
      </c>
      <c r="H51" t="s">
        <v>632</v>
      </c>
      <c r="I51" s="29">
        <v>82400435</v>
      </c>
      <c r="J51" t="s">
        <v>451</v>
      </c>
      <c r="K51" t="s">
        <v>629</v>
      </c>
      <c r="L51" t="s">
        <v>53</v>
      </c>
      <c r="M51" t="str">
        <f>IFERROR(INDEX(Diccionario!$N:$N,MATCH(F1301,Diccionario!$C:$C,0)),"")</f>
        <v/>
      </c>
    </row>
    <row r="52" spans="1:13" ht="12" customHeight="1" x14ac:dyDescent="0.3">
      <c r="A52" t="s">
        <v>624</v>
      </c>
      <c r="B52" t="s">
        <v>522</v>
      </c>
      <c r="C52" t="s">
        <v>523</v>
      </c>
      <c r="D52" t="s">
        <v>451</v>
      </c>
      <c r="E52" t="s">
        <v>524</v>
      </c>
      <c r="F52" t="s">
        <v>132</v>
      </c>
      <c r="H52" t="s">
        <v>628</v>
      </c>
      <c r="I52" s="29">
        <v>251946912</v>
      </c>
      <c r="J52" t="s">
        <v>451</v>
      </c>
      <c r="K52" t="s">
        <v>629</v>
      </c>
      <c r="L52" t="s">
        <v>53</v>
      </c>
      <c r="M52" t="str">
        <f>IFERROR(INDEX(Diccionario!$N:$N,MATCH(F1295,Diccionario!$C:$C,0)),"")</f>
        <v/>
      </c>
    </row>
    <row r="53" spans="1:13" ht="12" customHeight="1" x14ac:dyDescent="0.3">
      <c r="A53" t="s">
        <v>624</v>
      </c>
      <c r="B53" t="s">
        <v>522</v>
      </c>
      <c r="C53" t="s">
        <v>523</v>
      </c>
      <c r="D53" t="s">
        <v>451</v>
      </c>
      <c r="E53" t="s">
        <v>524</v>
      </c>
      <c r="F53" t="s">
        <v>132</v>
      </c>
      <c r="H53" t="s">
        <v>631</v>
      </c>
      <c r="I53" s="29">
        <v>150661388</v>
      </c>
      <c r="J53" t="s">
        <v>451</v>
      </c>
      <c r="K53" t="s">
        <v>629</v>
      </c>
      <c r="L53" t="s">
        <v>53</v>
      </c>
      <c r="M53" t="str">
        <f>IFERROR(INDEX(Diccionario!$N:$N,MATCH(F1299,Diccionario!$C:$C,0)),"")</f>
        <v/>
      </c>
    </row>
    <row r="54" spans="1:13" ht="12" customHeight="1" x14ac:dyDescent="0.3">
      <c r="A54" t="s">
        <v>624</v>
      </c>
      <c r="B54" t="s">
        <v>522</v>
      </c>
      <c r="C54" t="s">
        <v>523</v>
      </c>
      <c r="D54" t="s">
        <v>451</v>
      </c>
      <c r="E54" t="s">
        <v>524</v>
      </c>
      <c r="F54" t="s">
        <v>132</v>
      </c>
      <c r="H54" t="s">
        <v>633</v>
      </c>
      <c r="I54" s="29">
        <v>16298400</v>
      </c>
      <c r="J54" t="s">
        <v>451</v>
      </c>
      <c r="K54" t="s">
        <v>629</v>
      </c>
      <c r="L54" t="s">
        <v>53</v>
      </c>
      <c r="M54" t="str">
        <f>IFERROR(INDEX(Diccionario!$N:$N,MATCH(F1305,Diccionario!$C:$C,0)),"")</f>
        <v/>
      </c>
    </row>
    <row r="55" spans="1:13" ht="12" customHeight="1" x14ac:dyDescent="0.3">
      <c r="A55" t="s">
        <v>624</v>
      </c>
      <c r="B55" t="s">
        <v>576</v>
      </c>
      <c r="C55" t="s">
        <v>523</v>
      </c>
      <c r="D55" t="s">
        <v>451</v>
      </c>
      <c r="E55" t="s">
        <v>524</v>
      </c>
      <c r="F55" t="s">
        <v>132</v>
      </c>
      <c r="H55" t="s">
        <v>631</v>
      </c>
      <c r="I55" s="29">
        <v>28600028</v>
      </c>
      <c r="J55" t="s">
        <v>451</v>
      </c>
      <c r="K55" t="s">
        <v>629</v>
      </c>
      <c r="L55" t="s">
        <v>53</v>
      </c>
      <c r="M55" t="str">
        <f>IFERROR(INDEX(Diccionario!$N:$N,MATCH(F1303,Diccionario!$C:$C,0)),"")</f>
        <v/>
      </c>
    </row>
    <row r="56" spans="1:13" ht="12" customHeight="1" x14ac:dyDescent="0.3">
      <c r="A56" t="s">
        <v>624</v>
      </c>
      <c r="B56" t="s">
        <v>576</v>
      </c>
      <c r="C56" t="s">
        <v>523</v>
      </c>
      <c r="D56" t="s">
        <v>451</v>
      </c>
      <c r="E56" t="s">
        <v>524</v>
      </c>
      <c r="F56" t="s">
        <v>132</v>
      </c>
      <c r="H56" t="s">
        <v>634</v>
      </c>
      <c r="I56" s="29">
        <v>0</v>
      </c>
      <c r="J56" t="s">
        <v>451</v>
      </c>
      <c r="K56" t="s">
        <v>629</v>
      </c>
      <c r="L56" t="s">
        <v>53</v>
      </c>
      <c r="M56" t="str">
        <f>IFERROR(INDEX(Diccionario!$N:$N,MATCH(F1307,Diccionario!$C:$C,0)),"")</f>
        <v/>
      </c>
    </row>
    <row r="57" spans="1:13" ht="12" customHeight="1" x14ac:dyDescent="0.3">
      <c r="A57" t="s">
        <v>624</v>
      </c>
      <c r="B57" t="s">
        <v>522</v>
      </c>
      <c r="C57" t="s">
        <v>523</v>
      </c>
      <c r="D57" t="s">
        <v>451</v>
      </c>
      <c r="E57" t="s">
        <v>524</v>
      </c>
      <c r="F57" t="s">
        <v>126</v>
      </c>
      <c r="H57" t="s">
        <v>630</v>
      </c>
      <c r="I57" s="29">
        <v>218860706</v>
      </c>
      <c r="J57" t="s">
        <v>451</v>
      </c>
      <c r="K57" t="s">
        <v>629</v>
      </c>
      <c r="L57" t="s">
        <v>53</v>
      </c>
      <c r="M57" t="str">
        <f>IFERROR(INDEX(Diccionario!$N:$N,MATCH(F1296,Diccionario!$C:$C,0)),"")</f>
        <v/>
      </c>
    </row>
    <row r="58" spans="1:13" ht="12" customHeight="1" x14ac:dyDescent="0.3">
      <c r="A58" t="s">
        <v>624</v>
      </c>
      <c r="B58" t="s">
        <v>522</v>
      </c>
      <c r="C58" t="s">
        <v>523</v>
      </c>
      <c r="D58" t="s">
        <v>451</v>
      </c>
      <c r="E58" t="s">
        <v>524</v>
      </c>
      <c r="F58" t="s">
        <v>126</v>
      </c>
      <c r="H58" t="s">
        <v>632</v>
      </c>
      <c r="I58" s="29">
        <v>86737300</v>
      </c>
      <c r="J58" t="s">
        <v>451</v>
      </c>
      <c r="K58" t="s">
        <v>629</v>
      </c>
      <c r="L58" t="s">
        <v>53</v>
      </c>
      <c r="M58" t="str">
        <f>IFERROR(INDEX(Diccionario!$N:$N,MATCH(F1300,Diccionario!$C:$C,0)),"")</f>
        <v/>
      </c>
    </row>
    <row r="59" spans="1:13" ht="12" customHeight="1" x14ac:dyDescent="0.3">
      <c r="A59" t="s">
        <v>624</v>
      </c>
      <c r="B59" t="s">
        <v>522</v>
      </c>
      <c r="C59" t="s">
        <v>523</v>
      </c>
      <c r="D59" t="s">
        <v>451</v>
      </c>
      <c r="E59" t="s">
        <v>524</v>
      </c>
      <c r="F59" t="s">
        <v>126</v>
      </c>
      <c r="H59" t="s">
        <v>628</v>
      </c>
      <c r="I59" s="29">
        <v>366554852</v>
      </c>
      <c r="J59" t="s">
        <v>451</v>
      </c>
      <c r="K59" t="s">
        <v>629</v>
      </c>
      <c r="L59" t="s">
        <v>53</v>
      </c>
      <c r="M59" t="str">
        <f>IFERROR(INDEX(Diccionario!$N:$N,MATCH(F1294,Diccionario!$C:$C,0)),"")</f>
        <v/>
      </c>
    </row>
    <row r="60" spans="1:13" ht="12" customHeight="1" x14ac:dyDescent="0.3">
      <c r="A60" t="s">
        <v>624</v>
      </c>
      <c r="B60" t="s">
        <v>522</v>
      </c>
      <c r="C60" t="s">
        <v>523</v>
      </c>
      <c r="D60" t="s">
        <v>451</v>
      </c>
      <c r="E60" t="s">
        <v>524</v>
      </c>
      <c r="F60" t="s">
        <v>126</v>
      </c>
      <c r="H60" t="s">
        <v>631</v>
      </c>
      <c r="I60" s="29">
        <v>187535825</v>
      </c>
      <c r="J60" t="s">
        <v>451</v>
      </c>
      <c r="K60" t="s">
        <v>629</v>
      </c>
      <c r="L60" t="s">
        <v>53</v>
      </c>
      <c r="M60" t="str">
        <f>IFERROR(INDEX(Diccionario!$N:$N,MATCH(F1298,Diccionario!$C:$C,0)),"")</f>
        <v/>
      </c>
    </row>
    <row r="61" spans="1:13" ht="12" customHeight="1" x14ac:dyDescent="0.3">
      <c r="A61" t="s">
        <v>624</v>
      </c>
      <c r="B61" t="s">
        <v>522</v>
      </c>
      <c r="C61" t="s">
        <v>523</v>
      </c>
      <c r="D61" t="s">
        <v>451</v>
      </c>
      <c r="E61" t="s">
        <v>524</v>
      </c>
      <c r="F61" t="s">
        <v>126</v>
      </c>
      <c r="H61" t="s">
        <v>633</v>
      </c>
      <c r="I61" s="29">
        <v>20373000</v>
      </c>
      <c r="J61" t="s">
        <v>451</v>
      </c>
      <c r="K61" t="s">
        <v>629</v>
      </c>
      <c r="L61" t="s">
        <v>53</v>
      </c>
      <c r="M61" t="str">
        <f>IFERROR(INDEX(Diccionario!$N:$N,MATCH(F1304,Diccionario!$C:$C,0)),"")</f>
        <v/>
      </c>
    </row>
    <row r="62" spans="1:13" ht="12" customHeight="1" x14ac:dyDescent="0.3">
      <c r="A62" t="s">
        <v>624</v>
      </c>
      <c r="B62" t="s">
        <v>576</v>
      </c>
      <c r="C62" t="s">
        <v>523</v>
      </c>
      <c r="D62" t="s">
        <v>451</v>
      </c>
      <c r="E62" t="s">
        <v>524</v>
      </c>
      <c r="F62" t="s">
        <v>126</v>
      </c>
      <c r="H62" t="s">
        <v>631</v>
      </c>
      <c r="I62" s="29">
        <v>39017160</v>
      </c>
      <c r="J62" t="s">
        <v>451</v>
      </c>
      <c r="K62" t="s">
        <v>629</v>
      </c>
      <c r="L62" t="s">
        <v>53</v>
      </c>
      <c r="M62" t="str">
        <f>IFERROR(INDEX(Diccionario!$N:$N,MATCH(F1302,Diccionario!$C:$C,0)),"")</f>
        <v/>
      </c>
    </row>
    <row r="63" spans="1:13" ht="12" customHeight="1" x14ac:dyDescent="0.3">
      <c r="A63" t="s">
        <v>624</v>
      </c>
      <c r="B63" t="s">
        <v>576</v>
      </c>
      <c r="C63" t="s">
        <v>523</v>
      </c>
      <c r="D63" t="s">
        <v>451</v>
      </c>
      <c r="E63" t="s">
        <v>524</v>
      </c>
      <c r="F63" t="s">
        <v>126</v>
      </c>
      <c r="H63" t="s">
        <v>634</v>
      </c>
      <c r="I63" s="29">
        <v>0</v>
      </c>
      <c r="J63" t="s">
        <v>451</v>
      </c>
      <c r="K63" t="s">
        <v>629</v>
      </c>
      <c r="L63" t="s">
        <v>53</v>
      </c>
      <c r="M63" t="str">
        <f>IFERROR(INDEX(Diccionario!$N:$N,MATCH(F1306,Diccionario!$C:$C,0)),"")</f>
        <v/>
      </c>
    </row>
    <row r="64" spans="1:13" ht="12" customHeight="1" x14ac:dyDescent="0.3">
      <c r="A64" t="s">
        <v>624</v>
      </c>
      <c r="B64" t="s">
        <v>522</v>
      </c>
      <c r="C64" t="s">
        <v>523</v>
      </c>
      <c r="D64" t="s">
        <v>451</v>
      </c>
      <c r="E64" t="s">
        <v>524</v>
      </c>
      <c r="F64" t="s">
        <v>136</v>
      </c>
      <c r="I64" s="29">
        <v>0</v>
      </c>
      <c r="J64" t="s">
        <v>451</v>
      </c>
      <c r="K64" t="s">
        <v>625</v>
      </c>
      <c r="L64" t="s">
        <v>53</v>
      </c>
      <c r="M64" t="str">
        <f>IFERROR(INDEX(Diccionario!$N:$N,MATCH(F1287,Diccionario!$C:$C,0)),"")</f>
        <v/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55"/>
  <sheetViews>
    <sheetView workbookViewId="0"/>
  </sheetViews>
  <sheetFormatPr defaultColWidth="8.6640625" defaultRowHeight="14.4" x14ac:dyDescent="0.3"/>
  <cols>
    <col min="1" max="1" width="9" customWidth="1"/>
    <col min="2" max="2" width="12" customWidth="1"/>
    <col min="3" max="3" width="14" customWidth="1"/>
    <col min="4" max="4" width="7" customWidth="1"/>
    <col min="5" max="5" width="9" customWidth="1"/>
    <col min="6" max="6" width="26" customWidth="1"/>
    <col min="7" max="7" width="12" customWidth="1"/>
    <col min="8" max="8" width="20" customWidth="1"/>
    <col min="9" max="9" width="16" customWidth="1"/>
    <col min="10" max="10" width="9" customWidth="1"/>
    <col min="11" max="11" width="30" customWidth="1"/>
    <col min="12" max="12" width="14" customWidth="1"/>
    <col min="13" max="13" width="11" customWidth="1"/>
  </cols>
  <sheetData>
    <row r="1" spans="1:13" ht="12.9" customHeight="1" x14ac:dyDescent="0.3">
      <c r="A1" s="37" t="s">
        <v>736</v>
      </c>
    </row>
    <row r="2" spans="1:13" ht="12" customHeight="1" x14ac:dyDescent="0.3">
      <c r="A2" s="28" t="s">
        <v>737</v>
      </c>
    </row>
    <row r="4" spans="1:13" ht="12" customHeight="1" x14ac:dyDescent="0.3">
      <c r="A4" s="35" t="s">
        <v>17</v>
      </c>
      <c r="B4" s="35" t="s">
        <v>27</v>
      </c>
      <c r="C4" s="35" t="s">
        <v>32</v>
      </c>
      <c r="D4" s="35" t="s">
        <v>38</v>
      </c>
      <c r="E4" s="35" t="s">
        <v>44</v>
      </c>
      <c r="F4" s="35" t="s">
        <v>513</v>
      </c>
      <c r="G4" s="35" t="s">
        <v>514</v>
      </c>
      <c r="H4" s="35" t="s">
        <v>515</v>
      </c>
      <c r="I4" s="35" t="s">
        <v>516</v>
      </c>
      <c r="J4" s="35" t="s">
        <v>517</v>
      </c>
      <c r="K4" s="35" t="s">
        <v>518</v>
      </c>
      <c r="L4" s="35" t="s">
        <v>520</v>
      </c>
      <c r="M4" s="35" t="s">
        <v>15</v>
      </c>
    </row>
    <row r="5" spans="1:13" ht="12" customHeight="1" x14ac:dyDescent="0.3">
      <c r="A5" t="s">
        <v>537</v>
      </c>
      <c r="B5" t="s">
        <v>522</v>
      </c>
      <c r="C5" t="s">
        <v>523</v>
      </c>
      <c r="E5" t="s">
        <v>524</v>
      </c>
      <c r="F5" t="s">
        <v>155</v>
      </c>
      <c r="H5" t="s">
        <v>602</v>
      </c>
      <c r="I5" s="29">
        <v>233</v>
      </c>
      <c r="J5" t="s">
        <v>158</v>
      </c>
      <c r="L5" t="s">
        <v>150</v>
      </c>
      <c r="M5" t="str">
        <f>IFERROR(INDEX(Diccionario!$N:$N,MATCH(F1236,Diccionario!$C:$C,0)),"")</f>
        <v/>
      </c>
    </row>
    <row r="6" spans="1:13" ht="12" customHeight="1" x14ac:dyDescent="0.3">
      <c r="A6" t="s">
        <v>538</v>
      </c>
      <c r="B6" t="s">
        <v>522</v>
      </c>
      <c r="C6" t="s">
        <v>523</v>
      </c>
      <c r="E6" t="s">
        <v>524</v>
      </c>
      <c r="F6" t="s">
        <v>155</v>
      </c>
      <c r="H6" t="s">
        <v>602</v>
      </c>
      <c r="I6" s="29">
        <v>191</v>
      </c>
      <c r="J6" t="s">
        <v>158</v>
      </c>
      <c r="L6" t="s">
        <v>150</v>
      </c>
      <c r="M6" t="str">
        <f>IFERROR(INDEX(Diccionario!$N:$N,MATCH(F1237,Diccionario!$C:$C,0)),"")</f>
        <v/>
      </c>
    </row>
    <row r="7" spans="1:13" ht="12" customHeight="1" x14ac:dyDescent="0.3">
      <c r="A7" t="s">
        <v>539</v>
      </c>
      <c r="B7" t="s">
        <v>522</v>
      </c>
      <c r="C7" t="s">
        <v>523</v>
      </c>
      <c r="D7" t="s">
        <v>451</v>
      </c>
      <c r="E7" t="s">
        <v>524</v>
      </c>
      <c r="F7" t="s">
        <v>162</v>
      </c>
      <c r="H7" t="s">
        <v>602</v>
      </c>
      <c r="I7" s="29">
        <v>53536660.289999999</v>
      </c>
      <c r="J7" t="s">
        <v>451</v>
      </c>
      <c r="K7" t="s">
        <v>610</v>
      </c>
      <c r="L7" t="s">
        <v>165</v>
      </c>
      <c r="M7" t="str">
        <f>IFERROR(INDEX(Diccionario!$N:$N,MATCH(F1260,Diccionario!$C:$C,0)),"")</f>
        <v/>
      </c>
    </row>
    <row r="8" spans="1:13" ht="12" customHeight="1" x14ac:dyDescent="0.3">
      <c r="A8" t="s">
        <v>539</v>
      </c>
      <c r="B8" t="s">
        <v>522</v>
      </c>
      <c r="C8" t="s">
        <v>523</v>
      </c>
      <c r="E8" t="s">
        <v>524</v>
      </c>
      <c r="F8" t="s">
        <v>181</v>
      </c>
      <c r="H8" t="s">
        <v>602</v>
      </c>
      <c r="I8" s="29">
        <v>2.1</v>
      </c>
      <c r="J8" t="s">
        <v>101</v>
      </c>
      <c r="K8" t="s">
        <v>616</v>
      </c>
      <c r="L8" t="s">
        <v>165</v>
      </c>
      <c r="M8" t="str">
        <f>IFERROR(INDEX(Diccionario!$N:$N,MATCH(F1278,Diccionario!$C:$C,0)),"")</f>
        <v/>
      </c>
    </row>
    <row r="9" spans="1:13" ht="12" customHeight="1" x14ac:dyDescent="0.3">
      <c r="A9" t="s">
        <v>539</v>
      </c>
      <c r="B9" t="s">
        <v>522</v>
      </c>
      <c r="C9" t="s">
        <v>523</v>
      </c>
      <c r="D9" t="s">
        <v>451</v>
      </c>
      <c r="E9" t="s">
        <v>524</v>
      </c>
      <c r="F9" t="s">
        <v>151</v>
      </c>
      <c r="H9" t="s">
        <v>602</v>
      </c>
      <c r="I9" s="29">
        <v>149675351</v>
      </c>
      <c r="J9" t="s">
        <v>451</v>
      </c>
      <c r="K9" t="s">
        <v>604</v>
      </c>
      <c r="L9" t="s">
        <v>150</v>
      </c>
      <c r="M9" t="str">
        <f>IFERROR(INDEX(Diccionario!$N:$N,MATCH(F1254,Diccionario!$C:$C,0)),"")</f>
        <v/>
      </c>
    </row>
    <row r="10" spans="1:13" ht="12" customHeight="1" x14ac:dyDescent="0.3">
      <c r="A10" t="s">
        <v>539</v>
      </c>
      <c r="B10" t="s">
        <v>522</v>
      </c>
      <c r="C10" t="s">
        <v>523</v>
      </c>
      <c r="E10" t="s">
        <v>524</v>
      </c>
      <c r="F10" t="s">
        <v>155</v>
      </c>
      <c r="H10" t="s">
        <v>602</v>
      </c>
      <c r="I10" s="29">
        <v>117</v>
      </c>
      <c r="J10" t="s">
        <v>158</v>
      </c>
      <c r="L10" t="s">
        <v>150</v>
      </c>
      <c r="M10" t="str">
        <f>IFERROR(INDEX(Diccionario!$N:$N,MATCH(F1238,Diccionario!$C:$C,0)),"")</f>
        <v/>
      </c>
    </row>
    <row r="11" spans="1:13" ht="12" customHeight="1" x14ac:dyDescent="0.3">
      <c r="A11" t="s">
        <v>539</v>
      </c>
      <c r="B11" t="s">
        <v>522</v>
      </c>
      <c r="C11" t="s">
        <v>523</v>
      </c>
      <c r="D11" t="s">
        <v>451</v>
      </c>
      <c r="E11" t="s">
        <v>524</v>
      </c>
      <c r="F11" t="s">
        <v>169</v>
      </c>
      <c r="H11" t="s">
        <v>602</v>
      </c>
      <c r="I11" s="29">
        <v>294011510</v>
      </c>
      <c r="J11" t="s">
        <v>451</v>
      </c>
      <c r="K11" t="s">
        <v>616</v>
      </c>
      <c r="L11" t="s">
        <v>165</v>
      </c>
      <c r="M11" t="str">
        <f>IFERROR(INDEX(Diccionario!$N:$N,MATCH(F1266,Diccionario!$C:$C,0)),"")</f>
        <v/>
      </c>
    </row>
    <row r="12" spans="1:13" ht="12" customHeight="1" x14ac:dyDescent="0.3">
      <c r="A12" t="s">
        <v>539</v>
      </c>
      <c r="B12" t="s">
        <v>522</v>
      </c>
      <c r="C12" t="s">
        <v>523</v>
      </c>
      <c r="E12" t="s">
        <v>524</v>
      </c>
      <c r="F12" t="s">
        <v>174</v>
      </c>
      <c r="H12" t="s">
        <v>602</v>
      </c>
      <c r="I12" s="39">
        <v>5</v>
      </c>
      <c r="J12" t="s">
        <v>177</v>
      </c>
      <c r="K12" t="s">
        <v>616</v>
      </c>
      <c r="L12" t="s">
        <v>165</v>
      </c>
      <c r="M12" t="str">
        <f>IFERROR(INDEX(Diccionario!$N:$N,MATCH(F1272,Diccionario!$C:$C,0)),"")</f>
        <v/>
      </c>
    </row>
    <row r="13" spans="1:13" ht="12" customHeight="1" x14ac:dyDescent="0.3">
      <c r="A13" t="s">
        <v>540</v>
      </c>
      <c r="B13" t="s">
        <v>522</v>
      </c>
      <c r="C13" t="s">
        <v>523</v>
      </c>
      <c r="E13" t="s">
        <v>524</v>
      </c>
      <c r="F13" t="s">
        <v>155</v>
      </c>
      <c r="H13" t="s">
        <v>602</v>
      </c>
      <c r="I13" s="29">
        <v>119</v>
      </c>
      <c r="J13" t="s">
        <v>158</v>
      </c>
      <c r="L13" t="s">
        <v>150</v>
      </c>
      <c r="M13" t="str">
        <f>IFERROR(INDEX(Diccionario!$N:$N,MATCH(F1239,Diccionario!$C:$C,0)),"")</f>
        <v/>
      </c>
    </row>
    <row r="14" spans="1:13" ht="12" customHeight="1" x14ac:dyDescent="0.3">
      <c r="A14" t="s">
        <v>541</v>
      </c>
      <c r="B14" t="s">
        <v>522</v>
      </c>
      <c r="C14" t="s">
        <v>523</v>
      </c>
      <c r="E14" t="s">
        <v>524</v>
      </c>
      <c r="F14" t="s">
        <v>155</v>
      </c>
      <c r="H14" t="s">
        <v>602</v>
      </c>
      <c r="I14" s="29">
        <v>172</v>
      </c>
      <c r="J14" t="s">
        <v>158</v>
      </c>
      <c r="L14" t="s">
        <v>150</v>
      </c>
      <c r="M14" t="str">
        <f>IFERROR(INDEX(Diccionario!$N:$N,MATCH(F1240,Diccionario!$C:$C,0)),"")</f>
        <v/>
      </c>
    </row>
    <row r="15" spans="1:13" ht="12" customHeight="1" x14ac:dyDescent="0.3">
      <c r="A15" t="s">
        <v>542</v>
      </c>
      <c r="B15" t="s">
        <v>522</v>
      </c>
      <c r="C15" t="s">
        <v>523</v>
      </c>
      <c r="D15" t="s">
        <v>451</v>
      </c>
      <c r="E15" t="s">
        <v>524</v>
      </c>
      <c r="F15" t="s">
        <v>162</v>
      </c>
      <c r="H15" t="s">
        <v>602</v>
      </c>
      <c r="I15" s="29">
        <v>50289915.590000004</v>
      </c>
      <c r="J15" t="s">
        <v>451</v>
      </c>
      <c r="K15" t="s">
        <v>611</v>
      </c>
      <c r="L15" t="s">
        <v>165</v>
      </c>
      <c r="M15" t="str">
        <f>IFERROR(INDEX(Diccionario!$N:$N,MATCH(F1261,Diccionario!$C:$C,0)),"")</f>
        <v/>
      </c>
    </row>
    <row r="16" spans="1:13" ht="12" customHeight="1" x14ac:dyDescent="0.3">
      <c r="A16" t="s">
        <v>542</v>
      </c>
      <c r="B16" t="s">
        <v>522</v>
      </c>
      <c r="C16" t="s">
        <v>523</v>
      </c>
      <c r="E16" t="s">
        <v>524</v>
      </c>
      <c r="F16" t="s">
        <v>181</v>
      </c>
      <c r="H16" t="s">
        <v>602</v>
      </c>
      <c r="I16" s="29">
        <v>1.8</v>
      </c>
      <c r="J16" t="s">
        <v>101</v>
      </c>
      <c r="K16" t="s">
        <v>617</v>
      </c>
      <c r="L16" t="s">
        <v>165</v>
      </c>
      <c r="M16" t="str">
        <f>IFERROR(INDEX(Diccionario!$N:$N,MATCH(F1279,Diccionario!$C:$C,0)),"")</f>
        <v/>
      </c>
    </row>
    <row r="17" spans="1:13" ht="12" customHeight="1" x14ac:dyDescent="0.3">
      <c r="A17" t="s">
        <v>542</v>
      </c>
      <c r="B17" t="s">
        <v>522</v>
      </c>
      <c r="C17" t="s">
        <v>523</v>
      </c>
      <c r="D17" t="s">
        <v>451</v>
      </c>
      <c r="E17" t="s">
        <v>524</v>
      </c>
      <c r="F17" t="s">
        <v>151</v>
      </c>
      <c r="H17" t="s">
        <v>602</v>
      </c>
      <c r="I17" s="29">
        <v>186879929</v>
      </c>
      <c r="J17" t="s">
        <v>451</v>
      </c>
      <c r="K17" t="s">
        <v>605</v>
      </c>
      <c r="L17" t="s">
        <v>150</v>
      </c>
      <c r="M17" t="str">
        <f>IFERROR(INDEX(Diccionario!$N:$N,MATCH(F1255,Diccionario!$C:$C,0)),"")</f>
        <v/>
      </c>
    </row>
    <row r="18" spans="1:13" ht="12" customHeight="1" x14ac:dyDescent="0.3">
      <c r="A18" t="s">
        <v>542</v>
      </c>
      <c r="B18" t="s">
        <v>522</v>
      </c>
      <c r="C18" t="s">
        <v>523</v>
      </c>
      <c r="E18" t="s">
        <v>524</v>
      </c>
      <c r="F18" t="s">
        <v>155</v>
      </c>
      <c r="H18" t="s">
        <v>602</v>
      </c>
      <c r="I18" s="29">
        <v>238</v>
      </c>
      <c r="J18" t="s">
        <v>158</v>
      </c>
      <c r="L18" t="s">
        <v>150</v>
      </c>
      <c r="M18" t="str">
        <f>IFERROR(INDEX(Diccionario!$N:$N,MATCH(F1241,Diccionario!$C:$C,0)),"")</f>
        <v/>
      </c>
    </row>
    <row r="19" spans="1:13" ht="12" customHeight="1" x14ac:dyDescent="0.3">
      <c r="A19" t="s">
        <v>542</v>
      </c>
      <c r="B19" t="s">
        <v>522</v>
      </c>
      <c r="C19" t="s">
        <v>523</v>
      </c>
      <c r="D19" t="s">
        <v>451</v>
      </c>
      <c r="E19" t="s">
        <v>524</v>
      </c>
      <c r="F19" t="s">
        <v>169</v>
      </c>
      <c r="H19" t="s">
        <v>602</v>
      </c>
      <c r="I19" s="29">
        <v>476285903</v>
      </c>
      <c r="J19" t="s">
        <v>451</v>
      </c>
      <c r="K19" t="s">
        <v>617</v>
      </c>
      <c r="L19" t="s">
        <v>165</v>
      </c>
      <c r="M19" t="str">
        <f>IFERROR(INDEX(Diccionario!$N:$N,MATCH(F1267,Diccionario!$C:$C,0)),"")</f>
        <v/>
      </c>
    </row>
    <row r="20" spans="1:13" ht="12" customHeight="1" x14ac:dyDescent="0.3">
      <c r="A20" t="s">
        <v>542</v>
      </c>
      <c r="B20" t="s">
        <v>522</v>
      </c>
      <c r="C20" t="s">
        <v>523</v>
      </c>
      <c r="E20" t="s">
        <v>524</v>
      </c>
      <c r="F20" t="s">
        <v>174</v>
      </c>
      <c r="H20" t="s">
        <v>602</v>
      </c>
      <c r="I20" s="39">
        <v>9</v>
      </c>
      <c r="J20" t="s">
        <v>177</v>
      </c>
      <c r="K20" t="s">
        <v>617</v>
      </c>
      <c r="L20" t="s">
        <v>165</v>
      </c>
      <c r="M20" t="str">
        <f>IFERROR(INDEX(Diccionario!$N:$N,MATCH(F1273,Diccionario!$C:$C,0)),"")</f>
        <v/>
      </c>
    </row>
    <row r="21" spans="1:13" ht="12" customHeight="1" x14ac:dyDescent="0.3">
      <c r="A21" t="s">
        <v>543</v>
      </c>
      <c r="B21" t="s">
        <v>522</v>
      </c>
      <c r="C21" t="s">
        <v>523</v>
      </c>
      <c r="E21" t="s">
        <v>524</v>
      </c>
      <c r="F21" t="s">
        <v>155</v>
      </c>
      <c r="H21" t="s">
        <v>602</v>
      </c>
      <c r="I21" s="29">
        <v>230</v>
      </c>
      <c r="J21" t="s">
        <v>158</v>
      </c>
      <c r="L21" t="s">
        <v>150</v>
      </c>
      <c r="M21" t="str">
        <f>IFERROR(INDEX(Diccionario!$N:$N,MATCH(F1242,Diccionario!$C:$C,0)),"")</f>
        <v/>
      </c>
    </row>
    <row r="22" spans="1:13" ht="12" customHeight="1" x14ac:dyDescent="0.3">
      <c r="A22" t="s">
        <v>544</v>
      </c>
      <c r="B22" t="s">
        <v>522</v>
      </c>
      <c r="C22" t="s">
        <v>523</v>
      </c>
      <c r="E22" t="s">
        <v>524</v>
      </c>
      <c r="F22" t="s">
        <v>155</v>
      </c>
      <c r="H22" t="s">
        <v>602</v>
      </c>
      <c r="I22" s="29">
        <v>413</v>
      </c>
      <c r="J22" t="s">
        <v>158</v>
      </c>
      <c r="L22" t="s">
        <v>150</v>
      </c>
      <c r="M22" t="str">
        <f>IFERROR(INDEX(Diccionario!$N:$N,MATCH(F1243,Diccionario!$C:$C,0)),"")</f>
        <v/>
      </c>
    </row>
    <row r="23" spans="1:13" ht="12" customHeight="1" x14ac:dyDescent="0.3">
      <c r="A23" t="s">
        <v>545</v>
      </c>
      <c r="B23" t="s">
        <v>522</v>
      </c>
      <c r="C23" t="s">
        <v>523</v>
      </c>
      <c r="D23" t="s">
        <v>451</v>
      </c>
      <c r="E23" t="s">
        <v>524</v>
      </c>
      <c r="F23" t="s">
        <v>162</v>
      </c>
      <c r="H23" t="s">
        <v>602</v>
      </c>
      <c r="I23" s="29">
        <v>34710372</v>
      </c>
      <c r="J23" t="s">
        <v>451</v>
      </c>
      <c r="K23" t="s">
        <v>612</v>
      </c>
      <c r="L23" t="s">
        <v>165</v>
      </c>
      <c r="M23" t="str">
        <f>IFERROR(INDEX(Diccionario!$N:$N,MATCH(F1262,Diccionario!$C:$C,0)),"")</f>
        <v/>
      </c>
    </row>
    <row r="24" spans="1:13" ht="12" customHeight="1" x14ac:dyDescent="0.3">
      <c r="A24" t="s">
        <v>545</v>
      </c>
      <c r="B24" t="s">
        <v>522</v>
      </c>
      <c r="C24" t="s">
        <v>523</v>
      </c>
      <c r="E24" t="s">
        <v>524</v>
      </c>
      <c r="F24" t="s">
        <v>181</v>
      </c>
      <c r="H24" t="s">
        <v>602</v>
      </c>
      <c r="I24" s="29">
        <v>1.3</v>
      </c>
      <c r="J24" t="s">
        <v>101</v>
      </c>
      <c r="K24" t="s">
        <v>618</v>
      </c>
      <c r="L24" t="s">
        <v>165</v>
      </c>
      <c r="M24" t="str">
        <f>IFERROR(INDEX(Diccionario!$N:$N,MATCH(F1280,Diccionario!$C:$C,0)),"")</f>
        <v/>
      </c>
    </row>
    <row r="25" spans="1:13" ht="12" customHeight="1" x14ac:dyDescent="0.3">
      <c r="A25" t="s">
        <v>545</v>
      </c>
      <c r="B25" t="s">
        <v>522</v>
      </c>
      <c r="C25" t="s">
        <v>523</v>
      </c>
      <c r="D25" t="s">
        <v>451</v>
      </c>
      <c r="E25" t="s">
        <v>524</v>
      </c>
      <c r="F25" t="s">
        <v>151</v>
      </c>
      <c r="H25" t="s">
        <v>602</v>
      </c>
      <c r="I25" s="29">
        <v>195425338</v>
      </c>
      <c r="J25" t="s">
        <v>451</v>
      </c>
      <c r="K25" t="s">
        <v>606</v>
      </c>
      <c r="L25" t="s">
        <v>150</v>
      </c>
      <c r="M25" t="str">
        <f>IFERROR(INDEX(Diccionario!$N:$N,MATCH(F1256,Diccionario!$C:$C,0)),"")</f>
        <v/>
      </c>
    </row>
    <row r="26" spans="1:13" ht="12" customHeight="1" x14ac:dyDescent="0.3">
      <c r="A26" t="s">
        <v>545</v>
      </c>
      <c r="B26" t="s">
        <v>522</v>
      </c>
      <c r="C26" t="s">
        <v>523</v>
      </c>
      <c r="E26" t="s">
        <v>524</v>
      </c>
      <c r="F26" t="s">
        <v>155</v>
      </c>
      <c r="H26" t="s">
        <v>602</v>
      </c>
      <c r="I26" s="29">
        <v>777</v>
      </c>
      <c r="J26" t="s">
        <v>158</v>
      </c>
      <c r="L26" t="s">
        <v>150</v>
      </c>
      <c r="M26" t="str">
        <f>IFERROR(INDEX(Diccionario!$N:$N,MATCH(F1244,Diccionario!$C:$C,0)),"")</f>
        <v/>
      </c>
    </row>
    <row r="27" spans="1:13" ht="12" customHeight="1" x14ac:dyDescent="0.3">
      <c r="A27" t="s">
        <v>545</v>
      </c>
      <c r="B27" t="s">
        <v>522</v>
      </c>
      <c r="C27" t="s">
        <v>523</v>
      </c>
      <c r="D27" t="s">
        <v>451</v>
      </c>
      <c r="E27" t="s">
        <v>524</v>
      </c>
      <c r="F27" t="s">
        <v>169</v>
      </c>
      <c r="H27" t="s">
        <v>602</v>
      </c>
      <c r="I27" s="29">
        <v>408296920</v>
      </c>
      <c r="J27" t="s">
        <v>451</v>
      </c>
      <c r="K27" t="s">
        <v>618</v>
      </c>
      <c r="L27" t="s">
        <v>165</v>
      </c>
      <c r="M27" t="str">
        <f>IFERROR(INDEX(Diccionario!$N:$N,MATCH(F1268,Diccionario!$C:$C,0)),"")</f>
        <v/>
      </c>
    </row>
    <row r="28" spans="1:13" ht="12" customHeight="1" x14ac:dyDescent="0.3">
      <c r="A28" t="s">
        <v>545</v>
      </c>
      <c r="B28" t="s">
        <v>522</v>
      </c>
      <c r="C28" t="s">
        <v>523</v>
      </c>
      <c r="E28" t="s">
        <v>524</v>
      </c>
      <c r="F28" t="s">
        <v>174</v>
      </c>
      <c r="H28" t="s">
        <v>602</v>
      </c>
      <c r="I28" s="39">
        <v>12</v>
      </c>
      <c r="J28" t="s">
        <v>177</v>
      </c>
      <c r="K28" t="s">
        <v>618</v>
      </c>
      <c r="L28" t="s">
        <v>165</v>
      </c>
      <c r="M28" t="str">
        <f>IFERROR(INDEX(Diccionario!$N:$N,MATCH(F1274,Diccionario!$C:$C,0)),"")</f>
        <v/>
      </c>
    </row>
    <row r="29" spans="1:13" ht="12" customHeight="1" x14ac:dyDescent="0.3">
      <c r="A29" t="s">
        <v>546</v>
      </c>
      <c r="B29" t="s">
        <v>522</v>
      </c>
      <c r="C29" t="s">
        <v>523</v>
      </c>
      <c r="E29" t="s">
        <v>524</v>
      </c>
      <c r="F29" t="s">
        <v>155</v>
      </c>
      <c r="H29" t="s">
        <v>602</v>
      </c>
      <c r="I29" s="29">
        <v>124</v>
      </c>
      <c r="J29" t="s">
        <v>158</v>
      </c>
      <c r="L29" t="s">
        <v>150</v>
      </c>
      <c r="M29" t="str">
        <f>IFERROR(INDEX(Diccionario!$N:$N,MATCH(F1245,Diccionario!$C:$C,0)),"")</f>
        <v/>
      </c>
    </row>
    <row r="30" spans="1:13" ht="12" customHeight="1" x14ac:dyDescent="0.3">
      <c r="A30" t="s">
        <v>547</v>
      </c>
      <c r="B30" t="s">
        <v>522</v>
      </c>
      <c r="C30" t="s">
        <v>523</v>
      </c>
      <c r="E30" t="s">
        <v>524</v>
      </c>
      <c r="F30" t="s">
        <v>155</v>
      </c>
      <c r="H30" t="s">
        <v>602</v>
      </c>
      <c r="I30" s="29">
        <v>114</v>
      </c>
      <c r="J30" t="s">
        <v>158</v>
      </c>
      <c r="L30" t="s">
        <v>150</v>
      </c>
      <c r="M30" t="str">
        <f>IFERROR(INDEX(Diccionario!$N:$N,MATCH(F1246,Diccionario!$C:$C,0)),"")</f>
        <v/>
      </c>
    </row>
    <row r="31" spans="1:13" ht="12" customHeight="1" x14ac:dyDescent="0.3">
      <c r="A31" t="s">
        <v>548</v>
      </c>
      <c r="B31" t="s">
        <v>522</v>
      </c>
      <c r="C31" t="s">
        <v>523</v>
      </c>
      <c r="D31" t="s">
        <v>451</v>
      </c>
      <c r="E31" t="s">
        <v>524</v>
      </c>
      <c r="F31" t="s">
        <v>162</v>
      </c>
      <c r="H31" t="s">
        <v>602</v>
      </c>
      <c r="I31" s="29">
        <v>42374152.850000001</v>
      </c>
      <c r="J31" t="s">
        <v>451</v>
      </c>
      <c r="K31" t="s">
        <v>613</v>
      </c>
      <c r="L31" t="s">
        <v>165</v>
      </c>
      <c r="M31" t="str">
        <f>IFERROR(INDEX(Diccionario!$N:$N,MATCH(F1263,Diccionario!$C:$C,0)),"")</f>
        <v/>
      </c>
    </row>
    <row r="32" spans="1:13" ht="12" customHeight="1" x14ac:dyDescent="0.3">
      <c r="A32" t="s">
        <v>548</v>
      </c>
      <c r="B32" t="s">
        <v>522</v>
      </c>
      <c r="C32" t="s">
        <v>523</v>
      </c>
      <c r="E32" t="s">
        <v>524</v>
      </c>
      <c r="F32" t="s">
        <v>181</v>
      </c>
      <c r="H32" t="s">
        <v>602</v>
      </c>
      <c r="I32" s="29">
        <v>1.7</v>
      </c>
      <c r="J32" t="s">
        <v>101</v>
      </c>
      <c r="K32" t="s">
        <v>619</v>
      </c>
      <c r="L32" t="s">
        <v>165</v>
      </c>
      <c r="M32" t="str">
        <f>IFERROR(INDEX(Diccionario!$N:$N,MATCH(F1281,Diccionario!$C:$C,0)),"")</f>
        <v/>
      </c>
    </row>
    <row r="33" spans="1:13" ht="12" customHeight="1" x14ac:dyDescent="0.3">
      <c r="A33" t="s">
        <v>548</v>
      </c>
      <c r="B33" t="s">
        <v>522</v>
      </c>
      <c r="C33" t="s">
        <v>523</v>
      </c>
      <c r="D33" t="s">
        <v>451</v>
      </c>
      <c r="E33" t="s">
        <v>524</v>
      </c>
      <c r="F33" t="s">
        <v>151</v>
      </c>
      <c r="H33" t="s">
        <v>602</v>
      </c>
      <c r="I33" s="29">
        <v>78267175</v>
      </c>
      <c r="J33" t="s">
        <v>451</v>
      </c>
      <c r="K33" t="s">
        <v>607</v>
      </c>
      <c r="L33" t="s">
        <v>150</v>
      </c>
      <c r="M33" t="str">
        <f>IFERROR(INDEX(Diccionario!$N:$N,MATCH(F1257,Diccionario!$C:$C,0)),"")</f>
        <v/>
      </c>
    </row>
    <row r="34" spans="1:13" ht="12" customHeight="1" x14ac:dyDescent="0.3">
      <c r="A34" t="s">
        <v>548</v>
      </c>
      <c r="B34" t="s">
        <v>522</v>
      </c>
      <c r="C34" t="s">
        <v>523</v>
      </c>
      <c r="E34" t="s">
        <v>524</v>
      </c>
      <c r="F34" t="s">
        <v>155</v>
      </c>
      <c r="H34" t="s">
        <v>602</v>
      </c>
      <c r="I34" s="29">
        <v>514</v>
      </c>
      <c r="J34" t="s">
        <v>158</v>
      </c>
      <c r="L34" t="s">
        <v>150</v>
      </c>
      <c r="M34" t="str">
        <f>IFERROR(INDEX(Diccionario!$N:$N,MATCH(F1247,Diccionario!$C:$C,0)),"")</f>
        <v/>
      </c>
    </row>
    <row r="35" spans="1:13" ht="12" customHeight="1" x14ac:dyDescent="0.3">
      <c r="A35" t="s">
        <v>548</v>
      </c>
      <c r="B35" t="s">
        <v>522</v>
      </c>
      <c r="C35" t="s">
        <v>523</v>
      </c>
      <c r="D35" t="s">
        <v>451</v>
      </c>
      <c r="E35" t="s">
        <v>524</v>
      </c>
      <c r="F35" t="s">
        <v>169</v>
      </c>
      <c r="H35" t="s">
        <v>602</v>
      </c>
      <c r="I35" s="29">
        <v>359574204</v>
      </c>
      <c r="J35" t="s">
        <v>451</v>
      </c>
      <c r="K35" t="s">
        <v>619</v>
      </c>
      <c r="L35" t="s">
        <v>165</v>
      </c>
      <c r="M35" t="str">
        <f>IFERROR(INDEX(Diccionario!$N:$N,MATCH(F1269,Diccionario!$C:$C,0)),"")</f>
        <v/>
      </c>
    </row>
    <row r="36" spans="1:13" ht="12" customHeight="1" x14ac:dyDescent="0.3">
      <c r="A36" t="s">
        <v>548</v>
      </c>
      <c r="B36" t="s">
        <v>522</v>
      </c>
      <c r="C36" t="s">
        <v>523</v>
      </c>
      <c r="E36" t="s">
        <v>524</v>
      </c>
      <c r="F36" t="s">
        <v>174</v>
      </c>
      <c r="H36" t="s">
        <v>602</v>
      </c>
      <c r="I36" s="39">
        <v>8</v>
      </c>
      <c r="J36" t="s">
        <v>177</v>
      </c>
      <c r="K36" t="s">
        <v>619</v>
      </c>
      <c r="L36" t="s">
        <v>165</v>
      </c>
      <c r="M36" t="str">
        <f>IFERROR(INDEX(Diccionario!$N:$N,MATCH(F1275,Diccionario!$C:$C,0)),"")</f>
        <v/>
      </c>
    </row>
    <row r="37" spans="1:13" ht="12" customHeight="1" x14ac:dyDescent="0.3">
      <c r="A37" t="s">
        <v>549</v>
      </c>
      <c r="B37" t="s">
        <v>522</v>
      </c>
      <c r="C37" t="s">
        <v>523</v>
      </c>
      <c r="E37" t="s">
        <v>524</v>
      </c>
      <c r="F37" t="s">
        <v>155</v>
      </c>
      <c r="H37" t="s">
        <v>602</v>
      </c>
      <c r="I37" s="29">
        <v>237</v>
      </c>
      <c r="J37" t="s">
        <v>158</v>
      </c>
      <c r="L37" t="s">
        <v>150</v>
      </c>
      <c r="M37" t="str">
        <f>IFERROR(INDEX(Diccionario!$N:$N,MATCH(F1248,Diccionario!$C:$C,0)),"")</f>
        <v/>
      </c>
    </row>
    <row r="38" spans="1:13" ht="12" customHeight="1" x14ac:dyDescent="0.3">
      <c r="A38" t="s">
        <v>551</v>
      </c>
      <c r="B38" t="s">
        <v>522</v>
      </c>
      <c r="C38" t="s">
        <v>523</v>
      </c>
      <c r="E38" t="s">
        <v>524</v>
      </c>
      <c r="F38" t="s">
        <v>155</v>
      </c>
      <c r="H38" t="s">
        <v>602</v>
      </c>
      <c r="I38" s="29">
        <v>359</v>
      </c>
      <c r="J38" t="s">
        <v>158</v>
      </c>
      <c r="L38" t="s">
        <v>150</v>
      </c>
      <c r="M38" t="str">
        <f>IFERROR(INDEX(Diccionario!$N:$N,MATCH(F1249,Diccionario!$C:$C,0)),"")</f>
        <v/>
      </c>
    </row>
    <row r="39" spans="1:13" ht="12" customHeight="1" x14ac:dyDescent="0.3">
      <c r="A39" t="s">
        <v>552</v>
      </c>
      <c r="B39" t="s">
        <v>522</v>
      </c>
      <c r="C39" t="s">
        <v>523</v>
      </c>
      <c r="D39" t="s">
        <v>451</v>
      </c>
      <c r="E39" t="s">
        <v>524</v>
      </c>
      <c r="F39" t="s">
        <v>162</v>
      </c>
      <c r="H39" t="s">
        <v>602</v>
      </c>
      <c r="I39" s="29">
        <v>117722903.69</v>
      </c>
      <c r="J39" t="s">
        <v>451</v>
      </c>
      <c r="K39" t="s">
        <v>614</v>
      </c>
      <c r="L39" t="s">
        <v>165</v>
      </c>
      <c r="M39" t="str">
        <f>IFERROR(INDEX(Diccionario!$N:$N,MATCH(F1264,Diccionario!$C:$C,0)),"")</f>
        <v/>
      </c>
    </row>
    <row r="40" spans="1:13" ht="12" customHeight="1" x14ac:dyDescent="0.3">
      <c r="A40" t="s">
        <v>552</v>
      </c>
      <c r="B40" t="s">
        <v>522</v>
      </c>
      <c r="C40" t="s">
        <v>523</v>
      </c>
      <c r="E40" t="s">
        <v>524</v>
      </c>
      <c r="F40" t="s">
        <v>181</v>
      </c>
      <c r="H40" t="s">
        <v>602</v>
      </c>
      <c r="I40" s="29">
        <v>5</v>
      </c>
      <c r="J40" t="s">
        <v>101</v>
      </c>
      <c r="K40" t="s">
        <v>620</v>
      </c>
      <c r="L40" t="s">
        <v>165</v>
      </c>
      <c r="M40" t="str">
        <f>IFERROR(INDEX(Diccionario!$N:$N,MATCH(F1282,Diccionario!$C:$C,0)),"")</f>
        <v/>
      </c>
    </row>
    <row r="41" spans="1:13" ht="12" customHeight="1" x14ac:dyDescent="0.3">
      <c r="A41" t="s">
        <v>552</v>
      </c>
      <c r="B41" t="s">
        <v>522</v>
      </c>
      <c r="C41" t="s">
        <v>523</v>
      </c>
      <c r="D41" t="s">
        <v>451</v>
      </c>
      <c r="E41" t="s">
        <v>524</v>
      </c>
      <c r="F41" t="s">
        <v>151</v>
      </c>
      <c r="H41" t="s">
        <v>602</v>
      </c>
      <c r="I41" s="29">
        <v>80204146</v>
      </c>
      <c r="J41" t="s">
        <v>451</v>
      </c>
      <c r="K41" t="s">
        <v>608</v>
      </c>
      <c r="L41" t="s">
        <v>150</v>
      </c>
      <c r="M41" t="str">
        <f>IFERROR(INDEX(Diccionario!$N:$N,MATCH(F1258,Diccionario!$C:$C,0)),"")</f>
        <v/>
      </c>
    </row>
    <row r="42" spans="1:13" ht="12" customHeight="1" x14ac:dyDescent="0.3">
      <c r="A42" t="s">
        <v>552</v>
      </c>
      <c r="B42" t="s">
        <v>522</v>
      </c>
      <c r="C42" t="s">
        <v>523</v>
      </c>
      <c r="E42" t="s">
        <v>524</v>
      </c>
      <c r="F42" t="s">
        <v>155</v>
      </c>
      <c r="H42" t="s">
        <v>602</v>
      </c>
      <c r="I42" s="29">
        <v>294</v>
      </c>
      <c r="J42" t="s">
        <v>158</v>
      </c>
      <c r="L42" t="s">
        <v>150</v>
      </c>
      <c r="M42" t="str">
        <f>IFERROR(INDEX(Diccionario!$N:$N,MATCH(F1250,Diccionario!$C:$C,0)),"")</f>
        <v/>
      </c>
    </row>
    <row r="43" spans="1:13" ht="12" customHeight="1" x14ac:dyDescent="0.3">
      <c r="A43" t="s">
        <v>552</v>
      </c>
      <c r="B43" t="s">
        <v>522</v>
      </c>
      <c r="C43" t="s">
        <v>523</v>
      </c>
      <c r="D43" t="s">
        <v>451</v>
      </c>
      <c r="E43" t="s">
        <v>524</v>
      </c>
      <c r="F43" t="s">
        <v>169</v>
      </c>
      <c r="H43" t="s">
        <v>602</v>
      </c>
      <c r="I43" s="29">
        <v>152508916</v>
      </c>
      <c r="J43" t="s">
        <v>451</v>
      </c>
      <c r="K43" t="s">
        <v>620</v>
      </c>
      <c r="L43" t="s">
        <v>165</v>
      </c>
      <c r="M43" t="str">
        <f>IFERROR(INDEX(Diccionario!$N:$N,MATCH(F1270,Diccionario!$C:$C,0)),"")</f>
        <v/>
      </c>
    </row>
    <row r="44" spans="1:13" ht="12" customHeight="1" x14ac:dyDescent="0.3">
      <c r="A44" t="s">
        <v>552</v>
      </c>
      <c r="B44" t="s">
        <v>522</v>
      </c>
      <c r="C44" t="s">
        <v>523</v>
      </c>
      <c r="E44" t="s">
        <v>524</v>
      </c>
      <c r="F44" t="s">
        <v>174</v>
      </c>
      <c r="H44" t="s">
        <v>602</v>
      </c>
      <c r="I44" s="39">
        <v>1.3</v>
      </c>
      <c r="J44" t="s">
        <v>177</v>
      </c>
      <c r="K44" t="s">
        <v>620</v>
      </c>
      <c r="L44" t="s">
        <v>165</v>
      </c>
      <c r="M44" t="str">
        <f>IFERROR(INDEX(Diccionario!$N:$N,MATCH(F1276,Diccionario!$C:$C,0)),"")</f>
        <v/>
      </c>
    </row>
    <row r="45" spans="1:13" ht="12" customHeight="1" x14ac:dyDescent="0.3">
      <c r="A45" t="s">
        <v>553</v>
      </c>
      <c r="B45" t="s">
        <v>522</v>
      </c>
      <c r="C45" t="s">
        <v>523</v>
      </c>
      <c r="E45" t="s">
        <v>524</v>
      </c>
      <c r="F45" t="s">
        <v>155</v>
      </c>
      <c r="H45" t="s">
        <v>602</v>
      </c>
      <c r="I45" s="29">
        <v>156</v>
      </c>
      <c r="J45" t="s">
        <v>158</v>
      </c>
      <c r="L45" t="s">
        <v>150</v>
      </c>
      <c r="M45" t="str">
        <f>IFERROR(INDEX(Diccionario!$N:$N,MATCH(F1251,Diccionario!$C:$C,0)),"")</f>
        <v/>
      </c>
    </row>
    <row r="46" spans="1:13" ht="12" customHeight="1" x14ac:dyDescent="0.3">
      <c r="A46" t="s">
        <v>554</v>
      </c>
      <c r="B46" t="s">
        <v>522</v>
      </c>
      <c r="C46" t="s">
        <v>523</v>
      </c>
      <c r="E46" t="s">
        <v>524</v>
      </c>
      <c r="F46" t="s">
        <v>181</v>
      </c>
      <c r="H46" t="s">
        <v>622</v>
      </c>
      <c r="I46">
        <f>Calc_LTV_Fin!B12</f>
        <v>15.327244049954167</v>
      </c>
      <c r="J46" t="s">
        <v>101</v>
      </c>
      <c r="K46" t="s">
        <v>623</v>
      </c>
      <c r="L46" t="s">
        <v>165</v>
      </c>
      <c r="M46" t="str">
        <f>IFERROR(INDEX(Diccionario!$N:$N,MATCH(F1285,Diccionario!$C:$C,0)),"")</f>
        <v/>
      </c>
    </row>
    <row r="47" spans="1:13" ht="12" customHeight="1" x14ac:dyDescent="0.3">
      <c r="A47" t="s">
        <v>554</v>
      </c>
      <c r="B47" t="s">
        <v>522</v>
      </c>
      <c r="C47" t="s">
        <v>523</v>
      </c>
      <c r="E47" t="s">
        <v>524</v>
      </c>
      <c r="F47" t="s">
        <v>155</v>
      </c>
      <c r="H47" t="s">
        <v>602</v>
      </c>
      <c r="I47" s="29">
        <v>211</v>
      </c>
      <c r="J47" t="s">
        <v>158</v>
      </c>
      <c r="L47" t="s">
        <v>150</v>
      </c>
      <c r="M47" t="str">
        <f>IFERROR(INDEX(Diccionario!$N:$N,MATCH(F1252,Diccionario!$C:$C,0)),"")</f>
        <v/>
      </c>
    </row>
    <row r="48" spans="1:13" ht="12" customHeight="1" x14ac:dyDescent="0.3">
      <c r="A48" t="s">
        <v>554</v>
      </c>
      <c r="B48" t="s">
        <v>522</v>
      </c>
      <c r="C48" t="s">
        <v>523</v>
      </c>
      <c r="D48" t="s">
        <v>451</v>
      </c>
      <c r="E48" t="s">
        <v>524</v>
      </c>
      <c r="F48" t="s">
        <v>169</v>
      </c>
      <c r="H48" t="s">
        <v>622</v>
      </c>
      <c r="I48">
        <f>Calc_LTV_Fin!B11</f>
        <v>415355550</v>
      </c>
      <c r="J48" t="s">
        <v>451</v>
      </c>
      <c r="K48" t="s">
        <v>623</v>
      </c>
      <c r="L48" t="s">
        <v>165</v>
      </c>
      <c r="M48" t="str">
        <f>IFERROR(INDEX(Diccionario!$N:$N,MATCH(F1284,Diccionario!$C:$C,0)),"")</f>
        <v/>
      </c>
    </row>
    <row r="49" spans="1:13" ht="12" customHeight="1" x14ac:dyDescent="0.3">
      <c r="A49" t="s">
        <v>554</v>
      </c>
      <c r="B49" t="s">
        <v>522</v>
      </c>
      <c r="C49" t="s">
        <v>523</v>
      </c>
      <c r="E49" t="s">
        <v>524</v>
      </c>
      <c r="F49" t="s">
        <v>174</v>
      </c>
      <c r="H49" t="s">
        <v>622</v>
      </c>
      <c r="I49">
        <f>Calc_LTV_Fin!B13</f>
        <v>6.396402077682561</v>
      </c>
      <c r="J49" t="s">
        <v>177</v>
      </c>
      <c r="K49" t="s">
        <v>623</v>
      </c>
      <c r="L49" t="s">
        <v>165</v>
      </c>
      <c r="M49" t="str">
        <f>IFERROR(INDEX(Diccionario!$N:$N,MATCH(F1286,Diccionario!$C:$C,0)),"")</f>
        <v/>
      </c>
    </row>
    <row r="50" spans="1:13" ht="12" customHeight="1" x14ac:dyDescent="0.3">
      <c r="A50" t="s">
        <v>603</v>
      </c>
      <c r="B50" t="s">
        <v>522</v>
      </c>
      <c r="C50" t="s">
        <v>523</v>
      </c>
      <c r="D50" t="s">
        <v>451</v>
      </c>
      <c r="E50" t="s">
        <v>524</v>
      </c>
      <c r="F50" t="s">
        <v>162</v>
      </c>
      <c r="H50" t="s">
        <v>602</v>
      </c>
      <c r="I50" s="29">
        <v>45216106.909999996</v>
      </c>
      <c r="J50" t="s">
        <v>451</v>
      </c>
      <c r="K50" t="s">
        <v>615</v>
      </c>
      <c r="L50" t="s">
        <v>165</v>
      </c>
      <c r="M50" t="str">
        <f>IFERROR(INDEX(Diccionario!$N:$N,MATCH(F1265,Diccionario!$C:$C,0)),"")</f>
        <v/>
      </c>
    </row>
    <row r="51" spans="1:13" ht="12" customHeight="1" x14ac:dyDescent="0.3">
      <c r="A51" t="s">
        <v>603</v>
      </c>
      <c r="B51" t="s">
        <v>522</v>
      </c>
      <c r="C51" t="s">
        <v>523</v>
      </c>
      <c r="E51" t="s">
        <v>524</v>
      </c>
      <c r="F51" t="s">
        <v>181</v>
      </c>
      <c r="H51" t="s">
        <v>602</v>
      </c>
      <c r="I51" s="29">
        <v>2.9</v>
      </c>
      <c r="J51" t="s">
        <v>101</v>
      </c>
      <c r="K51" t="s">
        <v>621</v>
      </c>
      <c r="L51" t="s">
        <v>165</v>
      </c>
      <c r="M51" t="str">
        <f>IFERROR(INDEX(Diccionario!$N:$N,MATCH(F1283,Diccionario!$C:$C,0)),"")</f>
        <v/>
      </c>
    </row>
    <row r="52" spans="1:13" ht="12" customHeight="1" x14ac:dyDescent="0.3">
      <c r="A52" t="s">
        <v>603</v>
      </c>
      <c r="B52" t="s">
        <v>522</v>
      </c>
      <c r="C52" t="s">
        <v>523</v>
      </c>
      <c r="D52" t="s">
        <v>451</v>
      </c>
      <c r="E52" t="s">
        <v>524</v>
      </c>
      <c r="F52" t="s">
        <v>151</v>
      </c>
      <c r="H52" t="s">
        <v>602</v>
      </c>
      <c r="I52" s="29">
        <v>62603918</v>
      </c>
      <c r="J52" t="s">
        <v>451</v>
      </c>
      <c r="K52" t="s">
        <v>609</v>
      </c>
      <c r="L52" t="s">
        <v>150</v>
      </c>
      <c r="M52" t="str">
        <f>IFERROR(INDEX(Diccionario!$N:$N,MATCH(F1259,Diccionario!$C:$C,0)),"")</f>
        <v/>
      </c>
    </row>
    <row r="53" spans="1:13" ht="12" customHeight="1" x14ac:dyDescent="0.3">
      <c r="A53" t="s">
        <v>603</v>
      </c>
      <c r="B53" t="s">
        <v>522</v>
      </c>
      <c r="C53" t="s">
        <v>523</v>
      </c>
      <c r="E53" t="s">
        <v>524</v>
      </c>
      <c r="F53" t="s">
        <v>155</v>
      </c>
      <c r="H53" t="s">
        <v>602</v>
      </c>
      <c r="I53" s="29">
        <v>20</v>
      </c>
      <c r="J53" t="s">
        <v>158</v>
      </c>
      <c r="L53" t="s">
        <v>150</v>
      </c>
      <c r="M53" t="str">
        <f>IFERROR(INDEX(Diccionario!$N:$N,MATCH(F1253,Diccionario!$C:$C,0)),"")</f>
        <v/>
      </c>
    </row>
    <row r="54" spans="1:13" ht="12" customHeight="1" x14ac:dyDescent="0.3">
      <c r="A54" t="s">
        <v>603</v>
      </c>
      <c r="B54" t="s">
        <v>522</v>
      </c>
      <c r="C54" t="s">
        <v>523</v>
      </c>
      <c r="D54" t="s">
        <v>451</v>
      </c>
      <c r="E54" t="s">
        <v>524</v>
      </c>
      <c r="F54" t="s">
        <v>169</v>
      </c>
      <c r="H54" t="s">
        <v>602</v>
      </c>
      <c r="I54" s="29">
        <v>115723005</v>
      </c>
      <c r="J54" t="s">
        <v>451</v>
      </c>
      <c r="K54" t="s">
        <v>621</v>
      </c>
      <c r="L54" t="s">
        <v>165</v>
      </c>
      <c r="M54" t="str">
        <f>IFERROR(INDEX(Diccionario!$N:$N,MATCH(F1271,Diccionario!$C:$C,0)),"")</f>
        <v/>
      </c>
    </row>
    <row r="55" spans="1:13" ht="12" customHeight="1" x14ac:dyDescent="0.3">
      <c r="A55" t="s">
        <v>603</v>
      </c>
      <c r="B55" t="s">
        <v>522</v>
      </c>
      <c r="C55" t="s">
        <v>523</v>
      </c>
      <c r="E55" t="s">
        <v>524</v>
      </c>
      <c r="F55" t="s">
        <v>174</v>
      </c>
      <c r="H55" t="s">
        <v>602</v>
      </c>
      <c r="I55" s="39">
        <v>2.56</v>
      </c>
      <c r="J55" t="s">
        <v>177</v>
      </c>
      <c r="K55" t="s">
        <v>621</v>
      </c>
      <c r="L55" t="s">
        <v>165</v>
      </c>
      <c r="M55" t="str">
        <f>IFERROR(INDEX(Diccionario!$N:$N,MATCH(F1277,Diccionario!$C:$C,0)),"")</f>
        <v/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2"/>
  <sheetViews>
    <sheetView workbookViewId="0"/>
  </sheetViews>
  <sheetFormatPr defaultColWidth="8.6640625" defaultRowHeight="14.4" x14ac:dyDescent="0.3"/>
  <cols>
    <col min="1" max="1" width="9" customWidth="1"/>
    <col min="2" max="2" width="12" customWidth="1"/>
    <col min="3" max="3" width="14" customWidth="1"/>
    <col min="4" max="4" width="7" customWidth="1"/>
    <col min="5" max="5" width="9" customWidth="1"/>
    <col min="6" max="6" width="26" customWidth="1"/>
    <col min="7" max="7" width="12" customWidth="1"/>
    <col min="8" max="8" width="20" customWidth="1"/>
    <col min="9" max="9" width="16" customWidth="1"/>
    <col min="10" max="10" width="9" customWidth="1"/>
    <col min="11" max="11" width="30" customWidth="1"/>
    <col min="12" max="12" width="14" customWidth="1"/>
    <col min="13" max="13" width="11" customWidth="1"/>
  </cols>
  <sheetData>
    <row r="1" spans="1:13" ht="12.9" customHeight="1" x14ac:dyDescent="0.3">
      <c r="A1" s="37" t="s">
        <v>738</v>
      </c>
    </row>
    <row r="2" spans="1:13" ht="12" customHeight="1" x14ac:dyDescent="0.3">
      <c r="A2" s="28" t="s">
        <v>739</v>
      </c>
    </row>
    <row r="4" spans="1:13" ht="12" customHeight="1" x14ac:dyDescent="0.3">
      <c r="A4" s="35" t="s">
        <v>17</v>
      </c>
      <c r="B4" s="35" t="s">
        <v>27</v>
      </c>
      <c r="C4" s="35" t="s">
        <v>32</v>
      </c>
      <c r="D4" s="35" t="s">
        <v>38</v>
      </c>
      <c r="E4" s="35" t="s">
        <v>44</v>
      </c>
      <c r="F4" s="35" t="s">
        <v>513</v>
      </c>
      <c r="G4" s="35" t="s">
        <v>514</v>
      </c>
      <c r="H4" s="35" t="s">
        <v>515</v>
      </c>
      <c r="I4" s="35" t="s">
        <v>516</v>
      </c>
      <c r="J4" s="35" t="s">
        <v>517</v>
      </c>
      <c r="K4" s="35" t="s">
        <v>518</v>
      </c>
      <c r="L4" s="35" t="s">
        <v>520</v>
      </c>
      <c r="M4" s="35" t="s">
        <v>15</v>
      </c>
    </row>
    <row r="5" spans="1:13" ht="12" customHeight="1" x14ac:dyDescent="0.3">
      <c r="A5" t="s">
        <v>552</v>
      </c>
      <c r="B5" t="s">
        <v>522</v>
      </c>
      <c r="C5" t="s">
        <v>523</v>
      </c>
      <c r="E5" t="s">
        <v>524</v>
      </c>
      <c r="F5" t="s">
        <v>213</v>
      </c>
      <c r="H5" t="s">
        <v>581</v>
      </c>
      <c r="I5" s="36">
        <v>7.1</v>
      </c>
      <c r="J5" t="s">
        <v>65</v>
      </c>
      <c r="L5" t="s">
        <v>216</v>
      </c>
      <c r="M5" t="str">
        <f>IFERROR(INDEX(Diccionario!$N:$N,MATCH(F1171,Diccionario!$C:$C,0)),"")</f>
        <v/>
      </c>
    </row>
    <row r="6" spans="1:13" ht="12" customHeight="1" x14ac:dyDescent="0.3">
      <c r="A6" t="s">
        <v>552</v>
      </c>
      <c r="B6" t="s">
        <v>522</v>
      </c>
      <c r="C6" t="s">
        <v>523</v>
      </c>
      <c r="E6" t="s">
        <v>524</v>
      </c>
      <c r="F6" t="s">
        <v>213</v>
      </c>
      <c r="H6" t="s">
        <v>580</v>
      </c>
      <c r="I6" s="36">
        <v>14.3</v>
      </c>
      <c r="J6" t="s">
        <v>65</v>
      </c>
      <c r="L6" t="s">
        <v>216</v>
      </c>
      <c r="M6" t="str">
        <f>IFERROR(INDEX(Diccionario!$N:$N,MATCH(F1168,Diccionario!$C:$C,0)),"")</f>
        <v/>
      </c>
    </row>
    <row r="7" spans="1:13" ht="12" customHeight="1" x14ac:dyDescent="0.3">
      <c r="A7" t="s">
        <v>552</v>
      </c>
      <c r="B7" t="s">
        <v>522</v>
      </c>
      <c r="C7" t="s">
        <v>523</v>
      </c>
      <c r="E7" t="s">
        <v>524</v>
      </c>
      <c r="F7" t="s">
        <v>213</v>
      </c>
      <c r="H7" t="s">
        <v>579</v>
      </c>
      <c r="I7" s="36">
        <v>78.599999999999994</v>
      </c>
      <c r="J7" t="s">
        <v>65</v>
      </c>
      <c r="L7" t="s">
        <v>216</v>
      </c>
      <c r="M7" t="str">
        <f>IFERROR(INDEX(Diccionario!$N:$N,MATCH(F1165,Diccionario!$C:$C,0)),"")</f>
        <v/>
      </c>
    </row>
    <row r="8" spans="1:13" ht="12" customHeight="1" x14ac:dyDescent="0.3">
      <c r="A8" t="s">
        <v>553</v>
      </c>
      <c r="B8" t="s">
        <v>522</v>
      </c>
      <c r="C8" t="s">
        <v>523</v>
      </c>
      <c r="E8" t="s">
        <v>524</v>
      </c>
      <c r="F8" t="s">
        <v>213</v>
      </c>
      <c r="H8" t="s">
        <v>581</v>
      </c>
      <c r="I8" s="36">
        <v>0</v>
      </c>
      <c r="J8" t="s">
        <v>65</v>
      </c>
      <c r="L8" t="s">
        <v>216</v>
      </c>
      <c r="M8" t="str">
        <f>IFERROR(INDEX(Diccionario!$N:$N,MATCH(F1172,Diccionario!$C:$C,0)),"")</f>
        <v/>
      </c>
    </row>
    <row r="9" spans="1:13" ht="12" customHeight="1" x14ac:dyDescent="0.3">
      <c r="A9" t="s">
        <v>553</v>
      </c>
      <c r="B9" t="s">
        <v>522</v>
      </c>
      <c r="C9" t="s">
        <v>523</v>
      </c>
      <c r="E9" t="s">
        <v>524</v>
      </c>
      <c r="F9" t="s">
        <v>213</v>
      </c>
      <c r="H9" t="s">
        <v>580</v>
      </c>
      <c r="I9" s="36">
        <v>0</v>
      </c>
      <c r="J9" t="s">
        <v>65</v>
      </c>
      <c r="L9" t="s">
        <v>216</v>
      </c>
      <c r="M9" t="str">
        <f>IFERROR(INDEX(Diccionario!$N:$N,MATCH(F1169,Diccionario!$C:$C,0)),"")</f>
        <v/>
      </c>
    </row>
    <row r="10" spans="1:13" ht="12" customHeight="1" x14ac:dyDescent="0.3">
      <c r="A10" t="s">
        <v>553</v>
      </c>
      <c r="B10" t="s">
        <v>522</v>
      </c>
      <c r="C10" t="s">
        <v>523</v>
      </c>
      <c r="E10" t="s">
        <v>524</v>
      </c>
      <c r="F10" t="s">
        <v>213</v>
      </c>
      <c r="H10" t="s">
        <v>579</v>
      </c>
      <c r="I10" s="36">
        <v>100</v>
      </c>
      <c r="J10" t="s">
        <v>65</v>
      </c>
      <c r="L10" t="s">
        <v>216</v>
      </c>
      <c r="M10" t="str">
        <f>IFERROR(INDEX(Diccionario!$N:$N,MATCH(F1166,Diccionario!$C:$C,0)),"")</f>
        <v/>
      </c>
    </row>
    <row r="11" spans="1:13" ht="12" customHeight="1" x14ac:dyDescent="0.3">
      <c r="A11" t="s">
        <v>554</v>
      </c>
      <c r="B11" t="s">
        <v>522</v>
      </c>
      <c r="C11" t="s">
        <v>523</v>
      </c>
      <c r="E11" t="s">
        <v>524</v>
      </c>
      <c r="F11" t="s">
        <v>213</v>
      </c>
      <c r="H11" t="s">
        <v>580</v>
      </c>
      <c r="I11" s="36">
        <v>8.3000000000000007</v>
      </c>
      <c r="J11" t="s">
        <v>65</v>
      </c>
      <c r="L11" t="s">
        <v>216</v>
      </c>
      <c r="M11" t="str">
        <f>IFERROR(INDEX(Diccionario!$N:$N,MATCH(F1170,Diccionario!$C:$C,0)),"")</f>
        <v/>
      </c>
    </row>
    <row r="12" spans="1:13" ht="12" customHeight="1" x14ac:dyDescent="0.3">
      <c r="A12" t="s">
        <v>554</v>
      </c>
      <c r="B12" t="s">
        <v>522</v>
      </c>
      <c r="C12" t="s">
        <v>523</v>
      </c>
      <c r="E12" t="s">
        <v>524</v>
      </c>
      <c r="F12" t="s">
        <v>213</v>
      </c>
      <c r="H12" t="s">
        <v>579</v>
      </c>
      <c r="I12" s="36">
        <v>91.7</v>
      </c>
      <c r="J12" t="s">
        <v>65</v>
      </c>
      <c r="L12" t="s">
        <v>216</v>
      </c>
      <c r="M12" t="str">
        <f>IFERROR(INDEX(Diccionario!$N:$N,MATCH(F1167,Diccionario!$C:$C,0)),"")</f>
        <v/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0"/>
  <sheetViews>
    <sheetView showGridLines="0" workbookViewId="0">
      <selection sqref="A1:C1"/>
    </sheetView>
  </sheetViews>
  <sheetFormatPr defaultColWidth="8.6640625" defaultRowHeight="14.4" x14ac:dyDescent="0.3"/>
  <cols>
    <col min="1" max="1" width="12" customWidth="1"/>
    <col min="2" max="2" width="14" customWidth="1"/>
    <col min="3" max="3" width="30" customWidth="1"/>
    <col min="4" max="4" width="20" customWidth="1"/>
  </cols>
  <sheetData>
    <row r="1" spans="1:4" ht="24" customHeight="1" x14ac:dyDescent="0.3">
      <c r="A1" s="53" t="s">
        <v>740</v>
      </c>
      <c r="B1" s="52"/>
      <c r="C1" s="52"/>
    </row>
    <row r="2" spans="1:4" ht="14.25" customHeight="1" x14ac:dyDescent="0.3">
      <c r="A2" s="54" t="s">
        <v>741</v>
      </c>
      <c r="B2" s="52"/>
      <c r="C2" s="52"/>
    </row>
    <row r="3" spans="1:4" ht="14.25" customHeight="1" x14ac:dyDescent="0.3">
      <c r="A3" s="34" t="s">
        <v>17</v>
      </c>
      <c r="B3" s="34" t="s">
        <v>742</v>
      </c>
      <c r="C3" s="34" t="s">
        <v>743</v>
      </c>
      <c r="D3" s="35" t="s">
        <v>744</v>
      </c>
    </row>
    <row r="4" spans="1:4" ht="14.25" customHeight="1" x14ac:dyDescent="0.3">
      <c r="A4" s="5" t="s">
        <v>521</v>
      </c>
      <c r="B4" s="40">
        <v>4420</v>
      </c>
      <c r="C4" s="18" t="s">
        <v>745</v>
      </c>
      <c r="D4" s="41">
        <v>3915.2</v>
      </c>
    </row>
    <row r="5" spans="1:4" ht="14.25" customHeight="1" x14ac:dyDescent="0.3">
      <c r="A5" s="6" t="s">
        <v>526</v>
      </c>
      <c r="B5" s="42">
        <v>4420</v>
      </c>
      <c r="C5" s="20" t="s">
        <v>745</v>
      </c>
      <c r="D5" s="41">
        <v>3931.44</v>
      </c>
    </row>
    <row r="6" spans="1:4" ht="14.25" customHeight="1" x14ac:dyDescent="0.3">
      <c r="A6" s="5" t="s">
        <v>527</v>
      </c>
      <c r="B6" s="40">
        <v>4420</v>
      </c>
      <c r="C6" s="18" t="s">
        <v>745</v>
      </c>
      <c r="D6" s="41">
        <v>3899.34</v>
      </c>
    </row>
    <row r="7" spans="1:4" ht="14.25" customHeight="1" x14ac:dyDescent="0.3">
      <c r="A7" s="6" t="s">
        <v>528</v>
      </c>
      <c r="B7" s="42">
        <v>4420</v>
      </c>
      <c r="C7" s="20" t="s">
        <v>745</v>
      </c>
      <c r="D7" s="41">
        <v>3867.98</v>
      </c>
    </row>
    <row r="8" spans="1:4" ht="14.25" customHeight="1" x14ac:dyDescent="0.3">
      <c r="A8" s="5" t="s">
        <v>529</v>
      </c>
      <c r="B8" s="40">
        <v>4420</v>
      </c>
      <c r="C8" s="18" t="s">
        <v>745</v>
      </c>
      <c r="D8" s="41">
        <v>3869.1</v>
      </c>
    </row>
    <row r="9" spans="1:4" ht="14.25" customHeight="1" x14ac:dyDescent="0.3">
      <c r="A9" s="6" t="s">
        <v>530</v>
      </c>
      <c r="B9" s="42">
        <v>4420</v>
      </c>
      <c r="C9" s="20" t="s">
        <v>745</v>
      </c>
      <c r="D9" s="41">
        <v>4042.8</v>
      </c>
    </row>
    <row r="10" spans="1:4" ht="14.25" customHeight="1" x14ac:dyDescent="0.3">
      <c r="A10" s="5" t="s">
        <v>531</v>
      </c>
      <c r="B10" s="40">
        <v>4420</v>
      </c>
      <c r="C10" s="18" t="s">
        <v>745</v>
      </c>
      <c r="D10" s="41">
        <v>4036.92</v>
      </c>
    </row>
    <row r="11" spans="1:4" ht="14.25" customHeight="1" x14ac:dyDescent="0.3">
      <c r="A11" s="6" t="s">
        <v>532</v>
      </c>
      <c r="B11" s="42">
        <v>4420</v>
      </c>
      <c r="C11" s="20" t="s">
        <v>745</v>
      </c>
      <c r="D11" s="41">
        <v>4065.55</v>
      </c>
    </row>
    <row r="12" spans="1:4" ht="14.25" customHeight="1" x14ac:dyDescent="0.3">
      <c r="A12" s="5" t="s">
        <v>533</v>
      </c>
      <c r="B12" s="40">
        <v>4420</v>
      </c>
      <c r="C12" s="18" t="s">
        <v>745</v>
      </c>
      <c r="D12" s="41">
        <v>4182.51</v>
      </c>
    </row>
    <row r="13" spans="1:4" ht="14.25" customHeight="1" x14ac:dyDescent="0.3">
      <c r="A13" s="6" t="s">
        <v>534</v>
      </c>
      <c r="B13" s="42">
        <v>4420</v>
      </c>
      <c r="C13" s="20" t="s">
        <v>745</v>
      </c>
      <c r="D13" s="41">
        <v>4249.47</v>
      </c>
    </row>
    <row r="14" spans="1:4" ht="14.25" customHeight="1" x14ac:dyDescent="0.3">
      <c r="A14" s="5" t="s">
        <v>535</v>
      </c>
      <c r="B14" s="40">
        <v>4420</v>
      </c>
      <c r="C14" s="18" t="s">
        <v>745</v>
      </c>
      <c r="D14" s="41">
        <v>4408.6499999999996</v>
      </c>
    </row>
    <row r="15" spans="1:4" ht="14.25" customHeight="1" x14ac:dyDescent="0.3">
      <c r="A15" s="6" t="s">
        <v>536</v>
      </c>
      <c r="B15" s="42">
        <v>4420</v>
      </c>
      <c r="C15" s="20" t="s">
        <v>745</v>
      </c>
      <c r="D15" s="41">
        <v>4385.1499999999996</v>
      </c>
    </row>
    <row r="16" spans="1:4" ht="14.25" customHeight="1" x14ac:dyDescent="0.3">
      <c r="A16" s="5" t="s">
        <v>537</v>
      </c>
      <c r="B16" s="40">
        <v>4420</v>
      </c>
      <c r="C16" s="18" t="s">
        <v>745</v>
      </c>
      <c r="D16" s="41">
        <v>4307.57</v>
      </c>
    </row>
    <row r="17" spans="1:4" ht="14.25" customHeight="1" x14ac:dyDescent="0.3">
      <c r="A17" s="6" t="s">
        <v>538</v>
      </c>
      <c r="B17" s="42">
        <v>4420</v>
      </c>
      <c r="C17" s="20" t="s">
        <v>745</v>
      </c>
      <c r="D17" s="41">
        <v>4127.95</v>
      </c>
    </row>
    <row r="18" spans="1:4" ht="14.25" customHeight="1" x14ac:dyDescent="0.3">
      <c r="A18" s="5" t="s">
        <v>539</v>
      </c>
      <c r="B18" s="40">
        <v>4420</v>
      </c>
      <c r="C18" s="18" t="s">
        <v>745</v>
      </c>
      <c r="D18" s="41">
        <v>4137.68</v>
      </c>
    </row>
    <row r="19" spans="1:4" ht="14.25" customHeight="1" x14ac:dyDescent="0.3">
      <c r="A19" s="6" t="s">
        <v>540</v>
      </c>
      <c r="B19" s="42">
        <v>4420</v>
      </c>
      <c r="C19" s="20" t="s">
        <v>745</v>
      </c>
      <c r="D19" s="41">
        <v>4280.26</v>
      </c>
    </row>
    <row r="20" spans="1:4" ht="14.25" customHeight="1" x14ac:dyDescent="0.3">
      <c r="A20" s="5" t="s">
        <v>541</v>
      </c>
      <c r="B20" s="40">
        <v>4420</v>
      </c>
      <c r="C20" s="18" t="s">
        <v>745</v>
      </c>
      <c r="D20" s="41">
        <v>4203.38</v>
      </c>
    </row>
    <row r="21" spans="1:4" ht="14.25" customHeight="1" x14ac:dyDescent="0.3">
      <c r="A21" s="6" t="s">
        <v>542</v>
      </c>
      <c r="B21" s="42">
        <v>4420</v>
      </c>
      <c r="C21" s="20" t="s">
        <v>745</v>
      </c>
      <c r="D21" s="41">
        <v>4113.49</v>
      </c>
    </row>
    <row r="22" spans="1:4" ht="14.25" customHeight="1" x14ac:dyDescent="0.3">
      <c r="A22" s="5" t="s">
        <v>543</v>
      </c>
      <c r="B22" s="40">
        <v>4420</v>
      </c>
      <c r="C22" s="18" t="s">
        <v>745</v>
      </c>
      <c r="D22" s="41">
        <v>4040.85</v>
      </c>
    </row>
    <row r="23" spans="1:4" ht="14.25" customHeight="1" x14ac:dyDescent="0.3">
      <c r="A23" s="6" t="s">
        <v>544</v>
      </c>
      <c r="B23" s="42">
        <v>4420</v>
      </c>
      <c r="C23" s="20" t="s">
        <v>745</v>
      </c>
      <c r="D23" s="41">
        <v>4047.41</v>
      </c>
    </row>
    <row r="24" spans="1:4" ht="14.25" customHeight="1" x14ac:dyDescent="0.3">
      <c r="A24" s="5" t="s">
        <v>545</v>
      </c>
      <c r="B24" s="40">
        <v>4420</v>
      </c>
      <c r="C24" s="18" t="s">
        <v>745</v>
      </c>
      <c r="D24" s="41">
        <v>3922.21</v>
      </c>
    </row>
    <row r="25" spans="1:4" ht="14.25" customHeight="1" x14ac:dyDescent="0.3">
      <c r="A25" s="6" t="s">
        <v>546</v>
      </c>
      <c r="B25" s="42">
        <v>4420</v>
      </c>
      <c r="C25" s="20" t="s">
        <v>745</v>
      </c>
      <c r="D25" s="41">
        <v>3877.84</v>
      </c>
    </row>
    <row r="26" spans="1:4" ht="14.25" customHeight="1" x14ac:dyDescent="0.3">
      <c r="A26" s="5" t="s">
        <v>547</v>
      </c>
      <c r="B26" s="40">
        <v>4420</v>
      </c>
      <c r="C26" s="18" t="s">
        <v>745</v>
      </c>
      <c r="D26" s="41">
        <v>3786.18</v>
      </c>
    </row>
    <row r="27" spans="1:4" ht="14.25" customHeight="1" x14ac:dyDescent="0.3">
      <c r="A27" s="6" t="s">
        <v>548</v>
      </c>
      <c r="B27" s="42">
        <v>4420</v>
      </c>
      <c r="C27" s="20" t="s">
        <v>745</v>
      </c>
      <c r="D27" s="41">
        <v>3791.47</v>
      </c>
    </row>
    <row r="28" spans="1:4" ht="14.25" customHeight="1" x14ac:dyDescent="0.3">
      <c r="A28" s="5" t="s">
        <v>549</v>
      </c>
      <c r="B28" s="40">
        <v>4170</v>
      </c>
      <c r="C28" s="18" t="s">
        <v>745</v>
      </c>
      <c r="D28" s="41">
        <v>3703</v>
      </c>
    </row>
    <row r="29" spans="1:4" ht="14.25" customHeight="1" x14ac:dyDescent="0.3">
      <c r="A29" s="6" t="s">
        <v>551</v>
      </c>
      <c r="B29" s="42">
        <v>4170</v>
      </c>
      <c r="C29" s="20" t="s">
        <v>745</v>
      </c>
      <c r="D29" s="41">
        <v>3675.64</v>
      </c>
    </row>
    <row r="30" spans="1:4" ht="14.25" customHeight="1" x14ac:dyDescent="0.3">
      <c r="A30" s="5" t="s">
        <v>552</v>
      </c>
      <c r="B30" s="40">
        <v>4170</v>
      </c>
      <c r="C30" s="18" t="s">
        <v>745</v>
      </c>
      <c r="D30" s="41">
        <v>3717.56</v>
      </c>
    </row>
    <row r="31" spans="1:4" ht="14.25" customHeight="1" x14ac:dyDescent="0.3">
      <c r="A31" s="6" t="s">
        <v>553</v>
      </c>
      <c r="B31" s="42">
        <v>4170</v>
      </c>
      <c r="C31" s="20" t="s">
        <v>745</v>
      </c>
      <c r="D31" s="41">
        <v>3617.52</v>
      </c>
    </row>
    <row r="32" spans="1:4" ht="14.25" customHeight="1" x14ac:dyDescent="0.3">
      <c r="A32" s="5" t="s">
        <v>554</v>
      </c>
      <c r="B32" s="40">
        <v>4170</v>
      </c>
      <c r="C32" s="18" t="s">
        <v>745</v>
      </c>
      <c r="D32" s="41">
        <v>3714.02</v>
      </c>
    </row>
    <row r="33" spans="1:4" x14ac:dyDescent="0.3">
      <c r="A33" s="26" t="s">
        <v>603</v>
      </c>
      <c r="B33" s="43">
        <v>4170</v>
      </c>
      <c r="C33" s="27" t="s">
        <v>745</v>
      </c>
      <c r="D33" s="41">
        <v>3571.44</v>
      </c>
    </row>
    <row r="34" spans="1:4" x14ac:dyDescent="0.3">
      <c r="A34" t="s">
        <v>746</v>
      </c>
      <c r="C34" t="s">
        <v>747</v>
      </c>
      <c r="D34" s="41">
        <v>4069.23</v>
      </c>
    </row>
    <row r="35" spans="1:4" x14ac:dyDescent="0.3">
      <c r="A35" t="s">
        <v>748</v>
      </c>
      <c r="C35" t="s">
        <v>747</v>
      </c>
      <c r="D35" s="41">
        <v>4070.73</v>
      </c>
    </row>
    <row r="36" spans="1:4" x14ac:dyDescent="0.3">
      <c r="A36" t="s">
        <v>749</v>
      </c>
      <c r="C36" t="s">
        <v>747</v>
      </c>
      <c r="D36" s="41">
        <v>4004.52</v>
      </c>
    </row>
    <row r="37" spans="1:4" x14ac:dyDescent="0.3">
      <c r="A37" t="s">
        <v>750</v>
      </c>
      <c r="C37" t="s">
        <v>747</v>
      </c>
      <c r="D37" s="41">
        <v>4222.43</v>
      </c>
    </row>
    <row r="38" spans="1:4" x14ac:dyDescent="0.3">
      <c r="A38" t="s">
        <v>751</v>
      </c>
      <c r="C38" t="s">
        <v>747</v>
      </c>
      <c r="D38" s="41">
        <v>4038.8</v>
      </c>
    </row>
    <row r="39" spans="1:4" x14ac:dyDescent="0.3">
      <c r="A39" t="s">
        <v>592</v>
      </c>
      <c r="C39" t="s">
        <v>747</v>
      </c>
      <c r="D39" s="41">
        <v>3948.21</v>
      </c>
    </row>
    <row r="40" spans="1:4" x14ac:dyDescent="0.3">
      <c r="A40" t="s">
        <v>624</v>
      </c>
      <c r="B40">
        <v>3505.2683000000002</v>
      </c>
      <c r="C40" t="s">
        <v>752</v>
      </c>
    </row>
  </sheetData>
  <mergeCells count="2">
    <mergeCell ref="A1:C1"/>
    <mergeCell ref="A2:C2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1"/>
  <sheetViews>
    <sheetView workbookViewId="0"/>
  </sheetViews>
  <sheetFormatPr defaultRowHeight="14.4" x14ac:dyDescent="0.3"/>
  <cols>
    <col min="1" max="1" width="11" customWidth="1"/>
    <col min="2" max="2" width="10" customWidth="1"/>
    <col min="3" max="3" width="13" customWidth="1"/>
    <col min="4" max="4" width="15" customWidth="1"/>
    <col min="5" max="5" width="34" customWidth="1"/>
  </cols>
  <sheetData>
    <row r="1" spans="1:5" ht="12.45" customHeight="1" x14ac:dyDescent="0.3">
      <c r="A1" s="37" t="s">
        <v>753</v>
      </c>
    </row>
    <row r="2" spans="1:5" x14ac:dyDescent="0.3">
      <c r="A2" s="28" t="s">
        <v>754</v>
      </c>
    </row>
    <row r="4" spans="1:5" x14ac:dyDescent="0.3">
      <c r="A4" s="44" t="s">
        <v>17</v>
      </c>
      <c r="B4" s="44" t="s">
        <v>755</v>
      </c>
      <c r="C4" s="44" t="s">
        <v>756</v>
      </c>
      <c r="D4" s="44" t="s">
        <v>757</v>
      </c>
      <c r="E4" s="44" t="s">
        <v>743</v>
      </c>
    </row>
    <row r="5" spans="1:5" x14ac:dyDescent="0.3">
      <c r="A5" t="s">
        <v>549</v>
      </c>
      <c r="B5" t="s">
        <v>758</v>
      </c>
      <c r="C5" s="45">
        <v>3.3570000000000002</v>
      </c>
      <c r="D5" s="46">
        <v>0.29788500000000001</v>
      </c>
      <c r="E5" t="s">
        <v>759</v>
      </c>
    </row>
    <row r="6" spans="1:5" x14ac:dyDescent="0.3">
      <c r="A6" t="s">
        <v>551</v>
      </c>
      <c r="B6" t="s">
        <v>758</v>
      </c>
      <c r="C6" s="45">
        <v>3.3570000000000002</v>
      </c>
      <c r="D6" s="46">
        <v>0.29788500000000001</v>
      </c>
      <c r="E6" t="s">
        <v>759</v>
      </c>
    </row>
    <row r="7" spans="1:5" x14ac:dyDescent="0.3">
      <c r="A7" t="s">
        <v>552</v>
      </c>
      <c r="B7" t="s">
        <v>758</v>
      </c>
      <c r="C7" s="45">
        <v>3.4470000000000001</v>
      </c>
      <c r="D7" s="46">
        <v>0.290107</v>
      </c>
      <c r="E7" t="s">
        <v>759</v>
      </c>
    </row>
    <row r="8" spans="1:5" x14ac:dyDescent="0.3">
      <c r="A8" t="s">
        <v>553</v>
      </c>
      <c r="B8" t="s">
        <v>758</v>
      </c>
      <c r="C8" s="45">
        <v>3.4430000000000001</v>
      </c>
      <c r="D8" s="46">
        <v>0.29044399999999998</v>
      </c>
      <c r="E8" t="s">
        <v>759</v>
      </c>
    </row>
    <row r="9" spans="1:5" x14ac:dyDescent="0.3">
      <c r="A9" t="s">
        <v>554</v>
      </c>
      <c r="B9" t="s">
        <v>758</v>
      </c>
      <c r="C9" s="45">
        <v>3.4350000000000001</v>
      </c>
      <c r="D9" s="46">
        <v>0.29112100000000002</v>
      </c>
      <c r="E9" t="s">
        <v>759</v>
      </c>
    </row>
    <row r="10" spans="1:5" x14ac:dyDescent="0.3">
      <c r="A10" t="s">
        <v>603</v>
      </c>
      <c r="B10" t="s">
        <v>758</v>
      </c>
      <c r="C10" s="45">
        <v>3.4049999999999998</v>
      </c>
      <c r="D10" s="46">
        <v>0.293686</v>
      </c>
      <c r="E10" t="s">
        <v>759</v>
      </c>
    </row>
    <row r="11" spans="1:5" x14ac:dyDescent="0.3">
      <c r="A11" t="s">
        <v>760</v>
      </c>
      <c r="B11" t="s">
        <v>758</v>
      </c>
      <c r="C11" s="45">
        <v>3.4049999999999998</v>
      </c>
      <c r="D11" s="46">
        <v>0.293686</v>
      </c>
      <c r="E11" t="s">
        <v>761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3"/>
  <sheetViews>
    <sheetView showGridLines="0" workbookViewId="0">
      <selection sqref="A1:C1"/>
    </sheetView>
  </sheetViews>
  <sheetFormatPr defaultColWidth="8.6640625" defaultRowHeight="14.4" x14ac:dyDescent="0.3"/>
  <cols>
    <col min="1" max="1" width="32" customWidth="1"/>
    <col min="2" max="2" width="18" customWidth="1"/>
    <col min="3" max="3" width="30" customWidth="1"/>
  </cols>
  <sheetData>
    <row r="1" spans="1:3" ht="24" customHeight="1" x14ac:dyDescent="0.3">
      <c r="A1" s="53" t="s">
        <v>762</v>
      </c>
      <c r="B1" s="52"/>
      <c r="C1" s="52"/>
    </row>
    <row r="2" spans="1:3" ht="14.25" customHeight="1" x14ac:dyDescent="0.3">
      <c r="A2" s="54" t="s">
        <v>763</v>
      </c>
      <c r="B2" s="52"/>
      <c r="C2" s="52"/>
    </row>
    <row r="4" spans="1:3" ht="14.25" customHeight="1" x14ac:dyDescent="0.3">
      <c r="A4" s="8" t="s">
        <v>764</v>
      </c>
      <c r="B4" s="9">
        <v>0.51</v>
      </c>
      <c r="C4" s="10" t="s">
        <v>765</v>
      </c>
    </row>
    <row r="5" spans="1:3" ht="14.25" customHeight="1" x14ac:dyDescent="0.3">
      <c r="A5" s="11" t="s">
        <v>766</v>
      </c>
      <c r="B5" s="12">
        <v>8307111</v>
      </c>
      <c r="C5" s="10" t="s">
        <v>767</v>
      </c>
    </row>
    <row r="6" spans="1:3" ht="14.25" customHeight="1" x14ac:dyDescent="0.3">
      <c r="A6" s="11" t="s">
        <v>768</v>
      </c>
      <c r="B6" s="13">
        <v>1.0200000000000001E-2</v>
      </c>
      <c r="C6" s="10" t="s">
        <v>769</v>
      </c>
    </row>
    <row r="7" spans="1:3" ht="14.25" customHeight="1" x14ac:dyDescent="0.3">
      <c r="A7" s="11" t="s">
        <v>770</v>
      </c>
      <c r="B7" s="13">
        <v>1.17E-2</v>
      </c>
      <c r="C7" s="10" t="s">
        <v>771</v>
      </c>
    </row>
    <row r="8" spans="1:3" ht="14.25" customHeight="1" x14ac:dyDescent="0.3">
      <c r="A8" s="11" t="s">
        <v>772</v>
      </c>
      <c r="B8" s="12">
        <v>64935810</v>
      </c>
      <c r="C8" s="10" t="s">
        <v>773</v>
      </c>
    </row>
    <row r="10" spans="1:3" ht="14.25" customHeight="1" x14ac:dyDescent="0.3">
      <c r="A10" s="55" t="s">
        <v>774</v>
      </c>
      <c r="B10" s="52"/>
      <c r="C10" s="52"/>
    </row>
    <row r="11" spans="1:3" ht="14.25" customHeight="1" x14ac:dyDescent="0.3">
      <c r="A11" s="8" t="s">
        <v>775</v>
      </c>
      <c r="B11" s="14">
        <f>B5*B4/B6</f>
        <v>415355550</v>
      </c>
    </row>
    <row r="12" spans="1:3" ht="14.25" customHeight="1" x14ac:dyDescent="0.3">
      <c r="A12" s="8" t="s">
        <v>776</v>
      </c>
      <c r="B12" s="15">
        <f>B8/(B5*B4)</f>
        <v>15.327244049954167</v>
      </c>
    </row>
    <row r="13" spans="1:3" ht="14.25" customHeight="1" x14ac:dyDescent="0.3">
      <c r="A13" s="8" t="s">
        <v>777</v>
      </c>
      <c r="B13" s="16">
        <f>B11/B8</f>
        <v>6.396402077682561</v>
      </c>
    </row>
  </sheetData>
  <mergeCells count="3">
    <mergeCell ref="A1:C1"/>
    <mergeCell ref="A2:C2"/>
    <mergeCell ref="A10:C1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1"/>
  <sheetViews>
    <sheetView showGridLines="0" workbookViewId="0">
      <selection sqref="A1:E1"/>
    </sheetView>
  </sheetViews>
  <sheetFormatPr defaultColWidth="8.6640625" defaultRowHeight="14.4" x14ac:dyDescent="0.3"/>
  <cols>
    <col min="1" max="1" width="34" customWidth="1"/>
    <col min="2" max="2" width="14" customWidth="1"/>
    <col min="3" max="3" width="18" customWidth="1"/>
    <col min="4" max="5" width="14" customWidth="1"/>
  </cols>
  <sheetData>
    <row r="1" spans="1:5" ht="27.75" customHeight="1" x14ac:dyDescent="0.3">
      <c r="A1" s="53" t="s">
        <v>778</v>
      </c>
      <c r="B1" s="52"/>
      <c r="C1" s="52"/>
      <c r="D1" s="52"/>
      <c r="E1" s="52"/>
    </row>
    <row r="2" spans="1:5" ht="14.25" customHeight="1" x14ac:dyDescent="0.3">
      <c r="A2" s="54" t="s">
        <v>779</v>
      </c>
      <c r="B2" s="52"/>
      <c r="C2" s="52"/>
      <c r="D2" s="52"/>
      <c r="E2" s="52"/>
    </row>
    <row r="4" spans="1:5" ht="21.75" customHeight="1" x14ac:dyDescent="0.3">
      <c r="A4" s="57" t="s">
        <v>780</v>
      </c>
      <c r="B4" s="52"/>
      <c r="C4" s="52"/>
      <c r="D4" s="52"/>
      <c r="E4" s="52"/>
    </row>
    <row r="5" spans="1:5" ht="14.25" customHeight="1" x14ac:dyDescent="0.3">
      <c r="A5" s="21" t="s">
        <v>781</v>
      </c>
      <c r="B5" s="21" t="s">
        <v>782</v>
      </c>
      <c r="C5" s="21" t="s">
        <v>783</v>
      </c>
    </row>
    <row r="6" spans="1:5" ht="14.25" customHeight="1" x14ac:dyDescent="0.3">
      <c r="A6" s="5" t="s">
        <v>784</v>
      </c>
      <c r="B6" s="7">
        <v>3689</v>
      </c>
      <c r="C6" s="22">
        <v>9.1899999999999996E-2</v>
      </c>
    </row>
    <row r="7" spans="1:5" ht="14.25" customHeight="1" x14ac:dyDescent="0.3">
      <c r="A7" s="6" t="s">
        <v>785</v>
      </c>
      <c r="B7" s="19">
        <v>1381</v>
      </c>
      <c r="C7" s="23">
        <v>3.44E-2</v>
      </c>
    </row>
    <row r="8" spans="1:5" ht="14.25" customHeight="1" x14ac:dyDescent="0.3">
      <c r="A8" s="5" t="s">
        <v>786</v>
      </c>
      <c r="B8" s="7">
        <v>18462</v>
      </c>
      <c r="C8" s="22">
        <v>0.46</v>
      </c>
    </row>
    <row r="9" spans="1:5" ht="14.25" customHeight="1" x14ac:dyDescent="0.3">
      <c r="A9" s="6" t="s">
        <v>787</v>
      </c>
      <c r="B9" s="19">
        <v>558</v>
      </c>
      <c r="C9" s="23">
        <v>1.3899999999999999E-2</v>
      </c>
    </row>
    <row r="10" spans="1:5" ht="14.25" customHeight="1" x14ac:dyDescent="0.3">
      <c r="A10" s="5" t="s">
        <v>106</v>
      </c>
      <c r="B10" s="7">
        <v>16040</v>
      </c>
      <c r="C10" s="22">
        <v>0.3997</v>
      </c>
    </row>
    <row r="11" spans="1:5" ht="14.25" customHeight="1" x14ac:dyDescent="0.3">
      <c r="A11" s="24" t="s">
        <v>788</v>
      </c>
      <c r="B11" s="19">
        <v>40131</v>
      </c>
      <c r="C11" s="23">
        <v>1</v>
      </c>
    </row>
    <row r="13" spans="1:5" ht="21.75" customHeight="1" x14ac:dyDescent="0.3">
      <c r="A13" s="57" t="s">
        <v>789</v>
      </c>
      <c r="B13" s="52"/>
      <c r="C13" s="52"/>
      <c r="D13" s="52"/>
      <c r="E13" s="52"/>
    </row>
    <row r="14" spans="1:5" ht="14.25" customHeight="1" x14ac:dyDescent="0.3">
      <c r="A14" s="21" t="s">
        <v>790</v>
      </c>
      <c r="B14" s="21" t="s">
        <v>782</v>
      </c>
      <c r="C14" s="21" t="s">
        <v>783</v>
      </c>
    </row>
    <row r="15" spans="1:5" ht="14.25" customHeight="1" x14ac:dyDescent="0.3">
      <c r="A15" s="6" t="s">
        <v>791</v>
      </c>
      <c r="B15" s="19">
        <v>19436</v>
      </c>
      <c r="C15" s="23">
        <v>0.48430000000000001</v>
      </c>
    </row>
    <row r="16" spans="1:5" ht="14.25" customHeight="1" x14ac:dyDescent="0.3">
      <c r="A16" s="5" t="s">
        <v>792</v>
      </c>
      <c r="B16" s="7">
        <v>20694</v>
      </c>
      <c r="C16" s="22">
        <v>0.51570000000000005</v>
      </c>
    </row>
    <row r="17" spans="1:5" ht="14.25" customHeight="1" x14ac:dyDescent="0.3">
      <c r="A17" s="24" t="s">
        <v>788</v>
      </c>
      <c r="B17" s="19">
        <v>40131</v>
      </c>
      <c r="C17" s="23">
        <v>1</v>
      </c>
    </row>
    <row r="19" spans="1:5" ht="21.75" customHeight="1" x14ac:dyDescent="0.3">
      <c r="A19" s="57" t="s">
        <v>793</v>
      </c>
      <c r="B19" s="52"/>
      <c r="C19" s="52"/>
      <c r="D19" s="52"/>
      <c r="E19" s="52"/>
    </row>
    <row r="20" spans="1:5" ht="14.25" customHeight="1" x14ac:dyDescent="0.3">
      <c r="A20" s="21" t="s">
        <v>794</v>
      </c>
      <c r="B20" s="21" t="s">
        <v>782</v>
      </c>
      <c r="C20" s="21" t="s">
        <v>795</v>
      </c>
    </row>
    <row r="21" spans="1:5" ht="14.25" customHeight="1" x14ac:dyDescent="0.3">
      <c r="A21" s="6" t="s">
        <v>796</v>
      </c>
      <c r="B21" s="19">
        <v>28116</v>
      </c>
      <c r="C21" s="6">
        <v>0</v>
      </c>
    </row>
    <row r="22" spans="1:5" ht="14.25" customHeight="1" x14ac:dyDescent="0.3">
      <c r="A22" s="5" t="s">
        <v>797</v>
      </c>
      <c r="B22" s="7">
        <v>8720</v>
      </c>
      <c r="C22" s="5">
        <v>14164</v>
      </c>
    </row>
    <row r="23" spans="1:5" ht="14.25" customHeight="1" x14ac:dyDescent="0.3">
      <c r="A23" s="6" t="s">
        <v>798</v>
      </c>
      <c r="B23" s="19">
        <v>3294</v>
      </c>
      <c r="C23" s="6">
        <v>1731</v>
      </c>
    </row>
    <row r="24" spans="1:5" ht="14.25" customHeight="1" x14ac:dyDescent="0.3">
      <c r="A24" s="25" t="s">
        <v>788</v>
      </c>
      <c r="B24" s="7">
        <v>40131</v>
      </c>
      <c r="C24" s="5">
        <v>15895</v>
      </c>
    </row>
    <row r="26" spans="1:5" ht="21.75" customHeight="1" x14ac:dyDescent="0.3">
      <c r="A26" s="57" t="s">
        <v>799</v>
      </c>
      <c r="B26" s="52"/>
      <c r="C26" s="52"/>
      <c r="D26" s="52"/>
      <c r="E26" s="52"/>
    </row>
    <row r="27" spans="1:5" ht="15" customHeight="1" x14ac:dyDescent="0.3">
      <c r="A27" s="56" t="s">
        <v>800</v>
      </c>
      <c r="B27" s="52"/>
      <c r="C27" s="52"/>
      <c r="D27" s="52"/>
      <c r="E27" s="52"/>
    </row>
    <row r="28" spans="1:5" ht="15" customHeight="1" x14ac:dyDescent="0.3">
      <c r="A28" s="56" t="s">
        <v>801</v>
      </c>
      <c r="B28" s="52"/>
      <c r="C28" s="52"/>
      <c r="D28" s="52"/>
      <c r="E28" s="52"/>
    </row>
    <row r="29" spans="1:5" ht="15" customHeight="1" x14ac:dyDescent="0.3">
      <c r="A29" s="56" t="s">
        <v>802</v>
      </c>
      <c r="B29" s="52"/>
      <c r="C29" s="52"/>
      <c r="D29" s="52"/>
      <c r="E29" s="52"/>
    </row>
    <row r="30" spans="1:5" ht="15" customHeight="1" x14ac:dyDescent="0.3">
      <c r="A30" s="56" t="s">
        <v>803</v>
      </c>
      <c r="B30" s="52"/>
      <c r="C30" s="52"/>
      <c r="D30" s="52"/>
      <c r="E30" s="52"/>
    </row>
    <row r="31" spans="1:5" ht="15" customHeight="1" x14ac:dyDescent="0.3">
      <c r="A31" s="56" t="s">
        <v>804</v>
      </c>
      <c r="B31" s="52"/>
      <c r="C31" s="52"/>
      <c r="D31" s="52"/>
      <c r="E31" s="52"/>
    </row>
  </sheetData>
  <mergeCells count="11">
    <mergeCell ref="A1:E1"/>
    <mergeCell ref="A13:E13"/>
    <mergeCell ref="A31:E31"/>
    <mergeCell ref="A27:E27"/>
    <mergeCell ref="A30:E30"/>
    <mergeCell ref="A29:E29"/>
    <mergeCell ref="A4:E4"/>
    <mergeCell ref="A26:E26"/>
    <mergeCell ref="A2:E2"/>
    <mergeCell ref="A28:E28"/>
    <mergeCell ref="A19:E1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8"/>
  <sheetViews>
    <sheetView showGridLines="0" workbookViewId="0">
      <selection sqref="A1:E1"/>
    </sheetView>
  </sheetViews>
  <sheetFormatPr defaultColWidth="8.6640625" defaultRowHeight="14.4" x14ac:dyDescent="0.3"/>
  <cols>
    <col min="1" max="1" width="20" customWidth="1"/>
    <col min="2" max="3" width="18" customWidth="1"/>
    <col min="4" max="5" width="16" customWidth="1"/>
  </cols>
  <sheetData>
    <row r="1" spans="1:5" ht="24" customHeight="1" x14ac:dyDescent="0.3">
      <c r="A1" s="53" t="s">
        <v>805</v>
      </c>
      <c r="B1" s="52"/>
      <c r="C1" s="52"/>
      <c r="D1" s="52"/>
      <c r="E1" s="52"/>
    </row>
    <row r="3" spans="1:5" ht="14.25" customHeight="1" x14ac:dyDescent="0.3">
      <c r="A3" s="17" t="s">
        <v>694</v>
      </c>
      <c r="B3" s="17" t="s">
        <v>806</v>
      </c>
      <c r="C3" s="17" t="s">
        <v>807</v>
      </c>
      <c r="D3" s="17" t="s">
        <v>808</v>
      </c>
      <c r="E3" s="17" t="s">
        <v>809</v>
      </c>
    </row>
    <row r="4" spans="1:5" ht="14.25" customHeight="1" x14ac:dyDescent="0.3">
      <c r="A4" s="5" t="s">
        <v>810</v>
      </c>
      <c r="B4" s="7">
        <v>826514745</v>
      </c>
      <c r="C4" s="7">
        <v>812464793</v>
      </c>
      <c r="D4" s="7">
        <v>223987.73577235799</v>
      </c>
      <c r="E4" s="7">
        <v>220180.160704607</v>
      </c>
    </row>
    <row r="5" spans="1:5" ht="14.25" customHeight="1" x14ac:dyDescent="0.3">
      <c r="A5" s="6" t="s">
        <v>811</v>
      </c>
      <c r="B5" s="19">
        <v>1366337</v>
      </c>
      <c r="C5" s="19">
        <v>1366337</v>
      </c>
      <c r="D5" s="19">
        <v>370.28102981029798</v>
      </c>
      <c r="E5" s="19">
        <v>370.28102981029798</v>
      </c>
    </row>
    <row r="6" spans="1:5" ht="14.25" customHeight="1" x14ac:dyDescent="0.3">
      <c r="A6" s="5" t="s">
        <v>812</v>
      </c>
      <c r="B6" s="7">
        <v>713505270</v>
      </c>
      <c r="C6" s="7">
        <v>713505270</v>
      </c>
      <c r="D6" s="7">
        <v>193361.861788618</v>
      </c>
      <c r="E6" s="7">
        <v>193361.861788618</v>
      </c>
    </row>
    <row r="7" spans="1:5" ht="14.25" customHeight="1" x14ac:dyDescent="0.3">
      <c r="A7" s="6" t="s">
        <v>561</v>
      </c>
      <c r="B7" s="19">
        <v>6000847</v>
      </c>
      <c r="C7" s="19">
        <v>6000847</v>
      </c>
      <c r="D7" s="19">
        <v>1626.245799458</v>
      </c>
      <c r="E7" s="19">
        <v>1626.245799458</v>
      </c>
    </row>
    <row r="8" spans="1:5" ht="14.25" customHeight="1" x14ac:dyDescent="0.3">
      <c r="A8" s="5" t="s">
        <v>718</v>
      </c>
      <c r="B8" s="7">
        <v>108374965</v>
      </c>
      <c r="C8" s="7">
        <v>94325013</v>
      </c>
      <c r="D8" s="7">
        <v>29369.909214092098</v>
      </c>
      <c r="E8" s="7">
        <v>25562.334146341502</v>
      </c>
    </row>
  </sheetData>
  <mergeCells count="1">
    <mergeCell ref="A1:E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66"/>
  <sheetViews>
    <sheetView workbookViewId="0"/>
  </sheetViews>
  <sheetFormatPr defaultRowHeight="14.4" x14ac:dyDescent="0.3"/>
  <sheetData>
    <row r="1" spans="1:7" x14ac:dyDescent="0.3">
      <c r="A1" t="s">
        <v>519</v>
      </c>
      <c r="B1" t="s">
        <v>513</v>
      </c>
      <c r="D1" t="s">
        <v>813</v>
      </c>
      <c r="E1" t="s">
        <v>814</v>
      </c>
      <c r="F1" t="s">
        <v>815</v>
      </c>
      <c r="G1" t="s">
        <v>816</v>
      </c>
    </row>
    <row r="2" spans="1:7" x14ac:dyDescent="0.3">
      <c r="A2" t="s">
        <v>35</v>
      </c>
      <c r="B2" t="s">
        <v>406</v>
      </c>
      <c r="D2" t="s">
        <v>522</v>
      </c>
      <c r="E2" t="s">
        <v>524</v>
      </c>
      <c r="F2" t="s">
        <v>451</v>
      </c>
      <c r="G2" t="s">
        <v>523</v>
      </c>
    </row>
    <row r="3" spans="1:7" x14ac:dyDescent="0.3">
      <c r="A3" t="s">
        <v>35</v>
      </c>
      <c r="B3" t="s">
        <v>402</v>
      </c>
      <c r="D3" t="s">
        <v>652</v>
      </c>
      <c r="E3" t="s">
        <v>106</v>
      </c>
      <c r="F3" t="s">
        <v>496</v>
      </c>
      <c r="G3" t="s">
        <v>653</v>
      </c>
    </row>
    <row r="4" spans="1:7" x14ac:dyDescent="0.3">
      <c r="A4" t="s">
        <v>35</v>
      </c>
      <c r="B4" t="s">
        <v>367</v>
      </c>
      <c r="D4" t="s">
        <v>656</v>
      </c>
      <c r="E4" t="s">
        <v>817</v>
      </c>
      <c r="G4" t="s">
        <v>657</v>
      </c>
    </row>
    <row r="5" spans="1:7" x14ac:dyDescent="0.3">
      <c r="A5" t="s">
        <v>35</v>
      </c>
      <c r="B5" t="s">
        <v>323</v>
      </c>
      <c r="D5" t="s">
        <v>658</v>
      </c>
      <c r="G5" t="s">
        <v>659</v>
      </c>
    </row>
    <row r="6" spans="1:7" x14ac:dyDescent="0.3">
      <c r="A6" t="s">
        <v>35</v>
      </c>
      <c r="B6" t="s">
        <v>80</v>
      </c>
      <c r="D6" t="s">
        <v>660</v>
      </c>
      <c r="G6" t="s">
        <v>661</v>
      </c>
    </row>
    <row r="7" spans="1:7" x14ac:dyDescent="0.3">
      <c r="A7" t="s">
        <v>35</v>
      </c>
      <c r="B7" t="s">
        <v>76</v>
      </c>
      <c r="D7" t="s">
        <v>576</v>
      </c>
    </row>
    <row r="8" spans="1:7" x14ac:dyDescent="0.3">
      <c r="A8" t="s">
        <v>35</v>
      </c>
      <c r="B8" t="s">
        <v>72</v>
      </c>
    </row>
    <row r="9" spans="1:7" x14ac:dyDescent="0.3">
      <c r="A9" t="s">
        <v>35</v>
      </c>
      <c r="B9" t="s">
        <v>94</v>
      </c>
    </row>
    <row r="10" spans="1:7" x14ac:dyDescent="0.3">
      <c r="A10" t="s">
        <v>35</v>
      </c>
      <c r="B10" t="s">
        <v>98</v>
      </c>
    </row>
    <row r="11" spans="1:7" x14ac:dyDescent="0.3">
      <c r="A11" t="s">
        <v>818</v>
      </c>
      <c r="B11" t="s">
        <v>398</v>
      </c>
    </row>
    <row r="12" spans="1:7" x14ac:dyDescent="0.3">
      <c r="A12" t="s">
        <v>818</v>
      </c>
      <c r="B12" t="s">
        <v>112</v>
      </c>
    </row>
    <row r="13" spans="1:7" x14ac:dyDescent="0.3">
      <c r="A13" t="s">
        <v>818</v>
      </c>
      <c r="B13" t="s">
        <v>121</v>
      </c>
    </row>
    <row r="14" spans="1:7" x14ac:dyDescent="0.3">
      <c r="A14" t="s">
        <v>818</v>
      </c>
      <c r="B14" t="s">
        <v>258</v>
      </c>
    </row>
    <row r="15" spans="1:7" x14ac:dyDescent="0.3">
      <c r="A15" t="s">
        <v>818</v>
      </c>
      <c r="B15" t="s">
        <v>241</v>
      </c>
    </row>
    <row r="16" spans="1:7" x14ac:dyDescent="0.3">
      <c r="A16" t="s">
        <v>818</v>
      </c>
      <c r="B16" t="s">
        <v>246</v>
      </c>
    </row>
    <row r="17" spans="1:2" x14ac:dyDescent="0.3">
      <c r="A17" t="s">
        <v>818</v>
      </c>
      <c r="B17" t="s">
        <v>249</v>
      </c>
    </row>
    <row r="18" spans="1:2" x14ac:dyDescent="0.3">
      <c r="A18" t="s">
        <v>818</v>
      </c>
      <c r="B18" t="s">
        <v>252</v>
      </c>
    </row>
    <row r="19" spans="1:2" x14ac:dyDescent="0.3">
      <c r="A19" t="s">
        <v>818</v>
      </c>
      <c r="B19" t="s">
        <v>255</v>
      </c>
    </row>
    <row r="20" spans="1:2" x14ac:dyDescent="0.3">
      <c r="A20" t="s">
        <v>818</v>
      </c>
      <c r="B20" t="s">
        <v>261</v>
      </c>
    </row>
    <row r="21" spans="1:2" x14ac:dyDescent="0.3">
      <c r="A21" t="s">
        <v>818</v>
      </c>
      <c r="B21" t="s">
        <v>387</v>
      </c>
    </row>
    <row r="22" spans="1:2" x14ac:dyDescent="0.3">
      <c r="A22" t="s">
        <v>819</v>
      </c>
      <c r="B22" t="s">
        <v>126</v>
      </c>
    </row>
    <row r="23" spans="1:2" x14ac:dyDescent="0.3">
      <c r="A23" t="s">
        <v>819</v>
      </c>
      <c r="B23" t="s">
        <v>132</v>
      </c>
    </row>
    <row r="24" spans="1:2" x14ac:dyDescent="0.3">
      <c r="A24" t="s">
        <v>819</v>
      </c>
      <c r="B24" t="s">
        <v>136</v>
      </c>
    </row>
    <row r="25" spans="1:2" x14ac:dyDescent="0.3">
      <c r="A25" t="s">
        <v>819</v>
      </c>
      <c r="B25" t="s">
        <v>142</v>
      </c>
    </row>
    <row r="26" spans="1:2" x14ac:dyDescent="0.3">
      <c r="A26" t="s">
        <v>819</v>
      </c>
      <c r="B26" t="s">
        <v>146</v>
      </c>
    </row>
    <row r="27" spans="1:2" x14ac:dyDescent="0.3">
      <c r="A27" t="s">
        <v>819</v>
      </c>
      <c r="B27" t="s">
        <v>430</v>
      </c>
    </row>
    <row r="28" spans="1:2" x14ac:dyDescent="0.3">
      <c r="A28" t="s">
        <v>819</v>
      </c>
      <c r="B28" t="s">
        <v>382</v>
      </c>
    </row>
    <row r="29" spans="1:2" x14ac:dyDescent="0.3">
      <c r="A29" t="s">
        <v>150</v>
      </c>
      <c r="B29" t="s">
        <v>155</v>
      </c>
    </row>
    <row r="30" spans="1:2" x14ac:dyDescent="0.3">
      <c r="A30" t="s">
        <v>150</v>
      </c>
      <c r="B30" t="s">
        <v>162</v>
      </c>
    </row>
    <row r="31" spans="1:2" x14ac:dyDescent="0.3">
      <c r="A31" t="s">
        <v>150</v>
      </c>
      <c r="B31" t="s">
        <v>169</v>
      </c>
    </row>
    <row r="32" spans="1:2" x14ac:dyDescent="0.3">
      <c r="A32" t="s">
        <v>150</v>
      </c>
      <c r="B32" t="s">
        <v>174</v>
      </c>
    </row>
    <row r="33" spans="1:2" x14ac:dyDescent="0.3">
      <c r="A33" t="s">
        <v>150</v>
      </c>
      <c r="B33" t="s">
        <v>181</v>
      </c>
    </row>
    <row r="34" spans="1:2" x14ac:dyDescent="0.3">
      <c r="A34" t="s">
        <v>150</v>
      </c>
      <c r="B34" t="s">
        <v>151</v>
      </c>
    </row>
    <row r="35" spans="1:2" x14ac:dyDescent="0.3">
      <c r="A35" t="s">
        <v>820</v>
      </c>
      <c r="B35" t="s">
        <v>196</v>
      </c>
    </row>
    <row r="36" spans="1:2" x14ac:dyDescent="0.3">
      <c r="A36" t="s">
        <v>820</v>
      </c>
      <c r="B36" t="s">
        <v>192</v>
      </c>
    </row>
    <row r="37" spans="1:2" x14ac:dyDescent="0.3">
      <c r="A37" t="s">
        <v>820</v>
      </c>
      <c r="B37" t="s">
        <v>426</v>
      </c>
    </row>
    <row r="38" spans="1:2" x14ac:dyDescent="0.3">
      <c r="A38" t="s">
        <v>820</v>
      </c>
      <c r="B38" t="s">
        <v>204</v>
      </c>
    </row>
    <row r="39" spans="1:2" x14ac:dyDescent="0.3">
      <c r="A39" t="s">
        <v>820</v>
      </c>
      <c r="B39" t="s">
        <v>209</v>
      </c>
    </row>
    <row r="40" spans="1:2" x14ac:dyDescent="0.3">
      <c r="A40" t="s">
        <v>820</v>
      </c>
      <c r="B40" t="s">
        <v>200</v>
      </c>
    </row>
    <row r="41" spans="1:2" x14ac:dyDescent="0.3">
      <c r="A41" t="s">
        <v>820</v>
      </c>
      <c r="B41" t="s">
        <v>213</v>
      </c>
    </row>
    <row r="42" spans="1:2" x14ac:dyDescent="0.3">
      <c r="A42" t="s">
        <v>821</v>
      </c>
      <c r="B42" t="s">
        <v>269</v>
      </c>
    </row>
    <row r="43" spans="1:2" x14ac:dyDescent="0.3">
      <c r="A43" t="s">
        <v>821</v>
      </c>
      <c r="B43" t="s">
        <v>273</v>
      </c>
    </row>
    <row r="44" spans="1:2" x14ac:dyDescent="0.3">
      <c r="A44" t="s">
        <v>821</v>
      </c>
      <c r="B44" t="s">
        <v>276</v>
      </c>
    </row>
    <row r="45" spans="1:2" x14ac:dyDescent="0.3">
      <c r="A45" t="s">
        <v>821</v>
      </c>
      <c r="B45" t="s">
        <v>290</v>
      </c>
    </row>
    <row r="46" spans="1:2" x14ac:dyDescent="0.3">
      <c r="A46" t="s">
        <v>821</v>
      </c>
      <c r="B46" t="s">
        <v>296</v>
      </c>
    </row>
    <row r="47" spans="1:2" x14ac:dyDescent="0.3">
      <c r="A47" t="s">
        <v>821</v>
      </c>
      <c r="B47" t="s">
        <v>300</v>
      </c>
    </row>
    <row r="48" spans="1:2" x14ac:dyDescent="0.3">
      <c r="A48" t="s">
        <v>821</v>
      </c>
      <c r="B48" t="s">
        <v>284</v>
      </c>
    </row>
    <row r="49" spans="1:2" x14ac:dyDescent="0.3">
      <c r="A49" t="s">
        <v>821</v>
      </c>
      <c r="B49" t="s">
        <v>348</v>
      </c>
    </row>
    <row r="50" spans="1:2" x14ac:dyDescent="0.3">
      <c r="A50" t="s">
        <v>821</v>
      </c>
      <c r="B50" t="s">
        <v>352</v>
      </c>
    </row>
    <row r="51" spans="1:2" x14ac:dyDescent="0.3">
      <c r="A51" t="s">
        <v>821</v>
      </c>
      <c r="B51" t="s">
        <v>355</v>
      </c>
    </row>
    <row r="52" spans="1:2" x14ac:dyDescent="0.3">
      <c r="A52" t="s">
        <v>821</v>
      </c>
      <c r="B52" t="s">
        <v>359</v>
      </c>
    </row>
    <row r="53" spans="1:2" x14ac:dyDescent="0.3">
      <c r="A53" t="s">
        <v>821</v>
      </c>
      <c r="B53" t="s">
        <v>363</v>
      </c>
    </row>
    <row r="54" spans="1:2" x14ac:dyDescent="0.3">
      <c r="A54" t="s">
        <v>821</v>
      </c>
      <c r="B54" t="s">
        <v>344</v>
      </c>
    </row>
    <row r="55" spans="1:2" x14ac:dyDescent="0.3">
      <c r="A55" t="s">
        <v>821</v>
      </c>
      <c r="B55" t="s">
        <v>279</v>
      </c>
    </row>
    <row r="56" spans="1:2" x14ac:dyDescent="0.3">
      <c r="A56" t="s">
        <v>822</v>
      </c>
      <c r="B56" t="s">
        <v>304</v>
      </c>
    </row>
    <row r="57" spans="1:2" x14ac:dyDescent="0.3">
      <c r="A57" t="s">
        <v>822</v>
      </c>
      <c r="B57" t="s">
        <v>309</v>
      </c>
    </row>
    <row r="58" spans="1:2" x14ac:dyDescent="0.3">
      <c r="A58" t="s">
        <v>822</v>
      </c>
      <c r="B58" t="s">
        <v>377</v>
      </c>
    </row>
    <row r="59" spans="1:2" x14ac:dyDescent="0.3">
      <c r="A59" t="s">
        <v>822</v>
      </c>
      <c r="B59" t="s">
        <v>371</v>
      </c>
    </row>
    <row r="60" spans="1:2" x14ac:dyDescent="0.3">
      <c r="A60" t="s">
        <v>822</v>
      </c>
      <c r="B60" t="s">
        <v>314</v>
      </c>
    </row>
    <row r="61" spans="1:2" x14ac:dyDescent="0.3">
      <c r="A61" t="s">
        <v>822</v>
      </c>
      <c r="B61" t="s">
        <v>318</v>
      </c>
    </row>
    <row r="62" spans="1:2" x14ac:dyDescent="0.3">
      <c r="A62" t="s">
        <v>822</v>
      </c>
      <c r="B62" t="s">
        <v>326</v>
      </c>
    </row>
    <row r="63" spans="1:2" x14ac:dyDescent="0.3">
      <c r="A63" t="s">
        <v>221</v>
      </c>
      <c r="B63" t="s">
        <v>222</v>
      </c>
    </row>
    <row r="64" spans="1:2" x14ac:dyDescent="0.3">
      <c r="A64" t="s">
        <v>221</v>
      </c>
      <c r="B64" t="s">
        <v>228</v>
      </c>
    </row>
    <row r="65" spans="1:2" x14ac:dyDescent="0.3">
      <c r="A65" t="s">
        <v>221</v>
      </c>
      <c r="B65" t="s">
        <v>232</v>
      </c>
    </row>
    <row r="66" spans="1:2" x14ac:dyDescent="0.3">
      <c r="A66" t="s">
        <v>221</v>
      </c>
      <c r="B66" t="s">
        <v>237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6"/>
  <sheetViews>
    <sheetView workbookViewId="0"/>
  </sheetViews>
  <sheetFormatPr defaultRowHeight="14.4" x14ac:dyDescent="0.3"/>
  <sheetData>
    <row r="1" spans="1:7" x14ac:dyDescent="0.3">
      <c r="A1" t="s">
        <v>823</v>
      </c>
      <c r="B1" t="s">
        <v>824</v>
      </c>
      <c r="C1" t="s">
        <v>825</v>
      </c>
      <c r="D1" t="s">
        <v>519</v>
      </c>
      <c r="E1" t="s">
        <v>826</v>
      </c>
      <c r="F1" t="s">
        <v>827</v>
      </c>
      <c r="G1" t="s">
        <v>515</v>
      </c>
    </row>
    <row r="2" spans="1:7" x14ac:dyDescent="0.3">
      <c r="A2" t="s">
        <v>828</v>
      </c>
      <c r="B2" t="s">
        <v>829</v>
      </c>
      <c r="C2" t="s">
        <v>830</v>
      </c>
      <c r="D2" t="s">
        <v>35</v>
      </c>
      <c r="E2" t="s">
        <v>831</v>
      </c>
      <c r="F2">
        <v>84</v>
      </c>
      <c r="G2" t="s">
        <v>832</v>
      </c>
    </row>
    <row r="3" spans="1:7" x14ac:dyDescent="0.3">
      <c r="A3" t="s">
        <v>833</v>
      </c>
      <c r="B3" t="s">
        <v>829</v>
      </c>
      <c r="C3" t="s">
        <v>834</v>
      </c>
      <c r="D3" t="s">
        <v>35</v>
      </c>
      <c r="E3" t="s">
        <v>831</v>
      </c>
      <c r="F3">
        <v>84</v>
      </c>
      <c r="G3" t="s">
        <v>835</v>
      </c>
    </row>
    <row r="4" spans="1:7" x14ac:dyDescent="0.3">
      <c r="C4" t="s">
        <v>836</v>
      </c>
      <c r="G4" t="s">
        <v>837</v>
      </c>
    </row>
    <row r="5" spans="1:7" x14ac:dyDescent="0.3">
      <c r="A5" t="s">
        <v>838</v>
      </c>
      <c r="B5" t="s">
        <v>829</v>
      </c>
      <c r="C5" t="s">
        <v>839</v>
      </c>
      <c r="D5" t="s">
        <v>840</v>
      </c>
      <c r="E5" t="s">
        <v>831</v>
      </c>
      <c r="F5">
        <v>1261</v>
      </c>
      <c r="G5" t="s">
        <v>841</v>
      </c>
    </row>
    <row r="6" spans="1:7" x14ac:dyDescent="0.3">
      <c r="A6" t="s">
        <v>842</v>
      </c>
      <c r="B6" t="s">
        <v>829</v>
      </c>
      <c r="C6" t="s">
        <v>843</v>
      </c>
      <c r="D6" t="s">
        <v>840</v>
      </c>
      <c r="E6" t="s">
        <v>831</v>
      </c>
      <c r="F6">
        <v>129</v>
      </c>
      <c r="G6" t="s">
        <v>844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1"/>
  <sheetViews>
    <sheetView workbookViewId="0"/>
  </sheetViews>
  <sheetFormatPr defaultRowHeight="14.4" x14ac:dyDescent="0.3"/>
  <sheetData>
    <row r="1" spans="1:10" x14ac:dyDescent="0.3">
      <c r="A1" t="s">
        <v>845</v>
      </c>
      <c r="B1" t="s">
        <v>846</v>
      </c>
      <c r="C1" t="s">
        <v>847</v>
      </c>
      <c r="D1" t="s">
        <v>848</v>
      </c>
      <c r="E1" t="s">
        <v>849</v>
      </c>
      <c r="F1" t="s">
        <v>850</v>
      </c>
      <c r="G1" t="s">
        <v>851</v>
      </c>
      <c r="H1" t="s">
        <v>852</v>
      </c>
      <c r="I1" t="s">
        <v>853</v>
      </c>
      <c r="J1" t="s">
        <v>854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34"/>
  <sheetViews>
    <sheetView workbookViewId="0"/>
  </sheetViews>
  <sheetFormatPr defaultRowHeight="14.4" x14ac:dyDescent="0.3"/>
  <cols>
    <col min="1" max="12" width="16" customWidth="1"/>
  </cols>
  <sheetData>
    <row r="1" spans="1:12" ht="18" x14ac:dyDescent="0.35">
      <c r="A1" s="49" t="s">
        <v>855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x14ac:dyDescent="0.3">
      <c r="A2" t="s">
        <v>856</v>
      </c>
    </row>
    <row r="3" spans="1:12" x14ac:dyDescent="0.3">
      <c r="A3" t="s">
        <v>857</v>
      </c>
      <c r="F3" t="s">
        <v>858</v>
      </c>
      <c r="J3" t="s">
        <v>859</v>
      </c>
    </row>
    <row r="4" spans="1:12" x14ac:dyDescent="0.3">
      <c r="A4" s="48" t="s">
        <v>860</v>
      </c>
      <c r="B4" s="48"/>
      <c r="C4" s="48"/>
      <c r="D4" s="48"/>
      <c r="E4" s="48"/>
      <c r="F4" s="48" t="s">
        <v>18</v>
      </c>
      <c r="G4" s="48" t="s">
        <v>861</v>
      </c>
      <c r="H4" s="48"/>
      <c r="I4" s="48"/>
      <c r="J4" s="48" t="s">
        <v>862</v>
      </c>
      <c r="K4" s="48">
        <v>22</v>
      </c>
      <c r="L4" s="48"/>
    </row>
    <row r="5" spans="1:12" x14ac:dyDescent="0.3">
      <c r="F5" t="s">
        <v>39</v>
      </c>
      <c r="G5" t="s">
        <v>451</v>
      </c>
      <c r="J5" t="s">
        <v>863</v>
      </c>
      <c r="K5">
        <v>986</v>
      </c>
    </row>
    <row r="6" spans="1:12" x14ac:dyDescent="0.3">
      <c r="F6" t="s">
        <v>864</v>
      </c>
      <c r="G6" t="s">
        <v>865</v>
      </c>
      <c r="J6" t="s">
        <v>866</v>
      </c>
      <c r="K6">
        <v>90</v>
      </c>
    </row>
    <row r="7" spans="1:12" x14ac:dyDescent="0.3">
      <c r="F7" t="s">
        <v>867</v>
      </c>
      <c r="G7" t="s">
        <v>522</v>
      </c>
      <c r="J7" t="s">
        <v>868</v>
      </c>
      <c r="K7" t="s">
        <v>869</v>
      </c>
    </row>
    <row r="8" spans="1:12" x14ac:dyDescent="0.3">
      <c r="A8" t="s">
        <v>870</v>
      </c>
    </row>
    <row r="9" spans="1:12" x14ac:dyDescent="0.3">
      <c r="A9" t="s">
        <v>871</v>
      </c>
      <c r="E9" t="s">
        <v>872</v>
      </c>
      <c r="I9" t="s">
        <v>873</v>
      </c>
    </row>
    <row r="10" spans="1:12" x14ac:dyDescent="0.3">
      <c r="A10">
        <v>6106667432</v>
      </c>
      <c r="E10">
        <v>3435007484</v>
      </c>
      <c r="I10">
        <v>2671659949</v>
      </c>
    </row>
    <row r="13" spans="1:12" x14ac:dyDescent="0.3">
      <c r="A13" t="s">
        <v>874</v>
      </c>
      <c r="E13" t="s">
        <v>875</v>
      </c>
      <c r="I13" t="s">
        <v>876</v>
      </c>
    </row>
    <row r="14" spans="1:12" x14ac:dyDescent="0.3">
      <c r="A14">
        <v>2709609951</v>
      </c>
      <c r="E14">
        <v>276036182</v>
      </c>
      <c r="I14">
        <v>246728277</v>
      </c>
    </row>
    <row r="17" spans="1:9" x14ac:dyDescent="0.3">
      <c r="A17" t="s">
        <v>877</v>
      </c>
    </row>
    <row r="18" spans="1:9" x14ac:dyDescent="0.3">
      <c r="A18" t="s">
        <v>522</v>
      </c>
      <c r="B18" t="s">
        <v>878</v>
      </c>
    </row>
    <row r="19" spans="1:9" x14ac:dyDescent="0.3">
      <c r="A19" t="s">
        <v>879</v>
      </c>
      <c r="B19" t="s">
        <v>880</v>
      </c>
    </row>
    <row r="20" spans="1:9" x14ac:dyDescent="0.3">
      <c r="A20" t="s">
        <v>881</v>
      </c>
      <c r="B20" t="s">
        <v>882</v>
      </c>
    </row>
    <row r="21" spans="1:9" x14ac:dyDescent="0.3">
      <c r="A21" t="s">
        <v>883</v>
      </c>
      <c r="B21" t="s">
        <v>884</v>
      </c>
    </row>
    <row r="22" spans="1:9" x14ac:dyDescent="0.3">
      <c r="A22" t="s">
        <v>885</v>
      </c>
      <c r="H22" t="s">
        <v>886</v>
      </c>
    </row>
    <row r="23" spans="1:9" x14ac:dyDescent="0.3">
      <c r="A23">
        <v>1</v>
      </c>
      <c r="B23" t="s">
        <v>887</v>
      </c>
      <c r="H23" t="s">
        <v>888</v>
      </c>
      <c r="I23" t="s">
        <v>889</v>
      </c>
    </row>
    <row r="24" spans="1:9" x14ac:dyDescent="0.3">
      <c r="A24">
        <v>2</v>
      </c>
      <c r="B24" t="s">
        <v>890</v>
      </c>
      <c r="H24" t="s">
        <v>891</v>
      </c>
      <c r="I24" t="s">
        <v>892</v>
      </c>
    </row>
    <row r="25" spans="1:9" x14ac:dyDescent="0.3">
      <c r="A25">
        <v>3</v>
      </c>
      <c r="B25" t="s">
        <v>893</v>
      </c>
      <c r="H25" t="s">
        <v>894</v>
      </c>
      <c r="I25" t="s">
        <v>895</v>
      </c>
    </row>
    <row r="26" spans="1:9" x14ac:dyDescent="0.3">
      <c r="A26">
        <v>4</v>
      </c>
      <c r="B26" t="s">
        <v>896</v>
      </c>
      <c r="H26" t="s">
        <v>897</v>
      </c>
      <c r="I26" t="s">
        <v>898</v>
      </c>
    </row>
    <row r="27" spans="1:9" x14ac:dyDescent="0.3">
      <c r="H27" t="s">
        <v>899</v>
      </c>
      <c r="I27" t="s">
        <v>900</v>
      </c>
    </row>
    <row r="28" spans="1:9" x14ac:dyDescent="0.3">
      <c r="H28" t="s">
        <v>901</v>
      </c>
      <c r="I28" t="s">
        <v>902</v>
      </c>
    </row>
    <row r="29" spans="1:9" x14ac:dyDescent="0.3">
      <c r="H29" t="s">
        <v>903</v>
      </c>
      <c r="I29" t="s">
        <v>904</v>
      </c>
    </row>
    <row r="30" spans="1:9" x14ac:dyDescent="0.3">
      <c r="H30" t="s">
        <v>905</v>
      </c>
      <c r="I30" t="s">
        <v>906</v>
      </c>
    </row>
    <row r="31" spans="1:9" x14ac:dyDescent="0.3">
      <c r="H31" t="s">
        <v>907</v>
      </c>
      <c r="I31" t="s">
        <v>908</v>
      </c>
    </row>
    <row r="32" spans="1:9" x14ac:dyDescent="0.3">
      <c r="H32" t="s">
        <v>909</v>
      </c>
      <c r="I32" t="s">
        <v>910</v>
      </c>
    </row>
    <row r="33" spans="1:9" x14ac:dyDescent="0.3">
      <c r="H33" t="s">
        <v>911</v>
      </c>
      <c r="I33" t="s">
        <v>912</v>
      </c>
    </row>
    <row r="34" spans="1:9" x14ac:dyDescent="0.3">
      <c r="A34" t="s">
        <v>913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45"/>
  <sheetViews>
    <sheetView workbookViewId="0"/>
  </sheetViews>
  <sheetFormatPr defaultRowHeight="14.4" x14ac:dyDescent="0.3"/>
  <cols>
    <col min="1" max="6" width="16" customWidth="1"/>
  </cols>
  <sheetData>
    <row r="1" spans="1:6" ht="18" x14ac:dyDescent="0.35">
      <c r="A1" s="49" t="s">
        <v>914</v>
      </c>
      <c r="B1" s="49"/>
      <c r="C1" s="49"/>
      <c r="D1" s="49"/>
      <c r="E1" s="49"/>
      <c r="F1" s="49"/>
    </row>
    <row r="2" spans="1:6" x14ac:dyDescent="0.3">
      <c r="A2" t="s">
        <v>915</v>
      </c>
    </row>
    <row r="3" spans="1:6" x14ac:dyDescent="0.3">
      <c r="A3" s="48" t="s">
        <v>916</v>
      </c>
      <c r="B3" s="48" t="s">
        <v>917</v>
      </c>
      <c r="C3" s="48"/>
      <c r="D3" s="48" t="s">
        <v>28</v>
      </c>
      <c r="E3" s="48" t="s">
        <v>522</v>
      </c>
      <c r="F3" s="48"/>
    </row>
    <row r="4" spans="1:6" x14ac:dyDescent="0.3">
      <c r="A4" s="48" t="s">
        <v>18</v>
      </c>
      <c r="B4" s="48" t="s">
        <v>918</v>
      </c>
      <c r="C4" s="48"/>
      <c r="D4" s="48" t="s">
        <v>39</v>
      </c>
      <c r="E4" s="48" t="s">
        <v>451</v>
      </c>
      <c r="F4" s="48"/>
    </row>
    <row r="5" spans="1:6" x14ac:dyDescent="0.3">
      <c r="A5" t="s">
        <v>864</v>
      </c>
      <c r="B5" t="s">
        <v>919</v>
      </c>
    </row>
    <row r="6" spans="1:6" x14ac:dyDescent="0.3">
      <c r="A6" t="s">
        <v>920</v>
      </c>
    </row>
    <row r="7" spans="1:6" x14ac:dyDescent="0.3">
      <c r="A7" s="48" t="s">
        <v>694</v>
      </c>
      <c r="B7" s="48" t="s">
        <v>921</v>
      </c>
      <c r="C7" s="48" t="s">
        <v>922</v>
      </c>
      <c r="D7" s="48" t="s">
        <v>923</v>
      </c>
      <c r="E7" s="48" t="s">
        <v>924</v>
      </c>
      <c r="F7" s="48" t="s">
        <v>925</v>
      </c>
    </row>
    <row r="8" spans="1:6" x14ac:dyDescent="0.3">
      <c r="A8" t="s">
        <v>926</v>
      </c>
      <c r="B8">
        <v>3</v>
      </c>
      <c r="C8">
        <v>174266926</v>
      </c>
      <c r="D8">
        <v>174266926</v>
      </c>
      <c r="E8">
        <v>0</v>
      </c>
      <c r="F8" t="s">
        <v>927</v>
      </c>
    </row>
    <row r="9" spans="1:6" x14ac:dyDescent="0.3">
      <c r="A9" t="s">
        <v>928</v>
      </c>
      <c r="B9">
        <v>4</v>
      </c>
      <c r="C9">
        <v>78270032</v>
      </c>
      <c r="D9">
        <v>78270032</v>
      </c>
      <c r="E9">
        <v>0</v>
      </c>
      <c r="F9" t="s">
        <v>927</v>
      </c>
    </row>
    <row r="10" spans="1:6" x14ac:dyDescent="0.3">
      <c r="A10" t="s">
        <v>929</v>
      </c>
      <c r="B10">
        <v>5</v>
      </c>
      <c r="C10">
        <v>5218154960</v>
      </c>
      <c r="D10">
        <v>5218154960</v>
      </c>
      <c r="E10">
        <v>0</v>
      </c>
      <c r="F10" t="s">
        <v>927</v>
      </c>
    </row>
    <row r="11" spans="1:6" x14ac:dyDescent="0.3">
      <c r="A11" t="s">
        <v>930</v>
      </c>
      <c r="C11">
        <v>5470691918</v>
      </c>
      <c r="D11">
        <v>5470691918</v>
      </c>
      <c r="E11">
        <v>0</v>
      </c>
      <c r="F11" t="s">
        <v>927</v>
      </c>
    </row>
    <row r="12" spans="1:6" x14ac:dyDescent="0.3">
      <c r="A12" t="s">
        <v>931</v>
      </c>
      <c r="B12">
        <v>6</v>
      </c>
      <c r="C12">
        <v>635975514</v>
      </c>
      <c r="D12">
        <v>635975514</v>
      </c>
      <c r="E12">
        <v>0</v>
      </c>
      <c r="F12" t="s">
        <v>927</v>
      </c>
    </row>
    <row r="13" spans="1:6" x14ac:dyDescent="0.3">
      <c r="A13" t="s">
        <v>932</v>
      </c>
      <c r="C13">
        <v>6106667432</v>
      </c>
      <c r="D13">
        <v>6106667432</v>
      </c>
      <c r="E13">
        <v>0</v>
      </c>
      <c r="F13" t="s">
        <v>927</v>
      </c>
    </row>
    <row r="14" spans="1:6" x14ac:dyDescent="0.3">
      <c r="A14" t="s">
        <v>933</v>
      </c>
      <c r="B14">
        <v>7</v>
      </c>
      <c r="C14">
        <v>793220203</v>
      </c>
      <c r="D14">
        <v>793220203</v>
      </c>
      <c r="E14">
        <v>0</v>
      </c>
      <c r="F14" t="s">
        <v>927</v>
      </c>
    </row>
    <row r="15" spans="1:6" x14ac:dyDescent="0.3">
      <c r="A15" t="s">
        <v>934</v>
      </c>
      <c r="B15">
        <v>7</v>
      </c>
      <c r="C15">
        <v>2641787281</v>
      </c>
      <c r="D15">
        <v>2641787281</v>
      </c>
      <c r="E15">
        <v>0</v>
      </c>
      <c r="F15" t="s">
        <v>927</v>
      </c>
    </row>
    <row r="16" spans="1:6" x14ac:dyDescent="0.3">
      <c r="A16" t="s">
        <v>935</v>
      </c>
      <c r="C16">
        <v>3435007484</v>
      </c>
      <c r="D16">
        <v>3435007484</v>
      </c>
      <c r="E16">
        <v>0</v>
      </c>
      <c r="F16" t="s">
        <v>927</v>
      </c>
    </row>
    <row r="17" spans="1:6" x14ac:dyDescent="0.3">
      <c r="A17" t="s">
        <v>936</v>
      </c>
      <c r="B17">
        <v>8</v>
      </c>
      <c r="C17">
        <v>830909000</v>
      </c>
      <c r="D17">
        <v>830909000</v>
      </c>
      <c r="E17">
        <v>0</v>
      </c>
      <c r="F17" t="s">
        <v>927</v>
      </c>
    </row>
    <row r="18" spans="1:6" x14ac:dyDescent="0.3">
      <c r="A18" t="s">
        <v>937</v>
      </c>
      <c r="B18">
        <v>8</v>
      </c>
      <c r="C18">
        <v>379430000</v>
      </c>
      <c r="D18">
        <v>379430000</v>
      </c>
      <c r="E18">
        <v>0</v>
      </c>
      <c r="F18" t="s">
        <v>927</v>
      </c>
    </row>
    <row r="19" spans="1:6" x14ac:dyDescent="0.3">
      <c r="A19" t="s">
        <v>938</v>
      </c>
      <c r="B19">
        <v>8</v>
      </c>
      <c r="C19">
        <v>1214592672</v>
      </c>
      <c r="D19">
        <v>1214592672</v>
      </c>
      <c r="E19">
        <v>0</v>
      </c>
      <c r="F19" t="s">
        <v>927</v>
      </c>
    </row>
    <row r="20" spans="1:6" x14ac:dyDescent="0.3">
      <c r="A20" t="s">
        <v>939</v>
      </c>
      <c r="B20">
        <v>8</v>
      </c>
      <c r="C20">
        <v>246728277</v>
      </c>
      <c r="D20">
        <v>246728277</v>
      </c>
      <c r="E20">
        <v>0</v>
      </c>
      <c r="F20" t="s">
        <v>927</v>
      </c>
    </row>
    <row r="21" spans="1:6" x14ac:dyDescent="0.3">
      <c r="A21" t="s">
        <v>940</v>
      </c>
      <c r="C21">
        <v>2671659949</v>
      </c>
      <c r="D21">
        <v>2671659949</v>
      </c>
      <c r="E21">
        <v>0</v>
      </c>
      <c r="F21" t="s">
        <v>927</v>
      </c>
    </row>
    <row r="22" spans="1:6" x14ac:dyDescent="0.3">
      <c r="A22" t="s">
        <v>941</v>
      </c>
      <c r="C22">
        <v>6106667432</v>
      </c>
      <c r="D22">
        <v>6106667432</v>
      </c>
      <c r="E22">
        <v>0</v>
      </c>
      <c r="F22" t="s">
        <v>927</v>
      </c>
    </row>
    <row r="23" spans="1:6" x14ac:dyDescent="0.3">
      <c r="A23" t="s">
        <v>942</v>
      </c>
    </row>
    <row r="24" spans="1:6" x14ac:dyDescent="0.3">
      <c r="A24" t="s">
        <v>694</v>
      </c>
      <c r="B24" t="s">
        <v>921</v>
      </c>
      <c r="C24" t="s">
        <v>922</v>
      </c>
      <c r="D24" t="s">
        <v>923</v>
      </c>
      <c r="E24" t="s">
        <v>924</v>
      </c>
      <c r="F24" t="s">
        <v>925</v>
      </c>
    </row>
    <row r="25" spans="1:6" x14ac:dyDescent="0.3">
      <c r="A25" t="s">
        <v>943</v>
      </c>
      <c r="B25">
        <v>9</v>
      </c>
      <c r="C25">
        <v>5615511389</v>
      </c>
      <c r="D25">
        <v>5615511389</v>
      </c>
      <c r="E25">
        <v>0</v>
      </c>
      <c r="F25" t="s">
        <v>927</v>
      </c>
    </row>
    <row r="26" spans="1:6" x14ac:dyDescent="0.3">
      <c r="A26" t="s">
        <v>944</v>
      </c>
      <c r="B26">
        <v>9</v>
      </c>
      <c r="C26">
        <v>-463278090</v>
      </c>
      <c r="D26">
        <v>-463278090</v>
      </c>
      <c r="E26">
        <v>0</v>
      </c>
      <c r="F26" t="s">
        <v>927</v>
      </c>
    </row>
    <row r="27" spans="1:6" x14ac:dyDescent="0.3">
      <c r="A27" t="s">
        <v>945</v>
      </c>
      <c r="B27">
        <v>10</v>
      </c>
      <c r="C27">
        <v>2442623347</v>
      </c>
      <c r="D27">
        <v>2442623347</v>
      </c>
      <c r="E27">
        <v>0</v>
      </c>
      <c r="F27" t="s">
        <v>927</v>
      </c>
    </row>
    <row r="28" spans="1:6" x14ac:dyDescent="0.3">
      <c r="A28" t="s">
        <v>946</v>
      </c>
      <c r="C28">
        <v>2709609951</v>
      </c>
      <c r="D28">
        <v>2709609951</v>
      </c>
      <c r="E28">
        <v>0</v>
      </c>
      <c r="F28" t="s">
        <v>927</v>
      </c>
    </row>
    <row r="29" spans="1:6" x14ac:dyDescent="0.3">
      <c r="A29" t="s">
        <v>947</v>
      </c>
      <c r="B29">
        <v>11</v>
      </c>
      <c r="C29">
        <v>797478918</v>
      </c>
      <c r="D29">
        <v>797478918</v>
      </c>
      <c r="E29">
        <v>0</v>
      </c>
      <c r="F29" t="s">
        <v>927</v>
      </c>
    </row>
    <row r="30" spans="1:6" x14ac:dyDescent="0.3">
      <c r="A30" t="s">
        <v>948</v>
      </c>
      <c r="B30">
        <v>11</v>
      </c>
      <c r="C30">
        <v>959736563</v>
      </c>
      <c r="D30">
        <v>959736563</v>
      </c>
      <c r="E30">
        <v>0</v>
      </c>
      <c r="F30" t="s">
        <v>927</v>
      </c>
    </row>
    <row r="31" spans="1:6" x14ac:dyDescent="0.3">
      <c r="A31" t="s">
        <v>949</v>
      </c>
      <c r="B31">
        <v>11</v>
      </c>
      <c r="C31">
        <v>676358287</v>
      </c>
      <c r="D31">
        <v>676358287</v>
      </c>
      <c r="E31">
        <v>0</v>
      </c>
      <c r="F31" t="s">
        <v>927</v>
      </c>
    </row>
    <row r="32" spans="1:6" x14ac:dyDescent="0.3">
      <c r="A32" t="s">
        <v>950</v>
      </c>
      <c r="C32">
        <v>2433573769</v>
      </c>
      <c r="D32">
        <v>2433573769</v>
      </c>
      <c r="E32">
        <v>0</v>
      </c>
      <c r="F32" t="s">
        <v>927</v>
      </c>
    </row>
    <row r="33" spans="1:6" x14ac:dyDescent="0.3">
      <c r="A33" t="s">
        <v>951</v>
      </c>
      <c r="C33">
        <v>276036182</v>
      </c>
      <c r="D33">
        <v>276036182</v>
      </c>
      <c r="E33">
        <v>0</v>
      </c>
      <c r="F33" t="s">
        <v>927</v>
      </c>
    </row>
    <row r="34" spans="1:6" x14ac:dyDescent="0.3">
      <c r="A34" t="s">
        <v>952</v>
      </c>
      <c r="B34">
        <v>12</v>
      </c>
      <c r="C34">
        <v>10800447</v>
      </c>
      <c r="D34">
        <v>10800447</v>
      </c>
      <c r="E34">
        <v>0</v>
      </c>
      <c r="F34" t="s">
        <v>927</v>
      </c>
    </row>
    <row r="35" spans="1:6" x14ac:dyDescent="0.3">
      <c r="A35" t="s">
        <v>717</v>
      </c>
      <c r="B35">
        <v>13</v>
      </c>
      <c r="C35">
        <v>40108353</v>
      </c>
      <c r="D35">
        <v>40108353</v>
      </c>
      <c r="E35">
        <v>0</v>
      </c>
      <c r="F35" t="s">
        <v>927</v>
      </c>
    </row>
    <row r="36" spans="1:6" x14ac:dyDescent="0.3">
      <c r="A36" t="s">
        <v>876</v>
      </c>
      <c r="C36">
        <v>246728277</v>
      </c>
      <c r="D36">
        <v>246728277</v>
      </c>
      <c r="E36">
        <v>0</v>
      </c>
      <c r="F36" t="s">
        <v>927</v>
      </c>
    </row>
    <row r="37" spans="1:6" x14ac:dyDescent="0.3">
      <c r="A37" t="s">
        <v>953</v>
      </c>
    </row>
    <row r="38" spans="1:6" x14ac:dyDescent="0.3">
      <c r="A38" t="s">
        <v>694</v>
      </c>
      <c r="B38" t="s">
        <v>954</v>
      </c>
      <c r="C38" t="s">
        <v>955</v>
      </c>
      <c r="F38" t="s">
        <v>956</v>
      </c>
    </row>
    <row r="39" spans="1:6" x14ac:dyDescent="0.3">
      <c r="A39" t="s">
        <v>957</v>
      </c>
      <c r="B39">
        <v>1</v>
      </c>
      <c r="C39" t="s">
        <v>958</v>
      </c>
      <c r="F39" t="s">
        <v>959</v>
      </c>
    </row>
    <row r="40" spans="1:6" x14ac:dyDescent="0.3">
      <c r="A40" t="s">
        <v>960</v>
      </c>
      <c r="B40">
        <v>1</v>
      </c>
      <c r="C40" t="s">
        <v>958</v>
      </c>
      <c r="F40" t="s">
        <v>961</v>
      </c>
    </row>
    <row r="41" spans="1:6" x14ac:dyDescent="0.3">
      <c r="A41" t="s">
        <v>962</v>
      </c>
      <c r="B41">
        <v>-1</v>
      </c>
      <c r="C41" t="s">
        <v>963</v>
      </c>
      <c r="F41" t="s">
        <v>964</v>
      </c>
    </row>
    <row r="42" spans="1:6" x14ac:dyDescent="0.3">
      <c r="A42" t="s">
        <v>965</v>
      </c>
      <c r="B42">
        <v>1</v>
      </c>
      <c r="C42" t="s">
        <v>963</v>
      </c>
      <c r="F42" t="s">
        <v>964</v>
      </c>
    </row>
    <row r="43" spans="1:6" x14ac:dyDescent="0.3">
      <c r="A43" t="s">
        <v>717</v>
      </c>
      <c r="B43">
        <v>-2</v>
      </c>
      <c r="C43" t="s">
        <v>966</v>
      </c>
      <c r="F43" t="s">
        <v>967</v>
      </c>
    </row>
    <row r="44" spans="1:6" x14ac:dyDescent="0.3">
      <c r="A44" t="s">
        <v>939</v>
      </c>
      <c r="B44">
        <v>1</v>
      </c>
      <c r="C44" t="s">
        <v>968</v>
      </c>
      <c r="F44" t="s">
        <v>964</v>
      </c>
    </row>
    <row r="45" spans="1:6" x14ac:dyDescent="0.3">
      <c r="A45" t="s">
        <v>969</v>
      </c>
      <c r="B45">
        <v>-1</v>
      </c>
      <c r="C45" t="s">
        <v>970</v>
      </c>
      <c r="F45" t="s">
        <v>971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46"/>
  <sheetViews>
    <sheetView workbookViewId="0"/>
  </sheetViews>
  <sheetFormatPr defaultRowHeight="14.4" x14ac:dyDescent="0.3"/>
  <cols>
    <col min="1" max="6" width="16" customWidth="1"/>
  </cols>
  <sheetData>
    <row r="1" spans="1:6" ht="18" x14ac:dyDescent="0.35">
      <c r="A1" s="49" t="s">
        <v>972</v>
      </c>
      <c r="B1" s="49"/>
      <c r="C1" s="49"/>
      <c r="D1" s="49"/>
      <c r="E1" s="49"/>
      <c r="F1" s="49"/>
    </row>
    <row r="2" spans="1:6" x14ac:dyDescent="0.3">
      <c r="A2" t="s">
        <v>973</v>
      </c>
    </row>
    <row r="3" spans="1:6" x14ac:dyDescent="0.3">
      <c r="A3" s="48" t="s">
        <v>916</v>
      </c>
      <c r="B3" s="48"/>
      <c r="C3" s="48" t="s">
        <v>25</v>
      </c>
      <c r="D3" s="48" t="s">
        <v>974</v>
      </c>
      <c r="E3" s="48" t="s">
        <v>975</v>
      </c>
      <c r="F3" s="48" t="s">
        <v>976</v>
      </c>
    </row>
    <row r="4" spans="1:6" x14ac:dyDescent="0.3">
      <c r="A4" t="s">
        <v>39</v>
      </c>
      <c r="C4" t="s">
        <v>451</v>
      </c>
      <c r="D4" t="s">
        <v>496</v>
      </c>
      <c r="E4" t="s">
        <v>686</v>
      </c>
      <c r="F4" t="s">
        <v>496</v>
      </c>
    </row>
    <row r="5" spans="1:6" x14ac:dyDescent="0.3">
      <c r="A5" s="48" t="s">
        <v>18</v>
      </c>
      <c r="B5" s="48"/>
      <c r="C5" s="48" t="s">
        <v>624</v>
      </c>
      <c r="D5" s="48" t="s">
        <v>624</v>
      </c>
      <c r="E5" s="48" t="s">
        <v>624</v>
      </c>
      <c r="F5" s="48" t="s">
        <v>603</v>
      </c>
    </row>
    <row r="6" spans="1:6" x14ac:dyDescent="0.3">
      <c r="A6" t="s">
        <v>977</v>
      </c>
      <c r="B6" t="s">
        <v>978</v>
      </c>
      <c r="C6" t="s">
        <v>25</v>
      </c>
      <c r="D6" t="s">
        <v>974</v>
      </c>
      <c r="E6" t="s">
        <v>975</v>
      </c>
      <c r="F6" t="s">
        <v>976</v>
      </c>
    </row>
    <row r="7" spans="1:6" x14ac:dyDescent="0.3">
      <c r="B7" t="s">
        <v>979</v>
      </c>
    </row>
    <row r="8" spans="1:6" x14ac:dyDescent="0.3">
      <c r="A8" t="s">
        <v>980</v>
      </c>
      <c r="B8" t="s">
        <v>926</v>
      </c>
      <c r="C8">
        <v>174266926</v>
      </c>
      <c r="D8">
        <v>302331.63</v>
      </c>
      <c r="E8">
        <v>50601.54</v>
      </c>
      <c r="F8">
        <v>621.14</v>
      </c>
    </row>
    <row r="9" spans="1:6" x14ac:dyDescent="0.3">
      <c r="A9" t="s">
        <v>981</v>
      </c>
      <c r="B9" t="s">
        <v>982</v>
      </c>
      <c r="C9">
        <v>78270032</v>
      </c>
      <c r="D9">
        <v>0</v>
      </c>
      <c r="E9">
        <v>0</v>
      </c>
      <c r="F9">
        <v>0</v>
      </c>
    </row>
    <row r="10" spans="1:6" x14ac:dyDescent="0.3">
      <c r="A10" t="s">
        <v>983</v>
      </c>
      <c r="B10" t="s">
        <v>984</v>
      </c>
      <c r="C10">
        <v>1688457915</v>
      </c>
      <c r="D10">
        <v>6068.8</v>
      </c>
      <c r="E10">
        <v>14863.59</v>
      </c>
      <c r="F10">
        <v>0</v>
      </c>
    </row>
    <row r="11" spans="1:6" x14ac:dyDescent="0.3">
      <c r="A11" t="s">
        <v>985</v>
      </c>
      <c r="B11" t="s">
        <v>986</v>
      </c>
      <c r="C11">
        <v>274303229</v>
      </c>
      <c r="D11">
        <v>0</v>
      </c>
      <c r="E11">
        <v>0</v>
      </c>
      <c r="F11">
        <v>0</v>
      </c>
    </row>
    <row r="12" spans="1:6" x14ac:dyDescent="0.3">
      <c r="A12" t="s">
        <v>987</v>
      </c>
      <c r="B12" t="s">
        <v>988</v>
      </c>
      <c r="C12">
        <v>866147225</v>
      </c>
      <c r="D12">
        <v>0</v>
      </c>
      <c r="E12">
        <v>4194.3600000000006</v>
      </c>
      <c r="F12">
        <v>0</v>
      </c>
    </row>
    <row r="13" spans="1:6" x14ac:dyDescent="0.3">
      <c r="A13" t="s">
        <v>989</v>
      </c>
      <c r="B13" t="s">
        <v>990</v>
      </c>
      <c r="C13">
        <v>2389246591</v>
      </c>
      <c r="D13">
        <v>616411.66999999993</v>
      </c>
      <c r="E13">
        <v>0</v>
      </c>
      <c r="F13">
        <v>0</v>
      </c>
    </row>
    <row r="14" spans="1:6" x14ac:dyDescent="0.3">
      <c r="A14" t="s">
        <v>991</v>
      </c>
      <c r="B14" t="s">
        <v>992</v>
      </c>
      <c r="C14">
        <v>5218154960</v>
      </c>
      <c r="D14">
        <v>622480.47</v>
      </c>
      <c r="E14">
        <v>19057.95</v>
      </c>
      <c r="F14">
        <v>0</v>
      </c>
    </row>
    <row r="15" spans="1:6" x14ac:dyDescent="0.3">
      <c r="A15" t="s">
        <v>993</v>
      </c>
      <c r="B15" t="s">
        <v>930</v>
      </c>
      <c r="C15">
        <v>5470691918</v>
      </c>
      <c r="D15">
        <v>924812.1</v>
      </c>
      <c r="E15">
        <v>69659.490000000005</v>
      </c>
      <c r="F15">
        <v>621.14</v>
      </c>
    </row>
    <row r="16" spans="1:6" x14ac:dyDescent="0.3">
      <c r="B16" t="s">
        <v>994</v>
      </c>
    </row>
    <row r="17" spans="1:6" x14ac:dyDescent="0.3">
      <c r="A17" t="s">
        <v>995</v>
      </c>
      <c r="B17" t="s">
        <v>996</v>
      </c>
      <c r="C17">
        <v>275293525</v>
      </c>
      <c r="D17">
        <v>8817.2199999999993</v>
      </c>
      <c r="E17">
        <v>8811.86</v>
      </c>
      <c r="F17">
        <v>0</v>
      </c>
    </row>
    <row r="18" spans="1:6" x14ac:dyDescent="0.3">
      <c r="A18" t="s">
        <v>997</v>
      </c>
      <c r="B18" t="s">
        <v>998</v>
      </c>
      <c r="C18">
        <v>-49318012</v>
      </c>
      <c r="D18">
        <v>-4924</v>
      </c>
      <c r="E18">
        <v>0</v>
      </c>
      <c r="F18">
        <v>0</v>
      </c>
    </row>
    <row r="19" spans="1:6" x14ac:dyDescent="0.3">
      <c r="A19" t="s">
        <v>999</v>
      </c>
      <c r="B19" t="s">
        <v>1000</v>
      </c>
      <c r="C19">
        <v>410000000</v>
      </c>
      <c r="D19">
        <v>0</v>
      </c>
      <c r="E19">
        <v>0</v>
      </c>
      <c r="F19">
        <v>0</v>
      </c>
    </row>
    <row r="20" spans="1:6" x14ac:dyDescent="0.3">
      <c r="A20" t="s">
        <v>1001</v>
      </c>
      <c r="B20" t="s">
        <v>1002</v>
      </c>
      <c r="C20">
        <v>1</v>
      </c>
      <c r="D20">
        <v>0</v>
      </c>
      <c r="E20">
        <v>0</v>
      </c>
      <c r="F20">
        <v>0</v>
      </c>
    </row>
    <row r="21" spans="1:6" x14ac:dyDescent="0.3">
      <c r="A21" t="s">
        <v>1003</v>
      </c>
      <c r="B21" t="s">
        <v>931</v>
      </c>
      <c r="C21">
        <v>635975514</v>
      </c>
      <c r="D21">
        <v>3893.2199999999989</v>
      </c>
      <c r="E21">
        <v>8811.86</v>
      </c>
      <c r="F21">
        <v>0</v>
      </c>
    </row>
    <row r="22" spans="1:6" x14ac:dyDescent="0.3">
      <c r="A22" t="s">
        <v>1004</v>
      </c>
      <c r="B22" t="s">
        <v>871</v>
      </c>
      <c r="C22">
        <v>6106667432</v>
      </c>
      <c r="D22">
        <v>928705.32</v>
      </c>
      <c r="E22">
        <v>78471.350000000006</v>
      </c>
      <c r="F22">
        <v>621.14</v>
      </c>
    </row>
    <row r="23" spans="1:6" x14ac:dyDescent="0.3">
      <c r="B23" t="s">
        <v>1005</v>
      </c>
    </row>
    <row r="24" spans="1:6" x14ac:dyDescent="0.3">
      <c r="A24" t="s">
        <v>1006</v>
      </c>
      <c r="B24" t="s">
        <v>1007</v>
      </c>
      <c r="C24">
        <v>104555195</v>
      </c>
      <c r="D24">
        <v>0</v>
      </c>
      <c r="E24">
        <v>0</v>
      </c>
      <c r="F24">
        <v>0</v>
      </c>
    </row>
    <row r="25" spans="1:6" x14ac:dyDescent="0.3">
      <c r="A25" t="s">
        <v>1008</v>
      </c>
      <c r="B25" t="s">
        <v>1009</v>
      </c>
      <c r="C25">
        <v>384931931</v>
      </c>
      <c r="D25">
        <v>0</v>
      </c>
      <c r="E25">
        <v>8755.880000000001</v>
      </c>
      <c r="F25">
        <v>0</v>
      </c>
    </row>
    <row r="26" spans="1:6" x14ac:dyDescent="0.3">
      <c r="A26" t="s">
        <v>1010</v>
      </c>
      <c r="B26" t="s">
        <v>1011</v>
      </c>
      <c r="C26">
        <v>18828373</v>
      </c>
      <c r="D26">
        <v>0</v>
      </c>
      <c r="E26">
        <v>0</v>
      </c>
      <c r="F26">
        <v>92</v>
      </c>
    </row>
    <row r="27" spans="1:6" x14ac:dyDescent="0.3">
      <c r="A27" t="s">
        <v>1012</v>
      </c>
      <c r="B27" t="s">
        <v>1013</v>
      </c>
      <c r="C27">
        <v>19229474</v>
      </c>
      <c r="D27">
        <v>0</v>
      </c>
      <c r="E27">
        <v>3475.36</v>
      </c>
      <c r="F27">
        <v>0</v>
      </c>
    </row>
    <row r="28" spans="1:6" x14ac:dyDescent="0.3">
      <c r="A28" t="s">
        <v>1014</v>
      </c>
      <c r="B28" t="s">
        <v>1015</v>
      </c>
      <c r="C28">
        <v>265675229</v>
      </c>
      <c r="D28">
        <v>0</v>
      </c>
      <c r="E28">
        <v>0</v>
      </c>
      <c r="F28">
        <v>0</v>
      </c>
    </row>
    <row r="29" spans="1:6" x14ac:dyDescent="0.3">
      <c r="A29" t="s">
        <v>1016</v>
      </c>
      <c r="B29" t="s">
        <v>1017</v>
      </c>
      <c r="C29">
        <v>0</v>
      </c>
      <c r="D29">
        <v>580342.75</v>
      </c>
      <c r="E29">
        <v>0</v>
      </c>
      <c r="F29">
        <v>0</v>
      </c>
    </row>
    <row r="30" spans="1:6" x14ac:dyDescent="0.3">
      <c r="A30" t="s">
        <v>1018</v>
      </c>
      <c r="B30" t="s">
        <v>1002</v>
      </c>
      <c r="C30">
        <v>1</v>
      </c>
      <c r="D30">
        <v>0</v>
      </c>
      <c r="E30">
        <v>0</v>
      </c>
      <c r="F30">
        <v>0</v>
      </c>
    </row>
    <row r="31" spans="1:6" x14ac:dyDescent="0.3">
      <c r="A31" t="s">
        <v>1019</v>
      </c>
      <c r="B31" t="s">
        <v>1020</v>
      </c>
      <c r="C31">
        <v>793220203</v>
      </c>
      <c r="D31">
        <v>580342.75</v>
      </c>
      <c r="E31">
        <v>12231.24</v>
      </c>
      <c r="F31">
        <v>92</v>
      </c>
    </row>
    <row r="32" spans="1:6" x14ac:dyDescent="0.3">
      <c r="B32" t="s">
        <v>1021</v>
      </c>
    </row>
    <row r="33" spans="1:6" x14ac:dyDescent="0.3">
      <c r="A33" t="s">
        <v>1022</v>
      </c>
      <c r="B33" t="s">
        <v>1023</v>
      </c>
      <c r="C33">
        <v>2641787281</v>
      </c>
      <c r="D33">
        <v>0</v>
      </c>
      <c r="E33">
        <v>0</v>
      </c>
      <c r="F33">
        <v>0</v>
      </c>
    </row>
    <row r="34" spans="1:6" x14ac:dyDescent="0.3">
      <c r="A34" t="s">
        <v>1024</v>
      </c>
      <c r="B34" t="s">
        <v>1025</v>
      </c>
      <c r="C34">
        <v>2641787281</v>
      </c>
      <c r="D34">
        <v>0</v>
      </c>
      <c r="E34">
        <v>0</v>
      </c>
      <c r="F34">
        <v>0</v>
      </c>
    </row>
    <row r="35" spans="1:6" x14ac:dyDescent="0.3">
      <c r="A35" t="s">
        <v>1026</v>
      </c>
      <c r="B35" t="s">
        <v>872</v>
      </c>
      <c r="C35">
        <v>3435007484</v>
      </c>
      <c r="D35">
        <v>580342.75</v>
      </c>
      <c r="E35">
        <v>12231.24</v>
      </c>
      <c r="F35">
        <v>92</v>
      </c>
    </row>
    <row r="36" spans="1:6" x14ac:dyDescent="0.3">
      <c r="B36" t="s">
        <v>1027</v>
      </c>
    </row>
    <row r="37" spans="1:6" x14ac:dyDescent="0.3">
      <c r="A37" t="s">
        <v>1028</v>
      </c>
      <c r="B37" t="s">
        <v>1029</v>
      </c>
      <c r="C37">
        <v>830909000</v>
      </c>
      <c r="D37">
        <v>383868</v>
      </c>
      <c r="E37">
        <v>14208.08</v>
      </c>
      <c r="F37">
        <v>45201.79</v>
      </c>
    </row>
    <row r="38" spans="1:6" x14ac:dyDescent="0.3">
      <c r="A38" t="s">
        <v>1030</v>
      </c>
      <c r="B38" t="s">
        <v>937</v>
      </c>
      <c r="C38">
        <v>379430000</v>
      </c>
      <c r="D38">
        <v>0</v>
      </c>
      <c r="E38">
        <v>0</v>
      </c>
      <c r="F38">
        <v>0</v>
      </c>
    </row>
    <row r="39" spans="1:6" x14ac:dyDescent="0.3">
      <c r="A39" t="s">
        <v>1031</v>
      </c>
      <c r="B39" t="s">
        <v>1032</v>
      </c>
      <c r="C39">
        <v>1214592672</v>
      </c>
      <c r="D39">
        <v>0</v>
      </c>
      <c r="E39">
        <v>26659.66</v>
      </c>
      <c r="F39">
        <v>0</v>
      </c>
    </row>
    <row r="40" spans="1:6" x14ac:dyDescent="0.3">
      <c r="A40" t="s">
        <v>1033</v>
      </c>
      <c r="B40" t="s">
        <v>1034</v>
      </c>
      <c r="C40">
        <v>0</v>
      </c>
      <c r="D40">
        <v>13042.5</v>
      </c>
      <c r="E40">
        <v>0</v>
      </c>
      <c r="F40">
        <v>-22674.27</v>
      </c>
    </row>
    <row r="41" spans="1:6" x14ac:dyDescent="0.3">
      <c r="A41" t="s">
        <v>1035</v>
      </c>
      <c r="B41" t="s">
        <v>1036</v>
      </c>
      <c r="C41">
        <v>246728277</v>
      </c>
      <c r="D41">
        <v>0</v>
      </c>
      <c r="E41">
        <v>0</v>
      </c>
      <c r="F41">
        <v>0</v>
      </c>
    </row>
    <row r="42" spans="1:6" x14ac:dyDescent="0.3">
      <c r="A42" t="s">
        <v>1037</v>
      </c>
      <c r="B42" t="s">
        <v>1038</v>
      </c>
      <c r="C42">
        <v>0</v>
      </c>
      <c r="D42">
        <v>-48547.93</v>
      </c>
      <c r="E42">
        <v>25372.37</v>
      </c>
      <c r="F42">
        <v>-21998.38</v>
      </c>
    </row>
    <row r="43" spans="1:6" x14ac:dyDescent="0.3">
      <c r="A43" t="s">
        <v>1039</v>
      </c>
      <c r="B43" t="s">
        <v>873</v>
      </c>
      <c r="C43">
        <v>2671659949</v>
      </c>
      <c r="D43">
        <v>348362.57</v>
      </c>
      <c r="E43">
        <v>66240.109999999986</v>
      </c>
      <c r="F43">
        <v>529.13999999999942</v>
      </c>
    </row>
    <row r="44" spans="1:6" x14ac:dyDescent="0.3">
      <c r="A44" t="s">
        <v>1040</v>
      </c>
      <c r="B44" t="s">
        <v>1041</v>
      </c>
      <c r="C44">
        <v>-1</v>
      </c>
      <c r="D44">
        <v>0</v>
      </c>
      <c r="E44">
        <v>0</v>
      </c>
      <c r="F44">
        <v>0</v>
      </c>
    </row>
    <row r="45" spans="1:6" x14ac:dyDescent="0.3">
      <c r="A45" t="s">
        <v>1042</v>
      </c>
      <c r="B45" t="s">
        <v>941</v>
      </c>
      <c r="C45">
        <v>6106667432</v>
      </c>
      <c r="D45">
        <v>928705.32000000007</v>
      </c>
      <c r="E45">
        <v>78471.349999999991</v>
      </c>
      <c r="F45">
        <v>621.13999999999942</v>
      </c>
    </row>
    <row r="46" spans="1:6" x14ac:dyDescent="0.3">
      <c r="A46" t="s">
        <v>1043</v>
      </c>
      <c r="B46" t="s">
        <v>1044</v>
      </c>
      <c r="C46">
        <v>0</v>
      </c>
      <c r="D46">
        <v>0</v>
      </c>
      <c r="E46">
        <v>0</v>
      </c>
      <c r="F46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54"/>
  <sheetViews>
    <sheetView workbookViewId="0"/>
  </sheetViews>
  <sheetFormatPr defaultRowHeight="14.4" x14ac:dyDescent="0.3"/>
  <cols>
    <col min="1" max="6" width="16" customWidth="1"/>
  </cols>
  <sheetData>
    <row r="1" spans="1:6" ht="18" x14ac:dyDescent="0.35">
      <c r="A1" s="49" t="s">
        <v>1045</v>
      </c>
      <c r="B1" s="49"/>
      <c r="C1" s="49"/>
      <c r="D1" s="49"/>
      <c r="E1" s="49"/>
      <c r="F1" s="49"/>
    </row>
    <row r="2" spans="1:6" x14ac:dyDescent="0.3">
      <c r="A2" t="s">
        <v>1046</v>
      </c>
    </row>
    <row r="3" spans="1:6" x14ac:dyDescent="0.3">
      <c r="A3" s="48" t="s">
        <v>916</v>
      </c>
      <c r="B3" s="48"/>
      <c r="C3" s="48" t="s">
        <v>25</v>
      </c>
      <c r="D3" s="48" t="s">
        <v>974</v>
      </c>
      <c r="E3" s="48" t="s">
        <v>975</v>
      </c>
      <c r="F3" s="48" t="s">
        <v>976</v>
      </c>
    </row>
    <row r="4" spans="1:6" x14ac:dyDescent="0.3">
      <c r="A4" t="s">
        <v>39</v>
      </c>
      <c r="C4" t="s">
        <v>451</v>
      </c>
      <c r="D4" t="s">
        <v>496</v>
      </c>
      <c r="E4" t="s">
        <v>686</v>
      </c>
      <c r="F4" t="s">
        <v>496</v>
      </c>
    </row>
    <row r="5" spans="1:6" x14ac:dyDescent="0.3">
      <c r="A5" s="48" t="s">
        <v>18</v>
      </c>
      <c r="B5" s="48"/>
      <c r="C5" s="48" t="s">
        <v>624</v>
      </c>
      <c r="D5" s="48" t="s">
        <v>624</v>
      </c>
      <c r="E5" s="48" t="s">
        <v>624</v>
      </c>
      <c r="F5" s="48" t="s">
        <v>624</v>
      </c>
    </row>
    <row r="6" spans="1:6" x14ac:dyDescent="0.3">
      <c r="A6" t="s">
        <v>977</v>
      </c>
      <c r="B6" t="s">
        <v>978</v>
      </c>
      <c r="C6" t="s">
        <v>25</v>
      </c>
      <c r="D6" t="s">
        <v>974</v>
      </c>
      <c r="E6" t="s">
        <v>975</v>
      </c>
      <c r="F6" t="s">
        <v>976</v>
      </c>
    </row>
    <row r="7" spans="1:6" x14ac:dyDescent="0.3">
      <c r="B7" t="s">
        <v>1047</v>
      </c>
    </row>
    <row r="8" spans="1:6" x14ac:dyDescent="0.3">
      <c r="A8" t="s">
        <v>1048</v>
      </c>
      <c r="B8" t="s">
        <v>1049</v>
      </c>
      <c r="C8">
        <v>5615511389</v>
      </c>
      <c r="D8">
        <v>39010.5</v>
      </c>
      <c r="E8">
        <v>19307.259999999998</v>
      </c>
      <c r="F8">
        <v>134104</v>
      </c>
    </row>
    <row r="9" spans="1:6" x14ac:dyDescent="0.3">
      <c r="A9" t="s">
        <v>1050</v>
      </c>
      <c r="B9" t="s">
        <v>703</v>
      </c>
      <c r="C9">
        <v>-463278090</v>
      </c>
      <c r="D9">
        <v>0</v>
      </c>
      <c r="E9">
        <v>0</v>
      </c>
      <c r="F9">
        <v>0</v>
      </c>
    </row>
    <row r="10" spans="1:6" x14ac:dyDescent="0.3">
      <c r="A10" t="s">
        <v>1051</v>
      </c>
      <c r="B10" t="s">
        <v>1052</v>
      </c>
      <c r="C10">
        <v>5152233299</v>
      </c>
      <c r="D10">
        <v>39010.5</v>
      </c>
      <c r="E10">
        <v>19307.259999999998</v>
      </c>
      <c r="F10">
        <v>134104</v>
      </c>
    </row>
    <row r="11" spans="1:6" x14ac:dyDescent="0.3">
      <c r="B11" t="s">
        <v>1053</v>
      </c>
    </row>
    <row r="12" spans="1:6" x14ac:dyDescent="0.3">
      <c r="A12" t="s">
        <v>1054</v>
      </c>
      <c r="B12" t="s">
        <v>1055</v>
      </c>
      <c r="C12">
        <v>2442623347</v>
      </c>
      <c r="D12">
        <v>0</v>
      </c>
      <c r="E12">
        <v>0</v>
      </c>
      <c r="F12">
        <v>0</v>
      </c>
    </row>
    <row r="13" spans="1:6" x14ac:dyDescent="0.3">
      <c r="A13" t="s">
        <v>1056</v>
      </c>
      <c r="B13" t="s">
        <v>1057</v>
      </c>
      <c r="C13">
        <v>-1</v>
      </c>
      <c r="D13">
        <v>0</v>
      </c>
      <c r="E13">
        <v>0</v>
      </c>
      <c r="F13">
        <v>0</v>
      </c>
    </row>
    <row r="14" spans="1:6" x14ac:dyDescent="0.3">
      <c r="A14" t="s">
        <v>1058</v>
      </c>
      <c r="B14" t="s">
        <v>724</v>
      </c>
      <c r="C14">
        <v>2709609951</v>
      </c>
      <c r="D14">
        <v>39010.5</v>
      </c>
      <c r="E14">
        <v>19307.259999999998</v>
      </c>
      <c r="F14">
        <v>134104</v>
      </c>
    </row>
    <row r="15" spans="1:6" x14ac:dyDescent="0.3">
      <c r="B15" t="s">
        <v>1059</v>
      </c>
    </row>
    <row r="16" spans="1:6" x14ac:dyDescent="0.3">
      <c r="A16" t="s">
        <v>1060</v>
      </c>
      <c r="B16" t="s">
        <v>1061</v>
      </c>
      <c r="C16">
        <v>0</v>
      </c>
      <c r="D16">
        <v>42187.99</v>
      </c>
      <c r="E16">
        <v>0</v>
      </c>
      <c r="F16">
        <v>12292.37</v>
      </c>
    </row>
    <row r="17" spans="1:6" x14ac:dyDescent="0.3">
      <c r="A17" t="s">
        <v>1062</v>
      </c>
      <c r="B17" t="s">
        <v>1063</v>
      </c>
      <c r="C17">
        <v>0</v>
      </c>
      <c r="D17">
        <v>21252.46</v>
      </c>
      <c r="E17">
        <v>5446.95</v>
      </c>
      <c r="F17">
        <v>270.35000000000002</v>
      </c>
    </row>
    <row r="18" spans="1:6" x14ac:dyDescent="0.3">
      <c r="A18" t="s">
        <v>1064</v>
      </c>
      <c r="B18" t="s">
        <v>1065</v>
      </c>
      <c r="C18">
        <v>0</v>
      </c>
      <c r="D18">
        <v>4024.05</v>
      </c>
      <c r="E18">
        <v>0</v>
      </c>
      <c r="F18">
        <v>576.65</v>
      </c>
    </row>
    <row r="19" spans="1:6" x14ac:dyDescent="0.3">
      <c r="A19" t="s">
        <v>1066</v>
      </c>
      <c r="B19" t="s">
        <v>1067</v>
      </c>
      <c r="C19">
        <v>0</v>
      </c>
      <c r="D19">
        <v>85.06</v>
      </c>
      <c r="E19">
        <v>0</v>
      </c>
      <c r="F19">
        <v>0</v>
      </c>
    </row>
    <row r="20" spans="1:6" x14ac:dyDescent="0.3">
      <c r="A20" t="s">
        <v>1068</v>
      </c>
      <c r="B20" t="s">
        <v>568</v>
      </c>
      <c r="C20">
        <v>0</v>
      </c>
      <c r="D20">
        <v>0</v>
      </c>
      <c r="E20">
        <v>0</v>
      </c>
      <c r="F20">
        <v>9276.5300000000007</v>
      </c>
    </row>
    <row r="21" spans="1:6" x14ac:dyDescent="0.3">
      <c r="A21" t="s">
        <v>1069</v>
      </c>
      <c r="B21" t="s">
        <v>1070</v>
      </c>
      <c r="C21">
        <v>0</v>
      </c>
      <c r="D21">
        <v>9512.5800000000017</v>
      </c>
      <c r="E21">
        <v>0</v>
      </c>
      <c r="F21">
        <v>149.81</v>
      </c>
    </row>
    <row r="22" spans="1:6" x14ac:dyDescent="0.3">
      <c r="A22" t="s">
        <v>1071</v>
      </c>
      <c r="B22" t="s">
        <v>1072</v>
      </c>
      <c r="C22">
        <v>0</v>
      </c>
      <c r="D22">
        <v>479.01</v>
      </c>
      <c r="E22">
        <v>0</v>
      </c>
      <c r="F22">
        <v>0</v>
      </c>
    </row>
    <row r="23" spans="1:6" x14ac:dyDescent="0.3">
      <c r="A23" t="s">
        <v>1073</v>
      </c>
      <c r="B23" t="s">
        <v>1074</v>
      </c>
      <c r="C23">
        <v>0</v>
      </c>
      <c r="D23">
        <v>57.32</v>
      </c>
      <c r="E23">
        <v>0</v>
      </c>
      <c r="F23">
        <v>0</v>
      </c>
    </row>
    <row r="24" spans="1:6" x14ac:dyDescent="0.3">
      <c r="A24" t="s">
        <v>1075</v>
      </c>
      <c r="B24" t="s">
        <v>1076</v>
      </c>
      <c r="C24">
        <v>0</v>
      </c>
      <c r="D24">
        <v>252.15</v>
      </c>
      <c r="E24">
        <v>0</v>
      </c>
      <c r="F24">
        <v>2100</v>
      </c>
    </row>
    <row r="25" spans="1:6" x14ac:dyDescent="0.3">
      <c r="A25" t="s">
        <v>1077</v>
      </c>
      <c r="B25" t="s">
        <v>1078</v>
      </c>
      <c r="C25">
        <v>0</v>
      </c>
      <c r="D25">
        <v>773.99</v>
      </c>
      <c r="E25">
        <v>0</v>
      </c>
      <c r="F25">
        <v>0</v>
      </c>
    </row>
    <row r="26" spans="1:6" x14ac:dyDescent="0.3">
      <c r="A26" t="s">
        <v>1079</v>
      </c>
      <c r="B26" t="s">
        <v>1080</v>
      </c>
      <c r="C26">
        <v>0</v>
      </c>
      <c r="D26">
        <v>117.68</v>
      </c>
      <c r="E26">
        <v>0</v>
      </c>
      <c r="F26">
        <v>173.61</v>
      </c>
    </row>
    <row r="27" spans="1:6" x14ac:dyDescent="0.3">
      <c r="A27" t="s">
        <v>1081</v>
      </c>
      <c r="B27" t="s">
        <v>1082</v>
      </c>
      <c r="C27">
        <v>0</v>
      </c>
      <c r="D27">
        <v>3873.99</v>
      </c>
      <c r="E27">
        <v>0</v>
      </c>
      <c r="F27">
        <v>0</v>
      </c>
    </row>
    <row r="28" spans="1:6" x14ac:dyDescent="0.3">
      <c r="A28" t="s">
        <v>1083</v>
      </c>
      <c r="B28" t="s">
        <v>1084</v>
      </c>
      <c r="C28">
        <v>0</v>
      </c>
      <c r="D28">
        <v>57.75</v>
      </c>
      <c r="E28">
        <v>0</v>
      </c>
      <c r="F28">
        <v>0</v>
      </c>
    </row>
    <row r="29" spans="1:6" x14ac:dyDescent="0.3">
      <c r="A29" t="s">
        <v>1085</v>
      </c>
      <c r="B29" t="s">
        <v>1086</v>
      </c>
      <c r="C29">
        <v>797478918</v>
      </c>
      <c r="D29">
        <v>0</v>
      </c>
      <c r="E29">
        <v>0</v>
      </c>
      <c r="F29">
        <v>0</v>
      </c>
    </row>
    <row r="30" spans="1:6" x14ac:dyDescent="0.3">
      <c r="A30" t="s">
        <v>1087</v>
      </c>
      <c r="B30" t="s">
        <v>1088</v>
      </c>
      <c r="C30">
        <v>797478918</v>
      </c>
      <c r="D30">
        <v>82674.03</v>
      </c>
      <c r="E30">
        <v>5446.95</v>
      </c>
      <c r="F30">
        <v>24839.32</v>
      </c>
    </row>
    <row r="31" spans="1:6" x14ac:dyDescent="0.3">
      <c r="B31" t="s">
        <v>1089</v>
      </c>
    </row>
    <row r="32" spans="1:6" x14ac:dyDescent="0.3">
      <c r="A32" t="s">
        <v>1090</v>
      </c>
      <c r="B32" t="s">
        <v>1091</v>
      </c>
      <c r="C32">
        <v>676358287</v>
      </c>
      <c r="D32">
        <v>0</v>
      </c>
      <c r="E32">
        <v>0</v>
      </c>
      <c r="F32">
        <v>0</v>
      </c>
    </row>
    <row r="33" spans="1:6" x14ac:dyDescent="0.3">
      <c r="A33" t="s">
        <v>1092</v>
      </c>
      <c r="B33" t="s">
        <v>1093</v>
      </c>
      <c r="C33">
        <v>676358287</v>
      </c>
      <c r="D33">
        <v>0</v>
      </c>
      <c r="E33">
        <v>0</v>
      </c>
      <c r="F33">
        <v>0</v>
      </c>
    </row>
    <row r="34" spans="1:6" x14ac:dyDescent="0.3">
      <c r="B34" t="s">
        <v>1094</v>
      </c>
    </row>
    <row r="35" spans="1:6" x14ac:dyDescent="0.3">
      <c r="A35" t="s">
        <v>1095</v>
      </c>
      <c r="B35" t="s">
        <v>1096</v>
      </c>
      <c r="C35">
        <v>0</v>
      </c>
      <c r="D35">
        <v>0</v>
      </c>
      <c r="E35">
        <v>32310.82</v>
      </c>
      <c r="F35">
        <v>0</v>
      </c>
    </row>
    <row r="36" spans="1:6" x14ac:dyDescent="0.3">
      <c r="A36" t="s">
        <v>1097</v>
      </c>
      <c r="B36" t="s">
        <v>1098</v>
      </c>
      <c r="C36">
        <v>0</v>
      </c>
      <c r="D36">
        <v>400</v>
      </c>
      <c r="E36">
        <v>1706.19</v>
      </c>
      <c r="F36">
        <v>0</v>
      </c>
    </row>
    <row r="37" spans="1:6" x14ac:dyDescent="0.3">
      <c r="A37" t="s">
        <v>1099</v>
      </c>
      <c r="B37" t="s">
        <v>1100</v>
      </c>
      <c r="C37">
        <v>0</v>
      </c>
      <c r="D37">
        <v>4148</v>
      </c>
      <c r="E37">
        <v>0</v>
      </c>
      <c r="F37">
        <v>0</v>
      </c>
    </row>
    <row r="38" spans="1:6" x14ac:dyDescent="0.3">
      <c r="A38" t="s">
        <v>1101</v>
      </c>
      <c r="B38" t="s">
        <v>1102</v>
      </c>
      <c r="C38">
        <v>0</v>
      </c>
      <c r="D38">
        <v>0</v>
      </c>
      <c r="E38">
        <v>13643.11</v>
      </c>
      <c r="F38">
        <v>0</v>
      </c>
    </row>
    <row r="39" spans="1:6" x14ac:dyDescent="0.3">
      <c r="A39" t="s">
        <v>1103</v>
      </c>
      <c r="B39" t="s">
        <v>1104</v>
      </c>
      <c r="C39">
        <v>0</v>
      </c>
      <c r="D39">
        <v>0</v>
      </c>
      <c r="E39">
        <v>545.37</v>
      </c>
      <c r="F39">
        <v>0</v>
      </c>
    </row>
    <row r="40" spans="1:6" x14ac:dyDescent="0.3">
      <c r="A40" t="s">
        <v>1105</v>
      </c>
      <c r="B40" t="s">
        <v>1106</v>
      </c>
      <c r="C40">
        <v>0</v>
      </c>
      <c r="D40">
        <v>0</v>
      </c>
      <c r="E40">
        <v>4076.42</v>
      </c>
      <c r="F40">
        <v>0</v>
      </c>
    </row>
    <row r="41" spans="1:6" x14ac:dyDescent="0.3">
      <c r="A41" t="s">
        <v>1107</v>
      </c>
      <c r="B41" t="s">
        <v>1108</v>
      </c>
      <c r="C41">
        <v>959736563</v>
      </c>
      <c r="D41">
        <v>0</v>
      </c>
      <c r="E41">
        <v>0</v>
      </c>
      <c r="F41">
        <v>0</v>
      </c>
    </row>
    <row r="42" spans="1:6" x14ac:dyDescent="0.3">
      <c r="A42" t="s">
        <v>1109</v>
      </c>
      <c r="B42" t="s">
        <v>1110</v>
      </c>
      <c r="C42">
        <v>959736563</v>
      </c>
      <c r="D42">
        <v>4548</v>
      </c>
      <c r="E42">
        <v>52281.91</v>
      </c>
      <c r="F42">
        <v>0</v>
      </c>
    </row>
    <row r="43" spans="1:6" x14ac:dyDescent="0.3">
      <c r="A43" t="s">
        <v>1111</v>
      </c>
      <c r="B43" t="s">
        <v>1112</v>
      </c>
      <c r="C43">
        <v>1</v>
      </c>
      <c r="D43">
        <v>0</v>
      </c>
      <c r="E43">
        <v>0</v>
      </c>
      <c r="F43">
        <v>0</v>
      </c>
    </row>
    <row r="44" spans="1:6" x14ac:dyDescent="0.3">
      <c r="A44" t="s">
        <v>1113</v>
      </c>
      <c r="B44" t="s">
        <v>1114</v>
      </c>
      <c r="C44">
        <v>2433573769</v>
      </c>
      <c r="D44">
        <v>87222.03</v>
      </c>
      <c r="E44">
        <v>57728.86</v>
      </c>
      <c r="F44">
        <v>24839.32</v>
      </c>
    </row>
    <row r="45" spans="1:6" x14ac:dyDescent="0.3">
      <c r="A45" t="s">
        <v>1115</v>
      </c>
      <c r="B45" t="s">
        <v>1116</v>
      </c>
      <c r="C45">
        <v>276036182</v>
      </c>
      <c r="D45">
        <v>-48211.53</v>
      </c>
      <c r="E45">
        <v>-38421.600000000013</v>
      </c>
      <c r="F45">
        <v>109264.68</v>
      </c>
    </row>
    <row r="46" spans="1:6" x14ac:dyDescent="0.3">
      <c r="B46" t="s">
        <v>1117</v>
      </c>
    </row>
    <row r="47" spans="1:6" x14ac:dyDescent="0.3">
      <c r="A47" t="s">
        <v>1118</v>
      </c>
      <c r="B47" t="s">
        <v>1119</v>
      </c>
      <c r="C47">
        <v>10800447</v>
      </c>
      <c r="D47">
        <v>576.14</v>
      </c>
      <c r="E47">
        <v>0</v>
      </c>
      <c r="F47">
        <v>0</v>
      </c>
    </row>
    <row r="48" spans="1:6" x14ac:dyDescent="0.3">
      <c r="A48" t="s">
        <v>1120</v>
      </c>
      <c r="B48" t="s">
        <v>811</v>
      </c>
      <c r="C48">
        <v>0</v>
      </c>
      <c r="D48">
        <v>0</v>
      </c>
      <c r="E48">
        <v>64960.94</v>
      </c>
      <c r="F48">
        <v>0</v>
      </c>
    </row>
    <row r="49" spans="1:6" x14ac:dyDescent="0.3">
      <c r="A49" t="s">
        <v>1121</v>
      </c>
      <c r="B49" t="s">
        <v>1122</v>
      </c>
      <c r="C49">
        <v>10800447</v>
      </c>
      <c r="D49">
        <v>576.14</v>
      </c>
      <c r="E49">
        <v>64960.94</v>
      </c>
      <c r="F49">
        <v>0</v>
      </c>
    </row>
    <row r="50" spans="1:6" x14ac:dyDescent="0.3">
      <c r="A50" t="s">
        <v>1123</v>
      </c>
      <c r="B50" t="s">
        <v>717</v>
      </c>
      <c r="C50">
        <v>40108353</v>
      </c>
      <c r="D50">
        <v>912.54</v>
      </c>
      <c r="E50">
        <v>1166.97</v>
      </c>
      <c r="F50">
        <v>236</v>
      </c>
    </row>
    <row r="51" spans="1:6" x14ac:dyDescent="0.3">
      <c r="A51" t="s">
        <v>1124</v>
      </c>
      <c r="B51" t="s">
        <v>1125</v>
      </c>
      <c r="C51">
        <v>0</v>
      </c>
      <c r="D51">
        <v>0</v>
      </c>
      <c r="E51">
        <v>0</v>
      </c>
      <c r="F51">
        <v>0</v>
      </c>
    </row>
    <row r="52" spans="1:6" x14ac:dyDescent="0.3">
      <c r="A52" t="s">
        <v>1126</v>
      </c>
      <c r="B52" t="s">
        <v>1127</v>
      </c>
      <c r="C52">
        <v>40108353</v>
      </c>
      <c r="D52">
        <v>912.54</v>
      </c>
      <c r="E52">
        <v>1166.97</v>
      </c>
      <c r="F52">
        <v>236</v>
      </c>
    </row>
    <row r="53" spans="1:6" x14ac:dyDescent="0.3">
      <c r="A53" t="s">
        <v>1128</v>
      </c>
      <c r="B53" t="s">
        <v>1129</v>
      </c>
      <c r="C53">
        <v>1</v>
      </c>
      <c r="D53">
        <v>0</v>
      </c>
      <c r="E53">
        <v>0</v>
      </c>
      <c r="F53">
        <v>0</v>
      </c>
    </row>
    <row r="54" spans="1:6" x14ac:dyDescent="0.3">
      <c r="A54" t="s">
        <v>1130</v>
      </c>
      <c r="B54" t="s">
        <v>1131</v>
      </c>
      <c r="C54">
        <v>246728277</v>
      </c>
      <c r="D54">
        <v>-48547.93</v>
      </c>
      <c r="E54">
        <v>25372.37</v>
      </c>
      <c r="F54">
        <v>109028.68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763"/>
  <sheetViews>
    <sheetView workbookViewId="0"/>
  </sheetViews>
  <sheetFormatPr defaultRowHeight="14.4" x14ac:dyDescent="0.3"/>
  <cols>
    <col min="1" max="10" width="16" customWidth="1"/>
  </cols>
  <sheetData>
    <row r="1" spans="1:10" ht="18" x14ac:dyDescent="0.35">
      <c r="A1" s="49" t="s">
        <v>1132</v>
      </c>
      <c r="B1" s="49"/>
      <c r="C1" s="49"/>
      <c r="D1" s="49"/>
      <c r="E1" s="49"/>
      <c r="F1" s="49"/>
      <c r="G1" s="49"/>
      <c r="H1" s="49"/>
      <c r="I1" s="49"/>
      <c r="J1" s="49"/>
    </row>
    <row r="2" spans="1:10" x14ac:dyDescent="0.3">
      <c r="A2" t="s">
        <v>1133</v>
      </c>
    </row>
    <row r="3" spans="1:10" x14ac:dyDescent="0.3">
      <c r="A3" s="48" t="s">
        <v>916</v>
      </c>
      <c r="B3" s="48" t="s">
        <v>18</v>
      </c>
      <c r="C3" s="48" t="s">
        <v>39</v>
      </c>
      <c r="D3" s="48" t="s">
        <v>1134</v>
      </c>
      <c r="E3" s="48" t="s">
        <v>978</v>
      </c>
      <c r="F3" s="48" t="s">
        <v>1135</v>
      </c>
      <c r="G3" s="48" t="s">
        <v>1136</v>
      </c>
      <c r="H3" s="48" t="s">
        <v>1137</v>
      </c>
      <c r="I3" s="48" t="s">
        <v>1138</v>
      </c>
      <c r="J3" s="48" t="s">
        <v>1139</v>
      </c>
    </row>
    <row r="4" spans="1:10" x14ac:dyDescent="0.3">
      <c r="A4" t="s">
        <v>974</v>
      </c>
      <c r="B4" t="s">
        <v>549</v>
      </c>
      <c r="C4" t="s">
        <v>496</v>
      </c>
      <c r="D4" t="s">
        <v>980</v>
      </c>
      <c r="E4" t="s">
        <v>926</v>
      </c>
      <c r="F4">
        <v>379731</v>
      </c>
      <c r="G4">
        <v>3749.86</v>
      </c>
      <c r="H4">
        <v>13923.39</v>
      </c>
      <c r="I4">
        <v>369557.47</v>
      </c>
      <c r="J4">
        <v>369557.47</v>
      </c>
    </row>
    <row r="5" spans="1:10" x14ac:dyDescent="0.3">
      <c r="A5" t="s">
        <v>974</v>
      </c>
      <c r="B5" t="s">
        <v>549</v>
      </c>
      <c r="C5" t="s">
        <v>496</v>
      </c>
      <c r="D5" t="s">
        <v>983</v>
      </c>
      <c r="E5" t="s">
        <v>984</v>
      </c>
      <c r="F5">
        <v>3151.25</v>
      </c>
      <c r="G5">
        <v>3498.8</v>
      </c>
      <c r="H5">
        <v>517</v>
      </c>
      <c r="I5">
        <v>6133.05</v>
      </c>
      <c r="J5">
        <v>6133.05</v>
      </c>
    </row>
    <row r="6" spans="1:10" x14ac:dyDescent="0.3">
      <c r="A6" t="s">
        <v>974</v>
      </c>
      <c r="B6" t="s">
        <v>549</v>
      </c>
      <c r="C6" t="s">
        <v>496</v>
      </c>
      <c r="D6" t="s">
        <v>985</v>
      </c>
      <c r="E6" t="s">
        <v>986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3">
      <c r="A7" t="s">
        <v>974</v>
      </c>
      <c r="B7" t="s">
        <v>549</v>
      </c>
      <c r="C7" t="s">
        <v>496</v>
      </c>
      <c r="D7" t="s">
        <v>987</v>
      </c>
      <c r="E7" t="s">
        <v>988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3">
      <c r="A8" t="s">
        <v>974</v>
      </c>
      <c r="B8" t="s">
        <v>549</v>
      </c>
      <c r="C8" t="s">
        <v>496</v>
      </c>
      <c r="D8" t="s">
        <v>989</v>
      </c>
      <c r="E8" t="s">
        <v>990</v>
      </c>
      <c r="F8">
        <v>591811</v>
      </c>
      <c r="G8">
        <v>6028</v>
      </c>
      <c r="H8">
        <v>3108.29</v>
      </c>
      <c r="I8">
        <v>594730.71</v>
      </c>
      <c r="J8">
        <v>594730.71</v>
      </c>
    </row>
    <row r="9" spans="1:10" x14ac:dyDescent="0.3">
      <c r="A9" t="s">
        <v>974</v>
      </c>
      <c r="B9" t="s">
        <v>549</v>
      </c>
      <c r="C9" t="s">
        <v>496</v>
      </c>
      <c r="D9" t="s">
        <v>995</v>
      </c>
      <c r="E9" t="s">
        <v>996</v>
      </c>
      <c r="F9">
        <v>7484</v>
      </c>
      <c r="G9">
        <v>1333.22</v>
      </c>
      <c r="H9">
        <v>0</v>
      </c>
      <c r="I9">
        <v>8817.2199999999993</v>
      </c>
      <c r="J9">
        <v>8817.2199999999993</v>
      </c>
    </row>
    <row r="10" spans="1:10" x14ac:dyDescent="0.3">
      <c r="A10" t="s">
        <v>974</v>
      </c>
      <c r="B10" t="s">
        <v>549</v>
      </c>
      <c r="C10" t="s">
        <v>496</v>
      </c>
      <c r="D10" t="s">
        <v>997</v>
      </c>
      <c r="E10" t="s">
        <v>998</v>
      </c>
      <c r="F10">
        <v>-4924</v>
      </c>
      <c r="G10">
        <v>0</v>
      </c>
      <c r="H10">
        <v>0</v>
      </c>
      <c r="I10">
        <v>-4924</v>
      </c>
      <c r="J10">
        <v>-4924</v>
      </c>
    </row>
    <row r="11" spans="1:10" x14ac:dyDescent="0.3">
      <c r="A11" t="s">
        <v>974</v>
      </c>
      <c r="B11" t="s">
        <v>549</v>
      </c>
      <c r="C11" t="s">
        <v>496</v>
      </c>
      <c r="D11" t="s">
        <v>1028</v>
      </c>
      <c r="E11" t="s">
        <v>1029</v>
      </c>
      <c r="F11">
        <v>-383868</v>
      </c>
      <c r="G11">
        <v>0</v>
      </c>
      <c r="H11">
        <v>0</v>
      </c>
      <c r="I11">
        <v>-383868</v>
      </c>
      <c r="J11">
        <v>383868</v>
      </c>
    </row>
    <row r="12" spans="1:10" x14ac:dyDescent="0.3">
      <c r="A12" t="s">
        <v>974</v>
      </c>
      <c r="B12" t="s">
        <v>549</v>
      </c>
      <c r="C12" t="s">
        <v>496</v>
      </c>
      <c r="D12" t="s">
        <v>1031</v>
      </c>
      <c r="E12" t="s">
        <v>1032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3">
      <c r="A13" t="s">
        <v>974</v>
      </c>
      <c r="B13" t="s">
        <v>549</v>
      </c>
      <c r="C13" t="s">
        <v>496</v>
      </c>
      <c r="D13" t="s">
        <v>1033</v>
      </c>
      <c r="E13" t="s">
        <v>1034</v>
      </c>
      <c r="F13">
        <v>-13042.5</v>
      </c>
      <c r="G13">
        <v>0</v>
      </c>
      <c r="H13">
        <v>0</v>
      </c>
      <c r="I13">
        <v>-13042.5</v>
      </c>
      <c r="J13">
        <v>13042.5</v>
      </c>
    </row>
    <row r="14" spans="1:10" x14ac:dyDescent="0.3">
      <c r="A14" t="s">
        <v>974</v>
      </c>
      <c r="B14" t="s">
        <v>549</v>
      </c>
      <c r="C14" t="s">
        <v>496</v>
      </c>
      <c r="D14" t="s">
        <v>1006</v>
      </c>
      <c r="E14" t="s">
        <v>1007</v>
      </c>
      <c r="F14">
        <v>0</v>
      </c>
      <c r="G14">
        <v>2769.96</v>
      </c>
      <c r="H14">
        <v>2769.96</v>
      </c>
      <c r="I14">
        <v>0</v>
      </c>
      <c r="J14">
        <v>0</v>
      </c>
    </row>
    <row r="15" spans="1:10" x14ac:dyDescent="0.3">
      <c r="A15" t="s">
        <v>974</v>
      </c>
      <c r="B15" t="s">
        <v>549</v>
      </c>
      <c r="C15" t="s">
        <v>496</v>
      </c>
      <c r="D15" t="s">
        <v>1008</v>
      </c>
      <c r="E15" t="s">
        <v>1009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3">
      <c r="A16" t="s">
        <v>974</v>
      </c>
      <c r="B16" t="s">
        <v>549</v>
      </c>
      <c r="C16" t="s">
        <v>496</v>
      </c>
      <c r="D16" t="s">
        <v>1010</v>
      </c>
      <c r="E16" t="s">
        <v>1011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3">
      <c r="A17" t="s">
        <v>974</v>
      </c>
      <c r="B17" t="s">
        <v>549</v>
      </c>
      <c r="C17" t="s">
        <v>496</v>
      </c>
      <c r="D17" t="s">
        <v>1012</v>
      </c>
      <c r="E17" t="s">
        <v>1013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3">
      <c r="A18" t="s">
        <v>974</v>
      </c>
      <c r="B18" t="s">
        <v>549</v>
      </c>
      <c r="C18" t="s">
        <v>496</v>
      </c>
      <c r="D18" t="s">
        <v>1016</v>
      </c>
      <c r="E18" t="s">
        <v>1017</v>
      </c>
      <c r="F18">
        <v>-580342.75</v>
      </c>
      <c r="G18">
        <v>0</v>
      </c>
      <c r="H18">
        <v>0</v>
      </c>
      <c r="I18">
        <v>-580342.75</v>
      </c>
      <c r="J18">
        <v>580342.75</v>
      </c>
    </row>
    <row r="19" spans="1:10" x14ac:dyDescent="0.3">
      <c r="A19" t="s">
        <v>974</v>
      </c>
      <c r="B19" t="s">
        <v>549</v>
      </c>
      <c r="C19" t="s">
        <v>496</v>
      </c>
      <c r="D19" t="s">
        <v>1123</v>
      </c>
      <c r="E19" t="s">
        <v>717</v>
      </c>
      <c r="F19">
        <v>0</v>
      </c>
      <c r="G19">
        <v>75.900000000000006</v>
      </c>
      <c r="H19">
        <v>0</v>
      </c>
      <c r="I19">
        <v>75.900000000000006</v>
      </c>
      <c r="J19">
        <v>75.900000000000006</v>
      </c>
    </row>
    <row r="20" spans="1:10" x14ac:dyDescent="0.3">
      <c r="A20" t="s">
        <v>974</v>
      </c>
      <c r="B20" t="s">
        <v>549</v>
      </c>
      <c r="C20" t="s">
        <v>496</v>
      </c>
      <c r="D20" t="s">
        <v>1118</v>
      </c>
      <c r="E20" t="s">
        <v>1119</v>
      </c>
      <c r="F20">
        <v>0</v>
      </c>
      <c r="G20">
        <v>0</v>
      </c>
      <c r="H20">
        <v>124.57</v>
      </c>
      <c r="I20">
        <v>-124.57</v>
      </c>
      <c r="J20">
        <v>124.57</v>
      </c>
    </row>
    <row r="21" spans="1:10" x14ac:dyDescent="0.3">
      <c r="A21" t="s">
        <v>974</v>
      </c>
      <c r="B21" t="s">
        <v>549</v>
      </c>
      <c r="C21" t="s">
        <v>496</v>
      </c>
      <c r="D21" t="s">
        <v>1120</v>
      </c>
      <c r="E21" t="s">
        <v>811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3">
      <c r="A22" t="s">
        <v>974</v>
      </c>
      <c r="B22" t="s">
        <v>549</v>
      </c>
      <c r="C22" t="s">
        <v>496</v>
      </c>
      <c r="D22" t="s">
        <v>1060</v>
      </c>
      <c r="E22" t="s">
        <v>1061</v>
      </c>
      <c r="F22">
        <v>0</v>
      </c>
      <c r="G22">
        <v>3550.43</v>
      </c>
      <c r="H22">
        <v>0</v>
      </c>
      <c r="I22">
        <v>3550.43</v>
      </c>
      <c r="J22">
        <v>3550.43</v>
      </c>
    </row>
    <row r="23" spans="1:10" x14ac:dyDescent="0.3">
      <c r="A23" t="s">
        <v>974</v>
      </c>
      <c r="B23" t="s">
        <v>549</v>
      </c>
      <c r="C23" t="s">
        <v>496</v>
      </c>
      <c r="D23" t="s">
        <v>1062</v>
      </c>
      <c r="E23" t="s">
        <v>1063</v>
      </c>
      <c r="F23">
        <v>0</v>
      </c>
      <c r="G23">
        <v>1500</v>
      </c>
      <c r="H23">
        <v>0</v>
      </c>
      <c r="I23">
        <v>1500</v>
      </c>
      <c r="J23">
        <v>1500</v>
      </c>
    </row>
    <row r="24" spans="1:10" x14ac:dyDescent="0.3">
      <c r="A24" t="s">
        <v>974</v>
      </c>
      <c r="B24" t="s">
        <v>549</v>
      </c>
      <c r="C24" t="s">
        <v>496</v>
      </c>
      <c r="D24" t="s">
        <v>1064</v>
      </c>
      <c r="E24" t="s">
        <v>1065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3">
      <c r="A25" t="s">
        <v>974</v>
      </c>
      <c r="B25" t="s">
        <v>549</v>
      </c>
      <c r="C25" t="s">
        <v>496</v>
      </c>
      <c r="D25" t="s">
        <v>1066</v>
      </c>
      <c r="E25" t="s">
        <v>1067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3">
      <c r="A26" t="s">
        <v>974</v>
      </c>
      <c r="B26" t="s">
        <v>549</v>
      </c>
      <c r="C26" t="s">
        <v>496</v>
      </c>
      <c r="D26" t="s">
        <v>1068</v>
      </c>
      <c r="E26" t="s">
        <v>568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3">
      <c r="A27" t="s">
        <v>974</v>
      </c>
      <c r="B27" t="s">
        <v>549</v>
      </c>
      <c r="C27" t="s">
        <v>496</v>
      </c>
      <c r="D27" t="s">
        <v>1069</v>
      </c>
      <c r="E27" t="s">
        <v>1070</v>
      </c>
      <c r="F27">
        <v>0</v>
      </c>
      <c r="G27">
        <v>41.35</v>
      </c>
      <c r="H27">
        <v>0</v>
      </c>
      <c r="I27">
        <v>41.35</v>
      </c>
      <c r="J27">
        <v>41.35</v>
      </c>
    </row>
    <row r="28" spans="1:10" x14ac:dyDescent="0.3">
      <c r="A28" t="s">
        <v>974</v>
      </c>
      <c r="B28" t="s">
        <v>549</v>
      </c>
      <c r="C28" t="s">
        <v>496</v>
      </c>
      <c r="D28" t="s">
        <v>1071</v>
      </c>
      <c r="E28" t="s">
        <v>1072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3">
      <c r="A29" t="s">
        <v>974</v>
      </c>
      <c r="B29" t="s">
        <v>549</v>
      </c>
      <c r="C29" t="s">
        <v>496</v>
      </c>
      <c r="D29" t="s">
        <v>1073</v>
      </c>
      <c r="E29" t="s">
        <v>1074</v>
      </c>
      <c r="F29">
        <v>0</v>
      </c>
      <c r="G29">
        <v>11.36</v>
      </c>
      <c r="H29">
        <v>0</v>
      </c>
      <c r="I29">
        <v>11.36</v>
      </c>
      <c r="J29">
        <v>11.36</v>
      </c>
    </row>
    <row r="30" spans="1:10" x14ac:dyDescent="0.3">
      <c r="A30" t="s">
        <v>974</v>
      </c>
      <c r="B30" t="s">
        <v>549</v>
      </c>
      <c r="C30" t="s">
        <v>496</v>
      </c>
      <c r="D30" t="s">
        <v>1075</v>
      </c>
      <c r="E30" t="s">
        <v>1076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3">
      <c r="A31" t="s">
        <v>974</v>
      </c>
      <c r="B31" t="s">
        <v>549</v>
      </c>
      <c r="C31" t="s">
        <v>496</v>
      </c>
      <c r="D31" t="s">
        <v>1077</v>
      </c>
      <c r="E31" t="s">
        <v>1078</v>
      </c>
      <c r="F31">
        <v>0</v>
      </c>
      <c r="G31">
        <v>228.63</v>
      </c>
      <c r="H31">
        <v>0</v>
      </c>
      <c r="I31">
        <v>228.63</v>
      </c>
      <c r="J31">
        <v>228.63</v>
      </c>
    </row>
    <row r="32" spans="1:10" x14ac:dyDescent="0.3">
      <c r="A32" t="s">
        <v>974</v>
      </c>
      <c r="B32" t="s">
        <v>549</v>
      </c>
      <c r="C32" t="s">
        <v>496</v>
      </c>
      <c r="D32" t="s">
        <v>1079</v>
      </c>
      <c r="E32" t="s">
        <v>1080</v>
      </c>
      <c r="F32">
        <v>0</v>
      </c>
      <c r="G32">
        <v>50.73</v>
      </c>
      <c r="H32">
        <v>0</v>
      </c>
      <c r="I32">
        <v>50.73</v>
      </c>
      <c r="J32">
        <v>50.73</v>
      </c>
    </row>
    <row r="33" spans="1:10" x14ac:dyDescent="0.3">
      <c r="A33" t="s">
        <v>974</v>
      </c>
      <c r="B33" t="s">
        <v>549</v>
      </c>
      <c r="C33" t="s">
        <v>496</v>
      </c>
      <c r="D33" t="s">
        <v>1081</v>
      </c>
      <c r="E33" t="s">
        <v>1082</v>
      </c>
      <c r="F33">
        <v>0</v>
      </c>
      <c r="G33">
        <v>455.77</v>
      </c>
      <c r="H33">
        <v>0</v>
      </c>
      <c r="I33">
        <v>455.77</v>
      </c>
      <c r="J33">
        <v>455.77</v>
      </c>
    </row>
    <row r="34" spans="1:10" x14ac:dyDescent="0.3">
      <c r="A34" t="s">
        <v>974</v>
      </c>
      <c r="B34" t="s">
        <v>549</v>
      </c>
      <c r="C34" t="s">
        <v>496</v>
      </c>
      <c r="D34" t="s">
        <v>1083</v>
      </c>
      <c r="E34" t="s">
        <v>1084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3">
      <c r="A35" t="s">
        <v>974</v>
      </c>
      <c r="B35" t="s">
        <v>549</v>
      </c>
      <c r="C35" t="s">
        <v>496</v>
      </c>
      <c r="D35" t="s">
        <v>1048</v>
      </c>
      <c r="E35" t="s">
        <v>1049</v>
      </c>
      <c r="F35">
        <v>0</v>
      </c>
      <c r="G35">
        <v>0</v>
      </c>
      <c r="H35">
        <v>3498.8</v>
      </c>
      <c r="I35">
        <v>-3498.8</v>
      </c>
      <c r="J35">
        <v>3498.8</v>
      </c>
    </row>
    <row r="36" spans="1:10" x14ac:dyDescent="0.3">
      <c r="A36" t="s">
        <v>974</v>
      </c>
      <c r="B36" t="s">
        <v>549</v>
      </c>
      <c r="C36" t="s">
        <v>496</v>
      </c>
      <c r="D36" t="s">
        <v>1095</v>
      </c>
      <c r="E36" t="s">
        <v>1096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3">
      <c r="A37" t="s">
        <v>974</v>
      </c>
      <c r="B37" t="s">
        <v>549</v>
      </c>
      <c r="C37" t="s">
        <v>496</v>
      </c>
      <c r="D37" t="s">
        <v>1097</v>
      </c>
      <c r="E37" t="s">
        <v>1098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3">
      <c r="A38" t="s">
        <v>974</v>
      </c>
      <c r="B38" t="s">
        <v>549</v>
      </c>
      <c r="C38" t="s">
        <v>496</v>
      </c>
      <c r="D38" t="s">
        <v>1099</v>
      </c>
      <c r="E38" t="s">
        <v>1100</v>
      </c>
      <c r="F38">
        <v>0</v>
      </c>
      <c r="G38">
        <v>648</v>
      </c>
      <c r="H38">
        <v>0</v>
      </c>
      <c r="I38">
        <v>648</v>
      </c>
      <c r="J38">
        <v>648</v>
      </c>
    </row>
    <row r="39" spans="1:10" x14ac:dyDescent="0.3">
      <c r="A39" t="s">
        <v>974</v>
      </c>
      <c r="B39" t="s">
        <v>549</v>
      </c>
      <c r="C39" t="s">
        <v>496</v>
      </c>
      <c r="D39" t="s">
        <v>1101</v>
      </c>
      <c r="E39" t="s">
        <v>1102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3">
      <c r="A40" t="s">
        <v>974</v>
      </c>
      <c r="B40" t="s">
        <v>549</v>
      </c>
      <c r="C40" t="s">
        <v>496</v>
      </c>
      <c r="D40" t="s">
        <v>1103</v>
      </c>
      <c r="E40" t="s">
        <v>1104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3">
      <c r="A41" t="s">
        <v>974</v>
      </c>
      <c r="B41" t="s">
        <v>549</v>
      </c>
      <c r="C41" t="s">
        <v>496</v>
      </c>
      <c r="D41" t="s">
        <v>1105</v>
      </c>
      <c r="E41" t="s">
        <v>1106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3">
      <c r="A42" t="s">
        <v>974</v>
      </c>
      <c r="B42" t="s">
        <v>551</v>
      </c>
      <c r="C42" t="s">
        <v>496</v>
      </c>
      <c r="D42" t="s">
        <v>980</v>
      </c>
      <c r="E42" t="s">
        <v>926</v>
      </c>
      <c r="F42">
        <v>369557.47</v>
      </c>
      <c r="G42">
        <v>6085.89</v>
      </c>
      <c r="H42">
        <v>17435.91</v>
      </c>
      <c r="I42">
        <v>358207.45</v>
      </c>
      <c r="J42">
        <v>358207.45</v>
      </c>
    </row>
    <row r="43" spans="1:10" x14ac:dyDescent="0.3">
      <c r="A43" t="s">
        <v>974</v>
      </c>
      <c r="B43" t="s">
        <v>551</v>
      </c>
      <c r="C43" t="s">
        <v>496</v>
      </c>
      <c r="D43" t="s">
        <v>983</v>
      </c>
      <c r="E43" t="s">
        <v>984</v>
      </c>
      <c r="F43">
        <v>6133.05</v>
      </c>
      <c r="G43">
        <v>4051.45</v>
      </c>
      <c r="H43">
        <v>6077.7</v>
      </c>
      <c r="I43">
        <v>4106.7999999999993</v>
      </c>
      <c r="J43">
        <v>4106.7999999999993</v>
      </c>
    </row>
    <row r="44" spans="1:10" x14ac:dyDescent="0.3">
      <c r="A44" t="s">
        <v>974</v>
      </c>
      <c r="B44" t="s">
        <v>551</v>
      </c>
      <c r="C44" t="s">
        <v>496</v>
      </c>
      <c r="D44" t="s">
        <v>985</v>
      </c>
      <c r="E44" t="s">
        <v>986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3">
      <c r="A45" t="s">
        <v>974</v>
      </c>
      <c r="B45" t="s">
        <v>551</v>
      </c>
      <c r="C45" t="s">
        <v>496</v>
      </c>
      <c r="D45" t="s">
        <v>987</v>
      </c>
      <c r="E45" t="s">
        <v>988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3">
      <c r="A46" t="s">
        <v>974</v>
      </c>
      <c r="B46" t="s">
        <v>551</v>
      </c>
      <c r="C46" t="s">
        <v>496</v>
      </c>
      <c r="D46" t="s">
        <v>989</v>
      </c>
      <c r="E46" t="s">
        <v>990</v>
      </c>
      <c r="F46">
        <v>594730.71</v>
      </c>
      <c r="G46">
        <v>1540</v>
      </c>
      <c r="H46">
        <v>0</v>
      </c>
      <c r="I46">
        <v>596270.71</v>
      </c>
      <c r="J46">
        <v>596270.71</v>
      </c>
    </row>
    <row r="47" spans="1:10" x14ac:dyDescent="0.3">
      <c r="A47" t="s">
        <v>974</v>
      </c>
      <c r="B47" t="s">
        <v>551</v>
      </c>
      <c r="C47" t="s">
        <v>496</v>
      </c>
      <c r="D47" t="s">
        <v>995</v>
      </c>
      <c r="E47" t="s">
        <v>996</v>
      </c>
      <c r="F47">
        <v>8817.2199999999993</v>
      </c>
      <c r="G47">
        <v>0</v>
      </c>
      <c r="H47">
        <v>0</v>
      </c>
      <c r="I47">
        <v>8817.2199999999993</v>
      </c>
      <c r="J47">
        <v>8817.2199999999993</v>
      </c>
    </row>
    <row r="48" spans="1:10" x14ac:dyDescent="0.3">
      <c r="A48" t="s">
        <v>974</v>
      </c>
      <c r="B48" t="s">
        <v>551</v>
      </c>
      <c r="C48" t="s">
        <v>496</v>
      </c>
      <c r="D48" t="s">
        <v>997</v>
      </c>
      <c r="E48" t="s">
        <v>998</v>
      </c>
      <c r="F48">
        <v>-4924</v>
      </c>
      <c r="G48">
        <v>0</v>
      </c>
      <c r="H48">
        <v>0</v>
      </c>
      <c r="I48">
        <v>-4924</v>
      </c>
      <c r="J48">
        <v>-4924</v>
      </c>
    </row>
    <row r="49" spans="1:10" x14ac:dyDescent="0.3">
      <c r="A49" t="s">
        <v>974</v>
      </c>
      <c r="B49" t="s">
        <v>551</v>
      </c>
      <c r="C49" t="s">
        <v>496</v>
      </c>
      <c r="D49" t="s">
        <v>1028</v>
      </c>
      <c r="E49" t="s">
        <v>1029</v>
      </c>
      <c r="F49">
        <v>-383868</v>
      </c>
      <c r="G49">
        <v>0</v>
      </c>
      <c r="H49">
        <v>0</v>
      </c>
      <c r="I49">
        <v>-383868</v>
      </c>
      <c r="J49">
        <v>383868</v>
      </c>
    </row>
    <row r="50" spans="1:10" x14ac:dyDescent="0.3">
      <c r="A50" t="s">
        <v>974</v>
      </c>
      <c r="B50" t="s">
        <v>551</v>
      </c>
      <c r="C50" t="s">
        <v>496</v>
      </c>
      <c r="D50" t="s">
        <v>1031</v>
      </c>
      <c r="E50" t="s">
        <v>1032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3">
      <c r="A51" t="s">
        <v>974</v>
      </c>
      <c r="B51" t="s">
        <v>551</v>
      </c>
      <c r="C51" t="s">
        <v>496</v>
      </c>
      <c r="D51" t="s">
        <v>1033</v>
      </c>
      <c r="E51" t="s">
        <v>1034</v>
      </c>
      <c r="F51">
        <v>-13042.5</v>
      </c>
      <c r="G51">
        <v>0</v>
      </c>
      <c r="H51">
        <v>0</v>
      </c>
      <c r="I51">
        <v>-13042.5</v>
      </c>
      <c r="J51">
        <v>13042.5</v>
      </c>
    </row>
    <row r="52" spans="1:10" x14ac:dyDescent="0.3">
      <c r="A52" t="s">
        <v>974</v>
      </c>
      <c r="B52" t="s">
        <v>551</v>
      </c>
      <c r="C52" t="s">
        <v>496</v>
      </c>
      <c r="D52" t="s">
        <v>1006</v>
      </c>
      <c r="E52" t="s">
        <v>1007</v>
      </c>
      <c r="F52">
        <v>0</v>
      </c>
      <c r="G52">
        <v>867.69</v>
      </c>
      <c r="H52">
        <v>1059.0899999999999</v>
      </c>
      <c r="I52">
        <v>-191.4</v>
      </c>
      <c r="J52">
        <v>191.4</v>
      </c>
    </row>
    <row r="53" spans="1:10" x14ac:dyDescent="0.3">
      <c r="A53" t="s">
        <v>974</v>
      </c>
      <c r="B53" t="s">
        <v>551</v>
      </c>
      <c r="C53" t="s">
        <v>496</v>
      </c>
      <c r="D53" t="s">
        <v>1008</v>
      </c>
      <c r="E53" t="s">
        <v>1009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3">
      <c r="A54" t="s">
        <v>974</v>
      </c>
      <c r="B54" t="s">
        <v>551</v>
      </c>
      <c r="C54" t="s">
        <v>496</v>
      </c>
      <c r="D54" t="s">
        <v>1010</v>
      </c>
      <c r="E54" t="s">
        <v>1011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3">
      <c r="A55" t="s">
        <v>974</v>
      </c>
      <c r="B55" t="s">
        <v>551</v>
      </c>
      <c r="C55" t="s">
        <v>496</v>
      </c>
      <c r="D55" t="s">
        <v>1012</v>
      </c>
      <c r="E55" t="s">
        <v>1013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3">
      <c r="A56" t="s">
        <v>974</v>
      </c>
      <c r="B56" t="s">
        <v>551</v>
      </c>
      <c r="C56" t="s">
        <v>496</v>
      </c>
      <c r="D56" t="s">
        <v>1016</v>
      </c>
      <c r="E56" t="s">
        <v>1017</v>
      </c>
      <c r="F56">
        <v>-580342.75</v>
      </c>
      <c r="G56">
        <v>0</v>
      </c>
      <c r="H56">
        <v>0</v>
      </c>
      <c r="I56">
        <v>-580342.75</v>
      </c>
      <c r="J56">
        <v>580342.75</v>
      </c>
    </row>
    <row r="57" spans="1:10" x14ac:dyDescent="0.3">
      <c r="A57" t="s">
        <v>974</v>
      </c>
      <c r="B57" t="s">
        <v>551</v>
      </c>
      <c r="C57" t="s">
        <v>496</v>
      </c>
      <c r="D57" t="s">
        <v>1123</v>
      </c>
      <c r="E57" t="s">
        <v>717</v>
      </c>
      <c r="F57">
        <v>75.900000000000006</v>
      </c>
      <c r="G57">
        <v>83.07</v>
      </c>
      <c r="H57">
        <v>0</v>
      </c>
      <c r="I57">
        <v>158.97</v>
      </c>
      <c r="J57">
        <v>158.97</v>
      </c>
    </row>
    <row r="58" spans="1:10" x14ac:dyDescent="0.3">
      <c r="A58" t="s">
        <v>974</v>
      </c>
      <c r="B58" t="s">
        <v>551</v>
      </c>
      <c r="C58" t="s">
        <v>496</v>
      </c>
      <c r="D58" t="s">
        <v>1118</v>
      </c>
      <c r="E58" t="s">
        <v>1119</v>
      </c>
      <c r="F58">
        <v>-124.57</v>
      </c>
      <c r="G58">
        <v>0</v>
      </c>
      <c r="H58">
        <v>13.41</v>
      </c>
      <c r="I58">
        <v>-137.97999999999999</v>
      </c>
      <c r="J58">
        <v>137.97999999999999</v>
      </c>
    </row>
    <row r="59" spans="1:10" x14ac:dyDescent="0.3">
      <c r="A59" t="s">
        <v>974</v>
      </c>
      <c r="B59" t="s">
        <v>551</v>
      </c>
      <c r="C59" t="s">
        <v>496</v>
      </c>
      <c r="D59" t="s">
        <v>1120</v>
      </c>
      <c r="E59" t="s">
        <v>811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3">
      <c r="A60" t="s">
        <v>974</v>
      </c>
      <c r="B60" t="s">
        <v>551</v>
      </c>
      <c r="C60" t="s">
        <v>496</v>
      </c>
      <c r="D60" t="s">
        <v>1060</v>
      </c>
      <c r="E60" t="s">
        <v>1061</v>
      </c>
      <c r="F60">
        <v>3550.43</v>
      </c>
      <c r="G60">
        <v>10928.5</v>
      </c>
      <c r="H60">
        <v>0</v>
      </c>
      <c r="I60">
        <v>14478.93</v>
      </c>
      <c r="J60">
        <v>14478.93</v>
      </c>
    </row>
    <row r="61" spans="1:10" x14ac:dyDescent="0.3">
      <c r="A61" t="s">
        <v>974</v>
      </c>
      <c r="B61" t="s">
        <v>551</v>
      </c>
      <c r="C61" t="s">
        <v>496</v>
      </c>
      <c r="D61" t="s">
        <v>1062</v>
      </c>
      <c r="E61" t="s">
        <v>1063</v>
      </c>
      <c r="F61">
        <v>1500</v>
      </c>
      <c r="G61">
        <v>445</v>
      </c>
      <c r="H61">
        <v>0</v>
      </c>
      <c r="I61">
        <v>1945</v>
      </c>
      <c r="J61">
        <v>1945</v>
      </c>
    </row>
    <row r="62" spans="1:10" x14ac:dyDescent="0.3">
      <c r="A62" t="s">
        <v>974</v>
      </c>
      <c r="B62" t="s">
        <v>551</v>
      </c>
      <c r="C62" t="s">
        <v>496</v>
      </c>
      <c r="D62" t="s">
        <v>1064</v>
      </c>
      <c r="E62" t="s">
        <v>1065</v>
      </c>
      <c r="F62">
        <v>0</v>
      </c>
      <c r="G62">
        <v>4021.87</v>
      </c>
      <c r="H62">
        <v>0</v>
      </c>
      <c r="I62">
        <v>4021.87</v>
      </c>
      <c r="J62">
        <v>4021.87</v>
      </c>
    </row>
    <row r="63" spans="1:10" x14ac:dyDescent="0.3">
      <c r="A63" t="s">
        <v>974</v>
      </c>
      <c r="B63" t="s">
        <v>551</v>
      </c>
      <c r="C63" t="s">
        <v>496</v>
      </c>
      <c r="D63" t="s">
        <v>1066</v>
      </c>
      <c r="E63" t="s">
        <v>1067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3">
      <c r="A64" t="s">
        <v>974</v>
      </c>
      <c r="B64" t="s">
        <v>551</v>
      </c>
      <c r="C64" t="s">
        <v>496</v>
      </c>
      <c r="D64" t="s">
        <v>1068</v>
      </c>
      <c r="E64" t="s">
        <v>568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3">
      <c r="A65" t="s">
        <v>974</v>
      </c>
      <c r="B65" t="s">
        <v>551</v>
      </c>
      <c r="C65" t="s">
        <v>496</v>
      </c>
      <c r="D65" t="s">
        <v>1069</v>
      </c>
      <c r="E65" t="s">
        <v>1070</v>
      </c>
      <c r="F65">
        <v>41.35</v>
      </c>
      <c r="G65">
        <v>415.4</v>
      </c>
      <c r="H65">
        <v>0</v>
      </c>
      <c r="I65">
        <v>456.75</v>
      </c>
      <c r="J65">
        <v>456.75</v>
      </c>
    </row>
    <row r="66" spans="1:10" x14ac:dyDescent="0.3">
      <c r="A66" t="s">
        <v>974</v>
      </c>
      <c r="B66" t="s">
        <v>551</v>
      </c>
      <c r="C66" t="s">
        <v>496</v>
      </c>
      <c r="D66" t="s">
        <v>1071</v>
      </c>
      <c r="E66" t="s">
        <v>1072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3">
      <c r="A67" t="s">
        <v>974</v>
      </c>
      <c r="B67" t="s">
        <v>551</v>
      </c>
      <c r="C67" t="s">
        <v>496</v>
      </c>
      <c r="D67" t="s">
        <v>1073</v>
      </c>
      <c r="E67" t="s">
        <v>1074</v>
      </c>
      <c r="F67">
        <v>11.36</v>
      </c>
      <c r="G67">
        <v>11.54</v>
      </c>
      <c r="H67">
        <v>0</v>
      </c>
      <c r="I67">
        <v>22.9</v>
      </c>
      <c r="J67">
        <v>22.9</v>
      </c>
    </row>
    <row r="68" spans="1:10" x14ac:dyDescent="0.3">
      <c r="A68" t="s">
        <v>974</v>
      </c>
      <c r="B68" t="s">
        <v>551</v>
      </c>
      <c r="C68" t="s">
        <v>496</v>
      </c>
      <c r="D68" t="s">
        <v>1075</v>
      </c>
      <c r="E68" t="s">
        <v>1076</v>
      </c>
      <c r="F68">
        <v>0</v>
      </c>
      <c r="G68">
        <v>9.91</v>
      </c>
      <c r="H68">
        <v>0</v>
      </c>
      <c r="I68">
        <v>9.91</v>
      </c>
      <c r="J68">
        <v>9.91</v>
      </c>
    </row>
    <row r="69" spans="1:10" x14ac:dyDescent="0.3">
      <c r="A69" t="s">
        <v>974</v>
      </c>
      <c r="B69" t="s">
        <v>551</v>
      </c>
      <c r="C69" t="s">
        <v>496</v>
      </c>
      <c r="D69" t="s">
        <v>1077</v>
      </c>
      <c r="E69" t="s">
        <v>1078</v>
      </c>
      <c r="F69">
        <v>228.63</v>
      </c>
      <c r="G69">
        <v>177.24</v>
      </c>
      <c r="H69">
        <v>0</v>
      </c>
      <c r="I69">
        <v>405.87</v>
      </c>
      <c r="J69">
        <v>405.87</v>
      </c>
    </row>
    <row r="70" spans="1:10" x14ac:dyDescent="0.3">
      <c r="A70" t="s">
        <v>974</v>
      </c>
      <c r="B70" t="s">
        <v>551</v>
      </c>
      <c r="C70" t="s">
        <v>496</v>
      </c>
      <c r="D70" t="s">
        <v>1079</v>
      </c>
      <c r="E70" t="s">
        <v>1080</v>
      </c>
      <c r="F70">
        <v>50.73</v>
      </c>
      <c r="G70">
        <v>0</v>
      </c>
      <c r="H70">
        <v>0</v>
      </c>
      <c r="I70">
        <v>50.73</v>
      </c>
      <c r="J70">
        <v>50.73</v>
      </c>
    </row>
    <row r="71" spans="1:10" x14ac:dyDescent="0.3">
      <c r="A71" t="s">
        <v>974</v>
      </c>
      <c r="B71" t="s">
        <v>551</v>
      </c>
      <c r="C71" t="s">
        <v>496</v>
      </c>
      <c r="D71" t="s">
        <v>1081</v>
      </c>
      <c r="E71" t="s">
        <v>1082</v>
      </c>
      <c r="F71">
        <v>455.77</v>
      </c>
      <c r="G71">
        <v>0</v>
      </c>
      <c r="H71">
        <v>0</v>
      </c>
      <c r="I71">
        <v>455.77</v>
      </c>
      <c r="J71">
        <v>455.77</v>
      </c>
    </row>
    <row r="72" spans="1:10" x14ac:dyDescent="0.3">
      <c r="A72" t="s">
        <v>974</v>
      </c>
      <c r="B72" t="s">
        <v>551</v>
      </c>
      <c r="C72" t="s">
        <v>496</v>
      </c>
      <c r="D72" t="s">
        <v>1083</v>
      </c>
      <c r="E72" t="s">
        <v>1084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3">
      <c r="A73" t="s">
        <v>974</v>
      </c>
      <c r="B73" t="s">
        <v>551</v>
      </c>
      <c r="C73" t="s">
        <v>496</v>
      </c>
      <c r="D73" t="s">
        <v>1048</v>
      </c>
      <c r="E73" t="s">
        <v>1049</v>
      </c>
      <c r="F73">
        <v>-3498.8</v>
      </c>
      <c r="G73">
        <v>0</v>
      </c>
      <c r="H73">
        <v>4051.45</v>
      </c>
      <c r="I73">
        <v>-7550.25</v>
      </c>
      <c r="J73">
        <v>7550.25</v>
      </c>
    </row>
    <row r="74" spans="1:10" x14ac:dyDescent="0.3">
      <c r="A74" t="s">
        <v>974</v>
      </c>
      <c r="B74" t="s">
        <v>551</v>
      </c>
      <c r="C74" t="s">
        <v>496</v>
      </c>
      <c r="D74" t="s">
        <v>1095</v>
      </c>
      <c r="E74" t="s">
        <v>1096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3">
      <c r="A75" t="s">
        <v>974</v>
      </c>
      <c r="B75" t="s">
        <v>551</v>
      </c>
      <c r="C75" t="s">
        <v>496</v>
      </c>
      <c r="D75" t="s">
        <v>1097</v>
      </c>
      <c r="E75" t="s">
        <v>1098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3">
      <c r="A76" t="s">
        <v>974</v>
      </c>
      <c r="B76" t="s">
        <v>551</v>
      </c>
      <c r="C76" t="s">
        <v>496</v>
      </c>
      <c r="D76" t="s">
        <v>1099</v>
      </c>
      <c r="E76" t="s">
        <v>1100</v>
      </c>
      <c r="F76">
        <v>648</v>
      </c>
      <c r="G76">
        <v>0</v>
      </c>
      <c r="H76">
        <v>0</v>
      </c>
      <c r="I76">
        <v>648</v>
      </c>
      <c r="J76">
        <v>648</v>
      </c>
    </row>
    <row r="77" spans="1:10" x14ac:dyDescent="0.3">
      <c r="A77" t="s">
        <v>974</v>
      </c>
      <c r="B77" t="s">
        <v>551</v>
      </c>
      <c r="C77" t="s">
        <v>496</v>
      </c>
      <c r="D77" t="s">
        <v>1101</v>
      </c>
      <c r="E77" t="s">
        <v>1102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3">
      <c r="A78" t="s">
        <v>974</v>
      </c>
      <c r="B78" t="s">
        <v>551</v>
      </c>
      <c r="C78" t="s">
        <v>496</v>
      </c>
      <c r="D78" t="s">
        <v>1103</v>
      </c>
      <c r="E78" t="s">
        <v>1104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3">
      <c r="A79" t="s">
        <v>974</v>
      </c>
      <c r="B79" t="s">
        <v>551</v>
      </c>
      <c r="C79" t="s">
        <v>496</v>
      </c>
      <c r="D79" t="s">
        <v>1105</v>
      </c>
      <c r="E79" t="s">
        <v>1106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3">
      <c r="A80" t="s">
        <v>974</v>
      </c>
      <c r="B80" t="s">
        <v>552</v>
      </c>
      <c r="C80" t="s">
        <v>496</v>
      </c>
      <c r="D80" t="s">
        <v>980</v>
      </c>
      <c r="E80" t="s">
        <v>926</v>
      </c>
      <c r="F80">
        <v>358207.45</v>
      </c>
      <c r="G80">
        <v>4666.08</v>
      </c>
      <c r="H80">
        <v>8889.36</v>
      </c>
      <c r="I80">
        <v>353984.17</v>
      </c>
      <c r="J80">
        <v>353984.17</v>
      </c>
    </row>
    <row r="81" spans="1:10" x14ac:dyDescent="0.3">
      <c r="A81" t="s">
        <v>974</v>
      </c>
      <c r="B81" t="s">
        <v>552</v>
      </c>
      <c r="C81" t="s">
        <v>496</v>
      </c>
      <c r="D81" t="s">
        <v>983</v>
      </c>
      <c r="E81" t="s">
        <v>984</v>
      </c>
      <c r="F81">
        <v>4106.7999999999993</v>
      </c>
      <c r="G81">
        <v>4073.45</v>
      </c>
      <c r="H81">
        <v>4351.45</v>
      </c>
      <c r="I81">
        <v>3828.8</v>
      </c>
      <c r="J81">
        <v>3828.8</v>
      </c>
    </row>
    <row r="82" spans="1:10" x14ac:dyDescent="0.3">
      <c r="A82" t="s">
        <v>974</v>
      </c>
      <c r="B82" t="s">
        <v>552</v>
      </c>
      <c r="C82" t="s">
        <v>496</v>
      </c>
      <c r="D82" t="s">
        <v>985</v>
      </c>
      <c r="E82" t="s">
        <v>986</v>
      </c>
      <c r="F82">
        <v>0</v>
      </c>
      <c r="G82">
        <v>0</v>
      </c>
      <c r="H82">
        <v>300</v>
      </c>
      <c r="I82">
        <v>-300</v>
      </c>
      <c r="J82">
        <v>-300</v>
      </c>
    </row>
    <row r="83" spans="1:10" x14ac:dyDescent="0.3">
      <c r="A83" t="s">
        <v>974</v>
      </c>
      <c r="B83" t="s">
        <v>552</v>
      </c>
      <c r="C83" t="s">
        <v>496</v>
      </c>
      <c r="D83" t="s">
        <v>987</v>
      </c>
      <c r="E83" t="s">
        <v>988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3">
      <c r="A84" t="s">
        <v>974</v>
      </c>
      <c r="B84" t="s">
        <v>552</v>
      </c>
      <c r="C84" t="s">
        <v>496</v>
      </c>
      <c r="D84" t="s">
        <v>989</v>
      </c>
      <c r="E84" t="s">
        <v>990</v>
      </c>
      <c r="F84">
        <v>596270.71</v>
      </c>
      <c r="G84">
        <v>1540</v>
      </c>
      <c r="H84">
        <v>0</v>
      </c>
      <c r="I84">
        <v>597810.71</v>
      </c>
      <c r="J84">
        <v>597810.71</v>
      </c>
    </row>
    <row r="85" spans="1:10" x14ac:dyDescent="0.3">
      <c r="A85" t="s">
        <v>974</v>
      </c>
      <c r="B85" t="s">
        <v>552</v>
      </c>
      <c r="C85" t="s">
        <v>496</v>
      </c>
      <c r="D85" t="s">
        <v>995</v>
      </c>
      <c r="E85" t="s">
        <v>996</v>
      </c>
      <c r="F85">
        <v>8817.2199999999993</v>
      </c>
      <c r="G85">
        <v>0</v>
      </c>
      <c r="H85">
        <v>0</v>
      </c>
      <c r="I85">
        <v>8817.2199999999993</v>
      </c>
      <c r="J85">
        <v>8817.2199999999993</v>
      </c>
    </row>
    <row r="86" spans="1:10" x14ac:dyDescent="0.3">
      <c r="A86" t="s">
        <v>974</v>
      </c>
      <c r="B86" t="s">
        <v>552</v>
      </c>
      <c r="C86" t="s">
        <v>496</v>
      </c>
      <c r="D86" t="s">
        <v>997</v>
      </c>
      <c r="E86" t="s">
        <v>998</v>
      </c>
      <c r="F86">
        <v>-4924</v>
      </c>
      <c r="G86">
        <v>0</v>
      </c>
      <c r="H86">
        <v>0</v>
      </c>
      <c r="I86">
        <v>-4924</v>
      </c>
      <c r="J86">
        <v>-4924</v>
      </c>
    </row>
    <row r="87" spans="1:10" x14ac:dyDescent="0.3">
      <c r="A87" t="s">
        <v>974</v>
      </c>
      <c r="B87" t="s">
        <v>552</v>
      </c>
      <c r="C87" t="s">
        <v>496</v>
      </c>
      <c r="D87" t="s">
        <v>1028</v>
      </c>
      <c r="E87" t="s">
        <v>1029</v>
      </c>
      <c r="F87">
        <v>-383868</v>
      </c>
      <c r="G87">
        <v>0</v>
      </c>
      <c r="H87">
        <v>0</v>
      </c>
      <c r="I87">
        <v>-383868</v>
      </c>
      <c r="J87">
        <v>383868</v>
      </c>
    </row>
    <row r="88" spans="1:10" x14ac:dyDescent="0.3">
      <c r="A88" t="s">
        <v>974</v>
      </c>
      <c r="B88" t="s">
        <v>552</v>
      </c>
      <c r="C88" t="s">
        <v>496</v>
      </c>
      <c r="D88" t="s">
        <v>1031</v>
      </c>
      <c r="E88" t="s">
        <v>1032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3">
      <c r="A89" t="s">
        <v>974</v>
      </c>
      <c r="B89" t="s">
        <v>552</v>
      </c>
      <c r="C89" t="s">
        <v>496</v>
      </c>
      <c r="D89" t="s">
        <v>1033</v>
      </c>
      <c r="E89" t="s">
        <v>1034</v>
      </c>
      <c r="F89">
        <v>-13042.5</v>
      </c>
      <c r="G89">
        <v>0</v>
      </c>
      <c r="H89">
        <v>0</v>
      </c>
      <c r="I89">
        <v>-13042.5</v>
      </c>
      <c r="J89">
        <v>13042.5</v>
      </c>
    </row>
    <row r="90" spans="1:10" x14ac:dyDescent="0.3">
      <c r="A90" t="s">
        <v>974</v>
      </c>
      <c r="B90" t="s">
        <v>552</v>
      </c>
      <c r="C90" t="s">
        <v>496</v>
      </c>
      <c r="D90" t="s">
        <v>1006</v>
      </c>
      <c r="E90" t="s">
        <v>1007</v>
      </c>
      <c r="F90">
        <v>-191.4</v>
      </c>
      <c r="G90">
        <v>1529.4</v>
      </c>
      <c r="H90">
        <v>1401.15</v>
      </c>
      <c r="I90">
        <v>-63.15</v>
      </c>
      <c r="J90">
        <v>63.15</v>
      </c>
    </row>
    <row r="91" spans="1:10" x14ac:dyDescent="0.3">
      <c r="A91" t="s">
        <v>974</v>
      </c>
      <c r="B91" t="s">
        <v>552</v>
      </c>
      <c r="C91" t="s">
        <v>496</v>
      </c>
      <c r="D91" t="s">
        <v>1008</v>
      </c>
      <c r="E91" t="s">
        <v>1009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3">
      <c r="A92" t="s">
        <v>974</v>
      </c>
      <c r="B92" t="s">
        <v>552</v>
      </c>
      <c r="C92" t="s">
        <v>496</v>
      </c>
      <c r="D92" t="s">
        <v>1010</v>
      </c>
      <c r="E92" t="s">
        <v>1011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3">
      <c r="A93" t="s">
        <v>974</v>
      </c>
      <c r="B93" t="s">
        <v>552</v>
      </c>
      <c r="C93" t="s">
        <v>496</v>
      </c>
      <c r="D93" t="s">
        <v>1012</v>
      </c>
      <c r="E93" t="s">
        <v>1013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3">
      <c r="A94" t="s">
        <v>974</v>
      </c>
      <c r="B94" t="s">
        <v>552</v>
      </c>
      <c r="C94" t="s">
        <v>496</v>
      </c>
      <c r="D94" t="s">
        <v>1016</v>
      </c>
      <c r="E94" t="s">
        <v>1017</v>
      </c>
      <c r="F94">
        <v>-580342.75</v>
      </c>
      <c r="G94">
        <v>0</v>
      </c>
      <c r="H94">
        <v>0</v>
      </c>
      <c r="I94">
        <v>-580342.75</v>
      </c>
      <c r="J94">
        <v>580342.75</v>
      </c>
    </row>
    <row r="95" spans="1:10" x14ac:dyDescent="0.3">
      <c r="A95" t="s">
        <v>974</v>
      </c>
      <c r="B95" t="s">
        <v>552</v>
      </c>
      <c r="C95" t="s">
        <v>496</v>
      </c>
      <c r="D95" t="s">
        <v>1123</v>
      </c>
      <c r="E95" t="s">
        <v>717</v>
      </c>
      <c r="F95">
        <v>158.97</v>
      </c>
      <c r="G95">
        <v>8.33</v>
      </c>
      <c r="H95">
        <v>0</v>
      </c>
      <c r="I95">
        <v>167.3</v>
      </c>
      <c r="J95">
        <v>167.3</v>
      </c>
    </row>
    <row r="96" spans="1:10" x14ac:dyDescent="0.3">
      <c r="A96" t="s">
        <v>974</v>
      </c>
      <c r="B96" t="s">
        <v>552</v>
      </c>
      <c r="C96" t="s">
        <v>496</v>
      </c>
      <c r="D96" t="s">
        <v>1118</v>
      </c>
      <c r="E96" t="s">
        <v>1119</v>
      </c>
      <c r="F96">
        <v>-137.97999999999999</v>
      </c>
      <c r="G96">
        <v>0</v>
      </c>
      <c r="H96">
        <v>22.96</v>
      </c>
      <c r="I96">
        <v>-160.94</v>
      </c>
      <c r="J96">
        <v>160.94</v>
      </c>
    </row>
    <row r="97" spans="1:10" x14ac:dyDescent="0.3">
      <c r="A97" t="s">
        <v>974</v>
      </c>
      <c r="B97" t="s">
        <v>552</v>
      </c>
      <c r="C97" t="s">
        <v>496</v>
      </c>
      <c r="D97" t="s">
        <v>1120</v>
      </c>
      <c r="E97" t="s">
        <v>811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3">
      <c r="A98" t="s">
        <v>974</v>
      </c>
      <c r="B98" t="s">
        <v>552</v>
      </c>
      <c r="C98" t="s">
        <v>496</v>
      </c>
      <c r="D98" t="s">
        <v>1060</v>
      </c>
      <c r="E98" t="s">
        <v>1061</v>
      </c>
      <c r="F98">
        <v>14478.93</v>
      </c>
      <c r="G98">
        <v>3670.94</v>
      </c>
      <c r="H98">
        <v>0</v>
      </c>
      <c r="I98">
        <v>18149.87</v>
      </c>
      <c r="J98">
        <v>18149.87</v>
      </c>
    </row>
    <row r="99" spans="1:10" x14ac:dyDescent="0.3">
      <c r="A99" t="s">
        <v>974</v>
      </c>
      <c r="B99" t="s">
        <v>552</v>
      </c>
      <c r="C99" t="s">
        <v>496</v>
      </c>
      <c r="D99" t="s">
        <v>1062</v>
      </c>
      <c r="E99" t="s">
        <v>1063</v>
      </c>
      <c r="F99">
        <v>1945</v>
      </c>
      <c r="G99">
        <v>2557.46</v>
      </c>
      <c r="H99">
        <v>0</v>
      </c>
      <c r="I99">
        <v>4502.46</v>
      </c>
      <c r="J99">
        <v>4502.46</v>
      </c>
    </row>
    <row r="100" spans="1:10" x14ac:dyDescent="0.3">
      <c r="A100" t="s">
        <v>974</v>
      </c>
      <c r="B100" t="s">
        <v>552</v>
      </c>
      <c r="C100" t="s">
        <v>496</v>
      </c>
      <c r="D100" t="s">
        <v>1064</v>
      </c>
      <c r="E100" t="s">
        <v>1065</v>
      </c>
      <c r="F100">
        <v>4021.87</v>
      </c>
      <c r="G100">
        <v>2.1800000000000002</v>
      </c>
      <c r="H100">
        <v>0</v>
      </c>
      <c r="I100">
        <v>4024.05</v>
      </c>
      <c r="J100">
        <v>4024.05</v>
      </c>
    </row>
    <row r="101" spans="1:10" x14ac:dyDescent="0.3">
      <c r="A101" t="s">
        <v>974</v>
      </c>
      <c r="B101" t="s">
        <v>552</v>
      </c>
      <c r="C101" t="s">
        <v>496</v>
      </c>
      <c r="D101" t="s">
        <v>1066</v>
      </c>
      <c r="E101" t="s">
        <v>1067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3">
      <c r="A102" t="s">
        <v>974</v>
      </c>
      <c r="B102" t="s">
        <v>552</v>
      </c>
      <c r="C102" t="s">
        <v>496</v>
      </c>
      <c r="D102" t="s">
        <v>1068</v>
      </c>
      <c r="E102" t="s">
        <v>568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3">
      <c r="A103" t="s">
        <v>974</v>
      </c>
      <c r="B103" t="s">
        <v>552</v>
      </c>
      <c r="C103" t="s">
        <v>496</v>
      </c>
      <c r="D103" t="s">
        <v>1069</v>
      </c>
      <c r="E103" t="s">
        <v>1070</v>
      </c>
      <c r="F103">
        <v>456.75</v>
      </c>
      <c r="G103">
        <v>20</v>
      </c>
      <c r="H103">
        <v>0</v>
      </c>
      <c r="I103">
        <v>476.75</v>
      </c>
      <c r="J103">
        <v>476.75</v>
      </c>
    </row>
    <row r="104" spans="1:10" x14ac:dyDescent="0.3">
      <c r="A104" t="s">
        <v>974</v>
      </c>
      <c r="B104" t="s">
        <v>552</v>
      </c>
      <c r="C104" t="s">
        <v>496</v>
      </c>
      <c r="D104" t="s">
        <v>1071</v>
      </c>
      <c r="E104" t="s">
        <v>1072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 x14ac:dyDescent="0.3">
      <c r="A105" t="s">
        <v>974</v>
      </c>
      <c r="B105" t="s">
        <v>552</v>
      </c>
      <c r="C105" t="s">
        <v>496</v>
      </c>
      <c r="D105" t="s">
        <v>1073</v>
      </c>
      <c r="E105" t="s">
        <v>1074</v>
      </c>
      <c r="F105">
        <v>22.9</v>
      </c>
      <c r="G105">
        <v>11.39</v>
      </c>
      <c r="H105">
        <v>0</v>
      </c>
      <c r="I105">
        <v>34.29</v>
      </c>
      <c r="J105">
        <v>34.29</v>
      </c>
    </row>
    <row r="106" spans="1:10" x14ac:dyDescent="0.3">
      <c r="A106" t="s">
        <v>974</v>
      </c>
      <c r="B106" t="s">
        <v>552</v>
      </c>
      <c r="C106" t="s">
        <v>496</v>
      </c>
      <c r="D106" t="s">
        <v>1075</v>
      </c>
      <c r="E106" t="s">
        <v>1076</v>
      </c>
      <c r="F106">
        <v>9.91</v>
      </c>
      <c r="G106">
        <v>51.94</v>
      </c>
      <c r="H106">
        <v>0</v>
      </c>
      <c r="I106">
        <v>61.849999999999987</v>
      </c>
      <c r="J106">
        <v>61.849999999999987</v>
      </c>
    </row>
    <row r="107" spans="1:10" x14ac:dyDescent="0.3">
      <c r="A107" t="s">
        <v>974</v>
      </c>
      <c r="B107" t="s">
        <v>552</v>
      </c>
      <c r="C107" t="s">
        <v>496</v>
      </c>
      <c r="D107" t="s">
        <v>1077</v>
      </c>
      <c r="E107" t="s">
        <v>1078</v>
      </c>
      <c r="F107">
        <v>405.87</v>
      </c>
      <c r="G107">
        <v>172.4</v>
      </c>
      <c r="H107">
        <v>0</v>
      </c>
      <c r="I107">
        <v>578.27</v>
      </c>
      <c r="J107">
        <v>578.27</v>
      </c>
    </row>
    <row r="108" spans="1:10" x14ac:dyDescent="0.3">
      <c r="A108" t="s">
        <v>974</v>
      </c>
      <c r="B108" t="s">
        <v>552</v>
      </c>
      <c r="C108" t="s">
        <v>496</v>
      </c>
      <c r="D108" t="s">
        <v>1079</v>
      </c>
      <c r="E108" t="s">
        <v>1080</v>
      </c>
      <c r="F108">
        <v>50.73</v>
      </c>
      <c r="G108">
        <v>66.95</v>
      </c>
      <c r="H108">
        <v>0</v>
      </c>
      <c r="I108">
        <v>117.68</v>
      </c>
      <c r="J108">
        <v>117.68</v>
      </c>
    </row>
    <row r="109" spans="1:10" x14ac:dyDescent="0.3">
      <c r="A109" t="s">
        <v>974</v>
      </c>
      <c r="B109" t="s">
        <v>552</v>
      </c>
      <c r="C109" t="s">
        <v>496</v>
      </c>
      <c r="D109" t="s">
        <v>1081</v>
      </c>
      <c r="E109" t="s">
        <v>1082</v>
      </c>
      <c r="F109">
        <v>455.77</v>
      </c>
      <c r="G109">
        <v>267.85000000000002</v>
      </c>
      <c r="H109">
        <v>0</v>
      </c>
      <c r="I109">
        <v>723.62</v>
      </c>
      <c r="J109">
        <v>723.62</v>
      </c>
    </row>
    <row r="110" spans="1:10" x14ac:dyDescent="0.3">
      <c r="A110" t="s">
        <v>974</v>
      </c>
      <c r="B110" t="s">
        <v>552</v>
      </c>
      <c r="C110" t="s">
        <v>496</v>
      </c>
      <c r="D110" t="s">
        <v>1083</v>
      </c>
      <c r="E110" t="s">
        <v>1084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 x14ac:dyDescent="0.3">
      <c r="A111" t="s">
        <v>974</v>
      </c>
      <c r="B111" t="s">
        <v>552</v>
      </c>
      <c r="C111" t="s">
        <v>496</v>
      </c>
      <c r="D111" t="s">
        <v>1048</v>
      </c>
      <c r="E111" t="s">
        <v>1049</v>
      </c>
      <c r="F111">
        <v>-7550.25</v>
      </c>
      <c r="G111">
        <v>0</v>
      </c>
      <c r="H111">
        <v>4073.45</v>
      </c>
      <c r="I111">
        <v>-11623.7</v>
      </c>
      <c r="J111">
        <v>11623.7</v>
      </c>
    </row>
    <row r="112" spans="1:10" x14ac:dyDescent="0.3">
      <c r="A112" t="s">
        <v>974</v>
      </c>
      <c r="B112" t="s">
        <v>552</v>
      </c>
      <c r="C112" t="s">
        <v>496</v>
      </c>
      <c r="D112" t="s">
        <v>1095</v>
      </c>
      <c r="E112" t="s">
        <v>1096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3">
      <c r="A113" t="s">
        <v>974</v>
      </c>
      <c r="B113" t="s">
        <v>552</v>
      </c>
      <c r="C113" t="s">
        <v>496</v>
      </c>
      <c r="D113" t="s">
        <v>1097</v>
      </c>
      <c r="E113" t="s">
        <v>1098</v>
      </c>
      <c r="F113">
        <v>0</v>
      </c>
      <c r="G113">
        <v>400</v>
      </c>
      <c r="H113">
        <v>0</v>
      </c>
      <c r="I113">
        <v>400</v>
      </c>
      <c r="J113">
        <v>400</v>
      </c>
    </row>
    <row r="114" spans="1:10" x14ac:dyDescent="0.3">
      <c r="A114" t="s">
        <v>974</v>
      </c>
      <c r="B114" t="s">
        <v>552</v>
      </c>
      <c r="C114" t="s">
        <v>496</v>
      </c>
      <c r="D114" t="s">
        <v>1099</v>
      </c>
      <c r="E114" t="s">
        <v>1100</v>
      </c>
      <c r="F114">
        <v>648</v>
      </c>
      <c r="G114">
        <v>0</v>
      </c>
      <c r="H114">
        <v>0</v>
      </c>
      <c r="I114">
        <v>648</v>
      </c>
      <c r="J114">
        <v>648</v>
      </c>
    </row>
    <row r="115" spans="1:10" x14ac:dyDescent="0.3">
      <c r="A115" t="s">
        <v>974</v>
      </c>
      <c r="B115" t="s">
        <v>552</v>
      </c>
      <c r="C115" t="s">
        <v>496</v>
      </c>
      <c r="D115" t="s">
        <v>1101</v>
      </c>
      <c r="E115" t="s">
        <v>1102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3">
      <c r="A116" t="s">
        <v>974</v>
      </c>
      <c r="B116" t="s">
        <v>552</v>
      </c>
      <c r="C116" t="s">
        <v>496</v>
      </c>
      <c r="D116" t="s">
        <v>1103</v>
      </c>
      <c r="E116" t="s">
        <v>1104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3">
      <c r="A117" t="s">
        <v>974</v>
      </c>
      <c r="B117" t="s">
        <v>552</v>
      </c>
      <c r="C117" t="s">
        <v>496</v>
      </c>
      <c r="D117" t="s">
        <v>1105</v>
      </c>
      <c r="E117" t="s">
        <v>1106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 x14ac:dyDescent="0.3">
      <c r="A118" t="s">
        <v>974</v>
      </c>
      <c r="B118" t="s">
        <v>553</v>
      </c>
      <c r="C118" t="s">
        <v>496</v>
      </c>
      <c r="D118" t="s">
        <v>980</v>
      </c>
      <c r="E118" t="s">
        <v>926</v>
      </c>
      <c r="F118">
        <v>353984.17</v>
      </c>
      <c r="G118">
        <v>4116.6899999999996</v>
      </c>
      <c r="H118">
        <v>15595.99</v>
      </c>
      <c r="I118">
        <v>342504.87</v>
      </c>
      <c r="J118">
        <v>342504.87</v>
      </c>
    </row>
    <row r="119" spans="1:10" x14ac:dyDescent="0.3">
      <c r="A119" t="s">
        <v>974</v>
      </c>
      <c r="B119" t="s">
        <v>553</v>
      </c>
      <c r="C119" t="s">
        <v>496</v>
      </c>
      <c r="D119" t="s">
        <v>983</v>
      </c>
      <c r="E119" t="s">
        <v>984</v>
      </c>
      <c r="F119">
        <v>3828.8</v>
      </c>
      <c r="G119">
        <v>5992.45</v>
      </c>
      <c r="H119">
        <v>4073.45</v>
      </c>
      <c r="I119">
        <v>5747.8</v>
      </c>
      <c r="J119">
        <v>5747.8</v>
      </c>
    </row>
    <row r="120" spans="1:10" x14ac:dyDescent="0.3">
      <c r="A120" t="s">
        <v>974</v>
      </c>
      <c r="B120" t="s">
        <v>553</v>
      </c>
      <c r="C120" t="s">
        <v>496</v>
      </c>
      <c r="D120" t="s">
        <v>985</v>
      </c>
      <c r="E120" t="s">
        <v>986</v>
      </c>
      <c r="F120">
        <v>-300</v>
      </c>
      <c r="G120">
        <v>0</v>
      </c>
      <c r="H120">
        <v>0</v>
      </c>
      <c r="I120">
        <v>-300</v>
      </c>
      <c r="J120">
        <v>-300</v>
      </c>
    </row>
    <row r="121" spans="1:10" x14ac:dyDescent="0.3">
      <c r="A121" t="s">
        <v>974</v>
      </c>
      <c r="B121" t="s">
        <v>553</v>
      </c>
      <c r="C121" t="s">
        <v>496</v>
      </c>
      <c r="D121" t="s">
        <v>987</v>
      </c>
      <c r="E121" t="s">
        <v>988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3">
      <c r="A122" t="s">
        <v>974</v>
      </c>
      <c r="B122" t="s">
        <v>553</v>
      </c>
      <c r="C122" t="s">
        <v>496</v>
      </c>
      <c r="D122" t="s">
        <v>989</v>
      </c>
      <c r="E122" t="s">
        <v>990</v>
      </c>
      <c r="F122">
        <v>597810.71</v>
      </c>
      <c r="G122">
        <v>8940.9599999999991</v>
      </c>
      <c r="H122">
        <v>0</v>
      </c>
      <c r="I122">
        <v>606751.66999999993</v>
      </c>
      <c r="J122">
        <v>606751.66999999993</v>
      </c>
    </row>
    <row r="123" spans="1:10" x14ac:dyDescent="0.3">
      <c r="A123" t="s">
        <v>974</v>
      </c>
      <c r="B123" t="s">
        <v>553</v>
      </c>
      <c r="C123" t="s">
        <v>496</v>
      </c>
      <c r="D123" t="s">
        <v>995</v>
      </c>
      <c r="E123" t="s">
        <v>996</v>
      </c>
      <c r="F123">
        <v>8817.2199999999993</v>
      </c>
      <c r="G123">
        <v>0</v>
      </c>
      <c r="H123">
        <v>0</v>
      </c>
      <c r="I123">
        <v>8817.2199999999993</v>
      </c>
      <c r="J123">
        <v>8817.2199999999993</v>
      </c>
    </row>
    <row r="124" spans="1:10" x14ac:dyDescent="0.3">
      <c r="A124" t="s">
        <v>974</v>
      </c>
      <c r="B124" t="s">
        <v>553</v>
      </c>
      <c r="C124" t="s">
        <v>496</v>
      </c>
      <c r="D124" t="s">
        <v>997</v>
      </c>
      <c r="E124" t="s">
        <v>998</v>
      </c>
      <c r="F124">
        <v>-4924</v>
      </c>
      <c r="G124">
        <v>0</v>
      </c>
      <c r="H124">
        <v>0</v>
      </c>
      <c r="I124">
        <v>-4924</v>
      </c>
      <c r="J124">
        <v>-4924</v>
      </c>
    </row>
    <row r="125" spans="1:10" x14ac:dyDescent="0.3">
      <c r="A125" t="s">
        <v>974</v>
      </c>
      <c r="B125" t="s">
        <v>553</v>
      </c>
      <c r="C125" t="s">
        <v>496</v>
      </c>
      <c r="D125" t="s">
        <v>1028</v>
      </c>
      <c r="E125" t="s">
        <v>1029</v>
      </c>
      <c r="F125">
        <v>-383868</v>
      </c>
      <c r="G125">
        <v>0</v>
      </c>
      <c r="H125">
        <v>0</v>
      </c>
      <c r="I125">
        <v>-383868</v>
      </c>
      <c r="J125">
        <v>383868</v>
      </c>
    </row>
    <row r="126" spans="1:10" x14ac:dyDescent="0.3">
      <c r="A126" t="s">
        <v>974</v>
      </c>
      <c r="B126" t="s">
        <v>553</v>
      </c>
      <c r="C126" t="s">
        <v>496</v>
      </c>
      <c r="D126" t="s">
        <v>1031</v>
      </c>
      <c r="E126" t="s">
        <v>1032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3">
      <c r="A127" t="s">
        <v>974</v>
      </c>
      <c r="B127" t="s">
        <v>553</v>
      </c>
      <c r="C127" t="s">
        <v>496</v>
      </c>
      <c r="D127" t="s">
        <v>1033</v>
      </c>
      <c r="E127" t="s">
        <v>1034</v>
      </c>
      <c r="F127">
        <v>-13042.5</v>
      </c>
      <c r="G127">
        <v>0</v>
      </c>
      <c r="H127">
        <v>0</v>
      </c>
      <c r="I127">
        <v>-13042.5</v>
      </c>
      <c r="J127">
        <v>13042.5</v>
      </c>
    </row>
    <row r="128" spans="1:10" x14ac:dyDescent="0.3">
      <c r="A128" t="s">
        <v>974</v>
      </c>
      <c r="B128" t="s">
        <v>553</v>
      </c>
      <c r="C128" t="s">
        <v>496</v>
      </c>
      <c r="D128" t="s">
        <v>1006</v>
      </c>
      <c r="E128" t="s">
        <v>1007</v>
      </c>
      <c r="F128">
        <v>-63.15</v>
      </c>
      <c r="G128">
        <v>3410.19</v>
      </c>
      <c r="H128">
        <v>3887.96</v>
      </c>
      <c r="I128">
        <v>-540.91999999999996</v>
      </c>
      <c r="J128">
        <v>540.91999999999996</v>
      </c>
    </row>
    <row r="129" spans="1:10" x14ac:dyDescent="0.3">
      <c r="A129" t="s">
        <v>974</v>
      </c>
      <c r="B129" t="s">
        <v>553</v>
      </c>
      <c r="C129" t="s">
        <v>496</v>
      </c>
      <c r="D129" t="s">
        <v>1008</v>
      </c>
      <c r="E129" t="s">
        <v>1009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3">
      <c r="A130" t="s">
        <v>974</v>
      </c>
      <c r="B130" t="s">
        <v>553</v>
      </c>
      <c r="C130" t="s">
        <v>496</v>
      </c>
      <c r="D130" t="s">
        <v>1010</v>
      </c>
      <c r="E130" t="s">
        <v>1011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3">
      <c r="A131" t="s">
        <v>974</v>
      </c>
      <c r="B131" t="s">
        <v>553</v>
      </c>
      <c r="C131" t="s">
        <v>496</v>
      </c>
      <c r="D131" t="s">
        <v>1012</v>
      </c>
      <c r="E131" t="s">
        <v>1013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3">
      <c r="A132" t="s">
        <v>974</v>
      </c>
      <c r="B132" t="s">
        <v>553</v>
      </c>
      <c r="C132" t="s">
        <v>496</v>
      </c>
      <c r="D132" t="s">
        <v>1016</v>
      </c>
      <c r="E132" t="s">
        <v>1017</v>
      </c>
      <c r="F132">
        <v>-580342.75</v>
      </c>
      <c r="G132">
        <v>0</v>
      </c>
      <c r="H132">
        <v>0</v>
      </c>
      <c r="I132">
        <v>-580342.75</v>
      </c>
      <c r="J132">
        <v>580342.75</v>
      </c>
    </row>
    <row r="133" spans="1:10" x14ac:dyDescent="0.3">
      <c r="A133" t="s">
        <v>974</v>
      </c>
      <c r="B133" t="s">
        <v>553</v>
      </c>
      <c r="C133" t="s">
        <v>496</v>
      </c>
      <c r="D133" t="s">
        <v>1123</v>
      </c>
      <c r="E133" t="s">
        <v>717</v>
      </c>
      <c r="F133">
        <v>167.3</v>
      </c>
      <c r="G133">
        <v>23.28</v>
      </c>
      <c r="H133">
        <v>0</v>
      </c>
      <c r="I133">
        <v>190.58</v>
      </c>
      <c r="J133">
        <v>190.58</v>
      </c>
    </row>
    <row r="134" spans="1:10" x14ac:dyDescent="0.3">
      <c r="A134" t="s">
        <v>974</v>
      </c>
      <c r="B134" t="s">
        <v>553</v>
      </c>
      <c r="C134" t="s">
        <v>496</v>
      </c>
      <c r="D134" t="s">
        <v>1118</v>
      </c>
      <c r="E134" t="s">
        <v>1119</v>
      </c>
      <c r="F134">
        <v>-160.94</v>
      </c>
      <c r="G134">
        <v>0</v>
      </c>
      <c r="H134">
        <v>51.18</v>
      </c>
      <c r="I134">
        <v>-212.12</v>
      </c>
      <c r="J134">
        <v>212.12</v>
      </c>
    </row>
    <row r="135" spans="1:10" x14ac:dyDescent="0.3">
      <c r="A135" t="s">
        <v>974</v>
      </c>
      <c r="B135" t="s">
        <v>553</v>
      </c>
      <c r="C135" t="s">
        <v>496</v>
      </c>
      <c r="D135" t="s">
        <v>1120</v>
      </c>
      <c r="E135" t="s">
        <v>811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3">
      <c r="A136" t="s">
        <v>974</v>
      </c>
      <c r="B136" t="s">
        <v>553</v>
      </c>
      <c r="C136" t="s">
        <v>496</v>
      </c>
      <c r="D136" t="s">
        <v>1060</v>
      </c>
      <c r="E136" t="s">
        <v>1061</v>
      </c>
      <c r="F136">
        <v>18149.87</v>
      </c>
      <c r="G136">
        <v>4633.6000000000004</v>
      </c>
      <c r="H136">
        <v>0</v>
      </c>
      <c r="I136">
        <v>22783.47</v>
      </c>
      <c r="J136">
        <v>22783.47</v>
      </c>
    </row>
    <row r="137" spans="1:10" x14ac:dyDescent="0.3">
      <c r="A137" t="s">
        <v>974</v>
      </c>
      <c r="B137" t="s">
        <v>553</v>
      </c>
      <c r="C137" t="s">
        <v>496</v>
      </c>
      <c r="D137" t="s">
        <v>1062</v>
      </c>
      <c r="E137" t="s">
        <v>1063</v>
      </c>
      <c r="F137">
        <v>4502.46</v>
      </c>
      <c r="G137">
        <v>0</v>
      </c>
      <c r="H137">
        <v>0</v>
      </c>
      <c r="I137">
        <v>4502.46</v>
      </c>
      <c r="J137">
        <v>4502.46</v>
      </c>
    </row>
    <row r="138" spans="1:10" x14ac:dyDescent="0.3">
      <c r="A138" t="s">
        <v>974</v>
      </c>
      <c r="B138" t="s">
        <v>553</v>
      </c>
      <c r="C138" t="s">
        <v>496</v>
      </c>
      <c r="D138" t="s">
        <v>1064</v>
      </c>
      <c r="E138" t="s">
        <v>1065</v>
      </c>
      <c r="F138">
        <v>4024.05</v>
      </c>
      <c r="G138">
        <v>0</v>
      </c>
      <c r="H138">
        <v>0</v>
      </c>
      <c r="I138">
        <v>4024.05</v>
      </c>
      <c r="J138">
        <v>4024.05</v>
      </c>
    </row>
    <row r="139" spans="1:10" x14ac:dyDescent="0.3">
      <c r="A139" t="s">
        <v>974</v>
      </c>
      <c r="B139" t="s">
        <v>553</v>
      </c>
      <c r="C139" t="s">
        <v>496</v>
      </c>
      <c r="D139" t="s">
        <v>1066</v>
      </c>
      <c r="E139" t="s">
        <v>1067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 x14ac:dyDescent="0.3">
      <c r="A140" t="s">
        <v>974</v>
      </c>
      <c r="B140" t="s">
        <v>553</v>
      </c>
      <c r="C140" t="s">
        <v>496</v>
      </c>
      <c r="D140" t="s">
        <v>1068</v>
      </c>
      <c r="E140" t="s">
        <v>568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 x14ac:dyDescent="0.3">
      <c r="A141" t="s">
        <v>974</v>
      </c>
      <c r="B141" t="s">
        <v>553</v>
      </c>
      <c r="C141" t="s">
        <v>496</v>
      </c>
      <c r="D141" t="s">
        <v>1069</v>
      </c>
      <c r="E141" t="s">
        <v>1070</v>
      </c>
      <c r="F141">
        <v>476.75</v>
      </c>
      <c r="G141">
        <v>1009.75</v>
      </c>
      <c r="H141">
        <v>0</v>
      </c>
      <c r="I141">
        <v>1486.5</v>
      </c>
      <c r="J141">
        <v>1486.5</v>
      </c>
    </row>
    <row r="142" spans="1:10" x14ac:dyDescent="0.3">
      <c r="A142" t="s">
        <v>974</v>
      </c>
      <c r="B142" t="s">
        <v>553</v>
      </c>
      <c r="C142" t="s">
        <v>496</v>
      </c>
      <c r="D142" t="s">
        <v>1071</v>
      </c>
      <c r="E142" t="s">
        <v>1072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 x14ac:dyDescent="0.3">
      <c r="A143" t="s">
        <v>974</v>
      </c>
      <c r="B143" t="s">
        <v>553</v>
      </c>
      <c r="C143" t="s">
        <v>496</v>
      </c>
      <c r="D143" t="s">
        <v>1073</v>
      </c>
      <c r="E143" t="s">
        <v>1074</v>
      </c>
      <c r="F143">
        <v>34.29</v>
      </c>
      <c r="G143">
        <v>11.54</v>
      </c>
      <c r="H143">
        <v>0</v>
      </c>
      <c r="I143">
        <v>45.83</v>
      </c>
      <c r="J143">
        <v>45.83</v>
      </c>
    </row>
    <row r="144" spans="1:10" x14ac:dyDescent="0.3">
      <c r="A144" t="s">
        <v>974</v>
      </c>
      <c r="B144" t="s">
        <v>553</v>
      </c>
      <c r="C144" t="s">
        <v>496</v>
      </c>
      <c r="D144" t="s">
        <v>1075</v>
      </c>
      <c r="E144" t="s">
        <v>1076</v>
      </c>
      <c r="F144">
        <v>61.849999999999987</v>
      </c>
      <c r="G144">
        <v>73.66</v>
      </c>
      <c r="H144">
        <v>0</v>
      </c>
      <c r="I144">
        <v>135.51</v>
      </c>
      <c r="J144">
        <v>135.51</v>
      </c>
    </row>
    <row r="145" spans="1:10" x14ac:dyDescent="0.3">
      <c r="A145" t="s">
        <v>974</v>
      </c>
      <c r="B145" t="s">
        <v>553</v>
      </c>
      <c r="C145" t="s">
        <v>496</v>
      </c>
      <c r="D145" t="s">
        <v>1077</v>
      </c>
      <c r="E145" t="s">
        <v>1078</v>
      </c>
      <c r="F145">
        <v>578.27</v>
      </c>
      <c r="G145">
        <v>181.67</v>
      </c>
      <c r="H145">
        <v>0</v>
      </c>
      <c r="I145">
        <v>759.94</v>
      </c>
      <c r="J145">
        <v>759.94</v>
      </c>
    </row>
    <row r="146" spans="1:10" x14ac:dyDescent="0.3">
      <c r="A146" t="s">
        <v>974</v>
      </c>
      <c r="B146" t="s">
        <v>553</v>
      </c>
      <c r="C146" t="s">
        <v>496</v>
      </c>
      <c r="D146" t="s">
        <v>1079</v>
      </c>
      <c r="E146" t="s">
        <v>1080</v>
      </c>
      <c r="F146">
        <v>117.68</v>
      </c>
      <c r="G146">
        <v>0</v>
      </c>
      <c r="H146">
        <v>0</v>
      </c>
      <c r="I146">
        <v>117.68</v>
      </c>
      <c r="J146">
        <v>117.68</v>
      </c>
    </row>
    <row r="147" spans="1:10" x14ac:dyDescent="0.3">
      <c r="A147" t="s">
        <v>974</v>
      </c>
      <c r="B147" t="s">
        <v>553</v>
      </c>
      <c r="C147" t="s">
        <v>496</v>
      </c>
      <c r="D147" t="s">
        <v>1081</v>
      </c>
      <c r="E147" t="s">
        <v>1082</v>
      </c>
      <c r="F147">
        <v>723.62</v>
      </c>
      <c r="G147">
        <v>1184.49</v>
      </c>
      <c r="H147">
        <v>0</v>
      </c>
      <c r="I147">
        <v>1908.11</v>
      </c>
      <c r="J147">
        <v>1908.11</v>
      </c>
    </row>
    <row r="148" spans="1:10" x14ac:dyDescent="0.3">
      <c r="A148" t="s">
        <v>974</v>
      </c>
      <c r="B148" t="s">
        <v>553</v>
      </c>
      <c r="C148" t="s">
        <v>496</v>
      </c>
      <c r="D148" t="s">
        <v>1083</v>
      </c>
      <c r="E148" t="s">
        <v>1084</v>
      </c>
      <c r="F148">
        <v>0</v>
      </c>
      <c r="G148">
        <v>22.75</v>
      </c>
      <c r="H148">
        <v>0</v>
      </c>
      <c r="I148">
        <v>22.75</v>
      </c>
      <c r="J148">
        <v>22.75</v>
      </c>
    </row>
    <row r="149" spans="1:10" x14ac:dyDescent="0.3">
      <c r="A149" t="s">
        <v>974</v>
      </c>
      <c r="B149" t="s">
        <v>553</v>
      </c>
      <c r="C149" t="s">
        <v>496</v>
      </c>
      <c r="D149" t="s">
        <v>1048</v>
      </c>
      <c r="E149" t="s">
        <v>1049</v>
      </c>
      <c r="F149">
        <v>-11623.7</v>
      </c>
      <c r="G149">
        <v>0</v>
      </c>
      <c r="H149">
        <v>5992.45</v>
      </c>
      <c r="I149">
        <v>-17616.150000000001</v>
      </c>
      <c r="J149">
        <v>17616.150000000001</v>
      </c>
    </row>
    <row r="150" spans="1:10" x14ac:dyDescent="0.3">
      <c r="A150" t="s">
        <v>974</v>
      </c>
      <c r="B150" t="s">
        <v>553</v>
      </c>
      <c r="C150" t="s">
        <v>496</v>
      </c>
      <c r="D150" t="s">
        <v>1095</v>
      </c>
      <c r="E150" t="s">
        <v>1096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 x14ac:dyDescent="0.3">
      <c r="A151" t="s">
        <v>974</v>
      </c>
      <c r="B151" t="s">
        <v>553</v>
      </c>
      <c r="C151" t="s">
        <v>496</v>
      </c>
      <c r="D151" t="s">
        <v>1097</v>
      </c>
      <c r="E151" t="s">
        <v>1098</v>
      </c>
      <c r="F151">
        <v>400</v>
      </c>
      <c r="G151">
        <v>0</v>
      </c>
      <c r="H151">
        <v>0</v>
      </c>
      <c r="I151">
        <v>400</v>
      </c>
      <c r="J151">
        <v>400</v>
      </c>
    </row>
    <row r="152" spans="1:10" x14ac:dyDescent="0.3">
      <c r="A152" t="s">
        <v>974</v>
      </c>
      <c r="B152" t="s">
        <v>553</v>
      </c>
      <c r="C152" t="s">
        <v>496</v>
      </c>
      <c r="D152" t="s">
        <v>1099</v>
      </c>
      <c r="E152" t="s">
        <v>1100</v>
      </c>
      <c r="F152">
        <v>648</v>
      </c>
      <c r="G152">
        <v>0</v>
      </c>
      <c r="H152">
        <v>0</v>
      </c>
      <c r="I152">
        <v>648</v>
      </c>
      <c r="J152">
        <v>648</v>
      </c>
    </row>
    <row r="153" spans="1:10" x14ac:dyDescent="0.3">
      <c r="A153" t="s">
        <v>974</v>
      </c>
      <c r="B153" t="s">
        <v>553</v>
      </c>
      <c r="C153" t="s">
        <v>496</v>
      </c>
      <c r="D153" t="s">
        <v>1101</v>
      </c>
      <c r="E153" t="s">
        <v>1102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 x14ac:dyDescent="0.3">
      <c r="A154" t="s">
        <v>974</v>
      </c>
      <c r="B154" t="s">
        <v>553</v>
      </c>
      <c r="C154" t="s">
        <v>496</v>
      </c>
      <c r="D154" t="s">
        <v>1103</v>
      </c>
      <c r="E154" t="s">
        <v>1104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 x14ac:dyDescent="0.3">
      <c r="A155" t="s">
        <v>974</v>
      </c>
      <c r="B155" t="s">
        <v>553</v>
      </c>
      <c r="C155" t="s">
        <v>496</v>
      </c>
      <c r="D155" t="s">
        <v>1105</v>
      </c>
      <c r="E155" t="s">
        <v>1106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 x14ac:dyDescent="0.3">
      <c r="A156" t="s">
        <v>974</v>
      </c>
      <c r="B156" t="s">
        <v>554</v>
      </c>
      <c r="C156" t="s">
        <v>496</v>
      </c>
      <c r="D156" t="s">
        <v>980</v>
      </c>
      <c r="E156" t="s">
        <v>926</v>
      </c>
      <c r="F156">
        <v>342504.87</v>
      </c>
      <c r="G156">
        <v>13667</v>
      </c>
      <c r="H156">
        <v>25666.43</v>
      </c>
      <c r="I156">
        <v>330505.44</v>
      </c>
      <c r="J156">
        <v>330505.44</v>
      </c>
    </row>
    <row r="157" spans="1:10" x14ac:dyDescent="0.3">
      <c r="A157" t="s">
        <v>974</v>
      </c>
      <c r="B157" t="s">
        <v>554</v>
      </c>
      <c r="C157" t="s">
        <v>496</v>
      </c>
      <c r="D157" t="s">
        <v>983</v>
      </c>
      <c r="E157" t="s">
        <v>984</v>
      </c>
      <c r="F157">
        <v>5747.8</v>
      </c>
      <c r="G157">
        <v>9716.4500000000007</v>
      </c>
      <c r="H157">
        <v>5692.45</v>
      </c>
      <c r="I157">
        <v>9771.8000000000011</v>
      </c>
      <c r="J157">
        <v>9771.8000000000011</v>
      </c>
    </row>
    <row r="158" spans="1:10" x14ac:dyDescent="0.3">
      <c r="A158" t="s">
        <v>974</v>
      </c>
      <c r="B158" t="s">
        <v>554</v>
      </c>
      <c r="C158" t="s">
        <v>496</v>
      </c>
      <c r="D158" t="s">
        <v>985</v>
      </c>
      <c r="E158" t="s">
        <v>986</v>
      </c>
      <c r="F158">
        <v>-300</v>
      </c>
      <c r="G158">
        <v>0</v>
      </c>
      <c r="H158">
        <v>0</v>
      </c>
      <c r="I158">
        <v>-300</v>
      </c>
      <c r="J158">
        <v>-300</v>
      </c>
    </row>
    <row r="159" spans="1:10" x14ac:dyDescent="0.3">
      <c r="A159" t="s">
        <v>974</v>
      </c>
      <c r="B159" t="s">
        <v>554</v>
      </c>
      <c r="C159" t="s">
        <v>496</v>
      </c>
      <c r="D159" t="s">
        <v>987</v>
      </c>
      <c r="E159" t="s">
        <v>988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 x14ac:dyDescent="0.3">
      <c r="A160" t="s">
        <v>974</v>
      </c>
      <c r="B160" t="s">
        <v>554</v>
      </c>
      <c r="C160" t="s">
        <v>496</v>
      </c>
      <c r="D160" t="s">
        <v>989</v>
      </c>
      <c r="E160" t="s">
        <v>990</v>
      </c>
      <c r="F160">
        <v>606751.66999999993</v>
      </c>
      <c r="G160">
        <v>5490</v>
      </c>
      <c r="H160">
        <v>7795.12</v>
      </c>
      <c r="I160">
        <v>604446.54999999993</v>
      </c>
      <c r="J160">
        <v>604446.54999999993</v>
      </c>
    </row>
    <row r="161" spans="1:10" x14ac:dyDescent="0.3">
      <c r="A161" t="s">
        <v>974</v>
      </c>
      <c r="B161" t="s">
        <v>554</v>
      </c>
      <c r="C161" t="s">
        <v>496</v>
      </c>
      <c r="D161" t="s">
        <v>995</v>
      </c>
      <c r="E161" t="s">
        <v>996</v>
      </c>
      <c r="F161">
        <v>8817.2199999999993</v>
      </c>
      <c r="G161">
        <v>0</v>
      </c>
      <c r="H161">
        <v>0</v>
      </c>
      <c r="I161">
        <v>8817.2199999999993</v>
      </c>
      <c r="J161">
        <v>8817.2199999999993</v>
      </c>
    </row>
    <row r="162" spans="1:10" x14ac:dyDescent="0.3">
      <c r="A162" t="s">
        <v>974</v>
      </c>
      <c r="B162" t="s">
        <v>554</v>
      </c>
      <c r="C162" t="s">
        <v>496</v>
      </c>
      <c r="D162" t="s">
        <v>997</v>
      </c>
      <c r="E162" t="s">
        <v>998</v>
      </c>
      <c r="F162">
        <v>-4924</v>
      </c>
      <c r="G162">
        <v>0</v>
      </c>
      <c r="H162">
        <v>0</v>
      </c>
      <c r="I162">
        <v>-4924</v>
      </c>
      <c r="J162">
        <v>-4924</v>
      </c>
    </row>
    <row r="163" spans="1:10" x14ac:dyDescent="0.3">
      <c r="A163" t="s">
        <v>974</v>
      </c>
      <c r="B163" t="s">
        <v>554</v>
      </c>
      <c r="C163" t="s">
        <v>496</v>
      </c>
      <c r="D163" t="s">
        <v>1028</v>
      </c>
      <c r="E163" t="s">
        <v>1029</v>
      </c>
      <c r="F163">
        <v>-383868</v>
      </c>
      <c r="G163">
        <v>0</v>
      </c>
      <c r="H163">
        <v>0</v>
      </c>
      <c r="I163">
        <v>-383868</v>
      </c>
      <c r="J163">
        <v>383868</v>
      </c>
    </row>
    <row r="164" spans="1:10" x14ac:dyDescent="0.3">
      <c r="A164" t="s">
        <v>974</v>
      </c>
      <c r="B164" t="s">
        <v>554</v>
      </c>
      <c r="C164" t="s">
        <v>496</v>
      </c>
      <c r="D164" t="s">
        <v>1031</v>
      </c>
      <c r="E164" t="s">
        <v>1032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 x14ac:dyDescent="0.3">
      <c r="A165" t="s">
        <v>974</v>
      </c>
      <c r="B165" t="s">
        <v>554</v>
      </c>
      <c r="C165" t="s">
        <v>496</v>
      </c>
      <c r="D165" t="s">
        <v>1033</v>
      </c>
      <c r="E165" t="s">
        <v>1034</v>
      </c>
      <c r="F165">
        <v>-13042.5</v>
      </c>
      <c r="G165">
        <v>0</v>
      </c>
      <c r="H165">
        <v>0</v>
      </c>
      <c r="I165">
        <v>-13042.5</v>
      </c>
      <c r="J165">
        <v>13042.5</v>
      </c>
    </row>
    <row r="166" spans="1:10" x14ac:dyDescent="0.3">
      <c r="A166" t="s">
        <v>974</v>
      </c>
      <c r="B166" t="s">
        <v>554</v>
      </c>
      <c r="C166" t="s">
        <v>496</v>
      </c>
      <c r="D166" t="s">
        <v>1006</v>
      </c>
      <c r="E166" t="s">
        <v>1007</v>
      </c>
      <c r="F166">
        <v>-540.91999999999996</v>
      </c>
      <c r="G166">
        <v>13623.27</v>
      </c>
      <c r="H166">
        <v>13082.35</v>
      </c>
      <c r="I166">
        <v>0</v>
      </c>
      <c r="J166">
        <v>0</v>
      </c>
    </row>
    <row r="167" spans="1:10" x14ac:dyDescent="0.3">
      <c r="A167" t="s">
        <v>974</v>
      </c>
      <c r="B167" t="s">
        <v>554</v>
      </c>
      <c r="C167" t="s">
        <v>496</v>
      </c>
      <c r="D167" t="s">
        <v>1008</v>
      </c>
      <c r="E167" t="s">
        <v>1009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 x14ac:dyDescent="0.3">
      <c r="A168" t="s">
        <v>974</v>
      </c>
      <c r="B168" t="s">
        <v>554</v>
      </c>
      <c r="C168" t="s">
        <v>496</v>
      </c>
      <c r="D168" t="s">
        <v>1010</v>
      </c>
      <c r="E168" t="s">
        <v>1011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 x14ac:dyDescent="0.3">
      <c r="A169" t="s">
        <v>974</v>
      </c>
      <c r="B169" t="s">
        <v>554</v>
      </c>
      <c r="C169" t="s">
        <v>496</v>
      </c>
      <c r="D169" t="s">
        <v>1012</v>
      </c>
      <c r="E169" t="s">
        <v>1013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 x14ac:dyDescent="0.3">
      <c r="A170" t="s">
        <v>974</v>
      </c>
      <c r="B170" t="s">
        <v>554</v>
      </c>
      <c r="C170" t="s">
        <v>496</v>
      </c>
      <c r="D170" t="s">
        <v>1016</v>
      </c>
      <c r="E170" t="s">
        <v>1017</v>
      </c>
      <c r="F170">
        <v>-580342.75</v>
      </c>
      <c r="G170">
        <v>0</v>
      </c>
      <c r="H170">
        <v>0</v>
      </c>
      <c r="I170">
        <v>-580342.75</v>
      </c>
      <c r="J170">
        <v>580342.75</v>
      </c>
    </row>
    <row r="171" spans="1:10" x14ac:dyDescent="0.3">
      <c r="A171" t="s">
        <v>974</v>
      </c>
      <c r="B171" t="s">
        <v>554</v>
      </c>
      <c r="C171" t="s">
        <v>496</v>
      </c>
      <c r="D171" t="s">
        <v>1123</v>
      </c>
      <c r="E171" t="s">
        <v>717</v>
      </c>
      <c r="F171">
        <v>190.58</v>
      </c>
      <c r="G171">
        <v>260.62</v>
      </c>
      <c r="H171">
        <v>0</v>
      </c>
      <c r="I171">
        <v>451.2</v>
      </c>
      <c r="J171">
        <v>451.2</v>
      </c>
    </row>
    <row r="172" spans="1:10" x14ac:dyDescent="0.3">
      <c r="A172" t="s">
        <v>974</v>
      </c>
      <c r="B172" t="s">
        <v>554</v>
      </c>
      <c r="C172" t="s">
        <v>496</v>
      </c>
      <c r="D172" t="s">
        <v>1118</v>
      </c>
      <c r="E172" t="s">
        <v>1119</v>
      </c>
      <c r="F172">
        <v>-212.12</v>
      </c>
      <c r="G172">
        <v>0</v>
      </c>
      <c r="H172">
        <v>188.15</v>
      </c>
      <c r="I172">
        <v>-400.27</v>
      </c>
      <c r="J172">
        <v>400.27</v>
      </c>
    </row>
    <row r="173" spans="1:10" x14ac:dyDescent="0.3">
      <c r="A173" t="s">
        <v>974</v>
      </c>
      <c r="B173" t="s">
        <v>554</v>
      </c>
      <c r="C173" t="s">
        <v>496</v>
      </c>
      <c r="D173" t="s">
        <v>1120</v>
      </c>
      <c r="E173" t="s">
        <v>811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 x14ac:dyDescent="0.3">
      <c r="A174" t="s">
        <v>974</v>
      </c>
      <c r="B174" t="s">
        <v>554</v>
      </c>
      <c r="C174" t="s">
        <v>496</v>
      </c>
      <c r="D174" t="s">
        <v>1060</v>
      </c>
      <c r="E174" t="s">
        <v>1061</v>
      </c>
      <c r="F174">
        <v>22783.47</v>
      </c>
      <c r="G174">
        <v>4271.95</v>
      </c>
      <c r="H174">
        <v>1081.8399999999999</v>
      </c>
      <c r="I174">
        <v>25973.58</v>
      </c>
      <c r="J174">
        <v>25973.58</v>
      </c>
    </row>
    <row r="175" spans="1:10" x14ac:dyDescent="0.3">
      <c r="A175" t="s">
        <v>974</v>
      </c>
      <c r="B175" t="s">
        <v>554</v>
      </c>
      <c r="C175" t="s">
        <v>496</v>
      </c>
      <c r="D175" t="s">
        <v>1062</v>
      </c>
      <c r="E175" t="s">
        <v>1063</v>
      </c>
      <c r="F175">
        <v>4502.46</v>
      </c>
      <c r="G175">
        <v>4000</v>
      </c>
      <c r="H175">
        <v>0</v>
      </c>
      <c r="I175">
        <v>8502.4599999999991</v>
      </c>
      <c r="J175">
        <v>8502.4599999999991</v>
      </c>
    </row>
    <row r="176" spans="1:10" x14ac:dyDescent="0.3">
      <c r="A176" t="s">
        <v>974</v>
      </c>
      <c r="B176" t="s">
        <v>554</v>
      </c>
      <c r="C176" t="s">
        <v>496</v>
      </c>
      <c r="D176" t="s">
        <v>1064</v>
      </c>
      <c r="E176" t="s">
        <v>1065</v>
      </c>
      <c r="F176">
        <v>4024.05</v>
      </c>
      <c r="G176">
        <v>0</v>
      </c>
      <c r="H176">
        <v>0</v>
      </c>
      <c r="I176">
        <v>4024.05</v>
      </c>
      <c r="J176">
        <v>4024.05</v>
      </c>
    </row>
    <row r="177" spans="1:10" x14ac:dyDescent="0.3">
      <c r="A177" t="s">
        <v>974</v>
      </c>
      <c r="B177" t="s">
        <v>554</v>
      </c>
      <c r="C177" t="s">
        <v>496</v>
      </c>
      <c r="D177" t="s">
        <v>1066</v>
      </c>
      <c r="E177" t="s">
        <v>1067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 x14ac:dyDescent="0.3">
      <c r="A178" t="s">
        <v>974</v>
      </c>
      <c r="B178" t="s">
        <v>554</v>
      </c>
      <c r="C178" t="s">
        <v>496</v>
      </c>
      <c r="D178" t="s">
        <v>1068</v>
      </c>
      <c r="E178" t="s">
        <v>568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 x14ac:dyDescent="0.3">
      <c r="A179" t="s">
        <v>974</v>
      </c>
      <c r="B179" t="s">
        <v>554</v>
      </c>
      <c r="C179" t="s">
        <v>496</v>
      </c>
      <c r="D179" t="s">
        <v>1069</v>
      </c>
      <c r="E179" t="s">
        <v>1070</v>
      </c>
      <c r="F179">
        <v>1486.5</v>
      </c>
      <c r="G179">
        <v>7761.08</v>
      </c>
      <c r="H179">
        <v>0</v>
      </c>
      <c r="I179">
        <v>9247.5800000000017</v>
      </c>
      <c r="J179">
        <v>9247.5800000000017</v>
      </c>
    </row>
    <row r="180" spans="1:10" x14ac:dyDescent="0.3">
      <c r="A180" t="s">
        <v>974</v>
      </c>
      <c r="B180" t="s">
        <v>554</v>
      </c>
      <c r="C180" t="s">
        <v>496</v>
      </c>
      <c r="D180" t="s">
        <v>1071</v>
      </c>
      <c r="E180" t="s">
        <v>1072</v>
      </c>
      <c r="F180">
        <v>0</v>
      </c>
      <c r="G180">
        <v>153.6</v>
      </c>
      <c r="H180">
        <v>0</v>
      </c>
      <c r="I180">
        <v>153.6</v>
      </c>
      <c r="J180">
        <v>153.6</v>
      </c>
    </row>
    <row r="181" spans="1:10" x14ac:dyDescent="0.3">
      <c r="A181" t="s">
        <v>974</v>
      </c>
      <c r="B181" t="s">
        <v>554</v>
      </c>
      <c r="C181" t="s">
        <v>496</v>
      </c>
      <c r="D181" t="s">
        <v>1073</v>
      </c>
      <c r="E181" t="s">
        <v>1074</v>
      </c>
      <c r="F181">
        <v>45.83</v>
      </c>
      <c r="G181">
        <v>11.49</v>
      </c>
      <c r="H181">
        <v>0</v>
      </c>
      <c r="I181">
        <v>57.32</v>
      </c>
      <c r="J181">
        <v>57.32</v>
      </c>
    </row>
    <row r="182" spans="1:10" x14ac:dyDescent="0.3">
      <c r="A182" t="s">
        <v>974</v>
      </c>
      <c r="B182" t="s">
        <v>554</v>
      </c>
      <c r="C182" t="s">
        <v>496</v>
      </c>
      <c r="D182" t="s">
        <v>1075</v>
      </c>
      <c r="E182" t="s">
        <v>1076</v>
      </c>
      <c r="F182">
        <v>135.51</v>
      </c>
      <c r="G182">
        <v>78.430000000000007</v>
      </c>
      <c r="H182">
        <v>0</v>
      </c>
      <c r="I182">
        <v>213.94</v>
      </c>
      <c r="J182">
        <v>213.94</v>
      </c>
    </row>
    <row r="183" spans="1:10" x14ac:dyDescent="0.3">
      <c r="A183" t="s">
        <v>974</v>
      </c>
      <c r="B183" t="s">
        <v>554</v>
      </c>
      <c r="C183" t="s">
        <v>496</v>
      </c>
      <c r="D183" t="s">
        <v>1077</v>
      </c>
      <c r="E183" t="s">
        <v>1078</v>
      </c>
      <c r="F183">
        <v>759.94</v>
      </c>
      <c r="G183">
        <v>14.05</v>
      </c>
      <c r="H183">
        <v>0</v>
      </c>
      <c r="I183">
        <v>773.99</v>
      </c>
      <c r="J183">
        <v>773.99</v>
      </c>
    </row>
    <row r="184" spans="1:10" x14ac:dyDescent="0.3">
      <c r="A184" t="s">
        <v>974</v>
      </c>
      <c r="B184" t="s">
        <v>554</v>
      </c>
      <c r="C184" t="s">
        <v>496</v>
      </c>
      <c r="D184" t="s">
        <v>1079</v>
      </c>
      <c r="E184" t="s">
        <v>1080</v>
      </c>
      <c r="F184">
        <v>117.68</v>
      </c>
      <c r="G184">
        <v>0</v>
      </c>
      <c r="H184">
        <v>0</v>
      </c>
      <c r="I184">
        <v>117.68</v>
      </c>
      <c r="J184">
        <v>117.68</v>
      </c>
    </row>
    <row r="185" spans="1:10" x14ac:dyDescent="0.3">
      <c r="A185" t="s">
        <v>974</v>
      </c>
      <c r="B185" t="s">
        <v>554</v>
      </c>
      <c r="C185" t="s">
        <v>496</v>
      </c>
      <c r="D185" t="s">
        <v>1081</v>
      </c>
      <c r="E185" t="s">
        <v>1082</v>
      </c>
      <c r="F185">
        <v>1908.11</v>
      </c>
      <c r="G185">
        <v>674.84999999999991</v>
      </c>
      <c r="H185">
        <v>0</v>
      </c>
      <c r="I185">
        <v>2582.96</v>
      </c>
      <c r="J185">
        <v>2582.96</v>
      </c>
    </row>
    <row r="186" spans="1:10" x14ac:dyDescent="0.3">
      <c r="A186" t="s">
        <v>974</v>
      </c>
      <c r="B186" t="s">
        <v>554</v>
      </c>
      <c r="C186" t="s">
        <v>496</v>
      </c>
      <c r="D186" t="s">
        <v>1083</v>
      </c>
      <c r="E186" t="s">
        <v>1084</v>
      </c>
      <c r="F186">
        <v>22.75</v>
      </c>
      <c r="G186">
        <v>0</v>
      </c>
      <c r="H186">
        <v>0</v>
      </c>
      <c r="I186">
        <v>22.75</v>
      </c>
      <c r="J186">
        <v>22.75</v>
      </c>
    </row>
    <row r="187" spans="1:10" x14ac:dyDescent="0.3">
      <c r="A187" t="s">
        <v>974</v>
      </c>
      <c r="B187" t="s">
        <v>554</v>
      </c>
      <c r="C187" t="s">
        <v>496</v>
      </c>
      <c r="D187" t="s">
        <v>1048</v>
      </c>
      <c r="E187" t="s">
        <v>1049</v>
      </c>
      <c r="F187">
        <v>-17616.150000000001</v>
      </c>
      <c r="G187">
        <v>0</v>
      </c>
      <c r="H187">
        <v>9716.4500000000007</v>
      </c>
      <c r="I187">
        <v>-27332.6</v>
      </c>
      <c r="J187">
        <v>27332.6</v>
      </c>
    </row>
    <row r="188" spans="1:10" x14ac:dyDescent="0.3">
      <c r="A188" t="s">
        <v>974</v>
      </c>
      <c r="B188" t="s">
        <v>554</v>
      </c>
      <c r="C188" t="s">
        <v>496</v>
      </c>
      <c r="D188" t="s">
        <v>1095</v>
      </c>
      <c r="E188" t="s">
        <v>1096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 x14ac:dyDescent="0.3">
      <c r="A189" t="s">
        <v>974</v>
      </c>
      <c r="B189" t="s">
        <v>554</v>
      </c>
      <c r="C189" t="s">
        <v>496</v>
      </c>
      <c r="D189" t="s">
        <v>1097</v>
      </c>
      <c r="E189" t="s">
        <v>1098</v>
      </c>
      <c r="F189">
        <v>400</v>
      </c>
      <c r="G189">
        <v>0</v>
      </c>
      <c r="H189">
        <v>0</v>
      </c>
      <c r="I189">
        <v>400</v>
      </c>
      <c r="J189">
        <v>400</v>
      </c>
    </row>
    <row r="190" spans="1:10" x14ac:dyDescent="0.3">
      <c r="A190" t="s">
        <v>974</v>
      </c>
      <c r="B190" t="s">
        <v>554</v>
      </c>
      <c r="C190" t="s">
        <v>496</v>
      </c>
      <c r="D190" t="s">
        <v>1099</v>
      </c>
      <c r="E190" t="s">
        <v>1100</v>
      </c>
      <c r="F190">
        <v>648</v>
      </c>
      <c r="G190">
        <v>3500</v>
      </c>
      <c r="H190">
        <v>0</v>
      </c>
      <c r="I190">
        <v>4148</v>
      </c>
      <c r="J190">
        <v>4148</v>
      </c>
    </row>
    <row r="191" spans="1:10" x14ac:dyDescent="0.3">
      <c r="A191" t="s">
        <v>974</v>
      </c>
      <c r="B191" t="s">
        <v>554</v>
      </c>
      <c r="C191" t="s">
        <v>496</v>
      </c>
      <c r="D191" t="s">
        <v>1101</v>
      </c>
      <c r="E191" t="s">
        <v>1102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 x14ac:dyDescent="0.3">
      <c r="A192" t="s">
        <v>974</v>
      </c>
      <c r="B192" t="s">
        <v>554</v>
      </c>
      <c r="C192" t="s">
        <v>496</v>
      </c>
      <c r="D192" t="s">
        <v>1103</v>
      </c>
      <c r="E192" t="s">
        <v>1104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 x14ac:dyDescent="0.3">
      <c r="A193" t="s">
        <v>974</v>
      </c>
      <c r="B193" t="s">
        <v>554</v>
      </c>
      <c r="C193" t="s">
        <v>496</v>
      </c>
      <c r="D193" t="s">
        <v>1105</v>
      </c>
      <c r="E193" t="s">
        <v>1106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 x14ac:dyDescent="0.3">
      <c r="A194" t="s">
        <v>974</v>
      </c>
      <c r="B194" t="s">
        <v>603</v>
      </c>
      <c r="C194" t="s">
        <v>496</v>
      </c>
      <c r="D194" t="s">
        <v>980</v>
      </c>
      <c r="E194" t="s">
        <v>926</v>
      </c>
      <c r="F194">
        <v>330505.44</v>
      </c>
      <c r="G194">
        <v>9380.4500000000007</v>
      </c>
      <c r="H194">
        <v>25426.51</v>
      </c>
      <c r="I194">
        <v>314459.38</v>
      </c>
      <c r="J194">
        <v>314459.38</v>
      </c>
    </row>
    <row r="195" spans="1:10" x14ac:dyDescent="0.3">
      <c r="A195" t="s">
        <v>974</v>
      </c>
      <c r="B195" t="s">
        <v>603</v>
      </c>
      <c r="C195" t="s">
        <v>496</v>
      </c>
      <c r="D195" t="s">
        <v>983</v>
      </c>
      <c r="E195" t="s">
        <v>984</v>
      </c>
      <c r="F195">
        <v>9771.8000000000011</v>
      </c>
      <c r="G195">
        <v>5664.45</v>
      </c>
      <c r="H195">
        <v>9416.4500000000007</v>
      </c>
      <c r="I195">
        <v>6019.8</v>
      </c>
      <c r="J195">
        <v>6019.8</v>
      </c>
    </row>
    <row r="196" spans="1:10" x14ac:dyDescent="0.3">
      <c r="A196" t="s">
        <v>974</v>
      </c>
      <c r="B196" t="s">
        <v>603</v>
      </c>
      <c r="C196" t="s">
        <v>496</v>
      </c>
      <c r="D196" t="s">
        <v>985</v>
      </c>
      <c r="E196" t="s">
        <v>986</v>
      </c>
      <c r="F196">
        <v>-300</v>
      </c>
      <c r="G196">
        <v>0</v>
      </c>
      <c r="H196">
        <v>0</v>
      </c>
      <c r="I196">
        <v>-300</v>
      </c>
      <c r="J196">
        <v>-300</v>
      </c>
    </row>
    <row r="197" spans="1:10" x14ac:dyDescent="0.3">
      <c r="A197" t="s">
        <v>974</v>
      </c>
      <c r="B197" t="s">
        <v>603</v>
      </c>
      <c r="C197" t="s">
        <v>496</v>
      </c>
      <c r="D197" t="s">
        <v>987</v>
      </c>
      <c r="E197" t="s">
        <v>988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 x14ac:dyDescent="0.3">
      <c r="A198" t="s">
        <v>974</v>
      </c>
      <c r="B198" t="s">
        <v>603</v>
      </c>
      <c r="C198" t="s">
        <v>496</v>
      </c>
      <c r="D198" t="s">
        <v>989</v>
      </c>
      <c r="E198" t="s">
        <v>990</v>
      </c>
      <c r="F198">
        <v>604446.54999999993</v>
      </c>
      <c r="G198">
        <v>6405.12</v>
      </c>
      <c r="H198">
        <v>0</v>
      </c>
      <c r="I198">
        <v>610851.66999999993</v>
      </c>
      <c r="J198">
        <v>610851.66999999993</v>
      </c>
    </row>
    <row r="199" spans="1:10" x14ac:dyDescent="0.3">
      <c r="A199" t="s">
        <v>974</v>
      </c>
      <c r="B199" t="s">
        <v>603</v>
      </c>
      <c r="C199" t="s">
        <v>496</v>
      </c>
      <c r="D199" t="s">
        <v>995</v>
      </c>
      <c r="E199" t="s">
        <v>996</v>
      </c>
      <c r="F199">
        <v>8817.2199999999993</v>
      </c>
      <c r="G199">
        <v>0</v>
      </c>
      <c r="H199">
        <v>0</v>
      </c>
      <c r="I199">
        <v>8817.2199999999993</v>
      </c>
      <c r="J199">
        <v>8817.2199999999993</v>
      </c>
    </row>
    <row r="200" spans="1:10" x14ac:dyDescent="0.3">
      <c r="A200" t="s">
        <v>974</v>
      </c>
      <c r="B200" t="s">
        <v>603</v>
      </c>
      <c r="C200" t="s">
        <v>496</v>
      </c>
      <c r="D200" t="s">
        <v>997</v>
      </c>
      <c r="E200" t="s">
        <v>998</v>
      </c>
      <c r="F200">
        <v>-4924</v>
      </c>
      <c r="G200">
        <v>0</v>
      </c>
      <c r="H200">
        <v>0</v>
      </c>
      <c r="I200">
        <v>-4924</v>
      </c>
      <c r="J200">
        <v>-4924</v>
      </c>
    </row>
    <row r="201" spans="1:10" x14ac:dyDescent="0.3">
      <c r="A201" t="s">
        <v>974</v>
      </c>
      <c r="B201" t="s">
        <v>603</v>
      </c>
      <c r="C201" t="s">
        <v>496</v>
      </c>
      <c r="D201" t="s">
        <v>1028</v>
      </c>
      <c r="E201" t="s">
        <v>1029</v>
      </c>
      <c r="F201">
        <v>-383868</v>
      </c>
      <c r="G201">
        <v>0</v>
      </c>
      <c r="H201">
        <v>0</v>
      </c>
      <c r="I201">
        <v>-383868</v>
      </c>
      <c r="J201">
        <v>383868</v>
      </c>
    </row>
    <row r="202" spans="1:10" x14ac:dyDescent="0.3">
      <c r="A202" t="s">
        <v>974</v>
      </c>
      <c r="B202" t="s">
        <v>603</v>
      </c>
      <c r="C202" t="s">
        <v>496</v>
      </c>
      <c r="D202" t="s">
        <v>1031</v>
      </c>
      <c r="E202" t="s">
        <v>1032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 x14ac:dyDescent="0.3">
      <c r="A203" t="s">
        <v>974</v>
      </c>
      <c r="B203" t="s">
        <v>603</v>
      </c>
      <c r="C203" t="s">
        <v>496</v>
      </c>
      <c r="D203" t="s">
        <v>1033</v>
      </c>
      <c r="E203" t="s">
        <v>1034</v>
      </c>
      <c r="F203">
        <v>-13042.5</v>
      </c>
      <c r="G203">
        <v>0</v>
      </c>
      <c r="H203">
        <v>0</v>
      </c>
      <c r="I203">
        <v>-13042.5</v>
      </c>
      <c r="J203">
        <v>13042.5</v>
      </c>
    </row>
    <row r="204" spans="1:10" x14ac:dyDescent="0.3">
      <c r="A204" t="s">
        <v>974</v>
      </c>
      <c r="B204" t="s">
        <v>603</v>
      </c>
      <c r="C204" t="s">
        <v>496</v>
      </c>
      <c r="D204" t="s">
        <v>1006</v>
      </c>
      <c r="E204" t="s">
        <v>1007</v>
      </c>
      <c r="F204">
        <v>0</v>
      </c>
      <c r="G204">
        <v>11005.06</v>
      </c>
      <c r="H204">
        <v>11111.99</v>
      </c>
      <c r="I204">
        <v>-106.93</v>
      </c>
      <c r="J204">
        <v>106.93</v>
      </c>
    </row>
    <row r="205" spans="1:10" x14ac:dyDescent="0.3">
      <c r="A205" t="s">
        <v>974</v>
      </c>
      <c r="B205" t="s">
        <v>603</v>
      </c>
      <c r="C205" t="s">
        <v>496</v>
      </c>
      <c r="D205" t="s">
        <v>1008</v>
      </c>
      <c r="E205" t="s">
        <v>1009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 x14ac:dyDescent="0.3">
      <c r="A206" t="s">
        <v>974</v>
      </c>
      <c r="B206" t="s">
        <v>603</v>
      </c>
      <c r="C206" t="s">
        <v>496</v>
      </c>
      <c r="D206" t="s">
        <v>1010</v>
      </c>
      <c r="E206" t="s">
        <v>1011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 x14ac:dyDescent="0.3">
      <c r="A207" t="s">
        <v>974</v>
      </c>
      <c r="B207" t="s">
        <v>603</v>
      </c>
      <c r="C207" t="s">
        <v>496</v>
      </c>
      <c r="D207" t="s">
        <v>1012</v>
      </c>
      <c r="E207" t="s">
        <v>1013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 x14ac:dyDescent="0.3">
      <c r="A208" t="s">
        <v>974</v>
      </c>
      <c r="B208" t="s">
        <v>603</v>
      </c>
      <c r="C208" t="s">
        <v>496</v>
      </c>
      <c r="D208" t="s">
        <v>1016</v>
      </c>
      <c r="E208" t="s">
        <v>1017</v>
      </c>
      <c r="F208">
        <v>-580342.75</v>
      </c>
      <c r="G208">
        <v>0</v>
      </c>
      <c r="H208">
        <v>0</v>
      </c>
      <c r="I208">
        <v>-580342.75</v>
      </c>
      <c r="J208">
        <v>580342.75</v>
      </c>
    </row>
    <row r="209" spans="1:10" x14ac:dyDescent="0.3">
      <c r="A209" t="s">
        <v>974</v>
      </c>
      <c r="B209" t="s">
        <v>603</v>
      </c>
      <c r="C209" t="s">
        <v>496</v>
      </c>
      <c r="D209" t="s">
        <v>1123</v>
      </c>
      <c r="E209" t="s">
        <v>717</v>
      </c>
      <c r="F209">
        <v>451.2</v>
      </c>
      <c r="G209">
        <v>327.06</v>
      </c>
      <c r="H209">
        <v>0</v>
      </c>
      <c r="I209">
        <v>778.2600000000001</v>
      </c>
      <c r="J209">
        <v>778.2600000000001</v>
      </c>
    </row>
    <row r="210" spans="1:10" x14ac:dyDescent="0.3">
      <c r="A210" t="s">
        <v>974</v>
      </c>
      <c r="B210" t="s">
        <v>603</v>
      </c>
      <c r="C210" t="s">
        <v>496</v>
      </c>
      <c r="D210" t="s">
        <v>1118</v>
      </c>
      <c r="E210" t="s">
        <v>1119</v>
      </c>
      <c r="F210">
        <v>-400.27</v>
      </c>
      <c r="G210">
        <v>0</v>
      </c>
      <c r="H210">
        <v>165.11</v>
      </c>
      <c r="I210">
        <v>-565.38</v>
      </c>
      <c r="J210">
        <v>565.38</v>
      </c>
    </row>
    <row r="211" spans="1:10" x14ac:dyDescent="0.3">
      <c r="A211" t="s">
        <v>974</v>
      </c>
      <c r="B211" t="s">
        <v>603</v>
      </c>
      <c r="C211" t="s">
        <v>496</v>
      </c>
      <c r="D211" t="s">
        <v>1120</v>
      </c>
      <c r="E211" t="s">
        <v>811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 x14ac:dyDescent="0.3">
      <c r="A212" t="s">
        <v>974</v>
      </c>
      <c r="B212" t="s">
        <v>603</v>
      </c>
      <c r="C212" t="s">
        <v>496</v>
      </c>
      <c r="D212" t="s">
        <v>1060</v>
      </c>
      <c r="E212" t="s">
        <v>1061</v>
      </c>
      <c r="F212">
        <v>25973.58</v>
      </c>
      <c r="G212">
        <v>12984.91</v>
      </c>
      <c r="H212">
        <v>0</v>
      </c>
      <c r="I212">
        <v>38958.490000000013</v>
      </c>
      <c r="J212">
        <v>38958.490000000013</v>
      </c>
    </row>
    <row r="213" spans="1:10" x14ac:dyDescent="0.3">
      <c r="A213" t="s">
        <v>974</v>
      </c>
      <c r="B213" t="s">
        <v>603</v>
      </c>
      <c r="C213" t="s">
        <v>496</v>
      </c>
      <c r="D213" t="s">
        <v>1062</v>
      </c>
      <c r="E213" t="s">
        <v>1063</v>
      </c>
      <c r="F213">
        <v>8502.4599999999991</v>
      </c>
      <c r="G213">
        <v>4650</v>
      </c>
      <c r="H213">
        <v>0</v>
      </c>
      <c r="I213">
        <v>13152.46</v>
      </c>
      <c r="J213">
        <v>13152.46</v>
      </c>
    </row>
    <row r="214" spans="1:10" x14ac:dyDescent="0.3">
      <c r="A214" t="s">
        <v>974</v>
      </c>
      <c r="B214" t="s">
        <v>603</v>
      </c>
      <c r="C214" t="s">
        <v>496</v>
      </c>
      <c r="D214" t="s">
        <v>1064</v>
      </c>
      <c r="E214" t="s">
        <v>1065</v>
      </c>
      <c r="F214">
        <v>4024.05</v>
      </c>
      <c r="G214">
        <v>0</v>
      </c>
      <c r="H214">
        <v>0</v>
      </c>
      <c r="I214">
        <v>4024.05</v>
      </c>
      <c r="J214">
        <v>4024.05</v>
      </c>
    </row>
    <row r="215" spans="1:10" x14ac:dyDescent="0.3">
      <c r="A215" t="s">
        <v>974</v>
      </c>
      <c r="B215" t="s">
        <v>603</v>
      </c>
      <c r="C215" t="s">
        <v>496</v>
      </c>
      <c r="D215" t="s">
        <v>1066</v>
      </c>
      <c r="E215" t="s">
        <v>1067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 x14ac:dyDescent="0.3">
      <c r="A216" t="s">
        <v>974</v>
      </c>
      <c r="B216" t="s">
        <v>603</v>
      </c>
      <c r="C216" t="s">
        <v>496</v>
      </c>
      <c r="D216" t="s">
        <v>1068</v>
      </c>
      <c r="E216" t="s">
        <v>568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 x14ac:dyDescent="0.3">
      <c r="A217" t="s">
        <v>974</v>
      </c>
      <c r="B217" t="s">
        <v>603</v>
      </c>
      <c r="C217" t="s">
        <v>496</v>
      </c>
      <c r="D217" t="s">
        <v>1069</v>
      </c>
      <c r="E217" t="s">
        <v>1070</v>
      </c>
      <c r="F217">
        <v>9247.5800000000017</v>
      </c>
      <c r="G217">
        <v>20</v>
      </c>
      <c r="H217">
        <v>0</v>
      </c>
      <c r="I217">
        <v>9267.5800000000017</v>
      </c>
      <c r="J217">
        <v>9267.5800000000017</v>
      </c>
    </row>
    <row r="218" spans="1:10" x14ac:dyDescent="0.3">
      <c r="A218" t="s">
        <v>974</v>
      </c>
      <c r="B218" t="s">
        <v>603</v>
      </c>
      <c r="C218" t="s">
        <v>496</v>
      </c>
      <c r="D218" t="s">
        <v>1071</v>
      </c>
      <c r="E218" t="s">
        <v>1072</v>
      </c>
      <c r="F218">
        <v>153.6</v>
      </c>
      <c r="G218">
        <v>160.88</v>
      </c>
      <c r="H218">
        <v>0</v>
      </c>
      <c r="I218">
        <v>314.48</v>
      </c>
      <c r="J218">
        <v>314.48</v>
      </c>
    </row>
    <row r="219" spans="1:10" x14ac:dyDescent="0.3">
      <c r="A219" t="s">
        <v>974</v>
      </c>
      <c r="B219" t="s">
        <v>603</v>
      </c>
      <c r="C219" t="s">
        <v>496</v>
      </c>
      <c r="D219" t="s">
        <v>1073</v>
      </c>
      <c r="E219" t="s">
        <v>1074</v>
      </c>
      <c r="F219">
        <v>57.32</v>
      </c>
      <c r="G219">
        <v>0</v>
      </c>
      <c r="H219">
        <v>0</v>
      </c>
      <c r="I219">
        <v>57.32</v>
      </c>
      <c r="J219">
        <v>57.32</v>
      </c>
    </row>
    <row r="220" spans="1:10" x14ac:dyDescent="0.3">
      <c r="A220" t="s">
        <v>974</v>
      </c>
      <c r="B220" t="s">
        <v>603</v>
      </c>
      <c r="C220" t="s">
        <v>496</v>
      </c>
      <c r="D220" t="s">
        <v>1075</v>
      </c>
      <c r="E220" t="s">
        <v>1076</v>
      </c>
      <c r="F220">
        <v>213.94</v>
      </c>
      <c r="G220">
        <v>38.21</v>
      </c>
      <c r="H220">
        <v>0</v>
      </c>
      <c r="I220">
        <v>252.15</v>
      </c>
      <c r="J220">
        <v>252.15</v>
      </c>
    </row>
    <row r="221" spans="1:10" x14ac:dyDescent="0.3">
      <c r="A221" t="s">
        <v>974</v>
      </c>
      <c r="B221" t="s">
        <v>603</v>
      </c>
      <c r="C221" t="s">
        <v>496</v>
      </c>
      <c r="D221" t="s">
        <v>1077</v>
      </c>
      <c r="E221" t="s">
        <v>1078</v>
      </c>
      <c r="F221">
        <v>773.99</v>
      </c>
      <c r="G221">
        <v>0</v>
      </c>
      <c r="H221">
        <v>0</v>
      </c>
      <c r="I221">
        <v>773.99</v>
      </c>
      <c r="J221">
        <v>773.99</v>
      </c>
    </row>
    <row r="222" spans="1:10" x14ac:dyDescent="0.3">
      <c r="A222" t="s">
        <v>974</v>
      </c>
      <c r="B222" t="s">
        <v>603</v>
      </c>
      <c r="C222" t="s">
        <v>496</v>
      </c>
      <c r="D222" t="s">
        <v>1079</v>
      </c>
      <c r="E222" t="s">
        <v>1080</v>
      </c>
      <c r="F222">
        <v>117.68</v>
      </c>
      <c r="G222">
        <v>0</v>
      </c>
      <c r="H222">
        <v>0</v>
      </c>
      <c r="I222">
        <v>117.68</v>
      </c>
      <c r="J222">
        <v>117.68</v>
      </c>
    </row>
    <row r="223" spans="1:10" x14ac:dyDescent="0.3">
      <c r="A223" t="s">
        <v>974</v>
      </c>
      <c r="B223" t="s">
        <v>603</v>
      </c>
      <c r="C223" t="s">
        <v>496</v>
      </c>
      <c r="D223" t="s">
        <v>1081</v>
      </c>
      <c r="E223" t="s">
        <v>1082</v>
      </c>
      <c r="F223">
        <v>2582.96</v>
      </c>
      <c r="G223">
        <v>1113.3699999999999</v>
      </c>
      <c r="H223">
        <v>0</v>
      </c>
      <c r="I223">
        <v>3696.33</v>
      </c>
      <c r="J223">
        <v>3696.33</v>
      </c>
    </row>
    <row r="224" spans="1:10" x14ac:dyDescent="0.3">
      <c r="A224" t="s">
        <v>974</v>
      </c>
      <c r="B224" t="s">
        <v>603</v>
      </c>
      <c r="C224" t="s">
        <v>496</v>
      </c>
      <c r="D224" t="s">
        <v>1083</v>
      </c>
      <c r="E224" t="s">
        <v>1084</v>
      </c>
      <c r="F224">
        <v>22.75</v>
      </c>
      <c r="G224">
        <v>35</v>
      </c>
      <c r="H224">
        <v>0</v>
      </c>
      <c r="I224">
        <v>57.75</v>
      </c>
      <c r="J224">
        <v>57.75</v>
      </c>
    </row>
    <row r="225" spans="1:10" x14ac:dyDescent="0.3">
      <c r="A225" t="s">
        <v>974</v>
      </c>
      <c r="B225" t="s">
        <v>603</v>
      </c>
      <c r="C225" t="s">
        <v>496</v>
      </c>
      <c r="D225" t="s">
        <v>1048</v>
      </c>
      <c r="E225" t="s">
        <v>1049</v>
      </c>
      <c r="F225">
        <v>-27332.6</v>
      </c>
      <c r="G225">
        <v>0</v>
      </c>
      <c r="H225">
        <v>5664.45</v>
      </c>
      <c r="I225">
        <v>-32997.050000000003</v>
      </c>
      <c r="J225">
        <v>32997.050000000003</v>
      </c>
    </row>
    <row r="226" spans="1:10" x14ac:dyDescent="0.3">
      <c r="A226" t="s">
        <v>974</v>
      </c>
      <c r="B226" t="s">
        <v>603</v>
      </c>
      <c r="C226" t="s">
        <v>496</v>
      </c>
      <c r="D226" t="s">
        <v>1095</v>
      </c>
      <c r="E226" t="s">
        <v>1096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 x14ac:dyDescent="0.3">
      <c r="A227" t="s">
        <v>974</v>
      </c>
      <c r="B227" t="s">
        <v>603</v>
      </c>
      <c r="C227" t="s">
        <v>496</v>
      </c>
      <c r="D227" t="s">
        <v>1097</v>
      </c>
      <c r="E227" t="s">
        <v>1098</v>
      </c>
      <c r="F227">
        <v>400</v>
      </c>
      <c r="G227">
        <v>0</v>
      </c>
      <c r="H227">
        <v>0</v>
      </c>
      <c r="I227">
        <v>400</v>
      </c>
      <c r="J227">
        <v>400</v>
      </c>
    </row>
    <row r="228" spans="1:10" x14ac:dyDescent="0.3">
      <c r="A228" t="s">
        <v>974</v>
      </c>
      <c r="B228" t="s">
        <v>603</v>
      </c>
      <c r="C228" t="s">
        <v>496</v>
      </c>
      <c r="D228" t="s">
        <v>1099</v>
      </c>
      <c r="E228" t="s">
        <v>1100</v>
      </c>
      <c r="F228">
        <v>4148</v>
      </c>
      <c r="G228">
        <v>0</v>
      </c>
      <c r="H228">
        <v>0</v>
      </c>
      <c r="I228">
        <v>4148</v>
      </c>
      <c r="J228">
        <v>4148</v>
      </c>
    </row>
    <row r="229" spans="1:10" x14ac:dyDescent="0.3">
      <c r="A229" t="s">
        <v>974</v>
      </c>
      <c r="B229" t="s">
        <v>603</v>
      </c>
      <c r="C229" t="s">
        <v>496</v>
      </c>
      <c r="D229" t="s">
        <v>1101</v>
      </c>
      <c r="E229" t="s">
        <v>1102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 x14ac:dyDescent="0.3">
      <c r="A230" t="s">
        <v>974</v>
      </c>
      <c r="B230" t="s">
        <v>603</v>
      </c>
      <c r="C230" t="s">
        <v>496</v>
      </c>
      <c r="D230" t="s">
        <v>1103</v>
      </c>
      <c r="E230" t="s">
        <v>1104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 x14ac:dyDescent="0.3">
      <c r="A231" t="s">
        <v>974</v>
      </c>
      <c r="B231" t="s">
        <v>603</v>
      </c>
      <c r="C231" t="s">
        <v>496</v>
      </c>
      <c r="D231" t="s">
        <v>1105</v>
      </c>
      <c r="E231" t="s">
        <v>1106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 x14ac:dyDescent="0.3">
      <c r="A232" t="s">
        <v>974</v>
      </c>
      <c r="B232" t="s">
        <v>624</v>
      </c>
      <c r="C232" t="s">
        <v>496</v>
      </c>
      <c r="D232" t="s">
        <v>980</v>
      </c>
      <c r="E232" t="s">
        <v>926</v>
      </c>
      <c r="F232">
        <v>314459.38</v>
      </c>
      <c r="G232">
        <v>5666.88</v>
      </c>
      <c r="H232">
        <v>17794.63</v>
      </c>
      <c r="I232">
        <v>302331.63</v>
      </c>
      <c r="J232">
        <v>302331.63</v>
      </c>
    </row>
    <row r="233" spans="1:10" x14ac:dyDescent="0.3">
      <c r="A233" t="s">
        <v>974</v>
      </c>
      <c r="B233" t="s">
        <v>624</v>
      </c>
      <c r="C233" t="s">
        <v>496</v>
      </c>
      <c r="D233" t="s">
        <v>983</v>
      </c>
      <c r="E233" t="s">
        <v>984</v>
      </c>
      <c r="F233">
        <v>6019.8</v>
      </c>
      <c r="G233">
        <v>6013.45</v>
      </c>
      <c r="H233">
        <v>5964.45</v>
      </c>
      <c r="I233">
        <v>6068.8</v>
      </c>
      <c r="J233">
        <v>6068.8</v>
      </c>
    </row>
    <row r="234" spans="1:10" x14ac:dyDescent="0.3">
      <c r="A234" t="s">
        <v>974</v>
      </c>
      <c r="B234" t="s">
        <v>624</v>
      </c>
      <c r="C234" t="s">
        <v>496</v>
      </c>
      <c r="D234" t="s">
        <v>985</v>
      </c>
      <c r="E234" t="s">
        <v>986</v>
      </c>
      <c r="F234">
        <v>-300</v>
      </c>
      <c r="G234">
        <v>300</v>
      </c>
      <c r="H234">
        <v>0</v>
      </c>
      <c r="I234">
        <v>0</v>
      </c>
      <c r="J234">
        <v>0</v>
      </c>
    </row>
    <row r="235" spans="1:10" x14ac:dyDescent="0.3">
      <c r="A235" t="s">
        <v>974</v>
      </c>
      <c r="B235" t="s">
        <v>624</v>
      </c>
      <c r="C235" t="s">
        <v>496</v>
      </c>
      <c r="D235" t="s">
        <v>987</v>
      </c>
      <c r="E235" t="s">
        <v>988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 x14ac:dyDescent="0.3">
      <c r="A236" t="s">
        <v>974</v>
      </c>
      <c r="B236" t="s">
        <v>624</v>
      </c>
      <c r="C236" t="s">
        <v>496</v>
      </c>
      <c r="D236" t="s">
        <v>989</v>
      </c>
      <c r="E236" t="s">
        <v>990</v>
      </c>
      <c r="F236">
        <v>610851.66999999993</v>
      </c>
      <c r="G236">
        <v>5560</v>
      </c>
      <c r="H236">
        <v>0</v>
      </c>
      <c r="I236">
        <v>616411.66999999993</v>
      </c>
      <c r="J236">
        <v>616411.66999999993</v>
      </c>
    </row>
    <row r="237" spans="1:10" x14ac:dyDescent="0.3">
      <c r="A237" t="s">
        <v>974</v>
      </c>
      <c r="B237" t="s">
        <v>624</v>
      </c>
      <c r="C237" t="s">
        <v>496</v>
      </c>
      <c r="D237" t="s">
        <v>995</v>
      </c>
      <c r="E237" t="s">
        <v>996</v>
      </c>
      <c r="F237">
        <v>8817.2199999999993</v>
      </c>
      <c r="G237">
        <v>0</v>
      </c>
      <c r="H237">
        <v>0</v>
      </c>
      <c r="I237">
        <v>8817.2199999999993</v>
      </c>
      <c r="J237">
        <v>8817.2199999999993</v>
      </c>
    </row>
    <row r="238" spans="1:10" x14ac:dyDescent="0.3">
      <c r="A238" t="s">
        <v>974</v>
      </c>
      <c r="B238" t="s">
        <v>624</v>
      </c>
      <c r="C238" t="s">
        <v>496</v>
      </c>
      <c r="D238" t="s">
        <v>997</v>
      </c>
      <c r="E238" t="s">
        <v>998</v>
      </c>
      <c r="F238">
        <v>-4924</v>
      </c>
      <c r="G238">
        <v>0</v>
      </c>
      <c r="H238">
        <v>0</v>
      </c>
      <c r="I238">
        <v>-4924</v>
      </c>
      <c r="J238">
        <v>-4924</v>
      </c>
    </row>
    <row r="239" spans="1:10" x14ac:dyDescent="0.3">
      <c r="A239" t="s">
        <v>974</v>
      </c>
      <c r="B239" t="s">
        <v>624</v>
      </c>
      <c r="C239" t="s">
        <v>496</v>
      </c>
      <c r="D239" t="s">
        <v>1028</v>
      </c>
      <c r="E239" t="s">
        <v>1029</v>
      </c>
      <c r="F239">
        <v>-383868</v>
      </c>
      <c r="G239">
        <v>0</v>
      </c>
      <c r="H239">
        <v>0</v>
      </c>
      <c r="I239">
        <v>-383868</v>
      </c>
      <c r="J239">
        <v>383868</v>
      </c>
    </row>
    <row r="240" spans="1:10" x14ac:dyDescent="0.3">
      <c r="A240" t="s">
        <v>974</v>
      </c>
      <c r="B240" t="s">
        <v>624</v>
      </c>
      <c r="C240" t="s">
        <v>496</v>
      </c>
      <c r="D240" t="s">
        <v>1031</v>
      </c>
      <c r="E240" t="s">
        <v>1032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 x14ac:dyDescent="0.3">
      <c r="A241" t="s">
        <v>974</v>
      </c>
      <c r="B241" t="s">
        <v>624</v>
      </c>
      <c r="C241" t="s">
        <v>496</v>
      </c>
      <c r="D241" t="s">
        <v>1033</v>
      </c>
      <c r="E241" t="s">
        <v>1034</v>
      </c>
      <c r="F241">
        <v>-13042.5</v>
      </c>
      <c r="G241">
        <v>0</v>
      </c>
      <c r="H241">
        <v>0</v>
      </c>
      <c r="I241">
        <v>-13042.5</v>
      </c>
      <c r="J241">
        <v>13042.5</v>
      </c>
    </row>
    <row r="242" spans="1:10" x14ac:dyDescent="0.3">
      <c r="A242" t="s">
        <v>974</v>
      </c>
      <c r="B242" t="s">
        <v>624</v>
      </c>
      <c r="C242" t="s">
        <v>496</v>
      </c>
      <c r="D242" t="s">
        <v>1006</v>
      </c>
      <c r="E242" t="s">
        <v>1007</v>
      </c>
      <c r="F242">
        <v>-106.93</v>
      </c>
      <c r="G242">
        <v>714.65</v>
      </c>
      <c r="H242">
        <v>607.72</v>
      </c>
      <c r="I242">
        <v>0</v>
      </c>
      <c r="J242">
        <v>0</v>
      </c>
    </row>
    <row r="243" spans="1:10" x14ac:dyDescent="0.3">
      <c r="A243" t="s">
        <v>974</v>
      </c>
      <c r="B243" t="s">
        <v>624</v>
      </c>
      <c r="C243" t="s">
        <v>496</v>
      </c>
      <c r="D243" t="s">
        <v>1008</v>
      </c>
      <c r="E243" t="s">
        <v>1009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 x14ac:dyDescent="0.3">
      <c r="A244" t="s">
        <v>974</v>
      </c>
      <c r="B244" t="s">
        <v>624</v>
      </c>
      <c r="C244" t="s">
        <v>496</v>
      </c>
      <c r="D244" t="s">
        <v>1010</v>
      </c>
      <c r="E244" t="s">
        <v>1011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 x14ac:dyDescent="0.3">
      <c r="A245" t="s">
        <v>974</v>
      </c>
      <c r="B245" t="s">
        <v>624</v>
      </c>
      <c r="C245" t="s">
        <v>496</v>
      </c>
      <c r="D245" t="s">
        <v>1012</v>
      </c>
      <c r="E245" t="s">
        <v>1013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 x14ac:dyDescent="0.3">
      <c r="A246" t="s">
        <v>974</v>
      </c>
      <c r="B246" t="s">
        <v>624</v>
      </c>
      <c r="C246" t="s">
        <v>496</v>
      </c>
      <c r="D246" t="s">
        <v>1016</v>
      </c>
      <c r="E246" t="s">
        <v>1017</v>
      </c>
      <c r="F246">
        <v>-580342.75</v>
      </c>
      <c r="G246">
        <v>0</v>
      </c>
      <c r="H246">
        <v>0</v>
      </c>
      <c r="I246">
        <v>-580342.75</v>
      </c>
      <c r="J246">
        <v>580342.75</v>
      </c>
    </row>
    <row r="247" spans="1:10" x14ac:dyDescent="0.3">
      <c r="A247" t="s">
        <v>974</v>
      </c>
      <c r="B247" t="s">
        <v>624</v>
      </c>
      <c r="C247" t="s">
        <v>496</v>
      </c>
      <c r="D247" t="s">
        <v>1123</v>
      </c>
      <c r="E247" t="s">
        <v>717</v>
      </c>
      <c r="F247">
        <v>778.2600000000001</v>
      </c>
      <c r="G247">
        <v>134.28</v>
      </c>
      <c r="H247">
        <v>0</v>
      </c>
      <c r="I247">
        <v>912.54</v>
      </c>
      <c r="J247">
        <v>912.54</v>
      </c>
    </row>
    <row r="248" spans="1:10" x14ac:dyDescent="0.3">
      <c r="A248" t="s">
        <v>974</v>
      </c>
      <c r="B248" t="s">
        <v>624</v>
      </c>
      <c r="C248" t="s">
        <v>496</v>
      </c>
      <c r="D248" t="s">
        <v>1118</v>
      </c>
      <c r="E248" t="s">
        <v>1119</v>
      </c>
      <c r="F248">
        <v>-565.38</v>
      </c>
      <c r="G248">
        <v>0</v>
      </c>
      <c r="H248">
        <v>10.76</v>
      </c>
      <c r="I248">
        <v>-576.14</v>
      </c>
      <c r="J248">
        <v>576.14</v>
      </c>
    </row>
    <row r="249" spans="1:10" x14ac:dyDescent="0.3">
      <c r="A249" t="s">
        <v>974</v>
      </c>
      <c r="B249" t="s">
        <v>624</v>
      </c>
      <c r="C249" t="s">
        <v>496</v>
      </c>
      <c r="D249" t="s">
        <v>1120</v>
      </c>
      <c r="E249" t="s">
        <v>811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 x14ac:dyDescent="0.3">
      <c r="A250" t="s">
        <v>974</v>
      </c>
      <c r="B250" t="s">
        <v>624</v>
      </c>
      <c r="C250" t="s">
        <v>496</v>
      </c>
      <c r="D250" t="s">
        <v>1060</v>
      </c>
      <c r="E250" t="s">
        <v>1061</v>
      </c>
      <c r="F250">
        <v>38958.490000000013</v>
      </c>
      <c r="G250">
        <v>3229.5</v>
      </c>
      <c r="H250">
        <v>0</v>
      </c>
      <c r="I250">
        <v>42187.99</v>
      </c>
      <c r="J250">
        <v>42187.99</v>
      </c>
    </row>
    <row r="251" spans="1:10" x14ac:dyDescent="0.3">
      <c r="A251" t="s">
        <v>974</v>
      </c>
      <c r="B251" t="s">
        <v>624</v>
      </c>
      <c r="C251" t="s">
        <v>496</v>
      </c>
      <c r="D251" t="s">
        <v>1062</v>
      </c>
      <c r="E251" t="s">
        <v>1063</v>
      </c>
      <c r="F251">
        <v>13152.46</v>
      </c>
      <c r="G251">
        <v>8100</v>
      </c>
      <c r="H251">
        <v>0</v>
      </c>
      <c r="I251">
        <v>21252.46</v>
      </c>
      <c r="J251">
        <v>21252.46</v>
      </c>
    </row>
    <row r="252" spans="1:10" x14ac:dyDescent="0.3">
      <c r="A252" t="s">
        <v>974</v>
      </c>
      <c r="B252" t="s">
        <v>624</v>
      </c>
      <c r="C252" t="s">
        <v>496</v>
      </c>
      <c r="D252" t="s">
        <v>1064</v>
      </c>
      <c r="E252" t="s">
        <v>1065</v>
      </c>
      <c r="F252">
        <v>4024.05</v>
      </c>
      <c r="G252">
        <v>0</v>
      </c>
      <c r="H252">
        <v>0</v>
      </c>
      <c r="I252">
        <v>4024.05</v>
      </c>
      <c r="J252">
        <v>4024.05</v>
      </c>
    </row>
    <row r="253" spans="1:10" x14ac:dyDescent="0.3">
      <c r="A253" t="s">
        <v>974</v>
      </c>
      <c r="B253" t="s">
        <v>624</v>
      </c>
      <c r="C253" t="s">
        <v>496</v>
      </c>
      <c r="D253" t="s">
        <v>1066</v>
      </c>
      <c r="E253" t="s">
        <v>1067</v>
      </c>
      <c r="F253">
        <v>0</v>
      </c>
      <c r="G253">
        <v>85.06</v>
      </c>
      <c r="H253">
        <v>0</v>
      </c>
      <c r="I253">
        <v>85.06</v>
      </c>
      <c r="J253">
        <v>85.06</v>
      </c>
    </row>
    <row r="254" spans="1:10" x14ac:dyDescent="0.3">
      <c r="A254" t="s">
        <v>974</v>
      </c>
      <c r="B254" t="s">
        <v>624</v>
      </c>
      <c r="C254" t="s">
        <v>496</v>
      </c>
      <c r="D254" t="s">
        <v>1068</v>
      </c>
      <c r="E254" t="s">
        <v>568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 x14ac:dyDescent="0.3">
      <c r="A255" t="s">
        <v>974</v>
      </c>
      <c r="B255" t="s">
        <v>624</v>
      </c>
      <c r="C255" t="s">
        <v>496</v>
      </c>
      <c r="D255" t="s">
        <v>1069</v>
      </c>
      <c r="E255" t="s">
        <v>1070</v>
      </c>
      <c r="F255">
        <v>9267.5800000000017</v>
      </c>
      <c r="G255">
        <v>245</v>
      </c>
      <c r="H255">
        <v>0</v>
      </c>
      <c r="I255">
        <v>9512.5800000000017</v>
      </c>
      <c r="J255">
        <v>9512.5800000000017</v>
      </c>
    </row>
    <row r="256" spans="1:10" x14ac:dyDescent="0.3">
      <c r="A256" t="s">
        <v>974</v>
      </c>
      <c r="B256" t="s">
        <v>624</v>
      </c>
      <c r="C256" t="s">
        <v>496</v>
      </c>
      <c r="D256" t="s">
        <v>1071</v>
      </c>
      <c r="E256" t="s">
        <v>1072</v>
      </c>
      <c r="F256">
        <v>314.48</v>
      </c>
      <c r="G256">
        <v>164.53</v>
      </c>
      <c r="H256">
        <v>0</v>
      </c>
      <c r="I256">
        <v>479.01</v>
      </c>
      <c r="J256">
        <v>479.01</v>
      </c>
    </row>
    <row r="257" spans="1:10" x14ac:dyDescent="0.3">
      <c r="A257" t="s">
        <v>974</v>
      </c>
      <c r="B257" t="s">
        <v>624</v>
      </c>
      <c r="C257" t="s">
        <v>496</v>
      </c>
      <c r="D257" t="s">
        <v>1073</v>
      </c>
      <c r="E257" t="s">
        <v>1074</v>
      </c>
      <c r="F257">
        <v>57.32</v>
      </c>
      <c r="G257">
        <v>0</v>
      </c>
      <c r="H257">
        <v>0</v>
      </c>
      <c r="I257">
        <v>57.32</v>
      </c>
      <c r="J257">
        <v>57.32</v>
      </c>
    </row>
    <row r="258" spans="1:10" x14ac:dyDescent="0.3">
      <c r="A258" t="s">
        <v>974</v>
      </c>
      <c r="B258" t="s">
        <v>624</v>
      </c>
      <c r="C258" t="s">
        <v>496</v>
      </c>
      <c r="D258" t="s">
        <v>1075</v>
      </c>
      <c r="E258" t="s">
        <v>1076</v>
      </c>
      <c r="F258">
        <v>252.15</v>
      </c>
      <c r="G258">
        <v>0</v>
      </c>
      <c r="H258">
        <v>0</v>
      </c>
      <c r="I258">
        <v>252.15</v>
      </c>
      <c r="J258">
        <v>252.15</v>
      </c>
    </row>
    <row r="259" spans="1:10" x14ac:dyDescent="0.3">
      <c r="A259" t="s">
        <v>974</v>
      </c>
      <c r="B259" t="s">
        <v>624</v>
      </c>
      <c r="C259" t="s">
        <v>496</v>
      </c>
      <c r="D259" t="s">
        <v>1077</v>
      </c>
      <c r="E259" t="s">
        <v>1078</v>
      </c>
      <c r="F259">
        <v>773.99</v>
      </c>
      <c r="G259">
        <v>0</v>
      </c>
      <c r="H259">
        <v>0</v>
      </c>
      <c r="I259">
        <v>773.99</v>
      </c>
      <c r="J259">
        <v>773.99</v>
      </c>
    </row>
    <row r="260" spans="1:10" x14ac:dyDescent="0.3">
      <c r="A260" t="s">
        <v>974</v>
      </c>
      <c r="B260" t="s">
        <v>624</v>
      </c>
      <c r="C260" t="s">
        <v>496</v>
      </c>
      <c r="D260" t="s">
        <v>1079</v>
      </c>
      <c r="E260" t="s">
        <v>1080</v>
      </c>
      <c r="F260">
        <v>117.68</v>
      </c>
      <c r="G260">
        <v>0</v>
      </c>
      <c r="H260">
        <v>0</v>
      </c>
      <c r="I260">
        <v>117.68</v>
      </c>
      <c r="J260">
        <v>117.68</v>
      </c>
    </row>
    <row r="261" spans="1:10" x14ac:dyDescent="0.3">
      <c r="A261" t="s">
        <v>974</v>
      </c>
      <c r="B261" t="s">
        <v>624</v>
      </c>
      <c r="C261" t="s">
        <v>496</v>
      </c>
      <c r="D261" t="s">
        <v>1081</v>
      </c>
      <c r="E261" t="s">
        <v>1082</v>
      </c>
      <c r="F261">
        <v>3696.33</v>
      </c>
      <c r="G261">
        <v>177.66</v>
      </c>
      <c r="H261">
        <v>0</v>
      </c>
      <c r="I261">
        <v>3873.99</v>
      </c>
      <c r="J261">
        <v>3873.99</v>
      </c>
    </row>
    <row r="262" spans="1:10" x14ac:dyDescent="0.3">
      <c r="A262" t="s">
        <v>974</v>
      </c>
      <c r="B262" t="s">
        <v>624</v>
      </c>
      <c r="C262" t="s">
        <v>496</v>
      </c>
      <c r="D262" t="s">
        <v>1083</v>
      </c>
      <c r="E262" t="s">
        <v>1084</v>
      </c>
      <c r="F262">
        <v>57.75</v>
      </c>
      <c r="G262">
        <v>0</v>
      </c>
      <c r="H262">
        <v>0</v>
      </c>
      <c r="I262">
        <v>57.75</v>
      </c>
      <c r="J262">
        <v>57.75</v>
      </c>
    </row>
    <row r="263" spans="1:10" x14ac:dyDescent="0.3">
      <c r="A263" t="s">
        <v>974</v>
      </c>
      <c r="B263" t="s">
        <v>624</v>
      </c>
      <c r="C263" t="s">
        <v>496</v>
      </c>
      <c r="D263" t="s">
        <v>1048</v>
      </c>
      <c r="E263" t="s">
        <v>1049</v>
      </c>
      <c r="F263">
        <v>-32997.050000000003</v>
      </c>
      <c r="G263">
        <v>0</v>
      </c>
      <c r="H263">
        <v>6013.45</v>
      </c>
      <c r="I263">
        <v>-39010.5</v>
      </c>
      <c r="J263">
        <v>39010.5</v>
      </c>
    </row>
    <row r="264" spans="1:10" x14ac:dyDescent="0.3">
      <c r="A264" t="s">
        <v>974</v>
      </c>
      <c r="B264" t="s">
        <v>624</v>
      </c>
      <c r="C264" t="s">
        <v>496</v>
      </c>
      <c r="D264" t="s">
        <v>1095</v>
      </c>
      <c r="E264" t="s">
        <v>1096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 x14ac:dyDescent="0.3">
      <c r="A265" t="s">
        <v>974</v>
      </c>
      <c r="B265" t="s">
        <v>624</v>
      </c>
      <c r="C265" t="s">
        <v>496</v>
      </c>
      <c r="D265" t="s">
        <v>1097</v>
      </c>
      <c r="E265" t="s">
        <v>1098</v>
      </c>
      <c r="F265">
        <v>400</v>
      </c>
      <c r="G265">
        <v>0</v>
      </c>
      <c r="H265">
        <v>0</v>
      </c>
      <c r="I265">
        <v>400</v>
      </c>
      <c r="J265">
        <v>400</v>
      </c>
    </row>
    <row r="266" spans="1:10" x14ac:dyDescent="0.3">
      <c r="A266" t="s">
        <v>974</v>
      </c>
      <c r="B266" t="s">
        <v>624</v>
      </c>
      <c r="C266" t="s">
        <v>496</v>
      </c>
      <c r="D266" t="s">
        <v>1099</v>
      </c>
      <c r="E266" t="s">
        <v>1100</v>
      </c>
      <c r="F266">
        <v>4148</v>
      </c>
      <c r="G266">
        <v>0</v>
      </c>
      <c r="H266">
        <v>0</v>
      </c>
      <c r="I266">
        <v>4148</v>
      </c>
      <c r="J266">
        <v>4148</v>
      </c>
    </row>
    <row r="267" spans="1:10" x14ac:dyDescent="0.3">
      <c r="A267" t="s">
        <v>974</v>
      </c>
      <c r="B267" t="s">
        <v>624</v>
      </c>
      <c r="C267" t="s">
        <v>496</v>
      </c>
      <c r="D267" t="s">
        <v>1101</v>
      </c>
      <c r="E267" t="s">
        <v>1102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 x14ac:dyDescent="0.3">
      <c r="A268" t="s">
        <v>974</v>
      </c>
      <c r="B268" t="s">
        <v>624</v>
      </c>
      <c r="C268" t="s">
        <v>496</v>
      </c>
      <c r="D268" t="s">
        <v>1103</v>
      </c>
      <c r="E268" t="s">
        <v>1104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 x14ac:dyDescent="0.3">
      <c r="A269" t="s">
        <v>974</v>
      </c>
      <c r="B269" t="s">
        <v>624</v>
      </c>
      <c r="C269" t="s">
        <v>496</v>
      </c>
      <c r="D269" t="s">
        <v>1105</v>
      </c>
      <c r="E269" t="s">
        <v>1106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 x14ac:dyDescent="0.3">
      <c r="A270" t="s">
        <v>975</v>
      </c>
      <c r="B270" t="s">
        <v>549</v>
      </c>
      <c r="C270" t="s">
        <v>686</v>
      </c>
      <c r="D270" t="s">
        <v>980</v>
      </c>
      <c r="E270" t="s">
        <v>926</v>
      </c>
      <c r="F270">
        <v>0</v>
      </c>
      <c r="G270">
        <v>43741.100000000013</v>
      </c>
      <c r="H270">
        <v>19900.71</v>
      </c>
      <c r="I270">
        <v>23840.39</v>
      </c>
      <c r="J270">
        <v>23840.39</v>
      </c>
    </row>
    <row r="271" spans="1:10" x14ac:dyDescent="0.3">
      <c r="A271" t="s">
        <v>975</v>
      </c>
      <c r="B271" t="s">
        <v>549</v>
      </c>
      <c r="C271" t="s">
        <v>686</v>
      </c>
      <c r="D271" t="s">
        <v>983</v>
      </c>
      <c r="E271" t="s">
        <v>984</v>
      </c>
      <c r="F271">
        <v>0</v>
      </c>
      <c r="G271">
        <v>7520.8</v>
      </c>
      <c r="H271">
        <v>0</v>
      </c>
      <c r="I271">
        <v>7520.8</v>
      </c>
      <c r="J271">
        <v>7520.8</v>
      </c>
    </row>
    <row r="272" spans="1:10" x14ac:dyDescent="0.3">
      <c r="A272" t="s">
        <v>975</v>
      </c>
      <c r="B272" t="s">
        <v>549</v>
      </c>
      <c r="C272" t="s">
        <v>686</v>
      </c>
      <c r="D272" t="s">
        <v>985</v>
      </c>
      <c r="E272" t="s">
        <v>986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 x14ac:dyDescent="0.3">
      <c r="A273" t="s">
        <v>975</v>
      </c>
      <c r="B273" t="s">
        <v>549</v>
      </c>
      <c r="C273" t="s">
        <v>686</v>
      </c>
      <c r="D273" t="s">
        <v>987</v>
      </c>
      <c r="E273" t="s">
        <v>988</v>
      </c>
      <c r="F273">
        <v>0</v>
      </c>
      <c r="G273">
        <v>1586.14</v>
      </c>
      <c r="H273">
        <v>984.16</v>
      </c>
      <c r="I273">
        <v>601.98000000000013</v>
      </c>
      <c r="J273">
        <v>601.98000000000013</v>
      </c>
    </row>
    <row r="274" spans="1:10" x14ac:dyDescent="0.3">
      <c r="A274" t="s">
        <v>975</v>
      </c>
      <c r="B274" t="s">
        <v>549</v>
      </c>
      <c r="C274" t="s">
        <v>686</v>
      </c>
      <c r="D274" t="s">
        <v>989</v>
      </c>
      <c r="E274" t="s">
        <v>990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 x14ac:dyDescent="0.3">
      <c r="A275" t="s">
        <v>975</v>
      </c>
      <c r="B275" t="s">
        <v>549</v>
      </c>
      <c r="C275" t="s">
        <v>686</v>
      </c>
      <c r="D275" t="s">
        <v>995</v>
      </c>
      <c r="E275" t="s">
        <v>996</v>
      </c>
      <c r="F275">
        <v>0</v>
      </c>
      <c r="G275">
        <v>8811.86</v>
      </c>
      <c r="H275">
        <v>0</v>
      </c>
      <c r="I275">
        <v>8811.86</v>
      </c>
      <c r="J275">
        <v>8811.86</v>
      </c>
    </row>
    <row r="276" spans="1:10" x14ac:dyDescent="0.3">
      <c r="A276" t="s">
        <v>975</v>
      </c>
      <c r="B276" t="s">
        <v>549</v>
      </c>
      <c r="C276" t="s">
        <v>686</v>
      </c>
      <c r="D276" t="s">
        <v>997</v>
      </c>
      <c r="E276" t="s">
        <v>998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 x14ac:dyDescent="0.3">
      <c r="A277" t="s">
        <v>975</v>
      </c>
      <c r="B277" t="s">
        <v>549</v>
      </c>
      <c r="C277" t="s">
        <v>686</v>
      </c>
      <c r="D277" t="s">
        <v>1028</v>
      </c>
      <c r="E277" t="s">
        <v>1029</v>
      </c>
      <c r="F277">
        <v>0</v>
      </c>
      <c r="G277">
        <v>0</v>
      </c>
      <c r="H277">
        <v>14208.08</v>
      </c>
      <c r="I277">
        <v>-14208.08</v>
      </c>
      <c r="J277">
        <v>14208.08</v>
      </c>
    </row>
    <row r="278" spans="1:10" x14ac:dyDescent="0.3">
      <c r="A278" t="s">
        <v>975</v>
      </c>
      <c r="B278" t="s">
        <v>549</v>
      </c>
      <c r="C278" t="s">
        <v>686</v>
      </c>
      <c r="D278" t="s">
        <v>1031</v>
      </c>
      <c r="E278" t="s">
        <v>1032</v>
      </c>
      <c r="F278">
        <v>0</v>
      </c>
      <c r="G278">
        <v>0</v>
      </c>
      <c r="H278">
        <v>26659.66</v>
      </c>
      <c r="I278">
        <v>-26659.66</v>
      </c>
      <c r="J278">
        <v>26659.66</v>
      </c>
    </row>
    <row r="279" spans="1:10" x14ac:dyDescent="0.3">
      <c r="A279" t="s">
        <v>975</v>
      </c>
      <c r="B279" t="s">
        <v>549</v>
      </c>
      <c r="C279" t="s">
        <v>686</v>
      </c>
      <c r="D279" t="s">
        <v>1033</v>
      </c>
      <c r="E279" t="s">
        <v>1034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 x14ac:dyDescent="0.3">
      <c r="A280" t="s">
        <v>975</v>
      </c>
      <c r="B280" t="s">
        <v>549</v>
      </c>
      <c r="C280" t="s">
        <v>686</v>
      </c>
      <c r="D280" t="s">
        <v>1006</v>
      </c>
      <c r="E280" t="s">
        <v>1007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 x14ac:dyDescent="0.3">
      <c r="A281" t="s">
        <v>975</v>
      </c>
      <c r="B281" t="s">
        <v>549</v>
      </c>
      <c r="C281" t="s">
        <v>686</v>
      </c>
      <c r="D281" t="s">
        <v>1008</v>
      </c>
      <c r="E281" t="s">
        <v>1009</v>
      </c>
      <c r="F281">
        <v>0</v>
      </c>
      <c r="G281">
        <v>9410</v>
      </c>
      <c r="H281">
        <v>11537</v>
      </c>
      <c r="I281">
        <v>-2127</v>
      </c>
      <c r="J281">
        <v>2127</v>
      </c>
    </row>
    <row r="282" spans="1:10" x14ac:dyDescent="0.3">
      <c r="A282" t="s">
        <v>975</v>
      </c>
      <c r="B282" t="s">
        <v>549</v>
      </c>
      <c r="C282" t="s">
        <v>686</v>
      </c>
      <c r="D282" t="s">
        <v>1010</v>
      </c>
      <c r="E282" t="s">
        <v>1011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 x14ac:dyDescent="0.3">
      <c r="A283" t="s">
        <v>975</v>
      </c>
      <c r="B283" t="s">
        <v>549</v>
      </c>
      <c r="C283" t="s">
        <v>686</v>
      </c>
      <c r="D283" t="s">
        <v>1012</v>
      </c>
      <c r="E283" t="s">
        <v>1013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 x14ac:dyDescent="0.3">
      <c r="A284" t="s">
        <v>975</v>
      </c>
      <c r="B284" t="s">
        <v>549</v>
      </c>
      <c r="C284" t="s">
        <v>686</v>
      </c>
      <c r="D284" t="s">
        <v>1016</v>
      </c>
      <c r="E284" t="s">
        <v>1017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 x14ac:dyDescent="0.3">
      <c r="A285" t="s">
        <v>975</v>
      </c>
      <c r="B285" t="s">
        <v>549</v>
      </c>
      <c r="C285" t="s">
        <v>686</v>
      </c>
      <c r="D285" t="s">
        <v>1123</v>
      </c>
      <c r="E285" t="s">
        <v>717</v>
      </c>
      <c r="F285">
        <v>0</v>
      </c>
      <c r="G285">
        <v>92.710000000000008</v>
      </c>
      <c r="H285">
        <v>0</v>
      </c>
      <c r="I285">
        <v>92.710000000000008</v>
      </c>
      <c r="J285">
        <v>92.710000000000008</v>
      </c>
    </row>
    <row r="286" spans="1:10" x14ac:dyDescent="0.3">
      <c r="A286" t="s">
        <v>975</v>
      </c>
      <c r="B286" t="s">
        <v>549</v>
      </c>
      <c r="C286" t="s">
        <v>686</v>
      </c>
      <c r="D286" t="s">
        <v>1118</v>
      </c>
      <c r="E286" t="s">
        <v>1119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 x14ac:dyDescent="0.3">
      <c r="A287" t="s">
        <v>975</v>
      </c>
      <c r="B287" t="s">
        <v>549</v>
      </c>
      <c r="C287" t="s">
        <v>686</v>
      </c>
      <c r="D287" t="s">
        <v>1120</v>
      </c>
      <c r="E287" t="s">
        <v>811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 x14ac:dyDescent="0.3">
      <c r="A288" t="s">
        <v>975</v>
      </c>
      <c r="B288" t="s">
        <v>549</v>
      </c>
      <c r="C288" t="s">
        <v>686</v>
      </c>
      <c r="D288" t="s">
        <v>1060</v>
      </c>
      <c r="E288" t="s">
        <v>1061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 x14ac:dyDescent="0.3">
      <c r="A289" t="s">
        <v>975</v>
      </c>
      <c r="B289" t="s">
        <v>549</v>
      </c>
      <c r="C289" t="s">
        <v>686</v>
      </c>
      <c r="D289" t="s">
        <v>1062</v>
      </c>
      <c r="E289" t="s">
        <v>1063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 x14ac:dyDescent="0.3">
      <c r="A290" t="s">
        <v>975</v>
      </c>
      <c r="B290" t="s">
        <v>549</v>
      </c>
      <c r="C290" t="s">
        <v>686</v>
      </c>
      <c r="D290" t="s">
        <v>1064</v>
      </c>
      <c r="E290" t="s">
        <v>1065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 x14ac:dyDescent="0.3">
      <c r="A291" t="s">
        <v>975</v>
      </c>
      <c r="B291" t="s">
        <v>549</v>
      </c>
      <c r="C291" t="s">
        <v>686</v>
      </c>
      <c r="D291" t="s">
        <v>1066</v>
      </c>
      <c r="E291" t="s">
        <v>1067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 x14ac:dyDescent="0.3">
      <c r="A292" t="s">
        <v>975</v>
      </c>
      <c r="B292" t="s">
        <v>549</v>
      </c>
      <c r="C292" t="s">
        <v>686</v>
      </c>
      <c r="D292" t="s">
        <v>1068</v>
      </c>
      <c r="E292" t="s">
        <v>568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 x14ac:dyDescent="0.3">
      <c r="A293" t="s">
        <v>975</v>
      </c>
      <c r="B293" t="s">
        <v>549</v>
      </c>
      <c r="C293" t="s">
        <v>686</v>
      </c>
      <c r="D293" t="s">
        <v>1069</v>
      </c>
      <c r="E293" t="s">
        <v>1070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 x14ac:dyDescent="0.3">
      <c r="A294" t="s">
        <v>975</v>
      </c>
      <c r="B294" t="s">
        <v>549</v>
      </c>
      <c r="C294" t="s">
        <v>686</v>
      </c>
      <c r="D294" t="s">
        <v>1071</v>
      </c>
      <c r="E294" t="s">
        <v>1072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 x14ac:dyDescent="0.3">
      <c r="A295" t="s">
        <v>975</v>
      </c>
      <c r="B295" t="s">
        <v>549</v>
      </c>
      <c r="C295" t="s">
        <v>686</v>
      </c>
      <c r="D295" t="s">
        <v>1073</v>
      </c>
      <c r="E295" t="s">
        <v>1074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 x14ac:dyDescent="0.3">
      <c r="A296" t="s">
        <v>975</v>
      </c>
      <c r="B296" t="s">
        <v>549</v>
      </c>
      <c r="C296" t="s">
        <v>686</v>
      </c>
      <c r="D296" t="s">
        <v>1075</v>
      </c>
      <c r="E296" t="s">
        <v>1076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 x14ac:dyDescent="0.3">
      <c r="A297" t="s">
        <v>975</v>
      </c>
      <c r="B297" t="s">
        <v>549</v>
      </c>
      <c r="C297" t="s">
        <v>686</v>
      </c>
      <c r="D297" t="s">
        <v>1077</v>
      </c>
      <c r="E297" t="s">
        <v>1078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 x14ac:dyDescent="0.3">
      <c r="A298" t="s">
        <v>975</v>
      </c>
      <c r="B298" t="s">
        <v>549</v>
      </c>
      <c r="C298" t="s">
        <v>686</v>
      </c>
      <c r="D298" t="s">
        <v>1079</v>
      </c>
      <c r="E298" t="s">
        <v>1080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 x14ac:dyDescent="0.3">
      <c r="A299" t="s">
        <v>975</v>
      </c>
      <c r="B299" t="s">
        <v>549</v>
      </c>
      <c r="C299" t="s">
        <v>686</v>
      </c>
      <c r="D299" t="s">
        <v>1081</v>
      </c>
      <c r="E299" t="s">
        <v>1082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 x14ac:dyDescent="0.3">
      <c r="A300" t="s">
        <v>975</v>
      </c>
      <c r="B300" t="s">
        <v>549</v>
      </c>
      <c r="C300" t="s">
        <v>686</v>
      </c>
      <c r="D300" t="s">
        <v>1083</v>
      </c>
      <c r="E300" t="s">
        <v>1084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 x14ac:dyDescent="0.3">
      <c r="A301" t="s">
        <v>975</v>
      </c>
      <c r="B301" t="s">
        <v>549</v>
      </c>
      <c r="C301" t="s">
        <v>686</v>
      </c>
      <c r="D301" t="s">
        <v>1048</v>
      </c>
      <c r="E301" t="s">
        <v>1049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 x14ac:dyDescent="0.3">
      <c r="A302" t="s">
        <v>975</v>
      </c>
      <c r="B302" t="s">
        <v>549</v>
      </c>
      <c r="C302" t="s">
        <v>686</v>
      </c>
      <c r="D302" t="s">
        <v>1095</v>
      </c>
      <c r="E302" t="s">
        <v>1096</v>
      </c>
      <c r="F302">
        <v>0</v>
      </c>
      <c r="G302">
        <v>2127</v>
      </c>
      <c r="H302">
        <v>0</v>
      </c>
      <c r="I302">
        <v>2127</v>
      </c>
      <c r="J302">
        <v>2127</v>
      </c>
    </row>
    <row r="303" spans="1:10" x14ac:dyDescent="0.3">
      <c r="A303" t="s">
        <v>975</v>
      </c>
      <c r="B303" t="s">
        <v>549</v>
      </c>
      <c r="C303" t="s">
        <v>686</v>
      </c>
      <c r="D303" t="s">
        <v>1097</v>
      </c>
      <c r="E303" t="s">
        <v>1098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 x14ac:dyDescent="0.3">
      <c r="A304" t="s">
        <v>975</v>
      </c>
      <c r="B304" t="s">
        <v>549</v>
      </c>
      <c r="C304" t="s">
        <v>686</v>
      </c>
      <c r="D304" t="s">
        <v>1099</v>
      </c>
      <c r="E304" t="s">
        <v>1100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 x14ac:dyDescent="0.3">
      <c r="A305" t="s">
        <v>975</v>
      </c>
      <c r="B305" t="s">
        <v>549</v>
      </c>
      <c r="C305" t="s">
        <v>686</v>
      </c>
      <c r="D305" t="s">
        <v>1101</v>
      </c>
      <c r="E305" t="s">
        <v>1102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 x14ac:dyDescent="0.3">
      <c r="A306" t="s">
        <v>975</v>
      </c>
      <c r="B306" t="s">
        <v>549</v>
      </c>
      <c r="C306" t="s">
        <v>686</v>
      </c>
      <c r="D306" t="s">
        <v>1103</v>
      </c>
      <c r="E306" t="s">
        <v>1104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 x14ac:dyDescent="0.3">
      <c r="A307" t="s">
        <v>975</v>
      </c>
      <c r="B307" t="s">
        <v>549</v>
      </c>
      <c r="C307" t="s">
        <v>686</v>
      </c>
      <c r="D307" t="s">
        <v>1105</v>
      </c>
      <c r="E307" t="s">
        <v>1106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 x14ac:dyDescent="0.3">
      <c r="A308" t="s">
        <v>975</v>
      </c>
      <c r="B308" t="s">
        <v>551</v>
      </c>
      <c r="C308" t="s">
        <v>686</v>
      </c>
      <c r="D308" t="s">
        <v>980</v>
      </c>
      <c r="E308" t="s">
        <v>926</v>
      </c>
      <c r="F308">
        <v>23840.39</v>
      </c>
      <c r="G308">
        <v>67852.89</v>
      </c>
      <c r="H308">
        <v>94.4</v>
      </c>
      <c r="I308">
        <v>91598.87999999999</v>
      </c>
      <c r="J308">
        <v>91598.87999999999</v>
      </c>
    </row>
    <row r="309" spans="1:10" x14ac:dyDescent="0.3">
      <c r="A309" t="s">
        <v>975</v>
      </c>
      <c r="B309" t="s">
        <v>551</v>
      </c>
      <c r="C309" t="s">
        <v>686</v>
      </c>
      <c r="D309" t="s">
        <v>983</v>
      </c>
      <c r="E309" t="s">
        <v>984</v>
      </c>
      <c r="F309">
        <v>7520.8</v>
      </c>
      <c r="G309">
        <v>3285.95</v>
      </c>
      <c r="H309">
        <v>3285.95</v>
      </c>
      <c r="I309">
        <v>7520.8</v>
      </c>
      <c r="J309">
        <v>7520.8</v>
      </c>
    </row>
    <row r="310" spans="1:10" x14ac:dyDescent="0.3">
      <c r="A310" t="s">
        <v>975</v>
      </c>
      <c r="B310" t="s">
        <v>551</v>
      </c>
      <c r="C310" t="s">
        <v>686</v>
      </c>
      <c r="D310" t="s">
        <v>985</v>
      </c>
      <c r="E310" t="s">
        <v>986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 x14ac:dyDescent="0.3">
      <c r="A311" t="s">
        <v>975</v>
      </c>
      <c r="B311" t="s">
        <v>551</v>
      </c>
      <c r="C311" t="s">
        <v>686</v>
      </c>
      <c r="D311" t="s">
        <v>987</v>
      </c>
      <c r="E311" t="s">
        <v>988</v>
      </c>
      <c r="F311">
        <v>601.98000000000013</v>
      </c>
      <c r="G311">
        <v>547.96</v>
      </c>
      <c r="H311">
        <v>0</v>
      </c>
      <c r="I311">
        <v>1149.94</v>
      </c>
      <c r="J311">
        <v>1149.94</v>
      </c>
    </row>
    <row r="312" spans="1:10" x14ac:dyDescent="0.3">
      <c r="A312" t="s">
        <v>975</v>
      </c>
      <c r="B312" t="s">
        <v>551</v>
      </c>
      <c r="C312" t="s">
        <v>686</v>
      </c>
      <c r="D312" t="s">
        <v>989</v>
      </c>
      <c r="E312" t="s">
        <v>990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 x14ac:dyDescent="0.3">
      <c r="A313" t="s">
        <v>975</v>
      </c>
      <c r="B313" t="s">
        <v>551</v>
      </c>
      <c r="C313" t="s">
        <v>686</v>
      </c>
      <c r="D313" t="s">
        <v>995</v>
      </c>
      <c r="E313" t="s">
        <v>996</v>
      </c>
      <c r="F313">
        <v>8811.86</v>
      </c>
      <c r="G313">
        <v>0</v>
      </c>
      <c r="H313">
        <v>0</v>
      </c>
      <c r="I313">
        <v>8811.86</v>
      </c>
      <c r="J313">
        <v>8811.86</v>
      </c>
    </row>
    <row r="314" spans="1:10" x14ac:dyDescent="0.3">
      <c r="A314" t="s">
        <v>975</v>
      </c>
      <c r="B314" t="s">
        <v>551</v>
      </c>
      <c r="C314" t="s">
        <v>686</v>
      </c>
      <c r="D314" t="s">
        <v>997</v>
      </c>
      <c r="E314" t="s">
        <v>998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 x14ac:dyDescent="0.3">
      <c r="A315" t="s">
        <v>975</v>
      </c>
      <c r="B315" t="s">
        <v>551</v>
      </c>
      <c r="C315" t="s">
        <v>686</v>
      </c>
      <c r="D315" t="s">
        <v>1028</v>
      </c>
      <c r="E315" t="s">
        <v>1029</v>
      </c>
      <c r="F315">
        <v>-14208.08</v>
      </c>
      <c r="G315">
        <v>0</v>
      </c>
      <c r="H315">
        <v>0</v>
      </c>
      <c r="I315">
        <v>-14208.08</v>
      </c>
      <c r="J315">
        <v>14208.08</v>
      </c>
    </row>
    <row r="316" spans="1:10" x14ac:dyDescent="0.3">
      <c r="A316" t="s">
        <v>975</v>
      </c>
      <c r="B316" t="s">
        <v>551</v>
      </c>
      <c r="C316" t="s">
        <v>686</v>
      </c>
      <c r="D316" t="s">
        <v>1031</v>
      </c>
      <c r="E316" t="s">
        <v>1032</v>
      </c>
      <c r="F316">
        <v>-26659.66</v>
      </c>
      <c r="G316">
        <v>0</v>
      </c>
      <c r="H316">
        <v>0</v>
      </c>
      <c r="I316">
        <v>-26659.66</v>
      </c>
      <c r="J316">
        <v>26659.66</v>
      </c>
    </row>
    <row r="317" spans="1:10" x14ac:dyDescent="0.3">
      <c r="A317" t="s">
        <v>975</v>
      </c>
      <c r="B317" t="s">
        <v>551</v>
      </c>
      <c r="C317" t="s">
        <v>686</v>
      </c>
      <c r="D317" t="s">
        <v>1033</v>
      </c>
      <c r="E317" t="s">
        <v>1034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 x14ac:dyDescent="0.3">
      <c r="A318" t="s">
        <v>975</v>
      </c>
      <c r="B318" t="s">
        <v>551</v>
      </c>
      <c r="C318" t="s">
        <v>686</v>
      </c>
      <c r="D318" t="s">
        <v>1006</v>
      </c>
      <c r="E318" t="s">
        <v>1007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 x14ac:dyDescent="0.3">
      <c r="A319" t="s">
        <v>975</v>
      </c>
      <c r="B319" t="s">
        <v>551</v>
      </c>
      <c r="C319" t="s">
        <v>686</v>
      </c>
      <c r="D319" t="s">
        <v>1008</v>
      </c>
      <c r="E319" t="s">
        <v>1009</v>
      </c>
      <c r="F319">
        <v>-2127</v>
      </c>
      <c r="G319">
        <v>0</v>
      </c>
      <c r="H319">
        <v>1009.31</v>
      </c>
      <c r="I319">
        <v>-3136.31</v>
      </c>
      <c r="J319">
        <v>3136.31</v>
      </c>
    </row>
    <row r="320" spans="1:10" x14ac:dyDescent="0.3">
      <c r="A320" t="s">
        <v>975</v>
      </c>
      <c r="B320" t="s">
        <v>551</v>
      </c>
      <c r="C320" t="s">
        <v>686</v>
      </c>
      <c r="D320" t="s">
        <v>1010</v>
      </c>
      <c r="E320" t="s">
        <v>1011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 x14ac:dyDescent="0.3">
      <c r="A321" t="s">
        <v>975</v>
      </c>
      <c r="B321" t="s">
        <v>551</v>
      </c>
      <c r="C321" t="s">
        <v>686</v>
      </c>
      <c r="D321" t="s">
        <v>1012</v>
      </c>
      <c r="E321" t="s">
        <v>1013</v>
      </c>
      <c r="F321">
        <v>0</v>
      </c>
      <c r="G321">
        <v>0</v>
      </c>
      <c r="H321">
        <v>501.25</v>
      </c>
      <c r="I321">
        <v>-501.25</v>
      </c>
      <c r="J321">
        <v>501.25</v>
      </c>
    </row>
    <row r="322" spans="1:10" x14ac:dyDescent="0.3">
      <c r="A322" t="s">
        <v>975</v>
      </c>
      <c r="B322" t="s">
        <v>551</v>
      </c>
      <c r="C322" t="s">
        <v>686</v>
      </c>
      <c r="D322" t="s">
        <v>1016</v>
      </c>
      <c r="E322" t="s">
        <v>1017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 x14ac:dyDescent="0.3">
      <c r="A323" t="s">
        <v>975</v>
      </c>
      <c r="B323" t="s">
        <v>551</v>
      </c>
      <c r="C323" t="s">
        <v>686</v>
      </c>
      <c r="D323" t="s">
        <v>1123</v>
      </c>
      <c r="E323" t="s">
        <v>717</v>
      </c>
      <c r="F323">
        <v>92.710000000000008</v>
      </c>
      <c r="G323">
        <v>94.4</v>
      </c>
      <c r="H323">
        <v>0</v>
      </c>
      <c r="I323">
        <v>187.11</v>
      </c>
      <c r="J323">
        <v>187.11</v>
      </c>
    </row>
    <row r="324" spans="1:10" x14ac:dyDescent="0.3">
      <c r="A324" t="s">
        <v>975</v>
      </c>
      <c r="B324" t="s">
        <v>551</v>
      </c>
      <c r="C324" t="s">
        <v>686</v>
      </c>
      <c r="D324" t="s">
        <v>1118</v>
      </c>
      <c r="E324" t="s">
        <v>1119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 x14ac:dyDescent="0.3">
      <c r="A325" t="s">
        <v>975</v>
      </c>
      <c r="B325" t="s">
        <v>551</v>
      </c>
      <c r="C325" t="s">
        <v>686</v>
      </c>
      <c r="D325" t="s">
        <v>1120</v>
      </c>
      <c r="E325" t="s">
        <v>811</v>
      </c>
      <c r="F325">
        <v>0</v>
      </c>
      <c r="G325">
        <v>0</v>
      </c>
      <c r="H325">
        <v>64960.94</v>
      </c>
      <c r="I325">
        <v>-64960.94</v>
      </c>
      <c r="J325">
        <v>64960.94</v>
      </c>
    </row>
    <row r="326" spans="1:10" x14ac:dyDescent="0.3">
      <c r="A326" t="s">
        <v>975</v>
      </c>
      <c r="B326" t="s">
        <v>551</v>
      </c>
      <c r="C326" t="s">
        <v>686</v>
      </c>
      <c r="D326" t="s">
        <v>1060</v>
      </c>
      <c r="E326" t="s">
        <v>1061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 x14ac:dyDescent="0.3">
      <c r="A327" t="s">
        <v>975</v>
      </c>
      <c r="B327" t="s">
        <v>551</v>
      </c>
      <c r="C327" t="s">
        <v>686</v>
      </c>
      <c r="D327" t="s">
        <v>1062</v>
      </c>
      <c r="E327" t="s">
        <v>1063</v>
      </c>
      <c r="F327">
        <v>0</v>
      </c>
      <c r="G327">
        <v>855.35</v>
      </c>
      <c r="H327">
        <v>0</v>
      </c>
      <c r="I327">
        <v>855.35</v>
      </c>
      <c r="J327">
        <v>855.35</v>
      </c>
    </row>
    <row r="328" spans="1:10" x14ac:dyDescent="0.3">
      <c r="A328" t="s">
        <v>975</v>
      </c>
      <c r="B328" t="s">
        <v>551</v>
      </c>
      <c r="C328" t="s">
        <v>686</v>
      </c>
      <c r="D328" t="s">
        <v>1064</v>
      </c>
      <c r="E328" t="s">
        <v>1065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 x14ac:dyDescent="0.3">
      <c r="A329" t="s">
        <v>975</v>
      </c>
      <c r="B329" t="s">
        <v>551</v>
      </c>
      <c r="C329" t="s">
        <v>686</v>
      </c>
      <c r="D329" t="s">
        <v>1066</v>
      </c>
      <c r="E329" t="s">
        <v>1067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 x14ac:dyDescent="0.3">
      <c r="A330" t="s">
        <v>975</v>
      </c>
      <c r="B330" t="s">
        <v>551</v>
      </c>
      <c r="C330" t="s">
        <v>686</v>
      </c>
      <c r="D330" t="s">
        <v>1068</v>
      </c>
      <c r="E330" t="s">
        <v>568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 x14ac:dyDescent="0.3">
      <c r="A331" t="s">
        <v>975</v>
      </c>
      <c r="B331" t="s">
        <v>551</v>
      </c>
      <c r="C331" t="s">
        <v>686</v>
      </c>
      <c r="D331" t="s">
        <v>1069</v>
      </c>
      <c r="E331" t="s">
        <v>1070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 x14ac:dyDescent="0.3">
      <c r="A332" t="s">
        <v>975</v>
      </c>
      <c r="B332" t="s">
        <v>551</v>
      </c>
      <c r="C332" t="s">
        <v>686</v>
      </c>
      <c r="D332" t="s">
        <v>1071</v>
      </c>
      <c r="E332" t="s">
        <v>1072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 x14ac:dyDescent="0.3">
      <c r="A333" t="s">
        <v>975</v>
      </c>
      <c r="B333" t="s">
        <v>551</v>
      </c>
      <c r="C333" t="s">
        <v>686</v>
      </c>
      <c r="D333" t="s">
        <v>1073</v>
      </c>
      <c r="E333" t="s">
        <v>1074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 x14ac:dyDescent="0.3">
      <c r="A334" t="s">
        <v>975</v>
      </c>
      <c r="B334" t="s">
        <v>551</v>
      </c>
      <c r="C334" t="s">
        <v>686</v>
      </c>
      <c r="D334" t="s">
        <v>1075</v>
      </c>
      <c r="E334" t="s">
        <v>1076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 x14ac:dyDescent="0.3">
      <c r="A335" t="s">
        <v>975</v>
      </c>
      <c r="B335" t="s">
        <v>551</v>
      </c>
      <c r="C335" t="s">
        <v>686</v>
      </c>
      <c r="D335" t="s">
        <v>1077</v>
      </c>
      <c r="E335" t="s">
        <v>1078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 x14ac:dyDescent="0.3">
      <c r="A336" t="s">
        <v>975</v>
      </c>
      <c r="B336" t="s">
        <v>551</v>
      </c>
      <c r="C336" t="s">
        <v>686</v>
      </c>
      <c r="D336" t="s">
        <v>1079</v>
      </c>
      <c r="E336" t="s">
        <v>1080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 x14ac:dyDescent="0.3">
      <c r="A337" t="s">
        <v>975</v>
      </c>
      <c r="B337" t="s">
        <v>551</v>
      </c>
      <c r="C337" t="s">
        <v>686</v>
      </c>
      <c r="D337" t="s">
        <v>1081</v>
      </c>
      <c r="E337" t="s">
        <v>1082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 x14ac:dyDescent="0.3">
      <c r="A338" t="s">
        <v>975</v>
      </c>
      <c r="B338" t="s">
        <v>551</v>
      </c>
      <c r="C338" t="s">
        <v>686</v>
      </c>
      <c r="D338" t="s">
        <v>1083</v>
      </c>
      <c r="E338" t="s">
        <v>1084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 x14ac:dyDescent="0.3">
      <c r="A339" t="s">
        <v>975</v>
      </c>
      <c r="B339" t="s">
        <v>551</v>
      </c>
      <c r="C339" t="s">
        <v>686</v>
      </c>
      <c r="D339" t="s">
        <v>1048</v>
      </c>
      <c r="E339" t="s">
        <v>1049</v>
      </c>
      <c r="F339">
        <v>0</v>
      </c>
      <c r="G339">
        <v>0</v>
      </c>
      <c r="H339">
        <v>2784.7</v>
      </c>
      <c r="I339">
        <v>-2784.7</v>
      </c>
      <c r="J339">
        <v>2784.7</v>
      </c>
    </row>
    <row r="340" spans="1:10" x14ac:dyDescent="0.3">
      <c r="A340" t="s">
        <v>975</v>
      </c>
      <c r="B340" t="s">
        <v>551</v>
      </c>
      <c r="C340" t="s">
        <v>686</v>
      </c>
      <c r="D340" t="s">
        <v>1095</v>
      </c>
      <c r="E340" t="s">
        <v>1096</v>
      </c>
      <c r="F340">
        <v>2127</v>
      </c>
      <c r="G340">
        <v>0</v>
      </c>
      <c r="H340">
        <v>0</v>
      </c>
      <c r="I340">
        <v>2127</v>
      </c>
      <c r="J340">
        <v>2127</v>
      </c>
    </row>
    <row r="341" spans="1:10" x14ac:dyDescent="0.3">
      <c r="A341" t="s">
        <v>975</v>
      </c>
      <c r="B341" t="s">
        <v>551</v>
      </c>
      <c r="C341" t="s">
        <v>686</v>
      </c>
      <c r="D341" t="s">
        <v>1097</v>
      </c>
      <c r="E341" t="s">
        <v>1098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 x14ac:dyDescent="0.3">
      <c r="A342" t="s">
        <v>975</v>
      </c>
      <c r="B342" t="s">
        <v>551</v>
      </c>
      <c r="C342" t="s">
        <v>686</v>
      </c>
      <c r="D342" t="s">
        <v>1099</v>
      </c>
      <c r="E342" t="s">
        <v>1100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 x14ac:dyDescent="0.3">
      <c r="A343" t="s">
        <v>975</v>
      </c>
      <c r="B343" t="s">
        <v>551</v>
      </c>
      <c r="C343" t="s">
        <v>686</v>
      </c>
      <c r="D343" t="s">
        <v>1101</v>
      </c>
      <c r="E343" t="s">
        <v>1102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 x14ac:dyDescent="0.3">
      <c r="A344" t="s">
        <v>975</v>
      </c>
      <c r="B344" t="s">
        <v>551</v>
      </c>
      <c r="C344" t="s">
        <v>686</v>
      </c>
      <c r="D344" t="s">
        <v>1103</v>
      </c>
      <c r="E344" t="s">
        <v>1104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 x14ac:dyDescent="0.3">
      <c r="A345" t="s">
        <v>975</v>
      </c>
      <c r="B345" t="s">
        <v>551</v>
      </c>
      <c r="C345" t="s">
        <v>686</v>
      </c>
      <c r="D345" t="s">
        <v>1105</v>
      </c>
      <c r="E345" t="s">
        <v>1106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 x14ac:dyDescent="0.3">
      <c r="A346" t="s">
        <v>975</v>
      </c>
      <c r="B346" t="s">
        <v>552</v>
      </c>
      <c r="C346" t="s">
        <v>686</v>
      </c>
      <c r="D346" t="s">
        <v>980</v>
      </c>
      <c r="E346" t="s">
        <v>926</v>
      </c>
      <c r="F346">
        <v>95296.549999999988</v>
      </c>
      <c r="G346">
        <v>0</v>
      </c>
      <c r="H346">
        <v>3068.04</v>
      </c>
      <c r="I346">
        <v>92228.510000000009</v>
      </c>
      <c r="J346">
        <v>92228.510000000009</v>
      </c>
    </row>
    <row r="347" spans="1:10" x14ac:dyDescent="0.3">
      <c r="A347" t="s">
        <v>975</v>
      </c>
      <c r="B347" t="s">
        <v>552</v>
      </c>
      <c r="C347" t="s">
        <v>686</v>
      </c>
      <c r="D347" t="s">
        <v>983</v>
      </c>
      <c r="E347" t="s">
        <v>984</v>
      </c>
      <c r="F347">
        <v>7520.8</v>
      </c>
      <c r="G347">
        <v>3358.3</v>
      </c>
      <c r="H347">
        <v>0</v>
      </c>
      <c r="I347">
        <v>10879.1</v>
      </c>
      <c r="J347">
        <v>10879.1</v>
      </c>
    </row>
    <row r="348" spans="1:10" x14ac:dyDescent="0.3">
      <c r="A348" t="s">
        <v>975</v>
      </c>
      <c r="B348" t="s">
        <v>552</v>
      </c>
      <c r="C348" t="s">
        <v>686</v>
      </c>
      <c r="D348" t="s">
        <v>985</v>
      </c>
      <c r="E348" t="s">
        <v>986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 x14ac:dyDescent="0.3">
      <c r="A349" t="s">
        <v>975</v>
      </c>
      <c r="B349" t="s">
        <v>552</v>
      </c>
      <c r="C349" t="s">
        <v>686</v>
      </c>
      <c r="D349" t="s">
        <v>987</v>
      </c>
      <c r="E349" t="s">
        <v>988</v>
      </c>
      <c r="F349">
        <v>1964.440000000001</v>
      </c>
      <c r="G349">
        <v>292.37</v>
      </c>
      <c r="H349">
        <v>0</v>
      </c>
      <c r="I349">
        <v>2256.81</v>
      </c>
      <c r="J349">
        <v>2256.81</v>
      </c>
    </row>
    <row r="350" spans="1:10" x14ac:dyDescent="0.3">
      <c r="A350" t="s">
        <v>975</v>
      </c>
      <c r="B350" t="s">
        <v>552</v>
      </c>
      <c r="C350" t="s">
        <v>686</v>
      </c>
      <c r="D350" t="s">
        <v>989</v>
      </c>
      <c r="E350" t="s">
        <v>990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 x14ac:dyDescent="0.3">
      <c r="A351" t="s">
        <v>975</v>
      </c>
      <c r="B351" t="s">
        <v>552</v>
      </c>
      <c r="C351" t="s">
        <v>686</v>
      </c>
      <c r="D351" t="s">
        <v>995</v>
      </c>
      <c r="E351" t="s">
        <v>996</v>
      </c>
      <c r="F351">
        <v>8811.86</v>
      </c>
      <c r="G351">
        <v>0</v>
      </c>
      <c r="H351">
        <v>0</v>
      </c>
      <c r="I351">
        <v>8811.86</v>
      </c>
      <c r="J351">
        <v>8811.86</v>
      </c>
    </row>
    <row r="352" spans="1:10" x14ac:dyDescent="0.3">
      <c r="A352" t="s">
        <v>975</v>
      </c>
      <c r="B352" t="s">
        <v>552</v>
      </c>
      <c r="C352" t="s">
        <v>686</v>
      </c>
      <c r="D352" t="s">
        <v>997</v>
      </c>
      <c r="E352" t="s">
        <v>998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 x14ac:dyDescent="0.3">
      <c r="A353" t="s">
        <v>975</v>
      </c>
      <c r="B353" t="s">
        <v>552</v>
      </c>
      <c r="C353" t="s">
        <v>686</v>
      </c>
      <c r="D353" t="s">
        <v>1028</v>
      </c>
      <c r="E353" t="s">
        <v>1029</v>
      </c>
      <c r="F353">
        <v>-14208.08</v>
      </c>
      <c r="G353">
        <v>0</v>
      </c>
      <c r="H353">
        <v>0</v>
      </c>
      <c r="I353">
        <v>-14208.08</v>
      </c>
      <c r="J353">
        <v>14208.08</v>
      </c>
    </row>
    <row r="354" spans="1:10" x14ac:dyDescent="0.3">
      <c r="A354" t="s">
        <v>975</v>
      </c>
      <c r="B354" t="s">
        <v>552</v>
      </c>
      <c r="C354" t="s">
        <v>686</v>
      </c>
      <c r="D354" t="s">
        <v>1031</v>
      </c>
      <c r="E354" t="s">
        <v>1032</v>
      </c>
      <c r="F354">
        <v>-26659.66</v>
      </c>
      <c r="G354">
        <v>0</v>
      </c>
      <c r="H354">
        <v>0</v>
      </c>
      <c r="I354">
        <v>-26659.66</v>
      </c>
      <c r="J354">
        <v>26659.66</v>
      </c>
    </row>
    <row r="355" spans="1:10" x14ac:dyDescent="0.3">
      <c r="A355" t="s">
        <v>975</v>
      </c>
      <c r="B355" t="s">
        <v>552</v>
      </c>
      <c r="C355" t="s">
        <v>686</v>
      </c>
      <c r="D355" t="s">
        <v>1033</v>
      </c>
      <c r="E355" t="s">
        <v>1034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 x14ac:dyDescent="0.3">
      <c r="A356" t="s">
        <v>975</v>
      </c>
      <c r="B356" t="s">
        <v>552</v>
      </c>
      <c r="C356" t="s">
        <v>686</v>
      </c>
      <c r="D356" t="s">
        <v>1006</v>
      </c>
      <c r="E356" t="s">
        <v>1007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 x14ac:dyDescent="0.3">
      <c r="A357" t="s">
        <v>975</v>
      </c>
      <c r="B357" t="s">
        <v>552</v>
      </c>
      <c r="C357" t="s">
        <v>686</v>
      </c>
      <c r="D357" t="s">
        <v>1008</v>
      </c>
      <c r="E357" t="s">
        <v>1009</v>
      </c>
      <c r="F357">
        <v>-5857.2999999999993</v>
      </c>
      <c r="G357">
        <v>2127</v>
      </c>
      <c r="H357">
        <v>1916.62</v>
      </c>
      <c r="I357">
        <v>-5646.92</v>
      </c>
      <c r="J357">
        <v>5646.92</v>
      </c>
    </row>
    <row r="358" spans="1:10" x14ac:dyDescent="0.3">
      <c r="A358" t="s">
        <v>975</v>
      </c>
      <c r="B358" t="s">
        <v>552</v>
      </c>
      <c r="C358" t="s">
        <v>686</v>
      </c>
      <c r="D358" t="s">
        <v>1010</v>
      </c>
      <c r="E358" t="s">
        <v>1011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 x14ac:dyDescent="0.3">
      <c r="A359" t="s">
        <v>975</v>
      </c>
      <c r="B359" t="s">
        <v>552</v>
      </c>
      <c r="C359" t="s">
        <v>686</v>
      </c>
      <c r="D359" t="s">
        <v>1012</v>
      </c>
      <c r="E359" t="s">
        <v>1013</v>
      </c>
      <c r="F359">
        <v>-1340.16</v>
      </c>
      <c r="G359">
        <v>0</v>
      </c>
      <c r="H359">
        <v>512.28</v>
      </c>
      <c r="I359">
        <v>-1852.44</v>
      </c>
      <c r="J359">
        <v>1852.44</v>
      </c>
    </row>
    <row r="360" spans="1:10" x14ac:dyDescent="0.3">
      <c r="A360" t="s">
        <v>975</v>
      </c>
      <c r="B360" t="s">
        <v>552</v>
      </c>
      <c r="C360" t="s">
        <v>686</v>
      </c>
      <c r="D360" t="s">
        <v>1016</v>
      </c>
      <c r="E360" t="s">
        <v>1017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 x14ac:dyDescent="0.3">
      <c r="A361" t="s">
        <v>975</v>
      </c>
      <c r="B361" t="s">
        <v>552</v>
      </c>
      <c r="C361" t="s">
        <v>686</v>
      </c>
      <c r="D361" t="s">
        <v>1123</v>
      </c>
      <c r="E361" t="s">
        <v>717</v>
      </c>
      <c r="F361">
        <v>278.26</v>
      </c>
      <c r="G361">
        <v>91.35</v>
      </c>
      <c r="H361">
        <v>0</v>
      </c>
      <c r="I361">
        <v>369.61</v>
      </c>
      <c r="J361">
        <v>369.61</v>
      </c>
    </row>
    <row r="362" spans="1:10" x14ac:dyDescent="0.3">
      <c r="A362" t="s">
        <v>975</v>
      </c>
      <c r="B362" t="s">
        <v>552</v>
      </c>
      <c r="C362" t="s">
        <v>686</v>
      </c>
      <c r="D362" t="s">
        <v>1118</v>
      </c>
      <c r="E362" t="s">
        <v>1119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 x14ac:dyDescent="0.3">
      <c r="A363" t="s">
        <v>975</v>
      </c>
      <c r="B363" t="s">
        <v>552</v>
      </c>
      <c r="C363" t="s">
        <v>686</v>
      </c>
      <c r="D363" t="s">
        <v>1120</v>
      </c>
      <c r="E363" t="s">
        <v>811</v>
      </c>
      <c r="F363">
        <v>-64960.94</v>
      </c>
      <c r="G363">
        <v>0</v>
      </c>
      <c r="H363">
        <v>0</v>
      </c>
      <c r="I363">
        <v>-64960.94</v>
      </c>
      <c r="J363">
        <v>64960.94</v>
      </c>
    </row>
    <row r="364" spans="1:10" x14ac:dyDescent="0.3">
      <c r="A364" t="s">
        <v>975</v>
      </c>
      <c r="B364" t="s">
        <v>552</v>
      </c>
      <c r="C364" t="s">
        <v>686</v>
      </c>
      <c r="D364" t="s">
        <v>1060</v>
      </c>
      <c r="E364" t="s">
        <v>1061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 x14ac:dyDescent="0.3">
      <c r="A365" t="s">
        <v>975</v>
      </c>
      <c r="B365" t="s">
        <v>552</v>
      </c>
      <c r="C365" t="s">
        <v>686</v>
      </c>
      <c r="D365" t="s">
        <v>1062</v>
      </c>
      <c r="E365" t="s">
        <v>1063</v>
      </c>
      <c r="F365">
        <v>1715.35</v>
      </c>
      <c r="G365">
        <v>1624.25</v>
      </c>
      <c r="H365">
        <v>0</v>
      </c>
      <c r="I365">
        <v>3339.6</v>
      </c>
      <c r="J365">
        <v>3339.6</v>
      </c>
    </row>
    <row r="366" spans="1:10" x14ac:dyDescent="0.3">
      <c r="A366" t="s">
        <v>975</v>
      </c>
      <c r="B366" t="s">
        <v>552</v>
      </c>
      <c r="C366" t="s">
        <v>686</v>
      </c>
      <c r="D366" t="s">
        <v>1064</v>
      </c>
      <c r="E366" t="s">
        <v>1065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 x14ac:dyDescent="0.3">
      <c r="A367" t="s">
        <v>975</v>
      </c>
      <c r="B367" t="s">
        <v>552</v>
      </c>
      <c r="C367" t="s">
        <v>686</v>
      </c>
      <c r="D367" t="s">
        <v>1066</v>
      </c>
      <c r="E367" t="s">
        <v>1067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 x14ac:dyDescent="0.3">
      <c r="A368" t="s">
        <v>975</v>
      </c>
      <c r="B368" t="s">
        <v>552</v>
      </c>
      <c r="C368" t="s">
        <v>686</v>
      </c>
      <c r="D368" t="s">
        <v>1068</v>
      </c>
      <c r="E368" t="s">
        <v>568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 x14ac:dyDescent="0.3">
      <c r="A369" t="s">
        <v>975</v>
      </c>
      <c r="B369" t="s">
        <v>552</v>
      </c>
      <c r="C369" t="s">
        <v>686</v>
      </c>
      <c r="D369" t="s">
        <v>1069</v>
      </c>
      <c r="E369" t="s">
        <v>1070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 x14ac:dyDescent="0.3">
      <c r="A370" t="s">
        <v>975</v>
      </c>
      <c r="B370" t="s">
        <v>552</v>
      </c>
      <c r="C370" t="s">
        <v>686</v>
      </c>
      <c r="D370" t="s">
        <v>1071</v>
      </c>
      <c r="E370" t="s">
        <v>1072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 x14ac:dyDescent="0.3">
      <c r="A371" t="s">
        <v>975</v>
      </c>
      <c r="B371" t="s">
        <v>552</v>
      </c>
      <c r="C371" t="s">
        <v>686</v>
      </c>
      <c r="D371" t="s">
        <v>1073</v>
      </c>
      <c r="E371" t="s">
        <v>1074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 x14ac:dyDescent="0.3">
      <c r="A372" t="s">
        <v>975</v>
      </c>
      <c r="B372" t="s">
        <v>552</v>
      </c>
      <c r="C372" t="s">
        <v>686</v>
      </c>
      <c r="D372" t="s">
        <v>1075</v>
      </c>
      <c r="E372" t="s">
        <v>1076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 x14ac:dyDescent="0.3">
      <c r="A373" t="s">
        <v>975</v>
      </c>
      <c r="B373" t="s">
        <v>552</v>
      </c>
      <c r="C373" t="s">
        <v>686</v>
      </c>
      <c r="D373" t="s">
        <v>1077</v>
      </c>
      <c r="E373" t="s">
        <v>1078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 x14ac:dyDescent="0.3">
      <c r="A374" t="s">
        <v>975</v>
      </c>
      <c r="B374" t="s">
        <v>552</v>
      </c>
      <c r="C374" t="s">
        <v>686</v>
      </c>
      <c r="D374" t="s">
        <v>1079</v>
      </c>
      <c r="E374" t="s">
        <v>1080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 x14ac:dyDescent="0.3">
      <c r="A375" t="s">
        <v>975</v>
      </c>
      <c r="B375" t="s">
        <v>552</v>
      </c>
      <c r="C375" t="s">
        <v>686</v>
      </c>
      <c r="D375" t="s">
        <v>1081</v>
      </c>
      <c r="E375" t="s">
        <v>1082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 x14ac:dyDescent="0.3">
      <c r="A376" t="s">
        <v>975</v>
      </c>
      <c r="B376" t="s">
        <v>552</v>
      </c>
      <c r="C376" t="s">
        <v>686</v>
      </c>
      <c r="D376" t="s">
        <v>1083</v>
      </c>
      <c r="E376" t="s">
        <v>1084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 x14ac:dyDescent="0.3">
      <c r="A377" t="s">
        <v>975</v>
      </c>
      <c r="B377" t="s">
        <v>552</v>
      </c>
      <c r="C377" t="s">
        <v>686</v>
      </c>
      <c r="D377" t="s">
        <v>1048</v>
      </c>
      <c r="E377" t="s">
        <v>1049</v>
      </c>
      <c r="F377">
        <v>-7445.01</v>
      </c>
      <c r="G377">
        <v>0</v>
      </c>
      <c r="H377">
        <v>2846.02</v>
      </c>
      <c r="I377">
        <v>-10291.030000000001</v>
      </c>
      <c r="J377">
        <v>10291.030000000001</v>
      </c>
    </row>
    <row r="378" spans="1:10" x14ac:dyDescent="0.3">
      <c r="A378" t="s">
        <v>975</v>
      </c>
      <c r="B378" t="s">
        <v>552</v>
      </c>
      <c r="C378" t="s">
        <v>686</v>
      </c>
      <c r="D378" t="s">
        <v>1095</v>
      </c>
      <c r="E378" t="s">
        <v>1096</v>
      </c>
      <c r="F378">
        <v>2127</v>
      </c>
      <c r="G378">
        <v>0</v>
      </c>
      <c r="H378">
        <v>0</v>
      </c>
      <c r="I378">
        <v>2127</v>
      </c>
      <c r="J378">
        <v>2127</v>
      </c>
    </row>
    <row r="379" spans="1:10" x14ac:dyDescent="0.3">
      <c r="A379" t="s">
        <v>975</v>
      </c>
      <c r="B379" t="s">
        <v>552</v>
      </c>
      <c r="C379" t="s">
        <v>686</v>
      </c>
      <c r="D379" t="s">
        <v>1097</v>
      </c>
      <c r="E379" t="s">
        <v>1098</v>
      </c>
      <c r="F379">
        <v>1706.19</v>
      </c>
      <c r="G379">
        <v>0</v>
      </c>
      <c r="H379">
        <v>0</v>
      </c>
      <c r="I379">
        <v>1706.19</v>
      </c>
      <c r="J379">
        <v>1706.19</v>
      </c>
    </row>
    <row r="380" spans="1:10" x14ac:dyDescent="0.3">
      <c r="A380" t="s">
        <v>975</v>
      </c>
      <c r="B380" t="s">
        <v>552</v>
      </c>
      <c r="C380" t="s">
        <v>686</v>
      </c>
      <c r="D380" t="s">
        <v>1099</v>
      </c>
      <c r="E380" t="s">
        <v>1100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 x14ac:dyDescent="0.3">
      <c r="A381" t="s">
        <v>975</v>
      </c>
      <c r="B381" t="s">
        <v>552</v>
      </c>
      <c r="C381" t="s">
        <v>686</v>
      </c>
      <c r="D381" t="s">
        <v>1101</v>
      </c>
      <c r="E381" t="s">
        <v>1102</v>
      </c>
      <c r="F381">
        <v>1048.8</v>
      </c>
      <c r="G381">
        <v>771.69</v>
      </c>
      <c r="H381">
        <v>0</v>
      </c>
      <c r="I381">
        <v>1820.49</v>
      </c>
      <c r="J381">
        <v>1820.49</v>
      </c>
    </row>
    <row r="382" spans="1:10" x14ac:dyDescent="0.3">
      <c r="A382" t="s">
        <v>975</v>
      </c>
      <c r="B382" t="s">
        <v>552</v>
      </c>
      <c r="C382" t="s">
        <v>686</v>
      </c>
      <c r="D382" t="s">
        <v>1103</v>
      </c>
      <c r="E382" t="s">
        <v>1104</v>
      </c>
      <c r="F382">
        <v>0</v>
      </c>
      <c r="G382">
        <v>78</v>
      </c>
      <c r="H382">
        <v>0</v>
      </c>
      <c r="I382">
        <v>78</v>
      </c>
      <c r="J382">
        <v>78</v>
      </c>
    </row>
    <row r="383" spans="1:10" x14ac:dyDescent="0.3">
      <c r="A383" t="s">
        <v>975</v>
      </c>
      <c r="B383" t="s">
        <v>552</v>
      </c>
      <c r="C383" t="s">
        <v>686</v>
      </c>
      <c r="D383" t="s">
        <v>1105</v>
      </c>
      <c r="E383" t="s">
        <v>1106</v>
      </c>
      <c r="F383">
        <v>1.9</v>
      </c>
      <c r="G383">
        <v>0</v>
      </c>
      <c r="H383">
        <v>0</v>
      </c>
      <c r="I383">
        <v>1.9</v>
      </c>
      <c r="J383">
        <v>1.9</v>
      </c>
    </row>
    <row r="384" spans="1:10" x14ac:dyDescent="0.3">
      <c r="A384" t="s">
        <v>975</v>
      </c>
      <c r="B384" t="s">
        <v>553</v>
      </c>
      <c r="C384" t="s">
        <v>686</v>
      </c>
      <c r="D384" t="s">
        <v>980</v>
      </c>
      <c r="E384" t="s">
        <v>926</v>
      </c>
      <c r="F384">
        <v>95296.549999999988</v>
      </c>
      <c r="G384">
        <v>0</v>
      </c>
      <c r="H384">
        <v>3068.04</v>
      </c>
      <c r="I384">
        <v>92228.510000000009</v>
      </c>
      <c r="J384">
        <v>92228.510000000009</v>
      </c>
    </row>
    <row r="385" spans="1:10" x14ac:dyDescent="0.3">
      <c r="A385" t="s">
        <v>975</v>
      </c>
      <c r="B385" t="s">
        <v>553</v>
      </c>
      <c r="C385" t="s">
        <v>686</v>
      </c>
      <c r="D385" t="s">
        <v>983</v>
      </c>
      <c r="E385" t="s">
        <v>984</v>
      </c>
      <c r="F385">
        <v>7520.8</v>
      </c>
      <c r="G385">
        <v>3358.3</v>
      </c>
      <c r="H385">
        <v>0</v>
      </c>
      <c r="I385">
        <v>10879.1</v>
      </c>
      <c r="J385">
        <v>10879.1</v>
      </c>
    </row>
    <row r="386" spans="1:10" x14ac:dyDescent="0.3">
      <c r="A386" t="s">
        <v>975</v>
      </c>
      <c r="B386" t="s">
        <v>553</v>
      </c>
      <c r="C386" t="s">
        <v>686</v>
      </c>
      <c r="D386" t="s">
        <v>985</v>
      </c>
      <c r="E386" t="s">
        <v>986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 x14ac:dyDescent="0.3">
      <c r="A387" t="s">
        <v>975</v>
      </c>
      <c r="B387" t="s">
        <v>553</v>
      </c>
      <c r="C387" t="s">
        <v>686</v>
      </c>
      <c r="D387" t="s">
        <v>987</v>
      </c>
      <c r="E387" t="s">
        <v>988</v>
      </c>
      <c r="F387">
        <v>1964.440000000001</v>
      </c>
      <c r="G387">
        <v>292.37</v>
      </c>
      <c r="H387">
        <v>0</v>
      </c>
      <c r="I387">
        <v>2256.81</v>
      </c>
      <c r="J387">
        <v>2256.81</v>
      </c>
    </row>
    <row r="388" spans="1:10" x14ac:dyDescent="0.3">
      <c r="A388" t="s">
        <v>975</v>
      </c>
      <c r="B388" t="s">
        <v>553</v>
      </c>
      <c r="C388" t="s">
        <v>686</v>
      </c>
      <c r="D388" t="s">
        <v>989</v>
      </c>
      <c r="E388" t="s">
        <v>990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 x14ac:dyDescent="0.3">
      <c r="A389" t="s">
        <v>975</v>
      </c>
      <c r="B389" t="s">
        <v>553</v>
      </c>
      <c r="C389" t="s">
        <v>686</v>
      </c>
      <c r="D389" t="s">
        <v>995</v>
      </c>
      <c r="E389" t="s">
        <v>996</v>
      </c>
      <c r="F389">
        <v>8811.86</v>
      </c>
      <c r="G389">
        <v>0</v>
      </c>
      <c r="H389">
        <v>0</v>
      </c>
      <c r="I389">
        <v>8811.86</v>
      </c>
      <c r="J389">
        <v>8811.86</v>
      </c>
    </row>
    <row r="390" spans="1:10" x14ac:dyDescent="0.3">
      <c r="A390" t="s">
        <v>975</v>
      </c>
      <c r="B390" t="s">
        <v>553</v>
      </c>
      <c r="C390" t="s">
        <v>686</v>
      </c>
      <c r="D390" t="s">
        <v>997</v>
      </c>
      <c r="E390" t="s">
        <v>998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 x14ac:dyDescent="0.3">
      <c r="A391" t="s">
        <v>975</v>
      </c>
      <c r="B391" t="s">
        <v>553</v>
      </c>
      <c r="C391" t="s">
        <v>686</v>
      </c>
      <c r="D391" t="s">
        <v>1028</v>
      </c>
      <c r="E391" t="s">
        <v>1029</v>
      </c>
      <c r="F391">
        <v>-14208.08</v>
      </c>
      <c r="G391">
        <v>0</v>
      </c>
      <c r="H391">
        <v>0</v>
      </c>
      <c r="I391">
        <v>-14208.08</v>
      </c>
      <c r="J391">
        <v>14208.08</v>
      </c>
    </row>
    <row r="392" spans="1:10" x14ac:dyDescent="0.3">
      <c r="A392" t="s">
        <v>975</v>
      </c>
      <c r="B392" t="s">
        <v>553</v>
      </c>
      <c r="C392" t="s">
        <v>686</v>
      </c>
      <c r="D392" t="s">
        <v>1031</v>
      </c>
      <c r="E392" t="s">
        <v>1032</v>
      </c>
      <c r="F392">
        <v>-26659.66</v>
      </c>
      <c r="G392">
        <v>0</v>
      </c>
      <c r="H392">
        <v>0</v>
      </c>
      <c r="I392">
        <v>-26659.66</v>
      </c>
      <c r="J392">
        <v>26659.66</v>
      </c>
    </row>
    <row r="393" spans="1:10" x14ac:dyDescent="0.3">
      <c r="A393" t="s">
        <v>975</v>
      </c>
      <c r="B393" t="s">
        <v>553</v>
      </c>
      <c r="C393" t="s">
        <v>686</v>
      </c>
      <c r="D393" t="s">
        <v>1033</v>
      </c>
      <c r="E393" t="s">
        <v>1034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 x14ac:dyDescent="0.3">
      <c r="A394" t="s">
        <v>975</v>
      </c>
      <c r="B394" t="s">
        <v>553</v>
      </c>
      <c r="C394" t="s">
        <v>686</v>
      </c>
      <c r="D394" t="s">
        <v>1006</v>
      </c>
      <c r="E394" t="s">
        <v>1007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 x14ac:dyDescent="0.3">
      <c r="A395" t="s">
        <v>975</v>
      </c>
      <c r="B395" t="s">
        <v>553</v>
      </c>
      <c r="C395" t="s">
        <v>686</v>
      </c>
      <c r="D395" t="s">
        <v>1008</v>
      </c>
      <c r="E395" t="s">
        <v>1009</v>
      </c>
      <c r="F395">
        <v>-5857.2999999999993</v>
      </c>
      <c r="G395">
        <v>2127</v>
      </c>
      <c r="H395">
        <v>1916.62</v>
      </c>
      <c r="I395">
        <v>-5646.92</v>
      </c>
      <c r="J395">
        <v>5646.92</v>
      </c>
    </row>
    <row r="396" spans="1:10" x14ac:dyDescent="0.3">
      <c r="A396" t="s">
        <v>975</v>
      </c>
      <c r="B396" t="s">
        <v>553</v>
      </c>
      <c r="C396" t="s">
        <v>686</v>
      </c>
      <c r="D396" t="s">
        <v>1010</v>
      </c>
      <c r="E396" t="s">
        <v>1011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 x14ac:dyDescent="0.3">
      <c r="A397" t="s">
        <v>975</v>
      </c>
      <c r="B397" t="s">
        <v>553</v>
      </c>
      <c r="C397" t="s">
        <v>686</v>
      </c>
      <c r="D397" t="s">
        <v>1012</v>
      </c>
      <c r="E397" t="s">
        <v>1013</v>
      </c>
      <c r="F397">
        <v>-1340.16</v>
      </c>
      <c r="G397">
        <v>0</v>
      </c>
      <c r="H397">
        <v>512.28</v>
      </c>
      <c r="I397">
        <v>-1852.44</v>
      </c>
      <c r="J397">
        <v>1852.44</v>
      </c>
    </row>
    <row r="398" spans="1:10" x14ac:dyDescent="0.3">
      <c r="A398" t="s">
        <v>975</v>
      </c>
      <c r="B398" t="s">
        <v>553</v>
      </c>
      <c r="C398" t="s">
        <v>686</v>
      </c>
      <c r="D398" t="s">
        <v>1016</v>
      </c>
      <c r="E398" t="s">
        <v>1017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 x14ac:dyDescent="0.3">
      <c r="A399" t="s">
        <v>975</v>
      </c>
      <c r="B399" t="s">
        <v>553</v>
      </c>
      <c r="C399" t="s">
        <v>686</v>
      </c>
      <c r="D399" t="s">
        <v>1123</v>
      </c>
      <c r="E399" t="s">
        <v>717</v>
      </c>
      <c r="F399">
        <v>278.26</v>
      </c>
      <c r="G399">
        <v>91.35</v>
      </c>
      <c r="H399">
        <v>0</v>
      </c>
      <c r="I399">
        <v>369.61</v>
      </c>
      <c r="J399">
        <v>369.61</v>
      </c>
    </row>
    <row r="400" spans="1:10" x14ac:dyDescent="0.3">
      <c r="A400" t="s">
        <v>975</v>
      </c>
      <c r="B400" t="s">
        <v>553</v>
      </c>
      <c r="C400" t="s">
        <v>686</v>
      </c>
      <c r="D400" t="s">
        <v>1118</v>
      </c>
      <c r="E400" t="s">
        <v>1119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 x14ac:dyDescent="0.3">
      <c r="A401" t="s">
        <v>975</v>
      </c>
      <c r="B401" t="s">
        <v>553</v>
      </c>
      <c r="C401" t="s">
        <v>686</v>
      </c>
      <c r="D401" t="s">
        <v>1120</v>
      </c>
      <c r="E401" t="s">
        <v>811</v>
      </c>
      <c r="F401">
        <v>-64960.94</v>
      </c>
      <c r="G401">
        <v>0</v>
      </c>
      <c r="H401">
        <v>0</v>
      </c>
      <c r="I401">
        <v>-64960.94</v>
      </c>
      <c r="J401">
        <v>64960.94</v>
      </c>
    </row>
    <row r="402" spans="1:10" x14ac:dyDescent="0.3">
      <c r="A402" t="s">
        <v>975</v>
      </c>
      <c r="B402" t="s">
        <v>553</v>
      </c>
      <c r="C402" t="s">
        <v>686</v>
      </c>
      <c r="D402" t="s">
        <v>1060</v>
      </c>
      <c r="E402" t="s">
        <v>1061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 x14ac:dyDescent="0.3">
      <c r="A403" t="s">
        <v>975</v>
      </c>
      <c r="B403" t="s">
        <v>553</v>
      </c>
      <c r="C403" t="s">
        <v>686</v>
      </c>
      <c r="D403" t="s">
        <v>1062</v>
      </c>
      <c r="E403" t="s">
        <v>1063</v>
      </c>
      <c r="F403">
        <v>1715.35</v>
      </c>
      <c r="G403">
        <v>1624.25</v>
      </c>
      <c r="H403">
        <v>0</v>
      </c>
      <c r="I403">
        <v>3339.6</v>
      </c>
      <c r="J403">
        <v>3339.6</v>
      </c>
    </row>
    <row r="404" spans="1:10" x14ac:dyDescent="0.3">
      <c r="A404" t="s">
        <v>975</v>
      </c>
      <c r="B404" t="s">
        <v>553</v>
      </c>
      <c r="C404" t="s">
        <v>686</v>
      </c>
      <c r="D404" t="s">
        <v>1064</v>
      </c>
      <c r="E404" t="s">
        <v>1065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 x14ac:dyDescent="0.3">
      <c r="A405" t="s">
        <v>975</v>
      </c>
      <c r="B405" t="s">
        <v>553</v>
      </c>
      <c r="C405" t="s">
        <v>686</v>
      </c>
      <c r="D405" t="s">
        <v>1066</v>
      </c>
      <c r="E405" t="s">
        <v>1067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 x14ac:dyDescent="0.3">
      <c r="A406" t="s">
        <v>975</v>
      </c>
      <c r="B406" t="s">
        <v>553</v>
      </c>
      <c r="C406" t="s">
        <v>686</v>
      </c>
      <c r="D406" t="s">
        <v>1068</v>
      </c>
      <c r="E406" t="s">
        <v>568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 x14ac:dyDescent="0.3">
      <c r="A407" t="s">
        <v>975</v>
      </c>
      <c r="B407" t="s">
        <v>553</v>
      </c>
      <c r="C407" t="s">
        <v>686</v>
      </c>
      <c r="D407" t="s">
        <v>1069</v>
      </c>
      <c r="E407" t="s">
        <v>1070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 x14ac:dyDescent="0.3">
      <c r="A408" t="s">
        <v>975</v>
      </c>
      <c r="B408" t="s">
        <v>553</v>
      </c>
      <c r="C408" t="s">
        <v>686</v>
      </c>
      <c r="D408" t="s">
        <v>1071</v>
      </c>
      <c r="E408" t="s">
        <v>1072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 x14ac:dyDescent="0.3">
      <c r="A409" t="s">
        <v>975</v>
      </c>
      <c r="B409" t="s">
        <v>553</v>
      </c>
      <c r="C409" t="s">
        <v>686</v>
      </c>
      <c r="D409" t="s">
        <v>1073</v>
      </c>
      <c r="E409" t="s">
        <v>1074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 x14ac:dyDescent="0.3">
      <c r="A410" t="s">
        <v>975</v>
      </c>
      <c r="B410" t="s">
        <v>553</v>
      </c>
      <c r="C410" t="s">
        <v>686</v>
      </c>
      <c r="D410" t="s">
        <v>1075</v>
      </c>
      <c r="E410" t="s">
        <v>1076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 x14ac:dyDescent="0.3">
      <c r="A411" t="s">
        <v>975</v>
      </c>
      <c r="B411" t="s">
        <v>553</v>
      </c>
      <c r="C411" t="s">
        <v>686</v>
      </c>
      <c r="D411" t="s">
        <v>1077</v>
      </c>
      <c r="E411" t="s">
        <v>1078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 x14ac:dyDescent="0.3">
      <c r="A412" t="s">
        <v>975</v>
      </c>
      <c r="B412" t="s">
        <v>553</v>
      </c>
      <c r="C412" t="s">
        <v>686</v>
      </c>
      <c r="D412" t="s">
        <v>1079</v>
      </c>
      <c r="E412" t="s">
        <v>1080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 x14ac:dyDescent="0.3">
      <c r="A413" t="s">
        <v>975</v>
      </c>
      <c r="B413" t="s">
        <v>553</v>
      </c>
      <c r="C413" t="s">
        <v>686</v>
      </c>
      <c r="D413" t="s">
        <v>1081</v>
      </c>
      <c r="E413" t="s">
        <v>1082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 x14ac:dyDescent="0.3">
      <c r="A414" t="s">
        <v>975</v>
      </c>
      <c r="B414" t="s">
        <v>553</v>
      </c>
      <c r="C414" t="s">
        <v>686</v>
      </c>
      <c r="D414" t="s">
        <v>1083</v>
      </c>
      <c r="E414" t="s">
        <v>1084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 x14ac:dyDescent="0.3">
      <c r="A415" t="s">
        <v>975</v>
      </c>
      <c r="B415" t="s">
        <v>553</v>
      </c>
      <c r="C415" t="s">
        <v>686</v>
      </c>
      <c r="D415" t="s">
        <v>1048</v>
      </c>
      <c r="E415" t="s">
        <v>1049</v>
      </c>
      <c r="F415">
        <v>-7445.01</v>
      </c>
      <c r="G415">
        <v>0</v>
      </c>
      <c r="H415">
        <v>2846.02</v>
      </c>
      <c r="I415">
        <v>-10291.030000000001</v>
      </c>
      <c r="J415">
        <v>10291.030000000001</v>
      </c>
    </row>
    <row r="416" spans="1:10" x14ac:dyDescent="0.3">
      <c r="A416" t="s">
        <v>975</v>
      </c>
      <c r="B416" t="s">
        <v>553</v>
      </c>
      <c r="C416" t="s">
        <v>686</v>
      </c>
      <c r="D416" t="s">
        <v>1095</v>
      </c>
      <c r="E416" t="s">
        <v>1096</v>
      </c>
      <c r="F416">
        <v>2127</v>
      </c>
      <c r="G416">
        <v>0</v>
      </c>
      <c r="H416">
        <v>0</v>
      </c>
      <c r="I416">
        <v>2127</v>
      </c>
      <c r="J416">
        <v>2127</v>
      </c>
    </row>
    <row r="417" spans="1:10" x14ac:dyDescent="0.3">
      <c r="A417" t="s">
        <v>975</v>
      </c>
      <c r="B417" t="s">
        <v>553</v>
      </c>
      <c r="C417" t="s">
        <v>686</v>
      </c>
      <c r="D417" t="s">
        <v>1097</v>
      </c>
      <c r="E417" t="s">
        <v>1098</v>
      </c>
      <c r="F417">
        <v>1706.19</v>
      </c>
      <c r="G417">
        <v>0</v>
      </c>
      <c r="H417">
        <v>0</v>
      </c>
      <c r="I417">
        <v>1706.19</v>
      </c>
      <c r="J417">
        <v>1706.19</v>
      </c>
    </row>
    <row r="418" spans="1:10" x14ac:dyDescent="0.3">
      <c r="A418" t="s">
        <v>975</v>
      </c>
      <c r="B418" t="s">
        <v>553</v>
      </c>
      <c r="C418" t="s">
        <v>686</v>
      </c>
      <c r="D418" t="s">
        <v>1099</v>
      </c>
      <c r="E418" t="s">
        <v>1100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 x14ac:dyDescent="0.3">
      <c r="A419" t="s">
        <v>975</v>
      </c>
      <c r="B419" t="s">
        <v>553</v>
      </c>
      <c r="C419" t="s">
        <v>686</v>
      </c>
      <c r="D419" t="s">
        <v>1101</v>
      </c>
      <c r="E419" t="s">
        <v>1102</v>
      </c>
      <c r="F419">
        <v>1048.8</v>
      </c>
      <c r="G419">
        <v>771.69</v>
      </c>
      <c r="H419">
        <v>0</v>
      </c>
      <c r="I419">
        <v>1820.49</v>
      </c>
      <c r="J419">
        <v>1820.49</v>
      </c>
    </row>
    <row r="420" spans="1:10" x14ac:dyDescent="0.3">
      <c r="A420" t="s">
        <v>975</v>
      </c>
      <c r="B420" t="s">
        <v>553</v>
      </c>
      <c r="C420" t="s">
        <v>686</v>
      </c>
      <c r="D420" t="s">
        <v>1103</v>
      </c>
      <c r="E420" t="s">
        <v>1104</v>
      </c>
      <c r="F420">
        <v>0</v>
      </c>
      <c r="G420">
        <v>78</v>
      </c>
      <c r="H420">
        <v>0</v>
      </c>
      <c r="I420">
        <v>78</v>
      </c>
      <c r="J420">
        <v>78</v>
      </c>
    </row>
    <row r="421" spans="1:10" x14ac:dyDescent="0.3">
      <c r="A421" t="s">
        <v>975</v>
      </c>
      <c r="B421" t="s">
        <v>553</v>
      </c>
      <c r="C421" t="s">
        <v>686</v>
      </c>
      <c r="D421" t="s">
        <v>1105</v>
      </c>
      <c r="E421" t="s">
        <v>1106</v>
      </c>
      <c r="F421">
        <v>1.9</v>
      </c>
      <c r="G421">
        <v>0</v>
      </c>
      <c r="H421">
        <v>0</v>
      </c>
      <c r="I421">
        <v>1.9</v>
      </c>
      <c r="J421">
        <v>1.9</v>
      </c>
    </row>
    <row r="422" spans="1:10" x14ac:dyDescent="0.3">
      <c r="A422" t="s">
        <v>975</v>
      </c>
      <c r="B422" t="s">
        <v>554</v>
      </c>
      <c r="C422" t="s">
        <v>686</v>
      </c>
      <c r="D422" t="s">
        <v>980</v>
      </c>
      <c r="E422" t="s">
        <v>926</v>
      </c>
      <c r="F422">
        <v>92228.510000000009</v>
      </c>
      <c r="G422">
        <v>0</v>
      </c>
      <c r="H422">
        <v>41460.15</v>
      </c>
      <c r="I422">
        <v>50768.36</v>
      </c>
      <c r="J422">
        <v>50768.36</v>
      </c>
    </row>
    <row r="423" spans="1:10" x14ac:dyDescent="0.3">
      <c r="A423" t="s">
        <v>975</v>
      </c>
      <c r="B423" t="s">
        <v>554</v>
      </c>
      <c r="C423" t="s">
        <v>686</v>
      </c>
      <c r="D423" t="s">
        <v>983</v>
      </c>
      <c r="E423" t="s">
        <v>984</v>
      </c>
      <c r="F423">
        <v>10879.1</v>
      </c>
      <c r="G423">
        <v>3320.5</v>
      </c>
      <c r="H423">
        <v>0</v>
      </c>
      <c r="I423">
        <v>14199.6</v>
      </c>
      <c r="J423">
        <v>14199.6</v>
      </c>
    </row>
    <row r="424" spans="1:10" x14ac:dyDescent="0.3">
      <c r="A424" t="s">
        <v>975</v>
      </c>
      <c r="B424" t="s">
        <v>554</v>
      </c>
      <c r="C424" t="s">
        <v>686</v>
      </c>
      <c r="D424" t="s">
        <v>985</v>
      </c>
      <c r="E424" t="s">
        <v>986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 x14ac:dyDescent="0.3">
      <c r="A425" t="s">
        <v>975</v>
      </c>
      <c r="B425" t="s">
        <v>554</v>
      </c>
      <c r="C425" t="s">
        <v>686</v>
      </c>
      <c r="D425" t="s">
        <v>987</v>
      </c>
      <c r="E425" t="s">
        <v>988</v>
      </c>
      <c r="F425">
        <v>2256.81</v>
      </c>
      <c r="G425">
        <v>221.28</v>
      </c>
      <c r="H425">
        <v>0</v>
      </c>
      <c r="I425">
        <v>2478.09</v>
      </c>
      <c r="J425">
        <v>2478.09</v>
      </c>
    </row>
    <row r="426" spans="1:10" x14ac:dyDescent="0.3">
      <c r="A426" t="s">
        <v>975</v>
      </c>
      <c r="B426" t="s">
        <v>554</v>
      </c>
      <c r="C426" t="s">
        <v>686</v>
      </c>
      <c r="D426" t="s">
        <v>989</v>
      </c>
      <c r="E426" t="s">
        <v>990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 x14ac:dyDescent="0.3">
      <c r="A427" t="s">
        <v>975</v>
      </c>
      <c r="B427" t="s">
        <v>554</v>
      </c>
      <c r="C427" t="s">
        <v>686</v>
      </c>
      <c r="D427" t="s">
        <v>995</v>
      </c>
      <c r="E427" t="s">
        <v>996</v>
      </c>
      <c r="F427">
        <v>8811.86</v>
      </c>
      <c r="G427">
        <v>0</v>
      </c>
      <c r="H427">
        <v>0</v>
      </c>
      <c r="I427">
        <v>8811.86</v>
      </c>
      <c r="J427">
        <v>8811.86</v>
      </c>
    </row>
    <row r="428" spans="1:10" x14ac:dyDescent="0.3">
      <c r="A428" t="s">
        <v>975</v>
      </c>
      <c r="B428" t="s">
        <v>554</v>
      </c>
      <c r="C428" t="s">
        <v>686</v>
      </c>
      <c r="D428" t="s">
        <v>997</v>
      </c>
      <c r="E428" t="s">
        <v>998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 x14ac:dyDescent="0.3">
      <c r="A429" t="s">
        <v>975</v>
      </c>
      <c r="B429" t="s">
        <v>554</v>
      </c>
      <c r="C429" t="s">
        <v>686</v>
      </c>
      <c r="D429" t="s">
        <v>1028</v>
      </c>
      <c r="E429" t="s">
        <v>1029</v>
      </c>
      <c r="F429">
        <v>-14208.08</v>
      </c>
      <c r="G429">
        <v>0</v>
      </c>
      <c r="H429">
        <v>0</v>
      </c>
      <c r="I429">
        <v>-14208.08</v>
      </c>
      <c r="J429">
        <v>14208.08</v>
      </c>
    </row>
    <row r="430" spans="1:10" x14ac:dyDescent="0.3">
      <c r="A430" t="s">
        <v>975</v>
      </c>
      <c r="B430" t="s">
        <v>554</v>
      </c>
      <c r="C430" t="s">
        <v>686</v>
      </c>
      <c r="D430" t="s">
        <v>1031</v>
      </c>
      <c r="E430" t="s">
        <v>1032</v>
      </c>
      <c r="F430">
        <v>-26659.66</v>
      </c>
      <c r="G430">
        <v>0</v>
      </c>
      <c r="H430">
        <v>0</v>
      </c>
      <c r="I430">
        <v>-26659.66</v>
      </c>
      <c r="J430">
        <v>26659.66</v>
      </c>
    </row>
    <row r="431" spans="1:10" x14ac:dyDescent="0.3">
      <c r="A431" t="s">
        <v>975</v>
      </c>
      <c r="B431" t="s">
        <v>554</v>
      </c>
      <c r="C431" t="s">
        <v>686</v>
      </c>
      <c r="D431" t="s">
        <v>1033</v>
      </c>
      <c r="E431" t="s">
        <v>1034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 x14ac:dyDescent="0.3">
      <c r="A432" t="s">
        <v>975</v>
      </c>
      <c r="B432" t="s">
        <v>554</v>
      </c>
      <c r="C432" t="s">
        <v>686</v>
      </c>
      <c r="D432" t="s">
        <v>1006</v>
      </c>
      <c r="E432" t="s">
        <v>1007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 x14ac:dyDescent="0.3">
      <c r="A433" t="s">
        <v>975</v>
      </c>
      <c r="B433" t="s">
        <v>554</v>
      </c>
      <c r="C433" t="s">
        <v>686</v>
      </c>
      <c r="D433" t="s">
        <v>1008</v>
      </c>
      <c r="E433" t="s">
        <v>1009</v>
      </c>
      <c r="F433">
        <v>-5646.92</v>
      </c>
      <c r="G433">
        <v>5646.92</v>
      </c>
      <c r="H433">
        <v>1450.63</v>
      </c>
      <c r="I433">
        <v>-1450.63</v>
      </c>
      <c r="J433">
        <v>1450.63</v>
      </c>
    </row>
    <row r="434" spans="1:10" x14ac:dyDescent="0.3">
      <c r="A434" t="s">
        <v>975</v>
      </c>
      <c r="B434" t="s">
        <v>554</v>
      </c>
      <c r="C434" t="s">
        <v>686</v>
      </c>
      <c r="D434" t="s">
        <v>1010</v>
      </c>
      <c r="E434" t="s">
        <v>1011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 x14ac:dyDescent="0.3">
      <c r="A435" t="s">
        <v>975</v>
      </c>
      <c r="B435" t="s">
        <v>554</v>
      </c>
      <c r="C435" t="s">
        <v>686</v>
      </c>
      <c r="D435" t="s">
        <v>1012</v>
      </c>
      <c r="E435" t="s">
        <v>1013</v>
      </c>
      <c r="F435">
        <v>-1852.44</v>
      </c>
      <c r="G435">
        <v>0</v>
      </c>
      <c r="H435">
        <v>506.52</v>
      </c>
      <c r="I435">
        <v>-2358.96</v>
      </c>
      <c r="J435">
        <v>2358.96</v>
      </c>
    </row>
    <row r="436" spans="1:10" x14ac:dyDescent="0.3">
      <c r="A436" t="s">
        <v>975</v>
      </c>
      <c r="B436" t="s">
        <v>554</v>
      </c>
      <c r="C436" t="s">
        <v>686</v>
      </c>
      <c r="D436" t="s">
        <v>1016</v>
      </c>
      <c r="E436" t="s">
        <v>1017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 x14ac:dyDescent="0.3">
      <c r="A437" t="s">
        <v>975</v>
      </c>
      <c r="B437" t="s">
        <v>554</v>
      </c>
      <c r="C437" t="s">
        <v>686</v>
      </c>
      <c r="D437" t="s">
        <v>1123</v>
      </c>
      <c r="E437" t="s">
        <v>717</v>
      </c>
      <c r="F437">
        <v>369.61</v>
      </c>
      <c r="G437">
        <v>487.50000000000011</v>
      </c>
      <c r="H437">
        <v>4.29</v>
      </c>
      <c r="I437">
        <v>852.81999999999994</v>
      </c>
      <c r="J437">
        <v>852.81999999999994</v>
      </c>
    </row>
    <row r="438" spans="1:10" x14ac:dyDescent="0.3">
      <c r="A438" t="s">
        <v>975</v>
      </c>
      <c r="B438" t="s">
        <v>554</v>
      </c>
      <c r="C438" t="s">
        <v>686</v>
      </c>
      <c r="D438" t="s">
        <v>1118</v>
      </c>
      <c r="E438" t="s">
        <v>1119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 x14ac:dyDescent="0.3">
      <c r="A439" t="s">
        <v>975</v>
      </c>
      <c r="B439" t="s">
        <v>554</v>
      </c>
      <c r="C439" t="s">
        <v>686</v>
      </c>
      <c r="D439" t="s">
        <v>1120</v>
      </c>
      <c r="E439" t="s">
        <v>811</v>
      </c>
      <c r="F439">
        <v>-64960.94</v>
      </c>
      <c r="G439">
        <v>0</v>
      </c>
      <c r="H439">
        <v>0</v>
      </c>
      <c r="I439">
        <v>-64960.94</v>
      </c>
      <c r="J439">
        <v>64960.94</v>
      </c>
    </row>
    <row r="440" spans="1:10" x14ac:dyDescent="0.3">
      <c r="A440" t="s">
        <v>975</v>
      </c>
      <c r="B440" t="s">
        <v>554</v>
      </c>
      <c r="C440" t="s">
        <v>686</v>
      </c>
      <c r="D440" t="s">
        <v>1060</v>
      </c>
      <c r="E440" t="s">
        <v>1061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 x14ac:dyDescent="0.3">
      <c r="A441" t="s">
        <v>975</v>
      </c>
      <c r="B441" t="s">
        <v>554</v>
      </c>
      <c r="C441" t="s">
        <v>686</v>
      </c>
      <c r="D441" t="s">
        <v>1062</v>
      </c>
      <c r="E441" t="s">
        <v>1063</v>
      </c>
      <c r="F441">
        <v>3339.6</v>
      </c>
      <c r="G441">
        <v>1229.3499999999999</v>
      </c>
      <c r="H441">
        <v>0</v>
      </c>
      <c r="I441">
        <v>4568.95</v>
      </c>
      <c r="J441">
        <v>4568.95</v>
      </c>
    </row>
    <row r="442" spans="1:10" x14ac:dyDescent="0.3">
      <c r="A442" t="s">
        <v>975</v>
      </c>
      <c r="B442" t="s">
        <v>554</v>
      </c>
      <c r="C442" t="s">
        <v>686</v>
      </c>
      <c r="D442" t="s">
        <v>1064</v>
      </c>
      <c r="E442" t="s">
        <v>1065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 x14ac:dyDescent="0.3">
      <c r="A443" t="s">
        <v>975</v>
      </c>
      <c r="B443" t="s">
        <v>554</v>
      </c>
      <c r="C443" t="s">
        <v>686</v>
      </c>
      <c r="D443" t="s">
        <v>1066</v>
      </c>
      <c r="E443" t="s">
        <v>1067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 x14ac:dyDescent="0.3">
      <c r="A444" t="s">
        <v>975</v>
      </c>
      <c r="B444" t="s">
        <v>554</v>
      </c>
      <c r="C444" t="s">
        <v>686</v>
      </c>
      <c r="D444" t="s">
        <v>1068</v>
      </c>
      <c r="E444" t="s">
        <v>568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 x14ac:dyDescent="0.3">
      <c r="A445" t="s">
        <v>975</v>
      </c>
      <c r="B445" t="s">
        <v>554</v>
      </c>
      <c r="C445" t="s">
        <v>686</v>
      </c>
      <c r="D445" t="s">
        <v>1069</v>
      </c>
      <c r="E445" t="s">
        <v>1070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 x14ac:dyDescent="0.3">
      <c r="A446" t="s">
        <v>975</v>
      </c>
      <c r="B446" t="s">
        <v>554</v>
      </c>
      <c r="C446" t="s">
        <v>686</v>
      </c>
      <c r="D446" t="s">
        <v>1071</v>
      </c>
      <c r="E446" t="s">
        <v>1072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 x14ac:dyDescent="0.3">
      <c r="A447" t="s">
        <v>975</v>
      </c>
      <c r="B447" t="s">
        <v>554</v>
      </c>
      <c r="C447" t="s">
        <v>686</v>
      </c>
      <c r="D447" t="s">
        <v>1073</v>
      </c>
      <c r="E447" t="s">
        <v>1074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 x14ac:dyDescent="0.3">
      <c r="A448" t="s">
        <v>975</v>
      </c>
      <c r="B448" t="s">
        <v>554</v>
      </c>
      <c r="C448" t="s">
        <v>686</v>
      </c>
      <c r="D448" t="s">
        <v>1075</v>
      </c>
      <c r="E448" t="s">
        <v>1076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 x14ac:dyDescent="0.3">
      <c r="A449" t="s">
        <v>975</v>
      </c>
      <c r="B449" t="s">
        <v>554</v>
      </c>
      <c r="C449" t="s">
        <v>686</v>
      </c>
      <c r="D449" t="s">
        <v>1077</v>
      </c>
      <c r="E449" t="s">
        <v>1078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 x14ac:dyDescent="0.3">
      <c r="A450" t="s">
        <v>975</v>
      </c>
      <c r="B450" t="s">
        <v>554</v>
      </c>
      <c r="C450" t="s">
        <v>686</v>
      </c>
      <c r="D450" t="s">
        <v>1079</v>
      </c>
      <c r="E450" t="s">
        <v>1080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 x14ac:dyDescent="0.3">
      <c r="A451" t="s">
        <v>975</v>
      </c>
      <c r="B451" t="s">
        <v>554</v>
      </c>
      <c r="C451" t="s">
        <v>686</v>
      </c>
      <c r="D451" t="s">
        <v>1081</v>
      </c>
      <c r="E451" t="s">
        <v>1082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 x14ac:dyDescent="0.3">
      <c r="A452" t="s">
        <v>975</v>
      </c>
      <c r="B452" t="s">
        <v>554</v>
      </c>
      <c r="C452" t="s">
        <v>686</v>
      </c>
      <c r="D452" t="s">
        <v>1083</v>
      </c>
      <c r="E452" t="s">
        <v>1084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 x14ac:dyDescent="0.3">
      <c r="A453" t="s">
        <v>975</v>
      </c>
      <c r="B453" t="s">
        <v>554</v>
      </c>
      <c r="C453" t="s">
        <v>686</v>
      </c>
      <c r="D453" t="s">
        <v>1048</v>
      </c>
      <c r="E453" t="s">
        <v>1049</v>
      </c>
      <c r="F453">
        <v>-10291.030000000001</v>
      </c>
      <c r="G453">
        <v>0</v>
      </c>
      <c r="H453">
        <v>2813.98</v>
      </c>
      <c r="I453">
        <v>-13105.01</v>
      </c>
      <c r="J453">
        <v>13105.01</v>
      </c>
    </row>
    <row r="454" spans="1:10" x14ac:dyDescent="0.3">
      <c r="A454" t="s">
        <v>975</v>
      </c>
      <c r="B454" t="s">
        <v>554</v>
      </c>
      <c r="C454" t="s">
        <v>686</v>
      </c>
      <c r="D454" t="s">
        <v>1095</v>
      </c>
      <c r="E454" t="s">
        <v>1096</v>
      </c>
      <c r="F454">
        <v>2127</v>
      </c>
      <c r="G454">
        <v>30183.82</v>
      </c>
      <c r="H454">
        <v>0</v>
      </c>
      <c r="I454">
        <v>32310.82</v>
      </c>
      <c r="J454">
        <v>32310.82</v>
      </c>
    </row>
    <row r="455" spans="1:10" x14ac:dyDescent="0.3">
      <c r="A455" t="s">
        <v>975</v>
      </c>
      <c r="B455" t="s">
        <v>554</v>
      </c>
      <c r="C455" t="s">
        <v>686</v>
      </c>
      <c r="D455" t="s">
        <v>1097</v>
      </c>
      <c r="E455" t="s">
        <v>1098</v>
      </c>
      <c r="F455">
        <v>1706.19</v>
      </c>
      <c r="G455">
        <v>0</v>
      </c>
      <c r="H455">
        <v>0</v>
      </c>
      <c r="I455">
        <v>1706.19</v>
      </c>
      <c r="J455">
        <v>1706.19</v>
      </c>
    </row>
    <row r="456" spans="1:10" x14ac:dyDescent="0.3">
      <c r="A456" t="s">
        <v>975</v>
      </c>
      <c r="B456" t="s">
        <v>554</v>
      </c>
      <c r="C456" t="s">
        <v>686</v>
      </c>
      <c r="D456" t="s">
        <v>1099</v>
      </c>
      <c r="E456" t="s">
        <v>1100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 x14ac:dyDescent="0.3">
      <c r="A457" t="s">
        <v>975</v>
      </c>
      <c r="B457" t="s">
        <v>554</v>
      </c>
      <c r="C457" t="s">
        <v>686</v>
      </c>
      <c r="D457" t="s">
        <v>1101</v>
      </c>
      <c r="E457" t="s">
        <v>1102</v>
      </c>
      <c r="F457">
        <v>1820.49</v>
      </c>
      <c r="G457">
        <v>5146.2</v>
      </c>
      <c r="H457">
        <v>0</v>
      </c>
      <c r="I457">
        <v>6966.69</v>
      </c>
      <c r="J457">
        <v>6966.69</v>
      </c>
    </row>
    <row r="458" spans="1:10" x14ac:dyDescent="0.3">
      <c r="A458" t="s">
        <v>975</v>
      </c>
      <c r="B458" t="s">
        <v>554</v>
      </c>
      <c r="C458" t="s">
        <v>686</v>
      </c>
      <c r="D458" t="s">
        <v>1103</v>
      </c>
      <c r="E458" t="s">
        <v>1104</v>
      </c>
      <c r="F458">
        <v>78</v>
      </c>
      <c r="G458">
        <v>0</v>
      </c>
      <c r="H458">
        <v>0</v>
      </c>
      <c r="I458">
        <v>78</v>
      </c>
      <c r="J458">
        <v>78</v>
      </c>
    </row>
    <row r="459" spans="1:10" x14ac:dyDescent="0.3">
      <c r="A459" t="s">
        <v>975</v>
      </c>
      <c r="B459" t="s">
        <v>554</v>
      </c>
      <c r="C459" t="s">
        <v>686</v>
      </c>
      <c r="D459" t="s">
        <v>1105</v>
      </c>
      <c r="E459" t="s">
        <v>1106</v>
      </c>
      <c r="F459">
        <v>1.9</v>
      </c>
      <c r="G459">
        <v>0</v>
      </c>
      <c r="H459">
        <v>0</v>
      </c>
      <c r="I459">
        <v>1.9</v>
      </c>
      <c r="J459">
        <v>1.9</v>
      </c>
    </row>
    <row r="460" spans="1:10" x14ac:dyDescent="0.3">
      <c r="A460" t="s">
        <v>975</v>
      </c>
      <c r="B460" t="s">
        <v>603</v>
      </c>
      <c r="C460" t="s">
        <v>686</v>
      </c>
      <c r="D460" t="s">
        <v>980</v>
      </c>
      <c r="E460" t="s">
        <v>926</v>
      </c>
      <c r="F460">
        <v>50768.36</v>
      </c>
      <c r="G460">
        <v>7238.5</v>
      </c>
      <c r="H460">
        <v>7405.32</v>
      </c>
      <c r="I460">
        <v>50601.54</v>
      </c>
      <c r="J460">
        <v>50601.54</v>
      </c>
    </row>
    <row r="461" spans="1:10" x14ac:dyDescent="0.3">
      <c r="A461" t="s">
        <v>975</v>
      </c>
      <c r="B461" t="s">
        <v>603</v>
      </c>
      <c r="C461" t="s">
        <v>686</v>
      </c>
      <c r="D461" t="s">
        <v>983</v>
      </c>
      <c r="E461" t="s">
        <v>984</v>
      </c>
      <c r="F461">
        <v>14199.6</v>
      </c>
      <c r="G461">
        <v>7318.65</v>
      </c>
      <c r="H461">
        <v>6654.66</v>
      </c>
      <c r="I461">
        <v>14863.59</v>
      </c>
      <c r="J461">
        <v>14863.59</v>
      </c>
    </row>
    <row r="462" spans="1:10" x14ac:dyDescent="0.3">
      <c r="A462" t="s">
        <v>975</v>
      </c>
      <c r="B462" t="s">
        <v>603</v>
      </c>
      <c r="C462" t="s">
        <v>686</v>
      </c>
      <c r="D462" t="s">
        <v>985</v>
      </c>
      <c r="E462" t="s">
        <v>986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 x14ac:dyDescent="0.3">
      <c r="A463" t="s">
        <v>975</v>
      </c>
      <c r="B463" t="s">
        <v>603</v>
      </c>
      <c r="C463" t="s">
        <v>686</v>
      </c>
      <c r="D463" t="s">
        <v>987</v>
      </c>
      <c r="E463" t="s">
        <v>988</v>
      </c>
      <c r="F463">
        <v>2478.09</v>
      </c>
      <c r="G463">
        <v>1716.27</v>
      </c>
      <c r="H463">
        <v>0</v>
      </c>
      <c r="I463">
        <v>4194.3600000000006</v>
      </c>
      <c r="J463">
        <v>4194.3600000000006</v>
      </c>
    </row>
    <row r="464" spans="1:10" x14ac:dyDescent="0.3">
      <c r="A464" t="s">
        <v>975</v>
      </c>
      <c r="B464" t="s">
        <v>603</v>
      </c>
      <c r="C464" t="s">
        <v>686</v>
      </c>
      <c r="D464" t="s">
        <v>989</v>
      </c>
      <c r="E464" t="s">
        <v>990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 x14ac:dyDescent="0.3">
      <c r="A465" t="s">
        <v>975</v>
      </c>
      <c r="B465" t="s">
        <v>603</v>
      </c>
      <c r="C465" t="s">
        <v>686</v>
      </c>
      <c r="D465" t="s">
        <v>995</v>
      </c>
      <c r="E465" t="s">
        <v>996</v>
      </c>
      <c r="F465">
        <v>8811.86</v>
      </c>
      <c r="G465">
        <v>0</v>
      </c>
      <c r="H465">
        <v>0</v>
      </c>
      <c r="I465">
        <v>8811.86</v>
      </c>
      <c r="J465">
        <v>8811.86</v>
      </c>
    </row>
    <row r="466" spans="1:10" x14ac:dyDescent="0.3">
      <c r="A466" t="s">
        <v>975</v>
      </c>
      <c r="B466" t="s">
        <v>603</v>
      </c>
      <c r="C466" t="s">
        <v>686</v>
      </c>
      <c r="D466" t="s">
        <v>997</v>
      </c>
      <c r="E466" t="s">
        <v>998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 x14ac:dyDescent="0.3">
      <c r="A467" t="s">
        <v>975</v>
      </c>
      <c r="B467" t="s">
        <v>603</v>
      </c>
      <c r="C467" t="s">
        <v>686</v>
      </c>
      <c r="D467" t="s">
        <v>1028</v>
      </c>
      <c r="E467" t="s">
        <v>1029</v>
      </c>
      <c r="F467">
        <v>-14208.08</v>
      </c>
      <c r="G467">
        <v>0</v>
      </c>
      <c r="H467">
        <v>0</v>
      </c>
      <c r="I467">
        <v>-14208.08</v>
      </c>
      <c r="J467">
        <v>14208.08</v>
      </c>
    </row>
    <row r="468" spans="1:10" x14ac:dyDescent="0.3">
      <c r="A468" t="s">
        <v>975</v>
      </c>
      <c r="B468" t="s">
        <v>603</v>
      </c>
      <c r="C468" t="s">
        <v>686</v>
      </c>
      <c r="D468" t="s">
        <v>1031</v>
      </c>
      <c r="E468" t="s">
        <v>1032</v>
      </c>
      <c r="F468">
        <v>-26659.66</v>
      </c>
      <c r="G468">
        <v>0</v>
      </c>
      <c r="H468">
        <v>0</v>
      </c>
      <c r="I468">
        <v>-26659.66</v>
      </c>
      <c r="J468">
        <v>26659.66</v>
      </c>
    </row>
    <row r="469" spans="1:10" x14ac:dyDescent="0.3">
      <c r="A469" t="s">
        <v>975</v>
      </c>
      <c r="B469" t="s">
        <v>603</v>
      </c>
      <c r="C469" t="s">
        <v>686</v>
      </c>
      <c r="D469" t="s">
        <v>1033</v>
      </c>
      <c r="E469" t="s">
        <v>1034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 x14ac:dyDescent="0.3">
      <c r="A470" t="s">
        <v>975</v>
      </c>
      <c r="B470" t="s">
        <v>603</v>
      </c>
      <c r="C470" t="s">
        <v>686</v>
      </c>
      <c r="D470" t="s">
        <v>1006</v>
      </c>
      <c r="E470" t="s">
        <v>1007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 x14ac:dyDescent="0.3">
      <c r="A471" t="s">
        <v>975</v>
      </c>
      <c r="B471" t="s">
        <v>603</v>
      </c>
      <c r="C471" t="s">
        <v>686</v>
      </c>
      <c r="D471" t="s">
        <v>1008</v>
      </c>
      <c r="E471" t="s">
        <v>1009</v>
      </c>
      <c r="F471">
        <v>-1450.63</v>
      </c>
      <c r="G471">
        <v>0</v>
      </c>
      <c r="H471">
        <v>7305.25</v>
      </c>
      <c r="I471">
        <v>-8755.880000000001</v>
      </c>
      <c r="J471">
        <v>8755.880000000001</v>
      </c>
    </row>
    <row r="472" spans="1:10" x14ac:dyDescent="0.3">
      <c r="A472" t="s">
        <v>975</v>
      </c>
      <c r="B472" t="s">
        <v>603</v>
      </c>
      <c r="C472" t="s">
        <v>686</v>
      </c>
      <c r="D472" t="s">
        <v>1010</v>
      </c>
      <c r="E472" t="s">
        <v>1011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 x14ac:dyDescent="0.3">
      <c r="A473" t="s">
        <v>975</v>
      </c>
      <c r="B473" t="s">
        <v>603</v>
      </c>
      <c r="C473" t="s">
        <v>686</v>
      </c>
      <c r="D473" t="s">
        <v>1012</v>
      </c>
      <c r="E473" t="s">
        <v>1013</v>
      </c>
      <c r="F473">
        <v>-2358.96</v>
      </c>
      <c r="G473">
        <v>0</v>
      </c>
      <c r="H473">
        <v>1116.4000000000001</v>
      </c>
      <c r="I473">
        <v>-3475.36</v>
      </c>
      <c r="J473">
        <v>3475.36</v>
      </c>
    </row>
    <row r="474" spans="1:10" x14ac:dyDescent="0.3">
      <c r="A474" t="s">
        <v>975</v>
      </c>
      <c r="B474" t="s">
        <v>603</v>
      </c>
      <c r="C474" t="s">
        <v>686</v>
      </c>
      <c r="D474" t="s">
        <v>1016</v>
      </c>
      <c r="E474" t="s">
        <v>1017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 x14ac:dyDescent="0.3">
      <c r="A475" t="s">
        <v>975</v>
      </c>
      <c r="B475" t="s">
        <v>603</v>
      </c>
      <c r="C475" t="s">
        <v>686</v>
      </c>
      <c r="D475" t="s">
        <v>1123</v>
      </c>
      <c r="E475" t="s">
        <v>717</v>
      </c>
      <c r="F475">
        <v>852.81999999999994</v>
      </c>
      <c r="G475">
        <v>314.14999999999998</v>
      </c>
      <c r="H475">
        <v>0</v>
      </c>
      <c r="I475">
        <v>1166.97</v>
      </c>
      <c r="J475">
        <v>1166.97</v>
      </c>
    </row>
    <row r="476" spans="1:10" x14ac:dyDescent="0.3">
      <c r="A476" t="s">
        <v>975</v>
      </c>
      <c r="B476" t="s">
        <v>603</v>
      </c>
      <c r="C476" t="s">
        <v>686</v>
      </c>
      <c r="D476" t="s">
        <v>1118</v>
      </c>
      <c r="E476" t="s">
        <v>1119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 x14ac:dyDescent="0.3">
      <c r="A477" t="s">
        <v>975</v>
      </c>
      <c r="B477" t="s">
        <v>603</v>
      </c>
      <c r="C477" t="s">
        <v>686</v>
      </c>
      <c r="D477" t="s">
        <v>1120</v>
      </c>
      <c r="E477" t="s">
        <v>811</v>
      </c>
      <c r="F477">
        <v>-64960.94</v>
      </c>
      <c r="G477">
        <v>0</v>
      </c>
      <c r="H477">
        <v>0</v>
      </c>
      <c r="I477">
        <v>-64960.94</v>
      </c>
      <c r="J477">
        <v>64960.94</v>
      </c>
    </row>
    <row r="478" spans="1:10" x14ac:dyDescent="0.3">
      <c r="A478" t="s">
        <v>975</v>
      </c>
      <c r="B478" t="s">
        <v>603</v>
      </c>
      <c r="C478" t="s">
        <v>686</v>
      </c>
      <c r="D478" t="s">
        <v>1060</v>
      </c>
      <c r="E478" t="s">
        <v>1061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 x14ac:dyDescent="0.3">
      <c r="A479" t="s">
        <v>975</v>
      </c>
      <c r="B479" t="s">
        <v>603</v>
      </c>
      <c r="C479" t="s">
        <v>686</v>
      </c>
      <c r="D479" t="s">
        <v>1062</v>
      </c>
      <c r="E479" t="s">
        <v>1063</v>
      </c>
      <c r="F479">
        <v>4568.95</v>
      </c>
      <c r="G479">
        <v>878</v>
      </c>
      <c r="H479">
        <v>0</v>
      </c>
      <c r="I479">
        <v>5446.95</v>
      </c>
      <c r="J479">
        <v>5446.95</v>
      </c>
    </row>
    <row r="480" spans="1:10" x14ac:dyDescent="0.3">
      <c r="A480" t="s">
        <v>975</v>
      </c>
      <c r="B480" t="s">
        <v>603</v>
      </c>
      <c r="C480" t="s">
        <v>686</v>
      </c>
      <c r="D480" t="s">
        <v>1064</v>
      </c>
      <c r="E480" t="s">
        <v>1065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 x14ac:dyDescent="0.3">
      <c r="A481" t="s">
        <v>975</v>
      </c>
      <c r="B481" t="s">
        <v>603</v>
      </c>
      <c r="C481" t="s">
        <v>686</v>
      </c>
      <c r="D481" t="s">
        <v>1066</v>
      </c>
      <c r="E481" t="s">
        <v>1067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 x14ac:dyDescent="0.3">
      <c r="A482" t="s">
        <v>975</v>
      </c>
      <c r="B482" t="s">
        <v>603</v>
      </c>
      <c r="C482" t="s">
        <v>686</v>
      </c>
      <c r="D482" t="s">
        <v>1068</v>
      </c>
      <c r="E482" t="s">
        <v>568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 x14ac:dyDescent="0.3">
      <c r="A483" t="s">
        <v>975</v>
      </c>
      <c r="B483" t="s">
        <v>603</v>
      </c>
      <c r="C483" t="s">
        <v>686</v>
      </c>
      <c r="D483" t="s">
        <v>1069</v>
      </c>
      <c r="E483" t="s">
        <v>1070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 x14ac:dyDescent="0.3">
      <c r="A484" t="s">
        <v>975</v>
      </c>
      <c r="B484" t="s">
        <v>603</v>
      </c>
      <c r="C484" t="s">
        <v>686</v>
      </c>
      <c r="D484" t="s">
        <v>1071</v>
      </c>
      <c r="E484" t="s">
        <v>1072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 x14ac:dyDescent="0.3">
      <c r="A485" t="s">
        <v>975</v>
      </c>
      <c r="B485" t="s">
        <v>603</v>
      </c>
      <c r="C485" t="s">
        <v>686</v>
      </c>
      <c r="D485" t="s">
        <v>1073</v>
      </c>
      <c r="E485" t="s">
        <v>1074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 x14ac:dyDescent="0.3">
      <c r="A486" t="s">
        <v>975</v>
      </c>
      <c r="B486" t="s">
        <v>603</v>
      </c>
      <c r="C486" t="s">
        <v>686</v>
      </c>
      <c r="D486" t="s">
        <v>1075</v>
      </c>
      <c r="E486" t="s">
        <v>1076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 x14ac:dyDescent="0.3">
      <c r="A487" t="s">
        <v>975</v>
      </c>
      <c r="B487" t="s">
        <v>603</v>
      </c>
      <c r="C487" t="s">
        <v>686</v>
      </c>
      <c r="D487" t="s">
        <v>1077</v>
      </c>
      <c r="E487" t="s">
        <v>1078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 x14ac:dyDescent="0.3">
      <c r="A488" t="s">
        <v>975</v>
      </c>
      <c r="B488" t="s">
        <v>603</v>
      </c>
      <c r="C488" t="s">
        <v>686</v>
      </c>
      <c r="D488" t="s">
        <v>1079</v>
      </c>
      <c r="E488" t="s">
        <v>1080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 x14ac:dyDescent="0.3">
      <c r="A489" t="s">
        <v>975</v>
      </c>
      <c r="B489" t="s">
        <v>603</v>
      </c>
      <c r="C489" t="s">
        <v>686</v>
      </c>
      <c r="D489" t="s">
        <v>1081</v>
      </c>
      <c r="E489" t="s">
        <v>1082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 x14ac:dyDescent="0.3">
      <c r="A490" t="s">
        <v>975</v>
      </c>
      <c r="B490" t="s">
        <v>603</v>
      </c>
      <c r="C490" t="s">
        <v>686</v>
      </c>
      <c r="D490" t="s">
        <v>1083</v>
      </c>
      <c r="E490" t="s">
        <v>1084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 x14ac:dyDescent="0.3">
      <c r="A491" t="s">
        <v>975</v>
      </c>
      <c r="B491" t="s">
        <v>603</v>
      </c>
      <c r="C491" t="s">
        <v>686</v>
      </c>
      <c r="D491" t="s">
        <v>1048</v>
      </c>
      <c r="E491" t="s">
        <v>1049</v>
      </c>
      <c r="F491">
        <v>-13105.01</v>
      </c>
      <c r="G491">
        <v>0</v>
      </c>
      <c r="H491">
        <v>6202.25</v>
      </c>
      <c r="I491">
        <v>-19307.259999999998</v>
      </c>
      <c r="J491">
        <v>19307.259999999998</v>
      </c>
    </row>
    <row r="492" spans="1:10" x14ac:dyDescent="0.3">
      <c r="A492" t="s">
        <v>975</v>
      </c>
      <c r="B492" t="s">
        <v>603</v>
      </c>
      <c r="C492" t="s">
        <v>686</v>
      </c>
      <c r="D492" t="s">
        <v>1095</v>
      </c>
      <c r="E492" t="s">
        <v>1096</v>
      </c>
      <c r="F492">
        <v>32310.82</v>
      </c>
      <c r="G492">
        <v>0</v>
      </c>
      <c r="H492">
        <v>0</v>
      </c>
      <c r="I492">
        <v>32310.82</v>
      </c>
      <c r="J492">
        <v>32310.82</v>
      </c>
    </row>
    <row r="493" spans="1:10" x14ac:dyDescent="0.3">
      <c r="A493" t="s">
        <v>975</v>
      </c>
      <c r="B493" t="s">
        <v>603</v>
      </c>
      <c r="C493" t="s">
        <v>686</v>
      </c>
      <c r="D493" t="s">
        <v>1097</v>
      </c>
      <c r="E493" t="s">
        <v>1098</v>
      </c>
      <c r="F493">
        <v>1706.19</v>
      </c>
      <c r="G493">
        <v>0</v>
      </c>
      <c r="H493">
        <v>0</v>
      </c>
      <c r="I493">
        <v>1706.19</v>
      </c>
      <c r="J493">
        <v>1706.19</v>
      </c>
    </row>
    <row r="494" spans="1:10" x14ac:dyDescent="0.3">
      <c r="A494" t="s">
        <v>975</v>
      </c>
      <c r="B494" t="s">
        <v>603</v>
      </c>
      <c r="C494" t="s">
        <v>686</v>
      </c>
      <c r="D494" t="s">
        <v>1099</v>
      </c>
      <c r="E494" t="s">
        <v>1100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 x14ac:dyDescent="0.3">
      <c r="A495" t="s">
        <v>975</v>
      </c>
      <c r="B495" t="s">
        <v>603</v>
      </c>
      <c r="C495" t="s">
        <v>686</v>
      </c>
      <c r="D495" t="s">
        <v>1101</v>
      </c>
      <c r="E495" t="s">
        <v>1102</v>
      </c>
      <c r="F495">
        <v>6966.69</v>
      </c>
      <c r="G495">
        <v>6676.420000000001</v>
      </c>
      <c r="H495">
        <v>0</v>
      </c>
      <c r="I495">
        <v>13643.11</v>
      </c>
      <c r="J495">
        <v>13643.11</v>
      </c>
    </row>
    <row r="496" spans="1:10" x14ac:dyDescent="0.3">
      <c r="A496" t="s">
        <v>975</v>
      </c>
      <c r="B496" t="s">
        <v>603</v>
      </c>
      <c r="C496" t="s">
        <v>686</v>
      </c>
      <c r="D496" t="s">
        <v>1103</v>
      </c>
      <c r="E496" t="s">
        <v>1104</v>
      </c>
      <c r="F496">
        <v>78</v>
      </c>
      <c r="G496">
        <v>467.37</v>
      </c>
      <c r="H496">
        <v>0</v>
      </c>
      <c r="I496">
        <v>545.37</v>
      </c>
      <c r="J496">
        <v>545.37</v>
      </c>
    </row>
    <row r="497" spans="1:10" x14ac:dyDescent="0.3">
      <c r="A497" t="s">
        <v>975</v>
      </c>
      <c r="B497" t="s">
        <v>603</v>
      </c>
      <c r="C497" t="s">
        <v>686</v>
      </c>
      <c r="D497" t="s">
        <v>1105</v>
      </c>
      <c r="E497" t="s">
        <v>1106</v>
      </c>
      <c r="F497">
        <v>1.9</v>
      </c>
      <c r="G497">
        <v>4074.52</v>
      </c>
      <c r="H497">
        <v>0</v>
      </c>
      <c r="I497">
        <v>4076.42</v>
      </c>
      <c r="J497">
        <v>4076.42</v>
      </c>
    </row>
    <row r="498" spans="1:10" x14ac:dyDescent="0.3">
      <c r="A498" t="s">
        <v>975</v>
      </c>
      <c r="B498" t="s">
        <v>624</v>
      </c>
      <c r="C498" t="s">
        <v>686</v>
      </c>
      <c r="D498" t="s">
        <v>980</v>
      </c>
      <c r="E498" t="s">
        <v>926</v>
      </c>
      <c r="F498">
        <v>50768.36</v>
      </c>
      <c r="G498">
        <v>7238.5</v>
      </c>
      <c r="H498">
        <v>7405.32</v>
      </c>
      <c r="I498">
        <v>50601.54</v>
      </c>
      <c r="J498">
        <v>50601.54</v>
      </c>
    </row>
    <row r="499" spans="1:10" x14ac:dyDescent="0.3">
      <c r="A499" t="s">
        <v>975</v>
      </c>
      <c r="B499" t="s">
        <v>624</v>
      </c>
      <c r="C499" t="s">
        <v>686</v>
      </c>
      <c r="D499" t="s">
        <v>983</v>
      </c>
      <c r="E499" t="s">
        <v>984</v>
      </c>
      <c r="F499">
        <v>14199.6</v>
      </c>
      <c r="G499">
        <v>7318.65</v>
      </c>
      <c r="H499">
        <v>6654.66</v>
      </c>
      <c r="I499">
        <v>14863.59</v>
      </c>
      <c r="J499">
        <v>14863.59</v>
      </c>
    </row>
    <row r="500" spans="1:10" x14ac:dyDescent="0.3">
      <c r="A500" t="s">
        <v>975</v>
      </c>
      <c r="B500" t="s">
        <v>624</v>
      </c>
      <c r="C500" t="s">
        <v>686</v>
      </c>
      <c r="D500" t="s">
        <v>985</v>
      </c>
      <c r="E500" t="s">
        <v>986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 x14ac:dyDescent="0.3">
      <c r="A501" t="s">
        <v>975</v>
      </c>
      <c r="B501" t="s">
        <v>624</v>
      </c>
      <c r="C501" t="s">
        <v>686</v>
      </c>
      <c r="D501" t="s">
        <v>987</v>
      </c>
      <c r="E501" t="s">
        <v>988</v>
      </c>
      <c r="F501">
        <v>2478.09</v>
      </c>
      <c r="G501">
        <v>1716.27</v>
      </c>
      <c r="H501">
        <v>0</v>
      </c>
      <c r="I501">
        <v>4194.3600000000006</v>
      </c>
      <c r="J501">
        <v>4194.3600000000006</v>
      </c>
    </row>
    <row r="502" spans="1:10" x14ac:dyDescent="0.3">
      <c r="A502" t="s">
        <v>975</v>
      </c>
      <c r="B502" t="s">
        <v>624</v>
      </c>
      <c r="C502" t="s">
        <v>686</v>
      </c>
      <c r="D502" t="s">
        <v>989</v>
      </c>
      <c r="E502" t="s">
        <v>990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 x14ac:dyDescent="0.3">
      <c r="A503" t="s">
        <v>975</v>
      </c>
      <c r="B503" t="s">
        <v>624</v>
      </c>
      <c r="C503" t="s">
        <v>686</v>
      </c>
      <c r="D503" t="s">
        <v>995</v>
      </c>
      <c r="E503" t="s">
        <v>996</v>
      </c>
      <c r="F503">
        <v>8811.86</v>
      </c>
      <c r="G503">
        <v>0</v>
      </c>
      <c r="H503">
        <v>0</v>
      </c>
      <c r="I503">
        <v>8811.86</v>
      </c>
      <c r="J503">
        <v>8811.86</v>
      </c>
    </row>
    <row r="504" spans="1:10" x14ac:dyDescent="0.3">
      <c r="A504" t="s">
        <v>975</v>
      </c>
      <c r="B504" t="s">
        <v>624</v>
      </c>
      <c r="C504" t="s">
        <v>686</v>
      </c>
      <c r="D504" t="s">
        <v>997</v>
      </c>
      <c r="E504" t="s">
        <v>998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 x14ac:dyDescent="0.3">
      <c r="A505" t="s">
        <v>975</v>
      </c>
      <c r="B505" t="s">
        <v>624</v>
      </c>
      <c r="C505" t="s">
        <v>686</v>
      </c>
      <c r="D505" t="s">
        <v>1028</v>
      </c>
      <c r="E505" t="s">
        <v>1029</v>
      </c>
      <c r="F505">
        <v>-14208.08</v>
      </c>
      <c r="G505">
        <v>0</v>
      </c>
      <c r="H505">
        <v>0</v>
      </c>
      <c r="I505">
        <v>-14208.08</v>
      </c>
      <c r="J505">
        <v>14208.08</v>
      </c>
    </row>
    <row r="506" spans="1:10" x14ac:dyDescent="0.3">
      <c r="A506" t="s">
        <v>975</v>
      </c>
      <c r="B506" t="s">
        <v>624</v>
      </c>
      <c r="C506" t="s">
        <v>686</v>
      </c>
      <c r="D506" t="s">
        <v>1031</v>
      </c>
      <c r="E506" t="s">
        <v>1032</v>
      </c>
      <c r="F506">
        <v>-26659.66</v>
      </c>
      <c r="G506">
        <v>0</v>
      </c>
      <c r="H506">
        <v>0</v>
      </c>
      <c r="I506">
        <v>-26659.66</v>
      </c>
      <c r="J506">
        <v>26659.66</v>
      </c>
    </row>
    <row r="507" spans="1:10" x14ac:dyDescent="0.3">
      <c r="A507" t="s">
        <v>975</v>
      </c>
      <c r="B507" t="s">
        <v>624</v>
      </c>
      <c r="C507" t="s">
        <v>686</v>
      </c>
      <c r="D507" t="s">
        <v>1033</v>
      </c>
      <c r="E507" t="s">
        <v>1034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 x14ac:dyDescent="0.3">
      <c r="A508" t="s">
        <v>975</v>
      </c>
      <c r="B508" t="s">
        <v>624</v>
      </c>
      <c r="C508" t="s">
        <v>686</v>
      </c>
      <c r="D508" t="s">
        <v>1006</v>
      </c>
      <c r="E508" t="s">
        <v>1007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 x14ac:dyDescent="0.3">
      <c r="A509" t="s">
        <v>975</v>
      </c>
      <c r="B509" t="s">
        <v>624</v>
      </c>
      <c r="C509" t="s">
        <v>686</v>
      </c>
      <c r="D509" t="s">
        <v>1008</v>
      </c>
      <c r="E509" t="s">
        <v>1009</v>
      </c>
      <c r="F509">
        <v>-1450.63</v>
      </c>
      <c r="G509">
        <v>0</v>
      </c>
      <c r="H509">
        <v>7305.25</v>
      </c>
      <c r="I509">
        <v>-8755.880000000001</v>
      </c>
      <c r="J509">
        <v>8755.880000000001</v>
      </c>
    </row>
    <row r="510" spans="1:10" x14ac:dyDescent="0.3">
      <c r="A510" t="s">
        <v>975</v>
      </c>
      <c r="B510" t="s">
        <v>624</v>
      </c>
      <c r="C510" t="s">
        <v>686</v>
      </c>
      <c r="D510" t="s">
        <v>1010</v>
      </c>
      <c r="E510" t="s">
        <v>1011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 x14ac:dyDescent="0.3">
      <c r="A511" t="s">
        <v>975</v>
      </c>
      <c r="B511" t="s">
        <v>624</v>
      </c>
      <c r="C511" t="s">
        <v>686</v>
      </c>
      <c r="D511" t="s">
        <v>1012</v>
      </c>
      <c r="E511" t="s">
        <v>1013</v>
      </c>
      <c r="F511">
        <v>-2358.96</v>
      </c>
      <c r="G511">
        <v>0</v>
      </c>
      <c r="H511">
        <v>1116.4000000000001</v>
      </c>
      <c r="I511">
        <v>-3475.36</v>
      </c>
      <c r="J511">
        <v>3475.36</v>
      </c>
    </row>
    <row r="512" spans="1:10" x14ac:dyDescent="0.3">
      <c r="A512" t="s">
        <v>975</v>
      </c>
      <c r="B512" t="s">
        <v>624</v>
      </c>
      <c r="C512" t="s">
        <v>686</v>
      </c>
      <c r="D512" t="s">
        <v>1016</v>
      </c>
      <c r="E512" t="s">
        <v>1017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 x14ac:dyDescent="0.3">
      <c r="A513" t="s">
        <v>975</v>
      </c>
      <c r="B513" t="s">
        <v>624</v>
      </c>
      <c r="C513" t="s">
        <v>686</v>
      </c>
      <c r="D513" t="s">
        <v>1123</v>
      </c>
      <c r="E513" t="s">
        <v>717</v>
      </c>
      <c r="F513">
        <v>852.81999999999994</v>
      </c>
      <c r="G513">
        <v>314.14999999999998</v>
      </c>
      <c r="H513">
        <v>0</v>
      </c>
      <c r="I513">
        <v>1166.97</v>
      </c>
      <c r="J513">
        <v>1166.97</v>
      </c>
    </row>
    <row r="514" spans="1:10" x14ac:dyDescent="0.3">
      <c r="A514" t="s">
        <v>975</v>
      </c>
      <c r="B514" t="s">
        <v>624</v>
      </c>
      <c r="C514" t="s">
        <v>686</v>
      </c>
      <c r="D514" t="s">
        <v>1118</v>
      </c>
      <c r="E514" t="s">
        <v>1119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 x14ac:dyDescent="0.3">
      <c r="A515" t="s">
        <v>975</v>
      </c>
      <c r="B515" t="s">
        <v>624</v>
      </c>
      <c r="C515" t="s">
        <v>686</v>
      </c>
      <c r="D515" t="s">
        <v>1120</v>
      </c>
      <c r="E515" t="s">
        <v>811</v>
      </c>
      <c r="F515">
        <v>-64960.94</v>
      </c>
      <c r="G515">
        <v>0</v>
      </c>
      <c r="H515">
        <v>0</v>
      </c>
      <c r="I515">
        <v>-64960.94</v>
      </c>
      <c r="J515">
        <v>64960.94</v>
      </c>
    </row>
    <row r="516" spans="1:10" x14ac:dyDescent="0.3">
      <c r="A516" t="s">
        <v>975</v>
      </c>
      <c r="B516" t="s">
        <v>624</v>
      </c>
      <c r="C516" t="s">
        <v>686</v>
      </c>
      <c r="D516" t="s">
        <v>1060</v>
      </c>
      <c r="E516" t="s">
        <v>1061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 x14ac:dyDescent="0.3">
      <c r="A517" t="s">
        <v>975</v>
      </c>
      <c r="B517" t="s">
        <v>624</v>
      </c>
      <c r="C517" t="s">
        <v>686</v>
      </c>
      <c r="D517" t="s">
        <v>1062</v>
      </c>
      <c r="E517" t="s">
        <v>1063</v>
      </c>
      <c r="F517">
        <v>4568.95</v>
      </c>
      <c r="G517">
        <v>878</v>
      </c>
      <c r="H517">
        <v>0</v>
      </c>
      <c r="I517">
        <v>5446.95</v>
      </c>
      <c r="J517">
        <v>5446.95</v>
      </c>
    </row>
    <row r="518" spans="1:10" x14ac:dyDescent="0.3">
      <c r="A518" t="s">
        <v>975</v>
      </c>
      <c r="B518" t="s">
        <v>624</v>
      </c>
      <c r="C518" t="s">
        <v>686</v>
      </c>
      <c r="D518" t="s">
        <v>1064</v>
      </c>
      <c r="E518" t="s">
        <v>1065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 x14ac:dyDescent="0.3">
      <c r="A519" t="s">
        <v>975</v>
      </c>
      <c r="B519" t="s">
        <v>624</v>
      </c>
      <c r="C519" t="s">
        <v>686</v>
      </c>
      <c r="D519" t="s">
        <v>1066</v>
      </c>
      <c r="E519" t="s">
        <v>1067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 x14ac:dyDescent="0.3">
      <c r="A520" t="s">
        <v>975</v>
      </c>
      <c r="B520" t="s">
        <v>624</v>
      </c>
      <c r="C520" t="s">
        <v>686</v>
      </c>
      <c r="D520" t="s">
        <v>1068</v>
      </c>
      <c r="E520" t="s">
        <v>568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 x14ac:dyDescent="0.3">
      <c r="A521" t="s">
        <v>975</v>
      </c>
      <c r="B521" t="s">
        <v>624</v>
      </c>
      <c r="C521" t="s">
        <v>686</v>
      </c>
      <c r="D521" t="s">
        <v>1069</v>
      </c>
      <c r="E521" t="s">
        <v>1070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 x14ac:dyDescent="0.3">
      <c r="A522" t="s">
        <v>975</v>
      </c>
      <c r="B522" t="s">
        <v>624</v>
      </c>
      <c r="C522" t="s">
        <v>686</v>
      </c>
      <c r="D522" t="s">
        <v>1071</v>
      </c>
      <c r="E522" t="s">
        <v>1072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 x14ac:dyDescent="0.3">
      <c r="A523" t="s">
        <v>975</v>
      </c>
      <c r="B523" t="s">
        <v>624</v>
      </c>
      <c r="C523" t="s">
        <v>686</v>
      </c>
      <c r="D523" t="s">
        <v>1073</v>
      </c>
      <c r="E523" t="s">
        <v>1074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 x14ac:dyDescent="0.3">
      <c r="A524" t="s">
        <v>975</v>
      </c>
      <c r="B524" t="s">
        <v>624</v>
      </c>
      <c r="C524" t="s">
        <v>686</v>
      </c>
      <c r="D524" t="s">
        <v>1075</v>
      </c>
      <c r="E524" t="s">
        <v>1076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 x14ac:dyDescent="0.3">
      <c r="A525" t="s">
        <v>975</v>
      </c>
      <c r="B525" t="s">
        <v>624</v>
      </c>
      <c r="C525" t="s">
        <v>686</v>
      </c>
      <c r="D525" t="s">
        <v>1077</v>
      </c>
      <c r="E525" t="s">
        <v>1078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 x14ac:dyDescent="0.3">
      <c r="A526" t="s">
        <v>975</v>
      </c>
      <c r="B526" t="s">
        <v>624</v>
      </c>
      <c r="C526" t="s">
        <v>686</v>
      </c>
      <c r="D526" t="s">
        <v>1079</v>
      </c>
      <c r="E526" t="s">
        <v>1080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 x14ac:dyDescent="0.3">
      <c r="A527" t="s">
        <v>975</v>
      </c>
      <c r="B527" t="s">
        <v>624</v>
      </c>
      <c r="C527" t="s">
        <v>686</v>
      </c>
      <c r="D527" t="s">
        <v>1081</v>
      </c>
      <c r="E527" t="s">
        <v>1082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 x14ac:dyDescent="0.3">
      <c r="A528" t="s">
        <v>975</v>
      </c>
      <c r="B528" t="s">
        <v>624</v>
      </c>
      <c r="C528" t="s">
        <v>686</v>
      </c>
      <c r="D528" t="s">
        <v>1083</v>
      </c>
      <c r="E528" t="s">
        <v>1084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 x14ac:dyDescent="0.3">
      <c r="A529" t="s">
        <v>975</v>
      </c>
      <c r="B529" t="s">
        <v>624</v>
      </c>
      <c r="C529" t="s">
        <v>686</v>
      </c>
      <c r="D529" t="s">
        <v>1048</v>
      </c>
      <c r="E529" t="s">
        <v>1049</v>
      </c>
      <c r="F529">
        <v>-13105.01</v>
      </c>
      <c r="G529">
        <v>0</v>
      </c>
      <c r="H529">
        <v>6202.25</v>
      </c>
      <c r="I529">
        <v>-19307.259999999998</v>
      </c>
      <c r="J529">
        <v>19307.259999999998</v>
      </c>
    </row>
    <row r="530" spans="1:10" x14ac:dyDescent="0.3">
      <c r="A530" t="s">
        <v>975</v>
      </c>
      <c r="B530" t="s">
        <v>624</v>
      </c>
      <c r="C530" t="s">
        <v>686</v>
      </c>
      <c r="D530" t="s">
        <v>1095</v>
      </c>
      <c r="E530" t="s">
        <v>1096</v>
      </c>
      <c r="F530">
        <v>32310.82</v>
      </c>
      <c r="G530">
        <v>0</v>
      </c>
      <c r="H530">
        <v>0</v>
      </c>
      <c r="I530">
        <v>32310.82</v>
      </c>
      <c r="J530">
        <v>32310.82</v>
      </c>
    </row>
    <row r="531" spans="1:10" x14ac:dyDescent="0.3">
      <c r="A531" t="s">
        <v>975</v>
      </c>
      <c r="B531" t="s">
        <v>624</v>
      </c>
      <c r="C531" t="s">
        <v>686</v>
      </c>
      <c r="D531" t="s">
        <v>1097</v>
      </c>
      <c r="E531" t="s">
        <v>1098</v>
      </c>
      <c r="F531">
        <v>1706.19</v>
      </c>
      <c r="G531">
        <v>0</v>
      </c>
      <c r="H531">
        <v>0</v>
      </c>
      <c r="I531">
        <v>1706.19</v>
      </c>
      <c r="J531">
        <v>1706.19</v>
      </c>
    </row>
    <row r="532" spans="1:10" x14ac:dyDescent="0.3">
      <c r="A532" t="s">
        <v>975</v>
      </c>
      <c r="B532" t="s">
        <v>624</v>
      </c>
      <c r="C532" t="s">
        <v>686</v>
      </c>
      <c r="D532" t="s">
        <v>1099</v>
      </c>
      <c r="E532" t="s">
        <v>1100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 x14ac:dyDescent="0.3">
      <c r="A533" t="s">
        <v>975</v>
      </c>
      <c r="B533" t="s">
        <v>624</v>
      </c>
      <c r="C533" t="s">
        <v>686</v>
      </c>
      <c r="D533" t="s">
        <v>1101</v>
      </c>
      <c r="E533" t="s">
        <v>1102</v>
      </c>
      <c r="F533">
        <v>6966.69</v>
      </c>
      <c r="G533">
        <v>6676.420000000001</v>
      </c>
      <c r="H533">
        <v>0</v>
      </c>
      <c r="I533">
        <v>13643.11</v>
      </c>
      <c r="J533">
        <v>13643.11</v>
      </c>
    </row>
    <row r="534" spans="1:10" x14ac:dyDescent="0.3">
      <c r="A534" t="s">
        <v>975</v>
      </c>
      <c r="B534" t="s">
        <v>624</v>
      </c>
      <c r="C534" t="s">
        <v>686</v>
      </c>
      <c r="D534" t="s">
        <v>1103</v>
      </c>
      <c r="E534" t="s">
        <v>1104</v>
      </c>
      <c r="F534">
        <v>78</v>
      </c>
      <c r="G534">
        <v>467.37</v>
      </c>
      <c r="H534">
        <v>0</v>
      </c>
      <c r="I534">
        <v>545.37</v>
      </c>
      <c r="J534">
        <v>545.37</v>
      </c>
    </row>
    <row r="535" spans="1:10" x14ac:dyDescent="0.3">
      <c r="A535" t="s">
        <v>975</v>
      </c>
      <c r="B535" t="s">
        <v>624</v>
      </c>
      <c r="C535" t="s">
        <v>686</v>
      </c>
      <c r="D535" t="s">
        <v>1105</v>
      </c>
      <c r="E535" t="s">
        <v>1106</v>
      </c>
      <c r="F535">
        <v>1.9</v>
      </c>
      <c r="G535">
        <v>4074.52</v>
      </c>
      <c r="H535">
        <v>0</v>
      </c>
      <c r="I535">
        <v>4076.42</v>
      </c>
      <c r="J535">
        <v>4076.42</v>
      </c>
    </row>
    <row r="536" spans="1:10" x14ac:dyDescent="0.3">
      <c r="A536" t="s">
        <v>976</v>
      </c>
      <c r="B536" t="s">
        <v>549</v>
      </c>
      <c r="C536" t="s">
        <v>496</v>
      </c>
      <c r="D536" t="s">
        <v>980</v>
      </c>
      <c r="E536" t="s">
        <v>926</v>
      </c>
      <c r="F536">
        <v>0</v>
      </c>
      <c r="G536">
        <v>3266.56</v>
      </c>
      <c r="H536">
        <v>2182.73</v>
      </c>
      <c r="I536">
        <v>1083.83</v>
      </c>
      <c r="J536">
        <v>1083.83</v>
      </c>
    </row>
    <row r="537" spans="1:10" x14ac:dyDescent="0.3">
      <c r="A537" t="s">
        <v>976</v>
      </c>
      <c r="B537" t="s">
        <v>549</v>
      </c>
      <c r="C537" t="s">
        <v>496</v>
      </c>
      <c r="D537" t="s">
        <v>983</v>
      </c>
      <c r="E537" t="s">
        <v>984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 x14ac:dyDescent="0.3">
      <c r="A538" t="s">
        <v>976</v>
      </c>
      <c r="B538" t="s">
        <v>549</v>
      </c>
      <c r="C538" t="s">
        <v>496</v>
      </c>
      <c r="D538" t="s">
        <v>985</v>
      </c>
      <c r="E538" t="s">
        <v>986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 x14ac:dyDescent="0.3">
      <c r="A539" t="s">
        <v>976</v>
      </c>
      <c r="B539" t="s">
        <v>549</v>
      </c>
      <c r="C539" t="s">
        <v>496</v>
      </c>
      <c r="D539" t="s">
        <v>987</v>
      </c>
      <c r="E539" t="s">
        <v>988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 x14ac:dyDescent="0.3">
      <c r="A540" t="s">
        <v>976</v>
      </c>
      <c r="B540" t="s">
        <v>549</v>
      </c>
      <c r="C540" t="s">
        <v>496</v>
      </c>
      <c r="D540" t="s">
        <v>989</v>
      </c>
      <c r="E540" t="s">
        <v>990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 x14ac:dyDescent="0.3">
      <c r="A541" t="s">
        <v>976</v>
      </c>
      <c r="B541" t="s">
        <v>549</v>
      </c>
      <c r="C541" t="s">
        <v>496</v>
      </c>
      <c r="D541" t="s">
        <v>995</v>
      </c>
      <c r="E541" t="s">
        <v>996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 x14ac:dyDescent="0.3">
      <c r="A542" t="s">
        <v>976</v>
      </c>
      <c r="B542" t="s">
        <v>549</v>
      </c>
      <c r="C542" t="s">
        <v>496</v>
      </c>
      <c r="D542" t="s">
        <v>997</v>
      </c>
      <c r="E542" t="s">
        <v>998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 x14ac:dyDescent="0.3">
      <c r="A543" t="s">
        <v>976</v>
      </c>
      <c r="B543" t="s">
        <v>549</v>
      </c>
      <c r="C543" t="s">
        <v>496</v>
      </c>
      <c r="D543" t="s">
        <v>1028</v>
      </c>
      <c r="E543" t="s">
        <v>1029</v>
      </c>
      <c r="F543">
        <v>0</v>
      </c>
      <c r="G543">
        <v>0</v>
      </c>
      <c r="H543">
        <v>25848.83</v>
      </c>
      <c r="I543">
        <v>-25848.83</v>
      </c>
      <c r="J543">
        <v>25848.83</v>
      </c>
    </row>
    <row r="544" spans="1:10" x14ac:dyDescent="0.3">
      <c r="A544" t="s">
        <v>976</v>
      </c>
      <c r="B544" t="s">
        <v>549</v>
      </c>
      <c r="C544" t="s">
        <v>496</v>
      </c>
      <c r="D544" t="s">
        <v>1031</v>
      </c>
      <c r="E544" t="s">
        <v>1032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 x14ac:dyDescent="0.3">
      <c r="A545" t="s">
        <v>976</v>
      </c>
      <c r="B545" t="s">
        <v>549</v>
      </c>
      <c r="C545" t="s">
        <v>496</v>
      </c>
      <c r="D545" t="s">
        <v>1033</v>
      </c>
      <c r="E545" t="s">
        <v>1034</v>
      </c>
      <c r="F545">
        <v>0</v>
      </c>
      <c r="G545">
        <v>22674.27</v>
      </c>
      <c r="H545">
        <v>0</v>
      </c>
      <c r="I545">
        <v>22674.27</v>
      </c>
      <c r="J545">
        <v>-22674.27</v>
      </c>
    </row>
    <row r="546" spans="1:10" x14ac:dyDescent="0.3">
      <c r="A546" t="s">
        <v>976</v>
      </c>
      <c r="B546" t="s">
        <v>549</v>
      </c>
      <c r="C546" t="s">
        <v>496</v>
      </c>
      <c r="D546" t="s">
        <v>1006</v>
      </c>
      <c r="E546" t="s">
        <v>1007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 x14ac:dyDescent="0.3">
      <c r="A547" t="s">
        <v>976</v>
      </c>
      <c r="B547" t="s">
        <v>549</v>
      </c>
      <c r="C547" t="s">
        <v>496</v>
      </c>
      <c r="D547" t="s">
        <v>1008</v>
      </c>
      <c r="E547" t="s">
        <v>1009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 x14ac:dyDescent="0.3">
      <c r="A548" t="s">
        <v>976</v>
      </c>
      <c r="B548" t="s">
        <v>549</v>
      </c>
      <c r="C548" t="s">
        <v>496</v>
      </c>
      <c r="D548" t="s">
        <v>1010</v>
      </c>
      <c r="E548" t="s">
        <v>1011</v>
      </c>
      <c r="F548">
        <v>0</v>
      </c>
      <c r="G548">
        <v>0</v>
      </c>
      <c r="H548">
        <v>92</v>
      </c>
      <c r="I548">
        <v>-92</v>
      </c>
      <c r="J548">
        <v>92</v>
      </c>
    </row>
    <row r="549" spans="1:10" x14ac:dyDescent="0.3">
      <c r="A549" t="s">
        <v>976</v>
      </c>
      <c r="B549" t="s">
        <v>549</v>
      </c>
      <c r="C549" t="s">
        <v>496</v>
      </c>
      <c r="D549" t="s">
        <v>1012</v>
      </c>
      <c r="E549" t="s">
        <v>1013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 x14ac:dyDescent="0.3">
      <c r="A550" t="s">
        <v>976</v>
      </c>
      <c r="B550" t="s">
        <v>549</v>
      </c>
      <c r="C550" t="s">
        <v>496</v>
      </c>
      <c r="D550" t="s">
        <v>1016</v>
      </c>
      <c r="E550" t="s">
        <v>1017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 x14ac:dyDescent="0.3">
      <c r="A551" t="s">
        <v>976</v>
      </c>
      <c r="B551" t="s">
        <v>549</v>
      </c>
      <c r="C551" t="s">
        <v>496</v>
      </c>
      <c r="D551" t="s">
        <v>1123</v>
      </c>
      <c r="E551" t="s">
        <v>717</v>
      </c>
      <c r="F551">
        <v>0</v>
      </c>
      <c r="G551">
        <v>20</v>
      </c>
      <c r="H551">
        <v>0</v>
      </c>
      <c r="I551">
        <v>20</v>
      </c>
      <c r="J551">
        <v>20</v>
      </c>
    </row>
    <row r="552" spans="1:10" x14ac:dyDescent="0.3">
      <c r="A552" t="s">
        <v>976</v>
      </c>
      <c r="B552" t="s">
        <v>549</v>
      </c>
      <c r="C552" t="s">
        <v>496</v>
      </c>
      <c r="D552" t="s">
        <v>1118</v>
      </c>
      <c r="E552" t="s">
        <v>1119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 x14ac:dyDescent="0.3">
      <c r="A553" t="s">
        <v>976</v>
      </c>
      <c r="B553" t="s">
        <v>549</v>
      </c>
      <c r="C553" t="s">
        <v>496</v>
      </c>
      <c r="D553" t="s">
        <v>1120</v>
      </c>
      <c r="E553" t="s">
        <v>811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 x14ac:dyDescent="0.3">
      <c r="A554" t="s">
        <v>976</v>
      </c>
      <c r="B554" t="s">
        <v>549</v>
      </c>
      <c r="C554" t="s">
        <v>496</v>
      </c>
      <c r="D554" t="s">
        <v>1060</v>
      </c>
      <c r="E554" t="s">
        <v>1061</v>
      </c>
      <c r="F554">
        <v>0</v>
      </c>
      <c r="G554">
        <v>1600</v>
      </c>
      <c r="H554">
        <v>0</v>
      </c>
      <c r="I554">
        <v>1600</v>
      </c>
      <c r="J554">
        <v>1600</v>
      </c>
    </row>
    <row r="555" spans="1:10" x14ac:dyDescent="0.3">
      <c r="A555" t="s">
        <v>976</v>
      </c>
      <c r="B555" t="s">
        <v>549</v>
      </c>
      <c r="C555" t="s">
        <v>496</v>
      </c>
      <c r="D555" t="s">
        <v>1062</v>
      </c>
      <c r="E555" t="s">
        <v>1063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 x14ac:dyDescent="0.3">
      <c r="A556" t="s">
        <v>976</v>
      </c>
      <c r="B556" t="s">
        <v>549</v>
      </c>
      <c r="C556" t="s">
        <v>496</v>
      </c>
      <c r="D556" t="s">
        <v>1064</v>
      </c>
      <c r="E556" t="s">
        <v>1065</v>
      </c>
      <c r="F556">
        <v>0</v>
      </c>
      <c r="G556">
        <v>240.73</v>
      </c>
      <c r="H556">
        <v>0</v>
      </c>
      <c r="I556">
        <v>240.73</v>
      </c>
      <c r="J556">
        <v>240.73</v>
      </c>
    </row>
    <row r="557" spans="1:10" x14ac:dyDescent="0.3">
      <c r="A557" t="s">
        <v>976</v>
      </c>
      <c r="B557" t="s">
        <v>549</v>
      </c>
      <c r="C557" t="s">
        <v>496</v>
      </c>
      <c r="D557" t="s">
        <v>1066</v>
      </c>
      <c r="E557" t="s">
        <v>1067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 x14ac:dyDescent="0.3">
      <c r="A558" t="s">
        <v>976</v>
      </c>
      <c r="B558" t="s">
        <v>549</v>
      </c>
      <c r="C558" t="s">
        <v>496</v>
      </c>
      <c r="D558" t="s">
        <v>1068</v>
      </c>
      <c r="E558" t="s">
        <v>568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 x14ac:dyDescent="0.3">
      <c r="A559" t="s">
        <v>976</v>
      </c>
      <c r="B559" t="s">
        <v>549</v>
      </c>
      <c r="C559" t="s">
        <v>496</v>
      </c>
      <c r="D559" t="s">
        <v>1069</v>
      </c>
      <c r="E559" t="s">
        <v>1070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 x14ac:dyDescent="0.3">
      <c r="A560" t="s">
        <v>976</v>
      </c>
      <c r="B560" t="s">
        <v>549</v>
      </c>
      <c r="C560" t="s">
        <v>496</v>
      </c>
      <c r="D560" t="s">
        <v>1071</v>
      </c>
      <c r="E560" t="s">
        <v>1072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 x14ac:dyDescent="0.3">
      <c r="A561" t="s">
        <v>976</v>
      </c>
      <c r="B561" t="s">
        <v>549</v>
      </c>
      <c r="C561" t="s">
        <v>496</v>
      </c>
      <c r="D561" t="s">
        <v>1073</v>
      </c>
      <c r="E561" t="s">
        <v>1074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 x14ac:dyDescent="0.3">
      <c r="A562" t="s">
        <v>976</v>
      </c>
      <c r="B562" t="s">
        <v>549</v>
      </c>
      <c r="C562" t="s">
        <v>496</v>
      </c>
      <c r="D562" t="s">
        <v>1075</v>
      </c>
      <c r="E562" t="s">
        <v>1076</v>
      </c>
      <c r="F562">
        <v>0</v>
      </c>
      <c r="G562">
        <v>300</v>
      </c>
      <c r="H562">
        <v>0</v>
      </c>
      <c r="I562">
        <v>300</v>
      </c>
      <c r="J562">
        <v>300</v>
      </c>
    </row>
    <row r="563" spans="1:10" x14ac:dyDescent="0.3">
      <c r="A563" t="s">
        <v>976</v>
      </c>
      <c r="B563" t="s">
        <v>549</v>
      </c>
      <c r="C563" t="s">
        <v>496</v>
      </c>
      <c r="D563" t="s">
        <v>1077</v>
      </c>
      <c r="E563" t="s">
        <v>1078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 x14ac:dyDescent="0.3">
      <c r="A564" t="s">
        <v>976</v>
      </c>
      <c r="B564" t="s">
        <v>549</v>
      </c>
      <c r="C564" t="s">
        <v>496</v>
      </c>
      <c r="D564" t="s">
        <v>1079</v>
      </c>
      <c r="E564" t="s">
        <v>1080</v>
      </c>
      <c r="F564">
        <v>0</v>
      </c>
      <c r="G564">
        <v>22</v>
      </c>
      <c r="H564">
        <v>0</v>
      </c>
      <c r="I564">
        <v>22</v>
      </c>
      <c r="J564">
        <v>22</v>
      </c>
    </row>
    <row r="565" spans="1:10" x14ac:dyDescent="0.3">
      <c r="A565" t="s">
        <v>976</v>
      </c>
      <c r="B565" t="s">
        <v>549</v>
      </c>
      <c r="C565" t="s">
        <v>496</v>
      </c>
      <c r="D565" t="s">
        <v>1081</v>
      </c>
      <c r="E565" t="s">
        <v>1082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 x14ac:dyDescent="0.3">
      <c r="A566" t="s">
        <v>976</v>
      </c>
      <c r="B566" t="s">
        <v>549</v>
      </c>
      <c r="C566" t="s">
        <v>496</v>
      </c>
      <c r="D566" t="s">
        <v>1083</v>
      </c>
      <c r="E566" t="s">
        <v>1084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 x14ac:dyDescent="0.3">
      <c r="A567" t="s">
        <v>976</v>
      </c>
      <c r="B567" t="s">
        <v>549</v>
      </c>
      <c r="C567" t="s">
        <v>496</v>
      </c>
      <c r="D567" t="s">
        <v>1048</v>
      </c>
      <c r="E567" t="s">
        <v>1049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 x14ac:dyDescent="0.3">
      <c r="A568" t="s">
        <v>976</v>
      </c>
      <c r="B568" t="s">
        <v>549</v>
      </c>
      <c r="C568" t="s">
        <v>496</v>
      </c>
      <c r="D568" t="s">
        <v>1095</v>
      </c>
      <c r="E568" t="s">
        <v>1096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 x14ac:dyDescent="0.3">
      <c r="A569" t="s">
        <v>976</v>
      </c>
      <c r="B569" t="s">
        <v>549</v>
      </c>
      <c r="C569" t="s">
        <v>496</v>
      </c>
      <c r="D569" t="s">
        <v>1097</v>
      </c>
      <c r="E569" t="s">
        <v>1098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 x14ac:dyDescent="0.3">
      <c r="A570" t="s">
        <v>976</v>
      </c>
      <c r="B570" t="s">
        <v>549</v>
      </c>
      <c r="C570" t="s">
        <v>496</v>
      </c>
      <c r="D570" t="s">
        <v>1099</v>
      </c>
      <c r="E570" t="s">
        <v>1100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 x14ac:dyDescent="0.3">
      <c r="A571" t="s">
        <v>976</v>
      </c>
      <c r="B571" t="s">
        <v>549</v>
      </c>
      <c r="C571" t="s">
        <v>496</v>
      </c>
      <c r="D571" t="s">
        <v>1101</v>
      </c>
      <c r="E571" t="s">
        <v>1102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 x14ac:dyDescent="0.3">
      <c r="A572" t="s">
        <v>976</v>
      </c>
      <c r="B572" t="s">
        <v>549</v>
      </c>
      <c r="C572" t="s">
        <v>496</v>
      </c>
      <c r="D572" t="s">
        <v>1103</v>
      </c>
      <c r="E572" t="s">
        <v>1104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 x14ac:dyDescent="0.3">
      <c r="A573" t="s">
        <v>976</v>
      </c>
      <c r="B573" t="s">
        <v>549</v>
      </c>
      <c r="C573" t="s">
        <v>496</v>
      </c>
      <c r="D573" t="s">
        <v>1105</v>
      </c>
      <c r="E573" t="s">
        <v>1106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 x14ac:dyDescent="0.3">
      <c r="A574" t="s">
        <v>976</v>
      </c>
      <c r="B574" t="s">
        <v>551</v>
      </c>
      <c r="C574" t="s">
        <v>496</v>
      </c>
      <c r="D574" t="s">
        <v>980</v>
      </c>
      <c r="E574" t="s">
        <v>926</v>
      </c>
      <c r="F574">
        <v>438.87</v>
      </c>
      <c r="G574">
        <v>2300</v>
      </c>
      <c r="H574">
        <v>2265.83</v>
      </c>
      <c r="I574">
        <v>473.04</v>
      </c>
      <c r="J574">
        <v>473.04</v>
      </c>
    </row>
    <row r="575" spans="1:10" x14ac:dyDescent="0.3">
      <c r="A575" t="s">
        <v>976</v>
      </c>
      <c r="B575" t="s">
        <v>551</v>
      </c>
      <c r="C575" t="s">
        <v>496</v>
      </c>
      <c r="D575" t="s">
        <v>983</v>
      </c>
      <c r="E575" t="s">
        <v>984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 x14ac:dyDescent="0.3">
      <c r="A576" t="s">
        <v>976</v>
      </c>
      <c r="B576" t="s">
        <v>551</v>
      </c>
      <c r="C576" t="s">
        <v>496</v>
      </c>
      <c r="D576" t="s">
        <v>985</v>
      </c>
      <c r="E576" t="s">
        <v>986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 x14ac:dyDescent="0.3">
      <c r="A577" t="s">
        <v>976</v>
      </c>
      <c r="B577" t="s">
        <v>551</v>
      </c>
      <c r="C577" t="s">
        <v>496</v>
      </c>
      <c r="D577" t="s">
        <v>987</v>
      </c>
      <c r="E577" t="s">
        <v>988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 x14ac:dyDescent="0.3">
      <c r="A578" t="s">
        <v>976</v>
      </c>
      <c r="B578" t="s">
        <v>551</v>
      </c>
      <c r="C578" t="s">
        <v>496</v>
      </c>
      <c r="D578" t="s">
        <v>989</v>
      </c>
      <c r="E578" t="s">
        <v>990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 x14ac:dyDescent="0.3">
      <c r="A579" t="s">
        <v>976</v>
      </c>
      <c r="B579" t="s">
        <v>551</v>
      </c>
      <c r="C579" t="s">
        <v>496</v>
      </c>
      <c r="D579" t="s">
        <v>995</v>
      </c>
      <c r="E579" t="s">
        <v>996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 x14ac:dyDescent="0.3">
      <c r="A580" t="s">
        <v>976</v>
      </c>
      <c r="B580" t="s">
        <v>551</v>
      </c>
      <c r="C580" t="s">
        <v>496</v>
      </c>
      <c r="D580" t="s">
        <v>997</v>
      </c>
      <c r="E580" t="s">
        <v>998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 x14ac:dyDescent="0.3">
      <c r="A581" t="s">
        <v>976</v>
      </c>
      <c r="B581" t="s">
        <v>551</v>
      </c>
      <c r="C581" t="s">
        <v>496</v>
      </c>
      <c r="D581" t="s">
        <v>1028</v>
      </c>
      <c r="E581" t="s">
        <v>1029</v>
      </c>
      <c r="F581">
        <v>-27368.83</v>
      </c>
      <c r="G581">
        <v>0</v>
      </c>
      <c r="H581">
        <v>2300</v>
      </c>
      <c r="I581">
        <v>-29668.83</v>
      </c>
      <c r="J581">
        <v>29668.83</v>
      </c>
    </row>
    <row r="582" spans="1:10" x14ac:dyDescent="0.3">
      <c r="A582" t="s">
        <v>976</v>
      </c>
      <c r="B582" t="s">
        <v>551</v>
      </c>
      <c r="C582" t="s">
        <v>496</v>
      </c>
      <c r="D582" t="s">
        <v>1031</v>
      </c>
      <c r="E582" t="s">
        <v>1032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 x14ac:dyDescent="0.3">
      <c r="A583" t="s">
        <v>976</v>
      </c>
      <c r="B583" t="s">
        <v>551</v>
      </c>
      <c r="C583" t="s">
        <v>496</v>
      </c>
      <c r="D583" t="s">
        <v>1033</v>
      </c>
      <c r="E583" t="s">
        <v>1034</v>
      </c>
      <c r="F583">
        <v>22674.27</v>
      </c>
      <c r="G583">
        <v>0</v>
      </c>
      <c r="H583">
        <v>0</v>
      </c>
      <c r="I583">
        <v>22674.27</v>
      </c>
      <c r="J583">
        <v>-22674.27</v>
      </c>
    </row>
    <row r="584" spans="1:10" x14ac:dyDescent="0.3">
      <c r="A584" t="s">
        <v>976</v>
      </c>
      <c r="B584" t="s">
        <v>551</v>
      </c>
      <c r="C584" t="s">
        <v>496</v>
      </c>
      <c r="D584" t="s">
        <v>1006</v>
      </c>
      <c r="E584" t="s">
        <v>1007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 x14ac:dyDescent="0.3">
      <c r="A585" t="s">
        <v>976</v>
      </c>
      <c r="B585" t="s">
        <v>551</v>
      </c>
      <c r="C585" t="s">
        <v>496</v>
      </c>
      <c r="D585" t="s">
        <v>1008</v>
      </c>
      <c r="E585" t="s">
        <v>1009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 x14ac:dyDescent="0.3">
      <c r="A586" t="s">
        <v>976</v>
      </c>
      <c r="B586" t="s">
        <v>551</v>
      </c>
      <c r="C586" t="s">
        <v>496</v>
      </c>
      <c r="D586" t="s">
        <v>1010</v>
      </c>
      <c r="E586" t="s">
        <v>1011</v>
      </c>
      <c r="F586">
        <v>-92</v>
      </c>
      <c r="G586">
        <v>0</v>
      </c>
      <c r="H586">
        <v>0</v>
      </c>
      <c r="I586">
        <v>-92</v>
      </c>
      <c r="J586">
        <v>92</v>
      </c>
    </row>
    <row r="587" spans="1:10" x14ac:dyDescent="0.3">
      <c r="A587" t="s">
        <v>976</v>
      </c>
      <c r="B587" t="s">
        <v>551</v>
      </c>
      <c r="C587" t="s">
        <v>496</v>
      </c>
      <c r="D587" t="s">
        <v>1012</v>
      </c>
      <c r="E587" t="s">
        <v>1013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 x14ac:dyDescent="0.3">
      <c r="A588" t="s">
        <v>976</v>
      </c>
      <c r="B588" t="s">
        <v>551</v>
      </c>
      <c r="C588" t="s">
        <v>496</v>
      </c>
      <c r="D588" t="s">
        <v>1016</v>
      </c>
      <c r="E588" t="s">
        <v>1017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 x14ac:dyDescent="0.3">
      <c r="A589" t="s">
        <v>976</v>
      </c>
      <c r="B589" t="s">
        <v>551</v>
      </c>
      <c r="C589" t="s">
        <v>496</v>
      </c>
      <c r="D589" t="s">
        <v>1123</v>
      </c>
      <c r="E589" t="s">
        <v>717</v>
      </c>
      <c r="F589">
        <v>50</v>
      </c>
      <c r="G589">
        <v>30</v>
      </c>
      <c r="H589">
        <v>0</v>
      </c>
      <c r="I589">
        <v>80</v>
      </c>
      <c r="J589">
        <v>80</v>
      </c>
    </row>
    <row r="590" spans="1:10" x14ac:dyDescent="0.3">
      <c r="A590" t="s">
        <v>976</v>
      </c>
      <c r="B590" t="s">
        <v>551</v>
      </c>
      <c r="C590" t="s">
        <v>496</v>
      </c>
      <c r="D590" t="s">
        <v>1118</v>
      </c>
      <c r="E590" t="s">
        <v>1119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 x14ac:dyDescent="0.3">
      <c r="A591" t="s">
        <v>976</v>
      </c>
      <c r="B591" t="s">
        <v>551</v>
      </c>
      <c r="C591" t="s">
        <v>496</v>
      </c>
      <c r="D591" t="s">
        <v>1120</v>
      </c>
      <c r="E591" t="s">
        <v>811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 x14ac:dyDescent="0.3">
      <c r="A592" t="s">
        <v>976</v>
      </c>
      <c r="B592" t="s">
        <v>551</v>
      </c>
      <c r="C592" t="s">
        <v>496</v>
      </c>
      <c r="D592" t="s">
        <v>1060</v>
      </c>
      <c r="E592" t="s">
        <v>1061</v>
      </c>
      <c r="F592">
        <v>3212.37</v>
      </c>
      <c r="G592">
        <v>1600</v>
      </c>
      <c r="H592">
        <v>0</v>
      </c>
      <c r="I592">
        <v>4812.37</v>
      </c>
      <c r="J592">
        <v>4812.37</v>
      </c>
    </row>
    <row r="593" spans="1:10" x14ac:dyDescent="0.3">
      <c r="A593" t="s">
        <v>976</v>
      </c>
      <c r="B593" t="s">
        <v>551</v>
      </c>
      <c r="C593" t="s">
        <v>496</v>
      </c>
      <c r="D593" t="s">
        <v>1062</v>
      </c>
      <c r="E593" t="s">
        <v>1063</v>
      </c>
      <c r="F593">
        <v>222.59</v>
      </c>
      <c r="G593">
        <v>47.76</v>
      </c>
      <c r="H593">
        <v>0</v>
      </c>
      <c r="I593">
        <v>270.35000000000002</v>
      </c>
      <c r="J593">
        <v>270.35000000000002</v>
      </c>
    </row>
    <row r="594" spans="1:10" x14ac:dyDescent="0.3">
      <c r="A594" t="s">
        <v>976</v>
      </c>
      <c r="B594" t="s">
        <v>551</v>
      </c>
      <c r="C594" t="s">
        <v>496</v>
      </c>
      <c r="D594" t="s">
        <v>1064</v>
      </c>
      <c r="E594" t="s">
        <v>1065</v>
      </c>
      <c r="F594">
        <v>240.73</v>
      </c>
      <c r="G594">
        <v>103.34</v>
      </c>
      <c r="H594">
        <v>0</v>
      </c>
      <c r="I594">
        <v>344.07</v>
      </c>
      <c r="J594">
        <v>344.07</v>
      </c>
    </row>
    <row r="595" spans="1:10" x14ac:dyDescent="0.3">
      <c r="A595" t="s">
        <v>976</v>
      </c>
      <c r="B595" t="s">
        <v>551</v>
      </c>
      <c r="C595" t="s">
        <v>496</v>
      </c>
      <c r="D595" t="s">
        <v>1066</v>
      </c>
      <c r="E595" t="s">
        <v>1067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 x14ac:dyDescent="0.3">
      <c r="A596" t="s">
        <v>976</v>
      </c>
      <c r="B596" t="s">
        <v>551</v>
      </c>
      <c r="C596" t="s">
        <v>496</v>
      </c>
      <c r="D596" t="s">
        <v>1068</v>
      </c>
      <c r="E596" t="s">
        <v>568</v>
      </c>
      <c r="F596">
        <v>0</v>
      </c>
      <c r="G596">
        <v>70.81</v>
      </c>
      <c r="H596">
        <v>0</v>
      </c>
      <c r="I596">
        <v>70.81</v>
      </c>
      <c r="J596">
        <v>70.81</v>
      </c>
    </row>
    <row r="597" spans="1:10" x14ac:dyDescent="0.3">
      <c r="A597" t="s">
        <v>976</v>
      </c>
      <c r="B597" t="s">
        <v>551</v>
      </c>
      <c r="C597" t="s">
        <v>496</v>
      </c>
      <c r="D597" t="s">
        <v>1069</v>
      </c>
      <c r="E597" t="s">
        <v>1070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 x14ac:dyDescent="0.3">
      <c r="A598" t="s">
        <v>976</v>
      </c>
      <c r="B598" t="s">
        <v>551</v>
      </c>
      <c r="C598" t="s">
        <v>496</v>
      </c>
      <c r="D598" t="s">
        <v>1071</v>
      </c>
      <c r="E598" t="s">
        <v>1072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 x14ac:dyDescent="0.3">
      <c r="A599" t="s">
        <v>976</v>
      </c>
      <c r="B599" t="s">
        <v>551</v>
      </c>
      <c r="C599" t="s">
        <v>496</v>
      </c>
      <c r="D599" t="s">
        <v>1073</v>
      </c>
      <c r="E599" t="s">
        <v>1074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 x14ac:dyDescent="0.3">
      <c r="A600" t="s">
        <v>976</v>
      </c>
      <c r="B600" t="s">
        <v>551</v>
      </c>
      <c r="C600" t="s">
        <v>496</v>
      </c>
      <c r="D600" t="s">
        <v>1075</v>
      </c>
      <c r="E600" t="s">
        <v>1076</v>
      </c>
      <c r="F600">
        <v>600</v>
      </c>
      <c r="G600">
        <v>300</v>
      </c>
      <c r="H600">
        <v>0</v>
      </c>
      <c r="I600">
        <v>900</v>
      </c>
      <c r="J600">
        <v>900</v>
      </c>
    </row>
    <row r="601" spans="1:10" x14ac:dyDescent="0.3">
      <c r="A601" t="s">
        <v>976</v>
      </c>
      <c r="B601" t="s">
        <v>551</v>
      </c>
      <c r="C601" t="s">
        <v>496</v>
      </c>
      <c r="D601" t="s">
        <v>1077</v>
      </c>
      <c r="E601" t="s">
        <v>1078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 x14ac:dyDescent="0.3">
      <c r="A602" t="s">
        <v>976</v>
      </c>
      <c r="B602" t="s">
        <v>551</v>
      </c>
      <c r="C602" t="s">
        <v>496</v>
      </c>
      <c r="D602" t="s">
        <v>1079</v>
      </c>
      <c r="E602" t="s">
        <v>1080</v>
      </c>
      <c r="F602">
        <v>22</v>
      </c>
      <c r="G602">
        <v>113.92</v>
      </c>
      <c r="H602">
        <v>0</v>
      </c>
      <c r="I602">
        <v>135.91999999999999</v>
      </c>
      <c r="J602">
        <v>135.91999999999999</v>
      </c>
    </row>
    <row r="603" spans="1:10" x14ac:dyDescent="0.3">
      <c r="A603" t="s">
        <v>976</v>
      </c>
      <c r="B603" t="s">
        <v>551</v>
      </c>
      <c r="C603" t="s">
        <v>496</v>
      </c>
      <c r="D603" t="s">
        <v>1081</v>
      </c>
      <c r="E603" t="s">
        <v>1082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 x14ac:dyDescent="0.3">
      <c r="A604" t="s">
        <v>976</v>
      </c>
      <c r="B604" t="s">
        <v>551</v>
      </c>
      <c r="C604" t="s">
        <v>496</v>
      </c>
      <c r="D604" t="s">
        <v>1083</v>
      </c>
      <c r="E604" t="s">
        <v>1084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 x14ac:dyDescent="0.3">
      <c r="A605" t="s">
        <v>976</v>
      </c>
      <c r="B605" t="s">
        <v>551</v>
      </c>
      <c r="C605" t="s">
        <v>496</v>
      </c>
      <c r="D605" t="s">
        <v>1048</v>
      </c>
      <c r="E605" t="s">
        <v>1049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 x14ac:dyDescent="0.3">
      <c r="A606" t="s">
        <v>976</v>
      </c>
      <c r="B606" t="s">
        <v>551</v>
      </c>
      <c r="C606" t="s">
        <v>496</v>
      </c>
      <c r="D606" t="s">
        <v>1095</v>
      </c>
      <c r="E606" t="s">
        <v>1096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 x14ac:dyDescent="0.3">
      <c r="A607" t="s">
        <v>976</v>
      </c>
      <c r="B607" t="s">
        <v>551</v>
      </c>
      <c r="C607" t="s">
        <v>496</v>
      </c>
      <c r="D607" t="s">
        <v>1097</v>
      </c>
      <c r="E607" t="s">
        <v>1098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 x14ac:dyDescent="0.3">
      <c r="A608" t="s">
        <v>976</v>
      </c>
      <c r="B608" t="s">
        <v>551</v>
      </c>
      <c r="C608" t="s">
        <v>496</v>
      </c>
      <c r="D608" t="s">
        <v>1099</v>
      </c>
      <c r="E608" t="s">
        <v>1100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 x14ac:dyDescent="0.3">
      <c r="A609" t="s">
        <v>976</v>
      </c>
      <c r="B609" t="s">
        <v>551</v>
      </c>
      <c r="C609" t="s">
        <v>496</v>
      </c>
      <c r="D609" t="s">
        <v>1101</v>
      </c>
      <c r="E609" t="s">
        <v>1102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 x14ac:dyDescent="0.3">
      <c r="A610" t="s">
        <v>976</v>
      </c>
      <c r="B610" t="s">
        <v>551</v>
      </c>
      <c r="C610" t="s">
        <v>496</v>
      </c>
      <c r="D610" t="s">
        <v>1103</v>
      </c>
      <c r="E610" t="s">
        <v>1104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 x14ac:dyDescent="0.3">
      <c r="A611" t="s">
        <v>976</v>
      </c>
      <c r="B611" t="s">
        <v>551</v>
      </c>
      <c r="C611" t="s">
        <v>496</v>
      </c>
      <c r="D611" t="s">
        <v>1105</v>
      </c>
      <c r="E611" t="s">
        <v>1106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 x14ac:dyDescent="0.3">
      <c r="A612" t="s">
        <v>976</v>
      </c>
      <c r="B612" t="s">
        <v>552</v>
      </c>
      <c r="C612" t="s">
        <v>496</v>
      </c>
      <c r="D612" t="s">
        <v>980</v>
      </c>
      <c r="E612" t="s">
        <v>926</v>
      </c>
      <c r="F612">
        <v>438.87</v>
      </c>
      <c r="G612">
        <v>2300</v>
      </c>
      <c r="H612">
        <v>2265.83</v>
      </c>
      <c r="I612">
        <v>473.04</v>
      </c>
      <c r="J612">
        <v>473.04</v>
      </c>
    </row>
    <row r="613" spans="1:10" x14ac:dyDescent="0.3">
      <c r="A613" t="s">
        <v>976</v>
      </c>
      <c r="B613" t="s">
        <v>552</v>
      </c>
      <c r="C613" t="s">
        <v>496</v>
      </c>
      <c r="D613" t="s">
        <v>983</v>
      </c>
      <c r="E613" t="s">
        <v>984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 x14ac:dyDescent="0.3">
      <c r="A614" t="s">
        <v>976</v>
      </c>
      <c r="B614" t="s">
        <v>552</v>
      </c>
      <c r="C614" t="s">
        <v>496</v>
      </c>
      <c r="D614" t="s">
        <v>985</v>
      </c>
      <c r="E614" t="s">
        <v>986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 x14ac:dyDescent="0.3">
      <c r="A615" t="s">
        <v>976</v>
      </c>
      <c r="B615" t="s">
        <v>552</v>
      </c>
      <c r="C615" t="s">
        <v>496</v>
      </c>
      <c r="D615" t="s">
        <v>987</v>
      </c>
      <c r="E615" t="s">
        <v>988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 x14ac:dyDescent="0.3">
      <c r="A616" t="s">
        <v>976</v>
      </c>
      <c r="B616" t="s">
        <v>552</v>
      </c>
      <c r="C616" t="s">
        <v>496</v>
      </c>
      <c r="D616" t="s">
        <v>989</v>
      </c>
      <c r="E616" t="s">
        <v>990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 x14ac:dyDescent="0.3">
      <c r="A617" t="s">
        <v>976</v>
      </c>
      <c r="B617" t="s">
        <v>552</v>
      </c>
      <c r="C617" t="s">
        <v>496</v>
      </c>
      <c r="D617" t="s">
        <v>995</v>
      </c>
      <c r="E617" t="s">
        <v>996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 x14ac:dyDescent="0.3">
      <c r="A618" t="s">
        <v>976</v>
      </c>
      <c r="B618" t="s">
        <v>552</v>
      </c>
      <c r="C618" t="s">
        <v>496</v>
      </c>
      <c r="D618" t="s">
        <v>997</v>
      </c>
      <c r="E618" t="s">
        <v>998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 x14ac:dyDescent="0.3">
      <c r="A619" t="s">
        <v>976</v>
      </c>
      <c r="B619" t="s">
        <v>552</v>
      </c>
      <c r="C619" t="s">
        <v>496</v>
      </c>
      <c r="D619" t="s">
        <v>1028</v>
      </c>
      <c r="E619" t="s">
        <v>1029</v>
      </c>
      <c r="F619">
        <v>-27368.83</v>
      </c>
      <c r="G619">
        <v>0</v>
      </c>
      <c r="H619">
        <v>2300</v>
      </c>
      <c r="I619">
        <v>-29668.83</v>
      </c>
      <c r="J619">
        <v>29668.83</v>
      </c>
    </row>
    <row r="620" spans="1:10" x14ac:dyDescent="0.3">
      <c r="A620" t="s">
        <v>976</v>
      </c>
      <c r="B620" t="s">
        <v>552</v>
      </c>
      <c r="C620" t="s">
        <v>496</v>
      </c>
      <c r="D620" t="s">
        <v>1031</v>
      </c>
      <c r="E620" t="s">
        <v>1032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 x14ac:dyDescent="0.3">
      <c r="A621" t="s">
        <v>976</v>
      </c>
      <c r="B621" t="s">
        <v>552</v>
      </c>
      <c r="C621" t="s">
        <v>496</v>
      </c>
      <c r="D621" t="s">
        <v>1033</v>
      </c>
      <c r="E621" t="s">
        <v>1034</v>
      </c>
      <c r="F621">
        <v>22674.27</v>
      </c>
      <c r="G621">
        <v>0</v>
      </c>
      <c r="H621">
        <v>0</v>
      </c>
      <c r="I621">
        <v>22674.27</v>
      </c>
      <c r="J621">
        <v>-22674.27</v>
      </c>
    </row>
    <row r="622" spans="1:10" x14ac:dyDescent="0.3">
      <c r="A622" t="s">
        <v>976</v>
      </c>
      <c r="B622" t="s">
        <v>552</v>
      </c>
      <c r="C622" t="s">
        <v>496</v>
      </c>
      <c r="D622" t="s">
        <v>1006</v>
      </c>
      <c r="E622" t="s">
        <v>1007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 x14ac:dyDescent="0.3">
      <c r="A623" t="s">
        <v>976</v>
      </c>
      <c r="B623" t="s">
        <v>552</v>
      </c>
      <c r="C623" t="s">
        <v>496</v>
      </c>
      <c r="D623" t="s">
        <v>1008</v>
      </c>
      <c r="E623" t="s">
        <v>1009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 x14ac:dyDescent="0.3">
      <c r="A624" t="s">
        <v>976</v>
      </c>
      <c r="B624" t="s">
        <v>552</v>
      </c>
      <c r="C624" t="s">
        <v>496</v>
      </c>
      <c r="D624" t="s">
        <v>1010</v>
      </c>
      <c r="E624" t="s">
        <v>1011</v>
      </c>
      <c r="F624">
        <v>-92</v>
      </c>
      <c r="G624">
        <v>0</v>
      </c>
      <c r="H624">
        <v>0</v>
      </c>
      <c r="I624">
        <v>-92</v>
      </c>
      <c r="J624">
        <v>92</v>
      </c>
    </row>
    <row r="625" spans="1:10" x14ac:dyDescent="0.3">
      <c r="A625" t="s">
        <v>976</v>
      </c>
      <c r="B625" t="s">
        <v>552</v>
      </c>
      <c r="C625" t="s">
        <v>496</v>
      </c>
      <c r="D625" t="s">
        <v>1012</v>
      </c>
      <c r="E625" t="s">
        <v>1013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 x14ac:dyDescent="0.3">
      <c r="A626" t="s">
        <v>976</v>
      </c>
      <c r="B626" t="s">
        <v>552</v>
      </c>
      <c r="C626" t="s">
        <v>496</v>
      </c>
      <c r="D626" t="s">
        <v>1016</v>
      </c>
      <c r="E626" t="s">
        <v>1017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 x14ac:dyDescent="0.3">
      <c r="A627" t="s">
        <v>976</v>
      </c>
      <c r="B627" t="s">
        <v>552</v>
      </c>
      <c r="C627" t="s">
        <v>496</v>
      </c>
      <c r="D627" t="s">
        <v>1123</v>
      </c>
      <c r="E627" t="s">
        <v>717</v>
      </c>
      <c r="F627">
        <v>50</v>
      </c>
      <c r="G627">
        <v>30</v>
      </c>
      <c r="H627">
        <v>0</v>
      </c>
      <c r="I627">
        <v>80</v>
      </c>
      <c r="J627">
        <v>80</v>
      </c>
    </row>
    <row r="628" spans="1:10" x14ac:dyDescent="0.3">
      <c r="A628" t="s">
        <v>976</v>
      </c>
      <c r="B628" t="s">
        <v>552</v>
      </c>
      <c r="C628" t="s">
        <v>496</v>
      </c>
      <c r="D628" t="s">
        <v>1118</v>
      </c>
      <c r="E628" t="s">
        <v>1119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 x14ac:dyDescent="0.3">
      <c r="A629" t="s">
        <v>976</v>
      </c>
      <c r="B629" t="s">
        <v>552</v>
      </c>
      <c r="C629" t="s">
        <v>496</v>
      </c>
      <c r="D629" t="s">
        <v>1120</v>
      </c>
      <c r="E629" t="s">
        <v>811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 x14ac:dyDescent="0.3">
      <c r="A630" t="s">
        <v>976</v>
      </c>
      <c r="B630" t="s">
        <v>552</v>
      </c>
      <c r="C630" t="s">
        <v>496</v>
      </c>
      <c r="D630" t="s">
        <v>1060</v>
      </c>
      <c r="E630" t="s">
        <v>1061</v>
      </c>
      <c r="F630">
        <v>3212.37</v>
      </c>
      <c r="G630">
        <v>1600</v>
      </c>
      <c r="H630">
        <v>0</v>
      </c>
      <c r="I630">
        <v>4812.37</v>
      </c>
      <c r="J630">
        <v>4812.37</v>
      </c>
    </row>
    <row r="631" spans="1:10" x14ac:dyDescent="0.3">
      <c r="A631" t="s">
        <v>976</v>
      </c>
      <c r="B631" t="s">
        <v>552</v>
      </c>
      <c r="C631" t="s">
        <v>496</v>
      </c>
      <c r="D631" t="s">
        <v>1062</v>
      </c>
      <c r="E631" t="s">
        <v>1063</v>
      </c>
      <c r="F631">
        <v>222.59</v>
      </c>
      <c r="G631">
        <v>47.76</v>
      </c>
      <c r="H631">
        <v>0</v>
      </c>
      <c r="I631">
        <v>270.35000000000002</v>
      </c>
      <c r="J631">
        <v>270.35000000000002</v>
      </c>
    </row>
    <row r="632" spans="1:10" x14ac:dyDescent="0.3">
      <c r="A632" t="s">
        <v>976</v>
      </c>
      <c r="B632" t="s">
        <v>552</v>
      </c>
      <c r="C632" t="s">
        <v>496</v>
      </c>
      <c r="D632" t="s">
        <v>1064</v>
      </c>
      <c r="E632" t="s">
        <v>1065</v>
      </c>
      <c r="F632">
        <v>240.73</v>
      </c>
      <c r="G632">
        <v>103.34</v>
      </c>
      <c r="H632">
        <v>0</v>
      </c>
      <c r="I632">
        <v>344.07</v>
      </c>
      <c r="J632">
        <v>344.07</v>
      </c>
    </row>
    <row r="633" spans="1:10" x14ac:dyDescent="0.3">
      <c r="A633" t="s">
        <v>976</v>
      </c>
      <c r="B633" t="s">
        <v>552</v>
      </c>
      <c r="C633" t="s">
        <v>496</v>
      </c>
      <c r="D633" t="s">
        <v>1066</v>
      </c>
      <c r="E633" t="s">
        <v>1067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 x14ac:dyDescent="0.3">
      <c r="A634" t="s">
        <v>976</v>
      </c>
      <c r="B634" t="s">
        <v>552</v>
      </c>
      <c r="C634" t="s">
        <v>496</v>
      </c>
      <c r="D634" t="s">
        <v>1068</v>
      </c>
      <c r="E634" t="s">
        <v>568</v>
      </c>
      <c r="F634">
        <v>0</v>
      </c>
      <c r="G634">
        <v>70.81</v>
      </c>
      <c r="H634">
        <v>0</v>
      </c>
      <c r="I634">
        <v>70.81</v>
      </c>
      <c r="J634">
        <v>70.81</v>
      </c>
    </row>
    <row r="635" spans="1:10" x14ac:dyDescent="0.3">
      <c r="A635" t="s">
        <v>976</v>
      </c>
      <c r="B635" t="s">
        <v>552</v>
      </c>
      <c r="C635" t="s">
        <v>496</v>
      </c>
      <c r="D635" t="s">
        <v>1069</v>
      </c>
      <c r="E635" t="s">
        <v>1070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 x14ac:dyDescent="0.3">
      <c r="A636" t="s">
        <v>976</v>
      </c>
      <c r="B636" t="s">
        <v>552</v>
      </c>
      <c r="C636" t="s">
        <v>496</v>
      </c>
      <c r="D636" t="s">
        <v>1071</v>
      </c>
      <c r="E636" t="s">
        <v>1072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 x14ac:dyDescent="0.3">
      <c r="A637" t="s">
        <v>976</v>
      </c>
      <c r="B637" t="s">
        <v>552</v>
      </c>
      <c r="C637" t="s">
        <v>496</v>
      </c>
      <c r="D637" t="s">
        <v>1073</v>
      </c>
      <c r="E637" t="s">
        <v>1074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 x14ac:dyDescent="0.3">
      <c r="A638" t="s">
        <v>976</v>
      </c>
      <c r="B638" t="s">
        <v>552</v>
      </c>
      <c r="C638" t="s">
        <v>496</v>
      </c>
      <c r="D638" t="s">
        <v>1075</v>
      </c>
      <c r="E638" t="s">
        <v>1076</v>
      </c>
      <c r="F638">
        <v>600</v>
      </c>
      <c r="G638">
        <v>300</v>
      </c>
      <c r="H638">
        <v>0</v>
      </c>
      <c r="I638">
        <v>900</v>
      </c>
      <c r="J638">
        <v>900</v>
      </c>
    </row>
    <row r="639" spans="1:10" x14ac:dyDescent="0.3">
      <c r="A639" t="s">
        <v>976</v>
      </c>
      <c r="B639" t="s">
        <v>552</v>
      </c>
      <c r="C639" t="s">
        <v>496</v>
      </c>
      <c r="D639" t="s">
        <v>1077</v>
      </c>
      <c r="E639" t="s">
        <v>1078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 x14ac:dyDescent="0.3">
      <c r="A640" t="s">
        <v>976</v>
      </c>
      <c r="B640" t="s">
        <v>552</v>
      </c>
      <c r="C640" t="s">
        <v>496</v>
      </c>
      <c r="D640" t="s">
        <v>1079</v>
      </c>
      <c r="E640" t="s">
        <v>1080</v>
      </c>
      <c r="F640">
        <v>22</v>
      </c>
      <c r="G640">
        <v>113.92</v>
      </c>
      <c r="H640">
        <v>0</v>
      </c>
      <c r="I640">
        <v>135.91999999999999</v>
      </c>
      <c r="J640">
        <v>135.91999999999999</v>
      </c>
    </row>
    <row r="641" spans="1:10" x14ac:dyDescent="0.3">
      <c r="A641" t="s">
        <v>976</v>
      </c>
      <c r="B641" t="s">
        <v>552</v>
      </c>
      <c r="C641" t="s">
        <v>496</v>
      </c>
      <c r="D641" t="s">
        <v>1081</v>
      </c>
      <c r="E641" t="s">
        <v>1082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 x14ac:dyDescent="0.3">
      <c r="A642" t="s">
        <v>976</v>
      </c>
      <c r="B642" t="s">
        <v>552</v>
      </c>
      <c r="C642" t="s">
        <v>496</v>
      </c>
      <c r="D642" t="s">
        <v>1083</v>
      </c>
      <c r="E642" t="s">
        <v>1084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 x14ac:dyDescent="0.3">
      <c r="A643" t="s">
        <v>976</v>
      </c>
      <c r="B643" t="s">
        <v>552</v>
      </c>
      <c r="C643" t="s">
        <v>496</v>
      </c>
      <c r="D643" t="s">
        <v>1048</v>
      </c>
      <c r="E643" t="s">
        <v>1049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 x14ac:dyDescent="0.3">
      <c r="A644" t="s">
        <v>976</v>
      </c>
      <c r="B644" t="s">
        <v>552</v>
      </c>
      <c r="C644" t="s">
        <v>496</v>
      </c>
      <c r="D644" t="s">
        <v>1095</v>
      </c>
      <c r="E644" t="s">
        <v>1096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 x14ac:dyDescent="0.3">
      <c r="A645" t="s">
        <v>976</v>
      </c>
      <c r="B645" t="s">
        <v>552</v>
      </c>
      <c r="C645" t="s">
        <v>496</v>
      </c>
      <c r="D645" t="s">
        <v>1097</v>
      </c>
      <c r="E645" t="s">
        <v>1098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 x14ac:dyDescent="0.3">
      <c r="A646" t="s">
        <v>976</v>
      </c>
      <c r="B646" t="s">
        <v>552</v>
      </c>
      <c r="C646" t="s">
        <v>496</v>
      </c>
      <c r="D646" t="s">
        <v>1099</v>
      </c>
      <c r="E646" t="s">
        <v>1100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 x14ac:dyDescent="0.3">
      <c r="A647" t="s">
        <v>976</v>
      </c>
      <c r="B647" t="s">
        <v>552</v>
      </c>
      <c r="C647" t="s">
        <v>496</v>
      </c>
      <c r="D647" t="s">
        <v>1101</v>
      </c>
      <c r="E647" t="s">
        <v>1102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 x14ac:dyDescent="0.3">
      <c r="A648" t="s">
        <v>976</v>
      </c>
      <c r="B648" t="s">
        <v>552</v>
      </c>
      <c r="C648" t="s">
        <v>496</v>
      </c>
      <c r="D648" t="s">
        <v>1103</v>
      </c>
      <c r="E648" t="s">
        <v>1104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 x14ac:dyDescent="0.3">
      <c r="A649" t="s">
        <v>976</v>
      </c>
      <c r="B649" t="s">
        <v>552</v>
      </c>
      <c r="C649" t="s">
        <v>496</v>
      </c>
      <c r="D649" t="s">
        <v>1105</v>
      </c>
      <c r="E649" t="s">
        <v>1106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 x14ac:dyDescent="0.3">
      <c r="A650" t="s">
        <v>976</v>
      </c>
      <c r="B650" t="s">
        <v>553</v>
      </c>
      <c r="C650" t="s">
        <v>496</v>
      </c>
      <c r="D650" t="s">
        <v>980</v>
      </c>
      <c r="E650" t="s">
        <v>926</v>
      </c>
      <c r="F650">
        <v>473.04</v>
      </c>
      <c r="G650">
        <v>10781.96</v>
      </c>
      <c r="H650">
        <v>11319.07</v>
      </c>
      <c r="I650">
        <v>-64.069999999999993</v>
      </c>
      <c r="J650">
        <v>-64.069999999999993</v>
      </c>
    </row>
    <row r="651" spans="1:10" x14ac:dyDescent="0.3">
      <c r="A651" t="s">
        <v>976</v>
      </c>
      <c r="B651" t="s">
        <v>553</v>
      </c>
      <c r="C651" t="s">
        <v>496</v>
      </c>
      <c r="D651" t="s">
        <v>983</v>
      </c>
      <c r="E651" t="s">
        <v>984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 x14ac:dyDescent="0.3">
      <c r="A652" t="s">
        <v>976</v>
      </c>
      <c r="B652" t="s">
        <v>553</v>
      </c>
      <c r="C652" t="s">
        <v>496</v>
      </c>
      <c r="D652" t="s">
        <v>985</v>
      </c>
      <c r="E652" t="s">
        <v>986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 x14ac:dyDescent="0.3">
      <c r="A653" t="s">
        <v>976</v>
      </c>
      <c r="B653" t="s">
        <v>553</v>
      </c>
      <c r="C653" t="s">
        <v>496</v>
      </c>
      <c r="D653" t="s">
        <v>987</v>
      </c>
      <c r="E653" t="s">
        <v>988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 x14ac:dyDescent="0.3">
      <c r="A654" t="s">
        <v>976</v>
      </c>
      <c r="B654" t="s">
        <v>553</v>
      </c>
      <c r="C654" t="s">
        <v>496</v>
      </c>
      <c r="D654" t="s">
        <v>989</v>
      </c>
      <c r="E654" t="s">
        <v>990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 x14ac:dyDescent="0.3">
      <c r="A655" t="s">
        <v>976</v>
      </c>
      <c r="B655" t="s">
        <v>553</v>
      </c>
      <c r="C655" t="s">
        <v>496</v>
      </c>
      <c r="D655" t="s">
        <v>995</v>
      </c>
      <c r="E655" t="s">
        <v>996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 x14ac:dyDescent="0.3">
      <c r="A656" t="s">
        <v>976</v>
      </c>
      <c r="B656" t="s">
        <v>553</v>
      </c>
      <c r="C656" t="s">
        <v>496</v>
      </c>
      <c r="D656" t="s">
        <v>997</v>
      </c>
      <c r="E656" t="s">
        <v>998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 x14ac:dyDescent="0.3">
      <c r="A657" t="s">
        <v>976</v>
      </c>
      <c r="B657" t="s">
        <v>553</v>
      </c>
      <c r="C657" t="s">
        <v>496</v>
      </c>
      <c r="D657" t="s">
        <v>1028</v>
      </c>
      <c r="E657" t="s">
        <v>1029</v>
      </c>
      <c r="F657">
        <v>-29668.83</v>
      </c>
      <c r="G657">
        <v>0</v>
      </c>
      <c r="H657">
        <v>10781.96</v>
      </c>
      <c r="I657">
        <v>-40450.79</v>
      </c>
      <c r="J657">
        <v>40450.79</v>
      </c>
    </row>
    <row r="658" spans="1:10" x14ac:dyDescent="0.3">
      <c r="A658" t="s">
        <v>976</v>
      </c>
      <c r="B658" t="s">
        <v>553</v>
      </c>
      <c r="C658" t="s">
        <v>496</v>
      </c>
      <c r="D658" t="s">
        <v>1031</v>
      </c>
      <c r="E658" t="s">
        <v>1032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 x14ac:dyDescent="0.3">
      <c r="A659" t="s">
        <v>976</v>
      </c>
      <c r="B659" t="s">
        <v>553</v>
      </c>
      <c r="C659" t="s">
        <v>496</v>
      </c>
      <c r="D659" t="s">
        <v>1033</v>
      </c>
      <c r="E659" t="s">
        <v>1034</v>
      </c>
      <c r="F659">
        <v>22674.27</v>
      </c>
      <c r="G659">
        <v>0</v>
      </c>
      <c r="H659">
        <v>0</v>
      </c>
      <c r="I659">
        <v>22674.27</v>
      </c>
      <c r="J659">
        <v>-22674.27</v>
      </c>
    </row>
    <row r="660" spans="1:10" x14ac:dyDescent="0.3">
      <c r="A660" t="s">
        <v>976</v>
      </c>
      <c r="B660" t="s">
        <v>553</v>
      </c>
      <c r="C660" t="s">
        <v>496</v>
      </c>
      <c r="D660" t="s">
        <v>1006</v>
      </c>
      <c r="E660" t="s">
        <v>1007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 x14ac:dyDescent="0.3">
      <c r="A661" t="s">
        <v>976</v>
      </c>
      <c r="B661" t="s">
        <v>553</v>
      </c>
      <c r="C661" t="s">
        <v>496</v>
      </c>
      <c r="D661" t="s">
        <v>1008</v>
      </c>
      <c r="E661" t="s">
        <v>1009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 x14ac:dyDescent="0.3">
      <c r="A662" t="s">
        <v>976</v>
      </c>
      <c r="B662" t="s">
        <v>553</v>
      </c>
      <c r="C662" t="s">
        <v>496</v>
      </c>
      <c r="D662" t="s">
        <v>1010</v>
      </c>
      <c r="E662" t="s">
        <v>1011</v>
      </c>
      <c r="F662">
        <v>-92</v>
      </c>
      <c r="G662">
        <v>0</v>
      </c>
      <c r="H662">
        <v>0</v>
      </c>
      <c r="I662">
        <v>-92</v>
      </c>
      <c r="J662">
        <v>92</v>
      </c>
    </row>
    <row r="663" spans="1:10" x14ac:dyDescent="0.3">
      <c r="A663" t="s">
        <v>976</v>
      </c>
      <c r="B663" t="s">
        <v>553</v>
      </c>
      <c r="C663" t="s">
        <v>496</v>
      </c>
      <c r="D663" t="s">
        <v>1012</v>
      </c>
      <c r="E663" t="s">
        <v>1013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 x14ac:dyDescent="0.3">
      <c r="A664" t="s">
        <v>976</v>
      </c>
      <c r="B664" t="s">
        <v>553</v>
      </c>
      <c r="C664" t="s">
        <v>496</v>
      </c>
      <c r="D664" t="s">
        <v>1016</v>
      </c>
      <c r="E664" t="s">
        <v>1017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 x14ac:dyDescent="0.3">
      <c r="A665" t="s">
        <v>976</v>
      </c>
      <c r="B665" t="s">
        <v>553</v>
      </c>
      <c r="C665" t="s">
        <v>496</v>
      </c>
      <c r="D665" t="s">
        <v>1123</v>
      </c>
      <c r="E665" t="s">
        <v>717</v>
      </c>
      <c r="F665">
        <v>80</v>
      </c>
      <c r="G665">
        <v>40</v>
      </c>
      <c r="H665">
        <v>0</v>
      </c>
      <c r="I665">
        <v>120</v>
      </c>
      <c r="J665">
        <v>120</v>
      </c>
    </row>
    <row r="666" spans="1:10" x14ac:dyDescent="0.3">
      <c r="A666" t="s">
        <v>976</v>
      </c>
      <c r="B666" t="s">
        <v>553</v>
      </c>
      <c r="C666" t="s">
        <v>496</v>
      </c>
      <c r="D666" t="s">
        <v>1118</v>
      </c>
      <c r="E666" t="s">
        <v>1119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 x14ac:dyDescent="0.3">
      <c r="A667" t="s">
        <v>976</v>
      </c>
      <c r="B667" t="s">
        <v>553</v>
      </c>
      <c r="C667" t="s">
        <v>496</v>
      </c>
      <c r="D667" t="s">
        <v>1120</v>
      </c>
      <c r="E667" t="s">
        <v>811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 x14ac:dyDescent="0.3">
      <c r="A668" t="s">
        <v>976</v>
      </c>
      <c r="B668" t="s">
        <v>553</v>
      </c>
      <c r="C668" t="s">
        <v>496</v>
      </c>
      <c r="D668" t="s">
        <v>1060</v>
      </c>
      <c r="E668" t="s">
        <v>1061</v>
      </c>
      <c r="F668">
        <v>4812.37</v>
      </c>
      <c r="G668">
        <v>1600</v>
      </c>
      <c r="H668">
        <v>0</v>
      </c>
      <c r="I668">
        <v>6412.37</v>
      </c>
      <c r="J668">
        <v>6412.37</v>
      </c>
    </row>
    <row r="669" spans="1:10" x14ac:dyDescent="0.3">
      <c r="A669" t="s">
        <v>976</v>
      </c>
      <c r="B669" t="s">
        <v>553</v>
      </c>
      <c r="C669" t="s">
        <v>496</v>
      </c>
      <c r="D669" t="s">
        <v>1062</v>
      </c>
      <c r="E669" t="s">
        <v>1063</v>
      </c>
      <c r="F669">
        <v>270.35000000000002</v>
      </c>
      <c r="G669">
        <v>0</v>
      </c>
      <c r="H669">
        <v>0</v>
      </c>
      <c r="I669">
        <v>270.35000000000002</v>
      </c>
      <c r="J669">
        <v>270.35000000000002</v>
      </c>
    </row>
    <row r="670" spans="1:10" x14ac:dyDescent="0.3">
      <c r="A670" t="s">
        <v>976</v>
      </c>
      <c r="B670" t="s">
        <v>553</v>
      </c>
      <c r="C670" t="s">
        <v>496</v>
      </c>
      <c r="D670" t="s">
        <v>1064</v>
      </c>
      <c r="E670" t="s">
        <v>1065</v>
      </c>
      <c r="F670">
        <v>344.07</v>
      </c>
      <c r="G670">
        <v>115.64</v>
      </c>
      <c r="H670">
        <v>0</v>
      </c>
      <c r="I670">
        <v>459.71</v>
      </c>
      <c r="J670">
        <v>459.71</v>
      </c>
    </row>
    <row r="671" spans="1:10" x14ac:dyDescent="0.3">
      <c r="A671" t="s">
        <v>976</v>
      </c>
      <c r="B671" t="s">
        <v>553</v>
      </c>
      <c r="C671" t="s">
        <v>496</v>
      </c>
      <c r="D671" t="s">
        <v>1066</v>
      </c>
      <c r="E671" t="s">
        <v>1067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 x14ac:dyDescent="0.3">
      <c r="A672" t="s">
        <v>976</v>
      </c>
      <c r="B672" t="s">
        <v>553</v>
      </c>
      <c r="C672" t="s">
        <v>496</v>
      </c>
      <c r="D672" t="s">
        <v>1068</v>
      </c>
      <c r="E672" t="s">
        <v>568</v>
      </c>
      <c r="F672">
        <v>70.81</v>
      </c>
      <c r="G672">
        <v>9205.7199999999993</v>
      </c>
      <c r="H672">
        <v>0</v>
      </c>
      <c r="I672">
        <v>9276.5299999999988</v>
      </c>
      <c r="J672">
        <v>9276.5299999999988</v>
      </c>
    </row>
    <row r="673" spans="1:10" x14ac:dyDescent="0.3">
      <c r="A673" t="s">
        <v>976</v>
      </c>
      <c r="B673" t="s">
        <v>553</v>
      </c>
      <c r="C673" t="s">
        <v>496</v>
      </c>
      <c r="D673" t="s">
        <v>1069</v>
      </c>
      <c r="E673" t="s">
        <v>1070</v>
      </c>
      <c r="F673">
        <v>0</v>
      </c>
      <c r="G673">
        <v>57.71</v>
      </c>
      <c r="H673">
        <v>0</v>
      </c>
      <c r="I673">
        <v>57.71</v>
      </c>
      <c r="J673">
        <v>57.71</v>
      </c>
    </row>
    <row r="674" spans="1:10" x14ac:dyDescent="0.3">
      <c r="A674" t="s">
        <v>976</v>
      </c>
      <c r="B674" t="s">
        <v>553</v>
      </c>
      <c r="C674" t="s">
        <v>496</v>
      </c>
      <c r="D674" t="s">
        <v>1071</v>
      </c>
      <c r="E674" t="s">
        <v>1072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 x14ac:dyDescent="0.3">
      <c r="A675" t="s">
        <v>976</v>
      </c>
      <c r="B675" t="s">
        <v>553</v>
      </c>
      <c r="C675" t="s">
        <v>496</v>
      </c>
      <c r="D675" t="s">
        <v>1073</v>
      </c>
      <c r="E675" t="s">
        <v>1074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 x14ac:dyDescent="0.3">
      <c r="A676" t="s">
        <v>976</v>
      </c>
      <c r="B676" t="s">
        <v>553</v>
      </c>
      <c r="C676" t="s">
        <v>496</v>
      </c>
      <c r="D676" t="s">
        <v>1075</v>
      </c>
      <c r="E676" t="s">
        <v>1076</v>
      </c>
      <c r="F676">
        <v>900</v>
      </c>
      <c r="G676">
        <v>300</v>
      </c>
      <c r="H676">
        <v>0</v>
      </c>
      <c r="I676">
        <v>1200</v>
      </c>
      <c r="J676">
        <v>1200</v>
      </c>
    </row>
    <row r="677" spans="1:10" x14ac:dyDescent="0.3">
      <c r="A677" t="s">
        <v>976</v>
      </c>
      <c r="B677" t="s">
        <v>553</v>
      </c>
      <c r="C677" t="s">
        <v>496</v>
      </c>
      <c r="D677" t="s">
        <v>1077</v>
      </c>
      <c r="E677" t="s">
        <v>1078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 x14ac:dyDescent="0.3">
      <c r="A678" t="s">
        <v>976</v>
      </c>
      <c r="B678" t="s">
        <v>553</v>
      </c>
      <c r="C678" t="s">
        <v>496</v>
      </c>
      <c r="D678" t="s">
        <v>1079</v>
      </c>
      <c r="E678" t="s">
        <v>1080</v>
      </c>
      <c r="F678">
        <v>135.91999999999999</v>
      </c>
      <c r="G678">
        <v>0</v>
      </c>
      <c r="H678">
        <v>0</v>
      </c>
      <c r="I678">
        <v>135.91999999999999</v>
      </c>
      <c r="J678">
        <v>135.91999999999999</v>
      </c>
    </row>
    <row r="679" spans="1:10" x14ac:dyDescent="0.3">
      <c r="A679" t="s">
        <v>976</v>
      </c>
      <c r="B679" t="s">
        <v>553</v>
      </c>
      <c r="C679" t="s">
        <v>496</v>
      </c>
      <c r="D679" t="s">
        <v>1081</v>
      </c>
      <c r="E679" t="s">
        <v>1082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 x14ac:dyDescent="0.3">
      <c r="A680" t="s">
        <v>976</v>
      </c>
      <c r="B680" t="s">
        <v>553</v>
      </c>
      <c r="C680" t="s">
        <v>496</v>
      </c>
      <c r="D680" t="s">
        <v>1083</v>
      </c>
      <c r="E680" t="s">
        <v>1084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 x14ac:dyDescent="0.3">
      <c r="A681" t="s">
        <v>976</v>
      </c>
      <c r="B681" t="s">
        <v>553</v>
      </c>
      <c r="C681" t="s">
        <v>496</v>
      </c>
      <c r="D681" t="s">
        <v>1048</v>
      </c>
      <c r="E681" t="s">
        <v>1049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 x14ac:dyDescent="0.3">
      <c r="A682" t="s">
        <v>976</v>
      </c>
      <c r="B682" t="s">
        <v>553</v>
      </c>
      <c r="C682" t="s">
        <v>496</v>
      </c>
      <c r="D682" t="s">
        <v>1095</v>
      </c>
      <c r="E682" t="s">
        <v>1096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 x14ac:dyDescent="0.3">
      <c r="A683" t="s">
        <v>976</v>
      </c>
      <c r="B683" t="s">
        <v>553</v>
      </c>
      <c r="C683" t="s">
        <v>496</v>
      </c>
      <c r="D683" t="s">
        <v>1097</v>
      </c>
      <c r="E683" t="s">
        <v>1098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 x14ac:dyDescent="0.3">
      <c r="A684" t="s">
        <v>976</v>
      </c>
      <c r="B684" t="s">
        <v>553</v>
      </c>
      <c r="C684" t="s">
        <v>496</v>
      </c>
      <c r="D684" t="s">
        <v>1099</v>
      </c>
      <c r="E684" t="s">
        <v>1100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 x14ac:dyDescent="0.3">
      <c r="A685" t="s">
        <v>976</v>
      </c>
      <c r="B685" t="s">
        <v>553</v>
      </c>
      <c r="C685" t="s">
        <v>496</v>
      </c>
      <c r="D685" t="s">
        <v>1101</v>
      </c>
      <c r="E685" t="s">
        <v>1102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 x14ac:dyDescent="0.3">
      <c r="A686" t="s">
        <v>976</v>
      </c>
      <c r="B686" t="s">
        <v>553</v>
      </c>
      <c r="C686" t="s">
        <v>496</v>
      </c>
      <c r="D686" t="s">
        <v>1103</v>
      </c>
      <c r="E686" t="s">
        <v>1104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 x14ac:dyDescent="0.3">
      <c r="A687" t="s">
        <v>976</v>
      </c>
      <c r="B687" t="s">
        <v>553</v>
      </c>
      <c r="C687" t="s">
        <v>496</v>
      </c>
      <c r="D687" t="s">
        <v>1105</v>
      </c>
      <c r="E687" t="s">
        <v>1106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 x14ac:dyDescent="0.3">
      <c r="A688" t="s">
        <v>976</v>
      </c>
      <c r="B688" t="s">
        <v>554</v>
      </c>
      <c r="C688" t="s">
        <v>496</v>
      </c>
      <c r="D688" t="s">
        <v>980</v>
      </c>
      <c r="E688" t="s">
        <v>926</v>
      </c>
      <c r="F688">
        <v>-64.069999999999993</v>
      </c>
      <c r="G688">
        <v>1520</v>
      </c>
      <c r="H688">
        <v>1393.8</v>
      </c>
      <c r="I688">
        <v>62.13</v>
      </c>
      <c r="J688">
        <v>62.13</v>
      </c>
    </row>
    <row r="689" spans="1:10" x14ac:dyDescent="0.3">
      <c r="A689" t="s">
        <v>976</v>
      </c>
      <c r="B689" t="s">
        <v>554</v>
      </c>
      <c r="C689" t="s">
        <v>496</v>
      </c>
      <c r="D689" t="s">
        <v>983</v>
      </c>
      <c r="E689" t="s">
        <v>984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 x14ac:dyDescent="0.3">
      <c r="A690" t="s">
        <v>976</v>
      </c>
      <c r="B690" t="s">
        <v>554</v>
      </c>
      <c r="C690" t="s">
        <v>496</v>
      </c>
      <c r="D690" t="s">
        <v>985</v>
      </c>
      <c r="E690" t="s">
        <v>986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 x14ac:dyDescent="0.3">
      <c r="A691" t="s">
        <v>976</v>
      </c>
      <c r="B691" t="s">
        <v>554</v>
      </c>
      <c r="C691" t="s">
        <v>496</v>
      </c>
      <c r="D691" t="s">
        <v>987</v>
      </c>
      <c r="E691" t="s">
        <v>988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 x14ac:dyDescent="0.3">
      <c r="A692" t="s">
        <v>976</v>
      </c>
      <c r="B692" t="s">
        <v>554</v>
      </c>
      <c r="C692" t="s">
        <v>496</v>
      </c>
      <c r="D692" t="s">
        <v>989</v>
      </c>
      <c r="E692" t="s">
        <v>990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 x14ac:dyDescent="0.3">
      <c r="A693" t="s">
        <v>976</v>
      </c>
      <c r="B693" t="s">
        <v>554</v>
      </c>
      <c r="C693" t="s">
        <v>496</v>
      </c>
      <c r="D693" t="s">
        <v>995</v>
      </c>
      <c r="E693" t="s">
        <v>996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 x14ac:dyDescent="0.3">
      <c r="A694" t="s">
        <v>976</v>
      </c>
      <c r="B694" t="s">
        <v>554</v>
      </c>
      <c r="C694" t="s">
        <v>496</v>
      </c>
      <c r="D694" t="s">
        <v>997</v>
      </c>
      <c r="E694" t="s">
        <v>998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 x14ac:dyDescent="0.3">
      <c r="A695" t="s">
        <v>976</v>
      </c>
      <c r="B695" t="s">
        <v>554</v>
      </c>
      <c r="C695" t="s">
        <v>496</v>
      </c>
      <c r="D695" t="s">
        <v>1028</v>
      </c>
      <c r="E695" t="s">
        <v>1029</v>
      </c>
      <c r="F695">
        <v>-40450.79</v>
      </c>
      <c r="G695">
        <v>0</v>
      </c>
      <c r="H695">
        <v>1520</v>
      </c>
      <c r="I695">
        <v>-41970.79</v>
      </c>
      <c r="J695">
        <v>41970.79</v>
      </c>
    </row>
    <row r="696" spans="1:10" x14ac:dyDescent="0.3">
      <c r="A696" t="s">
        <v>976</v>
      </c>
      <c r="B696" t="s">
        <v>554</v>
      </c>
      <c r="C696" t="s">
        <v>496</v>
      </c>
      <c r="D696" t="s">
        <v>1031</v>
      </c>
      <c r="E696" t="s">
        <v>1032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 x14ac:dyDescent="0.3">
      <c r="A697" t="s">
        <v>976</v>
      </c>
      <c r="B697" t="s">
        <v>554</v>
      </c>
      <c r="C697" t="s">
        <v>496</v>
      </c>
      <c r="D697" t="s">
        <v>1033</v>
      </c>
      <c r="E697" t="s">
        <v>1034</v>
      </c>
      <c r="F697">
        <v>22674.27</v>
      </c>
      <c r="G697">
        <v>0</v>
      </c>
      <c r="H697">
        <v>0</v>
      </c>
      <c r="I697">
        <v>22674.27</v>
      </c>
      <c r="J697">
        <v>-22674.27</v>
      </c>
    </row>
    <row r="698" spans="1:10" x14ac:dyDescent="0.3">
      <c r="A698" t="s">
        <v>976</v>
      </c>
      <c r="B698" t="s">
        <v>554</v>
      </c>
      <c r="C698" t="s">
        <v>496</v>
      </c>
      <c r="D698" t="s">
        <v>1006</v>
      </c>
      <c r="E698" t="s">
        <v>1007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 x14ac:dyDescent="0.3">
      <c r="A699" t="s">
        <v>976</v>
      </c>
      <c r="B699" t="s">
        <v>554</v>
      </c>
      <c r="C699" t="s">
        <v>496</v>
      </c>
      <c r="D699" t="s">
        <v>1008</v>
      </c>
      <c r="E699" t="s">
        <v>1009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 x14ac:dyDescent="0.3">
      <c r="A700" t="s">
        <v>976</v>
      </c>
      <c r="B700" t="s">
        <v>554</v>
      </c>
      <c r="C700" t="s">
        <v>496</v>
      </c>
      <c r="D700" t="s">
        <v>1010</v>
      </c>
      <c r="E700" t="s">
        <v>1011</v>
      </c>
      <c r="F700">
        <v>-92</v>
      </c>
      <c r="G700">
        <v>0</v>
      </c>
      <c r="H700">
        <v>0</v>
      </c>
      <c r="I700">
        <v>-92</v>
      </c>
      <c r="J700">
        <v>92</v>
      </c>
    </row>
    <row r="701" spans="1:10" x14ac:dyDescent="0.3">
      <c r="A701" t="s">
        <v>976</v>
      </c>
      <c r="B701" t="s">
        <v>554</v>
      </c>
      <c r="C701" t="s">
        <v>496</v>
      </c>
      <c r="D701" t="s">
        <v>1012</v>
      </c>
      <c r="E701" t="s">
        <v>1013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 x14ac:dyDescent="0.3">
      <c r="A702" t="s">
        <v>976</v>
      </c>
      <c r="B702" t="s">
        <v>554</v>
      </c>
      <c r="C702" t="s">
        <v>496</v>
      </c>
      <c r="D702" t="s">
        <v>1016</v>
      </c>
      <c r="E702" t="s">
        <v>1017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 x14ac:dyDescent="0.3">
      <c r="A703" t="s">
        <v>976</v>
      </c>
      <c r="B703" t="s">
        <v>554</v>
      </c>
      <c r="C703" t="s">
        <v>496</v>
      </c>
      <c r="D703" t="s">
        <v>1123</v>
      </c>
      <c r="E703" t="s">
        <v>717</v>
      </c>
      <c r="F703">
        <v>120</v>
      </c>
      <c r="G703">
        <v>36</v>
      </c>
      <c r="H703">
        <v>0</v>
      </c>
      <c r="I703">
        <v>156</v>
      </c>
      <c r="J703">
        <v>156</v>
      </c>
    </row>
    <row r="704" spans="1:10" x14ac:dyDescent="0.3">
      <c r="A704" t="s">
        <v>976</v>
      </c>
      <c r="B704" t="s">
        <v>554</v>
      </c>
      <c r="C704" t="s">
        <v>496</v>
      </c>
      <c r="D704" t="s">
        <v>1118</v>
      </c>
      <c r="E704" t="s">
        <v>1119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 x14ac:dyDescent="0.3">
      <c r="A705" t="s">
        <v>976</v>
      </c>
      <c r="B705" t="s">
        <v>554</v>
      </c>
      <c r="C705" t="s">
        <v>496</v>
      </c>
      <c r="D705" t="s">
        <v>1120</v>
      </c>
      <c r="E705" t="s">
        <v>811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 x14ac:dyDescent="0.3">
      <c r="A706" t="s">
        <v>976</v>
      </c>
      <c r="B706" t="s">
        <v>554</v>
      </c>
      <c r="C706" t="s">
        <v>496</v>
      </c>
      <c r="D706" t="s">
        <v>1060</v>
      </c>
      <c r="E706" t="s">
        <v>1061</v>
      </c>
      <c r="F706">
        <v>6412.37</v>
      </c>
      <c r="G706">
        <v>1000</v>
      </c>
      <c r="H706">
        <v>0</v>
      </c>
      <c r="I706">
        <v>7412.37</v>
      </c>
      <c r="J706">
        <v>7412.37</v>
      </c>
    </row>
    <row r="707" spans="1:10" x14ac:dyDescent="0.3">
      <c r="A707" t="s">
        <v>976</v>
      </c>
      <c r="B707" t="s">
        <v>554</v>
      </c>
      <c r="C707" t="s">
        <v>496</v>
      </c>
      <c r="D707" t="s">
        <v>1062</v>
      </c>
      <c r="E707" t="s">
        <v>1063</v>
      </c>
      <c r="F707">
        <v>270.35000000000002</v>
      </c>
      <c r="G707">
        <v>0</v>
      </c>
      <c r="H707">
        <v>0</v>
      </c>
      <c r="I707">
        <v>270.35000000000002</v>
      </c>
      <c r="J707">
        <v>270.35000000000002</v>
      </c>
    </row>
    <row r="708" spans="1:10" x14ac:dyDescent="0.3">
      <c r="A708" t="s">
        <v>976</v>
      </c>
      <c r="B708" t="s">
        <v>554</v>
      </c>
      <c r="C708" t="s">
        <v>496</v>
      </c>
      <c r="D708" t="s">
        <v>1064</v>
      </c>
      <c r="E708" t="s">
        <v>1065</v>
      </c>
      <c r="F708">
        <v>459.71</v>
      </c>
      <c r="G708">
        <v>0</v>
      </c>
      <c r="H708">
        <v>0</v>
      </c>
      <c r="I708">
        <v>459.71</v>
      </c>
      <c r="J708">
        <v>459.71</v>
      </c>
    </row>
    <row r="709" spans="1:10" x14ac:dyDescent="0.3">
      <c r="A709" t="s">
        <v>976</v>
      </c>
      <c r="B709" t="s">
        <v>554</v>
      </c>
      <c r="C709" t="s">
        <v>496</v>
      </c>
      <c r="D709" t="s">
        <v>1066</v>
      </c>
      <c r="E709" t="s">
        <v>1067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 x14ac:dyDescent="0.3">
      <c r="A710" t="s">
        <v>976</v>
      </c>
      <c r="B710" t="s">
        <v>554</v>
      </c>
      <c r="C710" t="s">
        <v>496</v>
      </c>
      <c r="D710" t="s">
        <v>1068</v>
      </c>
      <c r="E710" t="s">
        <v>568</v>
      </c>
      <c r="F710">
        <v>9276.5299999999988</v>
      </c>
      <c r="G710">
        <v>0</v>
      </c>
      <c r="H710">
        <v>0</v>
      </c>
      <c r="I710">
        <v>9276.5299999999988</v>
      </c>
      <c r="J710">
        <v>9276.5299999999988</v>
      </c>
    </row>
    <row r="711" spans="1:10" x14ac:dyDescent="0.3">
      <c r="A711" t="s">
        <v>976</v>
      </c>
      <c r="B711" t="s">
        <v>554</v>
      </c>
      <c r="C711" t="s">
        <v>496</v>
      </c>
      <c r="D711" t="s">
        <v>1069</v>
      </c>
      <c r="E711" t="s">
        <v>1070</v>
      </c>
      <c r="F711">
        <v>57.71</v>
      </c>
      <c r="G711">
        <v>57.8</v>
      </c>
      <c r="H711">
        <v>0</v>
      </c>
      <c r="I711">
        <v>115.51</v>
      </c>
      <c r="J711">
        <v>115.51</v>
      </c>
    </row>
    <row r="712" spans="1:10" x14ac:dyDescent="0.3">
      <c r="A712" t="s">
        <v>976</v>
      </c>
      <c r="B712" t="s">
        <v>554</v>
      </c>
      <c r="C712" t="s">
        <v>496</v>
      </c>
      <c r="D712" t="s">
        <v>1071</v>
      </c>
      <c r="E712" t="s">
        <v>1072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 x14ac:dyDescent="0.3">
      <c r="A713" t="s">
        <v>976</v>
      </c>
      <c r="B713" t="s">
        <v>554</v>
      </c>
      <c r="C713" t="s">
        <v>496</v>
      </c>
      <c r="D713" t="s">
        <v>1073</v>
      </c>
      <c r="E713" t="s">
        <v>1074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 x14ac:dyDescent="0.3">
      <c r="A714" t="s">
        <v>976</v>
      </c>
      <c r="B714" t="s">
        <v>554</v>
      </c>
      <c r="C714" t="s">
        <v>496</v>
      </c>
      <c r="D714" t="s">
        <v>1075</v>
      </c>
      <c r="E714" t="s">
        <v>1076</v>
      </c>
      <c r="F714">
        <v>1200</v>
      </c>
      <c r="G714">
        <v>300</v>
      </c>
      <c r="H714">
        <v>0</v>
      </c>
      <c r="I714">
        <v>1500</v>
      </c>
      <c r="J714">
        <v>1500</v>
      </c>
    </row>
    <row r="715" spans="1:10" x14ac:dyDescent="0.3">
      <c r="A715" t="s">
        <v>976</v>
      </c>
      <c r="B715" t="s">
        <v>554</v>
      </c>
      <c r="C715" t="s">
        <v>496</v>
      </c>
      <c r="D715" t="s">
        <v>1077</v>
      </c>
      <c r="E715" t="s">
        <v>1078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 x14ac:dyDescent="0.3">
      <c r="A716" t="s">
        <v>976</v>
      </c>
      <c r="B716" t="s">
        <v>554</v>
      </c>
      <c r="C716" t="s">
        <v>496</v>
      </c>
      <c r="D716" t="s">
        <v>1079</v>
      </c>
      <c r="E716" t="s">
        <v>1080</v>
      </c>
      <c r="F716">
        <v>135.91999999999999</v>
      </c>
      <c r="G716">
        <v>0</v>
      </c>
      <c r="H716">
        <v>0</v>
      </c>
      <c r="I716">
        <v>135.91999999999999</v>
      </c>
      <c r="J716">
        <v>135.91999999999999</v>
      </c>
    </row>
    <row r="717" spans="1:10" x14ac:dyDescent="0.3">
      <c r="A717" t="s">
        <v>976</v>
      </c>
      <c r="B717" t="s">
        <v>554</v>
      </c>
      <c r="C717" t="s">
        <v>496</v>
      </c>
      <c r="D717" t="s">
        <v>1081</v>
      </c>
      <c r="E717" t="s">
        <v>1082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 x14ac:dyDescent="0.3">
      <c r="A718" t="s">
        <v>976</v>
      </c>
      <c r="B718" t="s">
        <v>554</v>
      </c>
      <c r="C718" t="s">
        <v>496</v>
      </c>
      <c r="D718" t="s">
        <v>1083</v>
      </c>
      <c r="E718" t="s">
        <v>1084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 x14ac:dyDescent="0.3">
      <c r="A719" t="s">
        <v>976</v>
      </c>
      <c r="B719" t="s">
        <v>554</v>
      </c>
      <c r="C719" t="s">
        <v>496</v>
      </c>
      <c r="D719" t="s">
        <v>1048</v>
      </c>
      <c r="E719" t="s">
        <v>1049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 x14ac:dyDescent="0.3">
      <c r="A720" t="s">
        <v>976</v>
      </c>
      <c r="B720" t="s">
        <v>554</v>
      </c>
      <c r="C720" t="s">
        <v>496</v>
      </c>
      <c r="D720" t="s">
        <v>1095</v>
      </c>
      <c r="E720" t="s">
        <v>1096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 x14ac:dyDescent="0.3">
      <c r="A721" t="s">
        <v>976</v>
      </c>
      <c r="B721" t="s">
        <v>554</v>
      </c>
      <c r="C721" t="s">
        <v>496</v>
      </c>
      <c r="D721" t="s">
        <v>1097</v>
      </c>
      <c r="E721" t="s">
        <v>1098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 x14ac:dyDescent="0.3">
      <c r="A722" t="s">
        <v>976</v>
      </c>
      <c r="B722" t="s">
        <v>554</v>
      </c>
      <c r="C722" t="s">
        <v>496</v>
      </c>
      <c r="D722" t="s">
        <v>1099</v>
      </c>
      <c r="E722" t="s">
        <v>1100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 x14ac:dyDescent="0.3">
      <c r="A723" t="s">
        <v>976</v>
      </c>
      <c r="B723" t="s">
        <v>554</v>
      </c>
      <c r="C723" t="s">
        <v>496</v>
      </c>
      <c r="D723" t="s">
        <v>1101</v>
      </c>
      <c r="E723" t="s">
        <v>1102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 x14ac:dyDescent="0.3">
      <c r="A724" t="s">
        <v>976</v>
      </c>
      <c r="B724" t="s">
        <v>554</v>
      </c>
      <c r="C724" t="s">
        <v>496</v>
      </c>
      <c r="D724" t="s">
        <v>1103</v>
      </c>
      <c r="E724" t="s">
        <v>1104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 x14ac:dyDescent="0.3">
      <c r="A725" t="s">
        <v>976</v>
      </c>
      <c r="B725" t="s">
        <v>554</v>
      </c>
      <c r="C725" t="s">
        <v>496</v>
      </c>
      <c r="D725" t="s">
        <v>1105</v>
      </c>
      <c r="E725" t="s">
        <v>1106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 x14ac:dyDescent="0.3">
      <c r="A726" t="s">
        <v>976</v>
      </c>
      <c r="B726" t="s">
        <v>603</v>
      </c>
      <c r="C726" t="s">
        <v>496</v>
      </c>
      <c r="D726" t="s">
        <v>980</v>
      </c>
      <c r="E726" t="s">
        <v>926</v>
      </c>
      <c r="F726">
        <v>62.13</v>
      </c>
      <c r="G726">
        <v>3231</v>
      </c>
      <c r="H726">
        <v>2671.99</v>
      </c>
      <c r="I726">
        <v>621.14</v>
      </c>
      <c r="J726">
        <v>621.14</v>
      </c>
    </row>
    <row r="727" spans="1:10" x14ac:dyDescent="0.3">
      <c r="A727" t="s">
        <v>976</v>
      </c>
      <c r="B727" t="s">
        <v>603</v>
      </c>
      <c r="C727" t="s">
        <v>496</v>
      </c>
      <c r="D727" t="s">
        <v>983</v>
      </c>
      <c r="E727" t="s">
        <v>984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 x14ac:dyDescent="0.3">
      <c r="A728" t="s">
        <v>976</v>
      </c>
      <c r="B728" t="s">
        <v>603</v>
      </c>
      <c r="C728" t="s">
        <v>496</v>
      </c>
      <c r="D728" t="s">
        <v>985</v>
      </c>
      <c r="E728" t="s">
        <v>986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 x14ac:dyDescent="0.3">
      <c r="A729" t="s">
        <v>976</v>
      </c>
      <c r="B729" t="s">
        <v>603</v>
      </c>
      <c r="C729" t="s">
        <v>496</v>
      </c>
      <c r="D729" t="s">
        <v>987</v>
      </c>
      <c r="E729" t="s">
        <v>988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 x14ac:dyDescent="0.3">
      <c r="A730" t="s">
        <v>976</v>
      </c>
      <c r="B730" t="s">
        <v>603</v>
      </c>
      <c r="C730" t="s">
        <v>496</v>
      </c>
      <c r="D730" t="s">
        <v>989</v>
      </c>
      <c r="E730" t="s">
        <v>990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 x14ac:dyDescent="0.3">
      <c r="A731" t="s">
        <v>976</v>
      </c>
      <c r="B731" t="s">
        <v>603</v>
      </c>
      <c r="C731" t="s">
        <v>496</v>
      </c>
      <c r="D731" t="s">
        <v>995</v>
      </c>
      <c r="E731" t="s">
        <v>996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 x14ac:dyDescent="0.3">
      <c r="A732" t="s">
        <v>976</v>
      </c>
      <c r="B732" t="s">
        <v>603</v>
      </c>
      <c r="C732" t="s">
        <v>496</v>
      </c>
      <c r="D732" t="s">
        <v>997</v>
      </c>
      <c r="E732" t="s">
        <v>998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 x14ac:dyDescent="0.3">
      <c r="A733" t="s">
        <v>976</v>
      </c>
      <c r="B733" t="s">
        <v>603</v>
      </c>
      <c r="C733" t="s">
        <v>496</v>
      </c>
      <c r="D733" t="s">
        <v>1028</v>
      </c>
      <c r="E733" t="s">
        <v>1029</v>
      </c>
      <c r="F733">
        <v>-41970.79</v>
      </c>
      <c r="G733">
        <v>0</v>
      </c>
      <c r="H733">
        <v>3231</v>
      </c>
      <c r="I733">
        <v>-45201.79</v>
      </c>
      <c r="J733">
        <v>45201.79</v>
      </c>
    </row>
    <row r="734" spans="1:10" x14ac:dyDescent="0.3">
      <c r="A734" t="s">
        <v>976</v>
      </c>
      <c r="B734" t="s">
        <v>603</v>
      </c>
      <c r="C734" t="s">
        <v>496</v>
      </c>
      <c r="D734" t="s">
        <v>1031</v>
      </c>
      <c r="E734" t="s">
        <v>1032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 x14ac:dyDescent="0.3">
      <c r="A735" t="s">
        <v>976</v>
      </c>
      <c r="B735" t="s">
        <v>603</v>
      </c>
      <c r="C735" t="s">
        <v>496</v>
      </c>
      <c r="D735" t="s">
        <v>1033</v>
      </c>
      <c r="E735" t="s">
        <v>1034</v>
      </c>
      <c r="F735">
        <v>22674.27</v>
      </c>
      <c r="G735">
        <v>0</v>
      </c>
      <c r="H735">
        <v>0</v>
      </c>
      <c r="I735">
        <v>22674.27</v>
      </c>
      <c r="J735">
        <v>-22674.27</v>
      </c>
    </row>
    <row r="736" spans="1:10" x14ac:dyDescent="0.3">
      <c r="A736" t="s">
        <v>976</v>
      </c>
      <c r="B736" t="s">
        <v>603</v>
      </c>
      <c r="C736" t="s">
        <v>496</v>
      </c>
      <c r="D736" t="s">
        <v>1006</v>
      </c>
      <c r="E736" t="s">
        <v>1007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 x14ac:dyDescent="0.3">
      <c r="A737" t="s">
        <v>976</v>
      </c>
      <c r="B737" t="s">
        <v>603</v>
      </c>
      <c r="C737" t="s">
        <v>496</v>
      </c>
      <c r="D737" t="s">
        <v>1008</v>
      </c>
      <c r="E737" t="s">
        <v>1009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 x14ac:dyDescent="0.3">
      <c r="A738" t="s">
        <v>976</v>
      </c>
      <c r="B738" t="s">
        <v>603</v>
      </c>
      <c r="C738" t="s">
        <v>496</v>
      </c>
      <c r="D738" t="s">
        <v>1010</v>
      </c>
      <c r="E738" t="s">
        <v>1011</v>
      </c>
      <c r="F738">
        <v>-92</v>
      </c>
      <c r="G738">
        <v>0</v>
      </c>
      <c r="H738">
        <v>0</v>
      </c>
      <c r="I738">
        <v>-92</v>
      </c>
      <c r="J738">
        <v>92</v>
      </c>
    </row>
    <row r="739" spans="1:10" x14ac:dyDescent="0.3">
      <c r="A739" t="s">
        <v>976</v>
      </c>
      <c r="B739" t="s">
        <v>603</v>
      </c>
      <c r="C739" t="s">
        <v>496</v>
      </c>
      <c r="D739" t="s">
        <v>1012</v>
      </c>
      <c r="E739" t="s">
        <v>1013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 x14ac:dyDescent="0.3">
      <c r="A740" t="s">
        <v>976</v>
      </c>
      <c r="B740" t="s">
        <v>603</v>
      </c>
      <c r="C740" t="s">
        <v>496</v>
      </c>
      <c r="D740" t="s">
        <v>1016</v>
      </c>
      <c r="E740" t="s">
        <v>1017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 x14ac:dyDescent="0.3">
      <c r="A741" t="s">
        <v>976</v>
      </c>
      <c r="B741" t="s">
        <v>603</v>
      </c>
      <c r="C741" t="s">
        <v>496</v>
      </c>
      <c r="D741" t="s">
        <v>1123</v>
      </c>
      <c r="E741" t="s">
        <v>717</v>
      </c>
      <c r="F741">
        <v>156</v>
      </c>
      <c r="G741">
        <v>50</v>
      </c>
      <c r="H741">
        <v>0</v>
      </c>
      <c r="I741">
        <v>206</v>
      </c>
      <c r="J741">
        <v>206</v>
      </c>
    </row>
    <row r="742" spans="1:10" x14ac:dyDescent="0.3">
      <c r="A742" t="s">
        <v>976</v>
      </c>
      <c r="B742" t="s">
        <v>603</v>
      </c>
      <c r="C742" t="s">
        <v>496</v>
      </c>
      <c r="D742" t="s">
        <v>1118</v>
      </c>
      <c r="E742" t="s">
        <v>1119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 x14ac:dyDescent="0.3">
      <c r="A743" t="s">
        <v>976</v>
      </c>
      <c r="B743" t="s">
        <v>603</v>
      </c>
      <c r="C743" t="s">
        <v>496</v>
      </c>
      <c r="D743" t="s">
        <v>1120</v>
      </c>
      <c r="E743" t="s">
        <v>811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 x14ac:dyDescent="0.3">
      <c r="A744" t="s">
        <v>976</v>
      </c>
      <c r="B744" t="s">
        <v>603</v>
      </c>
      <c r="C744" t="s">
        <v>496</v>
      </c>
      <c r="D744" t="s">
        <v>1060</v>
      </c>
      <c r="E744" t="s">
        <v>1061</v>
      </c>
      <c r="F744">
        <v>7412.37</v>
      </c>
      <c r="G744">
        <v>2250</v>
      </c>
      <c r="H744">
        <v>0</v>
      </c>
      <c r="I744">
        <v>9662.369999999999</v>
      </c>
      <c r="J744">
        <v>9662.369999999999</v>
      </c>
    </row>
    <row r="745" spans="1:10" x14ac:dyDescent="0.3">
      <c r="A745" t="s">
        <v>976</v>
      </c>
      <c r="B745" t="s">
        <v>603</v>
      </c>
      <c r="C745" t="s">
        <v>496</v>
      </c>
      <c r="D745" t="s">
        <v>1062</v>
      </c>
      <c r="E745" t="s">
        <v>1063</v>
      </c>
      <c r="F745">
        <v>270.35000000000002</v>
      </c>
      <c r="G745">
        <v>0</v>
      </c>
      <c r="H745">
        <v>0</v>
      </c>
      <c r="I745">
        <v>270.35000000000002</v>
      </c>
      <c r="J745">
        <v>270.35000000000002</v>
      </c>
    </row>
    <row r="746" spans="1:10" x14ac:dyDescent="0.3">
      <c r="A746" t="s">
        <v>976</v>
      </c>
      <c r="B746" t="s">
        <v>603</v>
      </c>
      <c r="C746" t="s">
        <v>496</v>
      </c>
      <c r="D746" t="s">
        <v>1064</v>
      </c>
      <c r="E746" t="s">
        <v>1065</v>
      </c>
      <c r="F746">
        <v>459.71</v>
      </c>
      <c r="G746">
        <v>0</v>
      </c>
      <c r="H746">
        <v>0</v>
      </c>
      <c r="I746">
        <v>459.71</v>
      </c>
      <c r="J746">
        <v>459.71</v>
      </c>
    </row>
    <row r="747" spans="1:10" x14ac:dyDescent="0.3">
      <c r="A747" t="s">
        <v>976</v>
      </c>
      <c r="B747" t="s">
        <v>603</v>
      </c>
      <c r="C747" t="s">
        <v>496</v>
      </c>
      <c r="D747" t="s">
        <v>1066</v>
      </c>
      <c r="E747" t="s">
        <v>1067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 x14ac:dyDescent="0.3">
      <c r="A748" t="s">
        <v>976</v>
      </c>
      <c r="B748" t="s">
        <v>603</v>
      </c>
      <c r="C748" t="s">
        <v>496</v>
      </c>
      <c r="D748" t="s">
        <v>1068</v>
      </c>
      <c r="E748" t="s">
        <v>568</v>
      </c>
      <c r="F748">
        <v>9276.5299999999988</v>
      </c>
      <c r="G748">
        <v>0</v>
      </c>
      <c r="H748">
        <v>0</v>
      </c>
      <c r="I748">
        <v>9276.5299999999988</v>
      </c>
      <c r="J748">
        <v>9276.5299999999988</v>
      </c>
    </row>
    <row r="749" spans="1:10" x14ac:dyDescent="0.3">
      <c r="A749" t="s">
        <v>976</v>
      </c>
      <c r="B749" t="s">
        <v>603</v>
      </c>
      <c r="C749" t="s">
        <v>496</v>
      </c>
      <c r="D749" t="s">
        <v>1069</v>
      </c>
      <c r="E749" t="s">
        <v>1070</v>
      </c>
      <c r="F749">
        <v>115.51</v>
      </c>
      <c r="G749">
        <v>34.299999999999997</v>
      </c>
      <c r="H749">
        <v>0</v>
      </c>
      <c r="I749">
        <v>149.81</v>
      </c>
      <c r="J749">
        <v>149.81</v>
      </c>
    </row>
    <row r="750" spans="1:10" x14ac:dyDescent="0.3">
      <c r="A750" t="s">
        <v>976</v>
      </c>
      <c r="B750" t="s">
        <v>603</v>
      </c>
      <c r="C750" t="s">
        <v>496</v>
      </c>
      <c r="D750" t="s">
        <v>1071</v>
      </c>
      <c r="E750" t="s">
        <v>1072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 x14ac:dyDescent="0.3">
      <c r="A751" t="s">
        <v>976</v>
      </c>
      <c r="B751" t="s">
        <v>603</v>
      </c>
      <c r="C751" t="s">
        <v>496</v>
      </c>
      <c r="D751" t="s">
        <v>1073</v>
      </c>
      <c r="E751" t="s">
        <v>1074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 x14ac:dyDescent="0.3">
      <c r="A752" t="s">
        <v>976</v>
      </c>
      <c r="B752" t="s">
        <v>603</v>
      </c>
      <c r="C752" t="s">
        <v>496</v>
      </c>
      <c r="D752" t="s">
        <v>1075</v>
      </c>
      <c r="E752" t="s">
        <v>1076</v>
      </c>
      <c r="F752">
        <v>1500</v>
      </c>
      <c r="G752">
        <v>300</v>
      </c>
      <c r="H752">
        <v>0</v>
      </c>
      <c r="I752">
        <v>1800</v>
      </c>
      <c r="J752">
        <v>1800</v>
      </c>
    </row>
    <row r="753" spans="1:10" x14ac:dyDescent="0.3">
      <c r="A753" t="s">
        <v>976</v>
      </c>
      <c r="B753" t="s">
        <v>603</v>
      </c>
      <c r="C753" t="s">
        <v>496</v>
      </c>
      <c r="D753" t="s">
        <v>1077</v>
      </c>
      <c r="E753" t="s">
        <v>1078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 x14ac:dyDescent="0.3">
      <c r="A754" t="s">
        <v>976</v>
      </c>
      <c r="B754" t="s">
        <v>603</v>
      </c>
      <c r="C754" t="s">
        <v>496</v>
      </c>
      <c r="D754" t="s">
        <v>1079</v>
      </c>
      <c r="E754" t="s">
        <v>1080</v>
      </c>
      <c r="F754">
        <v>135.91999999999999</v>
      </c>
      <c r="G754">
        <v>37.69</v>
      </c>
      <c r="H754">
        <v>0</v>
      </c>
      <c r="I754">
        <v>173.61</v>
      </c>
      <c r="J754">
        <v>173.61</v>
      </c>
    </row>
    <row r="755" spans="1:10" x14ac:dyDescent="0.3">
      <c r="A755" t="s">
        <v>976</v>
      </c>
      <c r="B755" t="s">
        <v>603</v>
      </c>
      <c r="C755" t="s">
        <v>496</v>
      </c>
      <c r="D755" t="s">
        <v>1081</v>
      </c>
      <c r="E755" t="s">
        <v>1082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 x14ac:dyDescent="0.3">
      <c r="A756" t="s">
        <v>976</v>
      </c>
      <c r="B756" t="s">
        <v>603</v>
      </c>
      <c r="C756" t="s">
        <v>496</v>
      </c>
      <c r="D756" t="s">
        <v>1083</v>
      </c>
      <c r="E756" t="s">
        <v>1084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 x14ac:dyDescent="0.3">
      <c r="A757" t="s">
        <v>976</v>
      </c>
      <c r="B757" t="s">
        <v>603</v>
      </c>
      <c r="C757" t="s">
        <v>496</v>
      </c>
      <c r="D757" t="s">
        <v>1048</v>
      </c>
      <c r="E757" t="s">
        <v>1049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 x14ac:dyDescent="0.3">
      <c r="A758" t="s">
        <v>976</v>
      </c>
      <c r="B758" t="s">
        <v>603</v>
      </c>
      <c r="C758" t="s">
        <v>496</v>
      </c>
      <c r="D758" t="s">
        <v>1095</v>
      </c>
      <c r="E758" t="s">
        <v>1096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 x14ac:dyDescent="0.3">
      <c r="A759" t="s">
        <v>976</v>
      </c>
      <c r="B759" t="s">
        <v>603</v>
      </c>
      <c r="C759" t="s">
        <v>496</v>
      </c>
      <c r="D759" t="s">
        <v>1097</v>
      </c>
      <c r="E759" t="s">
        <v>1098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 x14ac:dyDescent="0.3">
      <c r="A760" t="s">
        <v>976</v>
      </c>
      <c r="B760" t="s">
        <v>603</v>
      </c>
      <c r="C760" t="s">
        <v>496</v>
      </c>
      <c r="D760" t="s">
        <v>1099</v>
      </c>
      <c r="E760" t="s">
        <v>1100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 x14ac:dyDescent="0.3">
      <c r="A761" t="s">
        <v>976</v>
      </c>
      <c r="B761" t="s">
        <v>603</v>
      </c>
      <c r="C761" t="s">
        <v>496</v>
      </c>
      <c r="D761" t="s">
        <v>1101</v>
      </c>
      <c r="E761" t="s">
        <v>1102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 x14ac:dyDescent="0.3">
      <c r="A762" t="s">
        <v>976</v>
      </c>
      <c r="B762" t="s">
        <v>603</v>
      </c>
      <c r="C762" t="s">
        <v>496</v>
      </c>
      <c r="D762" t="s">
        <v>1103</v>
      </c>
      <c r="E762" t="s">
        <v>1104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 x14ac:dyDescent="0.3">
      <c r="A763" t="s">
        <v>976</v>
      </c>
      <c r="B763" t="s">
        <v>603</v>
      </c>
      <c r="C763" t="s">
        <v>496</v>
      </c>
      <c r="D763" t="s">
        <v>1105</v>
      </c>
      <c r="E763" t="s">
        <v>1106</v>
      </c>
      <c r="F763">
        <v>0</v>
      </c>
      <c r="G763">
        <v>0</v>
      </c>
      <c r="H763">
        <v>0</v>
      </c>
      <c r="I763">
        <v>0</v>
      </c>
      <c r="J763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A989"/>
  <sheetViews>
    <sheetView topLeftCell="A989" workbookViewId="0">
      <selection activeCell="A989" sqref="A989"/>
    </sheetView>
  </sheetViews>
  <sheetFormatPr defaultRowHeight="14.4" x14ac:dyDescent="0.3"/>
  <cols>
    <col min="1" max="20" width="16" customWidth="1"/>
  </cols>
  <sheetData>
    <row r="1" spans="1:27" ht="18" x14ac:dyDescent="0.35">
      <c r="A1" s="49" t="s">
        <v>1140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</row>
    <row r="2" spans="1:27" x14ac:dyDescent="0.3">
      <c r="A2" t="s">
        <v>1141</v>
      </c>
    </row>
    <row r="3" spans="1:27" x14ac:dyDescent="0.3">
      <c r="A3" s="48" t="s">
        <v>1142</v>
      </c>
      <c r="B3" s="48" t="s">
        <v>956</v>
      </c>
      <c r="C3" s="48" t="s">
        <v>916</v>
      </c>
      <c r="D3" s="48" t="s">
        <v>28</v>
      </c>
      <c r="E3" s="48" t="s">
        <v>18</v>
      </c>
      <c r="F3" s="48" t="s">
        <v>1143</v>
      </c>
      <c r="G3" s="48" t="s">
        <v>39</v>
      </c>
      <c r="H3" s="48" t="s">
        <v>1144</v>
      </c>
      <c r="I3" s="48" t="s">
        <v>1145</v>
      </c>
      <c r="J3" s="48" t="s">
        <v>1146</v>
      </c>
      <c r="K3" s="48" t="s">
        <v>1147</v>
      </c>
      <c r="L3" s="48" t="s">
        <v>1148</v>
      </c>
      <c r="M3" s="48" t="s">
        <v>1136</v>
      </c>
      <c r="N3" s="48" t="s">
        <v>1137</v>
      </c>
      <c r="O3" s="48" t="s">
        <v>1138</v>
      </c>
      <c r="P3" s="48" t="s">
        <v>1149</v>
      </c>
      <c r="Q3" s="48" t="s">
        <v>1134</v>
      </c>
      <c r="R3" s="48" t="s">
        <v>1150</v>
      </c>
      <c r="S3" s="48" t="s">
        <v>3</v>
      </c>
      <c r="T3" s="48" t="s">
        <v>978</v>
      </c>
      <c r="U3" s="48" t="s">
        <v>1151</v>
      </c>
      <c r="V3" s="48" t="s">
        <v>1152</v>
      </c>
      <c r="W3" s="48" t="s">
        <v>1153</v>
      </c>
      <c r="X3" s="48" t="s">
        <v>1139</v>
      </c>
      <c r="Y3" s="48" t="s">
        <v>1154</v>
      </c>
      <c r="Z3" s="48" t="s">
        <v>1155</v>
      </c>
      <c r="AA3" s="48" t="s">
        <v>1156</v>
      </c>
    </row>
    <row r="4" spans="1:27" x14ac:dyDescent="0.3">
      <c r="A4" t="s">
        <v>1157</v>
      </c>
      <c r="B4" t="s">
        <v>1158</v>
      </c>
      <c r="C4" t="s">
        <v>976</v>
      </c>
      <c r="D4" t="s">
        <v>658</v>
      </c>
      <c r="E4" t="s">
        <v>553</v>
      </c>
      <c r="F4">
        <v>46142</v>
      </c>
      <c r="G4" t="s">
        <v>496</v>
      </c>
      <c r="H4" t="s">
        <v>1159</v>
      </c>
      <c r="I4">
        <v>11100501</v>
      </c>
      <c r="J4" t="s">
        <v>1160</v>
      </c>
      <c r="L4">
        <v>473.04</v>
      </c>
      <c r="M4">
        <v>10781.96</v>
      </c>
      <c r="N4">
        <v>11319.07</v>
      </c>
      <c r="O4">
        <v>-64.069999999999993</v>
      </c>
      <c r="P4" t="s">
        <v>1161</v>
      </c>
      <c r="Q4" t="s">
        <v>980</v>
      </c>
      <c r="R4" t="s">
        <v>1162</v>
      </c>
      <c r="S4" t="s">
        <v>1163</v>
      </c>
      <c r="T4" t="s">
        <v>926</v>
      </c>
      <c r="U4" t="s">
        <v>1164</v>
      </c>
      <c r="V4" t="s">
        <v>1165</v>
      </c>
      <c r="W4">
        <v>1</v>
      </c>
      <c r="X4">
        <v>-64.069999999999993</v>
      </c>
      <c r="Y4" t="s">
        <v>1166</v>
      </c>
      <c r="Z4" t="s">
        <v>1167</v>
      </c>
      <c r="AA4" t="s">
        <v>1168</v>
      </c>
    </row>
    <row r="5" spans="1:27" x14ac:dyDescent="0.3">
      <c r="A5" t="s">
        <v>1157</v>
      </c>
      <c r="B5" t="s">
        <v>1169</v>
      </c>
      <c r="C5" t="s">
        <v>976</v>
      </c>
      <c r="D5" t="s">
        <v>658</v>
      </c>
      <c r="E5" t="s">
        <v>553</v>
      </c>
      <c r="F5">
        <v>46142</v>
      </c>
      <c r="G5" t="s">
        <v>496</v>
      </c>
      <c r="H5" t="s">
        <v>1159</v>
      </c>
      <c r="I5">
        <v>23050102</v>
      </c>
      <c r="J5" t="s">
        <v>1170</v>
      </c>
      <c r="K5" t="s">
        <v>1171</v>
      </c>
      <c r="L5">
        <v>-92</v>
      </c>
      <c r="M5">
        <v>0</v>
      </c>
      <c r="N5">
        <v>0</v>
      </c>
      <c r="O5">
        <v>-92</v>
      </c>
      <c r="P5" t="s">
        <v>1172</v>
      </c>
      <c r="Q5" t="s">
        <v>1010</v>
      </c>
      <c r="R5" t="s">
        <v>1162</v>
      </c>
      <c r="S5" t="s">
        <v>1173</v>
      </c>
      <c r="T5" t="s">
        <v>1011</v>
      </c>
      <c r="U5" t="s">
        <v>1174</v>
      </c>
      <c r="V5" t="s">
        <v>1175</v>
      </c>
      <c r="W5">
        <v>-1</v>
      </c>
      <c r="X5">
        <v>92</v>
      </c>
      <c r="Y5" t="s">
        <v>1166</v>
      </c>
      <c r="Z5" t="s">
        <v>1167</v>
      </c>
      <c r="AA5" t="s">
        <v>1176</v>
      </c>
    </row>
    <row r="6" spans="1:27" x14ac:dyDescent="0.3">
      <c r="A6" t="s">
        <v>1157</v>
      </c>
      <c r="B6" t="s">
        <v>1177</v>
      </c>
      <c r="C6" t="s">
        <v>976</v>
      </c>
      <c r="D6" t="s">
        <v>658</v>
      </c>
      <c r="E6" t="s">
        <v>553</v>
      </c>
      <c r="F6">
        <v>46142</v>
      </c>
      <c r="G6" t="s">
        <v>496</v>
      </c>
      <c r="H6" t="s">
        <v>1159</v>
      </c>
      <c r="I6">
        <v>31050502</v>
      </c>
      <c r="J6" t="s">
        <v>1178</v>
      </c>
      <c r="K6" t="s">
        <v>1179</v>
      </c>
      <c r="L6">
        <v>-6882.83</v>
      </c>
      <c r="M6">
        <v>0</v>
      </c>
      <c r="N6">
        <v>0</v>
      </c>
      <c r="O6">
        <v>-6882.83</v>
      </c>
      <c r="P6" t="s">
        <v>1180</v>
      </c>
      <c r="Q6" t="s">
        <v>1028</v>
      </c>
      <c r="R6" t="s">
        <v>1162</v>
      </c>
      <c r="S6" t="s">
        <v>1181</v>
      </c>
      <c r="T6" t="s">
        <v>1029</v>
      </c>
      <c r="U6" t="s">
        <v>1182</v>
      </c>
      <c r="V6" t="s">
        <v>1175</v>
      </c>
      <c r="W6">
        <v>-1</v>
      </c>
      <c r="X6">
        <v>6882.83</v>
      </c>
      <c r="Y6" t="s">
        <v>1166</v>
      </c>
      <c r="Z6" t="s">
        <v>1167</v>
      </c>
      <c r="AA6" t="s">
        <v>1029</v>
      </c>
    </row>
    <row r="7" spans="1:27" x14ac:dyDescent="0.3">
      <c r="A7" t="s">
        <v>1157</v>
      </c>
      <c r="B7" t="s">
        <v>1183</v>
      </c>
      <c r="C7" t="s">
        <v>976</v>
      </c>
      <c r="D7" t="s">
        <v>658</v>
      </c>
      <c r="E7" t="s">
        <v>553</v>
      </c>
      <c r="F7">
        <v>46142</v>
      </c>
      <c r="G7" t="s">
        <v>496</v>
      </c>
      <c r="H7" t="s">
        <v>1159</v>
      </c>
      <c r="I7">
        <v>31150502</v>
      </c>
      <c r="J7" t="s">
        <v>1184</v>
      </c>
      <c r="L7">
        <v>-22786</v>
      </c>
      <c r="M7">
        <v>0</v>
      </c>
      <c r="N7">
        <v>10781.96</v>
      </c>
      <c r="O7">
        <v>-33567.96</v>
      </c>
      <c r="P7" t="s">
        <v>1185</v>
      </c>
      <c r="Q7" t="s">
        <v>1028</v>
      </c>
      <c r="R7" t="s">
        <v>1162</v>
      </c>
      <c r="S7" t="s">
        <v>1181</v>
      </c>
      <c r="T7" t="s">
        <v>1029</v>
      </c>
      <c r="U7" t="s">
        <v>1186</v>
      </c>
      <c r="V7" t="s">
        <v>1175</v>
      </c>
      <c r="W7">
        <v>-1</v>
      </c>
      <c r="X7">
        <v>33567.96</v>
      </c>
      <c r="Y7" t="s">
        <v>1166</v>
      </c>
      <c r="Z7" t="s">
        <v>1167</v>
      </c>
      <c r="AA7" t="s">
        <v>1187</v>
      </c>
    </row>
    <row r="8" spans="1:27" x14ac:dyDescent="0.3">
      <c r="A8" t="s">
        <v>1157</v>
      </c>
      <c r="B8" t="s">
        <v>1188</v>
      </c>
      <c r="C8" t="s">
        <v>976</v>
      </c>
      <c r="D8" t="s">
        <v>658</v>
      </c>
      <c r="E8" t="s">
        <v>553</v>
      </c>
      <c r="F8">
        <v>46142</v>
      </c>
      <c r="G8" t="s">
        <v>496</v>
      </c>
      <c r="H8" t="s">
        <v>1159</v>
      </c>
      <c r="I8">
        <v>36100102</v>
      </c>
      <c r="J8" t="s">
        <v>1189</v>
      </c>
      <c r="L8">
        <v>22674.27</v>
      </c>
      <c r="M8">
        <v>0</v>
      </c>
      <c r="N8">
        <v>0</v>
      </c>
      <c r="O8">
        <v>22674.27</v>
      </c>
      <c r="P8" t="s">
        <v>1190</v>
      </c>
      <c r="Q8" t="s">
        <v>1033</v>
      </c>
      <c r="R8" t="s">
        <v>1162</v>
      </c>
      <c r="S8" t="s">
        <v>1181</v>
      </c>
      <c r="T8" t="s">
        <v>1034</v>
      </c>
      <c r="U8" t="s">
        <v>1191</v>
      </c>
      <c r="V8" t="s">
        <v>1175</v>
      </c>
      <c r="W8">
        <v>-1</v>
      </c>
      <c r="X8">
        <v>-22674.27</v>
      </c>
      <c r="Y8" t="s">
        <v>1192</v>
      </c>
      <c r="Z8" t="s">
        <v>1193</v>
      </c>
      <c r="AA8" t="s">
        <v>1194</v>
      </c>
    </row>
    <row r="9" spans="1:27" x14ac:dyDescent="0.3">
      <c r="A9" t="s">
        <v>1157</v>
      </c>
      <c r="B9" t="s">
        <v>1195</v>
      </c>
      <c r="C9" t="s">
        <v>976</v>
      </c>
      <c r="D9" t="s">
        <v>658</v>
      </c>
      <c r="E9" t="s">
        <v>553</v>
      </c>
      <c r="F9">
        <v>46142</v>
      </c>
      <c r="G9" t="s">
        <v>496</v>
      </c>
      <c r="H9" t="s">
        <v>1159</v>
      </c>
      <c r="I9">
        <v>51050601</v>
      </c>
      <c r="J9" t="s">
        <v>1196</v>
      </c>
      <c r="K9" t="s">
        <v>1197</v>
      </c>
      <c r="L9">
        <v>3600</v>
      </c>
      <c r="M9">
        <v>1200</v>
      </c>
      <c r="N9">
        <v>0</v>
      </c>
      <c r="O9">
        <v>4800</v>
      </c>
      <c r="P9" t="s">
        <v>1198</v>
      </c>
      <c r="Q9" t="s">
        <v>1060</v>
      </c>
      <c r="R9" t="s">
        <v>1199</v>
      </c>
      <c r="S9" t="s">
        <v>947</v>
      </c>
      <c r="T9" t="s">
        <v>1061</v>
      </c>
      <c r="U9" t="s">
        <v>1200</v>
      </c>
      <c r="V9" t="s">
        <v>1165</v>
      </c>
      <c r="W9">
        <v>1</v>
      </c>
      <c r="X9">
        <v>4800</v>
      </c>
      <c r="Y9" t="s">
        <v>1166</v>
      </c>
      <c r="Z9" t="s">
        <v>1167</v>
      </c>
      <c r="AA9" t="s">
        <v>1201</v>
      </c>
    </row>
    <row r="10" spans="1:27" x14ac:dyDescent="0.3">
      <c r="A10" t="s">
        <v>1157</v>
      </c>
      <c r="B10" t="s">
        <v>1202</v>
      </c>
      <c r="C10" t="s">
        <v>976</v>
      </c>
      <c r="D10" t="s">
        <v>658</v>
      </c>
      <c r="E10" t="s">
        <v>553</v>
      </c>
      <c r="F10">
        <v>46142</v>
      </c>
      <c r="G10" t="s">
        <v>496</v>
      </c>
      <c r="H10" t="s">
        <v>1159</v>
      </c>
      <c r="I10">
        <v>51052105</v>
      </c>
      <c r="J10" t="s">
        <v>1203</v>
      </c>
      <c r="L10">
        <v>900</v>
      </c>
      <c r="M10">
        <v>300</v>
      </c>
      <c r="N10">
        <v>0</v>
      </c>
      <c r="O10">
        <v>1200</v>
      </c>
      <c r="P10" t="s">
        <v>1204</v>
      </c>
      <c r="Q10" t="s">
        <v>1075</v>
      </c>
      <c r="R10" t="s">
        <v>1199</v>
      </c>
      <c r="S10" t="s">
        <v>947</v>
      </c>
      <c r="T10" t="s">
        <v>1076</v>
      </c>
      <c r="U10" t="s">
        <v>1205</v>
      </c>
      <c r="V10" t="s">
        <v>1165</v>
      </c>
      <c r="W10">
        <v>1</v>
      </c>
      <c r="X10">
        <v>1200</v>
      </c>
      <c r="Y10" t="s">
        <v>1166</v>
      </c>
      <c r="Z10" t="s">
        <v>1167</v>
      </c>
      <c r="AA10" t="s">
        <v>1206</v>
      </c>
    </row>
    <row r="11" spans="1:27" x14ac:dyDescent="0.3">
      <c r="A11" t="s">
        <v>1157</v>
      </c>
      <c r="B11" t="s">
        <v>1207</v>
      </c>
      <c r="C11" t="s">
        <v>976</v>
      </c>
      <c r="D11" t="s">
        <v>658</v>
      </c>
      <c r="E11" t="s">
        <v>553</v>
      </c>
      <c r="F11">
        <v>46142</v>
      </c>
      <c r="G11" t="s">
        <v>496</v>
      </c>
      <c r="H11" t="s">
        <v>1159</v>
      </c>
      <c r="I11">
        <v>51053101</v>
      </c>
      <c r="J11" t="s">
        <v>1208</v>
      </c>
      <c r="K11" t="s">
        <v>1197</v>
      </c>
      <c r="L11">
        <v>1212.3699999999999</v>
      </c>
      <c r="M11">
        <v>400</v>
      </c>
      <c r="N11">
        <v>0</v>
      </c>
      <c r="O11">
        <v>1612.37</v>
      </c>
      <c r="P11" t="s">
        <v>1209</v>
      </c>
      <c r="Q11" t="s">
        <v>1060</v>
      </c>
      <c r="R11" t="s">
        <v>1199</v>
      </c>
      <c r="S11" t="s">
        <v>947</v>
      </c>
      <c r="T11" t="s">
        <v>1061</v>
      </c>
      <c r="U11" t="s">
        <v>1210</v>
      </c>
      <c r="V11" t="s">
        <v>1165</v>
      </c>
      <c r="W11">
        <v>1</v>
      </c>
      <c r="X11">
        <v>1612.37</v>
      </c>
      <c r="Y11" t="s">
        <v>1166</v>
      </c>
      <c r="Z11" t="s">
        <v>1167</v>
      </c>
      <c r="AA11" t="s">
        <v>1211</v>
      </c>
    </row>
    <row r="12" spans="1:27" x14ac:dyDescent="0.3">
      <c r="A12" t="s">
        <v>1157</v>
      </c>
      <c r="B12" t="s">
        <v>1212</v>
      </c>
      <c r="C12" t="s">
        <v>976</v>
      </c>
      <c r="D12" t="s">
        <v>658</v>
      </c>
      <c r="E12" t="s">
        <v>553</v>
      </c>
      <c r="F12">
        <v>46142</v>
      </c>
      <c r="G12" t="s">
        <v>496</v>
      </c>
      <c r="H12" t="s">
        <v>1159</v>
      </c>
      <c r="I12">
        <v>51102501</v>
      </c>
      <c r="J12" t="s">
        <v>1213</v>
      </c>
      <c r="K12" t="s">
        <v>1214</v>
      </c>
      <c r="L12">
        <v>270.35000000000002</v>
      </c>
      <c r="M12">
        <v>0</v>
      </c>
      <c r="N12">
        <v>0</v>
      </c>
      <c r="O12">
        <v>270.35000000000002</v>
      </c>
      <c r="P12" t="s">
        <v>1215</v>
      </c>
      <c r="Q12" t="s">
        <v>1062</v>
      </c>
      <c r="R12" t="s">
        <v>1199</v>
      </c>
      <c r="S12" t="s">
        <v>947</v>
      </c>
      <c r="T12" t="s">
        <v>1063</v>
      </c>
      <c r="U12" t="s">
        <v>1216</v>
      </c>
      <c r="V12" t="s">
        <v>1165</v>
      </c>
      <c r="W12">
        <v>1</v>
      </c>
      <c r="X12">
        <v>270.35000000000002</v>
      </c>
      <c r="Y12" t="s">
        <v>1166</v>
      </c>
      <c r="Z12" t="s">
        <v>1167</v>
      </c>
      <c r="AA12" t="s">
        <v>1217</v>
      </c>
    </row>
    <row r="13" spans="1:27" x14ac:dyDescent="0.3">
      <c r="A13" t="s">
        <v>1157</v>
      </c>
      <c r="B13" t="s">
        <v>1218</v>
      </c>
      <c r="C13" t="s">
        <v>976</v>
      </c>
      <c r="D13" t="s">
        <v>658</v>
      </c>
      <c r="E13" t="s">
        <v>553</v>
      </c>
      <c r="F13">
        <v>46142</v>
      </c>
      <c r="G13" t="s">
        <v>496</v>
      </c>
      <c r="H13" t="s">
        <v>1159</v>
      </c>
      <c r="I13">
        <v>51150501</v>
      </c>
      <c r="J13" t="s">
        <v>1219</v>
      </c>
      <c r="K13" t="s">
        <v>1220</v>
      </c>
      <c r="L13">
        <v>252.73</v>
      </c>
      <c r="M13">
        <v>0</v>
      </c>
      <c r="N13">
        <v>0</v>
      </c>
      <c r="O13">
        <v>252.73</v>
      </c>
      <c r="P13" t="s">
        <v>1221</v>
      </c>
      <c r="Q13" t="s">
        <v>1064</v>
      </c>
      <c r="R13" t="s">
        <v>1199</v>
      </c>
      <c r="S13" t="s">
        <v>947</v>
      </c>
      <c r="T13" t="s">
        <v>1065</v>
      </c>
      <c r="U13" t="s">
        <v>1222</v>
      </c>
      <c r="V13" t="s">
        <v>1165</v>
      </c>
      <c r="W13">
        <v>1</v>
      </c>
      <c r="X13">
        <v>252.73</v>
      </c>
      <c r="Y13" t="s">
        <v>1166</v>
      </c>
      <c r="Z13" t="s">
        <v>1167</v>
      </c>
      <c r="AA13" t="s">
        <v>1223</v>
      </c>
    </row>
    <row r="14" spans="1:27" x14ac:dyDescent="0.3">
      <c r="A14" t="s">
        <v>1157</v>
      </c>
      <c r="B14" t="s">
        <v>1224</v>
      </c>
      <c r="C14" t="s">
        <v>976</v>
      </c>
      <c r="D14" t="s">
        <v>658</v>
      </c>
      <c r="E14" t="s">
        <v>553</v>
      </c>
      <c r="F14">
        <v>46142</v>
      </c>
      <c r="G14" t="s">
        <v>496</v>
      </c>
      <c r="H14" t="s">
        <v>1159</v>
      </c>
      <c r="I14">
        <v>51150502</v>
      </c>
      <c r="J14" t="s">
        <v>1219</v>
      </c>
      <c r="K14" t="s">
        <v>1220</v>
      </c>
      <c r="L14">
        <v>26.55</v>
      </c>
      <c r="M14">
        <v>115.64</v>
      </c>
      <c r="N14">
        <v>0</v>
      </c>
      <c r="O14">
        <v>142.19</v>
      </c>
      <c r="P14" t="s">
        <v>1221</v>
      </c>
      <c r="Q14" t="s">
        <v>1064</v>
      </c>
      <c r="R14" t="s">
        <v>1199</v>
      </c>
      <c r="S14" t="s">
        <v>947</v>
      </c>
      <c r="T14" t="s">
        <v>1065</v>
      </c>
      <c r="U14" t="s">
        <v>1222</v>
      </c>
      <c r="V14" t="s">
        <v>1165</v>
      </c>
      <c r="W14">
        <v>1</v>
      </c>
      <c r="X14">
        <v>142.19</v>
      </c>
      <c r="Y14" t="s">
        <v>1166</v>
      </c>
      <c r="Z14" t="s">
        <v>1167</v>
      </c>
      <c r="AA14" t="s">
        <v>1223</v>
      </c>
    </row>
    <row r="15" spans="1:27" x14ac:dyDescent="0.3">
      <c r="A15" t="s">
        <v>1157</v>
      </c>
      <c r="B15" t="s">
        <v>1225</v>
      </c>
      <c r="C15" t="s">
        <v>976</v>
      </c>
      <c r="D15" t="s">
        <v>658</v>
      </c>
      <c r="E15" t="s">
        <v>553</v>
      </c>
      <c r="F15">
        <v>46142</v>
      </c>
      <c r="G15" t="s">
        <v>496</v>
      </c>
      <c r="H15" t="s">
        <v>1159</v>
      </c>
      <c r="I15">
        <v>51250501</v>
      </c>
      <c r="J15" t="s">
        <v>1226</v>
      </c>
      <c r="K15" t="s">
        <v>1227</v>
      </c>
      <c r="L15">
        <v>64.790000000000006</v>
      </c>
      <c r="M15">
        <v>0</v>
      </c>
      <c r="N15">
        <v>0</v>
      </c>
      <c r="O15">
        <v>64.790000000000006</v>
      </c>
      <c r="P15" t="s">
        <v>1228</v>
      </c>
      <c r="Q15" t="s">
        <v>1064</v>
      </c>
      <c r="R15" t="s">
        <v>1199</v>
      </c>
      <c r="S15" t="s">
        <v>947</v>
      </c>
      <c r="T15" t="s">
        <v>1065</v>
      </c>
      <c r="U15" t="s">
        <v>1229</v>
      </c>
      <c r="V15" t="s">
        <v>1165</v>
      </c>
      <c r="W15">
        <v>1</v>
      </c>
      <c r="X15">
        <v>64.790000000000006</v>
      </c>
      <c r="Y15" t="s">
        <v>1166</v>
      </c>
      <c r="Z15" t="s">
        <v>1167</v>
      </c>
      <c r="AA15" t="s">
        <v>1230</v>
      </c>
    </row>
    <row r="16" spans="1:27" x14ac:dyDescent="0.3">
      <c r="A16" t="s">
        <v>1157</v>
      </c>
      <c r="B16" t="s">
        <v>1231</v>
      </c>
      <c r="C16" t="s">
        <v>976</v>
      </c>
      <c r="D16" t="s">
        <v>658</v>
      </c>
      <c r="E16" t="s">
        <v>553</v>
      </c>
      <c r="F16">
        <v>46142</v>
      </c>
      <c r="G16" t="s">
        <v>496</v>
      </c>
      <c r="H16" t="s">
        <v>1159</v>
      </c>
      <c r="I16">
        <v>51309501</v>
      </c>
      <c r="J16" t="s">
        <v>1232</v>
      </c>
      <c r="K16" t="s">
        <v>1233</v>
      </c>
      <c r="L16">
        <v>0</v>
      </c>
      <c r="M16">
        <v>9205.7199999999993</v>
      </c>
      <c r="N16">
        <v>0</v>
      </c>
      <c r="O16">
        <v>9205.7199999999993</v>
      </c>
      <c r="P16" t="s">
        <v>1234</v>
      </c>
      <c r="Q16" t="s">
        <v>1068</v>
      </c>
      <c r="R16" t="s">
        <v>1199</v>
      </c>
      <c r="S16" t="s">
        <v>947</v>
      </c>
      <c r="T16" t="s">
        <v>568</v>
      </c>
      <c r="U16" t="s">
        <v>1235</v>
      </c>
      <c r="V16" t="s">
        <v>1165</v>
      </c>
      <c r="W16">
        <v>1</v>
      </c>
      <c r="X16">
        <v>9205.7199999999993</v>
      </c>
      <c r="Y16" t="s">
        <v>1192</v>
      </c>
      <c r="Z16" t="s">
        <v>1193</v>
      </c>
      <c r="AA16" t="s">
        <v>1236</v>
      </c>
    </row>
    <row r="17" spans="1:27" x14ac:dyDescent="0.3">
      <c r="A17" t="s">
        <v>1157</v>
      </c>
      <c r="B17" t="s">
        <v>1237</v>
      </c>
      <c r="C17" t="s">
        <v>976</v>
      </c>
      <c r="D17" t="s">
        <v>658</v>
      </c>
      <c r="E17" t="s">
        <v>553</v>
      </c>
      <c r="F17">
        <v>46142</v>
      </c>
      <c r="G17" t="s">
        <v>496</v>
      </c>
      <c r="H17" t="s">
        <v>1159</v>
      </c>
      <c r="I17">
        <v>51309501</v>
      </c>
      <c r="J17" t="s">
        <v>1232</v>
      </c>
      <c r="K17" t="s">
        <v>1238</v>
      </c>
      <c r="L17">
        <v>70.81</v>
      </c>
      <c r="M17">
        <v>0</v>
      </c>
      <c r="N17">
        <v>0</v>
      </c>
      <c r="O17">
        <v>70.81</v>
      </c>
      <c r="P17" t="s">
        <v>1234</v>
      </c>
      <c r="Q17" t="s">
        <v>1068</v>
      </c>
      <c r="R17" t="s">
        <v>1199</v>
      </c>
      <c r="S17" t="s">
        <v>947</v>
      </c>
      <c r="T17" t="s">
        <v>568</v>
      </c>
      <c r="U17" t="s">
        <v>1235</v>
      </c>
      <c r="V17" t="s">
        <v>1165</v>
      </c>
      <c r="W17">
        <v>1</v>
      </c>
      <c r="X17">
        <v>70.81</v>
      </c>
      <c r="Y17" t="s">
        <v>1192</v>
      </c>
      <c r="Z17" t="s">
        <v>1193</v>
      </c>
      <c r="AA17" t="s">
        <v>1236</v>
      </c>
    </row>
    <row r="18" spans="1:27" x14ac:dyDescent="0.3">
      <c r="A18" t="s">
        <v>1157</v>
      </c>
      <c r="B18" t="s">
        <v>1239</v>
      </c>
      <c r="C18" t="s">
        <v>976</v>
      </c>
      <c r="D18" t="s">
        <v>658</v>
      </c>
      <c r="E18" t="s">
        <v>553</v>
      </c>
      <c r="F18">
        <v>46142</v>
      </c>
      <c r="G18" t="s">
        <v>496</v>
      </c>
      <c r="H18" t="s">
        <v>1159</v>
      </c>
      <c r="I18">
        <v>51352001</v>
      </c>
      <c r="J18" t="s">
        <v>1240</v>
      </c>
      <c r="K18" t="s">
        <v>1241</v>
      </c>
      <c r="L18">
        <v>0</v>
      </c>
      <c r="M18">
        <v>57.71</v>
      </c>
      <c r="N18">
        <v>0</v>
      </c>
      <c r="O18">
        <v>57.71</v>
      </c>
      <c r="P18" t="s">
        <v>1242</v>
      </c>
      <c r="Q18" t="s">
        <v>1069</v>
      </c>
      <c r="R18" t="s">
        <v>1199</v>
      </c>
      <c r="S18" t="s">
        <v>947</v>
      </c>
      <c r="T18" t="s">
        <v>1070</v>
      </c>
      <c r="U18" t="s">
        <v>1243</v>
      </c>
      <c r="V18" t="s">
        <v>1165</v>
      </c>
      <c r="W18">
        <v>1</v>
      </c>
      <c r="X18">
        <v>57.71</v>
      </c>
      <c r="Y18" t="s">
        <v>1166</v>
      </c>
      <c r="Z18" t="s">
        <v>1193</v>
      </c>
      <c r="AA18" t="s">
        <v>1244</v>
      </c>
    </row>
    <row r="19" spans="1:27" x14ac:dyDescent="0.3">
      <c r="A19" t="s">
        <v>1157</v>
      </c>
      <c r="B19" t="s">
        <v>1245</v>
      </c>
      <c r="C19" t="s">
        <v>976</v>
      </c>
      <c r="D19" t="s">
        <v>658</v>
      </c>
      <c r="E19" t="s">
        <v>553</v>
      </c>
      <c r="F19">
        <v>46142</v>
      </c>
      <c r="G19" t="s">
        <v>496</v>
      </c>
      <c r="H19" t="s">
        <v>1159</v>
      </c>
      <c r="I19">
        <v>51953001</v>
      </c>
      <c r="J19" t="s">
        <v>1246</v>
      </c>
      <c r="K19" t="s">
        <v>1247</v>
      </c>
      <c r="L19">
        <v>39.61</v>
      </c>
      <c r="M19">
        <v>0</v>
      </c>
      <c r="N19">
        <v>0</v>
      </c>
      <c r="O19">
        <v>39.61</v>
      </c>
      <c r="P19" t="s">
        <v>1248</v>
      </c>
      <c r="Q19" t="s">
        <v>1079</v>
      </c>
      <c r="R19" t="s">
        <v>1199</v>
      </c>
      <c r="S19" t="s">
        <v>947</v>
      </c>
      <c r="T19" t="s">
        <v>1080</v>
      </c>
      <c r="U19" t="s">
        <v>1249</v>
      </c>
      <c r="V19" t="s">
        <v>1165</v>
      </c>
      <c r="W19">
        <v>1</v>
      </c>
      <c r="X19">
        <v>39.61</v>
      </c>
      <c r="Y19" t="s">
        <v>1166</v>
      </c>
      <c r="Z19" t="s">
        <v>1167</v>
      </c>
      <c r="AA19" t="s">
        <v>1250</v>
      </c>
    </row>
    <row r="20" spans="1:27" x14ac:dyDescent="0.3">
      <c r="A20" t="s">
        <v>1157</v>
      </c>
      <c r="B20" t="s">
        <v>1251</v>
      </c>
      <c r="C20" t="s">
        <v>976</v>
      </c>
      <c r="D20" t="s">
        <v>658</v>
      </c>
      <c r="E20" t="s">
        <v>553</v>
      </c>
      <c r="F20">
        <v>46142</v>
      </c>
      <c r="G20" t="s">
        <v>496</v>
      </c>
      <c r="H20" t="s">
        <v>1159</v>
      </c>
      <c r="I20">
        <v>51953001</v>
      </c>
      <c r="J20" t="s">
        <v>1246</v>
      </c>
      <c r="K20" t="s">
        <v>1252</v>
      </c>
      <c r="L20">
        <v>74.31</v>
      </c>
      <c r="M20">
        <v>0</v>
      </c>
      <c r="N20">
        <v>0</v>
      </c>
      <c r="O20">
        <v>74.31</v>
      </c>
      <c r="P20" t="s">
        <v>1248</v>
      </c>
      <c r="Q20" t="s">
        <v>1079</v>
      </c>
      <c r="R20" t="s">
        <v>1199</v>
      </c>
      <c r="S20" t="s">
        <v>947</v>
      </c>
      <c r="T20" t="s">
        <v>1080</v>
      </c>
      <c r="U20" t="s">
        <v>1249</v>
      </c>
      <c r="V20" t="s">
        <v>1165</v>
      </c>
      <c r="W20">
        <v>1</v>
      </c>
      <c r="X20">
        <v>74.31</v>
      </c>
      <c r="Y20" t="s">
        <v>1166</v>
      </c>
      <c r="Z20" t="s">
        <v>1167</v>
      </c>
      <c r="AA20" t="s">
        <v>1250</v>
      </c>
    </row>
    <row r="21" spans="1:27" x14ac:dyDescent="0.3">
      <c r="A21" t="s">
        <v>1157</v>
      </c>
      <c r="B21" t="s">
        <v>1253</v>
      </c>
      <c r="C21" t="s">
        <v>976</v>
      </c>
      <c r="D21" t="s">
        <v>658</v>
      </c>
      <c r="E21" t="s">
        <v>553</v>
      </c>
      <c r="F21">
        <v>46142</v>
      </c>
      <c r="G21" t="s">
        <v>496</v>
      </c>
      <c r="H21" t="s">
        <v>1159</v>
      </c>
      <c r="I21">
        <v>51953001</v>
      </c>
      <c r="J21" t="s">
        <v>1246</v>
      </c>
      <c r="K21" t="s">
        <v>1254</v>
      </c>
      <c r="L21">
        <v>15</v>
      </c>
      <c r="M21">
        <v>0</v>
      </c>
      <c r="N21">
        <v>0</v>
      </c>
      <c r="O21">
        <v>15</v>
      </c>
      <c r="P21" t="s">
        <v>1248</v>
      </c>
      <c r="Q21" t="s">
        <v>1079</v>
      </c>
      <c r="R21" t="s">
        <v>1199</v>
      </c>
      <c r="S21" t="s">
        <v>947</v>
      </c>
      <c r="T21" t="s">
        <v>1080</v>
      </c>
      <c r="U21" t="s">
        <v>1249</v>
      </c>
      <c r="V21" t="s">
        <v>1165</v>
      </c>
      <c r="W21">
        <v>1</v>
      </c>
      <c r="X21">
        <v>15</v>
      </c>
      <c r="Y21" t="s">
        <v>1166</v>
      </c>
      <c r="Z21" t="s">
        <v>1167</v>
      </c>
      <c r="AA21" t="s">
        <v>1250</v>
      </c>
    </row>
    <row r="22" spans="1:27" x14ac:dyDescent="0.3">
      <c r="A22" t="s">
        <v>1157</v>
      </c>
      <c r="B22" t="s">
        <v>1255</v>
      </c>
      <c r="C22" t="s">
        <v>976</v>
      </c>
      <c r="D22" t="s">
        <v>658</v>
      </c>
      <c r="E22" t="s">
        <v>553</v>
      </c>
      <c r="F22">
        <v>46142</v>
      </c>
      <c r="G22" t="s">
        <v>496</v>
      </c>
      <c r="H22" t="s">
        <v>1159</v>
      </c>
      <c r="I22">
        <v>51953001</v>
      </c>
      <c r="J22" t="s">
        <v>1246</v>
      </c>
      <c r="K22" t="s">
        <v>1256</v>
      </c>
      <c r="L22">
        <v>7</v>
      </c>
      <c r="M22">
        <v>0</v>
      </c>
      <c r="N22">
        <v>0</v>
      </c>
      <c r="O22">
        <v>7</v>
      </c>
      <c r="P22" t="s">
        <v>1248</v>
      </c>
      <c r="Q22" t="s">
        <v>1079</v>
      </c>
      <c r="R22" t="s">
        <v>1199</v>
      </c>
      <c r="S22" t="s">
        <v>947</v>
      </c>
      <c r="T22" t="s">
        <v>1080</v>
      </c>
      <c r="U22" t="s">
        <v>1249</v>
      </c>
      <c r="V22" t="s">
        <v>1165</v>
      </c>
      <c r="W22">
        <v>1</v>
      </c>
      <c r="X22">
        <v>7</v>
      </c>
      <c r="Y22" t="s">
        <v>1166</v>
      </c>
      <c r="Z22" t="s">
        <v>1167</v>
      </c>
      <c r="AA22" t="s">
        <v>1250</v>
      </c>
    </row>
    <row r="23" spans="1:27" x14ac:dyDescent="0.3">
      <c r="A23" t="s">
        <v>1157</v>
      </c>
      <c r="B23" t="s">
        <v>1257</v>
      </c>
      <c r="C23" t="s">
        <v>976</v>
      </c>
      <c r="D23" t="s">
        <v>658</v>
      </c>
      <c r="E23" t="s">
        <v>553</v>
      </c>
      <c r="F23">
        <v>46142</v>
      </c>
      <c r="G23" t="s">
        <v>496</v>
      </c>
      <c r="H23" t="s">
        <v>1159</v>
      </c>
      <c r="I23">
        <v>53050501</v>
      </c>
      <c r="J23" t="s">
        <v>1258</v>
      </c>
      <c r="K23" t="s">
        <v>1259</v>
      </c>
      <c r="L23">
        <v>80</v>
      </c>
      <c r="M23">
        <v>40</v>
      </c>
      <c r="N23">
        <v>0</v>
      </c>
      <c r="O23">
        <v>120</v>
      </c>
      <c r="P23" t="s">
        <v>1260</v>
      </c>
      <c r="Q23" t="s">
        <v>1123</v>
      </c>
      <c r="R23" t="s">
        <v>1199</v>
      </c>
      <c r="S23" t="s">
        <v>717</v>
      </c>
      <c r="T23" t="s">
        <v>717</v>
      </c>
      <c r="U23" t="s">
        <v>1261</v>
      </c>
      <c r="V23" t="s">
        <v>1165</v>
      </c>
      <c r="W23">
        <v>1</v>
      </c>
      <c r="X23">
        <v>120</v>
      </c>
      <c r="Y23" t="s">
        <v>1166</v>
      </c>
      <c r="Z23" t="s">
        <v>1167</v>
      </c>
      <c r="AA23" t="s">
        <v>1262</v>
      </c>
    </row>
    <row r="24" spans="1:27" x14ac:dyDescent="0.3">
      <c r="A24" t="s">
        <v>1263</v>
      </c>
      <c r="B24" t="s">
        <v>1264</v>
      </c>
      <c r="C24" t="s">
        <v>975</v>
      </c>
      <c r="D24" t="s">
        <v>1265</v>
      </c>
      <c r="E24" t="s">
        <v>553</v>
      </c>
      <c r="F24">
        <v>46142</v>
      </c>
      <c r="G24" t="s">
        <v>686</v>
      </c>
      <c r="H24" t="s">
        <v>1159</v>
      </c>
      <c r="I24">
        <v>11100501</v>
      </c>
      <c r="J24" t="s">
        <v>1160</v>
      </c>
      <c r="K24" t="s">
        <v>1266</v>
      </c>
      <c r="L24">
        <v>75220.98</v>
      </c>
      <c r="M24">
        <v>0</v>
      </c>
      <c r="N24">
        <v>3027.29</v>
      </c>
      <c r="O24">
        <v>72193.69</v>
      </c>
      <c r="P24" t="s">
        <v>1161</v>
      </c>
      <c r="Q24" t="s">
        <v>980</v>
      </c>
      <c r="R24" t="s">
        <v>1162</v>
      </c>
      <c r="S24" t="s">
        <v>1163</v>
      </c>
      <c r="T24" t="s">
        <v>926</v>
      </c>
      <c r="U24" t="s">
        <v>1164</v>
      </c>
      <c r="V24" t="s">
        <v>1165</v>
      </c>
      <c r="W24">
        <v>1</v>
      </c>
      <c r="X24">
        <v>72193.69</v>
      </c>
      <c r="Y24" t="s">
        <v>1166</v>
      </c>
      <c r="Z24" t="s">
        <v>1167</v>
      </c>
      <c r="AA24" t="s">
        <v>1168</v>
      </c>
    </row>
    <row r="25" spans="1:27" x14ac:dyDescent="0.3">
      <c r="A25" t="s">
        <v>1263</v>
      </c>
      <c r="B25" t="s">
        <v>1267</v>
      </c>
      <c r="C25" t="s">
        <v>975</v>
      </c>
      <c r="D25" t="s">
        <v>1265</v>
      </c>
      <c r="E25" t="s">
        <v>553</v>
      </c>
      <c r="F25">
        <v>46142</v>
      </c>
      <c r="G25" t="s">
        <v>686</v>
      </c>
      <c r="H25" t="s">
        <v>1159</v>
      </c>
      <c r="I25">
        <v>11200501</v>
      </c>
      <c r="J25" t="s">
        <v>1268</v>
      </c>
      <c r="K25" t="s">
        <v>1269</v>
      </c>
      <c r="L25">
        <v>20075.57</v>
      </c>
      <c r="M25">
        <v>0</v>
      </c>
      <c r="N25">
        <v>40.75</v>
      </c>
      <c r="O25">
        <v>20034.82</v>
      </c>
      <c r="P25" t="s">
        <v>1270</v>
      </c>
      <c r="Q25" t="s">
        <v>980</v>
      </c>
      <c r="R25" t="s">
        <v>1162</v>
      </c>
      <c r="S25" t="s">
        <v>1163</v>
      </c>
      <c r="T25" t="s">
        <v>926</v>
      </c>
      <c r="U25" t="s">
        <v>1271</v>
      </c>
      <c r="V25" t="s">
        <v>1165</v>
      </c>
      <c r="W25">
        <v>1</v>
      </c>
      <c r="X25">
        <v>20034.82</v>
      </c>
      <c r="Y25" t="s">
        <v>1166</v>
      </c>
      <c r="Z25" t="s">
        <v>1167</v>
      </c>
      <c r="AA25" t="s">
        <v>1272</v>
      </c>
    </row>
    <row r="26" spans="1:27" x14ac:dyDescent="0.3">
      <c r="A26" t="s">
        <v>1263</v>
      </c>
      <c r="B26" t="s">
        <v>1169</v>
      </c>
      <c r="C26" t="s">
        <v>975</v>
      </c>
      <c r="D26" t="s">
        <v>1265</v>
      </c>
      <c r="E26" t="s">
        <v>553</v>
      </c>
      <c r="F26">
        <v>46142</v>
      </c>
      <c r="G26" t="s">
        <v>686</v>
      </c>
      <c r="H26" t="s">
        <v>1159</v>
      </c>
      <c r="I26">
        <v>13050501</v>
      </c>
      <c r="J26" t="s">
        <v>1273</v>
      </c>
      <c r="K26" t="s">
        <v>1274</v>
      </c>
      <c r="L26">
        <v>7520.8</v>
      </c>
      <c r="M26">
        <v>3358.3</v>
      </c>
      <c r="N26">
        <v>0</v>
      </c>
      <c r="O26">
        <v>10879.1</v>
      </c>
      <c r="P26" t="s">
        <v>1275</v>
      </c>
      <c r="Q26" t="s">
        <v>983</v>
      </c>
      <c r="R26" t="s">
        <v>1162</v>
      </c>
      <c r="S26" t="s">
        <v>1163</v>
      </c>
      <c r="T26" t="s">
        <v>984</v>
      </c>
      <c r="U26" t="s">
        <v>1276</v>
      </c>
      <c r="V26" t="s">
        <v>1165</v>
      </c>
      <c r="W26">
        <v>1</v>
      </c>
      <c r="X26">
        <v>10879.1</v>
      </c>
      <c r="Y26" t="s">
        <v>1166</v>
      </c>
      <c r="Z26" t="s">
        <v>1167</v>
      </c>
      <c r="AA26" t="s">
        <v>1277</v>
      </c>
    </row>
    <row r="27" spans="1:27" x14ac:dyDescent="0.3">
      <c r="A27" t="s">
        <v>1263</v>
      </c>
      <c r="B27" t="s">
        <v>1278</v>
      </c>
      <c r="C27" t="s">
        <v>975</v>
      </c>
      <c r="D27" t="s">
        <v>1265</v>
      </c>
      <c r="E27" t="s">
        <v>553</v>
      </c>
      <c r="F27">
        <v>46142</v>
      </c>
      <c r="G27" t="s">
        <v>686</v>
      </c>
      <c r="H27" t="s">
        <v>1159</v>
      </c>
      <c r="I27">
        <v>13551510</v>
      </c>
      <c r="J27" t="s">
        <v>1279</v>
      </c>
      <c r="K27" t="s">
        <v>1280</v>
      </c>
      <c r="L27">
        <v>1053.7</v>
      </c>
      <c r="M27">
        <v>0</v>
      </c>
      <c r="N27">
        <v>0</v>
      </c>
      <c r="O27">
        <v>1053.7</v>
      </c>
      <c r="P27" t="s">
        <v>1281</v>
      </c>
      <c r="Q27" t="s">
        <v>987</v>
      </c>
      <c r="R27" t="s">
        <v>1162</v>
      </c>
      <c r="S27" t="s">
        <v>1163</v>
      </c>
      <c r="T27" t="s">
        <v>988</v>
      </c>
      <c r="U27" t="s">
        <v>1282</v>
      </c>
      <c r="V27" t="s">
        <v>1165</v>
      </c>
      <c r="W27">
        <v>1</v>
      </c>
      <c r="X27">
        <v>1053.7</v>
      </c>
      <c r="Y27" t="s">
        <v>1166</v>
      </c>
      <c r="Z27" t="s">
        <v>1167</v>
      </c>
      <c r="AA27" t="s">
        <v>1283</v>
      </c>
    </row>
    <row r="28" spans="1:27" x14ac:dyDescent="0.3">
      <c r="A28" t="s">
        <v>1263</v>
      </c>
      <c r="B28" t="s">
        <v>1284</v>
      </c>
      <c r="C28" t="s">
        <v>975</v>
      </c>
      <c r="D28" t="s">
        <v>1265</v>
      </c>
      <c r="E28" t="s">
        <v>553</v>
      </c>
      <c r="F28">
        <v>46142</v>
      </c>
      <c r="G28" t="s">
        <v>686</v>
      </c>
      <c r="H28" t="s">
        <v>1159</v>
      </c>
      <c r="I28">
        <v>15280501</v>
      </c>
      <c r="J28" t="s">
        <v>1285</v>
      </c>
      <c r="K28" t="s">
        <v>1286</v>
      </c>
      <c r="L28">
        <v>8811.86</v>
      </c>
      <c r="M28">
        <v>0</v>
      </c>
      <c r="N28">
        <v>0</v>
      </c>
      <c r="O28">
        <v>8811.86</v>
      </c>
      <c r="P28" t="s">
        <v>1287</v>
      </c>
      <c r="Q28" t="s">
        <v>995</v>
      </c>
      <c r="R28" t="s">
        <v>1162</v>
      </c>
      <c r="S28" t="s">
        <v>957</v>
      </c>
      <c r="T28" t="s">
        <v>996</v>
      </c>
      <c r="U28" t="s">
        <v>1288</v>
      </c>
      <c r="V28" t="s">
        <v>1165</v>
      </c>
      <c r="W28">
        <v>1</v>
      </c>
      <c r="X28">
        <v>8811.86</v>
      </c>
      <c r="Y28" t="s">
        <v>1166</v>
      </c>
      <c r="Z28" t="s">
        <v>1167</v>
      </c>
      <c r="AA28" t="s">
        <v>1289</v>
      </c>
    </row>
    <row r="29" spans="1:27" x14ac:dyDescent="0.3">
      <c r="A29" t="s">
        <v>1263</v>
      </c>
      <c r="B29" t="s">
        <v>1290</v>
      </c>
      <c r="C29" t="s">
        <v>975</v>
      </c>
      <c r="D29" t="s">
        <v>1265</v>
      </c>
      <c r="E29" t="s">
        <v>553</v>
      </c>
      <c r="F29">
        <v>46142</v>
      </c>
      <c r="G29" t="s">
        <v>686</v>
      </c>
      <c r="H29" t="s">
        <v>1159</v>
      </c>
      <c r="I29">
        <v>22050501</v>
      </c>
      <c r="J29" t="s">
        <v>1273</v>
      </c>
      <c r="K29" t="s">
        <v>1291</v>
      </c>
      <c r="L29">
        <v>-2127</v>
      </c>
      <c r="M29">
        <v>2127</v>
      </c>
      <c r="N29">
        <v>0</v>
      </c>
      <c r="O29">
        <v>0</v>
      </c>
      <c r="P29" t="s">
        <v>1292</v>
      </c>
      <c r="Q29" t="s">
        <v>1008</v>
      </c>
      <c r="R29" t="s">
        <v>1162</v>
      </c>
      <c r="S29" t="s">
        <v>1173</v>
      </c>
      <c r="T29" t="s">
        <v>1009</v>
      </c>
      <c r="U29" t="s">
        <v>563</v>
      </c>
      <c r="V29" t="s">
        <v>1175</v>
      </c>
      <c r="W29">
        <v>-1</v>
      </c>
      <c r="Y29" t="s">
        <v>1166</v>
      </c>
      <c r="Z29" t="s">
        <v>1167</v>
      </c>
      <c r="AA29" t="s">
        <v>1293</v>
      </c>
    </row>
    <row r="30" spans="1:27" x14ac:dyDescent="0.3">
      <c r="A30" t="s">
        <v>1263</v>
      </c>
      <c r="B30" t="s">
        <v>1294</v>
      </c>
      <c r="C30" t="s">
        <v>975</v>
      </c>
      <c r="D30" t="s">
        <v>1265</v>
      </c>
      <c r="E30" t="s">
        <v>553</v>
      </c>
      <c r="F30">
        <v>46142</v>
      </c>
      <c r="G30" t="s">
        <v>686</v>
      </c>
      <c r="H30" t="s">
        <v>1159</v>
      </c>
      <c r="I30">
        <v>22050501</v>
      </c>
      <c r="J30" t="s">
        <v>1273</v>
      </c>
      <c r="K30" t="s">
        <v>1291</v>
      </c>
      <c r="L30">
        <v>-2024.11</v>
      </c>
      <c r="M30">
        <v>0</v>
      </c>
      <c r="N30">
        <v>1916.62</v>
      </c>
      <c r="O30">
        <v>-3940.73</v>
      </c>
      <c r="P30" t="s">
        <v>1292</v>
      </c>
      <c r="Q30" t="s">
        <v>1008</v>
      </c>
      <c r="R30" t="s">
        <v>1162</v>
      </c>
      <c r="S30" t="s">
        <v>1173</v>
      </c>
      <c r="T30" t="s">
        <v>1009</v>
      </c>
      <c r="U30" t="s">
        <v>563</v>
      </c>
      <c r="V30" t="s">
        <v>1175</v>
      </c>
      <c r="W30">
        <v>-1</v>
      </c>
      <c r="X30">
        <v>3940.73</v>
      </c>
      <c r="Y30" t="s">
        <v>1166</v>
      </c>
      <c r="Z30" t="s">
        <v>1167</v>
      </c>
      <c r="AA30" t="s">
        <v>1293</v>
      </c>
    </row>
    <row r="31" spans="1:27" x14ac:dyDescent="0.3">
      <c r="A31" t="s">
        <v>1263</v>
      </c>
      <c r="B31" t="s">
        <v>1188</v>
      </c>
      <c r="C31" t="s">
        <v>975</v>
      </c>
      <c r="D31" t="s">
        <v>1265</v>
      </c>
      <c r="E31" t="s">
        <v>553</v>
      </c>
      <c r="F31">
        <v>46142</v>
      </c>
      <c r="G31" t="s">
        <v>686</v>
      </c>
      <c r="H31" t="s">
        <v>1159</v>
      </c>
      <c r="I31">
        <v>22050501</v>
      </c>
      <c r="J31" t="s">
        <v>1273</v>
      </c>
      <c r="K31" t="s">
        <v>1291</v>
      </c>
      <c r="L31">
        <v>-1706.19</v>
      </c>
      <c r="M31">
        <v>0</v>
      </c>
      <c r="N31">
        <v>0</v>
      </c>
      <c r="O31">
        <v>-1706.19</v>
      </c>
      <c r="P31" t="s">
        <v>1292</v>
      </c>
      <c r="Q31" t="s">
        <v>1008</v>
      </c>
      <c r="R31" t="s">
        <v>1162</v>
      </c>
      <c r="S31" t="s">
        <v>1173</v>
      </c>
      <c r="T31" t="s">
        <v>1009</v>
      </c>
      <c r="U31" t="s">
        <v>563</v>
      </c>
      <c r="V31" t="s">
        <v>1175</v>
      </c>
      <c r="W31">
        <v>-1</v>
      </c>
      <c r="X31">
        <v>1706.19</v>
      </c>
      <c r="Y31" t="s">
        <v>1166</v>
      </c>
      <c r="Z31" t="s">
        <v>1167</v>
      </c>
      <c r="AA31" t="s">
        <v>1293</v>
      </c>
    </row>
    <row r="32" spans="1:27" x14ac:dyDescent="0.3">
      <c r="A32" t="s">
        <v>1263</v>
      </c>
      <c r="B32" t="s">
        <v>1295</v>
      </c>
      <c r="C32" t="s">
        <v>975</v>
      </c>
      <c r="D32" t="s">
        <v>1265</v>
      </c>
      <c r="E32" t="s">
        <v>553</v>
      </c>
      <c r="F32">
        <v>46142</v>
      </c>
      <c r="G32" t="s">
        <v>686</v>
      </c>
      <c r="H32" t="s">
        <v>1159</v>
      </c>
      <c r="I32">
        <v>24080103</v>
      </c>
      <c r="J32" t="s">
        <v>1296</v>
      </c>
      <c r="K32" t="s">
        <v>1297</v>
      </c>
      <c r="L32">
        <v>-1340.16</v>
      </c>
      <c r="M32">
        <v>0</v>
      </c>
      <c r="N32">
        <v>512.28</v>
      </c>
      <c r="O32">
        <v>-1852.44</v>
      </c>
      <c r="P32" t="s">
        <v>1298</v>
      </c>
      <c r="Q32" t="s">
        <v>1012</v>
      </c>
      <c r="R32" t="s">
        <v>1162</v>
      </c>
      <c r="S32" t="s">
        <v>1173</v>
      </c>
      <c r="T32" t="s">
        <v>1013</v>
      </c>
      <c r="U32" t="s">
        <v>1299</v>
      </c>
      <c r="V32" t="s">
        <v>1175</v>
      </c>
      <c r="W32">
        <v>-1</v>
      </c>
      <c r="X32">
        <v>1852.44</v>
      </c>
      <c r="Y32" t="s">
        <v>1166</v>
      </c>
      <c r="Z32" t="s">
        <v>1167</v>
      </c>
      <c r="AA32" t="s">
        <v>1300</v>
      </c>
    </row>
    <row r="33" spans="1:27" x14ac:dyDescent="0.3">
      <c r="A33" t="s">
        <v>1263</v>
      </c>
      <c r="B33" t="s">
        <v>1195</v>
      </c>
      <c r="C33" t="s">
        <v>975</v>
      </c>
      <c r="D33" t="s">
        <v>1265</v>
      </c>
      <c r="E33" t="s">
        <v>553</v>
      </c>
      <c r="F33">
        <v>46142</v>
      </c>
      <c r="G33" t="s">
        <v>686</v>
      </c>
      <c r="H33" t="s">
        <v>1159</v>
      </c>
      <c r="I33">
        <v>24080201</v>
      </c>
      <c r="J33" t="s">
        <v>1301</v>
      </c>
      <c r="K33" t="s">
        <v>1302</v>
      </c>
      <c r="L33">
        <v>1586.14</v>
      </c>
      <c r="M33">
        <v>0</v>
      </c>
      <c r="N33">
        <v>0</v>
      </c>
      <c r="O33">
        <v>1586.14</v>
      </c>
      <c r="P33" t="s">
        <v>1303</v>
      </c>
      <c r="Q33" t="s">
        <v>987</v>
      </c>
      <c r="R33" t="s">
        <v>1162</v>
      </c>
      <c r="S33" t="s">
        <v>1163</v>
      </c>
      <c r="T33" t="s">
        <v>988</v>
      </c>
      <c r="U33" t="s">
        <v>1304</v>
      </c>
      <c r="V33" t="s">
        <v>1165</v>
      </c>
      <c r="W33">
        <v>1</v>
      </c>
      <c r="X33">
        <v>1586.14</v>
      </c>
      <c r="Y33" t="s">
        <v>1166</v>
      </c>
      <c r="Z33" t="s">
        <v>1167</v>
      </c>
      <c r="AA33" t="s">
        <v>1305</v>
      </c>
    </row>
    <row r="34" spans="1:27" x14ac:dyDescent="0.3">
      <c r="A34" t="s">
        <v>1263</v>
      </c>
      <c r="B34" t="s">
        <v>1306</v>
      </c>
      <c r="C34" t="s">
        <v>975</v>
      </c>
      <c r="D34" t="s">
        <v>1265</v>
      </c>
      <c r="E34" t="s">
        <v>553</v>
      </c>
      <c r="F34">
        <v>46142</v>
      </c>
      <c r="G34" t="s">
        <v>686</v>
      </c>
      <c r="H34" t="s">
        <v>1159</v>
      </c>
      <c r="I34">
        <v>24080201</v>
      </c>
      <c r="J34" t="s">
        <v>1301</v>
      </c>
      <c r="K34" t="s">
        <v>1302</v>
      </c>
      <c r="L34">
        <v>308.76</v>
      </c>
      <c r="M34">
        <v>292.37</v>
      </c>
      <c r="N34">
        <v>0</v>
      </c>
      <c r="O34">
        <v>601.13</v>
      </c>
      <c r="P34" t="s">
        <v>1303</v>
      </c>
      <c r="Q34" t="s">
        <v>987</v>
      </c>
      <c r="R34" t="s">
        <v>1162</v>
      </c>
      <c r="S34" t="s">
        <v>1163</v>
      </c>
      <c r="T34" t="s">
        <v>988</v>
      </c>
      <c r="U34" t="s">
        <v>1304</v>
      </c>
      <c r="V34" t="s">
        <v>1165</v>
      </c>
      <c r="W34">
        <v>1</v>
      </c>
      <c r="X34">
        <v>601.13</v>
      </c>
      <c r="Y34" t="s">
        <v>1166</v>
      </c>
      <c r="Z34" t="s">
        <v>1167</v>
      </c>
      <c r="AA34" t="s">
        <v>1305</v>
      </c>
    </row>
    <row r="35" spans="1:27" x14ac:dyDescent="0.3">
      <c r="A35" t="s">
        <v>1263</v>
      </c>
      <c r="B35" t="s">
        <v>1202</v>
      </c>
      <c r="C35" t="s">
        <v>975</v>
      </c>
      <c r="D35" t="s">
        <v>1265</v>
      </c>
      <c r="E35" t="s">
        <v>553</v>
      </c>
      <c r="F35">
        <v>46142</v>
      </c>
      <c r="G35" t="s">
        <v>686</v>
      </c>
      <c r="H35" t="s">
        <v>1159</v>
      </c>
      <c r="I35">
        <v>24080201</v>
      </c>
      <c r="J35" t="s">
        <v>1301</v>
      </c>
      <c r="K35" t="s">
        <v>1302</v>
      </c>
      <c r="L35">
        <v>-984.16</v>
      </c>
      <c r="M35">
        <v>0</v>
      </c>
      <c r="N35">
        <v>0</v>
      </c>
      <c r="O35">
        <v>-984.16</v>
      </c>
      <c r="P35" t="s">
        <v>1303</v>
      </c>
      <c r="Q35" t="s">
        <v>987</v>
      </c>
      <c r="R35" t="s">
        <v>1162</v>
      </c>
      <c r="S35" t="s">
        <v>1163</v>
      </c>
      <c r="T35" t="s">
        <v>988</v>
      </c>
      <c r="U35" t="s">
        <v>1304</v>
      </c>
      <c r="V35" t="s">
        <v>1165</v>
      </c>
      <c r="W35">
        <v>1</v>
      </c>
      <c r="X35">
        <v>-984.16</v>
      </c>
      <c r="Y35" t="s">
        <v>1166</v>
      </c>
      <c r="Z35" t="s">
        <v>1167</v>
      </c>
      <c r="AA35" t="s">
        <v>1305</v>
      </c>
    </row>
    <row r="36" spans="1:27" x14ac:dyDescent="0.3">
      <c r="A36" t="s">
        <v>1263</v>
      </c>
      <c r="B36" t="s">
        <v>1307</v>
      </c>
      <c r="C36" t="s">
        <v>975</v>
      </c>
      <c r="D36" t="s">
        <v>1265</v>
      </c>
      <c r="E36" t="s">
        <v>553</v>
      </c>
      <c r="F36">
        <v>46142</v>
      </c>
      <c r="G36" t="s">
        <v>686</v>
      </c>
      <c r="H36" t="s">
        <v>1159</v>
      </c>
      <c r="I36">
        <v>31050501</v>
      </c>
      <c r="J36" t="s">
        <v>1178</v>
      </c>
      <c r="K36" t="s">
        <v>1308</v>
      </c>
      <c r="L36">
        <v>-14208.08</v>
      </c>
      <c r="M36">
        <v>0</v>
      </c>
      <c r="N36">
        <v>0</v>
      </c>
      <c r="O36">
        <v>-14208.08</v>
      </c>
      <c r="P36" t="s">
        <v>1180</v>
      </c>
      <c r="Q36" t="s">
        <v>1028</v>
      </c>
      <c r="R36" t="s">
        <v>1162</v>
      </c>
      <c r="S36" t="s">
        <v>1181</v>
      </c>
      <c r="T36" t="s">
        <v>1029</v>
      </c>
      <c r="U36" t="s">
        <v>1182</v>
      </c>
      <c r="V36" t="s">
        <v>1175</v>
      </c>
      <c r="W36">
        <v>-1</v>
      </c>
      <c r="X36">
        <v>14208.08</v>
      </c>
      <c r="Y36" t="s">
        <v>1166</v>
      </c>
      <c r="Z36" t="s">
        <v>1167</v>
      </c>
      <c r="AA36" t="s">
        <v>1029</v>
      </c>
    </row>
    <row r="37" spans="1:27" x14ac:dyDescent="0.3">
      <c r="A37" t="s">
        <v>1263</v>
      </c>
      <c r="B37" t="s">
        <v>1309</v>
      </c>
      <c r="C37" t="s">
        <v>975</v>
      </c>
      <c r="D37" t="s">
        <v>1265</v>
      </c>
      <c r="E37" t="s">
        <v>553</v>
      </c>
      <c r="F37">
        <v>46142</v>
      </c>
      <c r="G37" t="s">
        <v>686</v>
      </c>
      <c r="H37" t="s">
        <v>1159</v>
      </c>
      <c r="I37">
        <v>37050501</v>
      </c>
      <c r="J37" t="s">
        <v>1310</v>
      </c>
      <c r="K37" t="s">
        <v>1311</v>
      </c>
      <c r="L37">
        <v>-26659.66</v>
      </c>
      <c r="M37">
        <v>0</v>
      </c>
      <c r="N37">
        <v>0</v>
      </c>
      <c r="O37">
        <v>-26659.66</v>
      </c>
      <c r="P37" t="s">
        <v>1312</v>
      </c>
      <c r="Q37" t="s">
        <v>1031</v>
      </c>
      <c r="R37" t="s">
        <v>1162</v>
      </c>
      <c r="S37" t="s">
        <v>1181</v>
      </c>
      <c r="T37" t="s">
        <v>1032</v>
      </c>
      <c r="U37" t="s">
        <v>938</v>
      </c>
      <c r="V37" t="s">
        <v>1175</v>
      </c>
      <c r="W37">
        <v>-1</v>
      </c>
      <c r="X37">
        <v>26659.66</v>
      </c>
      <c r="Y37" t="s">
        <v>1166</v>
      </c>
      <c r="Z37" t="s">
        <v>1167</v>
      </c>
      <c r="AA37" t="s">
        <v>1313</v>
      </c>
    </row>
    <row r="38" spans="1:27" x14ac:dyDescent="0.3">
      <c r="A38" t="s">
        <v>1263</v>
      </c>
      <c r="B38" t="s">
        <v>1314</v>
      </c>
      <c r="C38" t="s">
        <v>975</v>
      </c>
      <c r="D38" t="s">
        <v>1265</v>
      </c>
      <c r="E38" t="s">
        <v>553</v>
      </c>
      <c r="F38">
        <v>46142</v>
      </c>
      <c r="G38" t="s">
        <v>686</v>
      </c>
      <c r="H38" t="s">
        <v>1159</v>
      </c>
      <c r="I38">
        <v>41700103</v>
      </c>
      <c r="J38" t="s">
        <v>1315</v>
      </c>
      <c r="K38" t="s">
        <v>1316</v>
      </c>
      <c r="L38">
        <v>-1808.92</v>
      </c>
      <c r="M38">
        <v>0</v>
      </c>
      <c r="N38">
        <v>0</v>
      </c>
      <c r="O38">
        <v>-1808.92</v>
      </c>
      <c r="P38" t="s">
        <v>1317</v>
      </c>
      <c r="Q38" t="s">
        <v>1048</v>
      </c>
      <c r="R38" t="s">
        <v>1199</v>
      </c>
      <c r="S38" t="s">
        <v>1318</v>
      </c>
      <c r="T38" t="s">
        <v>1049</v>
      </c>
      <c r="U38" t="s">
        <v>1319</v>
      </c>
      <c r="V38" t="s">
        <v>1175</v>
      </c>
      <c r="W38">
        <v>-1</v>
      </c>
      <c r="X38">
        <v>1808.92</v>
      </c>
      <c r="Y38" t="s">
        <v>1166</v>
      </c>
      <c r="Z38" t="s">
        <v>1167</v>
      </c>
      <c r="AA38" t="s">
        <v>1320</v>
      </c>
    </row>
    <row r="39" spans="1:27" x14ac:dyDescent="0.3">
      <c r="A39" t="s">
        <v>1263</v>
      </c>
      <c r="B39" t="s">
        <v>1225</v>
      </c>
      <c r="C39" t="s">
        <v>975</v>
      </c>
      <c r="D39" t="s">
        <v>1265</v>
      </c>
      <c r="E39" t="s">
        <v>553</v>
      </c>
      <c r="F39">
        <v>46142</v>
      </c>
      <c r="G39" t="s">
        <v>686</v>
      </c>
      <c r="H39" t="s">
        <v>1159</v>
      </c>
      <c r="I39">
        <v>41700124</v>
      </c>
      <c r="J39" t="s">
        <v>1315</v>
      </c>
      <c r="K39" t="s">
        <v>1321</v>
      </c>
      <c r="L39">
        <v>-5636.09</v>
      </c>
      <c r="M39">
        <v>0</v>
      </c>
      <c r="N39">
        <v>2846.02</v>
      </c>
      <c r="O39">
        <v>-8482.11</v>
      </c>
      <c r="P39" t="s">
        <v>1317</v>
      </c>
      <c r="Q39" t="s">
        <v>1048</v>
      </c>
      <c r="R39" t="s">
        <v>1199</v>
      </c>
      <c r="S39" t="s">
        <v>1318</v>
      </c>
      <c r="T39" t="s">
        <v>1049</v>
      </c>
      <c r="U39" t="s">
        <v>1319</v>
      </c>
      <c r="V39" t="s">
        <v>1175</v>
      </c>
      <c r="W39">
        <v>-1</v>
      </c>
      <c r="X39">
        <v>8482.11</v>
      </c>
      <c r="Y39" t="s">
        <v>1166</v>
      </c>
      <c r="Z39" t="s">
        <v>1167</v>
      </c>
      <c r="AA39" t="s">
        <v>1320</v>
      </c>
    </row>
    <row r="40" spans="1:27" x14ac:dyDescent="0.3">
      <c r="A40" t="s">
        <v>1263</v>
      </c>
      <c r="B40" t="s">
        <v>1231</v>
      </c>
      <c r="C40" t="s">
        <v>975</v>
      </c>
      <c r="D40" t="s">
        <v>1265</v>
      </c>
      <c r="E40" t="s">
        <v>553</v>
      </c>
      <c r="F40">
        <v>46142</v>
      </c>
      <c r="G40" t="s">
        <v>686</v>
      </c>
      <c r="H40" t="s">
        <v>1159</v>
      </c>
      <c r="I40">
        <v>42958810</v>
      </c>
      <c r="J40" t="s">
        <v>1322</v>
      </c>
      <c r="K40" t="s">
        <v>1322</v>
      </c>
      <c r="L40">
        <v>-64960.94</v>
      </c>
      <c r="M40">
        <v>0</v>
      </c>
      <c r="N40">
        <v>0</v>
      </c>
      <c r="O40">
        <v>-64960.94</v>
      </c>
      <c r="P40" t="s">
        <v>1323</v>
      </c>
      <c r="Q40" t="s">
        <v>1120</v>
      </c>
      <c r="R40" t="s">
        <v>1199</v>
      </c>
      <c r="S40" t="s">
        <v>1324</v>
      </c>
      <c r="T40" t="s">
        <v>811</v>
      </c>
      <c r="U40" t="s">
        <v>811</v>
      </c>
      <c r="V40" t="s">
        <v>1175</v>
      </c>
      <c r="W40">
        <v>-1</v>
      </c>
      <c r="X40">
        <v>64960.94</v>
      </c>
      <c r="Y40" t="s">
        <v>1192</v>
      </c>
      <c r="Z40" t="s">
        <v>1193</v>
      </c>
      <c r="AA40" t="s">
        <v>1325</v>
      </c>
    </row>
    <row r="41" spans="1:27" x14ac:dyDescent="0.3">
      <c r="A41" t="s">
        <v>1263</v>
      </c>
      <c r="B41" t="s">
        <v>1239</v>
      </c>
      <c r="C41" t="s">
        <v>975</v>
      </c>
      <c r="D41" t="s">
        <v>1265</v>
      </c>
      <c r="E41" t="s">
        <v>553</v>
      </c>
      <c r="F41">
        <v>46142</v>
      </c>
      <c r="G41" t="s">
        <v>686</v>
      </c>
      <c r="H41" t="s">
        <v>1159</v>
      </c>
      <c r="I41">
        <v>51102503</v>
      </c>
      <c r="J41" t="s">
        <v>1213</v>
      </c>
      <c r="K41" t="s">
        <v>1326</v>
      </c>
      <c r="L41">
        <v>1015.35</v>
      </c>
      <c r="M41">
        <v>524.25</v>
      </c>
      <c r="N41">
        <v>0</v>
      </c>
      <c r="O41">
        <v>1539.6</v>
      </c>
      <c r="P41" t="s">
        <v>1215</v>
      </c>
      <c r="Q41" t="s">
        <v>1062</v>
      </c>
      <c r="R41" t="s">
        <v>1199</v>
      </c>
      <c r="S41" t="s">
        <v>947</v>
      </c>
      <c r="T41" t="s">
        <v>1063</v>
      </c>
      <c r="U41" t="s">
        <v>1216</v>
      </c>
      <c r="V41" t="s">
        <v>1165</v>
      </c>
      <c r="W41">
        <v>1</v>
      </c>
      <c r="X41">
        <v>1539.6</v>
      </c>
      <c r="Y41" t="s">
        <v>1166</v>
      </c>
      <c r="Z41" t="s">
        <v>1167</v>
      </c>
      <c r="AA41" t="s">
        <v>1217</v>
      </c>
    </row>
    <row r="42" spans="1:27" x14ac:dyDescent="0.3">
      <c r="A42" t="s">
        <v>1263</v>
      </c>
      <c r="B42" t="s">
        <v>1327</v>
      </c>
      <c r="C42" t="s">
        <v>975</v>
      </c>
      <c r="D42" t="s">
        <v>1265</v>
      </c>
      <c r="E42" t="s">
        <v>553</v>
      </c>
      <c r="F42">
        <v>46142</v>
      </c>
      <c r="G42" t="s">
        <v>686</v>
      </c>
      <c r="H42" t="s">
        <v>1159</v>
      </c>
      <c r="I42">
        <v>51103001</v>
      </c>
      <c r="J42" t="s">
        <v>1328</v>
      </c>
      <c r="K42" t="s">
        <v>1329</v>
      </c>
      <c r="L42">
        <v>700</v>
      </c>
      <c r="M42">
        <v>1100</v>
      </c>
      <c r="N42">
        <v>0</v>
      </c>
      <c r="O42">
        <v>1800</v>
      </c>
      <c r="P42" t="s">
        <v>1330</v>
      </c>
      <c r="Q42" t="s">
        <v>1062</v>
      </c>
      <c r="R42" t="s">
        <v>1199</v>
      </c>
      <c r="S42" t="s">
        <v>947</v>
      </c>
      <c r="T42" t="s">
        <v>1063</v>
      </c>
      <c r="U42" t="s">
        <v>1331</v>
      </c>
      <c r="V42" t="s">
        <v>1165</v>
      </c>
      <c r="W42">
        <v>1</v>
      </c>
      <c r="X42">
        <v>1800</v>
      </c>
      <c r="Y42" t="s">
        <v>1166</v>
      </c>
      <c r="Z42" t="s">
        <v>1167</v>
      </c>
      <c r="AA42" t="s">
        <v>1332</v>
      </c>
    </row>
    <row r="43" spans="1:27" x14ac:dyDescent="0.3">
      <c r="A43" t="s">
        <v>1263</v>
      </c>
      <c r="B43" t="s">
        <v>1253</v>
      </c>
      <c r="C43" t="s">
        <v>975</v>
      </c>
      <c r="D43" t="s">
        <v>1265</v>
      </c>
      <c r="E43" t="s">
        <v>553</v>
      </c>
      <c r="F43">
        <v>46142</v>
      </c>
      <c r="G43" t="s">
        <v>686</v>
      </c>
      <c r="H43" t="s">
        <v>1159</v>
      </c>
      <c r="I43">
        <v>52109501</v>
      </c>
      <c r="J43" t="s">
        <v>1232</v>
      </c>
      <c r="K43" t="s">
        <v>1333</v>
      </c>
      <c r="L43">
        <v>2127</v>
      </c>
      <c r="M43">
        <v>0</v>
      </c>
      <c r="N43">
        <v>0</v>
      </c>
      <c r="O43">
        <v>2127</v>
      </c>
      <c r="P43" t="s">
        <v>1334</v>
      </c>
      <c r="Q43" t="s">
        <v>1095</v>
      </c>
      <c r="R43" t="s">
        <v>1199</v>
      </c>
      <c r="S43" t="s">
        <v>948</v>
      </c>
      <c r="T43" t="s">
        <v>1096</v>
      </c>
      <c r="U43" t="s">
        <v>1335</v>
      </c>
      <c r="V43" t="s">
        <v>1165</v>
      </c>
      <c r="W43">
        <v>1</v>
      </c>
      <c r="X43">
        <v>2127</v>
      </c>
      <c r="Y43" t="s">
        <v>1192</v>
      </c>
      <c r="Z43" t="s">
        <v>1193</v>
      </c>
      <c r="AA43" t="s">
        <v>1336</v>
      </c>
    </row>
    <row r="44" spans="1:27" x14ac:dyDescent="0.3">
      <c r="A44" t="s">
        <v>1263</v>
      </c>
      <c r="B44" t="s">
        <v>1337</v>
      </c>
      <c r="C44" t="s">
        <v>975</v>
      </c>
      <c r="D44" t="s">
        <v>1265</v>
      </c>
      <c r="E44" t="s">
        <v>553</v>
      </c>
      <c r="F44">
        <v>46142</v>
      </c>
      <c r="G44" t="s">
        <v>686</v>
      </c>
      <c r="H44" t="s">
        <v>1159</v>
      </c>
      <c r="I44">
        <v>52356001</v>
      </c>
      <c r="J44" t="s">
        <v>1338</v>
      </c>
      <c r="K44" t="s">
        <v>1338</v>
      </c>
      <c r="L44">
        <v>1706.19</v>
      </c>
      <c r="M44">
        <v>0</v>
      </c>
      <c r="N44">
        <v>0</v>
      </c>
      <c r="O44">
        <v>1706.19</v>
      </c>
      <c r="P44" t="s">
        <v>1339</v>
      </c>
      <c r="Q44" t="s">
        <v>1097</v>
      </c>
      <c r="R44" t="s">
        <v>1199</v>
      </c>
      <c r="S44" t="s">
        <v>948</v>
      </c>
      <c r="T44" t="s">
        <v>1098</v>
      </c>
      <c r="U44" t="s">
        <v>1340</v>
      </c>
      <c r="V44" t="s">
        <v>1165</v>
      </c>
      <c r="W44">
        <v>1</v>
      </c>
      <c r="X44">
        <v>1706.19</v>
      </c>
      <c r="Y44" t="s">
        <v>1166</v>
      </c>
      <c r="Z44" t="s">
        <v>1167</v>
      </c>
      <c r="AA44" t="s">
        <v>1341</v>
      </c>
    </row>
    <row r="45" spans="1:27" x14ac:dyDescent="0.3">
      <c r="A45" t="s">
        <v>1263</v>
      </c>
      <c r="B45" t="s">
        <v>1342</v>
      </c>
      <c r="C45" t="s">
        <v>975</v>
      </c>
      <c r="D45" t="s">
        <v>1265</v>
      </c>
      <c r="E45" t="s">
        <v>553</v>
      </c>
      <c r="F45">
        <v>46142</v>
      </c>
      <c r="G45" t="s">
        <v>686</v>
      </c>
      <c r="H45" t="s">
        <v>1159</v>
      </c>
      <c r="I45">
        <v>52550501</v>
      </c>
      <c r="J45" t="s">
        <v>1343</v>
      </c>
      <c r="K45" t="s">
        <v>1344</v>
      </c>
      <c r="L45">
        <v>0</v>
      </c>
      <c r="M45">
        <v>267.26</v>
      </c>
      <c r="N45">
        <v>0</v>
      </c>
      <c r="O45">
        <v>267.26</v>
      </c>
      <c r="P45" t="s">
        <v>1345</v>
      </c>
      <c r="Q45" t="s">
        <v>1101</v>
      </c>
      <c r="R45" t="s">
        <v>1199</v>
      </c>
      <c r="S45" t="s">
        <v>948</v>
      </c>
      <c r="T45" t="s">
        <v>1102</v>
      </c>
      <c r="U45" t="s">
        <v>1346</v>
      </c>
      <c r="V45" t="s">
        <v>1165</v>
      </c>
      <c r="W45">
        <v>1</v>
      </c>
      <c r="X45">
        <v>267.26</v>
      </c>
      <c r="Y45" t="s">
        <v>1166</v>
      </c>
      <c r="Z45" t="s">
        <v>1167</v>
      </c>
      <c r="AA45" t="s">
        <v>1347</v>
      </c>
    </row>
    <row r="46" spans="1:27" x14ac:dyDescent="0.3">
      <c r="A46" t="s">
        <v>1263</v>
      </c>
      <c r="B46" t="s">
        <v>1348</v>
      </c>
      <c r="C46" t="s">
        <v>975</v>
      </c>
      <c r="D46" t="s">
        <v>1265</v>
      </c>
      <c r="E46" t="s">
        <v>553</v>
      </c>
      <c r="F46">
        <v>46142</v>
      </c>
      <c r="G46" t="s">
        <v>686</v>
      </c>
      <c r="H46" t="s">
        <v>1159</v>
      </c>
      <c r="I46">
        <v>52550502</v>
      </c>
      <c r="J46" t="s">
        <v>1343</v>
      </c>
      <c r="K46" t="s">
        <v>1349</v>
      </c>
      <c r="L46">
        <v>80.8</v>
      </c>
      <c r="M46">
        <v>0</v>
      </c>
      <c r="N46">
        <v>0</v>
      </c>
      <c r="O46">
        <v>80.8</v>
      </c>
      <c r="P46" t="s">
        <v>1345</v>
      </c>
      <c r="Q46" t="s">
        <v>1101</v>
      </c>
      <c r="R46" t="s">
        <v>1199</v>
      </c>
      <c r="S46" t="s">
        <v>948</v>
      </c>
      <c r="T46" t="s">
        <v>1102</v>
      </c>
      <c r="U46" t="s">
        <v>1346</v>
      </c>
      <c r="V46" t="s">
        <v>1165</v>
      </c>
      <c r="W46">
        <v>1</v>
      </c>
      <c r="X46">
        <v>80.8</v>
      </c>
      <c r="Y46" t="s">
        <v>1166</v>
      </c>
      <c r="Z46" t="s">
        <v>1167</v>
      </c>
      <c r="AA46" t="s">
        <v>1347</v>
      </c>
    </row>
    <row r="47" spans="1:27" x14ac:dyDescent="0.3">
      <c r="A47" t="s">
        <v>1263</v>
      </c>
      <c r="B47" t="s">
        <v>1350</v>
      </c>
      <c r="C47" t="s">
        <v>975</v>
      </c>
      <c r="D47" t="s">
        <v>1265</v>
      </c>
      <c r="E47" t="s">
        <v>553</v>
      </c>
      <c r="F47">
        <v>46142</v>
      </c>
      <c r="G47" t="s">
        <v>686</v>
      </c>
      <c r="H47" t="s">
        <v>1159</v>
      </c>
      <c r="I47">
        <v>52550502</v>
      </c>
      <c r="J47" t="s">
        <v>1343</v>
      </c>
      <c r="K47" t="s">
        <v>1349</v>
      </c>
      <c r="L47">
        <v>0</v>
      </c>
      <c r="M47">
        <v>20.68</v>
      </c>
      <c r="N47">
        <v>0</v>
      </c>
      <c r="O47">
        <v>20.68</v>
      </c>
      <c r="P47" t="s">
        <v>1345</v>
      </c>
      <c r="Q47" t="s">
        <v>1101</v>
      </c>
      <c r="R47" t="s">
        <v>1199</v>
      </c>
      <c r="S47" t="s">
        <v>948</v>
      </c>
      <c r="T47" t="s">
        <v>1102</v>
      </c>
      <c r="U47" t="s">
        <v>1346</v>
      </c>
      <c r="V47" t="s">
        <v>1165</v>
      </c>
      <c r="W47">
        <v>1</v>
      </c>
      <c r="X47">
        <v>20.68</v>
      </c>
      <c r="Y47" t="s">
        <v>1166</v>
      </c>
      <c r="Z47" t="s">
        <v>1167</v>
      </c>
      <c r="AA47" t="s">
        <v>1347</v>
      </c>
    </row>
    <row r="48" spans="1:27" x14ac:dyDescent="0.3">
      <c r="A48" t="s">
        <v>1263</v>
      </c>
      <c r="B48" t="s">
        <v>1351</v>
      </c>
      <c r="C48" t="s">
        <v>975</v>
      </c>
      <c r="D48" t="s">
        <v>1265</v>
      </c>
      <c r="E48" t="s">
        <v>553</v>
      </c>
      <c r="F48">
        <v>46142</v>
      </c>
      <c r="G48" t="s">
        <v>686</v>
      </c>
      <c r="H48" t="s">
        <v>1159</v>
      </c>
      <c r="I48">
        <v>52550502</v>
      </c>
      <c r="J48" t="s">
        <v>1343</v>
      </c>
      <c r="K48" t="s">
        <v>1349</v>
      </c>
      <c r="L48">
        <v>114</v>
      </c>
      <c r="M48">
        <v>0</v>
      </c>
      <c r="N48">
        <v>0</v>
      </c>
      <c r="O48">
        <v>114</v>
      </c>
      <c r="P48" t="s">
        <v>1345</v>
      </c>
      <c r="Q48" t="s">
        <v>1101</v>
      </c>
      <c r="R48" t="s">
        <v>1199</v>
      </c>
      <c r="S48" t="s">
        <v>948</v>
      </c>
      <c r="T48" t="s">
        <v>1102</v>
      </c>
      <c r="U48" t="s">
        <v>1346</v>
      </c>
      <c r="V48" t="s">
        <v>1165</v>
      </c>
      <c r="W48">
        <v>1</v>
      </c>
      <c r="X48">
        <v>114</v>
      </c>
      <c r="Y48" t="s">
        <v>1166</v>
      </c>
      <c r="Z48" t="s">
        <v>1167</v>
      </c>
      <c r="AA48" t="s">
        <v>1347</v>
      </c>
    </row>
    <row r="49" spans="1:27" x14ac:dyDescent="0.3">
      <c r="A49" t="s">
        <v>1263</v>
      </c>
      <c r="B49" t="s">
        <v>1352</v>
      </c>
      <c r="C49" t="s">
        <v>975</v>
      </c>
      <c r="D49" t="s">
        <v>1265</v>
      </c>
      <c r="E49" t="s">
        <v>553</v>
      </c>
      <c r="F49">
        <v>46142</v>
      </c>
      <c r="G49" t="s">
        <v>686</v>
      </c>
      <c r="H49" t="s">
        <v>1159</v>
      </c>
      <c r="I49">
        <v>52550502</v>
      </c>
      <c r="J49" t="s">
        <v>1343</v>
      </c>
      <c r="K49" t="s">
        <v>1349</v>
      </c>
      <c r="L49">
        <v>520</v>
      </c>
      <c r="M49">
        <v>0</v>
      </c>
      <c r="N49">
        <v>0</v>
      </c>
      <c r="O49">
        <v>520</v>
      </c>
      <c r="P49" t="s">
        <v>1345</v>
      </c>
      <c r="Q49" t="s">
        <v>1101</v>
      </c>
      <c r="R49" t="s">
        <v>1199</v>
      </c>
      <c r="S49" t="s">
        <v>948</v>
      </c>
      <c r="T49" t="s">
        <v>1102</v>
      </c>
      <c r="U49" t="s">
        <v>1346</v>
      </c>
      <c r="V49" t="s">
        <v>1165</v>
      </c>
      <c r="W49">
        <v>1</v>
      </c>
      <c r="X49">
        <v>520</v>
      </c>
      <c r="Y49" t="s">
        <v>1166</v>
      </c>
      <c r="Z49" t="s">
        <v>1167</v>
      </c>
      <c r="AA49" t="s">
        <v>1347</v>
      </c>
    </row>
    <row r="50" spans="1:27" x14ac:dyDescent="0.3">
      <c r="A50" t="s">
        <v>1263</v>
      </c>
      <c r="B50" t="s">
        <v>1353</v>
      </c>
      <c r="C50" t="s">
        <v>975</v>
      </c>
      <c r="D50" t="s">
        <v>1265</v>
      </c>
      <c r="E50" t="s">
        <v>553</v>
      </c>
      <c r="F50">
        <v>46142</v>
      </c>
      <c r="G50" t="s">
        <v>686</v>
      </c>
      <c r="H50" t="s">
        <v>1159</v>
      </c>
      <c r="I50">
        <v>52550502</v>
      </c>
      <c r="J50" t="s">
        <v>1343</v>
      </c>
      <c r="K50" t="s">
        <v>1349</v>
      </c>
      <c r="L50">
        <v>6</v>
      </c>
      <c r="M50">
        <v>0</v>
      </c>
      <c r="N50">
        <v>0</v>
      </c>
      <c r="O50">
        <v>6</v>
      </c>
      <c r="P50" t="s">
        <v>1345</v>
      </c>
      <c r="Q50" t="s">
        <v>1101</v>
      </c>
      <c r="R50" t="s">
        <v>1199</v>
      </c>
      <c r="S50" t="s">
        <v>948</v>
      </c>
      <c r="T50" t="s">
        <v>1102</v>
      </c>
      <c r="U50" t="s">
        <v>1346</v>
      </c>
      <c r="V50" t="s">
        <v>1165</v>
      </c>
      <c r="W50">
        <v>1</v>
      </c>
      <c r="X50">
        <v>6</v>
      </c>
      <c r="Y50" t="s">
        <v>1166</v>
      </c>
      <c r="Z50" t="s">
        <v>1167</v>
      </c>
      <c r="AA50" t="s">
        <v>1347</v>
      </c>
    </row>
    <row r="51" spans="1:27" x14ac:dyDescent="0.3">
      <c r="A51" t="s">
        <v>1263</v>
      </c>
      <c r="B51" t="s">
        <v>1354</v>
      </c>
      <c r="C51" t="s">
        <v>975</v>
      </c>
      <c r="D51" t="s">
        <v>1265</v>
      </c>
      <c r="E51" t="s">
        <v>553</v>
      </c>
      <c r="F51">
        <v>46142</v>
      </c>
      <c r="G51" t="s">
        <v>686</v>
      </c>
      <c r="H51" t="s">
        <v>1159</v>
      </c>
      <c r="I51">
        <v>52550502</v>
      </c>
      <c r="J51" t="s">
        <v>1343</v>
      </c>
      <c r="K51" t="s">
        <v>1349</v>
      </c>
      <c r="L51">
        <v>0</v>
      </c>
      <c r="M51">
        <v>226.33</v>
      </c>
      <c r="N51">
        <v>0</v>
      </c>
      <c r="O51">
        <v>226.33</v>
      </c>
      <c r="P51" t="s">
        <v>1345</v>
      </c>
      <c r="Q51" t="s">
        <v>1101</v>
      </c>
      <c r="R51" t="s">
        <v>1199</v>
      </c>
      <c r="S51" t="s">
        <v>948</v>
      </c>
      <c r="T51" t="s">
        <v>1102</v>
      </c>
      <c r="U51" t="s">
        <v>1346</v>
      </c>
      <c r="V51" t="s">
        <v>1165</v>
      </c>
      <c r="W51">
        <v>1</v>
      </c>
      <c r="X51">
        <v>226.33</v>
      </c>
      <c r="Y51" t="s">
        <v>1166</v>
      </c>
      <c r="Z51" t="s">
        <v>1167</v>
      </c>
      <c r="AA51" t="s">
        <v>1347</v>
      </c>
    </row>
    <row r="52" spans="1:27" x14ac:dyDescent="0.3">
      <c r="A52" t="s">
        <v>1263</v>
      </c>
      <c r="B52" t="s">
        <v>1355</v>
      </c>
      <c r="C52" t="s">
        <v>975</v>
      </c>
      <c r="D52" t="s">
        <v>1265</v>
      </c>
      <c r="E52" t="s">
        <v>553</v>
      </c>
      <c r="F52">
        <v>46142</v>
      </c>
      <c r="G52" t="s">
        <v>686</v>
      </c>
      <c r="H52" t="s">
        <v>1159</v>
      </c>
      <c r="I52">
        <v>52550502</v>
      </c>
      <c r="J52" t="s">
        <v>1343</v>
      </c>
      <c r="K52" t="s">
        <v>1349</v>
      </c>
      <c r="L52">
        <v>280</v>
      </c>
      <c r="M52">
        <v>106.7</v>
      </c>
      <c r="N52">
        <v>0</v>
      </c>
      <c r="O52">
        <v>386.7</v>
      </c>
      <c r="P52" t="s">
        <v>1345</v>
      </c>
      <c r="Q52" t="s">
        <v>1101</v>
      </c>
      <c r="R52" t="s">
        <v>1199</v>
      </c>
      <c r="S52" t="s">
        <v>948</v>
      </c>
      <c r="T52" t="s">
        <v>1102</v>
      </c>
      <c r="U52" t="s">
        <v>1346</v>
      </c>
      <c r="V52" t="s">
        <v>1165</v>
      </c>
      <c r="W52">
        <v>1</v>
      </c>
      <c r="X52">
        <v>386.7</v>
      </c>
      <c r="Y52" t="s">
        <v>1166</v>
      </c>
      <c r="Z52" t="s">
        <v>1167</v>
      </c>
      <c r="AA52" t="s">
        <v>1347</v>
      </c>
    </row>
    <row r="53" spans="1:27" x14ac:dyDescent="0.3">
      <c r="A53" t="s">
        <v>1263</v>
      </c>
      <c r="B53" t="s">
        <v>1356</v>
      </c>
      <c r="C53" t="s">
        <v>975</v>
      </c>
      <c r="D53" t="s">
        <v>1265</v>
      </c>
      <c r="E53" t="s">
        <v>553</v>
      </c>
      <c r="F53">
        <v>46142</v>
      </c>
      <c r="G53" t="s">
        <v>686</v>
      </c>
      <c r="H53" t="s">
        <v>1159</v>
      </c>
      <c r="I53">
        <v>52550502</v>
      </c>
      <c r="J53" t="s">
        <v>1343</v>
      </c>
      <c r="K53" t="s">
        <v>1349</v>
      </c>
      <c r="L53">
        <v>0</v>
      </c>
      <c r="M53">
        <v>150.72</v>
      </c>
      <c r="N53">
        <v>0</v>
      </c>
      <c r="O53">
        <v>150.72</v>
      </c>
      <c r="P53" t="s">
        <v>1345</v>
      </c>
      <c r="Q53" t="s">
        <v>1101</v>
      </c>
      <c r="R53" t="s">
        <v>1199</v>
      </c>
      <c r="S53" t="s">
        <v>948</v>
      </c>
      <c r="T53" t="s">
        <v>1102</v>
      </c>
      <c r="U53" t="s">
        <v>1346</v>
      </c>
      <c r="V53" t="s">
        <v>1165</v>
      </c>
      <c r="W53">
        <v>1</v>
      </c>
      <c r="X53">
        <v>150.72</v>
      </c>
      <c r="Y53" t="s">
        <v>1166</v>
      </c>
      <c r="Z53" t="s">
        <v>1167</v>
      </c>
      <c r="AA53" t="s">
        <v>1347</v>
      </c>
    </row>
    <row r="54" spans="1:27" x14ac:dyDescent="0.3">
      <c r="A54" t="s">
        <v>1263</v>
      </c>
      <c r="B54" t="s">
        <v>1357</v>
      </c>
      <c r="C54" t="s">
        <v>975</v>
      </c>
      <c r="D54" t="s">
        <v>1265</v>
      </c>
      <c r="E54" t="s">
        <v>553</v>
      </c>
      <c r="F54">
        <v>46142</v>
      </c>
      <c r="G54" t="s">
        <v>686</v>
      </c>
      <c r="H54" t="s">
        <v>1159</v>
      </c>
      <c r="I54">
        <v>52550502</v>
      </c>
      <c r="J54" t="s">
        <v>1343</v>
      </c>
      <c r="K54" t="s">
        <v>1349</v>
      </c>
      <c r="L54">
        <v>24</v>
      </c>
      <c r="M54">
        <v>0</v>
      </c>
      <c r="N54">
        <v>0</v>
      </c>
      <c r="O54">
        <v>24</v>
      </c>
      <c r="P54" t="s">
        <v>1345</v>
      </c>
      <c r="Q54" t="s">
        <v>1101</v>
      </c>
      <c r="R54" t="s">
        <v>1199</v>
      </c>
      <c r="S54" t="s">
        <v>948</v>
      </c>
      <c r="T54" t="s">
        <v>1102</v>
      </c>
      <c r="U54" t="s">
        <v>1346</v>
      </c>
      <c r="V54" t="s">
        <v>1165</v>
      </c>
      <c r="W54">
        <v>1</v>
      </c>
      <c r="X54">
        <v>24</v>
      </c>
      <c r="Y54" t="s">
        <v>1166</v>
      </c>
      <c r="Z54" t="s">
        <v>1167</v>
      </c>
      <c r="AA54" t="s">
        <v>1347</v>
      </c>
    </row>
    <row r="55" spans="1:27" x14ac:dyDescent="0.3">
      <c r="A55" t="s">
        <v>1263</v>
      </c>
      <c r="B55" t="s">
        <v>1358</v>
      </c>
      <c r="C55" t="s">
        <v>975</v>
      </c>
      <c r="D55" t="s">
        <v>1265</v>
      </c>
      <c r="E55" t="s">
        <v>553</v>
      </c>
      <c r="F55">
        <v>46142</v>
      </c>
      <c r="G55" t="s">
        <v>686</v>
      </c>
      <c r="H55" t="s">
        <v>1159</v>
      </c>
      <c r="I55">
        <v>52550502</v>
      </c>
      <c r="J55" t="s">
        <v>1343</v>
      </c>
      <c r="K55" t="s">
        <v>1349</v>
      </c>
      <c r="L55">
        <v>24</v>
      </c>
      <c r="M55">
        <v>0</v>
      </c>
      <c r="N55">
        <v>0</v>
      </c>
      <c r="O55">
        <v>24</v>
      </c>
      <c r="P55" t="s">
        <v>1345</v>
      </c>
      <c r="Q55" t="s">
        <v>1101</v>
      </c>
      <c r="R55" t="s">
        <v>1199</v>
      </c>
      <c r="S55" t="s">
        <v>948</v>
      </c>
      <c r="T55" t="s">
        <v>1102</v>
      </c>
      <c r="U55" t="s">
        <v>1346</v>
      </c>
      <c r="V55" t="s">
        <v>1165</v>
      </c>
      <c r="W55">
        <v>1</v>
      </c>
      <c r="X55">
        <v>24</v>
      </c>
      <c r="Y55" t="s">
        <v>1166</v>
      </c>
      <c r="Z55" t="s">
        <v>1167</v>
      </c>
      <c r="AA55" t="s">
        <v>1347</v>
      </c>
    </row>
    <row r="56" spans="1:27" x14ac:dyDescent="0.3">
      <c r="A56" t="s">
        <v>1263</v>
      </c>
      <c r="B56" t="s">
        <v>1359</v>
      </c>
      <c r="C56" t="s">
        <v>975</v>
      </c>
      <c r="D56" t="s">
        <v>1265</v>
      </c>
      <c r="E56" t="s">
        <v>553</v>
      </c>
      <c r="F56">
        <v>46142</v>
      </c>
      <c r="G56" t="s">
        <v>686</v>
      </c>
      <c r="H56" t="s">
        <v>1159</v>
      </c>
      <c r="I56">
        <v>52954501</v>
      </c>
      <c r="J56" t="s">
        <v>1360</v>
      </c>
      <c r="K56" t="s">
        <v>1360</v>
      </c>
      <c r="L56">
        <v>0</v>
      </c>
      <c r="M56">
        <v>78</v>
      </c>
      <c r="N56">
        <v>0</v>
      </c>
      <c r="O56">
        <v>78</v>
      </c>
      <c r="P56" t="s">
        <v>1361</v>
      </c>
      <c r="Q56" t="s">
        <v>1103</v>
      </c>
      <c r="R56" t="s">
        <v>1199</v>
      </c>
      <c r="S56" t="s">
        <v>948</v>
      </c>
      <c r="T56" t="s">
        <v>1104</v>
      </c>
      <c r="U56" t="s">
        <v>1362</v>
      </c>
      <c r="V56" t="s">
        <v>1165</v>
      </c>
      <c r="W56">
        <v>1</v>
      </c>
      <c r="X56">
        <v>78</v>
      </c>
      <c r="Y56" t="s">
        <v>1166</v>
      </c>
      <c r="Z56" t="s">
        <v>1167</v>
      </c>
      <c r="AA56" t="s">
        <v>1363</v>
      </c>
    </row>
    <row r="57" spans="1:27" x14ac:dyDescent="0.3">
      <c r="A57" t="s">
        <v>1263</v>
      </c>
      <c r="B57" t="s">
        <v>1364</v>
      </c>
      <c r="C57" t="s">
        <v>975</v>
      </c>
      <c r="D57" t="s">
        <v>1265</v>
      </c>
      <c r="E57" t="s">
        <v>553</v>
      </c>
      <c r="F57">
        <v>46142</v>
      </c>
      <c r="G57" t="s">
        <v>686</v>
      </c>
      <c r="H57" t="s">
        <v>1159</v>
      </c>
      <c r="I57">
        <v>52959505</v>
      </c>
      <c r="J57" t="s">
        <v>1232</v>
      </c>
      <c r="K57" t="s">
        <v>1365</v>
      </c>
      <c r="L57">
        <v>1.9</v>
      </c>
      <c r="M57">
        <v>0</v>
      </c>
      <c r="N57">
        <v>0</v>
      </c>
      <c r="O57">
        <v>1.9</v>
      </c>
      <c r="P57" t="s">
        <v>1366</v>
      </c>
      <c r="Q57" t="s">
        <v>1105</v>
      </c>
      <c r="R57" t="s">
        <v>1199</v>
      </c>
      <c r="S57" t="s">
        <v>948</v>
      </c>
      <c r="T57" t="s">
        <v>1106</v>
      </c>
      <c r="U57" t="s">
        <v>576</v>
      </c>
      <c r="V57" t="s">
        <v>1165</v>
      </c>
      <c r="W57">
        <v>1</v>
      </c>
      <c r="X57">
        <v>1.9</v>
      </c>
      <c r="Y57" t="s">
        <v>1192</v>
      </c>
      <c r="Z57" t="s">
        <v>1193</v>
      </c>
      <c r="AA57" t="s">
        <v>1367</v>
      </c>
    </row>
    <row r="58" spans="1:27" x14ac:dyDescent="0.3">
      <c r="A58" t="s">
        <v>1263</v>
      </c>
      <c r="B58" t="s">
        <v>1368</v>
      </c>
      <c r="C58" t="s">
        <v>975</v>
      </c>
      <c r="D58" t="s">
        <v>1265</v>
      </c>
      <c r="E58" t="s">
        <v>553</v>
      </c>
      <c r="F58">
        <v>46142</v>
      </c>
      <c r="G58" t="s">
        <v>686</v>
      </c>
      <c r="H58" t="s">
        <v>1159</v>
      </c>
      <c r="I58">
        <v>53050501</v>
      </c>
      <c r="J58" t="s">
        <v>1258</v>
      </c>
      <c r="K58" t="s">
        <v>1258</v>
      </c>
      <c r="L58">
        <v>33.06</v>
      </c>
      <c r="M58">
        <v>11</v>
      </c>
      <c r="N58">
        <v>0</v>
      </c>
      <c r="O58">
        <v>44.06</v>
      </c>
      <c r="P58" t="s">
        <v>1260</v>
      </c>
      <c r="Q58" t="s">
        <v>1123</v>
      </c>
      <c r="R58" t="s">
        <v>1199</v>
      </c>
      <c r="S58" t="s">
        <v>717</v>
      </c>
      <c r="T58" t="s">
        <v>717</v>
      </c>
      <c r="U58" t="s">
        <v>1261</v>
      </c>
      <c r="V58" t="s">
        <v>1165</v>
      </c>
      <c r="W58">
        <v>1</v>
      </c>
      <c r="X58">
        <v>44.06</v>
      </c>
      <c r="Y58" t="s">
        <v>1166</v>
      </c>
      <c r="Z58" t="s">
        <v>1167</v>
      </c>
      <c r="AA58" t="s">
        <v>1262</v>
      </c>
    </row>
    <row r="59" spans="1:27" x14ac:dyDescent="0.3">
      <c r="A59" t="s">
        <v>1263</v>
      </c>
      <c r="B59" t="s">
        <v>1369</v>
      </c>
      <c r="C59" t="s">
        <v>975</v>
      </c>
      <c r="D59" t="s">
        <v>1265</v>
      </c>
      <c r="E59" t="s">
        <v>553</v>
      </c>
      <c r="F59">
        <v>46142</v>
      </c>
      <c r="G59" t="s">
        <v>686</v>
      </c>
      <c r="H59" t="s">
        <v>1159</v>
      </c>
      <c r="I59">
        <v>53050503</v>
      </c>
      <c r="J59" t="s">
        <v>1258</v>
      </c>
      <c r="K59" t="s">
        <v>573</v>
      </c>
      <c r="L59">
        <v>5.2</v>
      </c>
      <c r="M59">
        <v>0.35</v>
      </c>
      <c r="N59">
        <v>0</v>
      </c>
      <c r="O59">
        <v>5.55</v>
      </c>
      <c r="P59" t="s">
        <v>1260</v>
      </c>
      <c r="Q59" t="s">
        <v>1123</v>
      </c>
      <c r="R59" t="s">
        <v>1199</v>
      </c>
      <c r="S59" t="s">
        <v>717</v>
      </c>
      <c r="T59" t="s">
        <v>717</v>
      </c>
      <c r="U59" t="s">
        <v>1261</v>
      </c>
      <c r="V59" t="s">
        <v>1165</v>
      </c>
      <c r="W59">
        <v>1</v>
      </c>
      <c r="X59">
        <v>5.55</v>
      </c>
      <c r="Y59" t="s">
        <v>1166</v>
      </c>
      <c r="Z59" t="s">
        <v>1167</v>
      </c>
      <c r="AA59" t="s">
        <v>1262</v>
      </c>
    </row>
    <row r="60" spans="1:27" x14ac:dyDescent="0.3">
      <c r="A60" t="s">
        <v>1263</v>
      </c>
      <c r="B60" t="s">
        <v>1370</v>
      </c>
      <c r="C60" t="s">
        <v>975</v>
      </c>
      <c r="D60" t="s">
        <v>1265</v>
      </c>
      <c r="E60" t="s">
        <v>553</v>
      </c>
      <c r="F60">
        <v>46142</v>
      </c>
      <c r="G60" t="s">
        <v>686</v>
      </c>
      <c r="H60" t="s">
        <v>1159</v>
      </c>
      <c r="I60">
        <v>53050504</v>
      </c>
      <c r="J60" t="s">
        <v>1258</v>
      </c>
      <c r="K60" t="s">
        <v>1371</v>
      </c>
      <c r="L60">
        <v>240</v>
      </c>
      <c r="M60">
        <v>80</v>
      </c>
      <c r="N60">
        <v>0</v>
      </c>
      <c r="O60">
        <v>320</v>
      </c>
      <c r="P60" t="s">
        <v>1260</v>
      </c>
      <c r="Q60" t="s">
        <v>1123</v>
      </c>
      <c r="R60" t="s">
        <v>1199</v>
      </c>
      <c r="S60" t="s">
        <v>717</v>
      </c>
      <c r="T60" t="s">
        <v>717</v>
      </c>
      <c r="U60" t="s">
        <v>1261</v>
      </c>
      <c r="V60" t="s">
        <v>1165</v>
      </c>
      <c r="W60">
        <v>1</v>
      </c>
      <c r="X60">
        <v>320</v>
      </c>
      <c r="Y60" t="s">
        <v>1166</v>
      </c>
      <c r="Z60" t="s">
        <v>1167</v>
      </c>
      <c r="AA60" t="s">
        <v>1262</v>
      </c>
    </row>
    <row r="61" spans="1:27" x14ac:dyDescent="0.3">
      <c r="A61" t="s">
        <v>1372</v>
      </c>
      <c r="B61" t="s">
        <v>1158</v>
      </c>
      <c r="C61" t="s">
        <v>974</v>
      </c>
      <c r="D61" t="s">
        <v>1373</v>
      </c>
      <c r="E61" t="s">
        <v>553</v>
      </c>
      <c r="F61">
        <v>46142</v>
      </c>
      <c r="G61" t="s">
        <v>496</v>
      </c>
      <c r="H61" t="s">
        <v>1159</v>
      </c>
      <c r="I61">
        <v>11100501</v>
      </c>
      <c r="J61" t="s">
        <v>1160</v>
      </c>
      <c r="L61">
        <v>243471.43</v>
      </c>
      <c r="M61">
        <v>3922</v>
      </c>
      <c r="N61">
        <v>0.34</v>
      </c>
      <c r="O61">
        <v>247393.09</v>
      </c>
      <c r="P61" t="s">
        <v>1161</v>
      </c>
      <c r="Q61" t="s">
        <v>980</v>
      </c>
      <c r="R61" t="s">
        <v>1162</v>
      </c>
      <c r="S61" t="s">
        <v>1163</v>
      </c>
      <c r="T61" t="s">
        <v>926</v>
      </c>
      <c r="U61" t="s">
        <v>1164</v>
      </c>
      <c r="V61" t="s">
        <v>1165</v>
      </c>
      <c r="W61">
        <v>1</v>
      </c>
      <c r="X61">
        <v>247393.09</v>
      </c>
      <c r="Y61" t="s">
        <v>1166</v>
      </c>
      <c r="Z61" t="s">
        <v>1167</v>
      </c>
      <c r="AA61" t="s">
        <v>1168</v>
      </c>
    </row>
    <row r="62" spans="1:27" x14ac:dyDescent="0.3">
      <c r="A62" t="s">
        <v>1372</v>
      </c>
      <c r="B62" t="s">
        <v>1374</v>
      </c>
      <c r="C62" t="s">
        <v>974</v>
      </c>
      <c r="D62" t="s">
        <v>1373</v>
      </c>
      <c r="E62" t="s">
        <v>553</v>
      </c>
      <c r="F62">
        <v>46142</v>
      </c>
      <c r="G62" t="s">
        <v>496</v>
      </c>
      <c r="H62" t="s">
        <v>1159</v>
      </c>
      <c r="I62">
        <v>11100502</v>
      </c>
      <c r="J62" t="s">
        <v>1160</v>
      </c>
      <c r="L62">
        <v>73704.5</v>
      </c>
      <c r="M62">
        <v>194.66</v>
      </c>
      <c r="N62">
        <v>15595.65</v>
      </c>
      <c r="O62">
        <v>58303.51</v>
      </c>
      <c r="P62" t="s">
        <v>1161</v>
      </c>
      <c r="Q62" t="s">
        <v>980</v>
      </c>
      <c r="R62" t="s">
        <v>1162</v>
      </c>
      <c r="S62" t="s">
        <v>1163</v>
      </c>
      <c r="T62" t="s">
        <v>926</v>
      </c>
      <c r="U62" t="s">
        <v>1164</v>
      </c>
      <c r="V62" t="s">
        <v>1165</v>
      </c>
      <c r="W62">
        <v>1</v>
      </c>
      <c r="X62">
        <v>58303.51</v>
      </c>
      <c r="Y62" t="s">
        <v>1166</v>
      </c>
      <c r="Z62" t="s">
        <v>1167</v>
      </c>
      <c r="AA62" t="s">
        <v>1168</v>
      </c>
    </row>
    <row r="63" spans="1:27" x14ac:dyDescent="0.3">
      <c r="A63" t="s">
        <v>1372</v>
      </c>
      <c r="B63" t="s">
        <v>1267</v>
      </c>
      <c r="C63" t="s">
        <v>974</v>
      </c>
      <c r="D63" t="s">
        <v>1373</v>
      </c>
      <c r="E63" t="s">
        <v>553</v>
      </c>
      <c r="F63">
        <v>46142</v>
      </c>
      <c r="G63" t="s">
        <v>496</v>
      </c>
      <c r="H63" t="s">
        <v>1159</v>
      </c>
      <c r="I63">
        <v>11100503</v>
      </c>
      <c r="J63" t="s">
        <v>1160</v>
      </c>
      <c r="L63">
        <v>36808.239999999998</v>
      </c>
      <c r="M63">
        <v>0.03</v>
      </c>
      <c r="N63">
        <v>0</v>
      </c>
      <c r="O63">
        <v>36808.269999999997</v>
      </c>
      <c r="P63" t="s">
        <v>1161</v>
      </c>
      <c r="Q63" t="s">
        <v>980</v>
      </c>
      <c r="R63" t="s">
        <v>1162</v>
      </c>
      <c r="S63" t="s">
        <v>1163</v>
      </c>
      <c r="T63" t="s">
        <v>926</v>
      </c>
      <c r="U63" t="s">
        <v>1164</v>
      </c>
      <c r="V63" t="s">
        <v>1165</v>
      </c>
      <c r="W63">
        <v>1</v>
      </c>
      <c r="X63">
        <v>36808.269999999997</v>
      </c>
      <c r="Y63" t="s">
        <v>1166</v>
      </c>
      <c r="Z63" t="s">
        <v>1167</v>
      </c>
      <c r="AA63" t="s">
        <v>1168</v>
      </c>
    </row>
    <row r="64" spans="1:27" x14ac:dyDescent="0.3">
      <c r="A64" t="s">
        <v>1372</v>
      </c>
      <c r="B64" t="s">
        <v>1375</v>
      </c>
      <c r="C64" t="s">
        <v>974</v>
      </c>
      <c r="D64" t="s">
        <v>1373</v>
      </c>
      <c r="E64" t="s">
        <v>553</v>
      </c>
      <c r="F64">
        <v>46142</v>
      </c>
      <c r="G64" t="s">
        <v>496</v>
      </c>
      <c r="H64" t="s">
        <v>1159</v>
      </c>
      <c r="I64">
        <v>13050501</v>
      </c>
      <c r="J64" t="s">
        <v>1273</v>
      </c>
      <c r="K64" t="s">
        <v>1376</v>
      </c>
      <c r="L64">
        <v>3622.35</v>
      </c>
      <c r="M64">
        <v>5541</v>
      </c>
      <c r="N64">
        <v>3622</v>
      </c>
      <c r="O64">
        <v>5541.35</v>
      </c>
      <c r="P64" t="s">
        <v>1275</v>
      </c>
      <c r="Q64" t="s">
        <v>983</v>
      </c>
      <c r="R64" t="s">
        <v>1162</v>
      </c>
      <c r="S64" t="s">
        <v>1163</v>
      </c>
      <c r="T64" t="s">
        <v>984</v>
      </c>
      <c r="U64" t="s">
        <v>1276</v>
      </c>
      <c r="V64" t="s">
        <v>1165</v>
      </c>
      <c r="W64">
        <v>1</v>
      </c>
      <c r="X64">
        <v>5541.35</v>
      </c>
      <c r="Y64" t="s">
        <v>1166</v>
      </c>
      <c r="Z64" t="s">
        <v>1167</v>
      </c>
      <c r="AA64" t="s">
        <v>1277</v>
      </c>
    </row>
    <row r="65" spans="1:27" x14ac:dyDescent="0.3">
      <c r="A65" t="s">
        <v>1372</v>
      </c>
      <c r="B65" t="s">
        <v>1377</v>
      </c>
      <c r="C65" t="s">
        <v>974</v>
      </c>
      <c r="D65" t="s">
        <v>1373</v>
      </c>
      <c r="E65" t="s">
        <v>553</v>
      </c>
      <c r="F65">
        <v>46142</v>
      </c>
      <c r="G65" t="s">
        <v>496</v>
      </c>
      <c r="H65" t="s">
        <v>1159</v>
      </c>
      <c r="I65">
        <v>13050501</v>
      </c>
      <c r="J65" t="s">
        <v>1273</v>
      </c>
      <c r="K65" t="s">
        <v>1378</v>
      </c>
      <c r="L65">
        <v>-217</v>
      </c>
      <c r="M65">
        <v>300</v>
      </c>
      <c r="N65">
        <v>300</v>
      </c>
      <c r="O65">
        <v>-217</v>
      </c>
      <c r="P65" t="s">
        <v>1275</v>
      </c>
      <c r="Q65" t="s">
        <v>983</v>
      </c>
      <c r="R65" t="s">
        <v>1162</v>
      </c>
      <c r="S65" t="s">
        <v>1163</v>
      </c>
      <c r="T65" t="s">
        <v>984</v>
      </c>
      <c r="U65" t="s">
        <v>1276</v>
      </c>
      <c r="V65" t="s">
        <v>1165</v>
      </c>
      <c r="W65">
        <v>1</v>
      </c>
      <c r="X65">
        <v>-217</v>
      </c>
      <c r="Y65" t="s">
        <v>1166</v>
      </c>
      <c r="Z65" t="s">
        <v>1167</v>
      </c>
      <c r="AA65" t="s">
        <v>1277</v>
      </c>
    </row>
    <row r="66" spans="1:27" x14ac:dyDescent="0.3">
      <c r="A66" t="s">
        <v>1372</v>
      </c>
      <c r="B66" t="s">
        <v>1278</v>
      </c>
      <c r="C66" t="s">
        <v>974</v>
      </c>
      <c r="D66" t="s">
        <v>1373</v>
      </c>
      <c r="E66" t="s">
        <v>553</v>
      </c>
      <c r="F66">
        <v>46142</v>
      </c>
      <c r="G66" t="s">
        <v>496</v>
      </c>
      <c r="H66" t="s">
        <v>1159</v>
      </c>
      <c r="I66">
        <v>13050501</v>
      </c>
      <c r="J66" t="s">
        <v>1273</v>
      </c>
      <c r="K66" t="s">
        <v>1379</v>
      </c>
      <c r="L66">
        <v>217</v>
      </c>
      <c r="M66">
        <v>0</v>
      </c>
      <c r="N66">
        <v>0</v>
      </c>
      <c r="O66">
        <v>217</v>
      </c>
      <c r="P66" t="s">
        <v>1275</v>
      </c>
      <c r="Q66" t="s">
        <v>983</v>
      </c>
      <c r="R66" t="s">
        <v>1162</v>
      </c>
      <c r="S66" t="s">
        <v>1163</v>
      </c>
      <c r="T66" t="s">
        <v>984</v>
      </c>
      <c r="U66" t="s">
        <v>1276</v>
      </c>
      <c r="V66" t="s">
        <v>1165</v>
      </c>
      <c r="W66">
        <v>1</v>
      </c>
      <c r="X66">
        <v>217</v>
      </c>
      <c r="Y66" t="s">
        <v>1166</v>
      </c>
      <c r="Z66" t="s">
        <v>1167</v>
      </c>
      <c r="AA66" t="s">
        <v>1277</v>
      </c>
    </row>
    <row r="67" spans="1:27" x14ac:dyDescent="0.3">
      <c r="A67" t="s">
        <v>1372</v>
      </c>
      <c r="B67" t="s">
        <v>1380</v>
      </c>
      <c r="C67" t="s">
        <v>974</v>
      </c>
      <c r="D67" t="s">
        <v>1373</v>
      </c>
      <c r="E67" t="s">
        <v>553</v>
      </c>
      <c r="F67">
        <v>46142</v>
      </c>
      <c r="G67" t="s">
        <v>496</v>
      </c>
      <c r="H67" t="s">
        <v>1159</v>
      </c>
      <c r="I67">
        <v>13050501</v>
      </c>
      <c r="J67" t="s">
        <v>1273</v>
      </c>
      <c r="K67" t="s">
        <v>1381</v>
      </c>
      <c r="L67">
        <v>96.45</v>
      </c>
      <c r="M67">
        <v>96.45</v>
      </c>
      <c r="N67">
        <v>96.45</v>
      </c>
      <c r="O67">
        <v>96.45</v>
      </c>
      <c r="P67" t="s">
        <v>1275</v>
      </c>
      <c r="Q67" t="s">
        <v>983</v>
      </c>
      <c r="R67" t="s">
        <v>1162</v>
      </c>
      <c r="S67" t="s">
        <v>1163</v>
      </c>
      <c r="T67" t="s">
        <v>984</v>
      </c>
      <c r="U67" t="s">
        <v>1276</v>
      </c>
      <c r="V67" t="s">
        <v>1165</v>
      </c>
      <c r="W67">
        <v>1</v>
      </c>
      <c r="X67">
        <v>96.45</v>
      </c>
      <c r="Y67" t="s">
        <v>1166</v>
      </c>
      <c r="Z67" t="s">
        <v>1167</v>
      </c>
      <c r="AA67" t="s">
        <v>1277</v>
      </c>
    </row>
    <row r="68" spans="1:27" x14ac:dyDescent="0.3">
      <c r="A68" t="s">
        <v>1372</v>
      </c>
      <c r="B68" t="s">
        <v>1177</v>
      </c>
      <c r="C68" t="s">
        <v>974</v>
      </c>
      <c r="D68" t="s">
        <v>1373</v>
      </c>
      <c r="E68" t="s">
        <v>553</v>
      </c>
      <c r="F68">
        <v>46142</v>
      </c>
      <c r="G68" t="s">
        <v>496</v>
      </c>
      <c r="H68" t="s">
        <v>1159</v>
      </c>
      <c r="I68">
        <v>13050501</v>
      </c>
      <c r="J68" t="s">
        <v>1273</v>
      </c>
      <c r="K68" t="s">
        <v>1382</v>
      </c>
      <c r="L68">
        <v>110</v>
      </c>
      <c r="M68">
        <v>55</v>
      </c>
      <c r="N68">
        <v>55</v>
      </c>
      <c r="O68">
        <v>110</v>
      </c>
      <c r="P68" t="s">
        <v>1275</v>
      </c>
      <c r="Q68" t="s">
        <v>983</v>
      </c>
      <c r="R68" t="s">
        <v>1162</v>
      </c>
      <c r="S68" t="s">
        <v>1163</v>
      </c>
      <c r="T68" t="s">
        <v>984</v>
      </c>
      <c r="U68" t="s">
        <v>1276</v>
      </c>
      <c r="V68" t="s">
        <v>1165</v>
      </c>
      <c r="W68">
        <v>1</v>
      </c>
      <c r="X68">
        <v>110</v>
      </c>
      <c r="Y68" t="s">
        <v>1166</v>
      </c>
      <c r="Z68" t="s">
        <v>1167</v>
      </c>
      <c r="AA68" t="s">
        <v>1277</v>
      </c>
    </row>
    <row r="69" spans="1:27" x14ac:dyDescent="0.3">
      <c r="A69" t="s">
        <v>1372</v>
      </c>
      <c r="B69" t="s">
        <v>1183</v>
      </c>
      <c r="C69" t="s">
        <v>974</v>
      </c>
      <c r="D69" t="s">
        <v>1373</v>
      </c>
      <c r="E69" t="s">
        <v>553</v>
      </c>
      <c r="F69">
        <v>46142</v>
      </c>
      <c r="G69" t="s">
        <v>496</v>
      </c>
      <c r="H69" t="s">
        <v>1159</v>
      </c>
      <c r="I69">
        <v>13309501</v>
      </c>
      <c r="J69" t="s">
        <v>1232</v>
      </c>
      <c r="K69" t="s">
        <v>1378</v>
      </c>
      <c r="L69">
        <v>-300</v>
      </c>
      <c r="M69">
        <v>0</v>
      </c>
      <c r="N69">
        <v>0</v>
      </c>
      <c r="O69">
        <v>-300</v>
      </c>
      <c r="P69" t="s">
        <v>1383</v>
      </c>
      <c r="Q69" t="s">
        <v>985</v>
      </c>
      <c r="R69" t="s">
        <v>1162</v>
      </c>
      <c r="S69" t="s">
        <v>1163</v>
      </c>
      <c r="T69" t="s">
        <v>986</v>
      </c>
      <c r="U69" t="s">
        <v>1384</v>
      </c>
      <c r="V69" t="s">
        <v>1165</v>
      </c>
      <c r="W69">
        <v>1</v>
      </c>
      <c r="X69">
        <v>-300</v>
      </c>
      <c r="Y69" t="s">
        <v>1192</v>
      </c>
      <c r="Z69" t="s">
        <v>1193</v>
      </c>
      <c r="AA69" t="s">
        <v>1385</v>
      </c>
    </row>
    <row r="70" spans="1:27" x14ac:dyDescent="0.3">
      <c r="A70" t="s">
        <v>1372</v>
      </c>
      <c r="B70" t="s">
        <v>1294</v>
      </c>
      <c r="C70" t="s">
        <v>974</v>
      </c>
      <c r="D70" t="s">
        <v>1373</v>
      </c>
      <c r="E70" t="s">
        <v>553</v>
      </c>
      <c r="F70">
        <v>46142</v>
      </c>
      <c r="G70" t="s">
        <v>496</v>
      </c>
      <c r="H70" t="s">
        <v>1159</v>
      </c>
      <c r="I70">
        <v>13802001</v>
      </c>
      <c r="J70" t="s">
        <v>1386</v>
      </c>
      <c r="K70" t="s">
        <v>1387</v>
      </c>
      <c r="L70">
        <v>4300</v>
      </c>
      <c r="M70">
        <v>0</v>
      </c>
      <c r="N70">
        <v>0</v>
      </c>
      <c r="O70">
        <v>4300</v>
      </c>
      <c r="P70" t="s">
        <v>1388</v>
      </c>
      <c r="Q70" t="s">
        <v>989</v>
      </c>
      <c r="R70" t="s">
        <v>1162</v>
      </c>
      <c r="S70" t="s">
        <v>1163</v>
      </c>
      <c r="T70" t="s">
        <v>990</v>
      </c>
      <c r="U70" t="s">
        <v>1389</v>
      </c>
      <c r="V70" t="s">
        <v>1165</v>
      </c>
      <c r="W70">
        <v>1</v>
      </c>
      <c r="X70">
        <v>4300</v>
      </c>
      <c r="Y70" t="s">
        <v>1166</v>
      </c>
      <c r="Z70" t="s">
        <v>1193</v>
      </c>
      <c r="AA70" t="s">
        <v>1390</v>
      </c>
    </row>
    <row r="71" spans="1:27" x14ac:dyDescent="0.3">
      <c r="A71" t="s">
        <v>1372</v>
      </c>
      <c r="B71" t="s">
        <v>1188</v>
      </c>
      <c r="C71" t="s">
        <v>974</v>
      </c>
      <c r="D71" t="s">
        <v>1373</v>
      </c>
      <c r="E71" t="s">
        <v>553</v>
      </c>
      <c r="F71">
        <v>46142</v>
      </c>
      <c r="G71" t="s">
        <v>496</v>
      </c>
      <c r="H71" t="s">
        <v>1159</v>
      </c>
      <c r="I71">
        <v>13802001</v>
      </c>
      <c r="J71" t="s">
        <v>1386</v>
      </c>
      <c r="K71" t="s">
        <v>1179</v>
      </c>
      <c r="L71">
        <v>21619</v>
      </c>
      <c r="M71">
        <v>8940.9599999999991</v>
      </c>
      <c r="N71">
        <v>0</v>
      </c>
      <c r="O71">
        <v>30559.96</v>
      </c>
      <c r="P71" t="s">
        <v>1388</v>
      </c>
      <c r="Q71" t="s">
        <v>989</v>
      </c>
      <c r="R71" t="s">
        <v>1162</v>
      </c>
      <c r="S71" t="s">
        <v>1163</v>
      </c>
      <c r="T71" t="s">
        <v>990</v>
      </c>
      <c r="U71" t="s">
        <v>1389</v>
      </c>
      <c r="V71" t="s">
        <v>1165</v>
      </c>
      <c r="W71">
        <v>1</v>
      </c>
      <c r="X71">
        <v>30559.96</v>
      </c>
      <c r="Y71" t="s">
        <v>1166</v>
      </c>
      <c r="Z71" t="s">
        <v>1193</v>
      </c>
      <c r="AA71" t="s">
        <v>1390</v>
      </c>
    </row>
    <row r="72" spans="1:27" x14ac:dyDescent="0.3">
      <c r="A72" t="s">
        <v>1372</v>
      </c>
      <c r="B72" t="s">
        <v>1391</v>
      </c>
      <c r="C72" t="s">
        <v>974</v>
      </c>
      <c r="D72" t="s">
        <v>1373</v>
      </c>
      <c r="E72" t="s">
        <v>553</v>
      </c>
      <c r="F72">
        <v>46142</v>
      </c>
      <c r="G72" t="s">
        <v>496</v>
      </c>
      <c r="H72" t="s">
        <v>1159</v>
      </c>
      <c r="I72">
        <v>13802001</v>
      </c>
      <c r="J72" t="s">
        <v>1386</v>
      </c>
      <c r="K72" t="s">
        <v>1392</v>
      </c>
      <c r="L72">
        <v>571891.71</v>
      </c>
      <c r="M72">
        <v>0</v>
      </c>
      <c r="N72">
        <v>0</v>
      </c>
      <c r="O72">
        <v>571891.71</v>
      </c>
      <c r="P72" t="s">
        <v>1388</v>
      </c>
      <c r="Q72" t="s">
        <v>989</v>
      </c>
      <c r="R72" t="s">
        <v>1162</v>
      </c>
      <c r="S72" t="s">
        <v>1163</v>
      </c>
      <c r="T72" t="s">
        <v>990</v>
      </c>
      <c r="U72" t="s">
        <v>1389</v>
      </c>
      <c r="V72" t="s">
        <v>1165</v>
      </c>
      <c r="W72">
        <v>1</v>
      </c>
      <c r="X72">
        <v>571891.71</v>
      </c>
      <c r="Y72" t="s">
        <v>1166</v>
      </c>
      <c r="Z72" t="s">
        <v>1193</v>
      </c>
      <c r="AA72" t="s">
        <v>1390</v>
      </c>
    </row>
    <row r="73" spans="1:27" x14ac:dyDescent="0.3">
      <c r="A73" t="s">
        <v>1372</v>
      </c>
      <c r="B73" t="s">
        <v>1195</v>
      </c>
      <c r="C73" t="s">
        <v>974</v>
      </c>
      <c r="D73" t="s">
        <v>1373</v>
      </c>
      <c r="E73" t="s">
        <v>553</v>
      </c>
      <c r="F73">
        <v>46142</v>
      </c>
      <c r="G73" t="s">
        <v>496</v>
      </c>
      <c r="H73" t="s">
        <v>1159</v>
      </c>
      <c r="I73">
        <v>15280501</v>
      </c>
      <c r="J73" t="s">
        <v>1285</v>
      </c>
      <c r="L73">
        <v>8817.2199999999993</v>
      </c>
      <c r="M73">
        <v>0</v>
      </c>
      <c r="N73">
        <v>0</v>
      </c>
      <c r="O73">
        <v>8817.2199999999993</v>
      </c>
      <c r="P73" t="s">
        <v>1287</v>
      </c>
      <c r="Q73" t="s">
        <v>995</v>
      </c>
      <c r="R73" t="s">
        <v>1162</v>
      </c>
      <c r="S73" t="s">
        <v>957</v>
      </c>
      <c r="T73" t="s">
        <v>996</v>
      </c>
      <c r="U73" t="s">
        <v>1288</v>
      </c>
      <c r="V73" t="s">
        <v>1165</v>
      </c>
      <c r="W73">
        <v>1</v>
      </c>
      <c r="X73">
        <v>8817.2199999999993</v>
      </c>
      <c r="Y73" t="s">
        <v>1166</v>
      </c>
      <c r="Z73" t="s">
        <v>1167</v>
      </c>
      <c r="AA73" t="s">
        <v>1289</v>
      </c>
    </row>
    <row r="74" spans="1:27" x14ac:dyDescent="0.3">
      <c r="A74" t="s">
        <v>1372</v>
      </c>
      <c r="B74" t="s">
        <v>1393</v>
      </c>
      <c r="C74" t="s">
        <v>974</v>
      </c>
      <c r="D74" t="s">
        <v>1373</v>
      </c>
      <c r="E74" t="s">
        <v>553</v>
      </c>
      <c r="F74">
        <v>46142</v>
      </c>
      <c r="G74" t="s">
        <v>496</v>
      </c>
      <c r="H74" t="s">
        <v>1159</v>
      </c>
      <c r="I74">
        <v>15922001</v>
      </c>
      <c r="J74" t="s">
        <v>1394</v>
      </c>
      <c r="L74">
        <v>-4924</v>
      </c>
      <c r="M74">
        <v>0</v>
      </c>
      <c r="N74">
        <v>0</v>
      </c>
      <c r="O74">
        <v>-4924</v>
      </c>
      <c r="P74" t="s">
        <v>1395</v>
      </c>
      <c r="Q74" t="s">
        <v>997</v>
      </c>
      <c r="R74" t="s">
        <v>1162</v>
      </c>
      <c r="S74" t="s">
        <v>957</v>
      </c>
      <c r="T74" t="s">
        <v>998</v>
      </c>
      <c r="U74" t="s">
        <v>1288</v>
      </c>
      <c r="V74" t="s">
        <v>1396</v>
      </c>
      <c r="W74">
        <v>1</v>
      </c>
      <c r="X74">
        <v>-4924</v>
      </c>
      <c r="Y74" t="s">
        <v>1166</v>
      </c>
      <c r="Z74" t="s">
        <v>1167</v>
      </c>
      <c r="AA74" t="s">
        <v>1397</v>
      </c>
    </row>
    <row r="75" spans="1:27" x14ac:dyDescent="0.3">
      <c r="A75" t="s">
        <v>1372</v>
      </c>
      <c r="B75" t="s">
        <v>1398</v>
      </c>
      <c r="C75" t="s">
        <v>974</v>
      </c>
      <c r="D75" t="s">
        <v>1373</v>
      </c>
      <c r="E75" t="s">
        <v>553</v>
      </c>
      <c r="F75">
        <v>46142</v>
      </c>
      <c r="G75" t="s">
        <v>496</v>
      </c>
      <c r="H75" t="s">
        <v>1159</v>
      </c>
      <c r="I75">
        <v>21051001</v>
      </c>
      <c r="J75" t="s">
        <v>1399</v>
      </c>
      <c r="K75" t="s">
        <v>1400</v>
      </c>
      <c r="L75">
        <v>0</v>
      </c>
      <c r="M75">
        <v>22.14</v>
      </c>
      <c r="N75">
        <v>22.14</v>
      </c>
      <c r="O75">
        <v>0</v>
      </c>
      <c r="P75" t="s">
        <v>1401</v>
      </c>
      <c r="Q75" t="s">
        <v>1006</v>
      </c>
      <c r="R75" t="s">
        <v>1162</v>
      </c>
      <c r="S75" t="s">
        <v>1402</v>
      </c>
      <c r="T75" t="s">
        <v>1007</v>
      </c>
      <c r="U75" t="s">
        <v>1403</v>
      </c>
      <c r="V75" t="s">
        <v>1175</v>
      </c>
      <c r="W75">
        <v>-1</v>
      </c>
      <c r="Y75" t="s">
        <v>1192</v>
      </c>
      <c r="Z75" t="s">
        <v>1193</v>
      </c>
      <c r="AA75" t="s">
        <v>1404</v>
      </c>
    </row>
    <row r="76" spans="1:27" x14ac:dyDescent="0.3">
      <c r="A76" t="s">
        <v>1372</v>
      </c>
      <c r="B76" t="s">
        <v>1309</v>
      </c>
      <c r="C76" t="s">
        <v>974</v>
      </c>
      <c r="D76" t="s">
        <v>1373</v>
      </c>
      <c r="E76" t="s">
        <v>553</v>
      </c>
      <c r="F76">
        <v>46142</v>
      </c>
      <c r="G76" t="s">
        <v>496</v>
      </c>
      <c r="H76" t="s">
        <v>1159</v>
      </c>
      <c r="I76">
        <v>21051001</v>
      </c>
      <c r="J76" t="s">
        <v>1399</v>
      </c>
      <c r="K76" t="s">
        <v>1405</v>
      </c>
      <c r="L76">
        <v>0</v>
      </c>
      <c r="M76">
        <v>13.9</v>
      </c>
      <c r="N76">
        <v>13.9</v>
      </c>
      <c r="O76">
        <v>0</v>
      </c>
      <c r="P76" t="s">
        <v>1401</v>
      </c>
      <c r="Q76" t="s">
        <v>1006</v>
      </c>
      <c r="R76" t="s">
        <v>1162</v>
      </c>
      <c r="S76" t="s">
        <v>1402</v>
      </c>
      <c r="T76" t="s">
        <v>1007</v>
      </c>
      <c r="U76" t="s">
        <v>1403</v>
      </c>
      <c r="V76" t="s">
        <v>1175</v>
      </c>
      <c r="W76">
        <v>-1</v>
      </c>
      <c r="Y76" t="s">
        <v>1192</v>
      </c>
      <c r="Z76" t="s">
        <v>1193</v>
      </c>
      <c r="AA76" t="s">
        <v>1404</v>
      </c>
    </row>
    <row r="77" spans="1:27" x14ac:dyDescent="0.3">
      <c r="A77" t="s">
        <v>1372</v>
      </c>
      <c r="B77" t="s">
        <v>1218</v>
      </c>
      <c r="C77" t="s">
        <v>974</v>
      </c>
      <c r="D77" t="s">
        <v>1373</v>
      </c>
      <c r="E77" t="s">
        <v>553</v>
      </c>
      <c r="F77">
        <v>46142</v>
      </c>
      <c r="G77" t="s">
        <v>496</v>
      </c>
      <c r="H77" t="s">
        <v>1159</v>
      </c>
      <c r="I77">
        <v>21051001</v>
      </c>
      <c r="J77" t="s">
        <v>1399</v>
      </c>
      <c r="K77" t="s">
        <v>1406</v>
      </c>
      <c r="L77">
        <v>-63.15</v>
      </c>
      <c r="M77">
        <v>3374.15</v>
      </c>
      <c r="N77">
        <v>3851.92</v>
      </c>
      <c r="O77">
        <v>-540.91999999999996</v>
      </c>
      <c r="P77" t="s">
        <v>1401</v>
      </c>
      <c r="Q77" t="s">
        <v>1006</v>
      </c>
      <c r="R77" t="s">
        <v>1162</v>
      </c>
      <c r="S77" t="s">
        <v>1402</v>
      </c>
      <c r="T77" t="s">
        <v>1007</v>
      </c>
      <c r="U77" t="s">
        <v>1403</v>
      </c>
      <c r="V77" t="s">
        <v>1175</v>
      </c>
      <c r="W77">
        <v>-1</v>
      </c>
      <c r="X77">
        <v>540.91999999999996</v>
      </c>
      <c r="Y77" t="s">
        <v>1192</v>
      </c>
      <c r="Z77" t="s">
        <v>1193</v>
      </c>
      <c r="AA77" t="s">
        <v>1404</v>
      </c>
    </row>
    <row r="78" spans="1:27" x14ac:dyDescent="0.3">
      <c r="A78" t="s">
        <v>1372</v>
      </c>
      <c r="B78" t="s">
        <v>1225</v>
      </c>
      <c r="C78" t="s">
        <v>974</v>
      </c>
      <c r="D78" t="s">
        <v>1373</v>
      </c>
      <c r="E78" t="s">
        <v>553</v>
      </c>
      <c r="F78">
        <v>46142</v>
      </c>
      <c r="G78" t="s">
        <v>496</v>
      </c>
      <c r="H78" t="s">
        <v>1159</v>
      </c>
      <c r="I78">
        <v>28050501</v>
      </c>
      <c r="J78" t="s">
        <v>1407</v>
      </c>
      <c r="K78" t="s">
        <v>1408</v>
      </c>
      <c r="L78">
        <v>-580342.75</v>
      </c>
      <c r="M78">
        <v>0</v>
      </c>
      <c r="N78">
        <v>0</v>
      </c>
      <c r="O78">
        <v>-580342.75</v>
      </c>
      <c r="P78" t="s">
        <v>1409</v>
      </c>
      <c r="Q78" t="s">
        <v>1016</v>
      </c>
      <c r="R78" t="s">
        <v>1162</v>
      </c>
      <c r="S78" t="s">
        <v>1173</v>
      </c>
      <c r="T78" t="s">
        <v>1017</v>
      </c>
      <c r="U78" t="s">
        <v>1410</v>
      </c>
      <c r="V78" t="s">
        <v>1175</v>
      </c>
      <c r="W78">
        <v>-1</v>
      </c>
      <c r="X78">
        <v>580342.75</v>
      </c>
      <c r="Y78" t="s">
        <v>1166</v>
      </c>
      <c r="Z78" t="s">
        <v>1167</v>
      </c>
      <c r="AA78" t="s">
        <v>1411</v>
      </c>
    </row>
    <row r="79" spans="1:27" x14ac:dyDescent="0.3">
      <c r="A79" t="s">
        <v>1372</v>
      </c>
      <c r="B79" t="s">
        <v>1412</v>
      </c>
      <c r="C79" t="s">
        <v>974</v>
      </c>
      <c r="D79" t="s">
        <v>1373</v>
      </c>
      <c r="E79" t="s">
        <v>553</v>
      </c>
      <c r="F79">
        <v>46142</v>
      </c>
      <c r="G79" t="s">
        <v>496</v>
      </c>
      <c r="H79" t="s">
        <v>1159</v>
      </c>
      <c r="I79">
        <v>31050501</v>
      </c>
      <c r="J79" t="s">
        <v>1178</v>
      </c>
      <c r="L79">
        <v>-383868</v>
      </c>
      <c r="M79">
        <v>0</v>
      </c>
      <c r="N79">
        <v>0</v>
      </c>
      <c r="O79">
        <v>-383868</v>
      </c>
      <c r="P79" t="s">
        <v>1180</v>
      </c>
      <c r="Q79" t="s">
        <v>1028</v>
      </c>
      <c r="R79" t="s">
        <v>1162</v>
      </c>
      <c r="S79" t="s">
        <v>1181</v>
      </c>
      <c r="T79" t="s">
        <v>1029</v>
      </c>
      <c r="U79" t="s">
        <v>1182</v>
      </c>
      <c r="V79" t="s">
        <v>1175</v>
      </c>
      <c r="W79">
        <v>-1</v>
      </c>
      <c r="X79">
        <v>383868</v>
      </c>
      <c r="Y79" t="s">
        <v>1166</v>
      </c>
      <c r="Z79" t="s">
        <v>1167</v>
      </c>
      <c r="AA79" t="s">
        <v>1029</v>
      </c>
    </row>
    <row r="80" spans="1:27" x14ac:dyDescent="0.3">
      <c r="A80" t="s">
        <v>1372</v>
      </c>
      <c r="B80" t="s">
        <v>1327</v>
      </c>
      <c r="C80" t="s">
        <v>974</v>
      </c>
      <c r="D80" t="s">
        <v>1373</v>
      </c>
      <c r="E80" t="s">
        <v>553</v>
      </c>
      <c r="F80">
        <v>46142</v>
      </c>
      <c r="G80" t="s">
        <v>496</v>
      </c>
      <c r="H80" t="s">
        <v>1159</v>
      </c>
      <c r="I80">
        <v>36050501</v>
      </c>
      <c r="J80" t="s">
        <v>876</v>
      </c>
      <c r="L80">
        <v>1033.5</v>
      </c>
      <c r="M80">
        <v>0</v>
      </c>
      <c r="N80">
        <v>0</v>
      </c>
      <c r="O80">
        <v>1033.5</v>
      </c>
      <c r="P80" t="s">
        <v>1413</v>
      </c>
      <c r="Q80" t="s">
        <v>1033</v>
      </c>
      <c r="R80" t="s">
        <v>1162</v>
      </c>
      <c r="S80" t="s">
        <v>1181</v>
      </c>
      <c r="T80" t="s">
        <v>1034</v>
      </c>
      <c r="U80" t="s">
        <v>1414</v>
      </c>
      <c r="V80" t="s">
        <v>1175</v>
      </c>
      <c r="W80">
        <v>-1</v>
      </c>
      <c r="X80">
        <v>-1033.5</v>
      </c>
      <c r="Y80" t="s">
        <v>1192</v>
      </c>
      <c r="Z80" t="s">
        <v>1193</v>
      </c>
      <c r="AA80" t="s">
        <v>1415</v>
      </c>
    </row>
    <row r="81" spans="1:27" x14ac:dyDescent="0.3">
      <c r="A81" t="s">
        <v>1372</v>
      </c>
      <c r="B81" t="s">
        <v>1253</v>
      </c>
      <c r="C81" t="s">
        <v>974</v>
      </c>
      <c r="D81" t="s">
        <v>1373</v>
      </c>
      <c r="E81" t="s">
        <v>553</v>
      </c>
      <c r="F81">
        <v>46142</v>
      </c>
      <c r="G81" t="s">
        <v>496</v>
      </c>
      <c r="H81" t="s">
        <v>1159</v>
      </c>
      <c r="I81">
        <v>36100101</v>
      </c>
      <c r="J81" t="s">
        <v>1189</v>
      </c>
      <c r="L81">
        <v>-14076</v>
      </c>
      <c r="M81">
        <v>0</v>
      </c>
      <c r="N81">
        <v>0</v>
      </c>
      <c r="O81">
        <v>-14076</v>
      </c>
      <c r="P81" t="s">
        <v>1190</v>
      </c>
      <c r="Q81" t="s">
        <v>1033</v>
      </c>
      <c r="R81" t="s">
        <v>1162</v>
      </c>
      <c r="S81" t="s">
        <v>1181</v>
      </c>
      <c r="T81" t="s">
        <v>1034</v>
      </c>
      <c r="U81" t="s">
        <v>1191</v>
      </c>
      <c r="V81" t="s">
        <v>1175</v>
      </c>
      <c r="W81">
        <v>-1</v>
      </c>
      <c r="X81">
        <v>14076</v>
      </c>
      <c r="Y81" t="s">
        <v>1192</v>
      </c>
      <c r="Z81" t="s">
        <v>1193</v>
      </c>
      <c r="AA81" t="s">
        <v>1194</v>
      </c>
    </row>
    <row r="82" spans="1:27" x14ac:dyDescent="0.3">
      <c r="A82" t="s">
        <v>1372</v>
      </c>
      <c r="B82" t="s">
        <v>1257</v>
      </c>
      <c r="C82" t="s">
        <v>974</v>
      </c>
      <c r="D82" t="s">
        <v>1373</v>
      </c>
      <c r="E82" t="s">
        <v>553</v>
      </c>
      <c r="F82">
        <v>46142</v>
      </c>
      <c r="G82" t="s">
        <v>496</v>
      </c>
      <c r="H82" t="s">
        <v>1159</v>
      </c>
      <c r="I82">
        <v>41700101</v>
      </c>
      <c r="J82" t="s">
        <v>1315</v>
      </c>
      <c r="K82" t="s">
        <v>1376</v>
      </c>
      <c r="L82">
        <v>-10352.35</v>
      </c>
      <c r="M82">
        <v>0</v>
      </c>
      <c r="N82">
        <v>5541</v>
      </c>
      <c r="O82">
        <v>-15893.35</v>
      </c>
      <c r="P82" t="s">
        <v>1317</v>
      </c>
      <c r="Q82" t="s">
        <v>1048</v>
      </c>
      <c r="R82" t="s">
        <v>1199</v>
      </c>
      <c r="S82" t="s">
        <v>1318</v>
      </c>
      <c r="T82" t="s">
        <v>1049</v>
      </c>
      <c r="U82" t="s">
        <v>1319</v>
      </c>
      <c r="V82" t="s">
        <v>1175</v>
      </c>
      <c r="W82">
        <v>-1</v>
      </c>
      <c r="X82">
        <v>15893.35</v>
      </c>
      <c r="Y82" t="s">
        <v>1166</v>
      </c>
      <c r="Z82" t="s">
        <v>1167</v>
      </c>
      <c r="AA82" t="s">
        <v>1320</v>
      </c>
    </row>
    <row r="83" spans="1:27" x14ac:dyDescent="0.3">
      <c r="A83" t="s">
        <v>1372</v>
      </c>
      <c r="B83" t="s">
        <v>1342</v>
      </c>
      <c r="C83" t="s">
        <v>974</v>
      </c>
      <c r="D83" t="s">
        <v>1373</v>
      </c>
      <c r="E83" t="s">
        <v>553</v>
      </c>
      <c r="F83">
        <v>46142</v>
      </c>
      <c r="G83" t="s">
        <v>496</v>
      </c>
      <c r="H83" t="s">
        <v>1159</v>
      </c>
      <c r="I83">
        <v>41700101</v>
      </c>
      <c r="J83" t="s">
        <v>1315</v>
      </c>
      <c r="K83" t="s">
        <v>1378</v>
      </c>
      <c r="L83">
        <v>-600</v>
      </c>
      <c r="M83">
        <v>0</v>
      </c>
      <c r="N83">
        <v>300</v>
      </c>
      <c r="O83">
        <v>-900</v>
      </c>
      <c r="P83" t="s">
        <v>1317</v>
      </c>
      <c r="Q83" t="s">
        <v>1048</v>
      </c>
      <c r="R83" t="s">
        <v>1199</v>
      </c>
      <c r="S83" t="s">
        <v>1318</v>
      </c>
      <c r="T83" t="s">
        <v>1049</v>
      </c>
      <c r="U83" t="s">
        <v>1319</v>
      </c>
      <c r="V83" t="s">
        <v>1175</v>
      </c>
      <c r="W83">
        <v>-1</v>
      </c>
      <c r="X83">
        <v>900</v>
      </c>
      <c r="Y83" t="s">
        <v>1166</v>
      </c>
      <c r="Z83" t="s">
        <v>1167</v>
      </c>
      <c r="AA83" t="s">
        <v>1320</v>
      </c>
    </row>
    <row r="84" spans="1:27" x14ac:dyDescent="0.3">
      <c r="A84" t="s">
        <v>1372</v>
      </c>
      <c r="B84" t="s">
        <v>1348</v>
      </c>
      <c r="C84" t="s">
        <v>974</v>
      </c>
      <c r="D84" t="s">
        <v>1373</v>
      </c>
      <c r="E84" t="s">
        <v>553</v>
      </c>
      <c r="F84">
        <v>46142</v>
      </c>
      <c r="G84" t="s">
        <v>496</v>
      </c>
      <c r="H84" t="s">
        <v>1159</v>
      </c>
      <c r="I84">
        <v>41700101</v>
      </c>
      <c r="J84" t="s">
        <v>1315</v>
      </c>
      <c r="K84" t="s">
        <v>1379</v>
      </c>
      <c r="L84">
        <v>-217</v>
      </c>
      <c r="M84">
        <v>0</v>
      </c>
      <c r="N84">
        <v>0</v>
      </c>
      <c r="O84">
        <v>-217</v>
      </c>
      <c r="P84" t="s">
        <v>1317</v>
      </c>
      <c r="Q84" t="s">
        <v>1048</v>
      </c>
      <c r="R84" t="s">
        <v>1199</v>
      </c>
      <c r="S84" t="s">
        <v>1318</v>
      </c>
      <c r="T84" t="s">
        <v>1049</v>
      </c>
      <c r="U84" t="s">
        <v>1319</v>
      </c>
      <c r="V84" t="s">
        <v>1175</v>
      </c>
      <c r="W84">
        <v>-1</v>
      </c>
      <c r="X84">
        <v>217</v>
      </c>
      <c r="Y84" t="s">
        <v>1166</v>
      </c>
      <c r="Z84" t="s">
        <v>1167</v>
      </c>
      <c r="AA84" t="s">
        <v>1320</v>
      </c>
    </row>
    <row r="85" spans="1:27" x14ac:dyDescent="0.3">
      <c r="A85" t="s">
        <v>1372</v>
      </c>
      <c r="B85" t="s">
        <v>1350</v>
      </c>
      <c r="C85" t="s">
        <v>974</v>
      </c>
      <c r="D85" t="s">
        <v>1373</v>
      </c>
      <c r="E85" t="s">
        <v>553</v>
      </c>
      <c r="F85">
        <v>46142</v>
      </c>
      <c r="G85" t="s">
        <v>496</v>
      </c>
      <c r="H85" t="s">
        <v>1159</v>
      </c>
      <c r="I85">
        <v>41700101</v>
      </c>
      <c r="J85" t="s">
        <v>1315</v>
      </c>
      <c r="K85" t="s">
        <v>1381</v>
      </c>
      <c r="L85">
        <v>-289.35000000000002</v>
      </c>
      <c r="M85">
        <v>0</v>
      </c>
      <c r="N85">
        <v>96.45</v>
      </c>
      <c r="O85">
        <v>-385.8</v>
      </c>
      <c r="P85" t="s">
        <v>1317</v>
      </c>
      <c r="Q85" t="s">
        <v>1048</v>
      </c>
      <c r="R85" t="s">
        <v>1199</v>
      </c>
      <c r="S85" t="s">
        <v>1318</v>
      </c>
      <c r="T85" t="s">
        <v>1049</v>
      </c>
      <c r="U85" t="s">
        <v>1319</v>
      </c>
      <c r="V85" t="s">
        <v>1175</v>
      </c>
      <c r="W85">
        <v>-1</v>
      </c>
      <c r="X85">
        <v>385.8</v>
      </c>
      <c r="Y85" t="s">
        <v>1166</v>
      </c>
      <c r="Z85" t="s">
        <v>1167</v>
      </c>
      <c r="AA85" t="s">
        <v>1320</v>
      </c>
    </row>
    <row r="86" spans="1:27" x14ac:dyDescent="0.3">
      <c r="A86" t="s">
        <v>1372</v>
      </c>
      <c r="B86" t="s">
        <v>1351</v>
      </c>
      <c r="C86" t="s">
        <v>974</v>
      </c>
      <c r="D86" t="s">
        <v>1373</v>
      </c>
      <c r="E86" t="s">
        <v>553</v>
      </c>
      <c r="F86">
        <v>46142</v>
      </c>
      <c r="G86" t="s">
        <v>496</v>
      </c>
      <c r="H86" t="s">
        <v>1159</v>
      </c>
      <c r="I86">
        <v>41700101</v>
      </c>
      <c r="J86" t="s">
        <v>1315</v>
      </c>
      <c r="K86" t="s">
        <v>1382</v>
      </c>
      <c r="L86">
        <v>-165</v>
      </c>
      <c r="M86">
        <v>0</v>
      </c>
      <c r="N86">
        <v>55</v>
      </c>
      <c r="O86">
        <v>-220</v>
      </c>
      <c r="P86" t="s">
        <v>1317</v>
      </c>
      <c r="Q86" t="s">
        <v>1048</v>
      </c>
      <c r="R86" t="s">
        <v>1199</v>
      </c>
      <c r="S86" t="s">
        <v>1318</v>
      </c>
      <c r="T86" t="s">
        <v>1049</v>
      </c>
      <c r="U86" t="s">
        <v>1319</v>
      </c>
      <c r="V86" t="s">
        <v>1175</v>
      </c>
      <c r="W86">
        <v>-1</v>
      </c>
      <c r="X86">
        <v>220</v>
      </c>
      <c r="Y86" t="s">
        <v>1166</v>
      </c>
      <c r="Z86" t="s">
        <v>1167</v>
      </c>
      <c r="AA86" t="s">
        <v>1320</v>
      </c>
    </row>
    <row r="87" spans="1:27" x14ac:dyDescent="0.3">
      <c r="A87" t="s">
        <v>1372</v>
      </c>
      <c r="B87" t="s">
        <v>1355</v>
      </c>
      <c r="C87" t="s">
        <v>974</v>
      </c>
      <c r="D87" t="s">
        <v>1373</v>
      </c>
      <c r="E87" t="s">
        <v>553</v>
      </c>
      <c r="F87">
        <v>46142</v>
      </c>
      <c r="G87" t="s">
        <v>496</v>
      </c>
      <c r="H87" t="s">
        <v>1159</v>
      </c>
      <c r="I87">
        <v>42100502</v>
      </c>
      <c r="J87" t="s">
        <v>1416</v>
      </c>
      <c r="K87" t="s">
        <v>1376</v>
      </c>
      <c r="L87">
        <v>-0.35</v>
      </c>
      <c r="M87">
        <v>0</v>
      </c>
      <c r="N87">
        <v>0</v>
      </c>
      <c r="O87">
        <v>-0.35</v>
      </c>
      <c r="P87" t="s">
        <v>1417</v>
      </c>
      <c r="Q87" t="s">
        <v>1118</v>
      </c>
      <c r="R87" t="s">
        <v>1199</v>
      </c>
      <c r="S87" t="s">
        <v>1324</v>
      </c>
      <c r="T87" t="s">
        <v>1119</v>
      </c>
      <c r="U87" t="s">
        <v>1418</v>
      </c>
      <c r="V87" t="s">
        <v>1175</v>
      </c>
      <c r="W87">
        <v>-1</v>
      </c>
      <c r="X87">
        <v>0.35</v>
      </c>
      <c r="Y87" t="s">
        <v>1166</v>
      </c>
      <c r="Z87" t="s">
        <v>1167</v>
      </c>
      <c r="AA87" t="s">
        <v>1419</v>
      </c>
    </row>
    <row r="88" spans="1:27" x14ac:dyDescent="0.3">
      <c r="A88" t="s">
        <v>1372</v>
      </c>
      <c r="B88" t="s">
        <v>1356</v>
      </c>
      <c r="C88" t="s">
        <v>974</v>
      </c>
      <c r="D88" t="s">
        <v>1373</v>
      </c>
      <c r="E88" t="s">
        <v>553</v>
      </c>
      <c r="F88">
        <v>46142</v>
      </c>
      <c r="G88" t="s">
        <v>496</v>
      </c>
      <c r="H88" t="s">
        <v>1159</v>
      </c>
      <c r="I88">
        <v>42100502</v>
      </c>
      <c r="J88" t="s">
        <v>1416</v>
      </c>
      <c r="K88" t="s">
        <v>1378</v>
      </c>
      <c r="L88">
        <v>-83</v>
      </c>
      <c r="M88">
        <v>0</v>
      </c>
      <c r="N88">
        <v>0</v>
      </c>
      <c r="O88">
        <v>-83</v>
      </c>
      <c r="P88" t="s">
        <v>1417</v>
      </c>
      <c r="Q88" t="s">
        <v>1118</v>
      </c>
      <c r="R88" t="s">
        <v>1199</v>
      </c>
      <c r="S88" t="s">
        <v>1324</v>
      </c>
      <c r="T88" t="s">
        <v>1119</v>
      </c>
      <c r="U88" t="s">
        <v>1418</v>
      </c>
      <c r="V88" t="s">
        <v>1175</v>
      </c>
      <c r="W88">
        <v>-1</v>
      </c>
      <c r="X88">
        <v>83</v>
      </c>
      <c r="Y88" t="s">
        <v>1166</v>
      </c>
      <c r="Z88" t="s">
        <v>1167</v>
      </c>
      <c r="AA88" t="s">
        <v>1419</v>
      </c>
    </row>
    <row r="89" spans="1:27" x14ac:dyDescent="0.3">
      <c r="A89" t="s">
        <v>1372</v>
      </c>
      <c r="B89" t="s">
        <v>1357</v>
      </c>
      <c r="C89" t="s">
        <v>974</v>
      </c>
      <c r="D89" t="s">
        <v>1373</v>
      </c>
      <c r="E89" t="s">
        <v>553</v>
      </c>
      <c r="F89">
        <v>46142</v>
      </c>
      <c r="G89" t="s">
        <v>496</v>
      </c>
      <c r="H89" t="s">
        <v>1159</v>
      </c>
      <c r="I89">
        <v>42100502</v>
      </c>
      <c r="J89" t="s">
        <v>1416</v>
      </c>
      <c r="K89" t="s">
        <v>1406</v>
      </c>
      <c r="L89">
        <v>-77.59</v>
      </c>
      <c r="M89">
        <v>0</v>
      </c>
      <c r="N89">
        <v>51.18</v>
      </c>
      <c r="O89">
        <v>-128.77000000000001</v>
      </c>
      <c r="P89" t="s">
        <v>1417</v>
      </c>
      <c r="Q89" t="s">
        <v>1118</v>
      </c>
      <c r="R89" t="s">
        <v>1199</v>
      </c>
      <c r="S89" t="s">
        <v>1324</v>
      </c>
      <c r="T89" t="s">
        <v>1119</v>
      </c>
      <c r="U89" t="s">
        <v>1418</v>
      </c>
      <c r="V89" t="s">
        <v>1175</v>
      </c>
      <c r="W89">
        <v>-1</v>
      </c>
      <c r="X89">
        <v>128.77000000000001</v>
      </c>
      <c r="Y89" t="s">
        <v>1166</v>
      </c>
      <c r="Z89" t="s">
        <v>1167</v>
      </c>
      <c r="AA89" t="s">
        <v>1419</v>
      </c>
    </row>
    <row r="90" spans="1:27" x14ac:dyDescent="0.3">
      <c r="A90" t="s">
        <v>1372</v>
      </c>
      <c r="B90" t="s">
        <v>1420</v>
      </c>
      <c r="C90" t="s">
        <v>974</v>
      </c>
      <c r="D90" t="s">
        <v>1373</v>
      </c>
      <c r="E90" t="s">
        <v>553</v>
      </c>
      <c r="F90">
        <v>46142</v>
      </c>
      <c r="G90" t="s">
        <v>496</v>
      </c>
      <c r="H90" t="s">
        <v>1159</v>
      </c>
      <c r="I90">
        <v>51050601</v>
      </c>
      <c r="J90" t="s">
        <v>1196</v>
      </c>
      <c r="K90" t="s">
        <v>1421</v>
      </c>
      <c r="L90">
        <v>7776.51</v>
      </c>
      <c r="M90">
        <v>2592.17</v>
      </c>
      <c r="N90">
        <v>0</v>
      </c>
      <c r="O90">
        <v>10368.68</v>
      </c>
      <c r="P90" t="s">
        <v>1198</v>
      </c>
      <c r="Q90" t="s">
        <v>1060</v>
      </c>
      <c r="R90" t="s">
        <v>1199</v>
      </c>
      <c r="S90" t="s">
        <v>947</v>
      </c>
      <c r="T90" t="s">
        <v>1061</v>
      </c>
      <c r="U90" t="s">
        <v>1200</v>
      </c>
      <c r="V90" t="s">
        <v>1165</v>
      </c>
      <c r="W90">
        <v>1</v>
      </c>
      <c r="X90">
        <v>10368.68</v>
      </c>
      <c r="Y90" t="s">
        <v>1166</v>
      </c>
      <c r="Z90" t="s">
        <v>1167</v>
      </c>
      <c r="AA90" t="s">
        <v>1201</v>
      </c>
    </row>
    <row r="91" spans="1:27" x14ac:dyDescent="0.3">
      <c r="A91" t="s">
        <v>1372</v>
      </c>
      <c r="B91" t="s">
        <v>1422</v>
      </c>
      <c r="C91" t="s">
        <v>974</v>
      </c>
      <c r="D91" t="s">
        <v>1373</v>
      </c>
      <c r="E91" t="s">
        <v>553</v>
      </c>
      <c r="F91">
        <v>46142</v>
      </c>
      <c r="G91" t="s">
        <v>496</v>
      </c>
      <c r="H91" t="s">
        <v>1159</v>
      </c>
      <c r="I91">
        <v>51052105</v>
      </c>
      <c r="J91" t="s">
        <v>1203</v>
      </c>
      <c r="K91" t="s">
        <v>1423</v>
      </c>
      <c r="L91">
        <v>26.81</v>
      </c>
      <c r="M91">
        <v>37.979999999999997</v>
      </c>
      <c r="N91">
        <v>0</v>
      </c>
      <c r="O91">
        <v>64.790000000000006</v>
      </c>
      <c r="P91" t="s">
        <v>1204</v>
      </c>
      <c r="Q91" t="s">
        <v>1075</v>
      </c>
      <c r="R91" t="s">
        <v>1199</v>
      </c>
      <c r="S91" t="s">
        <v>947</v>
      </c>
      <c r="T91" t="s">
        <v>1076</v>
      </c>
      <c r="U91" t="s">
        <v>1205</v>
      </c>
      <c r="V91" t="s">
        <v>1165</v>
      </c>
      <c r="W91">
        <v>1</v>
      </c>
      <c r="X91">
        <v>64.790000000000006</v>
      </c>
      <c r="Y91" t="s">
        <v>1166</v>
      </c>
      <c r="Z91" t="s">
        <v>1167</v>
      </c>
      <c r="AA91" t="s">
        <v>1206</v>
      </c>
    </row>
    <row r="92" spans="1:27" x14ac:dyDescent="0.3">
      <c r="A92" t="s">
        <v>1372</v>
      </c>
      <c r="B92" t="s">
        <v>1424</v>
      </c>
      <c r="C92" t="s">
        <v>974</v>
      </c>
      <c r="D92" t="s">
        <v>1373</v>
      </c>
      <c r="E92" t="s">
        <v>553</v>
      </c>
      <c r="F92">
        <v>46142</v>
      </c>
      <c r="G92" t="s">
        <v>496</v>
      </c>
      <c r="H92" t="s">
        <v>1159</v>
      </c>
      <c r="I92">
        <v>51052105</v>
      </c>
      <c r="J92" t="s">
        <v>1203</v>
      </c>
      <c r="K92" t="s">
        <v>1425</v>
      </c>
      <c r="L92">
        <v>35.04</v>
      </c>
      <c r="M92">
        <v>0</v>
      </c>
      <c r="N92">
        <v>0</v>
      </c>
      <c r="O92">
        <v>35.04</v>
      </c>
      <c r="P92" t="s">
        <v>1204</v>
      </c>
      <c r="Q92" t="s">
        <v>1075</v>
      </c>
      <c r="R92" t="s">
        <v>1199</v>
      </c>
      <c r="S92" t="s">
        <v>947</v>
      </c>
      <c r="T92" t="s">
        <v>1076</v>
      </c>
      <c r="U92" t="s">
        <v>1205</v>
      </c>
      <c r="V92" t="s">
        <v>1165</v>
      </c>
      <c r="W92">
        <v>1</v>
      </c>
      <c r="X92">
        <v>35.04</v>
      </c>
      <c r="Y92" t="s">
        <v>1166</v>
      </c>
      <c r="Z92" t="s">
        <v>1167</v>
      </c>
      <c r="AA92" t="s">
        <v>1206</v>
      </c>
    </row>
    <row r="93" spans="1:27" x14ac:dyDescent="0.3">
      <c r="A93" t="s">
        <v>1372</v>
      </c>
      <c r="B93" t="s">
        <v>1368</v>
      </c>
      <c r="C93" t="s">
        <v>974</v>
      </c>
      <c r="D93" t="s">
        <v>1373</v>
      </c>
      <c r="E93" t="s">
        <v>553</v>
      </c>
      <c r="F93">
        <v>46142</v>
      </c>
      <c r="G93" t="s">
        <v>496</v>
      </c>
      <c r="H93" t="s">
        <v>1159</v>
      </c>
      <c r="I93">
        <v>51052105</v>
      </c>
      <c r="J93" t="s">
        <v>1203</v>
      </c>
      <c r="K93" t="s">
        <v>1400</v>
      </c>
      <c r="L93">
        <v>0</v>
      </c>
      <c r="M93">
        <v>22.14</v>
      </c>
      <c r="N93">
        <v>0</v>
      </c>
      <c r="O93">
        <v>22.14</v>
      </c>
      <c r="P93" t="s">
        <v>1204</v>
      </c>
      <c r="Q93" t="s">
        <v>1075</v>
      </c>
      <c r="R93" t="s">
        <v>1199</v>
      </c>
      <c r="S93" t="s">
        <v>947</v>
      </c>
      <c r="T93" t="s">
        <v>1076</v>
      </c>
      <c r="U93" t="s">
        <v>1205</v>
      </c>
      <c r="V93" t="s">
        <v>1165</v>
      </c>
      <c r="W93">
        <v>1</v>
      </c>
      <c r="X93">
        <v>22.14</v>
      </c>
      <c r="Y93" t="s">
        <v>1166</v>
      </c>
      <c r="Z93" t="s">
        <v>1167</v>
      </c>
      <c r="AA93" t="s">
        <v>1206</v>
      </c>
    </row>
    <row r="94" spans="1:27" x14ac:dyDescent="0.3">
      <c r="A94" t="s">
        <v>1372</v>
      </c>
      <c r="B94" t="s">
        <v>1369</v>
      </c>
      <c r="C94" t="s">
        <v>974</v>
      </c>
      <c r="D94" t="s">
        <v>1373</v>
      </c>
      <c r="E94" t="s">
        <v>553</v>
      </c>
      <c r="F94">
        <v>46142</v>
      </c>
      <c r="G94" t="s">
        <v>496</v>
      </c>
      <c r="H94" t="s">
        <v>1159</v>
      </c>
      <c r="I94">
        <v>51052105</v>
      </c>
      <c r="J94" t="s">
        <v>1203</v>
      </c>
      <c r="K94" t="s">
        <v>1425</v>
      </c>
      <c r="L94">
        <v>0</v>
      </c>
      <c r="M94">
        <v>13.54</v>
      </c>
      <c r="N94">
        <v>0</v>
      </c>
      <c r="O94">
        <v>13.54</v>
      </c>
      <c r="P94" t="s">
        <v>1204</v>
      </c>
      <c r="Q94" t="s">
        <v>1075</v>
      </c>
      <c r="R94" t="s">
        <v>1199</v>
      </c>
      <c r="S94" t="s">
        <v>947</v>
      </c>
      <c r="T94" t="s">
        <v>1076</v>
      </c>
      <c r="U94" t="s">
        <v>1205</v>
      </c>
      <c r="V94" t="s">
        <v>1165</v>
      </c>
      <c r="W94">
        <v>1</v>
      </c>
      <c r="X94">
        <v>13.54</v>
      </c>
      <c r="Y94" t="s">
        <v>1166</v>
      </c>
      <c r="Z94" t="s">
        <v>1167</v>
      </c>
      <c r="AA94" t="s">
        <v>1206</v>
      </c>
    </row>
    <row r="95" spans="1:27" x14ac:dyDescent="0.3">
      <c r="A95" t="s">
        <v>1372</v>
      </c>
      <c r="B95" t="s">
        <v>1426</v>
      </c>
      <c r="C95" t="s">
        <v>974</v>
      </c>
      <c r="D95" t="s">
        <v>1373</v>
      </c>
      <c r="E95" t="s">
        <v>553</v>
      </c>
      <c r="F95">
        <v>46142</v>
      </c>
      <c r="G95" t="s">
        <v>496</v>
      </c>
      <c r="H95" t="s">
        <v>1159</v>
      </c>
      <c r="I95">
        <v>51054503</v>
      </c>
      <c r="J95" t="s">
        <v>1427</v>
      </c>
      <c r="K95" t="s">
        <v>1428</v>
      </c>
      <c r="L95">
        <v>7600</v>
      </c>
      <c r="M95">
        <v>0</v>
      </c>
      <c r="N95">
        <v>0</v>
      </c>
      <c r="O95">
        <v>7600</v>
      </c>
      <c r="P95" t="s">
        <v>1429</v>
      </c>
      <c r="Q95" t="s">
        <v>1060</v>
      </c>
      <c r="R95" t="s">
        <v>1199</v>
      </c>
      <c r="S95" t="s">
        <v>947</v>
      </c>
      <c r="T95" t="s">
        <v>1061</v>
      </c>
      <c r="U95" t="s">
        <v>1430</v>
      </c>
      <c r="V95" t="s">
        <v>1165</v>
      </c>
      <c r="W95">
        <v>1</v>
      </c>
      <c r="X95">
        <v>7600</v>
      </c>
      <c r="Y95" t="s">
        <v>1192</v>
      </c>
      <c r="Z95" t="s">
        <v>1193</v>
      </c>
      <c r="AA95" t="s">
        <v>1431</v>
      </c>
    </row>
    <row r="96" spans="1:27" x14ac:dyDescent="0.3">
      <c r="A96" t="s">
        <v>1372</v>
      </c>
      <c r="B96" t="s">
        <v>1432</v>
      </c>
      <c r="C96" t="s">
        <v>974</v>
      </c>
      <c r="D96" t="s">
        <v>1373</v>
      </c>
      <c r="E96" t="s">
        <v>553</v>
      </c>
      <c r="F96">
        <v>46142</v>
      </c>
      <c r="G96" t="s">
        <v>496</v>
      </c>
      <c r="H96" t="s">
        <v>1159</v>
      </c>
      <c r="I96">
        <v>51055101</v>
      </c>
      <c r="J96" t="s">
        <v>1433</v>
      </c>
      <c r="K96" t="s">
        <v>1434</v>
      </c>
      <c r="L96">
        <v>276.06</v>
      </c>
      <c r="M96">
        <v>0</v>
      </c>
      <c r="N96">
        <v>0</v>
      </c>
      <c r="O96">
        <v>276.06</v>
      </c>
      <c r="P96" t="s">
        <v>1435</v>
      </c>
      <c r="Q96" t="s">
        <v>1060</v>
      </c>
      <c r="R96" t="s">
        <v>1199</v>
      </c>
      <c r="S96" t="s">
        <v>947</v>
      </c>
      <c r="T96" t="s">
        <v>1061</v>
      </c>
      <c r="U96" t="s">
        <v>1436</v>
      </c>
      <c r="V96" t="s">
        <v>1165</v>
      </c>
      <c r="W96">
        <v>1</v>
      </c>
      <c r="X96">
        <v>276.06</v>
      </c>
      <c r="Y96" t="s">
        <v>1166</v>
      </c>
      <c r="Z96" t="s">
        <v>1167</v>
      </c>
      <c r="AA96" t="s">
        <v>1437</v>
      </c>
    </row>
    <row r="97" spans="1:27" x14ac:dyDescent="0.3">
      <c r="A97" t="s">
        <v>1372</v>
      </c>
      <c r="B97" t="s">
        <v>1438</v>
      </c>
      <c r="C97" t="s">
        <v>974</v>
      </c>
      <c r="D97" t="s">
        <v>1373</v>
      </c>
      <c r="E97" t="s">
        <v>553</v>
      </c>
      <c r="F97">
        <v>46142</v>
      </c>
      <c r="G97" t="s">
        <v>496</v>
      </c>
      <c r="H97" t="s">
        <v>1159</v>
      </c>
      <c r="I97">
        <v>51055101</v>
      </c>
      <c r="J97" t="s">
        <v>1433</v>
      </c>
      <c r="K97" t="s">
        <v>1405</v>
      </c>
      <c r="L97">
        <v>0</v>
      </c>
      <c r="M97">
        <v>13.9</v>
      </c>
      <c r="N97">
        <v>0</v>
      </c>
      <c r="O97">
        <v>13.9</v>
      </c>
      <c r="P97" t="s">
        <v>1435</v>
      </c>
      <c r="Q97" t="s">
        <v>1060</v>
      </c>
      <c r="R97" t="s">
        <v>1199</v>
      </c>
      <c r="S97" t="s">
        <v>947</v>
      </c>
      <c r="T97" t="s">
        <v>1061</v>
      </c>
      <c r="U97" t="s">
        <v>1436</v>
      </c>
      <c r="V97" t="s">
        <v>1165</v>
      </c>
      <c r="W97">
        <v>1</v>
      </c>
      <c r="X97">
        <v>13.9</v>
      </c>
      <c r="Y97" t="s">
        <v>1166</v>
      </c>
      <c r="Z97" t="s">
        <v>1167</v>
      </c>
      <c r="AA97" t="s">
        <v>1437</v>
      </c>
    </row>
    <row r="98" spans="1:27" x14ac:dyDescent="0.3">
      <c r="A98" t="s">
        <v>1372</v>
      </c>
      <c r="B98" t="s">
        <v>1439</v>
      </c>
      <c r="C98" t="s">
        <v>974</v>
      </c>
      <c r="D98" t="s">
        <v>1373</v>
      </c>
      <c r="E98" t="s">
        <v>553</v>
      </c>
      <c r="F98">
        <v>46142</v>
      </c>
      <c r="G98" t="s">
        <v>496</v>
      </c>
      <c r="H98" t="s">
        <v>1159</v>
      </c>
      <c r="I98">
        <v>51055101</v>
      </c>
      <c r="J98" t="s">
        <v>1433</v>
      </c>
      <c r="K98" t="s">
        <v>1440</v>
      </c>
      <c r="L98">
        <v>0</v>
      </c>
      <c r="M98">
        <v>15.3</v>
      </c>
      <c r="N98">
        <v>0</v>
      </c>
      <c r="O98">
        <v>15.3</v>
      </c>
      <c r="P98" t="s">
        <v>1435</v>
      </c>
      <c r="Q98" t="s">
        <v>1060</v>
      </c>
      <c r="R98" t="s">
        <v>1199</v>
      </c>
      <c r="S98" t="s">
        <v>947</v>
      </c>
      <c r="T98" t="s">
        <v>1061</v>
      </c>
      <c r="U98" t="s">
        <v>1436</v>
      </c>
      <c r="V98" t="s">
        <v>1165</v>
      </c>
      <c r="W98">
        <v>1</v>
      </c>
      <c r="X98">
        <v>15.3</v>
      </c>
      <c r="Y98" t="s">
        <v>1166</v>
      </c>
      <c r="Z98" t="s">
        <v>1167</v>
      </c>
      <c r="AA98" t="s">
        <v>1437</v>
      </c>
    </row>
    <row r="99" spans="1:27" x14ac:dyDescent="0.3">
      <c r="A99" t="s">
        <v>1372</v>
      </c>
      <c r="B99" t="s">
        <v>1441</v>
      </c>
      <c r="C99" t="s">
        <v>974</v>
      </c>
      <c r="D99" t="s">
        <v>1373</v>
      </c>
      <c r="E99" t="s">
        <v>553</v>
      </c>
      <c r="F99">
        <v>46142</v>
      </c>
      <c r="G99" t="s">
        <v>496</v>
      </c>
      <c r="H99" t="s">
        <v>1159</v>
      </c>
      <c r="I99">
        <v>51055101</v>
      </c>
      <c r="J99" t="s">
        <v>1433</v>
      </c>
      <c r="K99" t="s">
        <v>1442</v>
      </c>
      <c r="L99">
        <v>132.38</v>
      </c>
      <c r="M99">
        <v>1374.9</v>
      </c>
      <c r="N99">
        <v>0</v>
      </c>
      <c r="O99">
        <v>1507.28</v>
      </c>
      <c r="P99" t="s">
        <v>1435</v>
      </c>
      <c r="Q99" t="s">
        <v>1060</v>
      </c>
      <c r="R99" t="s">
        <v>1199</v>
      </c>
      <c r="S99" t="s">
        <v>947</v>
      </c>
      <c r="T99" t="s">
        <v>1061</v>
      </c>
      <c r="U99" t="s">
        <v>1436</v>
      </c>
      <c r="V99" t="s">
        <v>1165</v>
      </c>
      <c r="W99">
        <v>1</v>
      </c>
      <c r="X99">
        <v>1507.28</v>
      </c>
      <c r="Y99" t="s">
        <v>1166</v>
      </c>
      <c r="Z99" t="s">
        <v>1167</v>
      </c>
      <c r="AA99" t="s">
        <v>1437</v>
      </c>
    </row>
    <row r="100" spans="1:27" x14ac:dyDescent="0.3">
      <c r="A100" t="s">
        <v>1372</v>
      </c>
      <c r="B100" t="s">
        <v>1443</v>
      </c>
      <c r="C100" t="s">
        <v>974</v>
      </c>
      <c r="D100" t="s">
        <v>1373</v>
      </c>
      <c r="E100" t="s">
        <v>553</v>
      </c>
      <c r="F100">
        <v>46142</v>
      </c>
      <c r="G100" t="s">
        <v>496</v>
      </c>
      <c r="H100" t="s">
        <v>1159</v>
      </c>
      <c r="I100">
        <v>51058401</v>
      </c>
      <c r="J100" t="s">
        <v>1444</v>
      </c>
      <c r="K100" t="s">
        <v>1445</v>
      </c>
      <c r="L100">
        <v>122.93</v>
      </c>
      <c r="M100">
        <v>0</v>
      </c>
      <c r="N100">
        <v>0</v>
      </c>
      <c r="O100">
        <v>122.93</v>
      </c>
      <c r="P100" t="s">
        <v>1446</v>
      </c>
      <c r="Q100" t="s">
        <v>1060</v>
      </c>
      <c r="R100" t="s">
        <v>1199</v>
      </c>
      <c r="S100" t="s">
        <v>947</v>
      </c>
      <c r="T100" t="s">
        <v>1061</v>
      </c>
      <c r="U100" t="s">
        <v>1447</v>
      </c>
      <c r="V100" t="s">
        <v>1165</v>
      </c>
      <c r="W100">
        <v>1</v>
      </c>
      <c r="X100">
        <v>122.93</v>
      </c>
      <c r="Y100" t="s">
        <v>1166</v>
      </c>
      <c r="Z100" t="s">
        <v>1167</v>
      </c>
      <c r="AA100" t="s">
        <v>1448</v>
      </c>
    </row>
    <row r="101" spans="1:27" x14ac:dyDescent="0.3">
      <c r="A101" t="s">
        <v>1372</v>
      </c>
      <c r="B101" t="s">
        <v>1449</v>
      </c>
      <c r="C101" t="s">
        <v>974</v>
      </c>
      <c r="D101" t="s">
        <v>1373</v>
      </c>
      <c r="E101" t="s">
        <v>553</v>
      </c>
      <c r="F101">
        <v>46142</v>
      </c>
      <c r="G101" t="s">
        <v>496</v>
      </c>
      <c r="H101" t="s">
        <v>1159</v>
      </c>
      <c r="I101">
        <v>51059501</v>
      </c>
      <c r="J101" t="s">
        <v>1232</v>
      </c>
      <c r="K101" t="s">
        <v>1421</v>
      </c>
      <c r="L101">
        <v>2241.9899999999998</v>
      </c>
      <c r="M101">
        <v>637.33000000000004</v>
      </c>
      <c r="N101">
        <v>0</v>
      </c>
      <c r="O101">
        <v>2879.32</v>
      </c>
      <c r="P101" t="s">
        <v>1450</v>
      </c>
      <c r="Q101" t="s">
        <v>1060</v>
      </c>
      <c r="R101" t="s">
        <v>1199</v>
      </c>
      <c r="S101" t="s">
        <v>947</v>
      </c>
      <c r="T101" t="s">
        <v>1061</v>
      </c>
      <c r="U101" t="s">
        <v>1451</v>
      </c>
      <c r="V101" t="s">
        <v>1165</v>
      </c>
      <c r="W101">
        <v>1</v>
      </c>
      <c r="X101">
        <v>2879.32</v>
      </c>
      <c r="Y101" t="s">
        <v>1192</v>
      </c>
      <c r="Z101" t="s">
        <v>1193</v>
      </c>
      <c r="AA101" t="s">
        <v>1452</v>
      </c>
    </row>
    <row r="102" spans="1:27" x14ac:dyDescent="0.3">
      <c r="A102" t="s">
        <v>1372</v>
      </c>
      <c r="B102" t="s">
        <v>1453</v>
      </c>
      <c r="C102" t="s">
        <v>974</v>
      </c>
      <c r="D102" t="s">
        <v>1373</v>
      </c>
      <c r="E102" t="s">
        <v>553</v>
      </c>
      <c r="F102">
        <v>46142</v>
      </c>
      <c r="G102" t="s">
        <v>496</v>
      </c>
      <c r="H102" t="s">
        <v>1159</v>
      </c>
      <c r="I102">
        <v>51103001</v>
      </c>
      <c r="J102" t="s">
        <v>1328</v>
      </c>
      <c r="K102" t="s">
        <v>1454</v>
      </c>
      <c r="L102">
        <v>445</v>
      </c>
      <c r="M102">
        <v>0</v>
      </c>
      <c r="N102">
        <v>0</v>
      </c>
      <c r="O102">
        <v>445</v>
      </c>
      <c r="P102" t="s">
        <v>1330</v>
      </c>
      <c r="Q102" t="s">
        <v>1062</v>
      </c>
      <c r="R102" t="s">
        <v>1199</v>
      </c>
      <c r="S102" t="s">
        <v>947</v>
      </c>
      <c r="T102" t="s">
        <v>1063</v>
      </c>
      <c r="U102" t="s">
        <v>1331</v>
      </c>
      <c r="V102" t="s">
        <v>1165</v>
      </c>
      <c r="W102">
        <v>1</v>
      </c>
      <c r="X102">
        <v>445</v>
      </c>
      <c r="Y102" t="s">
        <v>1166</v>
      </c>
      <c r="Z102" t="s">
        <v>1167</v>
      </c>
      <c r="AA102" t="s">
        <v>1332</v>
      </c>
    </row>
    <row r="103" spans="1:27" x14ac:dyDescent="0.3">
      <c r="A103" t="s">
        <v>1372</v>
      </c>
      <c r="B103" t="s">
        <v>1455</v>
      </c>
      <c r="C103" t="s">
        <v>974</v>
      </c>
      <c r="D103" t="s">
        <v>1373</v>
      </c>
      <c r="E103" t="s">
        <v>553</v>
      </c>
      <c r="F103">
        <v>46142</v>
      </c>
      <c r="G103" t="s">
        <v>496</v>
      </c>
      <c r="H103" t="s">
        <v>1159</v>
      </c>
      <c r="I103">
        <v>51150501</v>
      </c>
      <c r="J103" t="s">
        <v>1219</v>
      </c>
      <c r="K103" t="s">
        <v>1456</v>
      </c>
      <c r="L103">
        <v>4024.05</v>
      </c>
      <c r="M103">
        <v>0</v>
      </c>
      <c r="N103">
        <v>0</v>
      </c>
      <c r="O103">
        <v>4024.05</v>
      </c>
      <c r="P103" t="s">
        <v>1221</v>
      </c>
      <c r="Q103" t="s">
        <v>1064</v>
      </c>
      <c r="R103" t="s">
        <v>1199</v>
      </c>
      <c r="S103" t="s">
        <v>947</v>
      </c>
      <c r="T103" t="s">
        <v>1065</v>
      </c>
      <c r="U103" t="s">
        <v>1222</v>
      </c>
      <c r="V103" t="s">
        <v>1165</v>
      </c>
      <c r="W103">
        <v>1</v>
      </c>
      <c r="X103">
        <v>4024.05</v>
      </c>
      <c r="Y103" t="s">
        <v>1166</v>
      </c>
      <c r="Z103" t="s">
        <v>1167</v>
      </c>
      <c r="AA103" t="s">
        <v>1223</v>
      </c>
    </row>
    <row r="104" spans="1:27" x14ac:dyDescent="0.3">
      <c r="A104" t="s">
        <v>1372</v>
      </c>
      <c r="B104" t="s">
        <v>1457</v>
      </c>
      <c r="C104" t="s">
        <v>974</v>
      </c>
      <c r="D104" t="s">
        <v>1373</v>
      </c>
      <c r="E104" t="s">
        <v>553</v>
      </c>
      <c r="F104">
        <v>46142</v>
      </c>
      <c r="G104" t="s">
        <v>496</v>
      </c>
      <c r="H104" t="s">
        <v>1159</v>
      </c>
      <c r="I104">
        <v>51352001</v>
      </c>
      <c r="J104" t="s">
        <v>1240</v>
      </c>
      <c r="K104" t="s">
        <v>1458</v>
      </c>
      <c r="L104">
        <v>225.35</v>
      </c>
      <c r="M104">
        <v>0</v>
      </c>
      <c r="N104">
        <v>0</v>
      </c>
      <c r="O104">
        <v>225.35</v>
      </c>
      <c r="P104" t="s">
        <v>1242</v>
      </c>
      <c r="Q104" t="s">
        <v>1069</v>
      </c>
      <c r="R104" t="s">
        <v>1199</v>
      </c>
      <c r="S104" t="s">
        <v>947</v>
      </c>
      <c r="T104" t="s">
        <v>1070</v>
      </c>
      <c r="U104" t="s">
        <v>1243</v>
      </c>
      <c r="V104" t="s">
        <v>1165</v>
      </c>
      <c r="W104">
        <v>1</v>
      </c>
      <c r="X104">
        <v>225.35</v>
      </c>
      <c r="Y104" t="s">
        <v>1166</v>
      </c>
      <c r="Z104" t="s">
        <v>1193</v>
      </c>
      <c r="AA104" t="s">
        <v>1244</v>
      </c>
    </row>
    <row r="105" spans="1:27" x14ac:dyDescent="0.3">
      <c r="A105" t="s">
        <v>1372</v>
      </c>
      <c r="B105" t="s">
        <v>1459</v>
      </c>
      <c r="C105" t="s">
        <v>974</v>
      </c>
      <c r="D105" t="s">
        <v>1373</v>
      </c>
      <c r="E105" t="s">
        <v>553</v>
      </c>
      <c r="F105">
        <v>46142</v>
      </c>
      <c r="G105" t="s">
        <v>496</v>
      </c>
      <c r="H105" t="s">
        <v>1159</v>
      </c>
      <c r="I105">
        <v>51352001</v>
      </c>
      <c r="J105" t="s">
        <v>1240</v>
      </c>
      <c r="K105" t="s">
        <v>1460</v>
      </c>
      <c r="L105">
        <v>191.4</v>
      </c>
      <c r="M105">
        <v>0</v>
      </c>
      <c r="N105">
        <v>0</v>
      </c>
      <c r="O105">
        <v>191.4</v>
      </c>
      <c r="P105" t="s">
        <v>1242</v>
      </c>
      <c r="Q105" t="s">
        <v>1069</v>
      </c>
      <c r="R105" t="s">
        <v>1199</v>
      </c>
      <c r="S105" t="s">
        <v>947</v>
      </c>
      <c r="T105" t="s">
        <v>1070</v>
      </c>
      <c r="U105" t="s">
        <v>1243</v>
      </c>
      <c r="V105" t="s">
        <v>1165</v>
      </c>
      <c r="W105">
        <v>1</v>
      </c>
      <c r="X105">
        <v>191.4</v>
      </c>
      <c r="Y105" t="s">
        <v>1166</v>
      </c>
      <c r="Z105" t="s">
        <v>1193</v>
      </c>
      <c r="AA105" t="s">
        <v>1244</v>
      </c>
    </row>
    <row r="106" spans="1:27" x14ac:dyDescent="0.3">
      <c r="A106" t="s">
        <v>1372</v>
      </c>
      <c r="B106" t="s">
        <v>1461</v>
      </c>
      <c r="C106" t="s">
        <v>974</v>
      </c>
      <c r="D106" t="s">
        <v>1373</v>
      </c>
      <c r="E106" t="s">
        <v>553</v>
      </c>
      <c r="F106">
        <v>46142</v>
      </c>
      <c r="G106" t="s">
        <v>496</v>
      </c>
      <c r="H106" t="s">
        <v>1159</v>
      </c>
      <c r="I106">
        <v>51352001</v>
      </c>
      <c r="J106" t="s">
        <v>1240</v>
      </c>
      <c r="K106" t="s">
        <v>1462</v>
      </c>
      <c r="L106">
        <v>0</v>
      </c>
      <c r="M106">
        <v>32.1</v>
      </c>
      <c r="N106">
        <v>0</v>
      </c>
      <c r="O106">
        <v>32.1</v>
      </c>
      <c r="P106" t="s">
        <v>1242</v>
      </c>
      <c r="Q106" t="s">
        <v>1069</v>
      </c>
      <c r="R106" t="s">
        <v>1199</v>
      </c>
      <c r="S106" t="s">
        <v>947</v>
      </c>
      <c r="T106" t="s">
        <v>1070</v>
      </c>
      <c r="U106" t="s">
        <v>1243</v>
      </c>
      <c r="V106" t="s">
        <v>1165</v>
      </c>
      <c r="W106">
        <v>1</v>
      </c>
      <c r="X106">
        <v>32.1</v>
      </c>
      <c r="Y106" t="s">
        <v>1166</v>
      </c>
      <c r="Z106" t="s">
        <v>1193</v>
      </c>
      <c r="AA106" t="s">
        <v>1244</v>
      </c>
    </row>
    <row r="107" spans="1:27" x14ac:dyDescent="0.3">
      <c r="A107" t="s">
        <v>1372</v>
      </c>
      <c r="B107" t="s">
        <v>1463</v>
      </c>
      <c r="C107" t="s">
        <v>974</v>
      </c>
      <c r="D107" t="s">
        <v>1373</v>
      </c>
      <c r="E107" t="s">
        <v>553</v>
      </c>
      <c r="F107">
        <v>46142</v>
      </c>
      <c r="G107" t="s">
        <v>496</v>
      </c>
      <c r="H107" t="s">
        <v>1159</v>
      </c>
      <c r="I107">
        <v>51352001</v>
      </c>
      <c r="J107" t="s">
        <v>1240</v>
      </c>
      <c r="K107" t="s">
        <v>1464</v>
      </c>
      <c r="L107">
        <v>60</v>
      </c>
      <c r="M107">
        <v>20</v>
      </c>
      <c r="N107">
        <v>0</v>
      </c>
      <c r="O107">
        <v>80</v>
      </c>
      <c r="P107" t="s">
        <v>1242</v>
      </c>
      <c r="Q107" t="s">
        <v>1069</v>
      </c>
      <c r="R107" t="s">
        <v>1199</v>
      </c>
      <c r="S107" t="s">
        <v>947</v>
      </c>
      <c r="T107" t="s">
        <v>1070</v>
      </c>
      <c r="U107" t="s">
        <v>1243</v>
      </c>
      <c r="V107" t="s">
        <v>1165</v>
      </c>
      <c r="W107">
        <v>1</v>
      </c>
      <c r="X107">
        <v>80</v>
      </c>
      <c r="Y107" t="s">
        <v>1166</v>
      </c>
      <c r="Z107" t="s">
        <v>1193</v>
      </c>
      <c r="AA107" t="s">
        <v>1244</v>
      </c>
    </row>
    <row r="108" spans="1:27" x14ac:dyDescent="0.3">
      <c r="A108" t="s">
        <v>1372</v>
      </c>
      <c r="B108" t="s">
        <v>1465</v>
      </c>
      <c r="C108" t="s">
        <v>974</v>
      </c>
      <c r="D108" t="s">
        <v>1373</v>
      </c>
      <c r="E108" t="s">
        <v>553</v>
      </c>
      <c r="F108">
        <v>46142</v>
      </c>
      <c r="G108" t="s">
        <v>496</v>
      </c>
      <c r="H108" t="s">
        <v>1159</v>
      </c>
      <c r="I108">
        <v>51352001</v>
      </c>
      <c r="J108" t="s">
        <v>1240</v>
      </c>
      <c r="K108" t="s">
        <v>1466</v>
      </c>
      <c r="L108">
        <v>0</v>
      </c>
      <c r="M108">
        <v>957.65</v>
      </c>
      <c r="N108">
        <v>0</v>
      </c>
      <c r="O108">
        <v>957.65</v>
      </c>
      <c r="P108" t="s">
        <v>1242</v>
      </c>
      <c r="Q108" t="s">
        <v>1069</v>
      </c>
      <c r="R108" t="s">
        <v>1199</v>
      </c>
      <c r="S108" t="s">
        <v>947</v>
      </c>
      <c r="T108" t="s">
        <v>1070</v>
      </c>
      <c r="U108" t="s">
        <v>1243</v>
      </c>
      <c r="V108" t="s">
        <v>1165</v>
      </c>
      <c r="W108">
        <v>1</v>
      </c>
      <c r="X108">
        <v>957.65</v>
      </c>
      <c r="Y108" t="s">
        <v>1166</v>
      </c>
      <c r="Z108" t="s">
        <v>1193</v>
      </c>
      <c r="AA108" t="s">
        <v>1244</v>
      </c>
    </row>
    <row r="109" spans="1:27" x14ac:dyDescent="0.3">
      <c r="A109" t="s">
        <v>1372</v>
      </c>
      <c r="B109" t="s">
        <v>1467</v>
      </c>
      <c r="C109" t="s">
        <v>974</v>
      </c>
      <c r="D109" t="s">
        <v>1373</v>
      </c>
      <c r="E109" t="s">
        <v>553</v>
      </c>
      <c r="F109">
        <v>46142</v>
      </c>
      <c r="G109" t="s">
        <v>496</v>
      </c>
      <c r="H109" t="s">
        <v>1159</v>
      </c>
      <c r="I109">
        <v>51354001</v>
      </c>
      <c r="J109" t="s">
        <v>1468</v>
      </c>
      <c r="K109" t="s">
        <v>1469</v>
      </c>
      <c r="L109">
        <v>34.29</v>
      </c>
      <c r="M109">
        <v>11.54</v>
      </c>
      <c r="N109">
        <v>0</v>
      </c>
      <c r="O109">
        <v>45.83</v>
      </c>
      <c r="P109" t="s">
        <v>1470</v>
      </c>
      <c r="Q109" t="s">
        <v>1073</v>
      </c>
      <c r="R109" t="s">
        <v>1199</v>
      </c>
      <c r="S109" t="s">
        <v>947</v>
      </c>
      <c r="T109" t="s">
        <v>1074</v>
      </c>
      <c r="U109" t="s">
        <v>1471</v>
      </c>
      <c r="V109" t="s">
        <v>1165</v>
      </c>
      <c r="W109">
        <v>1</v>
      </c>
      <c r="X109">
        <v>45.83</v>
      </c>
      <c r="Y109" t="s">
        <v>1166</v>
      </c>
      <c r="Z109" t="s">
        <v>1167</v>
      </c>
      <c r="AA109" t="s">
        <v>1472</v>
      </c>
    </row>
    <row r="110" spans="1:27" x14ac:dyDescent="0.3">
      <c r="A110" t="s">
        <v>1372</v>
      </c>
      <c r="B110" t="s">
        <v>1473</v>
      </c>
      <c r="C110" t="s">
        <v>974</v>
      </c>
      <c r="D110" t="s">
        <v>1373</v>
      </c>
      <c r="E110" t="s">
        <v>553</v>
      </c>
      <c r="F110">
        <v>46142</v>
      </c>
      <c r="G110" t="s">
        <v>496</v>
      </c>
      <c r="H110" t="s">
        <v>1159</v>
      </c>
      <c r="I110">
        <v>51359501</v>
      </c>
      <c r="J110" t="s">
        <v>1232</v>
      </c>
      <c r="K110" t="s">
        <v>1474</v>
      </c>
      <c r="L110">
        <v>578.27</v>
      </c>
      <c r="M110">
        <v>181.67</v>
      </c>
      <c r="N110">
        <v>0</v>
      </c>
      <c r="O110">
        <v>759.94</v>
      </c>
      <c r="P110" t="s">
        <v>1475</v>
      </c>
      <c r="Q110" t="s">
        <v>1077</v>
      </c>
      <c r="R110" t="s">
        <v>1199</v>
      </c>
      <c r="S110" t="s">
        <v>947</v>
      </c>
      <c r="T110" t="s">
        <v>1078</v>
      </c>
      <c r="U110" t="s">
        <v>576</v>
      </c>
      <c r="V110" t="s">
        <v>1165</v>
      </c>
      <c r="W110">
        <v>1</v>
      </c>
      <c r="X110">
        <v>759.94</v>
      </c>
      <c r="Y110" t="s">
        <v>1192</v>
      </c>
      <c r="Z110" t="s">
        <v>1193</v>
      </c>
      <c r="AA110" t="s">
        <v>1476</v>
      </c>
    </row>
    <row r="111" spans="1:27" x14ac:dyDescent="0.3">
      <c r="A111" t="s">
        <v>1372</v>
      </c>
      <c r="B111" t="s">
        <v>1477</v>
      </c>
      <c r="C111" t="s">
        <v>974</v>
      </c>
      <c r="D111" t="s">
        <v>1373</v>
      </c>
      <c r="E111" t="s">
        <v>553</v>
      </c>
      <c r="F111">
        <v>46142</v>
      </c>
      <c r="G111" t="s">
        <v>496</v>
      </c>
      <c r="H111" t="s">
        <v>1159</v>
      </c>
      <c r="I111">
        <v>51952502</v>
      </c>
      <c r="J111" t="s">
        <v>1478</v>
      </c>
      <c r="K111" t="s">
        <v>1425</v>
      </c>
      <c r="L111">
        <v>35.1</v>
      </c>
      <c r="M111">
        <v>0</v>
      </c>
      <c r="N111">
        <v>0</v>
      </c>
      <c r="O111">
        <v>35.1</v>
      </c>
      <c r="P111" t="s">
        <v>1479</v>
      </c>
      <c r="Q111" t="s">
        <v>1079</v>
      </c>
      <c r="R111" t="s">
        <v>1199</v>
      </c>
      <c r="S111" t="s">
        <v>947</v>
      </c>
      <c r="T111" t="s">
        <v>1080</v>
      </c>
      <c r="U111" t="s">
        <v>1480</v>
      </c>
      <c r="V111" t="s">
        <v>1165</v>
      </c>
      <c r="W111">
        <v>1</v>
      </c>
      <c r="X111">
        <v>35.1</v>
      </c>
      <c r="Y111" t="s">
        <v>1166</v>
      </c>
      <c r="Z111" t="s">
        <v>1193</v>
      </c>
      <c r="AA111" t="s">
        <v>1481</v>
      </c>
    </row>
    <row r="112" spans="1:27" x14ac:dyDescent="0.3">
      <c r="A112" t="s">
        <v>1372</v>
      </c>
      <c r="B112" t="s">
        <v>1482</v>
      </c>
      <c r="C112" t="s">
        <v>974</v>
      </c>
      <c r="D112" t="s">
        <v>1373</v>
      </c>
      <c r="E112" t="s">
        <v>553</v>
      </c>
      <c r="F112">
        <v>46142</v>
      </c>
      <c r="G112" t="s">
        <v>496</v>
      </c>
      <c r="H112" t="s">
        <v>1159</v>
      </c>
      <c r="I112">
        <v>51952502</v>
      </c>
      <c r="J112" t="s">
        <v>1478</v>
      </c>
      <c r="K112" t="s">
        <v>1483</v>
      </c>
      <c r="L112">
        <v>82.58</v>
      </c>
      <c r="M112">
        <v>0</v>
      </c>
      <c r="N112">
        <v>0</v>
      </c>
      <c r="O112">
        <v>82.58</v>
      </c>
      <c r="P112" t="s">
        <v>1479</v>
      </c>
      <c r="Q112" t="s">
        <v>1079</v>
      </c>
      <c r="R112" t="s">
        <v>1199</v>
      </c>
      <c r="S112" t="s">
        <v>947</v>
      </c>
      <c r="T112" t="s">
        <v>1080</v>
      </c>
      <c r="U112" t="s">
        <v>1480</v>
      </c>
      <c r="V112" t="s">
        <v>1165</v>
      </c>
      <c r="W112">
        <v>1</v>
      </c>
      <c r="X112">
        <v>82.58</v>
      </c>
      <c r="Y112" t="s">
        <v>1166</v>
      </c>
      <c r="Z112" t="s">
        <v>1193</v>
      </c>
      <c r="AA112" t="s">
        <v>1481</v>
      </c>
    </row>
    <row r="113" spans="1:27" x14ac:dyDescent="0.3">
      <c r="A113" t="s">
        <v>1372</v>
      </c>
      <c r="B113" t="s">
        <v>1484</v>
      </c>
      <c r="C113" t="s">
        <v>974</v>
      </c>
      <c r="D113" t="s">
        <v>1373</v>
      </c>
      <c r="E113" t="s">
        <v>553</v>
      </c>
      <c r="F113">
        <v>46142</v>
      </c>
      <c r="G113" t="s">
        <v>496</v>
      </c>
      <c r="H113" t="s">
        <v>1159</v>
      </c>
      <c r="I113">
        <v>51956001</v>
      </c>
      <c r="J113" t="s">
        <v>1485</v>
      </c>
      <c r="K113" t="s">
        <v>1486</v>
      </c>
      <c r="L113">
        <v>125.13</v>
      </c>
      <c r="M113">
        <v>129.16</v>
      </c>
      <c r="N113">
        <v>0</v>
      </c>
      <c r="O113">
        <v>254.29</v>
      </c>
      <c r="P113" t="s">
        <v>1487</v>
      </c>
      <c r="Q113" t="s">
        <v>1081</v>
      </c>
      <c r="R113" t="s">
        <v>1199</v>
      </c>
      <c r="S113" t="s">
        <v>947</v>
      </c>
      <c r="T113" t="s">
        <v>1082</v>
      </c>
      <c r="U113" t="s">
        <v>1488</v>
      </c>
      <c r="V113" t="s">
        <v>1165</v>
      </c>
      <c r="W113">
        <v>1</v>
      </c>
      <c r="X113">
        <v>254.29</v>
      </c>
      <c r="Y113" t="s">
        <v>1166</v>
      </c>
      <c r="Z113" t="s">
        <v>1193</v>
      </c>
      <c r="AA113" t="s">
        <v>1489</v>
      </c>
    </row>
    <row r="114" spans="1:27" x14ac:dyDescent="0.3">
      <c r="A114" t="s">
        <v>1372</v>
      </c>
      <c r="B114" t="s">
        <v>1490</v>
      </c>
      <c r="C114" t="s">
        <v>974</v>
      </c>
      <c r="D114" t="s">
        <v>1373</v>
      </c>
      <c r="E114" t="s">
        <v>553</v>
      </c>
      <c r="F114">
        <v>46142</v>
      </c>
      <c r="G114" t="s">
        <v>496</v>
      </c>
      <c r="H114" t="s">
        <v>1159</v>
      </c>
      <c r="I114">
        <v>51956001</v>
      </c>
      <c r="J114" t="s">
        <v>1485</v>
      </c>
      <c r="K114" t="s">
        <v>1491</v>
      </c>
      <c r="L114">
        <v>63.15</v>
      </c>
      <c r="M114">
        <v>0</v>
      </c>
      <c r="N114">
        <v>0</v>
      </c>
      <c r="O114">
        <v>63.15</v>
      </c>
      <c r="P114" t="s">
        <v>1487</v>
      </c>
      <c r="Q114" t="s">
        <v>1081</v>
      </c>
      <c r="R114" t="s">
        <v>1199</v>
      </c>
      <c r="S114" t="s">
        <v>947</v>
      </c>
      <c r="T114" t="s">
        <v>1082</v>
      </c>
      <c r="U114" t="s">
        <v>1488</v>
      </c>
      <c r="V114" t="s">
        <v>1165</v>
      </c>
      <c r="W114">
        <v>1</v>
      </c>
      <c r="X114">
        <v>63.15</v>
      </c>
      <c r="Y114" t="s">
        <v>1166</v>
      </c>
      <c r="Z114" t="s">
        <v>1193</v>
      </c>
      <c r="AA114" t="s">
        <v>1489</v>
      </c>
    </row>
    <row r="115" spans="1:27" x14ac:dyDescent="0.3">
      <c r="A115" t="s">
        <v>1372</v>
      </c>
      <c r="B115" t="s">
        <v>1492</v>
      </c>
      <c r="C115" t="s">
        <v>974</v>
      </c>
      <c r="D115" t="s">
        <v>1373</v>
      </c>
      <c r="E115" t="s">
        <v>553</v>
      </c>
      <c r="F115">
        <v>46142</v>
      </c>
      <c r="G115" t="s">
        <v>496</v>
      </c>
      <c r="H115" t="s">
        <v>1159</v>
      </c>
      <c r="I115">
        <v>51956001</v>
      </c>
      <c r="J115" t="s">
        <v>1485</v>
      </c>
      <c r="K115" t="s">
        <v>1491</v>
      </c>
      <c r="L115">
        <v>0</v>
      </c>
      <c r="M115">
        <v>55.93</v>
      </c>
      <c r="N115">
        <v>0</v>
      </c>
      <c r="O115">
        <v>55.93</v>
      </c>
      <c r="P115" t="s">
        <v>1487</v>
      </c>
      <c r="Q115" t="s">
        <v>1081</v>
      </c>
      <c r="R115" t="s">
        <v>1199</v>
      </c>
      <c r="S115" t="s">
        <v>947</v>
      </c>
      <c r="T115" t="s">
        <v>1082</v>
      </c>
      <c r="U115" t="s">
        <v>1488</v>
      </c>
      <c r="V115" t="s">
        <v>1165</v>
      </c>
      <c r="W115">
        <v>1</v>
      </c>
      <c r="X115">
        <v>55.93</v>
      </c>
      <c r="Y115" t="s">
        <v>1166</v>
      </c>
      <c r="Z115" t="s">
        <v>1193</v>
      </c>
      <c r="AA115" t="s">
        <v>1489</v>
      </c>
    </row>
    <row r="116" spans="1:27" x14ac:dyDescent="0.3">
      <c r="A116" t="s">
        <v>1372</v>
      </c>
      <c r="B116" t="s">
        <v>1493</v>
      </c>
      <c r="C116" t="s">
        <v>974</v>
      </c>
      <c r="D116" t="s">
        <v>1373</v>
      </c>
      <c r="E116" t="s">
        <v>553</v>
      </c>
      <c r="F116">
        <v>46142</v>
      </c>
      <c r="G116" t="s">
        <v>496</v>
      </c>
      <c r="H116" t="s">
        <v>1159</v>
      </c>
      <c r="I116">
        <v>51956001</v>
      </c>
      <c r="J116" t="s">
        <v>1485</v>
      </c>
      <c r="K116" t="s">
        <v>1405</v>
      </c>
      <c r="L116">
        <v>0</v>
      </c>
      <c r="M116">
        <v>145.96</v>
      </c>
      <c r="N116">
        <v>0</v>
      </c>
      <c r="O116">
        <v>145.96</v>
      </c>
      <c r="P116" t="s">
        <v>1487</v>
      </c>
      <c r="Q116" t="s">
        <v>1081</v>
      </c>
      <c r="R116" t="s">
        <v>1199</v>
      </c>
      <c r="S116" t="s">
        <v>947</v>
      </c>
      <c r="T116" t="s">
        <v>1082</v>
      </c>
      <c r="U116" t="s">
        <v>1488</v>
      </c>
      <c r="V116" t="s">
        <v>1165</v>
      </c>
      <c r="W116">
        <v>1</v>
      </c>
      <c r="X116">
        <v>145.96</v>
      </c>
      <c r="Y116" t="s">
        <v>1166</v>
      </c>
      <c r="Z116" t="s">
        <v>1193</v>
      </c>
      <c r="AA116" t="s">
        <v>1489</v>
      </c>
    </row>
    <row r="117" spans="1:27" x14ac:dyDescent="0.3">
      <c r="A117" t="s">
        <v>1372</v>
      </c>
      <c r="B117" t="s">
        <v>1494</v>
      </c>
      <c r="C117" t="s">
        <v>974</v>
      </c>
      <c r="D117" t="s">
        <v>1373</v>
      </c>
      <c r="E117" t="s">
        <v>553</v>
      </c>
      <c r="F117">
        <v>46142</v>
      </c>
      <c r="G117" t="s">
        <v>496</v>
      </c>
      <c r="H117" t="s">
        <v>1159</v>
      </c>
      <c r="I117">
        <v>51956001</v>
      </c>
      <c r="J117" t="s">
        <v>1485</v>
      </c>
      <c r="K117" t="s">
        <v>1495</v>
      </c>
      <c r="L117">
        <v>0</v>
      </c>
      <c r="M117">
        <v>92.97</v>
      </c>
      <c r="N117">
        <v>0</v>
      </c>
      <c r="O117">
        <v>92.97</v>
      </c>
      <c r="P117" t="s">
        <v>1487</v>
      </c>
      <c r="Q117" t="s">
        <v>1081</v>
      </c>
      <c r="R117" t="s">
        <v>1199</v>
      </c>
      <c r="S117" t="s">
        <v>947</v>
      </c>
      <c r="T117" t="s">
        <v>1082</v>
      </c>
      <c r="U117" t="s">
        <v>1488</v>
      </c>
      <c r="V117" t="s">
        <v>1165</v>
      </c>
      <c r="W117">
        <v>1</v>
      </c>
      <c r="X117">
        <v>92.97</v>
      </c>
      <c r="Y117" t="s">
        <v>1166</v>
      </c>
      <c r="Z117" t="s">
        <v>1193</v>
      </c>
      <c r="AA117" t="s">
        <v>1489</v>
      </c>
    </row>
    <row r="118" spans="1:27" x14ac:dyDescent="0.3">
      <c r="A118" t="s">
        <v>1372</v>
      </c>
      <c r="B118" t="s">
        <v>1496</v>
      </c>
      <c r="C118" t="s">
        <v>974</v>
      </c>
      <c r="D118" t="s">
        <v>1373</v>
      </c>
      <c r="E118" t="s">
        <v>553</v>
      </c>
      <c r="F118">
        <v>46142</v>
      </c>
      <c r="G118" t="s">
        <v>496</v>
      </c>
      <c r="H118" t="s">
        <v>1159</v>
      </c>
      <c r="I118">
        <v>51956001</v>
      </c>
      <c r="J118" t="s">
        <v>1485</v>
      </c>
      <c r="K118" t="s">
        <v>1497</v>
      </c>
      <c r="L118">
        <v>0</v>
      </c>
      <c r="M118">
        <v>122.49</v>
      </c>
      <c r="N118">
        <v>0</v>
      </c>
      <c r="O118">
        <v>122.49</v>
      </c>
      <c r="P118" t="s">
        <v>1487</v>
      </c>
      <c r="Q118" t="s">
        <v>1081</v>
      </c>
      <c r="R118" t="s">
        <v>1199</v>
      </c>
      <c r="S118" t="s">
        <v>947</v>
      </c>
      <c r="T118" t="s">
        <v>1082</v>
      </c>
      <c r="U118" t="s">
        <v>1488</v>
      </c>
      <c r="V118" t="s">
        <v>1165</v>
      </c>
      <c r="W118">
        <v>1</v>
      </c>
      <c r="X118">
        <v>122.49</v>
      </c>
      <c r="Y118" t="s">
        <v>1166</v>
      </c>
      <c r="Z118" t="s">
        <v>1193</v>
      </c>
      <c r="AA118" t="s">
        <v>1489</v>
      </c>
    </row>
    <row r="119" spans="1:27" x14ac:dyDescent="0.3">
      <c r="A119" t="s">
        <v>1372</v>
      </c>
      <c r="B119" t="s">
        <v>1498</v>
      </c>
      <c r="C119" t="s">
        <v>974</v>
      </c>
      <c r="D119" t="s">
        <v>1373</v>
      </c>
      <c r="E119" t="s">
        <v>553</v>
      </c>
      <c r="F119">
        <v>46142</v>
      </c>
      <c r="G119" t="s">
        <v>496</v>
      </c>
      <c r="H119" t="s">
        <v>1159</v>
      </c>
      <c r="I119">
        <v>51956001</v>
      </c>
      <c r="J119" t="s">
        <v>1485</v>
      </c>
      <c r="K119" t="s">
        <v>1499</v>
      </c>
      <c r="L119">
        <v>0</v>
      </c>
      <c r="M119">
        <v>184.6</v>
      </c>
      <c r="N119">
        <v>0</v>
      </c>
      <c r="O119">
        <v>184.6</v>
      </c>
      <c r="P119" t="s">
        <v>1487</v>
      </c>
      <c r="Q119" t="s">
        <v>1081</v>
      </c>
      <c r="R119" t="s">
        <v>1199</v>
      </c>
      <c r="S119" t="s">
        <v>947</v>
      </c>
      <c r="T119" t="s">
        <v>1082</v>
      </c>
      <c r="U119" t="s">
        <v>1488</v>
      </c>
      <c r="V119" t="s">
        <v>1165</v>
      </c>
      <c r="W119">
        <v>1</v>
      </c>
      <c r="X119">
        <v>184.6</v>
      </c>
      <c r="Y119" t="s">
        <v>1166</v>
      </c>
      <c r="Z119" t="s">
        <v>1193</v>
      </c>
      <c r="AA119" t="s">
        <v>1489</v>
      </c>
    </row>
    <row r="120" spans="1:27" x14ac:dyDescent="0.3">
      <c r="A120" t="s">
        <v>1372</v>
      </c>
      <c r="B120" t="s">
        <v>1500</v>
      </c>
      <c r="C120" t="s">
        <v>974</v>
      </c>
      <c r="D120" t="s">
        <v>1373</v>
      </c>
      <c r="E120" t="s">
        <v>553</v>
      </c>
      <c r="F120">
        <v>46142</v>
      </c>
      <c r="G120" t="s">
        <v>496</v>
      </c>
      <c r="H120" t="s">
        <v>1159</v>
      </c>
      <c r="I120">
        <v>51956001</v>
      </c>
      <c r="J120" t="s">
        <v>1485</v>
      </c>
      <c r="K120" t="s">
        <v>1501</v>
      </c>
      <c r="L120">
        <v>0</v>
      </c>
      <c r="M120">
        <v>80.39</v>
      </c>
      <c r="N120">
        <v>0</v>
      </c>
      <c r="O120">
        <v>80.39</v>
      </c>
      <c r="P120" t="s">
        <v>1487</v>
      </c>
      <c r="Q120" t="s">
        <v>1081</v>
      </c>
      <c r="R120" t="s">
        <v>1199</v>
      </c>
      <c r="S120" t="s">
        <v>947</v>
      </c>
      <c r="T120" t="s">
        <v>1082</v>
      </c>
      <c r="U120" t="s">
        <v>1488</v>
      </c>
      <c r="V120" t="s">
        <v>1165</v>
      </c>
      <c r="W120">
        <v>1</v>
      </c>
      <c r="X120">
        <v>80.39</v>
      </c>
      <c r="Y120" t="s">
        <v>1166</v>
      </c>
      <c r="Z120" t="s">
        <v>1193</v>
      </c>
      <c r="AA120" t="s">
        <v>1489</v>
      </c>
    </row>
    <row r="121" spans="1:27" x14ac:dyDescent="0.3">
      <c r="A121" t="s">
        <v>1372</v>
      </c>
      <c r="B121" t="s">
        <v>1502</v>
      </c>
      <c r="C121" t="s">
        <v>974</v>
      </c>
      <c r="D121" t="s">
        <v>1373</v>
      </c>
      <c r="E121" t="s">
        <v>553</v>
      </c>
      <c r="F121">
        <v>46142</v>
      </c>
      <c r="G121" t="s">
        <v>496</v>
      </c>
      <c r="H121" t="s">
        <v>1159</v>
      </c>
      <c r="I121">
        <v>51956001</v>
      </c>
      <c r="J121" t="s">
        <v>1485</v>
      </c>
      <c r="K121" t="s">
        <v>1503</v>
      </c>
      <c r="L121">
        <v>0</v>
      </c>
      <c r="M121">
        <v>34.92</v>
      </c>
      <c r="N121">
        <v>0</v>
      </c>
      <c r="O121">
        <v>34.92</v>
      </c>
      <c r="P121" t="s">
        <v>1487</v>
      </c>
      <c r="Q121" t="s">
        <v>1081</v>
      </c>
      <c r="R121" t="s">
        <v>1199</v>
      </c>
      <c r="S121" t="s">
        <v>947</v>
      </c>
      <c r="T121" t="s">
        <v>1082</v>
      </c>
      <c r="U121" t="s">
        <v>1488</v>
      </c>
      <c r="V121" t="s">
        <v>1165</v>
      </c>
      <c r="W121">
        <v>1</v>
      </c>
      <c r="X121">
        <v>34.92</v>
      </c>
      <c r="Y121" t="s">
        <v>1166</v>
      </c>
      <c r="Z121" t="s">
        <v>1193</v>
      </c>
      <c r="AA121" t="s">
        <v>1489</v>
      </c>
    </row>
    <row r="122" spans="1:27" x14ac:dyDescent="0.3">
      <c r="A122" t="s">
        <v>1372</v>
      </c>
      <c r="B122" t="s">
        <v>1504</v>
      </c>
      <c r="C122" t="s">
        <v>974</v>
      </c>
      <c r="D122" t="s">
        <v>1373</v>
      </c>
      <c r="E122" t="s">
        <v>553</v>
      </c>
      <c r="F122">
        <v>46142</v>
      </c>
      <c r="G122" t="s">
        <v>496</v>
      </c>
      <c r="H122" t="s">
        <v>1159</v>
      </c>
      <c r="I122">
        <v>51956001</v>
      </c>
      <c r="J122" t="s">
        <v>1485</v>
      </c>
      <c r="K122" t="s">
        <v>1505</v>
      </c>
      <c r="L122">
        <v>177.68</v>
      </c>
      <c r="M122">
        <v>0</v>
      </c>
      <c r="N122">
        <v>0</v>
      </c>
      <c r="O122">
        <v>177.68</v>
      </c>
      <c r="P122" t="s">
        <v>1487</v>
      </c>
      <c r="Q122" t="s">
        <v>1081</v>
      </c>
      <c r="R122" t="s">
        <v>1199</v>
      </c>
      <c r="S122" t="s">
        <v>947</v>
      </c>
      <c r="T122" t="s">
        <v>1082</v>
      </c>
      <c r="U122" t="s">
        <v>1488</v>
      </c>
      <c r="V122" t="s">
        <v>1165</v>
      </c>
      <c r="W122">
        <v>1</v>
      </c>
      <c r="X122">
        <v>177.68</v>
      </c>
      <c r="Y122" t="s">
        <v>1166</v>
      </c>
      <c r="Z122" t="s">
        <v>1193</v>
      </c>
      <c r="AA122" t="s">
        <v>1489</v>
      </c>
    </row>
    <row r="123" spans="1:27" x14ac:dyDescent="0.3">
      <c r="A123" t="s">
        <v>1372</v>
      </c>
      <c r="B123" t="s">
        <v>1506</v>
      </c>
      <c r="C123" t="s">
        <v>974</v>
      </c>
      <c r="D123" t="s">
        <v>1373</v>
      </c>
      <c r="E123" t="s">
        <v>553</v>
      </c>
      <c r="F123">
        <v>46142</v>
      </c>
      <c r="G123" t="s">
        <v>496</v>
      </c>
      <c r="H123" t="s">
        <v>1159</v>
      </c>
      <c r="I123">
        <v>51956001</v>
      </c>
      <c r="J123" t="s">
        <v>1485</v>
      </c>
      <c r="K123" t="s">
        <v>1507</v>
      </c>
      <c r="L123">
        <v>248</v>
      </c>
      <c r="M123">
        <v>0</v>
      </c>
      <c r="N123">
        <v>0</v>
      </c>
      <c r="O123">
        <v>248</v>
      </c>
      <c r="P123" t="s">
        <v>1487</v>
      </c>
      <c r="Q123" t="s">
        <v>1081</v>
      </c>
      <c r="R123" t="s">
        <v>1199</v>
      </c>
      <c r="S123" t="s">
        <v>947</v>
      </c>
      <c r="T123" t="s">
        <v>1082</v>
      </c>
      <c r="U123" t="s">
        <v>1488</v>
      </c>
      <c r="V123" t="s">
        <v>1165</v>
      </c>
      <c r="W123">
        <v>1</v>
      </c>
      <c r="X123">
        <v>248</v>
      </c>
      <c r="Y123" t="s">
        <v>1166</v>
      </c>
      <c r="Z123" t="s">
        <v>1193</v>
      </c>
      <c r="AA123" t="s">
        <v>1489</v>
      </c>
    </row>
    <row r="124" spans="1:27" x14ac:dyDescent="0.3">
      <c r="A124" t="s">
        <v>1372</v>
      </c>
      <c r="B124" t="s">
        <v>1508</v>
      </c>
      <c r="C124" t="s">
        <v>974</v>
      </c>
      <c r="D124" t="s">
        <v>1373</v>
      </c>
      <c r="E124" t="s">
        <v>553</v>
      </c>
      <c r="F124">
        <v>46142</v>
      </c>
      <c r="G124" t="s">
        <v>496</v>
      </c>
      <c r="H124" t="s">
        <v>1159</v>
      </c>
      <c r="I124">
        <v>51956001</v>
      </c>
      <c r="J124" t="s">
        <v>1485</v>
      </c>
      <c r="K124" t="s">
        <v>1509</v>
      </c>
      <c r="L124">
        <v>30.09</v>
      </c>
      <c r="M124">
        <v>0</v>
      </c>
      <c r="N124">
        <v>0</v>
      </c>
      <c r="O124">
        <v>30.09</v>
      </c>
      <c r="P124" t="s">
        <v>1487</v>
      </c>
      <c r="Q124" t="s">
        <v>1081</v>
      </c>
      <c r="R124" t="s">
        <v>1199</v>
      </c>
      <c r="S124" t="s">
        <v>947</v>
      </c>
      <c r="T124" t="s">
        <v>1082</v>
      </c>
      <c r="U124" t="s">
        <v>1488</v>
      </c>
      <c r="V124" t="s">
        <v>1165</v>
      </c>
      <c r="W124">
        <v>1</v>
      </c>
      <c r="X124">
        <v>30.09</v>
      </c>
      <c r="Y124" t="s">
        <v>1166</v>
      </c>
      <c r="Z124" t="s">
        <v>1193</v>
      </c>
      <c r="AA124" t="s">
        <v>1489</v>
      </c>
    </row>
    <row r="125" spans="1:27" x14ac:dyDescent="0.3">
      <c r="A125" t="s">
        <v>1372</v>
      </c>
      <c r="B125" t="s">
        <v>1510</v>
      </c>
      <c r="C125" t="s">
        <v>974</v>
      </c>
      <c r="D125" t="s">
        <v>1373</v>
      </c>
      <c r="E125" t="s">
        <v>553</v>
      </c>
      <c r="F125">
        <v>46142</v>
      </c>
      <c r="G125" t="s">
        <v>496</v>
      </c>
      <c r="H125" t="s">
        <v>1159</v>
      </c>
      <c r="I125">
        <v>51956001</v>
      </c>
      <c r="J125" t="s">
        <v>1485</v>
      </c>
      <c r="K125" t="s">
        <v>1511</v>
      </c>
      <c r="L125">
        <v>0</v>
      </c>
      <c r="M125">
        <v>182.88</v>
      </c>
      <c r="N125">
        <v>0</v>
      </c>
      <c r="O125">
        <v>182.88</v>
      </c>
      <c r="P125" t="s">
        <v>1487</v>
      </c>
      <c r="Q125" t="s">
        <v>1081</v>
      </c>
      <c r="R125" t="s">
        <v>1199</v>
      </c>
      <c r="S125" t="s">
        <v>947</v>
      </c>
      <c r="T125" t="s">
        <v>1082</v>
      </c>
      <c r="U125" t="s">
        <v>1488</v>
      </c>
      <c r="V125" t="s">
        <v>1165</v>
      </c>
      <c r="W125">
        <v>1</v>
      </c>
      <c r="X125">
        <v>182.88</v>
      </c>
      <c r="Y125" t="s">
        <v>1166</v>
      </c>
      <c r="Z125" t="s">
        <v>1193</v>
      </c>
      <c r="AA125" t="s">
        <v>1489</v>
      </c>
    </row>
    <row r="126" spans="1:27" x14ac:dyDescent="0.3">
      <c r="A126" t="s">
        <v>1372</v>
      </c>
      <c r="B126" t="s">
        <v>1512</v>
      </c>
      <c r="C126" t="s">
        <v>974</v>
      </c>
      <c r="D126" t="s">
        <v>1373</v>
      </c>
      <c r="E126" t="s">
        <v>553</v>
      </c>
      <c r="F126">
        <v>46142</v>
      </c>
      <c r="G126" t="s">
        <v>496</v>
      </c>
      <c r="H126" t="s">
        <v>1159</v>
      </c>
      <c r="I126">
        <v>51956001</v>
      </c>
      <c r="J126" t="s">
        <v>1485</v>
      </c>
      <c r="K126" t="s">
        <v>1513</v>
      </c>
      <c r="L126">
        <v>7.03</v>
      </c>
      <c r="M126">
        <v>0</v>
      </c>
      <c r="N126">
        <v>0</v>
      </c>
      <c r="O126">
        <v>7.03</v>
      </c>
      <c r="P126" t="s">
        <v>1487</v>
      </c>
      <c r="Q126" t="s">
        <v>1081</v>
      </c>
      <c r="R126" t="s">
        <v>1199</v>
      </c>
      <c r="S126" t="s">
        <v>947</v>
      </c>
      <c r="T126" t="s">
        <v>1082</v>
      </c>
      <c r="U126" t="s">
        <v>1488</v>
      </c>
      <c r="V126" t="s">
        <v>1165</v>
      </c>
      <c r="W126">
        <v>1</v>
      </c>
      <c r="X126">
        <v>7.03</v>
      </c>
      <c r="Y126" t="s">
        <v>1166</v>
      </c>
      <c r="Z126" t="s">
        <v>1193</v>
      </c>
      <c r="AA126" t="s">
        <v>1489</v>
      </c>
    </row>
    <row r="127" spans="1:27" x14ac:dyDescent="0.3">
      <c r="A127" t="s">
        <v>1372</v>
      </c>
      <c r="B127" t="s">
        <v>1514</v>
      </c>
      <c r="C127" t="s">
        <v>974</v>
      </c>
      <c r="D127" t="s">
        <v>1373</v>
      </c>
      <c r="E127" t="s">
        <v>553</v>
      </c>
      <c r="F127">
        <v>46142</v>
      </c>
      <c r="G127" t="s">
        <v>496</v>
      </c>
      <c r="H127" t="s">
        <v>1159</v>
      </c>
      <c r="I127">
        <v>51956001</v>
      </c>
      <c r="J127" t="s">
        <v>1485</v>
      </c>
      <c r="K127" t="s">
        <v>1515</v>
      </c>
      <c r="L127">
        <v>0</v>
      </c>
      <c r="M127">
        <v>127.26</v>
      </c>
      <c r="N127">
        <v>0</v>
      </c>
      <c r="O127">
        <v>127.26</v>
      </c>
      <c r="P127" t="s">
        <v>1487</v>
      </c>
      <c r="Q127" t="s">
        <v>1081</v>
      </c>
      <c r="R127" t="s">
        <v>1199</v>
      </c>
      <c r="S127" t="s">
        <v>947</v>
      </c>
      <c r="T127" t="s">
        <v>1082</v>
      </c>
      <c r="U127" t="s">
        <v>1488</v>
      </c>
      <c r="V127" t="s">
        <v>1165</v>
      </c>
      <c r="W127">
        <v>1</v>
      </c>
      <c r="X127">
        <v>127.26</v>
      </c>
      <c r="Y127" t="s">
        <v>1166</v>
      </c>
      <c r="Z127" t="s">
        <v>1193</v>
      </c>
      <c r="AA127" t="s">
        <v>1489</v>
      </c>
    </row>
    <row r="128" spans="1:27" x14ac:dyDescent="0.3">
      <c r="A128" t="s">
        <v>1372</v>
      </c>
      <c r="B128" t="s">
        <v>1516</v>
      </c>
      <c r="C128" t="s">
        <v>974</v>
      </c>
      <c r="D128" t="s">
        <v>1373</v>
      </c>
      <c r="E128" t="s">
        <v>553</v>
      </c>
      <c r="F128">
        <v>46142</v>
      </c>
      <c r="G128" t="s">
        <v>496</v>
      </c>
      <c r="H128" t="s">
        <v>1159</v>
      </c>
      <c r="I128">
        <v>51956001</v>
      </c>
      <c r="J128" t="s">
        <v>1485</v>
      </c>
      <c r="K128" t="s">
        <v>1517</v>
      </c>
      <c r="L128">
        <v>0</v>
      </c>
      <c r="M128">
        <v>27.93</v>
      </c>
      <c r="N128">
        <v>0</v>
      </c>
      <c r="O128">
        <v>27.93</v>
      </c>
      <c r="P128" t="s">
        <v>1487</v>
      </c>
      <c r="Q128" t="s">
        <v>1081</v>
      </c>
      <c r="R128" t="s">
        <v>1199</v>
      </c>
      <c r="S128" t="s">
        <v>947</v>
      </c>
      <c r="T128" t="s">
        <v>1082</v>
      </c>
      <c r="U128" t="s">
        <v>1488</v>
      </c>
      <c r="V128" t="s">
        <v>1165</v>
      </c>
      <c r="W128">
        <v>1</v>
      </c>
      <c r="X128">
        <v>27.93</v>
      </c>
      <c r="Y128" t="s">
        <v>1166</v>
      </c>
      <c r="Z128" t="s">
        <v>1193</v>
      </c>
      <c r="AA128" t="s">
        <v>1489</v>
      </c>
    </row>
    <row r="129" spans="1:27" x14ac:dyDescent="0.3">
      <c r="A129" t="s">
        <v>1372</v>
      </c>
      <c r="B129" t="s">
        <v>1518</v>
      </c>
      <c r="C129" t="s">
        <v>974</v>
      </c>
      <c r="D129" t="s">
        <v>1373</v>
      </c>
      <c r="E129" t="s">
        <v>553</v>
      </c>
      <c r="F129">
        <v>46142</v>
      </c>
      <c r="G129" t="s">
        <v>496</v>
      </c>
      <c r="H129" t="s">
        <v>1159</v>
      </c>
      <c r="I129">
        <v>51956001</v>
      </c>
      <c r="J129" t="s">
        <v>1485</v>
      </c>
      <c r="K129" t="s">
        <v>1519</v>
      </c>
      <c r="L129">
        <v>72.540000000000006</v>
      </c>
      <c r="M129">
        <v>0</v>
      </c>
      <c r="N129">
        <v>0</v>
      </c>
      <c r="O129">
        <v>72.540000000000006</v>
      </c>
      <c r="P129" t="s">
        <v>1487</v>
      </c>
      <c r="Q129" t="s">
        <v>1081</v>
      </c>
      <c r="R129" t="s">
        <v>1199</v>
      </c>
      <c r="S129" t="s">
        <v>947</v>
      </c>
      <c r="T129" t="s">
        <v>1082</v>
      </c>
      <c r="U129" t="s">
        <v>1488</v>
      </c>
      <c r="V129" t="s">
        <v>1165</v>
      </c>
      <c r="W129">
        <v>1</v>
      </c>
      <c r="X129">
        <v>72.540000000000006</v>
      </c>
      <c r="Y129" t="s">
        <v>1166</v>
      </c>
      <c r="Z129" t="s">
        <v>1193</v>
      </c>
      <c r="AA129" t="s">
        <v>1489</v>
      </c>
    </row>
    <row r="130" spans="1:27" x14ac:dyDescent="0.3">
      <c r="A130" t="s">
        <v>1372</v>
      </c>
      <c r="B130" t="s">
        <v>1520</v>
      </c>
      <c r="C130" t="s">
        <v>974</v>
      </c>
      <c r="D130" t="s">
        <v>1373</v>
      </c>
      <c r="E130" t="s">
        <v>553</v>
      </c>
      <c r="F130">
        <v>46142</v>
      </c>
      <c r="G130" t="s">
        <v>496</v>
      </c>
      <c r="H130" t="s">
        <v>1159</v>
      </c>
      <c r="I130">
        <v>51956501</v>
      </c>
      <c r="J130" t="s">
        <v>1521</v>
      </c>
      <c r="K130" t="s">
        <v>1522</v>
      </c>
      <c r="L130">
        <v>0</v>
      </c>
      <c r="M130">
        <v>10</v>
      </c>
      <c r="N130">
        <v>0</v>
      </c>
      <c r="O130">
        <v>10</v>
      </c>
      <c r="P130" t="s">
        <v>1523</v>
      </c>
      <c r="Q130" t="s">
        <v>1083</v>
      </c>
      <c r="R130" t="s">
        <v>1199</v>
      </c>
      <c r="S130" t="s">
        <v>947</v>
      </c>
      <c r="T130" t="s">
        <v>1084</v>
      </c>
      <c r="U130" t="s">
        <v>1524</v>
      </c>
      <c r="V130" t="s">
        <v>1165</v>
      </c>
      <c r="W130">
        <v>1</v>
      </c>
      <c r="X130">
        <v>10</v>
      </c>
      <c r="Y130" t="s">
        <v>1166</v>
      </c>
      <c r="Z130" t="s">
        <v>1167</v>
      </c>
      <c r="AA130" t="s">
        <v>1524</v>
      </c>
    </row>
    <row r="131" spans="1:27" x14ac:dyDescent="0.3">
      <c r="A131" t="s">
        <v>1372</v>
      </c>
      <c r="B131" t="s">
        <v>1525</v>
      </c>
      <c r="C131" t="s">
        <v>974</v>
      </c>
      <c r="D131" t="s">
        <v>1373</v>
      </c>
      <c r="E131" t="s">
        <v>553</v>
      </c>
      <c r="F131">
        <v>46142</v>
      </c>
      <c r="G131" t="s">
        <v>496</v>
      </c>
      <c r="H131" t="s">
        <v>1159</v>
      </c>
      <c r="I131">
        <v>51956501</v>
      </c>
      <c r="J131" t="s">
        <v>1521</v>
      </c>
      <c r="K131" t="s">
        <v>1526</v>
      </c>
      <c r="L131">
        <v>0</v>
      </c>
      <c r="M131">
        <v>12.75</v>
      </c>
      <c r="N131">
        <v>0</v>
      </c>
      <c r="O131">
        <v>12.75</v>
      </c>
      <c r="P131" t="s">
        <v>1523</v>
      </c>
      <c r="Q131" t="s">
        <v>1083</v>
      </c>
      <c r="R131" t="s">
        <v>1199</v>
      </c>
      <c r="S131" t="s">
        <v>947</v>
      </c>
      <c r="T131" t="s">
        <v>1084</v>
      </c>
      <c r="U131" t="s">
        <v>1524</v>
      </c>
      <c r="V131" t="s">
        <v>1165</v>
      </c>
      <c r="W131">
        <v>1</v>
      </c>
      <c r="X131">
        <v>12.75</v>
      </c>
      <c r="Y131" t="s">
        <v>1166</v>
      </c>
      <c r="Z131" t="s">
        <v>1167</v>
      </c>
      <c r="AA131" t="s">
        <v>1524</v>
      </c>
    </row>
    <row r="132" spans="1:27" x14ac:dyDescent="0.3">
      <c r="A132" t="s">
        <v>1372</v>
      </c>
      <c r="B132" t="s">
        <v>1527</v>
      </c>
      <c r="C132" t="s">
        <v>974</v>
      </c>
      <c r="D132" t="s">
        <v>1373</v>
      </c>
      <c r="E132" t="s">
        <v>553</v>
      </c>
      <c r="F132">
        <v>46142</v>
      </c>
      <c r="G132" t="s">
        <v>496</v>
      </c>
      <c r="H132" t="s">
        <v>1159</v>
      </c>
      <c r="I132">
        <v>52100503</v>
      </c>
      <c r="J132" t="s">
        <v>1528</v>
      </c>
      <c r="K132" t="s">
        <v>1529</v>
      </c>
      <c r="L132">
        <v>2557.46</v>
      </c>
      <c r="M132">
        <v>0</v>
      </c>
      <c r="N132">
        <v>0</v>
      </c>
      <c r="O132">
        <v>2557.46</v>
      </c>
      <c r="P132" t="s">
        <v>1530</v>
      </c>
      <c r="Q132" t="s">
        <v>1062</v>
      </c>
      <c r="R132" t="s">
        <v>1199</v>
      </c>
      <c r="S132" t="s">
        <v>947</v>
      </c>
      <c r="T132" t="s">
        <v>1063</v>
      </c>
      <c r="U132" t="s">
        <v>1531</v>
      </c>
      <c r="V132" t="s">
        <v>1165</v>
      </c>
      <c r="W132">
        <v>1</v>
      </c>
      <c r="X132">
        <v>2557.46</v>
      </c>
      <c r="Y132" t="s">
        <v>1166</v>
      </c>
      <c r="Z132" t="s">
        <v>1167</v>
      </c>
      <c r="AA132" t="s">
        <v>1532</v>
      </c>
    </row>
    <row r="133" spans="1:27" x14ac:dyDescent="0.3">
      <c r="A133" t="s">
        <v>1372</v>
      </c>
      <c r="B133" t="s">
        <v>1533</v>
      </c>
      <c r="C133" t="s">
        <v>974</v>
      </c>
      <c r="D133" t="s">
        <v>1373</v>
      </c>
      <c r="E133" t="s">
        <v>553</v>
      </c>
      <c r="F133">
        <v>46142</v>
      </c>
      <c r="G133" t="s">
        <v>496</v>
      </c>
      <c r="H133" t="s">
        <v>1159</v>
      </c>
      <c r="I133">
        <v>52100503</v>
      </c>
      <c r="J133" t="s">
        <v>1528</v>
      </c>
      <c r="K133" t="s">
        <v>1529</v>
      </c>
      <c r="L133">
        <v>1500</v>
      </c>
      <c r="M133">
        <v>0</v>
      </c>
      <c r="N133">
        <v>0</v>
      </c>
      <c r="O133">
        <v>1500</v>
      </c>
      <c r="P133" t="s">
        <v>1530</v>
      </c>
      <c r="Q133" t="s">
        <v>1062</v>
      </c>
      <c r="R133" t="s">
        <v>1199</v>
      </c>
      <c r="S133" t="s">
        <v>947</v>
      </c>
      <c r="T133" t="s">
        <v>1063</v>
      </c>
      <c r="U133" t="s">
        <v>1531</v>
      </c>
      <c r="V133" t="s">
        <v>1165</v>
      </c>
      <c r="W133">
        <v>1</v>
      </c>
      <c r="X133">
        <v>1500</v>
      </c>
      <c r="Y133" t="s">
        <v>1166</v>
      </c>
      <c r="Z133" t="s">
        <v>1167</v>
      </c>
      <c r="AA133" t="s">
        <v>1532</v>
      </c>
    </row>
    <row r="134" spans="1:27" x14ac:dyDescent="0.3">
      <c r="A134" t="s">
        <v>1372</v>
      </c>
      <c r="B134" t="s">
        <v>1534</v>
      </c>
      <c r="C134" t="s">
        <v>974</v>
      </c>
      <c r="D134" t="s">
        <v>1373</v>
      </c>
      <c r="E134" t="s">
        <v>553</v>
      </c>
      <c r="F134">
        <v>46142</v>
      </c>
      <c r="G134" t="s">
        <v>496</v>
      </c>
      <c r="H134" t="s">
        <v>1159</v>
      </c>
      <c r="I134">
        <v>52356001</v>
      </c>
      <c r="J134" t="s">
        <v>1338</v>
      </c>
      <c r="K134" t="s">
        <v>1535</v>
      </c>
      <c r="L134">
        <v>400</v>
      </c>
      <c r="M134">
        <v>0</v>
      </c>
      <c r="N134">
        <v>0</v>
      </c>
      <c r="O134">
        <v>400</v>
      </c>
      <c r="P134" t="s">
        <v>1339</v>
      </c>
      <c r="Q134" t="s">
        <v>1097</v>
      </c>
      <c r="R134" t="s">
        <v>1199</v>
      </c>
      <c r="S134" t="s">
        <v>948</v>
      </c>
      <c r="T134" t="s">
        <v>1098</v>
      </c>
      <c r="U134" t="s">
        <v>1340</v>
      </c>
      <c r="V134" t="s">
        <v>1165</v>
      </c>
      <c r="W134">
        <v>1</v>
      </c>
      <c r="X134">
        <v>400</v>
      </c>
      <c r="Y134" t="s">
        <v>1166</v>
      </c>
      <c r="Z134" t="s">
        <v>1167</v>
      </c>
      <c r="AA134" t="s">
        <v>1341</v>
      </c>
    </row>
    <row r="135" spans="1:27" x14ac:dyDescent="0.3">
      <c r="A135" t="s">
        <v>1372</v>
      </c>
      <c r="B135" t="s">
        <v>1536</v>
      </c>
      <c r="C135" t="s">
        <v>974</v>
      </c>
      <c r="D135" t="s">
        <v>1373</v>
      </c>
      <c r="E135" t="s">
        <v>553</v>
      </c>
      <c r="F135">
        <v>46142</v>
      </c>
      <c r="G135" t="s">
        <v>496</v>
      </c>
      <c r="H135" t="s">
        <v>1159</v>
      </c>
      <c r="I135">
        <v>52359502</v>
      </c>
      <c r="J135" t="s">
        <v>1232</v>
      </c>
      <c r="K135" t="s">
        <v>1537</v>
      </c>
      <c r="L135">
        <v>648</v>
      </c>
      <c r="M135">
        <v>0</v>
      </c>
      <c r="N135">
        <v>0</v>
      </c>
      <c r="O135">
        <v>648</v>
      </c>
      <c r="P135" t="s">
        <v>1538</v>
      </c>
      <c r="Q135" t="s">
        <v>1099</v>
      </c>
      <c r="R135" t="s">
        <v>1199</v>
      </c>
      <c r="S135" t="s">
        <v>948</v>
      </c>
      <c r="T135" t="s">
        <v>1100</v>
      </c>
      <c r="U135" t="s">
        <v>576</v>
      </c>
      <c r="V135" t="s">
        <v>1165</v>
      </c>
      <c r="W135">
        <v>1</v>
      </c>
      <c r="X135">
        <v>648</v>
      </c>
      <c r="Y135" t="s">
        <v>1192</v>
      </c>
      <c r="Z135" t="s">
        <v>1193</v>
      </c>
      <c r="AA135" t="s">
        <v>1539</v>
      </c>
    </row>
    <row r="136" spans="1:27" x14ac:dyDescent="0.3">
      <c r="A136" t="s">
        <v>1372</v>
      </c>
      <c r="B136" t="s">
        <v>1540</v>
      </c>
      <c r="C136" t="s">
        <v>974</v>
      </c>
      <c r="D136" t="s">
        <v>1373</v>
      </c>
      <c r="E136" t="s">
        <v>553</v>
      </c>
      <c r="F136">
        <v>46142</v>
      </c>
      <c r="G136" t="s">
        <v>496</v>
      </c>
      <c r="H136" t="s">
        <v>1159</v>
      </c>
      <c r="I136">
        <v>53050501</v>
      </c>
      <c r="J136" t="s">
        <v>1258</v>
      </c>
      <c r="K136" t="s">
        <v>1541</v>
      </c>
      <c r="L136">
        <v>0</v>
      </c>
      <c r="M136">
        <v>0.34</v>
      </c>
      <c r="N136">
        <v>0</v>
      </c>
      <c r="O136">
        <v>0.34</v>
      </c>
      <c r="P136" t="s">
        <v>1260</v>
      </c>
      <c r="Q136" t="s">
        <v>1123</v>
      </c>
      <c r="R136" t="s">
        <v>1199</v>
      </c>
      <c r="S136" t="s">
        <v>717</v>
      </c>
      <c r="T136" t="s">
        <v>717</v>
      </c>
      <c r="U136" t="s">
        <v>1261</v>
      </c>
      <c r="V136" t="s">
        <v>1165</v>
      </c>
      <c r="W136">
        <v>1</v>
      </c>
      <c r="X136">
        <v>0.34</v>
      </c>
      <c r="Y136" t="s">
        <v>1166</v>
      </c>
      <c r="Z136" t="s">
        <v>1167</v>
      </c>
      <c r="AA136" t="s">
        <v>1262</v>
      </c>
    </row>
    <row r="137" spans="1:27" x14ac:dyDescent="0.3">
      <c r="A137" t="s">
        <v>1372</v>
      </c>
      <c r="B137" t="s">
        <v>1542</v>
      </c>
      <c r="C137" t="s">
        <v>974</v>
      </c>
      <c r="D137" t="s">
        <v>1373</v>
      </c>
      <c r="E137" t="s">
        <v>553</v>
      </c>
      <c r="F137">
        <v>46142</v>
      </c>
      <c r="G137" t="s">
        <v>496</v>
      </c>
      <c r="H137" t="s">
        <v>1159</v>
      </c>
      <c r="I137">
        <v>53050501</v>
      </c>
      <c r="J137" t="s">
        <v>1258</v>
      </c>
      <c r="K137" t="s">
        <v>1406</v>
      </c>
      <c r="L137">
        <v>0</v>
      </c>
      <c r="M137">
        <v>15</v>
      </c>
      <c r="N137">
        <v>0</v>
      </c>
      <c r="O137">
        <v>15</v>
      </c>
      <c r="P137" t="s">
        <v>1260</v>
      </c>
      <c r="Q137" t="s">
        <v>1123</v>
      </c>
      <c r="R137" t="s">
        <v>1199</v>
      </c>
      <c r="S137" t="s">
        <v>717</v>
      </c>
      <c r="T137" t="s">
        <v>717</v>
      </c>
      <c r="U137" t="s">
        <v>1261</v>
      </c>
      <c r="V137" t="s">
        <v>1165</v>
      </c>
      <c r="W137">
        <v>1</v>
      </c>
      <c r="X137">
        <v>15</v>
      </c>
      <c r="Y137" t="s">
        <v>1166</v>
      </c>
      <c r="Z137" t="s">
        <v>1167</v>
      </c>
      <c r="AA137" t="s">
        <v>1262</v>
      </c>
    </row>
    <row r="138" spans="1:27" x14ac:dyDescent="0.3">
      <c r="A138" t="s">
        <v>1372</v>
      </c>
      <c r="B138" t="s">
        <v>1543</v>
      </c>
      <c r="C138" t="s">
        <v>974</v>
      </c>
      <c r="D138" t="s">
        <v>1373</v>
      </c>
      <c r="E138" t="s">
        <v>553</v>
      </c>
      <c r="F138">
        <v>46142</v>
      </c>
      <c r="G138" t="s">
        <v>496</v>
      </c>
      <c r="H138" t="s">
        <v>1159</v>
      </c>
      <c r="I138">
        <v>53051501</v>
      </c>
      <c r="J138" t="s">
        <v>1544</v>
      </c>
      <c r="K138" t="s">
        <v>1545</v>
      </c>
      <c r="L138">
        <v>10.44</v>
      </c>
      <c r="M138">
        <v>7.94</v>
      </c>
      <c r="N138">
        <v>0</v>
      </c>
      <c r="O138">
        <v>18.38</v>
      </c>
      <c r="P138" t="s">
        <v>1546</v>
      </c>
      <c r="Q138" t="s">
        <v>1123</v>
      </c>
      <c r="R138" t="s">
        <v>1199</v>
      </c>
      <c r="S138" t="s">
        <v>717</v>
      </c>
      <c r="T138" t="s">
        <v>717</v>
      </c>
      <c r="U138" t="s">
        <v>1547</v>
      </c>
      <c r="V138" t="s">
        <v>1165</v>
      </c>
      <c r="W138">
        <v>1</v>
      </c>
      <c r="X138">
        <v>18.38</v>
      </c>
      <c r="Y138" t="s">
        <v>1166</v>
      </c>
      <c r="Z138" t="s">
        <v>1167</v>
      </c>
      <c r="AA138" t="s">
        <v>1548</v>
      </c>
    </row>
    <row r="139" spans="1:27" x14ac:dyDescent="0.3">
      <c r="A139" t="s">
        <v>1372</v>
      </c>
      <c r="B139" t="s">
        <v>1549</v>
      </c>
      <c r="C139" t="s">
        <v>974</v>
      </c>
      <c r="D139" t="s">
        <v>1373</v>
      </c>
      <c r="E139" t="s">
        <v>553</v>
      </c>
      <c r="F139">
        <v>46142</v>
      </c>
      <c r="G139" t="s">
        <v>496</v>
      </c>
      <c r="H139" t="s">
        <v>1159</v>
      </c>
      <c r="I139">
        <v>53051501</v>
      </c>
      <c r="J139" t="s">
        <v>1544</v>
      </c>
      <c r="K139" t="s">
        <v>1382</v>
      </c>
      <c r="L139">
        <v>3.11</v>
      </c>
      <c r="M139">
        <v>0</v>
      </c>
      <c r="N139">
        <v>0</v>
      </c>
      <c r="O139">
        <v>3.11</v>
      </c>
      <c r="P139" t="s">
        <v>1546</v>
      </c>
      <c r="Q139" t="s">
        <v>1123</v>
      </c>
      <c r="R139" t="s">
        <v>1199</v>
      </c>
      <c r="S139" t="s">
        <v>717</v>
      </c>
      <c r="T139" t="s">
        <v>717</v>
      </c>
      <c r="U139" t="s">
        <v>1547</v>
      </c>
      <c r="V139" t="s">
        <v>1165</v>
      </c>
      <c r="W139">
        <v>1</v>
      </c>
      <c r="X139">
        <v>3.11</v>
      </c>
      <c r="Y139" t="s">
        <v>1166</v>
      </c>
      <c r="Z139" t="s">
        <v>1167</v>
      </c>
      <c r="AA139" t="s">
        <v>1548</v>
      </c>
    </row>
    <row r="140" spans="1:27" x14ac:dyDescent="0.3">
      <c r="A140" t="s">
        <v>1372</v>
      </c>
      <c r="B140" t="s">
        <v>1550</v>
      </c>
      <c r="C140" t="s">
        <v>974</v>
      </c>
      <c r="D140" t="s">
        <v>1373</v>
      </c>
      <c r="E140" t="s">
        <v>553</v>
      </c>
      <c r="F140">
        <v>46142</v>
      </c>
      <c r="G140" t="s">
        <v>496</v>
      </c>
      <c r="H140" t="s">
        <v>1159</v>
      </c>
      <c r="I140">
        <v>53051501</v>
      </c>
      <c r="J140" t="s">
        <v>1544</v>
      </c>
      <c r="K140" t="s">
        <v>1551</v>
      </c>
      <c r="L140">
        <v>152.85</v>
      </c>
      <c r="M140">
        <v>0</v>
      </c>
      <c r="N140">
        <v>0</v>
      </c>
      <c r="O140">
        <v>152.85</v>
      </c>
      <c r="P140" t="s">
        <v>1546</v>
      </c>
      <c r="Q140" t="s">
        <v>1123</v>
      </c>
      <c r="R140" t="s">
        <v>1199</v>
      </c>
      <c r="S140" t="s">
        <v>717</v>
      </c>
      <c r="T140" t="s">
        <v>717</v>
      </c>
      <c r="U140" t="s">
        <v>1547</v>
      </c>
      <c r="V140" t="s">
        <v>1165</v>
      </c>
      <c r="W140">
        <v>1</v>
      </c>
      <c r="X140">
        <v>152.85</v>
      </c>
      <c r="Y140" t="s">
        <v>1166</v>
      </c>
      <c r="Z140" t="s">
        <v>1167</v>
      </c>
      <c r="AA140" t="s">
        <v>1548</v>
      </c>
    </row>
    <row r="141" spans="1:27" x14ac:dyDescent="0.3">
      <c r="A141" t="s">
        <v>1372</v>
      </c>
      <c r="B141" t="s">
        <v>1552</v>
      </c>
      <c r="C141" t="s">
        <v>974</v>
      </c>
      <c r="D141" t="s">
        <v>1373</v>
      </c>
      <c r="E141" t="s">
        <v>553</v>
      </c>
      <c r="F141">
        <v>46142</v>
      </c>
      <c r="G141" t="s">
        <v>496</v>
      </c>
      <c r="H141" t="s">
        <v>1159</v>
      </c>
      <c r="I141">
        <v>53051501</v>
      </c>
      <c r="J141" t="s">
        <v>1544</v>
      </c>
      <c r="K141" t="s">
        <v>1406</v>
      </c>
      <c r="L141">
        <v>0.9</v>
      </c>
      <c r="M141">
        <v>0</v>
      </c>
      <c r="N141">
        <v>0</v>
      </c>
      <c r="O141">
        <v>0.9</v>
      </c>
      <c r="P141" t="s">
        <v>1546</v>
      </c>
      <c r="Q141" t="s">
        <v>1123</v>
      </c>
      <c r="R141" t="s">
        <v>1199</v>
      </c>
      <c r="S141" t="s">
        <v>717</v>
      </c>
      <c r="T141" t="s">
        <v>717</v>
      </c>
      <c r="U141" t="s">
        <v>1547</v>
      </c>
      <c r="V141" t="s">
        <v>1165</v>
      </c>
      <c r="W141">
        <v>1</v>
      </c>
      <c r="X141">
        <v>0.9</v>
      </c>
      <c r="Y141" t="s">
        <v>1166</v>
      </c>
      <c r="Z141" t="s">
        <v>1167</v>
      </c>
      <c r="AA141" t="s">
        <v>1548</v>
      </c>
    </row>
    <row r="142" spans="1:27" x14ac:dyDescent="0.3">
      <c r="A142" t="s">
        <v>1553</v>
      </c>
      <c r="B142" t="s">
        <v>1158</v>
      </c>
      <c r="C142" t="s">
        <v>976</v>
      </c>
      <c r="D142" t="s">
        <v>658</v>
      </c>
      <c r="E142" t="s">
        <v>549</v>
      </c>
      <c r="F142">
        <v>46053</v>
      </c>
      <c r="G142" t="s">
        <v>496</v>
      </c>
      <c r="H142" t="s">
        <v>1159</v>
      </c>
      <c r="I142">
        <v>11100501</v>
      </c>
      <c r="J142" t="s">
        <v>1160</v>
      </c>
      <c r="L142">
        <v>0</v>
      </c>
      <c r="M142">
        <v>3266.56</v>
      </c>
      <c r="N142">
        <v>2182.73</v>
      </c>
      <c r="O142">
        <v>1083.83</v>
      </c>
      <c r="P142" t="s">
        <v>1161</v>
      </c>
      <c r="Q142" t="s">
        <v>980</v>
      </c>
      <c r="R142" t="s">
        <v>1162</v>
      </c>
      <c r="S142" t="s">
        <v>1163</v>
      </c>
      <c r="T142" t="s">
        <v>926</v>
      </c>
      <c r="U142" t="s">
        <v>1164</v>
      </c>
      <c r="V142" t="s">
        <v>1165</v>
      </c>
      <c r="W142">
        <v>1</v>
      </c>
      <c r="X142">
        <v>1083.83</v>
      </c>
      <c r="Y142" t="s">
        <v>1166</v>
      </c>
      <c r="Z142" t="s">
        <v>1167</v>
      </c>
      <c r="AA142" t="s">
        <v>1168</v>
      </c>
    </row>
    <row r="143" spans="1:27" x14ac:dyDescent="0.3">
      <c r="A143" t="s">
        <v>1553</v>
      </c>
      <c r="B143" t="s">
        <v>1169</v>
      </c>
      <c r="C143" t="s">
        <v>976</v>
      </c>
      <c r="D143" t="s">
        <v>658</v>
      </c>
      <c r="E143" t="s">
        <v>549</v>
      </c>
      <c r="F143">
        <v>46053</v>
      </c>
      <c r="G143" t="s">
        <v>496</v>
      </c>
      <c r="H143" t="s">
        <v>1159</v>
      </c>
      <c r="I143">
        <v>23050102</v>
      </c>
      <c r="J143" t="s">
        <v>1170</v>
      </c>
      <c r="K143" t="s">
        <v>1171</v>
      </c>
      <c r="L143">
        <v>0</v>
      </c>
      <c r="M143">
        <v>0</v>
      </c>
      <c r="N143">
        <v>92</v>
      </c>
      <c r="O143">
        <v>-92</v>
      </c>
      <c r="P143" t="s">
        <v>1172</v>
      </c>
      <c r="Q143" t="s">
        <v>1010</v>
      </c>
      <c r="R143" t="s">
        <v>1162</v>
      </c>
      <c r="S143" t="s">
        <v>1173</v>
      </c>
      <c r="T143" t="s">
        <v>1011</v>
      </c>
      <c r="U143" t="s">
        <v>1174</v>
      </c>
      <c r="V143" t="s">
        <v>1175</v>
      </c>
      <c r="W143">
        <v>-1</v>
      </c>
      <c r="X143">
        <v>92</v>
      </c>
      <c r="Y143" t="s">
        <v>1166</v>
      </c>
      <c r="Z143" t="s">
        <v>1167</v>
      </c>
      <c r="AA143" t="s">
        <v>1176</v>
      </c>
    </row>
    <row r="144" spans="1:27" x14ac:dyDescent="0.3">
      <c r="A144" t="s">
        <v>1553</v>
      </c>
      <c r="B144" t="s">
        <v>1177</v>
      </c>
      <c r="C144" t="s">
        <v>976</v>
      </c>
      <c r="D144" t="s">
        <v>658</v>
      </c>
      <c r="E144" t="s">
        <v>549</v>
      </c>
      <c r="F144">
        <v>46053</v>
      </c>
      <c r="G144" t="s">
        <v>496</v>
      </c>
      <c r="H144" t="s">
        <v>1159</v>
      </c>
      <c r="I144">
        <v>31050502</v>
      </c>
      <c r="J144" t="s">
        <v>1178</v>
      </c>
      <c r="K144" t="s">
        <v>1179</v>
      </c>
      <c r="L144">
        <v>0</v>
      </c>
      <c r="M144">
        <v>0</v>
      </c>
      <c r="N144">
        <v>6882.83</v>
      </c>
      <c r="O144">
        <v>-6882.83</v>
      </c>
      <c r="P144" t="s">
        <v>1180</v>
      </c>
      <c r="Q144" t="s">
        <v>1028</v>
      </c>
      <c r="R144" t="s">
        <v>1162</v>
      </c>
      <c r="S144" t="s">
        <v>1181</v>
      </c>
      <c r="T144" t="s">
        <v>1029</v>
      </c>
      <c r="U144" t="s">
        <v>1182</v>
      </c>
      <c r="V144" t="s">
        <v>1175</v>
      </c>
      <c r="W144">
        <v>-1</v>
      </c>
      <c r="X144">
        <v>6882.83</v>
      </c>
      <c r="Y144" t="s">
        <v>1166</v>
      </c>
      <c r="Z144" t="s">
        <v>1167</v>
      </c>
      <c r="AA144" t="s">
        <v>1029</v>
      </c>
    </row>
    <row r="145" spans="1:27" x14ac:dyDescent="0.3">
      <c r="A145" t="s">
        <v>1553</v>
      </c>
      <c r="B145" t="s">
        <v>1183</v>
      </c>
      <c r="C145" t="s">
        <v>976</v>
      </c>
      <c r="D145" t="s">
        <v>658</v>
      </c>
      <c r="E145" t="s">
        <v>549</v>
      </c>
      <c r="F145">
        <v>46053</v>
      </c>
      <c r="G145" t="s">
        <v>496</v>
      </c>
      <c r="H145" t="s">
        <v>1159</v>
      </c>
      <c r="I145">
        <v>31150502</v>
      </c>
      <c r="J145" t="s">
        <v>1184</v>
      </c>
      <c r="L145">
        <v>0</v>
      </c>
      <c r="M145">
        <v>0</v>
      </c>
      <c r="N145">
        <v>18966</v>
      </c>
      <c r="O145">
        <v>-18966</v>
      </c>
      <c r="P145" t="s">
        <v>1185</v>
      </c>
      <c r="Q145" t="s">
        <v>1028</v>
      </c>
      <c r="R145" t="s">
        <v>1162</v>
      </c>
      <c r="S145" t="s">
        <v>1181</v>
      </c>
      <c r="T145" t="s">
        <v>1029</v>
      </c>
      <c r="U145" t="s">
        <v>1186</v>
      </c>
      <c r="V145" t="s">
        <v>1175</v>
      </c>
      <c r="W145">
        <v>-1</v>
      </c>
      <c r="X145">
        <v>18966</v>
      </c>
      <c r="Y145" t="s">
        <v>1166</v>
      </c>
      <c r="Z145" t="s">
        <v>1167</v>
      </c>
      <c r="AA145" t="s">
        <v>1187</v>
      </c>
    </row>
    <row r="146" spans="1:27" x14ac:dyDescent="0.3">
      <c r="A146" t="s">
        <v>1553</v>
      </c>
      <c r="B146" t="s">
        <v>1188</v>
      </c>
      <c r="C146" t="s">
        <v>976</v>
      </c>
      <c r="D146" t="s">
        <v>658</v>
      </c>
      <c r="E146" t="s">
        <v>549</v>
      </c>
      <c r="F146">
        <v>46053</v>
      </c>
      <c r="G146" t="s">
        <v>496</v>
      </c>
      <c r="H146" t="s">
        <v>1159</v>
      </c>
      <c r="I146">
        <v>36100102</v>
      </c>
      <c r="J146" t="s">
        <v>1189</v>
      </c>
      <c r="L146">
        <v>0</v>
      </c>
      <c r="M146">
        <v>22674.27</v>
      </c>
      <c r="N146">
        <v>0</v>
      </c>
      <c r="O146">
        <v>22674.27</v>
      </c>
      <c r="P146" t="s">
        <v>1190</v>
      </c>
      <c r="Q146" t="s">
        <v>1033</v>
      </c>
      <c r="R146" t="s">
        <v>1162</v>
      </c>
      <c r="S146" t="s">
        <v>1181</v>
      </c>
      <c r="T146" t="s">
        <v>1034</v>
      </c>
      <c r="U146" t="s">
        <v>1191</v>
      </c>
      <c r="V146" t="s">
        <v>1175</v>
      </c>
      <c r="W146">
        <v>-1</v>
      </c>
      <c r="X146">
        <v>-22674.27</v>
      </c>
      <c r="Y146" t="s">
        <v>1192</v>
      </c>
      <c r="Z146" t="s">
        <v>1193</v>
      </c>
      <c r="AA146" t="s">
        <v>1194</v>
      </c>
    </row>
    <row r="147" spans="1:27" x14ac:dyDescent="0.3">
      <c r="A147" t="s">
        <v>1553</v>
      </c>
      <c r="B147" t="s">
        <v>1195</v>
      </c>
      <c r="C147" t="s">
        <v>976</v>
      </c>
      <c r="D147" t="s">
        <v>658</v>
      </c>
      <c r="E147" t="s">
        <v>549</v>
      </c>
      <c r="F147">
        <v>46053</v>
      </c>
      <c r="G147" t="s">
        <v>496</v>
      </c>
      <c r="H147" t="s">
        <v>1159</v>
      </c>
      <c r="I147">
        <v>51050601</v>
      </c>
      <c r="J147" t="s">
        <v>1196</v>
      </c>
      <c r="K147" t="s">
        <v>1197</v>
      </c>
      <c r="L147">
        <v>0</v>
      </c>
      <c r="M147">
        <v>1200</v>
      </c>
      <c r="N147">
        <v>0</v>
      </c>
      <c r="O147">
        <v>1200</v>
      </c>
      <c r="P147" t="s">
        <v>1198</v>
      </c>
      <c r="Q147" t="s">
        <v>1060</v>
      </c>
      <c r="R147" t="s">
        <v>1199</v>
      </c>
      <c r="S147" t="s">
        <v>947</v>
      </c>
      <c r="T147" t="s">
        <v>1061</v>
      </c>
      <c r="U147" t="s">
        <v>1200</v>
      </c>
      <c r="V147" t="s">
        <v>1165</v>
      </c>
      <c r="W147">
        <v>1</v>
      </c>
      <c r="X147">
        <v>1200</v>
      </c>
      <c r="Y147" t="s">
        <v>1166</v>
      </c>
      <c r="Z147" t="s">
        <v>1167</v>
      </c>
      <c r="AA147" t="s">
        <v>1201</v>
      </c>
    </row>
    <row r="148" spans="1:27" x14ac:dyDescent="0.3">
      <c r="A148" t="s">
        <v>1553</v>
      </c>
      <c r="B148" t="s">
        <v>1202</v>
      </c>
      <c r="C148" t="s">
        <v>976</v>
      </c>
      <c r="D148" t="s">
        <v>658</v>
      </c>
      <c r="E148" t="s">
        <v>549</v>
      </c>
      <c r="F148">
        <v>46053</v>
      </c>
      <c r="G148" t="s">
        <v>496</v>
      </c>
      <c r="H148" t="s">
        <v>1159</v>
      </c>
      <c r="I148">
        <v>51052105</v>
      </c>
      <c r="J148" t="s">
        <v>1203</v>
      </c>
      <c r="L148">
        <v>0</v>
      </c>
      <c r="M148">
        <v>300</v>
      </c>
      <c r="N148">
        <v>0</v>
      </c>
      <c r="O148">
        <v>300</v>
      </c>
      <c r="P148" t="s">
        <v>1204</v>
      </c>
      <c r="Q148" t="s">
        <v>1075</v>
      </c>
      <c r="R148" t="s">
        <v>1199</v>
      </c>
      <c r="S148" t="s">
        <v>947</v>
      </c>
      <c r="T148" t="s">
        <v>1076</v>
      </c>
      <c r="U148" t="s">
        <v>1205</v>
      </c>
      <c r="V148" t="s">
        <v>1165</v>
      </c>
      <c r="W148">
        <v>1</v>
      </c>
      <c r="X148">
        <v>300</v>
      </c>
      <c r="Y148" t="s">
        <v>1166</v>
      </c>
      <c r="Z148" t="s">
        <v>1167</v>
      </c>
      <c r="AA148" t="s">
        <v>1206</v>
      </c>
    </row>
    <row r="149" spans="1:27" x14ac:dyDescent="0.3">
      <c r="A149" t="s">
        <v>1553</v>
      </c>
      <c r="B149" t="s">
        <v>1207</v>
      </c>
      <c r="C149" t="s">
        <v>976</v>
      </c>
      <c r="D149" t="s">
        <v>658</v>
      </c>
      <c r="E149" t="s">
        <v>549</v>
      </c>
      <c r="F149">
        <v>46053</v>
      </c>
      <c r="G149" t="s">
        <v>496</v>
      </c>
      <c r="H149" t="s">
        <v>1159</v>
      </c>
      <c r="I149">
        <v>51053101</v>
      </c>
      <c r="J149" t="s">
        <v>1208</v>
      </c>
      <c r="K149" t="s">
        <v>1197</v>
      </c>
      <c r="L149">
        <v>0</v>
      </c>
      <c r="M149">
        <v>400</v>
      </c>
      <c r="N149">
        <v>0</v>
      </c>
      <c r="O149">
        <v>400</v>
      </c>
      <c r="P149" t="s">
        <v>1209</v>
      </c>
      <c r="Q149" t="s">
        <v>1060</v>
      </c>
      <c r="R149" t="s">
        <v>1199</v>
      </c>
      <c r="S149" t="s">
        <v>947</v>
      </c>
      <c r="T149" t="s">
        <v>1061</v>
      </c>
      <c r="U149" t="s">
        <v>1210</v>
      </c>
      <c r="V149" t="s">
        <v>1165</v>
      </c>
      <c r="W149">
        <v>1</v>
      </c>
      <c r="X149">
        <v>400</v>
      </c>
      <c r="Y149" t="s">
        <v>1166</v>
      </c>
      <c r="Z149" t="s">
        <v>1167</v>
      </c>
      <c r="AA149" t="s">
        <v>1211</v>
      </c>
    </row>
    <row r="150" spans="1:27" x14ac:dyDescent="0.3">
      <c r="A150" t="s">
        <v>1553</v>
      </c>
      <c r="B150" t="s">
        <v>1212</v>
      </c>
      <c r="C150" t="s">
        <v>976</v>
      </c>
      <c r="D150" t="s">
        <v>658</v>
      </c>
      <c r="E150" t="s">
        <v>549</v>
      </c>
      <c r="F150">
        <v>46053</v>
      </c>
      <c r="G150" t="s">
        <v>496</v>
      </c>
      <c r="H150" t="s">
        <v>1159</v>
      </c>
      <c r="I150">
        <v>51150501</v>
      </c>
      <c r="J150" t="s">
        <v>1219</v>
      </c>
      <c r="K150" t="s">
        <v>1220</v>
      </c>
      <c r="L150">
        <v>0</v>
      </c>
      <c r="M150">
        <v>240.73</v>
      </c>
      <c r="N150">
        <v>0</v>
      </c>
      <c r="O150">
        <v>240.73</v>
      </c>
      <c r="P150" t="s">
        <v>1221</v>
      </c>
      <c r="Q150" t="s">
        <v>1064</v>
      </c>
      <c r="R150" t="s">
        <v>1199</v>
      </c>
      <c r="S150" t="s">
        <v>947</v>
      </c>
      <c r="T150" t="s">
        <v>1065</v>
      </c>
      <c r="U150" t="s">
        <v>1222</v>
      </c>
      <c r="V150" t="s">
        <v>1165</v>
      </c>
      <c r="W150">
        <v>1</v>
      </c>
      <c r="X150">
        <v>240.73</v>
      </c>
      <c r="Y150" t="s">
        <v>1166</v>
      </c>
      <c r="Z150" t="s">
        <v>1167</v>
      </c>
      <c r="AA150" t="s">
        <v>1223</v>
      </c>
    </row>
    <row r="151" spans="1:27" x14ac:dyDescent="0.3">
      <c r="A151" t="s">
        <v>1553</v>
      </c>
      <c r="B151" t="s">
        <v>1218</v>
      </c>
      <c r="C151" t="s">
        <v>976</v>
      </c>
      <c r="D151" t="s">
        <v>658</v>
      </c>
      <c r="E151" t="s">
        <v>549</v>
      </c>
      <c r="F151">
        <v>46053</v>
      </c>
      <c r="G151" t="s">
        <v>496</v>
      </c>
      <c r="H151" t="s">
        <v>1159</v>
      </c>
      <c r="I151">
        <v>51953001</v>
      </c>
      <c r="J151" t="s">
        <v>1246</v>
      </c>
      <c r="K151" t="s">
        <v>1254</v>
      </c>
      <c r="L151">
        <v>0</v>
      </c>
      <c r="M151">
        <v>15</v>
      </c>
      <c r="N151">
        <v>0</v>
      </c>
      <c r="O151">
        <v>15</v>
      </c>
      <c r="P151" t="s">
        <v>1248</v>
      </c>
      <c r="Q151" t="s">
        <v>1079</v>
      </c>
      <c r="R151" t="s">
        <v>1199</v>
      </c>
      <c r="S151" t="s">
        <v>947</v>
      </c>
      <c r="T151" t="s">
        <v>1080</v>
      </c>
      <c r="U151" t="s">
        <v>1249</v>
      </c>
      <c r="V151" t="s">
        <v>1165</v>
      </c>
      <c r="W151">
        <v>1</v>
      </c>
      <c r="X151">
        <v>15</v>
      </c>
      <c r="Y151" t="s">
        <v>1166</v>
      </c>
      <c r="Z151" t="s">
        <v>1167</v>
      </c>
      <c r="AA151" t="s">
        <v>1250</v>
      </c>
    </row>
    <row r="152" spans="1:27" x14ac:dyDescent="0.3">
      <c r="A152" t="s">
        <v>1553</v>
      </c>
      <c r="B152" t="s">
        <v>1224</v>
      </c>
      <c r="C152" t="s">
        <v>976</v>
      </c>
      <c r="D152" t="s">
        <v>658</v>
      </c>
      <c r="E152" t="s">
        <v>549</v>
      </c>
      <c r="F152">
        <v>46053</v>
      </c>
      <c r="G152" t="s">
        <v>496</v>
      </c>
      <c r="H152" t="s">
        <v>1159</v>
      </c>
      <c r="I152">
        <v>51953001</v>
      </c>
      <c r="J152" t="s">
        <v>1246</v>
      </c>
      <c r="K152" t="s">
        <v>1256</v>
      </c>
      <c r="L152">
        <v>0</v>
      </c>
      <c r="M152">
        <v>7</v>
      </c>
      <c r="N152">
        <v>0</v>
      </c>
      <c r="O152">
        <v>7</v>
      </c>
      <c r="P152" t="s">
        <v>1248</v>
      </c>
      <c r="Q152" t="s">
        <v>1079</v>
      </c>
      <c r="R152" t="s">
        <v>1199</v>
      </c>
      <c r="S152" t="s">
        <v>947</v>
      </c>
      <c r="T152" t="s">
        <v>1080</v>
      </c>
      <c r="U152" t="s">
        <v>1249</v>
      </c>
      <c r="V152" t="s">
        <v>1165</v>
      </c>
      <c r="W152">
        <v>1</v>
      </c>
      <c r="X152">
        <v>7</v>
      </c>
      <c r="Y152" t="s">
        <v>1166</v>
      </c>
      <c r="Z152" t="s">
        <v>1167</v>
      </c>
      <c r="AA152" t="s">
        <v>1250</v>
      </c>
    </row>
    <row r="153" spans="1:27" x14ac:dyDescent="0.3">
      <c r="A153" t="s">
        <v>1553</v>
      </c>
      <c r="B153" t="s">
        <v>1554</v>
      </c>
      <c r="C153" t="s">
        <v>976</v>
      </c>
      <c r="D153" t="s">
        <v>658</v>
      </c>
      <c r="E153" t="s">
        <v>549</v>
      </c>
      <c r="F153">
        <v>46053</v>
      </c>
      <c r="G153" t="s">
        <v>496</v>
      </c>
      <c r="H153" t="s">
        <v>1159</v>
      </c>
      <c r="I153">
        <v>53050501</v>
      </c>
      <c r="J153" t="s">
        <v>1258</v>
      </c>
      <c r="K153" t="s">
        <v>1259</v>
      </c>
      <c r="L153">
        <v>0</v>
      </c>
      <c r="M153">
        <v>20</v>
      </c>
      <c r="N153">
        <v>0</v>
      </c>
      <c r="O153">
        <v>20</v>
      </c>
      <c r="P153" t="s">
        <v>1260</v>
      </c>
      <c r="Q153" t="s">
        <v>1123</v>
      </c>
      <c r="R153" t="s">
        <v>1199</v>
      </c>
      <c r="S153" t="s">
        <v>717</v>
      </c>
      <c r="T153" t="s">
        <v>717</v>
      </c>
      <c r="U153" t="s">
        <v>1261</v>
      </c>
      <c r="V153" t="s">
        <v>1165</v>
      </c>
      <c r="W153">
        <v>1</v>
      </c>
      <c r="X153">
        <v>20</v>
      </c>
      <c r="Y153" t="s">
        <v>1166</v>
      </c>
      <c r="Z153" t="s">
        <v>1167</v>
      </c>
      <c r="AA153" t="s">
        <v>1262</v>
      </c>
    </row>
    <row r="154" spans="1:27" x14ac:dyDescent="0.3">
      <c r="A154" t="s">
        <v>1555</v>
      </c>
      <c r="B154" t="s">
        <v>1264</v>
      </c>
      <c r="C154" t="s">
        <v>975</v>
      </c>
      <c r="D154" t="s">
        <v>1265</v>
      </c>
      <c r="E154" t="s">
        <v>549</v>
      </c>
      <c r="F154">
        <v>46053</v>
      </c>
      <c r="G154" t="s">
        <v>686</v>
      </c>
      <c r="H154" t="s">
        <v>1159</v>
      </c>
      <c r="I154">
        <v>11100501</v>
      </c>
      <c r="J154" t="s">
        <v>1160</v>
      </c>
      <c r="K154" t="s">
        <v>1266</v>
      </c>
      <c r="L154">
        <v>0</v>
      </c>
      <c r="M154">
        <v>31275.15</v>
      </c>
      <c r="N154">
        <v>19860.21</v>
      </c>
      <c r="O154">
        <v>11414.94</v>
      </c>
      <c r="P154" t="s">
        <v>1161</v>
      </c>
      <c r="Q154" t="s">
        <v>980</v>
      </c>
      <c r="R154" t="s">
        <v>1162</v>
      </c>
      <c r="S154" t="s">
        <v>1163</v>
      </c>
      <c r="T154" t="s">
        <v>926</v>
      </c>
      <c r="U154" t="s">
        <v>1164</v>
      </c>
      <c r="V154" t="s">
        <v>1165</v>
      </c>
      <c r="W154">
        <v>1</v>
      </c>
      <c r="X154">
        <v>11414.94</v>
      </c>
      <c r="Y154" t="s">
        <v>1166</v>
      </c>
      <c r="Z154" t="s">
        <v>1167</v>
      </c>
      <c r="AA154" t="s">
        <v>1168</v>
      </c>
    </row>
    <row r="155" spans="1:27" x14ac:dyDescent="0.3">
      <c r="A155" t="s">
        <v>1555</v>
      </c>
      <c r="B155" t="s">
        <v>1267</v>
      </c>
      <c r="C155" t="s">
        <v>975</v>
      </c>
      <c r="D155" t="s">
        <v>1265</v>
      </c>
      <c r="E155" t="s">
        <v>549</v>
      </c>
      <c r="F155">
        <v>46053</v>
      </c>
      <c r="G155" t="s">
        <v>686</v>
      </c>
      <c r="H155" t="s">
        <v>1159</v>
      </c>
      <c r="I155">
        <v>11200501</v>
      </c>
      <c r="J155" t="s">
        <v>1268</v>
      </c>
      <c r="K155" t="s">
        <v>1269</v>
      </c>
      <c r="L155">
        <v>0</v>
      </c>
      <c r="M155">
        <v>12465.95</v>
      </c>
      <c r="N155">
        <v>40.5</v>
      </c>
      <c r="O155">
        <v>12425.45</v>
      </c>
      <c r="P155" t="s">
        <v>1270</v>
      </c>
      <c r="Q155" t="s">
        <v>980</v>
      </c>
      <c r="R155" t="s">
        <v>1162</v>
      </c>
      <c r="S155" t="s">
        <v>1163</v>
      </c>
      <c r="T155" t="s">
        <v>926</v>
      </c>
      <c r="U155" t="s">
        <v>1271</v>
      </c>
      <c r="V155" t="s">
        <v>1165</v>
      </c>
      <c r="W155">
        <v>1</v>
      </c>
      <c r="X155">
        <v>12425.45</v>
      </c>
      <c r="Y155" t="s">
        <v>1166</v>
      </c>
      <c r="Z155" t="s">
        <v>1167</v>
      </c>
      <c r="AA155" t="s">
        <v>1272</v>
      </c>
    </row>
    <row r="156" spans="1:27" x14ac:dyDescent="0.3">
      <c r="A156" t="s">
        <v>1555</v>
      </c>
      <c r="B156" t="s">
        <v>1169</v>
      </c>
      <c r="C156" t="s">
        <v>975</v>
      </c>
      <c r="D156" t="s">
        <v>1265</v>
      </c>
      <c r="E156" t="s">
        <v>549</v>
      </c>
      <c r="F156">
        <v>46053</v>
      </c>
      <c r="G156" t="s">
        <v>686</v>
      </c>
      <c r="H156" t="s">
        <v>1159</v>
      </c>
      <c r="I156">
        <v>13050501</v>
      </c>
      <c r="J156" t="s">
        <v>1273</v>
      </c>
      <c r="K156" t="s">
        <v>1274</v>
      </c>
      <c r="L156">
        <v>0</v>
      </c>
      <c r="M156">
        <v>7520.8</v>
      </c>
      <c r="N156">
        <v>0</v>
      </c>
      <c r="O156">
        <v>7520.8</v>
      </c>
      <c r="P156" t="s">
        <v>1275</v>
      </c>
      <c r="Q156" t="s">
        <v>983</v>
      </c>
      <c r="R156" t="s">
        <v>1162</v>
      </c>
      <c r="S156" t="s">
        <v>1163</v>
      </c>
      <c r="T156" t="s">
        <v>984</v>
      </c>
      <c r="U156" t="s">
        <v>1276</v>
      </c>
      <c r="V156" t="s">
        <v>1165</v>
      </c>
      <c r="W156">
        <v>1</v>
      </c>
      <c r="X156">
        <v>7520.8</v>
      </c>
      <c r="Y156" t="s">
        <v>1166</v>
      </c>
      <c r="Z156" t="s">
        <v>1167</v>
      </c>
      <c r="AA156" t="s">
        <v>1277</v>
      </c>
    </row>
    <row r="157" spans="1:27" x14ac:dyDescent="0.3">
      <c r="A157" t="s">
        <v>1555</v>
      </c>
      <c r="B157" t="s">
        <v>1278</v>
      </c>
      <c r="C157" t="s">
        <v>975</v>
      </c>
      <c r="D157" t="s">
        <v>1265</v>
      </c>
      <c r="E157" t="s">
        <v>549</v>
      </c>
      <c r="F157">
        <v>46053</v>
      </c>
      <c r="G157" t="s">
        <v>686</v>
      </c>
      <c r="H157" t="s">
        <v>1159</v>
      </c>
      <c r="I157">
        <v>15280501</v>
      </c>
      <c r="J157" t="s">
        <v>1285</v>
      </c>
      <c r="K157" t="s">
        <v>1286</v>
      </c>
      <c r="L157">
        <v>0</v>
      </c>
      <c r="M157">
        <v>8811.86</v>
      </c>
      <c r="N157">
        <v>0</v>
      </c>
      <c r="O157">
        <v>8811.86</v>
      </c>
      <c r="P157" t="s">
        <v>1287</v>
      </c>
      <c r="Q157" t="s">
        <v>995</v>
      </c>
      <c r="R157" t="s">
        <v>1162</v>
      </c>
      <c r="S157" t="s">
        <v>957</v>
      </c>
      <c r="T157" t="s">
        <v>996</v>
      </c>
      <c r="U157" t="s">
        <v>1288</v>
      </c>
      <c r="V157" t="s">
        <v>1165</v>
      </c>
      <c r="W157">
        <v>1</v>
      </c>
      <c r="X157">
        <v>8811.86</v>
      </c>
      <c r="Y157" t="s">
        <v>1166</v>
      </c>
      <c r="Z157" t="s">
        <v>1167</v>
      </c>
      <c r="AA157" t="s">
        <v>1289</v>
      </c>
    </row>
    <row r="158" spans="1:27" x14ac:dyDescent="0.3">
      <c r="A158" t="s">
        <v>1555</v>
      </c>
      <c r="B158" t="s">
        <v>1556</v>
      </c>
      <c r="C158" t="s">
        <v>975</v>
      </c>
      <c r="D158" t="s">
        <v>1265</v>
      </c>
      <c r="E158" t="s">
        <v>549</v>
      </c>
      <c r="F158">
        <v>46053</v>
      </c>
      <c r="G158" t="s">
        <v>686</v>
      </c>
      <c r="H158" t="s">
        <v>1159</v>
      </c>
      <c r="I158">
        <v>22050501</v>
      </c>
      <c r="J158" t="s">
        <v>1273</v>
      </c>
      <c r="K158" t="s">
        <v>1291</v>
      </c>
      <c r="L158">
        <v>0</v>
      </c>
      <c r="M158">
        <v>0</v>
      </c>
      <c r="N158">
        <v>2127</v>
      </c>
      <c r="O158">
        <v>-2127</v>
      </c>
      <c r="P158" t="s">
        <v>1292</v>
      </c>
      <c r="Q158" t="s">
        <v>1008</v>
      </c>
      <c r="R158" t="s">
        <v>1162</v>
      </c>
      <c r="S158" t="s">
        <v>1173</v>
      </c>
      <c r="T158" t="s">
        <v>1009</v>
      </c>
      <c r="U158" t="s">
        <v>563</v>
      </c>
      <c r="V158" t="s">
        <v>1175</v>
      </c>
      <c r="W158">
        <v>-1</v>
      </c>
      <c r="X158">
        <v>2127</v>
      </c>
      <c r="Y158" t="s">
        <v>1166</v>
      </c>
      <c r="Z158" t="s">
        <v>1167</v>
      </c>
      <c r="AA158" t="s">
        <v>1293</v>
      </c>
    </row>
    <row r="159" spans="1:27" x14ac:dyDescent="0.3">
      <c r="A159" t="s">
        <v>1555</v>
      </c>
      <c r="B159" t="s">
        <v>1183</v>
      </c>
      <c r="C159" t="s">
        <v>975</v>
      </c>
      <c r="D159" t="s">
        <v>1265</v>
      </c>
      <c r="E159" t="s">
        <v>549</v>
      </c>
      <c r="F159">
        <v>46053</v>
      </c>
      <c r="G159" t="s">
        <v>686</v>
      </c>
      <c r="H159" t="s">
        <v>1159</v>
      </c>
      <c r="I159">
        <v>22050501</v>
      </c>
      <c r="J159" t="s">
        <v>1273</v>
      </c>
      <c r="K159" t="s">
        <v>1291</v>
      </c>
      <c r="L159">
        <v>0</v>
      </c>
      <c r="M159">
        <v>9410</v>
      </c>
      <c r="N159">
        <v>9410</v>
      </c>
      <c r="O159">
        <v>0</v>
      </c>
      <c r="P159" t="s">
        <v>1292</v>
      </c>
      <c r="Q159" t="s">
        <v>1008</v>
      </c>
      <c r="R159" t="s">
        <v>1162</v>
      </c>
      <c r="S159" t="s">
        <v>1173</v>
      </c>
      <c r="T159" t="s">
        <v>1009</v>
      </c>
      <c r="U159" t="s">
        <v>563</v>
      </c>
      <c r="V159" t="s">
        <v>1175</v>
      </c>
      <c r="W159">
        <v>-1</v>
      </c>
      <c r="Y159" t="s">
        <v>1166</v>
      </c>
      <c r="Z159" t="s">
        <v>1167</v>
      </c>
      <c r="AA159" t="s">
        <v>1293</v>
      </c>
    </row>
    <row r="160" spans="1:27" x14ac:dyDescent="0.3">
      <c r="A160" t="s">
        <v>1555</v>
      </c>
      <c r="B160" t="s">
        <v>1294</v>
      </c>
      <c r="C160" t="s">
        <v>975</v>
      </c>
      <c r="D160" t="s">
        <v>1265</v>
      </c>
      <c r="E160" t="s">
        <v>549</v>
      </c>
      <c r="F160">
        <v>46053</v>
      </c>
      <c r="G160" t="s">
        <v>686</v>
      </c>
      <c r="H160" t="s">
        <v>1159</v>
      </c>
      <c r="I160">
        <v>24080201</v>
      </c>
      <c r="J160" t="s">
        <v>1301</v>
      </c>
      <c r="K160" t="s">
        <v>1302</v>
      </c>
      <c r="L160">
        <v>0</v>
      </c>
      <c r="M160">
        <v>1586.14</v>
      </c>
      <c r="N160">
        <v>0</v>
      </c>
      <c r="O160">
        <v>1586.14</v>
      </c>
      <c r="P160" t="s">
        <v>1303</v>
      </c>
      <c r="Q160" t="s">
        <v>987</v>
      </c>
      <c r="R160" t="s">
        <v>1162</v>
      </c>
      <c r="S160" t="s">
        <v>1163</v>
      </c>
      <c r="T160" t="s">
        <v>988</v>
      </c>
      <c r="U160" t="s">
        <v>1304</v>
      </c>
      <c r="V160" t="s">
        <v>1165</v>
      </c>
      <c r="W160">
        <v>1</v>
      </c>
      <c r="X160">
        <v>1586.14</v>
      </c>
      <c r="Y160" t="s">
        <v>1166</v>
      </c>
      <c r="Z160" t="s">
        <v>1167</v>
      </c>
      <c r="AA160" t="s">
        <v>1305</v>
      </c>
    </row>
    <row r="161" spans="1:27" x14ac:dyDescent="0.3">
      <c r="A161" t="s">
        <v>1555</v>
      </c>
      <c r="B161" t="s">
        <v>1188</v>
      </c>
      <c r="C161" t="s">
        <v>975</v>
      </c>
      <c r="D161" t="s">
        <v>1265</v>
      </c>
      <c r="E161" t="s">
        <v>549</v>
      </c>
      <c r="F161">
        <v>46053</v>
      </c>
      <c r="G161" t="s">
        <v>686</v>
      </c>
      <c r="H161" t="s">
        <v>1159</v>
      </c>
      <c r="I161">
        <v>24080201</v>
      </c>
      <c r="J161" t="s">
        <v>1301</v>
      </c>
      <c r="K161" t="s">
        <v>1302</v>
      </c>
      <c r="L161">
        <v>0</v>
      </c>
      <c r="M161">
        <v>0</v>
      </c>
      <c r="N161">
        <v>984.16</v>
      </c>
      <c r="O161">
        <v>-984.16</v>
      </c>
      <c r="P161" t="s">
        <v>1303</v>
      </c>
      <c r="Q161" t="s">
        <v>987</v>
      </c>
      <c r="R161" t="s">
        <v>1162</v>
      </c>
      <c r="S161" t="s">
        <v>1163</v>
      </c>
      <c r="T161" t="s">
        <v>988</v>
      </c>
      <c r="U161" t="s">
        <v>1304</v>
      </c>
      <c r="V161" t="s">
        <v>1165</v>
      </c>
      <c r="W161">
        <v>1</v>
      </c>
      <c r="X161">
        <v>-984.16</v>
      </c>
      <c r="Y161" t="s">
        <v>1166</v>
      </c>
      <c r="Z161" t="s">
        <v>1167</v>
      </c>
      <c r="AA161" t="s">
        <v>1305</v>
      </c>
    </row>
    <row r="162" spans="1:27" x14ac:dyDescent="0.3">
      <c r="A162" t="s">
        <v>1555</v>
      </c>
      <c r="B162" t="s">
        <v>1557</v>
      </c>
      <c r="C162" t="s">
        <v>975</v>
      </c>
      <c r="D162" t="s">
        <v>1265</v>
      </c>
      <c r="E162" t="s">
        <v>549</v>
      </c>
      <c r="F162">
        <v>46053</v>
      </c>
      <c r="G162" t="s">
        <v>686</v>
      </c>
      <c r="H162" t="s">
        <v>1159</v>
      </c>
      <c r="I162">
        <v>31050501</v>
      </c>
      <c r="J162" t="s">
        <v>1178</v>
      </c>
      <c r="K162" t="s">
        <v>1308</v>
      </c>
      <c r="L162">
        <v>0</v>
      </c>
      <c r="M162">
        <v>0</v>
      </c>
      <c r="N162">
        <v>14208.08</v>
      </c>
      <c r="O162">
        <v>-14208.08</v>
      </c>
      <c r="P162" t="s">
        <v>1180</v>
      </c>
      <c r="Q162" t="s">
        <v>1028</v>
      </c>
      <c r="R162" t="s">
        <v>1162</v>
      </c>
      <c r="S162" t="s">
        <v>1181</v>
      </c>
      <c r="T162" t="s">
        <v>1029</v>
      </c>
      <c r="U162" t="s">
        <v>1182</v>
      </c>
      <c r="V162" t="s">
        <v>1175</v>
      </c>
      <c r="W162">
        <v>-1</v>
      </c>
      <c r="X162">
        <v>14208.08</v>
      </c>
      <c r="Y162" t="s">
        <v>1166</v>
      </c>
      <c r="Z162" t="s">
        <v>1167</v>
      </c>
      <c r="AA162" t="s">
        <v>1029</v>
      </c>
    </row>
    <row r="163" spans="1:27" x14ac:dyDescent="0.3">
      <c r="A163" t="s">
        <v>1555</v>
      </c>
      <c r="B163" t="s">
        <v>1202</v>
      </c>
      <c r="C163" t="s">
        <v>975</v>
      </c>
      <c r="D163" t="s">
        <v>1265</v>
      </c>
      <c r="E163" t="s">
        <v>549</v>
      </c>
      <c r="F163">
        <v>46053</v>
      </c>
      <c r="G163" t="s">
        <v>686</v>
      </c>
      <c r="H163" t="s">
        <v>1159</v>
      </c>
      <c r="I163">
        <v>37050501</v>
      </c>
      <c r="J163" t="s">
        <v>1310</v>
      </c>
      <c r="K163" t="s">
        <v>1311</v>
      </c>
      <c r="L163">
        <v>0</v>
      </c>
      <c r="M163">
        <v>0</v>
      </c>
      <c r="N163">
        <v>26659.66</v>
      </c>
      <c r="O163">
        <v>-26659.66</v>
      </c>
      <c r="P163" t="s">
        <v>1312</v>
      </c>
      <c r="Q163" t="s">
        <v>1031</v>
      </c>
      <c r="R163" t="s">
        <v>1162</v>
      </c>
      <c r="S163" t="s">
        <v>1181</v>
      </c>
      <c r="T163" t="s">
        <v>1032</v>
      </c>
      <c r="U163" t="s">
        <v>938</v>
      </c>
      <c r="V163" t="s">
        <v>1175</v>
      </c>
      <c r="W163">
        <v>-1</v>
      </c>
      <c r="X163">
        <v>26659.66</v>
      </c>
      <c r="Y163" t="s">
        <v>1166</v>
      </c>
      <c r="Z163" t="s">
        <v>1167</v>
      </c>
      <c r="AA163" t="s">
        <v>1313</v>
      </c>
    </row>
    <row r="164" spans="1:27" x14ac:dyDescent="0.3">
      <c r="A164" t="s">
        <v>1555</v>
      </c>
      <c r="B164" t="s">
        <v>1307</v>
      </c>
      <c r="C164" t="s">
        <v>975</v>
      </c>
      <c r="D164" t="s">
        <v>1265</v>
      </c>
      <c r="E164" t="s">
        <v>549</v>
      </c>
      <c r="F164">
        <v>46053</v>
      </c>
      <c r="G164" t="s">
        <v>686</v>
      </c>
      <c r="H164" t="s">
        <v>1159</v>
      </c>
      <c r="I164">
        <v>52109501</v>
      </c>
      <c r="J164" t="s">
        <v>1232</v>
      </c>
      <c r="K164" t="s">
        <v>1333</v>
      </c>
      <c r="L164">
        <v>0</v>
      </c>
      <c r="M164">
        <v>2127</v>
      </c>
      <c r="N164">
        <v>0</v>
      </c>
      <c r="O164">
        <v>2127</v>
      </c>
      <c r="P164" t="s">
        <v>1334</v>
      </c>
      <c r="Q164" t="s">
        <v>1095</v>
      </c>
      <c r="R164" t="s">
        <v>1199</v>
      </c>
      <c r="S164" t="s">
        <v>948</v>
      </c>
      <c r="T164" t="s">
        <v>1096</v>
      </c>
      <c r="U164" t="s">
        <v>1335</v>
      </c>
      <c r="V164" t="s">
        <v>1165</v>
      </c>
      <c r="W164">
        <v>1</v>
      </c>
      <c r="X164">
        <v>2127</v>
      </c>
      <c r="Y164" t="s">
        <v>1192</v>
      </c>
      <c r="Z164" t="s">
        <v>1193</v>
      </c>
      <c r="AA164" t="s">
        <v>1336</v>
      </c>
    </row>
    <row r="165" spans="1:27" x14ac:dyDescent="0.3">
      <c r="A165" t="s">
        <v>1555</v>
      </c>
      <c r="B165" t="s">
        <v>1309</v>
      </c>
      <c r="C165" t="s">
        <v>975</v>
      </c>
      <c r="D165" t="s">
        <v>1265</v>
      </c>
      <c r="E165" t="s">
        <v>549</v>
      </c>
      <c r="F165">
        <v>46053</v>
      </c>
      <c r="G165" t="s">
        <v>686</v>
      </c>
      <c r="H165" t="s">
        <v>1159</v>
      </c>
      <c r="I165">
        <v>53050501</v>
      </c>
      <c r="J165" t="s">
        <v>1258</v>
      </c>
      <c r="K165" t="s">
        <v>1258</v>
      </c>
      <c r="L165">
        <v>0</v>
      </c>
      <c r="M165">
        <v>11.06</v>
      </c>
      <c r="N165">
        <v>0</v>
      </c>
      <c r="O165">
        <v>11.06</v>
      </c>
      <c r="P165" t="s">
        <v>1260</v>
      </c>
      <c r="Q165" t="s">
        <v>1123</v>
      </c>
      <c r="R165" t="s">
        <v>1199</v>
      </c>
      <c r="S165" t="s">
        <v>717</v>
      </c>
      <c r="T165" t="s">
        <v>717</v>
      </c>
      <c r="U165" t="s">
        <v>1261</v>
      </c>
      <c r="V165" t="s">
        <v>1165</v>
      </c>
      <c r="W165">
        <v>1</v>
      </c>
      <c r="X165">
        <v>11.06</v>
      </c>
      <c r="Y165" t="s">
        <v>1166</v>
      </c>
      <c r="Z165" t="s">
        <v>1167</v>
      </c>
      <c r="AA165" t="s">
        <v>1262</v>
      </c>
    </row>
    <row r="166" spans="1:27" x14ac:dyDescent="0.3">
      <c r="A166" t="s">
        <v>1555</v>
      </c>
      <c r="B166" t="s">
        <v>1218</v>
      </c>
      <c r="C166" t="s">
        <v>975</v>
      </c>
      <c r="D166" t="s">
        <v>1265</v>
      </c>
      <c r="E166" t="s">
        <v>549</v>
      </c>
      <c r="F166">
        <v>46053</v>
      </c>
      <c r="G166" t="s">
        <v>686</v>
      </c>
      <c r="H166" t="s">
        <v>1159</v>
      </c>
      <c r="I166">
        <v>53050503</v>
      </c>
      <c r="J166" t="s">
        <v>1258</v>
      </c>
      <c r="K166" t="s">
        <v>573</v>
      </c>
      <c r="L166">
        <v>0</v>
      </c>
      <c r="M166">
        <v>1.65</v>
      </c>
      <c r="N166">
        <v>0</v>
      </c>
      <c r="O166">
        <v>1.65</v>
      </c>
      <c r="P166" t="s">
        <v>1260</v>
      </c>
      <c r="Q166" t="s">
        <v>1123</v>
      </c>
      <c r="R166" t="s">
        <v>1199</v>
      </c>
      <c r="S166" t="s">
        <v>717</v>
      </c>
      <c r="T166" t="s">
        <v>717</v>
      </c>
      <c r="U166" t="s">
        <v>1261</v>
      </c>
      <c r="V166" t="s">
        <v>1165</v>
      </c>
      <c r="W166">
        <v>1</v>
      </c>
      <c r="X166">
        <v>1.65</v>
      </c>
      <c r="Y166" t="s">
        <v>1166</v>
      </c>
      <c r="Z166" t="s">
        <v>1167</v>
      </c>
      <c r="AA166" t="s">
        <v>1262</v>
      </c>
    </row>
    <row r="167" spans="1:27" x14ac:dyDescent="0.3">
      <c r="A167" t="s">
        <v>1555</v>
      </c>
      <c r="B167" t="s">
        <v>1224</v>
      </c>
      <c r="C167" t="s">
        <v>975</v>
      </c>
      <c r="D167" t="s">
        <v>1265</v>
      </c>
      <c r="E167" t="s">
        <v>549</v>
      </c>
      <c r="F167">
        <v>46053</v>
      </c>
      <c r="G167" t="s">
        <v>686</v>
      </c>
      <c r="H167" t="s">
        <v>1159</v>
      </c>
      <c r="I167">
        <v>53050504</v>
      </c>
      <c r="J167" t="s">
        <v>1258</v>
      </c>
      <c r="K167" t="s">
        <v>1371</v>
      </c>
      <c r="L167">
        <v>0</v>
      </c>
      <c r="M167">
        <v>80</v>
      </c>
      <c r="N167">
        <v>0</v>
      </c>
      <c r="O167">
        <v>80</v>
      </c>
      <c r="P167" t="s">
        <v>1260</v>
      </c>
      <c r="Q167" t="s">
        <v>1123</v>
      </c>
      <c r="R167" t="s">
        <v>1199</v>
      </c>
      <c r="S167" t="s">
        <v>717</v>
      </c>
      <c r="T167" t="s">
        <v>717</v>
      </c>
      <c r="U167" t="s">
        <v>1261</v>
      </c>
      <c r="V167" t="s">
        <v>1165</v>
      </c>
      <c r="W167">
        <v>1</v>
      </c>
      <c r="X167">
        <v>80</v>
      </c>
      <c r="Y167" t="s">
        <v>1166</v>
      </c>
      <c r="Z167" t="s">
        <v>1167</v>
      </c>
      <c r="AA167" t="s">
        <v>1262</v>
      </c>
    </row>
    <row r="168" spans="1:27" x14ac:dyDescent="0.3">
      <c r="A168" t="s">
        <v>1558</v>
      </c>
      <c r="B168" t="s">
        <v>1158</v>
      </c>
      <c r="C168" t="s">
        <v>974</v>
      </c>
      <c r="D168" t="s">
        <v>1373</v>
      </c>
      <c r="E168" t="s">
        <v>549</v>
      </c>
      <c r="F168">
        <v>46053</v>
      </c>
      <c r="G168" t="s">
        <v>496</v>
      </c>
      <c r="H168" t="s">
        <v>1159</v>
      </c>
      <c r="I168">
        <v>11100501</v>
      </c>
      <c r="J168" t="s">
        <v>1160</v>
      </c>
      <c r="L168">
        <v>232389.83</v>
      </c>
      <c r="M168">
        <v>600</v>
      </c>
      <c r="N168">
        <v>0</v>
      </c>
      <c r="O168">
        <v>232989.83</v>
      </c>
      <c r="P168" t="s">
        <v>1161</v>
      </c>
      <c r="Q168" t="s">
        <v>980</v>
      </c>
      <c r="R168" t="s">
        <v>1162</v>
      </c>
      <c r="S168" t="s">
        <v>1163</v>
      </c>
      <c r="T168" t="s">
        <v>926</v>
      </c>
      <c r="U168" t="s">
        <v>1164</v>
      </c>
      <c r="V168" t="s">
        <v>1165</v>
      </c>
      <c r="W168">
        <v>1</v>
      </c>
      <c r="X168">
        <v>232989.83</v>
      </c>
      <c r="Y168" t="s">
        <v>1166</v>
      </c>
      <c r="Z168" t="s">
        <v>1167</v>
      </c>
      <c r="AA168" t="s">
        <v>1168</v>
      </c>
    </row>
    <row r="169" spans="1:27" x14ac:dyDescent="0.3">
      <c r="A169" t="s">
        <v>1558</v>
      </c>
      <c r="B169" t="s">
        <v>1374</v>
      </c>
      <c r="C169" t="s">
        <v>974</v>
      </c>
      <c r="D169" t="s">
        <v>1373</v>
      </c>
      <c r="E169" t="s">
        <v>549</v>
      </c>
      <c r="F169">
        <v>46053</v>
      </c>
      <c r="G169" t="s">
        <v>496</v>
      </c>
      <c r="H169" t="s">
        <v>1159</v>
      </c>
      <c r="I169">
        <v>11100502</v>
      </c>
      <c r="J169" t="s">
        <v>1160</v>
      </c>
      <c r="L169">
        <v>110533.03</v>
      </c>
      <c r="M169">
        <v>3149.83</v>
      </c>
      <c r="N169">
        <v>13923.39</v>
      </c>
      <c r="O169">
        <v>99759.47</v>
      </c>
      <c r="P169" t="s">
        <v>1161</v>
      </c>
      <c r="Q169" t="s">
        <v>980</v>
      </c>
      <c r="R169" t="s">
        <v>1162</v>
      </c>
      <c r="S169" t="s">
        <v>1163</v>
      </c>
      <c r="T169" t="s">
        <v>926</v>
      </c>
      <c r="U169" t="s">
        <v>1164</v>
      </c>
      <c r="V169" t="s">
        <v>1165</v>
      </c>
      <c r="W169">
        <v>1</v>
      </c>
      <c r="X169">
        <v>99759.47</v>
      </c>
      <c r="Y169" t="s">
        <v>1166</v>
      </c>
      <c r="Z169" t="s">
        <v>1167</v>
      </c>
      <c r="AA169" t="s">
        <v>1168</v>
      </c>
    </row>
    <row r="170" spans="1:27" x14ac:dyDescent="0.3">
      <c r="A170" t="s">
        <v>1558</v>
      </c>
      <c r="B170" t="s">
        <v>1267</v>
      </c>
      <c r="C170" t="s">
        <v>974</v>
      </c>
      <c r="D170" t="s">
        <v>1373</v>
      </c>
      <c r="E170" t="s">
        <v>549</v>
      </c>
      <c r="F170">
        <v>46053</v>
      </c>
      <c r="G170" t="s">
        <v>496</v>
      </c>
      <c r="H170" t="s">
        <v>1159</v>
      </c>
      <c r="I170">
        <v>11100503</v>
      </c>
      <c r="J170" t="s">
        <v>1160</v>
      </c>
      <c r="L170">
        <v>36808.14</v>
      </c>
      <c r="M170">
        <v>0.03</v>
      </c>
      <c r="N170">
        <v>0</v>
      </c>
      <c r="O170">
        <v>36808.17</v>
      </c>
      <c r="P170" t="s">
        <v>1161</v>
      </c>
      <c r="Q170" t="s">
        <v>980</v>
      </c>
      <c r="R170" t="s">
        <v>1162</v>
      </c>
      <c r="S170" t="s">
        <v>1163</v>
      </c>
      <c r="T170" t="s">
        <v>926</v>
      </c>
      <c r="U170" t="s">
        <v>1164</v>
      </c>
      <c r="V170" t="s">
        <v>1165</v>
      </c>
      <c r="W170">
        <v>1</v>
      </c>
      <c r="X170">
        <v>36808.17</v>
      </c>
      <c r="Y170" t="s">
        <v>1166</v>
      </c>
      <c r="Z170" t="s">
        <v>1167</v>
      </c>
      <c r="AA170" t="s">
        <v>1168</v>
      </c>
    </row>
    <row r="171" spans="1:27" x14ac:dyDescent="0.3">
      <c r="A171" t="s">
        <v>1558</v>
      </c>
      <c r="B171" t="s">
        <v>1375</v>
      </c>
      <c r="C171" t="s">
        <v>974</v>
      </c>
      <c r="D171" t="s">
        <v>1373</v>
      </c>
      <c r="E171" t="s">
        <v>549</v>
      </c>
      <c r="F171">
        <v>46053</v>
      </c>
      <c r="G171" t="s">
        <v>496</v>
      </c>
      <c r="H171" t="s">
        <v>1159</v>
      </c>
      <c r="I171">
        <v>13050501</v>
      </c>
      <c r="J171" t="s">
        <v>1273</v>
      </c>
      <c r="K171" t="s">
        <v>1376</v>
      </c>
      <c r="L171">
        <v>3151.25</v>
      </c>
      <c r="M171">
        <v>2830.35</v>
      </c>
      <c r="N171">
        <v>0</v>
      </c>
      <c r="O171">
        <v>5981.6</v>
      </c>
      <c r="P171" t="s">
        <v>1275</v>
      </c>
      <c r="Q171" t="s">
        <v>983</v>
      </c>
      <c r="R171" t="s">
        <v>1162</v>
      </c>
      <c r="S171" t="s">
        <v>1163</v>
      </c>
      <c r="T171" t="s">
        <v>984</v>
      </c>
      <c r="U171" t="s">
        <v>1276</v>
      </c>
      <c r="V171" t="s">
        <v>1165</v>
      </c>
      <c r="W171">
        <v>1</v>
      </c>
      <c r="X171">
        <v>5981.6</v>
      </c>
      <c r="Y171" t="s">
        <v>1166</v>
      </c>
      <c r="Z171" t="s">
        <v>1167</v>
      </c>
      <c r="AA171" t="s">
        <v>1277</v>
      </c>
    </row>
    <row r="172" spans="1:27" x14ac:dyDescent="0.3">
      <c r="A172" t="s">
        <v>1558</v>
      </c>
      <c r="B172" t="s">
        <v>1377</v>
      </c>
      <c r="C172" t="s">
        <v>974</v>
      </c>
      <c r="D172" t="s">
        <v>1373</v>
      </c>
      <c r="E172" t="s">
        <v>549</v>
      </c>
      <c r="F172">
        <v>46053</v>
      </c>
      <c r="G172" t="s">
        <v>496</v>
      </c>
      <c r="H172" t="s">
        <v>1159</v>
      </c>
      <c r="I172">
        <v>13050501</v>
      </c>
      <c r="J172" t="s">
        <v>1273</v>
      </c>
      <c r="K172" t="s">
        <v>1378</v>
      </c>
      <c r="L172">
        <v>0</v>
      </c>
      <c r="M172">
        <v>300</v>
      </c>
      <c r="N172">
        <v>517</v>
      </c>
      <c r="O172">
        <v>-217</v>
      </c>
      <c r="P172" t="s">
        <v>1275</v>
      </c>
      <c r="Q172" t="s">
        <v>983</v>
      </c>
      <c r="R172" t="s">
        <v>1162</v>
      </c>
      <c r="S172" t="s">
        <v>1163</v>
      </c>
      <c r="T172" t="s">
        <v>984</v>
      </c>
      <c r="U172" t="s">
        <v>1276</v>
      </c>
      <c r="V172" t="s">
        <v>1165</v>
      </c>
      <c r="W172">
        <v>1</v>
      </c>
      <c r="X172">
        <v>-217</v>
      </c>
      <c r="Y172" t="s">
        <v>1166</v>
      </c>
      <c r="Z172" t="s">
        <v>1167</v>
      </c>
      <c r="AA172" t="s">
        <v>1277</v>
      </c>
    </row>
    <row r="173" spans="1:27" x14ac:dyDescent="0.3">
      <c r="A173" t="s">
        <v>1558</v>
      </c>
      <c r="B173" t="s">
        <v>1278</v>
      </c>
      <c r="C173" t="s">
        <v>974</v>
      </c>
      <c r="D173" t="s">
        <v>1373</v>
      </c>
      <c r="E173" t="s">
        <v>549</v>
      </c>
      <c r="F173">
        <v>46053</v>
      </c>
      <c r="G173" t="s">
        <v>496</v>
      </c>
      <c r="H173" t="s">
        <v>1159</v>
      </c>
      <c r="I173">
        <v>13050501</v>
      </c>
      <c r="J173" t="s">
        <v>1273</v>
      </c>
      <c r="K173" t="s">
        <v>1379</v>
      </c>
      <c r="L173">
        <v>0</v>
      </c>
      <c r="M173">
        <v>217</v>
      </c>
      <c r="N173">
        <v>0</v>
      </c>
      <c r="O173">
        <v>217</v>
      </c>
      <c r="P173" t="s">
        <v>1275</v>
      </c>
      <c r="Q173" t="s">
        <v>983</v>
      </c>
      <c r="R173" t="s">
        <v>1162</v>
      </c>
      <c r="S173" t="s">
        <v>1163</v>
      </c>
      <c r="T173" t="s">
        <v>984</v>
      </c>
      <c r="U173" t="s">
        <v>1276</v>
      </c>
      <c r="V173" t="s">
        <v>1165</v>
      </c>
      <c r="W173">
        <v>1</v>
      </c>
      <c r="X173">
        <v>217</v>
      </c>
      <c r="Y173" t="s">
        <v>1166</v>
      </c>
      <c r="Z173" t="s">
        <v>1167</v>
      </c>
      <c r="AA173" t="s">
        <v>1277</v>
      </c>
    </row>
    <row r="174" spans="1:27" x14ac:dyDescent="0.3">
      <c r="A174" t="s">
        <v>1558</v>
      </c>
      <c r="B174" t="s">
        <v>1380</v>
      </c>
      <c r="C174" t="s">
        <v>974</v>
      </c>
      <c r="D174" t="s">
        <v>1373</v>
      </c>
      <c r="E174" t="s">
        <v>549</v>
      </c>
      <c r="F174">
        <v>46053</v>
      </c>
      <c r="G174" t="s">
        <v>496</v>
      </c>
      <c r="H174" t="s">
        <v>1159</v>
      </c>
      <c r="I174">
        <v>13050501</v>
      </c>
      <c r="J174" t="s">
        <v>1273</v>
      </c>
      <c r="K174" t="s">
        <v>1381</v>
      </c>
      <c r="L174">
        <v>0</v>
      </c>
      <c r="M174">
        <v>96.45</v>
      </c>
      <c r="N174">
        <v>0</v>
      </c>
      <c r="O174">
        <v>96.45</v>
      </c>
      <c r="P174" t="s">
        <v>1275</v>
      </c>
      <c r="Q174" t="s">
        <v>983</v>
      </c>
      <c r="R174" t="s">
        <v>1162</v>
      </c>
      <c r="S174" t="s">
        <v>1163</v>
      </c>
      <c r="T174" t="s">
        <v>984</v>
      </c>
      <c r="U174" t="s">
        <v>1276</v>
      </c>
      <c r="V174" t="s">
        <v>1165</v>
      </c>
      <c r="W174">
        <v>1</v>
      </c>
      <c r="X174">
        <v>96.45</v>
      </c>
      <c r="Y174" t="s">
        <v>1166</v>
      </c>
      <c r="Z174" t="s">
        <v>1167</v>
      </c>
      <c r="AA174" t="s">
        <v>1277</v>
      </c>
    </row>
    <row r="175" spans="1:27" x14ac:dyDescent="0.3">
      <c r="A175" t="s">
        <v>1558</v>
      </c>
      <c r="B175" t="s">
        <v>1177</v>
      </c>
      <c r="C175" t="s">
        <v>974</v>
      </c>
      <c r="D175" t="s">
        <v>1373</v>
      </c>
      <c r="E175" t="s">
        <v>549</v>
      </c>
      <c r="F175">
        <v>46053</v>
      </c>
      <c r="G175" t="s">
        <v>496</v>
      </c>
      <c r="H175" t="s">
        <v>1159</v>
      </c>
      <c r="I175">
        <v>13050501</v>
      </c>
      <c r="J175" t="s">
        <v>1273</v>
      </c>
      <c r="K175" t="s">
        <v>1382</v>
      </c>
      <c r="L175">
        <v>0</v>
      </c>
      <c r="M175">
        <v>55</v>
      </c>
      <c r="N175">
        <v>0</v>
      </c>
      <c r="O175">
        <v>55</v>
      </c>
      <c r="P175" t="s">
        <v>1275</v>
      </c>
      <c r="Q175" t="s">
        <v>983</v>
      </c>
      <c r="R175" t="s">
        <v>1162</v>
      </c>
      <c r="S175" t="s">
        <v>1163</v>
      </c>
      <c r="T175" t="s">
        <v>984</v>
      </c>
      <c r="U175" t="s">
        <v>1276</v>
      </c>
      <c r="V175" t="s">
        <v>1165</v>
      </c>
      <c r="W175">
        <v>1</v>
      </c>
      <c r="X175">
        <v>55</v>
      </c>
      <c r="Y175" t="s">
        <v>1166</v>
      </c>
      <c r="Z175" t="s">
        <v>1167</v>
      </c>
      <c r="AA175" t="s">
        <v>1277</v>
      </c>
    </row>
    <row r="176" spans="1:27" x14ac:dyDescent="0.3">
      <c r="A176" t="s">
        <v>1558</v>
      </c>
      <c r="B176" t="s">
        <v>1183</v>
      </c>
      <c r="C176" t="s">
        <v>974</v>
      </c>
      <c r="D176" t="s">
        <v>1373</v>
      </c>
      <c r="E176" t="s">
        <v>549</v>
      </c>
      <c r="F176">
        <v>46053</v>
      </c>
      <c r="G176" t="s">
        <v>496</v>
      </c>
      <c r="H176" t="s">
        <v>1159</v>
      </c>
      <c r="I176">
        <v>13802001</v>
      </c>
      <c r="J176" t="s">
        <v>1386</v>
      </c>
      <c r="K176" t="s">
        <v>1387</v>
      </c>
      <c r="L176">
        <v>0</v>
      </c>
      <c r="M176">
        <v>4300</v>
      </c>
      <c r="N176">
        <v>0</v>
      </c>
      <c r="O176">
        <v>4300</v>
      </c>
      <c r="P176" t="s">
        <v>1388</v>
      </c>
      <c r="Q176" t="s">
        <v>989</v>
      </c>
      <c r="R176" t="s">
        <v>1162</v>
      </c>
      <c r="S176" t="s">
        <v>1163</v>
      </c>
      <c r="T176" t="s">
        <v>990</v>
      </c>
      <c r="U176" t="s">
        <v>1389</v>
      </c>
      <c r="V176" t="s">
        <v>1165</v>
      </c>
      <c r="W176">
        <v>1</v>
      </c>
      <c r="X176">
        <v>4300</v>
      </c>
      <c r="Y176" t="s">
        <v>1166</v>
      </c>
      <c r="Z176" t="s">
        <v>1193</v>
      </c>
      <c r="AA176" t="s">
        <v>1390</v>
      </c>
    </row>
    <row r="177" spans="1:27" x14ac:dyDescent="0.3">
      <c r="A177" t="s">
        <v>1558</v>
      </c>
      <c r="B177" t="s">
        <v>1559</v>
      </c>
      <c r="C177" t="s">
        <v>974</v>
      </c>
      <c r="D177" t="s">
        <v>1373</v>
      </c>
      <c r="E177" t="s">
        <v>549</v>
      </c>
      <c r="F177">
        <v>46053</v>
      </c>
      <c r="G177" t="s">
        <v>496</v>
      </c>
      <c r="H177" t="s">
        <v>1159</v>
      </c>
      <c r="I177">
        <v>13802001</v>
      </c>
      <c r="J177" t="s">
        <v>1386</v>
      </c>
      <c r="K177" t="s">
        <v>1179</v>
      </c>
      <c r="L177">
        <v>16811</v>
      </c>
      <c r="M177">
        <v>1728</v>
      </c>
      <c r="N177">
        <v>0</v>
      </c>
      <c r="O177">
        <v>18539</v>
      </c>
      <c r="P177" t="s">
        <v>1388</v>
      </c>
      <c r="Q177" t="s">
        <v>989</v>
      </c>
      <c r="R177" t="s">
        <v>1162</v>
      </c>
      <c r="S177" t="s">
        <v>1163</v>
      </c>
      <c r="T177" t="s">
        <v>990</v>
      </c>
      <c r="U177" t="s">
        <v>1389</v>
      </c>
      <c r="V177" t="s">
        <v>1165</v>
      </c>
      <c r="W177">
        <v>1</v>
      </c>
      <c r="X177">
        <v>18539</v>
      </c>
      <c r="Y177" t="s">
        <v>1166</v>
      </c>
      <c r="Z177" t="s">
        <v>1193</v>
      </c>
      <c r="AA177" t="s">
        <v>1390</v>
      </c>
    </row>
    <row r="178" spans="1:27" x14ac:dyDescent="0.3">
      <c r="A178" t="s">
        <v>1558</v>
      </c>
      <c r="B178" t="s">
        <v>1290</v>
      </c>
      <c r="C178" t="s">
        <v>974</v>
      </c>
      <c r="D178" t="s">
        <v>1373</v>
      </c>
      <c r="E178" t="s">
        <v>549</v>
      </c>
      <c r="F178">
        <v>46053</v>
      </c>
      <c r="G178" t="s">
        <v>496</v>
      </c>
      <c r="H178" t="s">
        <v>1159</v>
      </c>
      <c r="I178">
        <v>13802001</v>
      </c>
      <c r="J178" t="s">
        <v>1386</v>
      </c>
      <c r="K178" t="s">
        <v>1392</v>
      </c>
      <c r="L178">
        <v>575000</v>
      </c>
      <c r="M178">
        <v>0</v>
      </c>
      <c r="N178">
        <v>3108.29</v>
      </c>
      <c r="O178">
        <v>571891.71</v>
      </c>
      <c r="P178" t="s">
        <v>1388</v>
      </c>
      <c r="Q178" t="s">
        <v>989</v>
      </c>
      <c r="R178" t="s">
        <v>1162</v>
      </c>
      <c r="S178" t="s">
        <v>1163</v>
      </c>
      <c r="T178" t="s">
        <v>990</v>
      </c>
      <c r="U178" t="s">
        <v>1389</v>
      </c>
      <c r="V178" t="s">
        <v>1165</v>
      </c>
      <c r="W178">
        <v>1</v>
      </c>
      <c r="X178">
        <v>571891.71</v>
      </c>
      <c r="Y178" t="s">
        <v>1166</v>
      </c>
      <c r="Z178" t="s">
        <v>1193</v>
      </c>
      <c r="AA178" t="s">
        <v>1390</v>
      </c>
    </row>
    <row r="179" spans="1:27" x14ac:dyDescent="0.3">
      <c r="A179" t="s">
        <v>1558</v>
      </c>
      <c r="B179" t="s">
        <v>1560</v>
      </c>
      <c r="C179" t="s">
        <v>974</v>
      </c>
      <c r="D179" t="s">
        <v>1373</v>
      </c>
      <c r="E179" t="s">
        <v>549</v>
      </c>
      <c r="F179">
        <v>46053</v>
      </c>
      <c r="G179" t="s">
        <v>496</v>
      </c>
      <c r="H179" t="s">
        <v>1159</v>
      </c>
      <c r="I179">
        <v>15280501</v>
      </c>
      <c r="J179" t="s">
        <v>1285</v>
      </c>
      <c r="L179">
        <v>7484</v>
      </c>
      <c r="M179">
        <v>1333.22</v>
      </c>
      <c r="N179">
        <v>0</v>
      </c>
      <c r="O179">
        <v>8817.2199999999993</v>
      </c>
      <c r="P179" t="s">
        <v>1287</v>
      </c>
      <c r="Q179" t="s">
        <v>995</v>
      </c>
      <c r="R179" t="s">
        <v>1162</v>
      </c>
      <c r="S179" t="s">
        <v>957</v>
      </c>
      <c r="T179" t="s">
        <v>996</v>
      </c>
      <c r="U179" t="s">
        <v>1288</v>
      </c>
      <c r="V179" t="s">
        <v>1165</v>
      </c>
      <c r="W179">
        <v>1</v>
      </c>
      <c r="X179">
        <v>8817.2199999999993</v>
      </c>
      <c r="Y179" t="s">
        <v>1166</v>
      </c>
      <c r="Z179" t="s">
        <v>1167</v>
      </c>
      <c r="AA179" t="s">
        <v>1289</v>
      </c>
    </row>
    <row r="180" spans="1:27" x14ac:dyDescent="0.3">
      <c r="A180" t="s">
        <v>1558</v>
      </c>
      <c r="B180" t="s">
        <v>1195</v>
      </c>
      <c r="C180" t="s">
        <v>974</v>
      </c>
      <c r="D180" t="s">
        <v>1373</v>
      </c>
      <c r="E180" t="s">
        <v>549</v>
      </c>
      <c r="F180">
        <v>46053</v>
      </c>
      <c r="G180" t="s">
        <v>496</v>
      </c>
      <c r="H180" t="s">
        <v>1159</v>
      </c>
      <c r="I180">
        <v>15922001</v>
      </c>
      <c r="J180" t="s">
        <v>1394</v>
      </c>
      <c r="L180">
        <v>-4924</v>
      </c>
      <c r="M180">
        <v>0</v>
      </c>
      <c r="N180">
        <v>0</v>
      </c>
      <c r="O180">
        <v>-4924</v>
      </c>
      <c r="P180" t="s">
        <v>1395</v>
      </c>
      <c r="Q180" t="s">
        <v>997</v>
      </c>
      <c r="R180" t="s">
        <v>1162</v>
      </c>
      <c r="S180" t="s">
        <v>957</v>
      </c>
      <c r="T180" t="s">
        <v>998</v>
      </c>
      <c r="U180" t="s">
        <v>1288</v>
      </c>
      <c r="V180" t="s">
        <v>1396</v>
      </c>
      <c r="W180">
        <v>1</v>
      </c>
      <c r="X180">
        <v>-4924</v>
      </c>
      <c r="Y180" t="s">
        <v>1166</v>
      </c>
      <c r="Z180" t="s">
        <v>1167</v>
      </c>
      <c r="AA180" t="s">
        <v>1397</v>
      </c>
    </row>
    <row r="181" spans="1:27" x14ac:dyDescent="0.3">
      <c r="A181" t="s">
        <v>1558</v>
      </c>
      <c r="B181" t="s">
        <v>1561</v>
      </c>
      <c r="C181" t="s">
        <v>974</v>
      </c>
      <c r="D181" t="s">
        <v>1373</v>
      </c>
      <c r="E181" t="s">
        <v>549</v>
      </c>
      <c r="F181">
        <v>46053</v>
      </c>
      <c r="G181" t="s">
        <v>496</v>
      </c>
      <c r="H181" t="s">
        <v>1159</v>
      </c>
      <c r="I181">
        <v>21051001</v>
      </c>
      <c r="J181" t="s">
        <v>1399</v>
      </c>
      <c r="K181" t="s">
        <v>1458</v>
      </c>
      <c r="L181">
        <v>0</v>
      </c>
      <c r="M181">
        <v>21.35</v>
      </c>
      <c r="N181">
        <v>21.35</v>
      </c>
      <c r="O181">
        <v>0</v>
      </c>
      <c r="P181" t="s">
        <v>1401</v>
      </c>
      <c r="Q181" t="s">
        <v>1006</v>
      </c>
      <c r="R181" t="s">
        <v>1162</v>
      </c>
      <c r="S181" t="s">
        <v>1402</v>
      </c>
      <c r="T181" t="s">
        <v>1007</v>
      </c>
      <c r="U181" t="s">
        <v>1403</v>
      </c>
      <c r="V181" t="s">
        <v>1175</v>
      </c>
      <c r="W181">
        <v>-1</v>
      </c>
      <c r="Y181" t="s">
        <v>1192</v>
      </c>
      <c r="Z181" t="s">
        <v>1193</v>
      </c>
      <c r="AA181" t="s">
        <v>1404</v>
      </c>
    </row>
    <row r="182" spans="1:27" x14ac:dyDescent="0.3">
      <c r="A182" t="s">
        <v>1558</v>
      </c>
      <c r="B182" t="s">
        <v>1307</v>
      </c>
      <c r="C182" t="s">
        <v>974</v>
      </c>
      <c r="D182" t="s">
        <v>1373</v>
      </c>
      <c r="E182" t="s">
        <v>549</v>
      </c>
      <c r="F182">
        <v>46053</v>
      </c>
      <c r="G182" t="s">
        <v>496</v>
      </c>
      <c r="H182" t="s">
        <v>1159</v>
      </c>
      <c r="I182">
        <v>21051001</v>
      </c>
      <c r="J182" t="s">
        <v>1399</v>
      </c>
      <c r="K182" t="s">
        <v>1469</v>
      </c>
      <c r="L182">
        <v>0</v>
      </c>
      <c r="M182">
        <v>11.36</v>
      </c>
      <c r="N182">
        <v>11.36</v>
      </c>
      <c r="O182">
        <v>0</v>
      </c>
      <c r="P182" t="s">
        <v>1401</v>
      </c>
      <c r="Q182" t="s">
        <v>1006</v>
      </c>
      <c r="R182" t="s">
        <v>1162</v>
      </c>
      <c r="S182" t="s">
        <v>1402</v>
      </c>
      <c r="T182" t="s">
        <v>1007</v>
      </c>
      <c r="U182" t="s">
        <v>1403</v>
      </c>
      <c r="V182" t="s">
        <v>1175</v>
      </c>
      <c r="W182">
        <v>-1</v>
      </c>
      <c r="Y182" t="s">
        <v>1192</v>
      </c>
      <c r="Z182" t="s">
        <v>1193</v>
      </c>
      <c r="AA182" t="s">
        <v>1404</v>
      </c>
    </row>
    <row r="183" spans="1:27" x14ac:dyDescent="0.3">
      <c r="A183" t="s">
        <v>1558</v>
      </c>
      <c r="B183" t="s">
        <v>1212</v>
      </c>
      <c r="C183" t="s">
        <v>974</v>
      </c>
      <c r="D183" t="s">
        <v>1373</v>
      </c>
      <c r="E183" t="s">
        <v>549</v>
      </c>
      <c r="F183">
        <v>46053</v>
      </c>
      <c r="G183" t="s">
        <v>496</v>
      </c>
      <c r="H183" t="s">
        <v>1159</v>
      </c>
      <c r="I183">
        <v>21051001</v>
      </c>
      <c r="J183" t="s">
        <v>1399</v>
      </c>
      <c r="K183" t="s">
        <v>1483</v>
      </c>
      <c r="L183">
        <v>0</v>
      </c>
      <c r="M183">
        <v>50.73</v>
      </c>
      <c r="N183">
        <v>50.73</v>
      </c>
      <c r="O183">
        <v>0</v>
      </c>
      <c r="P183" t="s">
        <v>1401</v>
      </c>
      <c r="Q183" t="s">
        <v>1006</v>
      </c>
      <c r="R183" t="s">
        <v>1162</v>
      </c>
      <c r="S183" t="s">
        <v>1402</v>
      </c>
      <c r="T183" t="s">
        <v>1007</v>
      </c>
      <c r="U183" t="s">
        <v>1403</v>
      </c>
      <c r="V183" t="s">
        <v>1175</v>
      </c>
      <c r="W183">
        <v>-1</v>
      </c>
      <c r="Y183" t="s">
        <v>1192</v>
      </c>
      <c r="Z183" t="s">
        <v>1193</v>
      </c>
      <c r="AA183" t="s">
        <v>1404</v>
      </c>
    </row>
    <row r="184" spans="1:27" x14ac:dyDescent="0.3">
      <c r="A184" t="s">
        <v>1558</v>
      </c>
      <c r="B184" t="s">
        <v>1398</v>
      </c>
      <c r="C184" t="s">
        <v>974</v>
      </c>
      <c r="D184" t="s">
        <v>1373</v>
      </c>
      <c r="E184" t="s">
        <v>549</v>
      </c>
      <c r="F184">
        <v>46053</v>
      </c>
      <c r="G184" t="s">
        <v>496</v>
      </c>
      <c r="H184" t="s">
        <v>1159</v>
      </c>
      <c r="I184">
        <v>21051001</v>
      </c>
      <c r="J184" t="s">
        <v>1399</v>
      </c>
      <c r="K184" t="s">
        <v>1505</v>
      </c>
      <c r="L184">
        <v>0</v>
      </c>
      <c r="M184">
        <v>177.68</v>
      </c>
      <c r="N184">
        <v>177.68</v>
      </c>
      <c r="O184">
        <v>0</v>
      </c>
      <c r="P184" t="s">
        <v>1401</v>
      </c>
      <c r="Q184" t="s">
        <v>1006</v>
      </c>
      <c r="R184" t="s">
        <v>1162</v>
      </c>
      <c r="S184" t="s">
        <v>1402</v>
      </c>
      <c r="T184" t="s">
        <v>1007</v>
      </c>
      <c r="U184" t="s">
        <v>1403</v>
      </c>
      <c r="V184" t="s">
        <v>1175</v>
      </c>
      <c r="W184">
        <v>-1</v>
      </c>
      <c r="Y184" t="s">
        <v>1192</v>
      </c>
      <c r="Z184" t="s">
        <v>1193</v>
      </c>
      <c r="AA184" t="s">
        <v>1404</v>
      </c>
    </row>
    <row r="185" spans="1:27" x14ac:dyDescent="0.3">
      <c r="A185" t="s">
        <v>1558</v>
      </c>
      <c r="B185" t="s">
        <v>1309</v>
      </c>
      <c r="C185" t="s">
        <v>974</v>
      </c>
      <c r="D185" t="s">
        <v>1373</v>
      </c>
      <c r="E185" t="s">
        <v>549</v>
      </c>
      <c r="F185">
        <v>46053</v>
      </c>
      <c r="G185" t="s">
        <v>496</v>
      </c>
      <c r="H185" t="s">
        <v>1159</v>
      </c>
      <c r="I185">
        <v>21051001</v>
      </c>
      <c r="J185" t="s">
        <v>1399</v>
      </c>
      <c r="K185" t="s">
        <v>1507</v>
      </c>
      <c r="L185">
        <v>0</v>
      </c>
      <c r="M185">
        <v>248</v>
      </c>
      <c r="N185">
        <v>248</v>
      </c>
      <c r="O185">
        <v>0</v>
      </c>
      <c r="P185" t="s">
        <v>1401</v>
      </c>
      <c r="Q185" t="s">
        <v>1006</v>
      </c>
      <c r="R185" t="s">
        <v>1162</v>
      </c>
      <c r="S185" t="s">
        <v>1402</v>
      </c>
      <c r="T185" t="s">
        <v>1007</v>
      </c>
      <c r="U185" t="s">
        <v>1403</v>
      </c>
      <c r="V185" t="s">
        <v>1175</v>
      </c>
      <c r="W185">
        <v>-1</v>
      </c>
      <c r="Y185" t="s">
        <v>1192</v>
      </c>
      <c r="Z185" t="s">
        <v>1193</v>
      </c>
      <c r="AA185" t="s">
        <v>1404</v>
      </c>
    </row>
    <row r="186" spans="1:27" x14ac:dyDescent="0.3">
      <c r="A186" t="s">
        <v>1558</v>
      </c>
      <c r="B186" t="s">
        <v>1218</v>
      </c>
      <c r="C186" t="s">
        <v>974</v>
      </c>
      <c r="D186" t="s">
        <v>1373</v>
      </c>
      <c r="E186" t="s">
        <v>549</v>
      </c>
      <c r="F186">
        <v>46053</v>
      </c>
      <c r="G186" t="s">
        <v>496</v>
      </c>
      <c r="H186" t="s">
        <v>1159</v>
      </c>
      <c r="I186">
        <v>21051001</v>
      </c>
      <c r="J186" t="s">
        <v>1399</v>
      </c>
      <c r="K186" t="s">
        <v>1464</v>
      </c>
      <c r="L186">
        <v>0</v>
      </c>
      <c r="M186">
        <v>20</v>
      </c>
      <c r="N186">
        <v>20</v>
      </c>
      <c r="O186">
        <v>0</v>
      </c>
      <c r="P186" t="s">
        <v>1401</v>
      </c>
      <c r="Q186" t="s">
        <v>1006</v>
      </c>
      <c r="R186" t="s">
        <v>1162</v>
      </c>
      <c r="S186" t="s">
        <v>1402</v>
      </c>
      <c r="T186" t="s">
        <v>1007</v>
      </c>
      <c r="U186" t="s">
        <v>1403</v>
      </c>
      <c r="V186" t="s">
        <v>1175</v>
      </c>
      <c r="W186">
        <v>-1</v>
      </c>
      <c r="Y186" t="s">
        <v>1192</v>
      </c>
      <c r="Z186" t="s">
        <v>1193</v>
      </c>
      <c r="AA186" t="s">
        <v>1404</v>
      </c>
    </row>
    <row r="187" spans="1:27" x14ac:dyDescent="0.3">
      <c r="A187" t="s">
        <v>1558</v>
      </c>
      <c r="B187" t="s">
        <v>1224</v>
      </c>
      <c r="C187" t="s">
        <v>974</v>
      </c>
      <c r="D187" t="s">
        <v>1373</v>
      </c>
      <c r="E187" t="s">
        <v>549</v>
      </c>
      <c r="F187">
        <v>46053</v>
      </c>
      <c r="G187" t="s">
        <v>496</v>
      </c>
      <c r="H187" t="s">
        <v>1159</v>
      </c>
      <c r="I187">
        <v>21051001</v>
      </c>
      <c r="J187" t="s">
        <v>1399</v>
      </c>
      <c r="K187" t="s">
        <v>1474</v>
      </c>
      <c r="L187">
        <v>0</v>
      </c>
      <c r="M187">
        <v>228.63</v>
      </c>
      <c r="N187">
        <v>228.63</v>
      </c>
      <c r="O187">
        <v>0</v>
      </c>
      <c r="P187" t="s">
        <v>1401</v>
      </c>
      <c r="Q187" t="s">
        <v>1006</v>
      </c>
      <c r="R187" t="s">
        <v>1162</v>
      </c>
      <c r="S187" t="s">
        <v>1402</v>
      </c>
      <c r="T187" t="s">
        <v>1007</v>
      </c>
      <c r="U187" t="s">
        <v>1403</v>
      </c>
      <c r="V187" t="s">
        <v>1175</v>
      </c>
      <c r="W187">
        <v>-1</v>
      </c>
      <c r="Y187" t="s">
        <v>1192</v>
      </c>
      <c r="Z187" t="s">
        <v>1193</v>
      </c>
      <c r="AA187" t="s">
        <v>1404</v>
      </c>
    </row>
    <row r="188" spans="1:27" x14ac:dyDescent="0.3">
      <c r="A188" t="s">
        <v>1558</v>
      </c>
      <c r="B188" t="s">
        <v>1562</v>
      </c>
      <c r="C188" t="s">
        <v>974</v>
      </c>
      <c r="D188" t="s">
        <v>1373</v>
      </c>
      <c r="E188" t="s">
        <v>549</v>
      </c>
      <c r="F188">
        <v>46053</v>
      </c>
      <c r="G188" t="s">
        <v>496</v>
      </c>
      <c r="H188" t="s">
        <v>1159</v>
      </c>
      <c r="I188">
        <v>21051001</v>
      </c>
      <c r="J188" t="s">
        <v>1399</v>
      </c>
      <c r="K188" t="s">
        <v>1509</v>
      </c>
      <c r="L188">
        <v>0</v>
      </c>
      <c r="M188">
        <v>30.09</v>
      </c>
      <c r="N188">
        <v>30.09</v>
      </c>
      <c r="O188">
        <v>0</v>
      </c>
      <c r="P188" t="s">
        <v>1401</v>
      </c>
      <c r="Q188" t="s">
        <v>1006</v>
      </c>
      <c r="R188" t="s">
        <v>1162</v>
      </c>
      <c r="S188" t="s">
        <v>1402</v>
      </c>
      <c r="T188" t="s">
        <v>1007</v>
      </c>
      <c r="U188" t="s">
        <v>1403</v>
      </c>
      <c r="V188" t="s">
        <v>1175</v>
      </c>
      <c r="W188">
        <v>-1</v>
      </c>
      <c r="Y188" t="s">
        <v>1192</v>
      </c>
      <c r="Z188" t="s">
        <v>1193</v>
      </c>
      <c r="AA188" t="s">
        <v>1404</v>
      </c>
    </row>
    <row r="189" spans="1:27" x14ac:dyDescent="0.3">
      <c r="A189" t="s">
        <v>1558</v>
      </c>
      <c r="B189" t="s">
        <v>1314</v>
      </c>
      <c r="C189" t="s">
        <v>974</v>
      </c>
      <c r="D189" t="s">
        <v>1373</v>
      </c>
      <c r="E189" t="s">
        <v>549</v>
      </c>
      <c r="F189">
        <v>46053</v>
      </c>
      <c r="G189" t="s">
        <v>496</v>
      </c>
      <c r="H189" t="s">
        <v>1159</v>
      </c>
      <c r="I189">
        <v>21051001</v>
      </c>
      <c r="J189" t="s">
        <v>1399</v>
      </c>
      <c r="K189" t="s">
        <v>1563</v>
      </c>
      <c r="L189">
        <v>0</v>
      </c>
      <c r="M189">
        <v>1333.22</v>
      </c>
      <c r="N189">
        <v>1333.22</v>
      </c>
      <c r="O189">
        <v>0</v>
      </c>
      <c r="P189" t="s">
        <v>1401</v>
      </c>
      <c r="Q189" t="s">
        <v>1006</v>
      </c>
      <c r="R189" t="s">
        <v>1162</v>
      </c>
      <c r="S189" t="s">
        <v>1402</v>
      </c>
      <c r="T189" t="s">
        <v>1007</v>
      </c>
      <c r="U189" t="s">
        <v>1403</v>
      </c>
      <c r="V189" t="s">
        <v>1175</v>
      </c>
      <c r="W189">
        <v>-1</v>
      </c>
      <c r="Y189" t="s">
        <v>1192</v>
      </c>
      <c r="Z189" t="s">
        <v>1193</v>
      </c>
      <c r="AA189" t="s">
        <v>1404</v>
      </c>
    </row>
    <row r="190" spans="1:27" x14ac:dyDescent="0.3">
      <c r="A190" t="s">
        <v>1558</v>
      </c>
      <c r="B190" t="s">
        <v>1225</v>
      </c>
      <c r="C190" t="s">
        <v>974</v>
      </c>
      <c r="D190" t="s">
        <v>1373</v>
      </c>
      <c r="E190" t="s">
        <v>549</v>
      </c>
      <c r="F190">
        <v>46053</v>
      </c>
      <c r="G190" t="s">
        <v>496</v>
      </c>
      <c r="H190" t="s">
        <v>1159</v>
      </c>
      <c r="I190">
        <v>21051001</v>
      </c>
      <c r="J190" t="s">
        <v>1399</v>
      </c>
      <c r="K190" t="s">
        <v>1406</v>
      </c>
      <c r="L190">
        <v>0</v>
      </c>
      <c r="M190">
        <v>648.9</v>
      </c>
      <c r="N190">
        <v>648.9</v>
      </c>
      <c r="O190">
        <v>0</v>
      </c>
      <c r="P190" t="s">
        <v>1401</v>
      </c>
      <c r="Q190" t="s">
        <v>1006</v>
      </c>
      <c r="R190" t="s">
        <v>1162</v>
      </c>
      <c r="S190" t="s">
        <v>1402</v>
      </c>
      <c r="T190" t="s">
        <v>1007</v>
      </c>
      <c r="U190" t="s">
        <v>1403</v>
      </c>
      <c r="V190" t="s">
        <v>1175</v>
      </c>
      <c r="W190">
        <v>-1</v>
      </c>
      <c r="Y190" t="s">
        <v>1192</v>
      </c>
      <c r="Z190" t="s">
        <v>1193</v>
      </c>
      <c r="AA190" t="s">
        <v>1404</v>
      </c>
    </row>
    <row r="191" spans="1:27" x14ac:dyDescent="0.3">
      <c r="A191" t="s">
        <v>1558</v>
      </c>
      <c r="B191" t="s">
        <v>1237</v>
      </c>
      <c r="C191" t="s">
        <v>974</v>
      </c>
      <c r="D191" t="s">
        <v>1373</v>
      </c>
      <c r="E191" t="s">
        <v>549</v>
      </c>
      <c r="F191">
        <v>46053</v>
      </c>
      <c r="G191" t="s">
        <v>496</v>
      </c>
      <c r="H191" t="s">
        <v>1159</v>
      </c>
      <c r="I191">
        <v>28050501</v>
      </c>
      <c r="J191" t="s">
        <v>1407</v>
      </c>
      <c r="K191" t="s">
        <v>1408</v>
      </c>
      <c r="L191">
        <v>-580342.75</v>
      </c>
      <c r="M191">
        <v>0</v>
      </c>
      <c r="N191">
        <v>0</v>
      </c>
      <c r="O191">
        <v>-580342.75</v>
      </c>
      <c r="P191" t="s">
        <v>1409</v>
      </c>
      <c r="Q191" t="s">
        <v>1016</v>
      </c>
      <c r="R191" t="s">
        <v>1162</v>
      </c>
      <c r="S191" t="s">
        <v>1173</v>
      </c>
      <c r="T191" t="s">
        <v>1017</v>
      </c>
      <c r="U191" t="s">
        <v>1410</v>
      </c>
      <c r="V191" t="s">
        <v>1175</v>
      </c>
      <c r="W191">
        <v>-1</v>
      </c>
      <c r="X191">
        <v>580342.75</v>
      </c>
      <c r="Y191" t="s">
        <v>1166</v>
      </c>
      <c r="Z191" t="s">
        <v>1167</v>
      </c>
      <c r="AA191" t="s">
        <v>1411</v>
      </c>
    </row>
    <row r="192" spans="1:27" x14ac:dyDescent="0.3">
      <c r="A192" t="s">
        <v>1558</v>
      </c>
      <c r="B192" t="s">
        <v>1327</v>
      </c>
      <c r="C192" t="s">
        <v>974</v>
      </c>
      <c r="D192" t="s">
        <v>1373</v>
      </c>
      <c r="E192" t="s">
        <v>549</v>
      </c>
      <c r="F192">
        <v>46053</v>
      </c>
      <c r="G192" t="s">
        <v>496</v>
      </c>
      <c r="H192" t="s">
        <v>1159</v>
      </c>
      <c r="I192">
        <v>31050501</v>
      </c>
      <c r="J192" t="s">
        <v>1178</v>
      </c>
      <c r="L192">
        <v>-383868</v>
      </c>
      <c r="M192">
        <v>0</v>
      </c>
      <c r="N192">
        <v>0</v>
      </c>
      <c r="O192">
        <v>-383868</v>
      </c>
      <c r="P192" t="s">
        <v>1180</v>
      </c>
      <c r="Q192" t="s">
        <v>1028</v>
      </c>
      <c r="R192" t="s">
        <v>1162</v>
      </c>
      <c r="S192" t="s">
        <v>1181</v>
      </c>
      <c r="T192" t="s">
        <v>1029</v>
      </c>
      <c r="U192" t="s">
        <v>1182</v>
      </c>
      <c r="V192" t="s">
        <v>1175</v>
      </c>
      <c r="W192">
        <v>-1</v>
      </c>
      <c r="X192">
        <v>383868</v>
      </c>
      <c r="Y192" t="s">
        <v>1166</v>
      </c>
      <c r="Z192" t="s">
        <v>1167</v>
      </c>
      <c r="AA192" t="s">
        <v>1029</v>
      </c>
    </row>
    <row r="193" spans="1:27" x14ac:dyDescent="0.3">
      <c r="A193" t="s">
        <v>1558</v>
      </c>
      <c r="B193" t="s">
        <v>1255</v>
      </c>
      <c r="C193" t="s">
        <v>974</v>
      </c>
      <c r="D193" t="s">
        <v>1373</v>
      </c>
      <c r="E193" t="s">
        <v>549</v>
      </c>
      <c r="F193">
        <v>46053</v>
      </c>
      <c r="G193" t="s">
        <v>496</v>
      </c>
      <c r="H193" t="s">
        <v>1159</v>
      </c>
      <c r="I193">
        <v>36050501</v>
      </c>
      <c r="J193" t="s">
        <v>876</v>
      </c>
      <c r="L193">
        <v>1033.5</v>
      </c>
      <c r="M193">
        <v>0</v>
      </c>
      <c r="N193">
        <v>0</v>
      </c>
      <c r="O193">
        <v>1033.5</v>
      </c>
      <c r="P193" t="s">
        <v>1413</v>
      </c>
      <c r="Q193" t="s">
        <v>1033</v>
      </c>
      <c r="R193" t="s">
        <v>1162</v>
      </c>
      <c r="S193" t="s">
        <v>1181</v>
      </c>
      <c r="T193" t="s">
        <v>1034</v>
      </c>
      <c r="U193" t="s">
        <v>1414</v>
      </c>
      <c r="V193" t="s">
        <v>1175</v>
      </c>
      <c r="W193">
        <v>-1</v>
      </c>
      <c r="X193">
        <v>-1033.5</v>
      </c>
      <c r="Y193" t="s">
        <v>1192</v>
      </c>
      <c r="Z193" t="s">
        <v>1193</v>
      </c>
      <c r="AA193" t="s">
        <v>1415</v>
      </c>
    </row>
    <row r="194" spans="1:27" x14ac:dyDescent="0.3">
      <c r="A194" t="s">
        <v>1558</v>
      </c>
      <c r="B194" t="s">
        <v>1564</v>
      </c>
      <c r="C194" t="s">
        <v>974</v>
      </c>
      <c r="D194" t="s">
        <v>1373</v>
      </c>
      <c r="E194" t="s">
        <v>549</v>
      </c>
      <c r="F194">
        <v>46053</v>
      </c>
      <c r="G194" t="s">
        <v>496</v>
      </c>
      <c r="H194" t="s">
        <v>1159</v>
      </c>
      <c r="I194">
        <v>36100101</v>
      </c>
      <c r="J194" t="s">
        <v>1189</v>
      </c>
      <c r="L194">
        <v>-14076</v>
      </c>
      <c r="M194">
        <v>0</v>
      </c>
      <c r="N194">
        <v>0</v>
      </c>
      <c r="O194">
        <v>-14076</v>
      </c>
      <c r="P194" t="s">
        <v>1190</v>
      </c>
      <c r="Q194" t="s">
        <v>1033</v>
      </c>
      <c r="R194" t="s">
        <v>1162</v>
      </c>
      <c r="S194" t="s">
        <v>1181</v>
      </c>
      <c r="T194" t="s">
        <v>1034</v>
      </c>
      <c r="U194" t="s">
        <v>1191</v>
      </c>
      <c r="V194" t="s">
        <v>1175</v>
      </c>
      <c r="W194">
        <v>-1</v>
      </c>
      <c r="X194">
        <v>14076</v>
      </c>
      <c r="Y194" t="s">
        <v>1192</v>
      </c>
      <c r="Z194" t="s">
        <v>1193</v>
      </c>
      <c r="AA194" t="s">
        <v>1194</v>
      </c>
    </row>
    <row r="195" spans="1:27" x14ac:dyDescent="0.3">
      <c r="A195" t="s">
        <v>1558</v>
      </c>
      <c r="B195" t="s">
        <v>1351</v>
      </c>
      <c r="C195" t="s">
        <v>974</v>
      </c>
      <c r="D195" t="s">
        <v>1373</v>
      </c>
      <c r="E195" t="s">
        <v>549</v>
      </c>
      <c r="F195">
        <v>46053</v>
      </c>
      <c r="G195" t="s">
        <v>496</v>
      </c>
      <c r="H195" t="s">
        <v>1159</v>
      </c>
      <c r="I195">
        <v>41700101</v>
      </c>
      <c r="J195" t="s">
        <v>1315</v>
      </c>
      <c r="K195" t="s">
        <v>1376</v>
      </c>
      <c r="L195">
        <v>0</v>
      </c>
      <c r="M195">
        <v>0</v>
      </c>
      <c r="N195">
        <v>2830.35</v>
      </c>
      <c r="O195">
        <v>-2830.35</v>
      </c>
      <c r="P195" t="s">
        <v>1317</v>
      </c>
      <c r="Q195" t="s">
        <v>1048</v>
      </c>
      <c r="R195" t="s">
        <v>1199</v>
      </c>
      <c r="S195" t="s">
        <v>1318</v>
      </c>
      <c r="T195" t="s">
        <v>1049</v>
      </c>
      <c r="U195" t="s">
        <v>1319</v>
      </c>
      <c r="V195" t="s">
        <v>1175</v>
      </c>
      <c r="W195">
        <v>-1</v>
      </c>
      <c r="X195">
        <v>2830.35</v>
      </c>
      <c r="Y195" t="s">
        <v>1166</v>
      </c>
      <c r="Z195" t="s">
        <v>1167</v>
      </c>
      <c r="AA195" t="s">
        <v>1320</v>
      </c>
    </row>
    <row r="196" spans="1:27" x14ac:dyDescent="0.3">
      <c r="A196" t="s">
        <v>1558</v>
      </c>
      <c r="B196" t="s">
        <v>1352</v>
      </c>
      <c r="C196" t="s">
        <v>974</v>
      </c>
      <c r="D196" t="s">
        <v>1373</v>
      </c>
      <c r="E196" t="s">
        <v>549</v>
      </c>
      <c r="F196">
        <v>46053</v>
      </c>
      <c r="G196" t="s">
        <v>496</v>
      </c>
      <c r="H196" t="s">
        <v>1159</v>
      </c>
      <c r="I196">
        <v>41700101</v>
      </c>
      <c r="J196" t="s">
        <v>1315</v>
      </c>
      <c r="K196" t="s">
        <v>1378</v>
      </c>
      <c r="L196">
        <v>0</v>
      </c>
      <c r="M196">
        <v>0</v>
      </c>
      <c r="N196">
        <v>300</v>
      </c>
      <c r="O196">
        <v>-300</v>
      </c>
      <c r="P196" t="s">
        <v>1317</v>
      </c>
      <c r="Q196" t="s">
        <v>1048</v>
      </c>
      <c r="R196" t="s">
        <v>1199</v>
      </c>
      <c r="S196" t="s">
        <v>1318</v>
      </c>
      <c r="T196" t="s">
        <v>1049</v>
      </c>
      <c r="U196" t="s">
        <v>1319</v>
      </c>
      <c r="V196" t="s">
        <v>1175</v>
      </c>
      <c r="W196">
        <v>-1</v>
      </c>
      <c r="X196">
        <v>300</v>
      </c>
      <c r="Y196" t="s">
        <v>1166</v>
      </c>
      <c r="Z196" t="s">
        <v>1167</v>
      </c>
      <c r="AA196" t="s">
        <v>1320</v>
      </c>
    </row>
    <row r="197" spans="1:27" x14ac:dyDescent="0.3">
      <c r="A197" t="s">
        <v>1558</v>
      </c>
      <c r="B197" t="s">
        <v>1353</v>
      </c>
      <c r="C197" t="s">
        <v>974</v>
      </c>
      <c r="D197" t="s">
        <v>1373</v>
      </c>
      <c r="E197" t="s">
        <v>549</v>
      </c>
      <c r="F197">
        <v>46053</v>
      </c>
      <c r="G197" t="s">
        <v>496</v>
      </c>
      <c r="H197" t="s">
        <v>1159</v>
      </c>
      <c r="I197">
        <v>41700101</v>
      </c>
      <c r="J197" t="s">
        <v>1315</v>
      </c>
      <c r="K197" t="s">
        <v>1379</v>
      </c>
      <c r="L197">
        <v>0</v>
      </c>
      <c r="M197">
        <v>0</v>
      </c>
      <c r="N197">
        <v>217</v>
      </c>
      <c r="O197">
        <v>-217</v>
      </c>
      <c r="P197" t="s">
        <v>1317</v>
      </c>
      <c r="Q197" t="s">
        <v>1048</v>
      </c>
      <c r="R197" t="s">
        <v>1199</v>
      </c>
      <c r="S197" t="s">
        <v>1318</v>
      </c>
      <c r="T197" t="s">
        <v>1049</v>
      </c>
      <c r="U197" t="s">
        <v>1319</v>
      </c>
      <c r="V197" t="s">
        <v>1175</v>
      </c>
      <c r="W197">
        <v>-1</v>
      </c>
      <c r="X197">
        <v>217</v>
      </c>
      <c r="Y197" t="s">
        <v>1166</v>
      </c>
      <c r="Z197" t="s">
        <v>1167</v>
      </c>
      <c r="AA197" t="s">
        <v>1320</v>
      </c>
    </row>
    <row r="198" spans="1:27" x14ac:dyDescent="0.3">
      <c r="A198" t="s">
        <v>1558</v>
      </c>
      <c r="B198" t="s">
        <v>1354</v>
      </c>
      <c r="C198" t="s">
        <v>974</v>
      </c>
      <c r="D198" t="s">
        <v>1373</v>
      </c>
      <c r="E198" t="s">
        <v>549</v>
      </c>
      <c r="F198">
        <v>46053</v>
      </c>
      <c r="G198" t="s">
        <v>496</v>
      </c>
      <c r="H198" t="s">
        <v>1159</v>
      </c>
      <c r="I198">
        <v>41700101</v>
      </c>
      <c r="J198" t="s">
        <v>1315</v>
      </c>
      <c r="K198" t="s">
        <v>1381</v>
      </c>
      <c r="L198">
        <v>0</v>
      </c>
      <c r="M198">
        <v>0</v>
      </c>
      <c r="N198">
        <v>96.45</v>
      </c>
      <c r="O198">
        <v>-96.45</v>
      </c>
      <c r="P198" t="s">
        <v>1317</v>
      </c>
      <c r="Q198" t="s">
        <v>1048</v>
      </c>
      <c r="R198" t="s">
        <v>1199</v>
      </c>
      <c r="S198" t="s">
        <v>1318</v>
      </c>
      <c r="T198" t="s">
        <v>1049</v>
      </c>
      <c r="U198" t="s">
        <v>1319</v>
      </c>
      <c r="V198" t="s">
        <v>1175</v>
      </c>
      <c r="W198">
        <v>-1</v>
      </c>
      <c r="X198">
        <v>96.45</v>
      </c>
      <c r="Y198" t="s">
        <v>1166</v>
      </c>
      <c r="Z198" t="s">
        <v>1167</v>
      </c>
      <c r="AA198" t="s">
        <v>1320</v>
      </c>
    </row>
    <row r="199" spans="1:27" x14ac:dyDescent="0.3">
      <c r="A199" t="s">
        <v>1558</v>
      </c>
      <c r="B199" t="s">
        <v>1355</v>
      </c>
      <c r="C199" t="s">
        <v>974</v>
      </c>
      <c r="D199" t="s">
        <v>1373</v>
      </c>
      <c r="E199" t="s">
        <v>549</v>
      </c>
      <c r="F199">
        <v>46053</v>
      </c>
      <c r="G199" t="s">
        <v>496</v>
      </c>
      <c r="H199" t="s">
        <v>1159</v>
      </c>
      <c r="I199">
        <v>41700101</v>
      </c>
      <c r="J199" t="s">
        <v>1315</v>
      </c>
      <c r="K199" t="s">
        <v>1382</v>
      </c>
      <c r="L199">
        <v>0</v>
      </c>
      <c r="M199">
        <v>0</v>
      </c>
      <c r="N199">
        <v>55</v>
      </c>
      <c r="O199">
        <v>-55</v>
      </c>
      <c r="P199" t="s">
        <v>1317</v>
      </c>
      <c r="Q199" t="s">
        <v>1048</v>
      </c>
      <c r="R199" t="s">
        <v>1199</v>
      </c>
      <c r="S199" t="s">
        <v>1318</v>
      </c>
      <c r="T199" t="s">
        <v>1049</v>
      </c>
      <c r="U199" t="s">
        <v>1319</v>
      </c>
      <c r="V199" t="s">
        <v>1175</v>
      </c>
      <c r="W199">
        <v>-1</v>
      </c>
      <c r="X199">
        <v>55</v>
      </c>
      <c r="Y199" t="s">
        <v>1166</v>
      </c>
      <c r="Z199" t="s">
        <v>1167</v>
      </c>
      <c r="AA199" t="s">
        <v>1320</v>
      </c>
    </row>
    <row r="200" spans="1:27" x14ac:dyDescent="0.3">
      <c r="A200" t="s">
        <v>1558</v>
      </c>
      <c r="B200" t="s">
        <v>1565</v>
      </c>
      <c r="C200" t="s">
        <v>974</v>
      </c>
      <c r="D200" t="s">
        <v>1373</v>
      </c>
      <c r="E200" t="s">
        <v>549</v>
      </c>
      <c r="F200">
        <v>46053</v>
      </c>
      <c r="G200" t="s">
        <v>496</v>
      </c>
      <c r="H200" t="s">
        <v>1159</v>
      </c>
      <c r="I200">
        <v>42100502</v>
      </c>
      <c r="J200" t="s">
        <v>1416</v>
      </c>
      <c r="K200" t="s">
        <v>1378</v>
      </c>
      <c r="L200">
        <v>0</v>
      </c>
      <c r="M200">
        <v>0</v>
      </c>
      <c r="N200">
        <v>83</v>
      </c>
      <c r="O200">
        <v>-83</v>
      </c>
      <c r="P200" t="s">
        <v>1417</v>
      </c>
      <c r="Q200" t="s">
        <v>1118</v>
      </c>
      <c r="R200" t="s">
        <v>1199</v>
      </c>
      <c r="S200" t="s">
        <v>1324</v>
      </c>
      <c r="T200" t="s">
        <v>1119</v>
      </c>
      <c r="U200" t="s">
        <v>1418</v>
      </c>
      <c r="V200" t="s">
        <v>1175</v>
      </c>
      <c r="W200">
        <v>-1</v>
      </c>
      <c r="X200">
        <v>83</v>
      </c>
      <c r="Y200" t="s">
        <v>1166</v>
      </c>
      <c r="Z200" t="s">
        <v>1167</v>
      </c>
      <c r="AA200" t="s">
        <v>1419</v>
      </c>
    </row>
    <row r="201" spans="1:27" x14ac:dyDescent="0.3">
      <c r="A201" t="s">
        <v>1558</v>
      </c>
      <c r="B201" t="s">
        <v>1566</v>
      </c>
      <c r="C201" t="s">
        <v>974</v>
      </c>
      <c r="D201" t="s">
        <v>1373</v>
      </c>
      <c r="E201" t="s">
        <v>549</v>
      </c>
      <c r="F201">
        <v>46053</v>
      </c>
      <c r="G201" t="s">
        <v>496</v>
      </c>
      <c r="H201" t="s">
        <v>1159</v>
      </c>
      <c r="I201">
        <v>42100502</v>
      </c>
      <c r="J201" t="s">
        <v>1416</v>
      </c>
      <c r="K201" t="s">
        <v>1406</v>
      </c>
      <c r="L201">
        <v>0</v>
      </c>
      <c r="M201">
        <v>0</v>
      </c>
      <c r="N201">
        <v>41.57</v>
      </c>
      <c r="O201">
        <v>-41.57</v>
      </c>
      <c r="P201" t="s">
        <v>1417</v>
      </c>
      <c r="Q201" t="s">
        <v>1118</v>
      </c>
      <c r="R201" t="s">
        <v>1199</v>
      </c>
      <c r="S201" t="s">
        <v>1324</v>
      </c>
      <c r="T201" t="s">
        <v>1119</v>
      </c>
      <c r="U201" t="s">
        <v>1418</v>
      </c>
      <c r="V201" t="s">
        <v>1175</v>
      </c>
      <c r="W201">
        <v>-1</v>
      </c>
      <c r="X201">
        <v>41.57</v>
      </c>
      <c r="Y201" t="s">
        <v>1166</v>
      </c>
      <c r="Z201" t="s">
        <v>1167</v>
      </c>
      <c r="AA201" t="s">
        <v>1419</v>
      </c>
    </row>
    <row r="202" spans="1:27" x14ac:dyDescent="0.3">
      <c r="A202" t="s">
        <v>1558</v>
      </c>
      <c r="B202" t="s">
        <v>1424</v>
      </c>
      <c r="C202" t="s">
        <v>974</v>
      </c>
      <c r="D202" t="s">
        <v>1373</v>
      </c>
      <c r="E202" t="s">
        <v>549</v>
      </c>
      <c r="F202">
        <v>46053</v>
      </c>
      <c r="G202" t="s">
        <v>496</v>
      </c>
      <c r="H202" t="s">
        <v>1159</v>
      </c>
      <c r="I202">
        <v>51050601</v>
      </c>
      <c r="J202" t="s">
        <v>1196</v>
      </c>
      <c r="K202" t="s">
        <v>1421</v>
      </c>
      <c r="L202">
        <v>0</v>
      </c>
      <c r="M202">
        <v>2592.17</v>
      </c>
      <c r="N202">
        <v>0</v>
      </c>
      <c r="O202">
        <v>2592.17</v>
      </c>
      <c r="P202" t="s">
        <v>1198</v>
      </c>
      <c r="Q202" t="s">
        <v>1060</v>
      </c>
      <c r="R202" t="s">
        <v>1199</v>
      </c>
      <c r="S202" t="s">
        <v>947</v>
      </c>
      <c r="T202" t="s">
        <v>1061</v>
      </c>
      <c r="U202" t="s">
        <v>1200</v>
      </c>
      <c r="V202" t="s">
        <v>1165</v>
      </c>
      <c r="W202">
        <v>1</v>
      </c>
      <c r="X202">
        <v>2592.17</v>
      </c>
      <c r="Y202" t="s">
        <v>1166</v>
      </c>
      <c r="Z202" t="s">
        <v>1167</v>
      </c>
      <c r="AA202" t="s">
        <v>1201</v>
      </c>
    </row>
    <row r="203" spans="1:27" x14ac:dyDescent="0.3">
      <c r="A203" t="s">
        <v>1558</v>
      </c>
      <c r="B203" t="s">
        <v>1369</v>
      </c>
      <c r="C203" t="s">
        <v>974</v>
      </c>
      <c r="D203" t="s">
        <v>1373</v>
      </c>
      <c r="E203" t="s">
        <v>549</v>
      </c>
      <c r="F203">
        <v>46053</v>
      </c>
      <c r="G203" t="s">
        <v>496</v>
      </c>
      <c r="H203" t="s">
        <v>1159</v>
      </c>
      <c r="I203">
        <v>51058401</v>
      </c>
      <c r="J203" t="s">
        <v>1444</v>
      </c>
      <c r="K203" t="s">
        <v>1445</v>
      </c>
      <c r="L203">
        <v>0</v>
      </c>
      <c r="M203">
        <v>122.93</v>
      </c>
      <c r="N203">
        <v>0</v>
      </c>
      <c r="O203">
        <v>122.93</v>
      </c>
      <c r="P203" t="s">
        <v>1446</v>
      </c>
      <c r="Q203" t="s">
        <v>1060</v>
      </c>
      <c r="R203" t="s">
        <v>1199</v>
      </c>
      <c r="S203" t="s">
        <v>947</v>
      </c>
      <c r="T203" t="s">
        <v>1061</v>
      </c>
      <c r="U203" t="s">
        <v>1447</v>
      </c>
      <c r="V203" t="s">
        <v>1165</v>
      </c>
      <c r="W203">
        <v>1</v>
      </c>
      <c r="X203">
        <v>122.93</v>
      </c>
      <c r="Y203" t="s">
        <v>1166</v>
      </c>
      <c r="Z203" t="s">
        <v>1167</v>
      </c>
      <c r="AA203" t="s">
        <v>1448</v>
      </c>
    </row>
    <row r="204" spans="1:27" x14ac:dyDescent="0.3">
      <c r="A204" t="s">
        <v>1558</v>
      </c>
      <c r="B204" t="s">
        <v>1426</v>
      </c>
      <c r="C204" t="s">
        <v>974</v>
      </c>
      <c r="D204" t="s">
        <v>1373</v>
      </c>
      <c r="E204" t="s">
        <v>549</v>
      </c>
      <c r="F204">
        <v>46053</v>
      </c>
      <c r="G204" t="s">
        <v>496</v>
      </c>
      <c r="H204" t="s">
        <v>1159</v>
      </c>
      <c r="I204">
        <v>51059501</v>
      </c>
      <c r="J204" t="s">
        <v>1232</v>
      </c>
      <c r="K204" t="s">
        <v>1421</v>
      </c>
      <c r="L204">
        <v>0</v>
      </c>
      <c r="M204">
        <v>835.33</v>
      </c>
      <c r="N204">
        <v>0</v>
      </c>
      <c r="O204">
        <v>835.33</v>
      </c>
      <c r="P204" t="s">
        <v>1450</v>
      </c>
      <c r="Q204" t="s">
        <v>1060</v>
      </c>
      <c r="R204" t="s">
        <v>1199</v>
      </c>
      <c r="S204" t="s">
        <v>947</v>
      </c>
      <c r="T204" t="s">
        <v>1061</v>
      </c>
      <c r="U204" t="s">
        <v>1451</v>
      </c>
      <c r="V204" t="s">
        <v>1165</v>
      </c>
      <c r="W204">
        <v>1</v>
      </c>
      <c r="X204">
        <v>835.33</v>
      </c>
      <c r="Y204" t="s">
        <v>1192</v>
      </c>
      <c r="Z204" t="s">
        <v>1193</v>
      </c>
      <c r="AA204" t="s">
        <v>1452</v>
      </c>
    </row>
    <row r="205" spans="1:27" x14ac:dyDescent="0.3">
      <c r="A205" t="s">
        <v>1558</v>
      </c>
      <c r="B205" t="s">
        <v>1438</v>
      </c>
      <c r="C205" t="s">
        <v>974</v>
      </c>
      <c r="D205" t="s">
        <v>1373</v>
      </c>
      <c r="E205" t="s">
        <v>549</v>
      </c>
      <c r="F205">
        <v>46053</v>
      </c>
      <c r="G205" t="s">
        <v>496</v>
      </c>
      <c r="H205" t="s">
        <v>1159</v>
      </c>
      <c r="I205">
        <v>51352001</v>
      </c>
      <c r="J205" t="s">
        <v>1240</v>
      </c>
      <c r="K205" t="s">
        <v>1458</v>
      </c>
      <c r="L205">
        <v>0</v>
      </c>
      <c r="M205">
        <v>21.35</v>
      </c>
      <c r="N205">
        <v>0</v>
      </c>
      <c r="O205">
        <v>21.35</v>
      </c>
      <c r="P205" t="s">
        <v>1242</v>
      </c>
      <c r="Q205" t="s">
        <v>1069</v>
      </c>
      <c r="R205" t="s">
        <v>1199</v>
      </c>
      <c r="S205" t="s">
        <v>947</v>
      </c>
      <c r="T205" t="s">
        <v>1070</v>
      </c>
      <c r="U205" t="s">
        <v>1243</v>
      </c>
      <c r="V205" t="s">
        <v>1165</v>
      </c>
      <c r="W205">
        <v>1</v>
      </c>
      <c r="X205">
        <v>21.35</v>
      </c>
      <c r="Y205" t="s">
        <v>1166</v>
      </c>
      <c r="Z205" t="s">
        <v>1193</v>
      </c>
      <c r="AA205" t="s">
        <v>1244</v>
      </c>
    </row>
    <row r="206" spans="1:27" x14ac:dyDescent="0.3">
      <c r="A206" t="s">
        <v>1558</v>
      </c>
      <c r="B206" t="s">
        <v>1439</v>
      </c>
      <c r="C206" t="s">
        <v>974</v>
      </c>
      <c r="D206" t="s">
        <v>1373</v>
      </c>
      <c r="E206" t="s">
        <v>549</v>
      </c>
      <c r="F206">
        <v>46053</v>
      </c>
      <c r="G206" t="s">
        <v>496</v>
      </c>
      <c r="H206" t="s">
        <v>1159</v>
      </c>
      <c r="I206">
        <v>51352001</v>
      </c>
      <c r="J206" t="s">
        <v>1240</v>
      </c>
      <c r="K206" t="s">
        <v>1464</v>
      </c>
      <c r="L206">
        <v>0</v>
      </c>
      <c r="M206">
        <v>20</v>
      </c>
      <c r="N206">
        <v>0</v>
      </c>
      <c r="O206">
        <v>20</v>
      </c>
      <c r="P206" t="s">
        <v>1242</v>
      </c>
      <c r="Q206" t="s">
        <v>1069</v>
      </c>
      <c r="R206" t="s">
        <v>1199</v>
      </c>
      <c r="S206" t="s">
        <v>947</v>
      </c>
      <c r="T206" t="s">
        <v>1070</v>
      </c>
      <c r="U206" t="s">
        <v>1243</v>
      </c>
      <c r="V206" t="s">
        <v>1165</v>
      </c>
      <c r="W206">
        <v>1</v>
      </c>
      <c r="X206">
        <v>20</v>
      </c>
      <c r="Y206" t="s">
        <v>1166</v>
      </c>
      <c r="Z206" t="s">
        <v>1193</v>
      </c>
      <c r="AA206" t="s">
        <v>1244</v>
      </c>
    </row>
    <row r="207" spans="1:27" x14ac:dyDescent="0.3">
      <c r="A207" t="s">
        <v>1558</v>
      </c>
      <c r="B207" t="s">
        <v>1567</v>
      </c>
      <c r="C207" t="s">
        <v>974</v>
      </c>
      <c r="D207" t="s">
        <v>1373</v>
      </c>
      <c r="E207" t="s">
        <v>549</v>
      </c>
      <c r="F207">
        <v>46053</v>
      </c>
      <c r="G207" t="s">
        <v>496</v>
      </c>
      <c r="H207" t="s">
        <v>1159</v>
      </c>
      <c r="I207">
        <v>51354001</v>
      </c>
      <c r="J207" t="s">
        <v>1468</v>
      </c>
      <c r="K207" t="s">
        <v>1469</v>
      </c>
      <c r="L207">
        <v>0</v>
      </c>
      <c r="M207">
        <v>11.36</v>
      </c>
      <c r="N207">
        <v>0</v>
      </c>
      <c r="O207">
        <v>11.36</v>
      </c>
      <c r="P207" t="s">
        <v>1470</v>
      </c>
      <c r="Q207" t="s">
        <v>1073</v>
      </c>
      <c r="R207" t="s">
        <v>1199</v>
      </c>
      <c r="S207" t="s">
        <v>947</v>
      </c>
      <c r="T207" t="s">
        <v>1074</v>
      </c>
      <c r="U207" t="s">
        <v>1471</v>
      </c>
      <c r="V207" t="s">
        <v>1165</v>
      </c>
      <c r="W207">
        <v>1</v>
      </c>
      <c r="X207">
        <v>11.36</v>
      </c>
      <c r="Y207" t="s">
        <v>1166</v>
      </c>
      <c r="Z207" t="s">
        <v>1167</v>
      </c>
      <c r="AA207" t="s">
        <v>1472</v>
      </c>
    </row>
    <row r="208" spans="1:27" x14ac:dyDescent="0.3">
      <c r="A208" t="s">
        <v>1558</v>
      </c>
      <c r="B208" t="s">
        <v>1568</v>
      </c>
      <c r="C208" t="s">
        <v>974</v>
      </c>
      <c r="D208" t="s">
        <v>1373</v>
      </c>
      <c r="E208" t="s">
        <v>549</v>
      </c>
      <c r="F208">
        <v>46053</v>
      </c>
      <c r="G208" t="s">
        <v>496</v>
      </c>
      <c r="H208" t="s">
        <v>1159</v>
      </c>
      <c r="I208">
        <v>51359501</v>
      </c>
      <c r="J208" t="s">
        <v>1232</v>
      </c>
      <c r="K208" t="s">
        <v>1474</v>
      </c>
      <c r="L208">
        <v>0</v>
      </c>
      <c r="M208">
        <v>228.63</v>
      </c>
      <c r="N208">
        <v>0</v>
      </c>
      <c r="O208">
        <v>228.63</v>
      </c>
      <c r="P208" t="s">
        <v>1475</v>
      </c>
      <c r="Q208" t="s">
        <v>1077</v>
      </c>
      <c r="R208" t="s">
        <v>1199</v>
      </c>
      <c r="S208" t="s">
        <v>947</v>
      </c>
      <c r="T208" t="s">
        <v>1078</v>
      </c>
      <c r="U208" t="s">
        <v>576</v>
      </c>
      <c r="V208" t="s">
        <v>1165</v>
      </c>
      <c r="W208">
        <v>1</v>
      </c>
      <c r="X208">
        <v>228.63</v>
      </c>
      <c r="Y208" t="s">
        <v>1192</v>
      </c>
      <c r="Z208" t="s">
        <v>1193</v>
      </c>
      <c r="AA208" t="s">
        <v>1476</v>
      </c>
    </row>
    <row r="209" spans="1:27" x14ac:dyDescent="0.3">
      <c r="A209" t="s">
        <v>1558</v>
      </c>
      <c r="B209" t="s">
        <v>1569</v>
      </c>
      <c r="C209" t="s">
        <v>974</v>
      </c>
      <c r="D209" t="s">
        <v>1373</v>
      </c>
      <c r="E209" t="s">
        <v>549</v>
      </c>
      <c r="F209">
        <v>46053</v>
      </c>
      <c r="G209" t="s">
        <v>496</v>
      </c>
      <c r="H209" t="s">
        <v>1159</v>
      </c>
      <c r="I209">
        <v>51952502</v>
      </c>
      <c r="J209" t="s">
        <v>1478</v>
      </c>
      <c r="K209" t="s">
        <v>1483</v>
      </c>
      <c r="L209">
        <v>0</v>
      </c>
      <c r="M209">
        <v>50.73</v>
      </c>
      <c r="N209">
        <v>0</v>
      </c>
      <c r="O209">
        <v>50.73</v>
      </c>
      <c r="P209" t="s">
        <v>1479</v>
      </c>
      <c r="Q209" t="s">
        <v>1079</v>
      </c>
      <c r="R209" t="s">
        <v>1199</v>
      </c>
      <c r="S209" t="s">
        <v>947</v>
      </c>
      <c r="T209" t="s">
        <v>1080</v>
      </c>
      <c r="U209" t="s">
        <v>1480</v>
      </c>
      <c r="V209" t="s">
        <v>1165</v>
      </c>
      <c r="W209">
        <v>1</v>
      </c>
      <c r="X209">
        <v>50.73</v>
      </c>
      <c r="Y209" t="s">
        <v>1166</v>
      </c>
      <c r="Z209" t="s">
        <v>1193</v>
      </c>
      <c r="AA209" t="s">
        <v>1481</v>
      </c>
    </row>
    <row r="210" spans="1:27" x14ac:dyDescent="0.3">
      <c r="A210" t="s">
        <v>1558</v>
      </c>
      <c r="B210" t="s">
        <v>1570</v>
      </c>
      <c r="C210" t="s">
        <v>974</v>
      </c>
      <c r="D210" t="s">
        <v>1373</v>
      </c>
      <c r="E210" t="s">
        <v>549</v>
      </c>
      <c r="F210">
        <v>46053</v>
      </c>
      <c r="G210" t="s">
        <v>496</v>
      </c>
      <c r="H210" t="s">
        <v>1159</v>
      </c>
      <c r="I210">
        <v>51956001</v>
      </c>
      <c r="J210" t="s">
        <v>1485</v>
      </c>
      <c r="K210" t="s">
        <v>1505</v>
      </c>
      <c r="L210">
        <v>0</v>
      </c>
      <c r="M210">
        <v>177.68</v>
      </c>
      <c r="N210">
        <v>0</v>
      </c>
      <c r="O210">
        <v>177.68</v>
      </c>
      <c r="P210" t="s">
        <v>1487</v>
      </c>
      <c r="Q210" t="s">
        <v>1081</v>
      </c>
      <c r="R210" t="s">
        <v>1199</v>
      </c>
      <c r="S210" t="s">
        <v>947</v>
      </c>
      <c r="T210" t="s">
        <v>1082</v>
      </c>
      <c r="U210" t="s">
        <v>1488</v>
      </c>
      <c r="V210" t="s">
        <v>1165</v>
      </c>
      <c r="W210">
        <v>1</v>
      </c>
      <c r="X210">
        <v>177.68</v>
      </c>
      <c r="Y210" t="s">
        <v>1166</v>
      </c>
      <c r="Z210" t="s">
        <v>1193</v>
      </c>
      <c r="AA210" t="s">
        <v>1489</v>
      </c>
    </row>
    <row r="211" spans="1:27" x14ac:dyDescent="0.3">
      <c r="A211" t="s">
        <v>1558</v>
      </c>
      <c r="B211" t="s">
        <v>1571</v>
      </c>
      <c r="C211" t="s">
        <v>974</v>
      </c>
      <c r="D211" t="s">
        <v>1373</v>
      </c>
      <c r="E211" t="s">
        <v>549</v>
      </c>
      <c r="F211">
        <v>46053</v>
      </c>
      <c r="G211" t="s">
        <v>496</v>
      </c>
      <c r="H211" t="s">
        <v>1159</v>
      </c>
      <c r="I211">
        <v>51956001</v>
      </c>
      <c r="J211" t="s">
        <v>1485</v>
      </c>
      <c r="K211" t="s">
        <v>1507</v>
      </c>
      <c r="L211">
        <v>0</v>
      </c>
      <c r="M211">
        <v>248</v>
      </c>
      <c r="N211">
        <v>0</v>
      </c>
      <c r="O211">
        <v>248</v>
      </c>
      <c r="P211" t="s">
        <v>1487</v>
      </c>
      <c r="Q211" t="s">
        <v>1081</v>
      </c>
      <c r="R211" t="s">
        <v>1199</v>
      </c>
      <c r="S211" t="s">
        <v>947</v>
      </c>
      <c r="T211" t="s">
        <v>1082</v>
      </c>
      <c r="U211" t="s">
        <v>1488</v>
      </c>
      <c r="V211" t="s">
        <v>1165</v>
      </c>
      <c r="W211">
        <v>1</v>
      </c>
      <c r="X211">
        <v>248</v>
      </c>
      <c r="Y211" t="s">
        <v>1166</v>
      </c>
      <c r="Z211" t="s">
        <v>1193</v>
      </c>
      <c r="AA211" t="s">
        <v>1489</v>
      </c>
    </row>
    <row r="212" spans="1:27" x14ac:dyDescent="0.3">
      <c r="A212" t="s">
        <v>1558</v>
      </c>
      <c r="B212" t="s">
        <v>1455</v>
      </c>
      <c r="C212" t="s">
        <v>974</v>
      </c>
      <c r="D212" t="s">
        <v>1373</v>
      </c>
      <c r="E212" t="s">
        <v>549</v>
      </c>
      <c r="F212">
        <v>46053</v>
      </c>
      <c r="G212" t="s">
        <v>496</v>
      </c>
      <c r="H212" t="s">
        <v>1159</v>
      </c>
      <c r="I212">
        <v>51956001</v>
      </c>
      <c r="J212" t="s">
        <v>1485</v>
      </c>
      <c r="K212" t="s">
        <v>1509</v>
      </c>
      <c r="L212">
        <v>0</v>
      </c>
      <c r="M212">
        <v>30.09</v>
      </c>
      <c r="N212">
        <v>0</v>
      </c>
      <c r="O212">
        <v>30.09</v>
      </c>
      <c r="P212" t="s">
        <v>1487</v>
      </c>
      <c r="Q212" t="s">
        <v>1081</v>
      </c>
      <c r="R212" t="s">
        <v>1199</v>
      </c>
      <c r="S212" t="s">
        <v>947</v>
      </c>
      <c r="T212" t="s">
        <v>1082</v>
      </c>
      <c r="U212" t="s">
        <v>1488</v>
      </c>
      <c r="V212" t="s">
        <v>1165</v>
      </c>
      <c r="W212">
        <v>1</v>
      </c>
      <c r="X212">
        <v>30.09</v>
      </c>
      <c r="Y212" t="s">
        <v>1166</v>
      </c>
      <c r="Z212" t="s">
        <v>1193</v>
      </c>
      <c r="AA212" t="s">
        <v>1489</v>
      </c>
    </row>
    <row r="213" spans="1:27" x14ac:dyDescent="0.3">
      <c r="A213" t="s">
        <v>1558</v>
      </c>
      <c r="B213" t="s">
        <v>1459</v>
      </c>
      <c r="C213" t="s">
        <v>974</v>
      </c>
      <c r="D213" t="s">
        <v>1373</v>
      </c>
      <c r="E213" t="s">
        <v>549</v>
      </c>
      <c r="F213">
        <v>46053</v>
      </c>
      <c r="G213" t="s">
        <v>496</v>
      </c>
      <c r="H213" t="s">
        <v>1159</v>
      </c>
      <c r="I213">
        <v>52100503</v>
      </c>
      <c r="J213" t="s">
        <v>1528</v>
      </c>
      <c r="K213" t="s">
        <v>1529</v>
      </c>
      <c r="L213">
        <v>0</v>
      </c>
      <c r="M213">
        <v>1500</v>
      </c>
      <c r="N213">
        <v>0</v>
      </c>
      <c r="O213">
        <v>1500</v>
      </c>
      <c r="P213" t="s">
        <v>1530</v>
      </c>
      <c r="Q213" t="s">
        <v>1062</v>
      </c>
      <c r="R213" t="s">
        <v>1199</v>
      </c>
      <c r="S213" t="s">
        <v>947</v>
      </c>
      <c r="T213" t="s">
        <v>1063</v>
      </c>
      <c r="U213" t="s">
        <v>1531</v>
      </c>
      <c r="V213" t="s">
        <v>1165</v>
      </c>
      <c r="W213">
        <v>1</v>
      </c>
      <c r="X213">
        <v>1500</v>
      </c>
      <c r="Y213" t="s">
        <v>1166</v>
      </c>
      <c r="Z213" t="s">
        <v>1167</v>
      </c>
      <c r="AA213" t="s">
        <v>1532</v>
      </c>
    </row>
    <row r="214" spans="1:27" x14ac:dyDescent="0.3">
      <c r="A214" t="s">
        <v>1558</v>
      </c>
      <c r="B214" t="s">
        <v>1465</v>
      </c>
      <c r="C214" t="s">
        <v>974</v>
      </c>
      <c r="D214" t="s">
        <v>1373</v>
      </c>
      <c r="E214" t="s">
        <v>549</v>
      </c>
      <c r="F214">
        <v>46053</v>
      </c>
      <c r="G214" t="s">
        <v>496</v>
      </c>
      <c r="H214" t="s">
        <v>1159</v>
      </c>
      <c r="I214">
        <v>52359502</v>
      </c>
      <c r="J214" t="s">
        <v>1232</v>
      </c>
      <c r="K214" t="s">
        <v>1537</v>
      </c>
      <c r="L214">
        <v>0</v>
      </c>
      <c r="M214">
        <v>648</v>
      </c>
      <c r="N214">
        <v>0</v>
      </c>
      <c r="O214">
        <v>648</v>
      </c>
      <c r="P214" t="s">
        <v>1538</v>
      </c>
      <c r="Q214" t="s">
        <v>1099</v>
      </c>
      <c r="R214" t="s">
        <v>1199</v>
      </c>
      <c r="S214" t="s">
        <v>948</v>
      </c>
      <c r="T214" t="s">
        <v>1100</v>
      </c>
      <c r="U214" t="s">
        <v>576</v>
      </c>
      <c r="V214" t="s">
        <v>1165</v>
      </c>
      <c r="W214">
        <v>1</v>
      </c>
      <c r="X214">
        <v>648</v>
      </c>
      <c r="Y214" t="s">
        <v>1192</v>
      </c>
      <c r="Z214" t="s">
        <v>1193</v>
      </c>
      <c r="AA214" t="s">
        <v>1539</v>
      </c>
    </row>
    <row r="215" spans="1:27" x14ac:dyDescent="0.3">
      <c r="A215" t="s">
        <v>1558</v>
      </c>
      <c r="B215" t="s">
        <v>1473</v>
      </c>
      <c r="C215" t="s">
        <v>974</v>
      </c>
      <c r="D215" t="s">
        <v>1373</v>
      </c>
      <c r="E215" t="s">
        <v>549</v>
      </c>
      <c r="F215">
        <v>46053</v>
      </c>
      <c r="G215" t="s">
        <v>496</v>
      </c>
      <c r="H215" t="s">
        <v>1159</v>
      </c>
      <c r="I215">
        <v>53051501</v>
      </c>
      <c r="J215" t="s">
        <v>1544</v>
      </c>
      <c r="K215" t="s">
        <v>1551</v>
      </c>
      <c r="L215">
        <v>0</v>
      </c>
      <c r="M215">
        <v>75</v>
      </c>
      <c r="N215">
        <v>0</v>
      </c>
      <c r="O215">
        <v>75</v>
      </c>
      <c r="P215" t="s">
        <v>1546</v>
      </c>
      <c r="Q215" t="s">
        <v>1123</v>
      </c>
      <c r="R215" t="s">
        <v>1199</v>
      </c>
      <c r="S215" t="s">
        <v>717</v>
      </c>
      <c r="T215" t="s">
        <v>717</v>
      </c>
      <c r="U215" t="s">
        <v>1547</v>
      </c>
      <c r="V215" t="s">
        <v>1165</v>
      </c>
      <c r="W215">
        <v>1</v>
      </c>
      <c r="X215">
        <v>75</v>
      </c>
      <c r="Y215" t="s">
        <v>1166</v>
      </c>
      <c r="Z215" t="s">
        <v>1167</v>
      </c>
      <c r="AA215" t="s">
        <v>1548</v>
      </c>
    </row>
    <row r="216" spans="1:27" x14ac:dyDescent="0.3">
      <c r="A216" t="s">
        <v>1558</v>
      </c>
      <c r="B216" t="s">
        <v>1572</v>
      </c>
      <c r="C216" t="s">
        <v>974</v>
      </c>
      <c r="D216" t="s">
        <v>1373</v>
      </c>
      <c r="E216" t="s">
        <v>549</v>
      </c>
      <c r="F216">
        <v>46053</v>
      </c>
      <c r="G216" t="s">
        <v>496</v>
      </c>
      <c r="H216" t="s">
        <v>1159</v>
      </c>
      <c r="I216">
        <v>53051501</v>
      </c>
      <c r="J216" t="s">
        <v>1544</v>
      </c>
      <c r="K216" t="s">
        <v>1406</v>
      </c>
      <c r="L216">
        <v>0</v>
      </c>
      <c r="M216">
        <v>0.9</v>
      </c>
      <c r="N216">
        <v>0</v>
      </c>
      <c r="O216">
        <v>0.9</v>
      </c>
      <c r="P216" t="s">
        <v>1546</v>
      </c>
      <c r="Q216" t="s">
        <v>1123</v>
      </c>
      <c r="R216" t="s">
        <v>1199</v>
      </c>
      <c r="S216" t="s">
        <v>717</v>
      </c>
      <c r="T216" t="s">
        <v>717</v>
      </c>
      <c r="U216" t="s">
        <v>1547</v>
      </c>
      <c r="V216" t="s">
        <v>1165</v>
      </c>
      <c r="W216">
        <v>1</v>
      </c>
      <c r="X216">
        <v>0.9</v>
      </c>
      <c r="Y216" t="s">
        <v>1166</v>
      </c>
      <c r="Z216" t="s">
        <v>1167</v>
      </c>
      <c r="AA216" t="s">
        <v>1548</v>
      </c>
    </row>
    <row r="217" spans="1:27" x14ac:dyDescent="0.3">
      <c r="A217" t="s">
        <v>1573</v>
      </c>
      <c r="B217" t="s">
        <v>1158</v>
      </c>
      <c r="C217" t="s">
        <v>976</v>
      </c>
      <c r="D217" t="s">
        <v>658</v>
      </c>
      <c r="E217" t="s">
        <v>551</v>
      </c>
      <c r="F217">
        <v>46081</v>
      </c>
      <c r="G217" t="s">
        <v>496</v>
      </c>
      <c r="H217" t="s">
        <v>1159</v>
      </c>
      <c r="I217">
        <v>11100501</v>
      </c>
      <c r="J217" t="s">
        <v>1160</v>
      </c>
      <c r="L217">
        <v>438.87</v>
      </c>
      <c r="M217">
        <v>2300</v>
      </c>
      <c r="N217">
        <v>2265.83</v>
      </c>
      <c r="O217">
        <v>473.04</v>
      </c>
      <c r="P217" t="s">
        <v>1161</v>
      </c>
      <c r="Q217" t="s">
        <v>980</v>
      </c>
      <c r="R217" t="s">
        <v>1162</v>
      </c>
      <c r="S217" t="s">
        <v>1163</v>
      </c>
      <c r="T217" t="s">
        <v>926</v>
      </c>
      <c r="U217" t="s">
        <v>1164</v>
      </c>
      <c r="V217" t="s">
        <v>1165</v>
      </c>
      <c r="W217">
        <v>1</v>
      </c>
      <c r="X217">
        <v>473.04</v>
      </c>
      <c r="Y217" t="s">
        <v>1166</v>
      </c>
      <c r="Z217" t="s">
        <v>1167</v>
      </c>
      <c r="AA217" t="s">
        <v>1168</v>
      </c>
    </row>
    <row r="218" spans="1:27" x14ac:dyDescent="0.3">
      <c r="A218" t="s">
        <v>1573</v>
      </c>
      <c r="B218" t="s">
        <v>1169</v>
      </c>
      <c r="C218" t="s">
        <v>976</v>
      </c>
      <c r="D218" t="s">
        <v>658</v>
      </c>
      <c r="E218" t="s">
        <v>551</v>
      </c>
      <c r="F218">
        <v>46081</v>
      </c>
      <c r="G218" t="s">
        <v>496</v>
      </c>
      <c r="H218" t="s">
        <v>1159</v>
      </c>
      <c r="I218">
        <v>23050102</v>
      </c>
      <c r="J218" t="s">
        <v>1170</v>
      </c>
      <c r="K218" t="s">
        <v>1171</v>
      </c>
      <c r="L218">
        <v>-92</v>
      </c>
      <c r="M218">
        <v>0</v>
      </c>
      <c r="N218">
        <v>0</v>
      </c>
      <c r="O218">
        <v>-92</v>
      </c>
      <c r="P218" t="s">
        <v>1172</v>
      </c>
      <c r="Q218" t="s">
        <v>1010</v>
      </c>
      <c r="R218" t="s">
        <v>1162</v>
      </c>
      <c r="S218" t="s">
        <v>1173</v>
      </c>
      <c r="T218" t="s">
        <v>1011</v>
      </c>
      <c r="U218" t="s">
        <v>1174</v>
      </c>
      <c r="V218" t="s">
        <v>1175</v>
      </c>
      <c r="W218">
        <v>-1</v>
      </c>
      <c r="X218">
        <v>92</v>
      </c>
      <c r="Y218" t="s">
        <v>1166</v>
      </c>
      <c r="Z218" t="s">
        <v>1167</v>
      </c>
      <c r="AA218" t="s">
        <v>1176</v>
      </c>
    </row>
    <row r="219" spans="1:27" x14ac:dyDescent="0.3">
      <c r="A219" t="s">
        <v>1573</v>
      </c>
      <c r="B219" t="s">
        <v>1177</v>
      </c>
      <c r="C219" t="s">
        <v>976</v>
      </c>
      <c r="D219" t="s">
        <v>658</v>
      </c>
      <c r="E219" t="s">
        <v>551</v>
      </c>
      <c r="F219">
        <v>46081</v>
      </c>
      <c r="G219" t="s">
        <v>496</v>
      </c>
      <c r="H219" t="s">
        <v>1159</v>
      </c>
      <c r="I219">
        <v>31050502</v>
      </c>
      <c r="J219" t="s">
        <v>1178</v>
      </c>
      <c r="K219" t="s">
        <v>1179</v>
      </c>
      <c r="L219">
        <v>-6882.83</v>
      </c>
      <c r="M219">
        <v>0</v>
      </c>
      <c r="N219">
        <v>0</v>
      </c>
      <c r="O219">
        <v>-6882.83</v>
      </c>
      <c r="P219" t="s">
        <v>1180</v>
      </c>
      <c r="Q219" t="s">
        <v>1028</v>
      </c>
      <c r="R219" t="s">
        <v>1162</v>
      </c>
      <c r="S219" t="s">
        <v>1181</v>
      </c>
      <c r="T219" t="s">
        <v>1029</v>
      </c>
      <c r="U219" t="s">
        <v>1182</v>
      </c>
      <c r="V219" t="s">
        <v>1175</v>
      </c>
      <c r="W219">
        <v>-1</v>
      </c>
      <c r="X219">
        <v>6882.83</v>
      </c>
      <c r="Y219" t="s">
        <v>1166</v>
      </c>
      <c r="Z219" t="s">
        <v>1167</v>
      </c>
      <c r="AA219" t="s">
        <v>1029</v>
      </c>
    </row>
    <row r="220" spans="1:27" x14ac:dyDescent="0.3">
      <c r="A220" t="s">
        <v>1573</v>
      </c>
      <c r="B220" t="s">
        <v>1183</v>
      </c>
      <c r="C220" t="s">
        <v>976</v>
      </c>
      <c r="D220" t="s">
        <v>658</v>
      </c>
      <c r="E220" t="s">
        <v>551</v>
      </c>
      <c r="F220">
        <v>46081</v>
      </c>
      <c r="G220" t="s">
        <v>496</v>
      </c>
      <c r="H220" t="s">
        <v>1159</v>
      </c>
      <c r="I220">
        <v>31150502</v>
      </c>
      <c r="J220" t="s">
        <v>1184</v>
      </c>
      <c r="L220">
        <v>-20486</v>
      </c>
      <c r="M220">
        <v>0</v>
      </c>
      <c r="N220">
        <v>2300</v>
      </c>
      <c r="O220">
        <v>-22786</v>
      </c>
      <c r="P220" t="s">
        <v>1185</v>
      </c>
      <c r="Q220" t="s">
        <v>1028</v>
      </c>
      <c r="R220" t="s">
        <v>1162</v>
      </c>
      <c r="S220" t="s">
        <v>1181</v>
      </c>
      <c r="T220" t="s">
        <v>1029</v>
      </c>
      <c r="U220" t="s">
        <v>1186</v>
      </c>
      <c r="V220" t="s">
        <v>1175</v>
      </c>
      <c r="W220">
        <v>-1</v>
      </c>
      <c r="X220">
        <v>22786</v>
      </c>
      <c r="Y220" t="s">
        <v>1166</v>
      </c>
      <c r="Z220" t="s">
        <v>1167</v>
      </c>
      <c r="AA220" t="s">
        <v>1187</v>
      </c>
    </row>
    <row r="221" spans="1:27" x14ac:dyDescent="0.3">
      <c r="A221" t="s">
        <v>1573</v>
      </c>
      <c r="B221" t="s">
        <v>1188</v>
      </c>
      <c r="C221" t="s">
        <v>976</v>
      </c>
      <c r="D221" t="s">
        <v>658</v>
      </c>
      <c r="E221" t="s">
        <v>551</v>
      </c>
      <c r="F221">
        <v>46081</v>
      </c>
      <c r="G221" t="s">
        <v>496</v>
      </c>
      <c r="H221" t="s">
        <v>1159</v>
      </c>
      <c r="I221">
        <v>36100102</v>
      </c>
      <c r="J221" t="s">
        <v>1189</v>
      </c>
      <c r="L221">
        <v>22674.27</v>
      </c>
      <c r="M221">
        <v>0</v>
      </c>
      <c r="N221">
        <v>0</v>
      </c>
      <c r="O221">
        <v>22674.27</v>
      </c>
      <c r="P221" t="s">
        <v>1190</v>
      </c>
      <c r="Q221" t="s">
        <v>1033</v>
      </c>
      <c r="R221" t="s">
        <v>1162</v>
      </c>
      <c r="S221" t="s">
        <v>1181</v>
      </c>
      <c r="T221" t="s">
        <v>1034</v>
      </c>
      <c r="U221" t="s">
        <v>1191</v>
      </c>
      <c r="V221" t="s">
        <v>1175</v>
      </c>
      <c r="W221">
        <v>-1</v>
      </c>
      <c r="X221">
        <v>-22674.27</v>
      </c>
      <c r="Y221" t="s">
        <v>1192</v>
      </c>
      <c r="Z221" t="s">
        <v>1193</v>
      </c>
      <c r="AA221" t="s">
        <v>1194</v>
      </c>
    </row>
    <row r="222" spans="1:27" x14ac:dyDescent="0.3">
      <c r="A222" t="s">
        <v>1573</v>
      </c>
      <c r="B222" t="s">
        <v>1195</v>
      </c>
      <c r="C222" t="s">
        <v>976</v>
      </c>
      <c r="D222" t="s">
        <v>658</v>
      </c>
      <c r="E222" t="s">
        <v>551</v>
      </c>
      <c r="F222">
        <v>46081</v>
      </c>
      <c r="G222" t="s">
        <v>496</v>
      </c>
      <c r="H222" t="s">
        <v>1159</v>
      </c>
      <c r="I222">
        <v>51050601</v>
      </c>
      <c r="J222" t="s">
        <v>1196</v>
      </c>
      <c r="K222" t="s">
        <v>1197</v>
      </c>
      <c r="L222">
        <v>2400</v>
      </c>
      <c r="M222">
        <v>1200</v>
      </c>
      <c r="N222">
        <v>0</v>
      </c>
      <c r="O222">
        <v>3600</v>
      </c>
      <c r="P222" t="s">
        <v>1198</v>
      </c>
      <c r="Q222" t="s">
        <v>1060</v>
      </c>
      <c r="R222" t="s">
        <v>1199</v>
      </c>
      <c r="S222" t="s">
        <v>947</v>
      </c>
      <c r="T222" t="s">
        <v>1061</v>
      </c>
      <c r="U222" t="s">
        <v>1200</v>
      </c>
      <c r="V222" t="s">
        <v>1165</v>
      </c>
      <c r="W222">
        <v>1</v>
      </c>
      <c r="X222">
        <v>3600</v>
      </c>
      <c r="Y222" t="s">
        <v>1166</v>
      </c>
      <c r="Z222" t="s">
        <v>1167</v>
      </c>
      <c r="AA222" t="s">
        <v>1201</v>
      </c>
    </row>
    <row r="223" spans="1:27" x14ac:dyDescent="0.3">
      <c r="A223" t="s">
        <v>1573</v>
      </c>
      <c r="B223" t="s">
        <v>1202</v>
      </c>
      <c r="C223" t="s">
        <v>976</v>
      </c>
      <c r="D223" t="s">
        <v>658</v>
      </c>
      <c r="E223" t="s">
        <v>551</v>
      </c>
      <c r="F223">
        <v>46081</v>
      </c>
      <c r="G223" t="s">
        <v>496</v>
      </c>
      <c r="H223" t="s">
        <v>1159</v>
      </c>
      <c r="I223">
        <v>51052105</v>
      </c>
      <c r="J223" t="s">
        <v>1203</v>
      </c>
      <c r="L223">
        <v>600</v>
      </c>
      <c r="M223">
        <v>300</v>
      </c>
      <c r="N223">
        <v>0</v>
      </c>
      <c r="O223">
        <v>900</v>
      </c>
      <c r="P223" t="s">
        <v>1204</v>
      </c>
      <c r="Q223" t="s">
        <v>1075</v>
      </c>
      <c r="R223" t="s">
        <v>1199</v>
      </c>
      <c r="S223" t="s">
        <v>947</v>
      </c>
      <c r="T223" t="s">
        <v>1076</v>
      </c>
      <c r="U223" t="s">
        <v>1205</v>
      </c>
      <c r="V223" t="s">
        <v>1165</v>
      </c>
      <c r="W223">
        <v>1</v>
      </c>
      <c r="X223">
        <v>900</v>
      </c>
      <c r="Y223" t="s">
        <v>1166</v>
      </c>
      <c r="Z223" t="s">
        <v>1167</v>
      </c>
      <c r="AA223" t="s">
        <v>1206</v>
      </c>
    </row>
    <row r="224" spans="1:27" x14ac:dyDescent="0.3">
      <c r="A224" t="s">
        <v>1573</v>
      </c>
      <c r="B224" t="s">
        <v>1207</v>
      </c>
      <c r="C224" t="s">
        <v>976</v>
      </c>
      <c r="D224" t="s">
        <v>658</v>
      </c>
      <c r="E224" t="s">
        <v>551</v>
      </c>
      <c r="F224">
        <v>46081</v>
      </c>
      <c r="G224" t="s">
        <v>496</v>
      </c>
      <c r="H224" t="s">
        <v>1159</v>
      </c>
      <c r="I224">
        <v>51053101</v>
      </c>
      <c r="J224" t="s">
        <v>1208</v>
      </c>
      <c r="K224" t="s">
        <v>1197</v>
      </c>
      <c r="L224">
        <v>812.37</v>
      </c>
      <c r="M224">
        <v>400</v>
      </c>
      <c r="N224">
        <v>0</v>
      </c>
      <c r="O224">
        <v>1212.3699999999999</v>
      </c>
      <c r="P224" t="s">
        <v>1209</v>
      </c>
      <c r="Q224" t="s">
        <v>1060</v>
      </c>
      <c r="R224" t="s">
        <v>1199</v>
      </c>
      <c r="S224" t="s">
        <v>947</v>
      </c>
      <c r="T224" t="s">
        <v>1061</v>
      </c>
      <c r="U224" t="s">
        <v>1210</v>
      </c>
      <c r="V224" t="s">
        <v>1165</v>
      </c>
      <c r="W224">
        <v>1</v>
      </c>
      <c r="X224">
        <v>1212.3699999999999</v>
      </c>
      <c r="Y224" t="s">
        <v>1166</v>
      </c>
      <c r="Z224" t="s">
        <v>1167</v>
      </c>
      <c r="AA224" t="s">
        <v>1211</v>
      </c>
    </row>
    <row r="225" spans="1:27" x14ac:dyDescent="0.3">
      <c r="A225" t="s">
        <v>1573</v>
      </c>
      <c r="B225" t="s">
        <v>1212</v>
      </c>
      <c r="C225" t="s">
        <v>976</v>
      </c>
      <c r="D225" t="s">
        <v>658</v>
      </c>
      <c r="E225" t="s">
        <v>551</v>
      </c>
      <c r="F225">
        <v>46081</v>
      </c>
      <c r="G225" t="s">
        <v>496</v>
      </c>
      <c r="H225" t="s">
        <v>1159</v>
      </c>
      <c r="I225">
        <v>51102501</v>
      </c>
      <c r="J225" t="s">
        <v>1213</v>
      </c>
      <c r="K225" t="s">
        <v>1214</v>
      </c>
      <c r="L225">
        <v>222.59</v>
      </c>
      <c r="M225">
        <v>47.76</v>
      </c>
      <c r="N225">
        <v>0</v>
      </c>
      <c r="O225">
        <v>270.35000000000002</v>
      </c>
      <c r="P225" t="s">
        <v>1215</v>
      </c>
      <c r="Q225" t="s">
        <v>1062</v>
      </c>
      <c r="R225" t="s">
        <v>1199</v>
      </c>
      <c r="S225" t="s">
        <v>947</v>
      </c>
      <c r="T225" t="s">
        <v>1063</v>
      </c>
      <c r="U225" t="s">
        <v>1216</v>
      </c>
      <c r="V225" t="s">
        <v>1165</v>
      </c>
      <c r="W225">
        <v>1</v>
      </c>
      <c r="X225">
        <v>270.35000000000002</v>
      </c>
      <c r="Y225" t="s">
        <v>1166</v>
      </c>
      <c r="Z225" t="s">
        <v>1167</v>
      </c>
      <c r="AA225" t="s">
        <v>1217</v>
      </c>
    </row>
    <row r="226" spans="1:27" x14ac:dyDescent="0.3">
      <c r="A226" t="s">
        <v>1573</v>
      </c>
      <c r="B226" t="s">
        <v>1218</v>
      </c>
      <c r="C226" t="s">
        <v>976</v>
      </c>
      <c r="D226" t="s">
        <v>658</v>
      </c>
      <c r="E226" t="s">
        <v>551</v>
      </c>
      <c r="F226">
        <v>46081</v>
      </c>
      <c r="G226" t="s">
        <v>496</v>
      </c>
      <c r="H226" t="s">
        <v>1159</v>
      </c>
      <c r="I226">
        <v>51150501</v>
      </c>
      <c r="J226" t="s">
        <v>1219</v>
      </c>
      <c r="K226" t="s">
        <v>1220</v>
      </c>
      <c r="L226">
        <v>240.73</v>
      </c>
      <c r="M226">
        <v>12</v>
      </c>
      <c r="N226">
        <v>0</v>
      </c>
      <c r="O226">
        <v>252.73</v>
      </c>
      <c r="P226" t="s">
        <v>1221</v>
      </c>
      <c r="Q226" t="s">
        <v>1064</v>
      </c>
      <c r="R226" t="s">
        <v>1199</v>
      </c>
      <c r="S226" t="s">
        <v>947</v>
      </c>
      <c r="T226" t="s">
        <v>1065</v>
      </c>
      <c r="U226" t="s">
        <v>1222</v>
      </c>
      <c r="V226" t="s">
        <v>1165</v>
      </c>
      <c r="W226">
        <v>1</v>
      </c>
      <c r="X226">
        <v>252.73</v>
      </c>
      <c r="Y226" t="s">
        <v>1166</v>
      </c>
      <c r="Z226" t="s">
        <v>1167</v>
      </c>
      <c r="AA226" t="s">
        <v>1223</v>
      </c>
    </row>
    <row r="227" spans="1:27" x14ac:dyDescent="0.3">
      <c r="A227" t="s">
        <v>1573</v>
      </c>
      <c r="B227" t="s">
        <v>1224</v>
      </c>
      <c r="C227" t="s">
        <v>976</v>
      </c>
      <c r="D227" t="s">
        <v>658</v>
      </c>
      <c r="E227" t="s">
        <v>551</v>
      </c>
      <c r="F227">
        <v>46081</v>
      </c>
      <c r="G227" t="s">
        <v>496</v>
      </c>
      <c r="H227" t="s">
        <v>1159</v>
      </c>
      <c r="I227">
        <v>51150502</v>
      </c>
      <c r="J227" t="s">
        <v>1219</v>
      </c>
      <c r="K227" t="s">
        <v>1220</v>
      </c>
      <c r="L227">
        <v>0</v>
      </c>
      <c r="M227">
        <v>26.55</v>
      </c>
      <c r="N227">
        <v>0</v>
      </c>
      <c r="O227">
        <v>26.55</v>
      </c>
      <c r="P227" t="s">
        <v>1221</v>
      </c>
      <c r="Q227" t="s">
        <v>1064</v>
      </c>
      <c r="R227" t="s">
        <v>1199</v>
      </c>
      <c r="S227" t="s">
        <v>947</v>
      </c>
      <c r="T227" t="s">
        <v>1065</v>
      </c>
      <c r="U227" t="s">
        <v>1222</v>
      </c>
      <c r="V227" t="s">
        <v>1165</v>
      </c>
      <c r="W227">
        <v>1</v>
      </c>
      <c r="X227">
        <v>26.55</v>
      </c>
      <c r="Y227" t="s">
        <v>1166</v>
      </c>
      <c r="Z227" t="s">
        <v>1167</v>
      </c>
      <c r="AA227" t="s">
        <v>1223</v>
      </c>
    </row>
    <row r="228" spans="1:27" x14ac:dyDescent="0.3">
      <c r="A228" t="s">
        <v>1573</v>
      </c>
      <c r="B228" t="s">
        <v>1225</v>
      </c>
      <c r="C228" t="s">
        <v>976</v>
      </c>
      <c r="D228" t="s">
        <v>658</v>
      </c>
      <c r="E228" t="s">
        <v>551</v>
      </c>
      <c r="F228">
        <v>46081</v>
      </c>
      <c r="G228" t="s">
        <v>496</v>
      </c>
      <c r="H228" t="s">
        <v>1159</v>
      </c>
      <c r="I228">
        <v>51250501</v>
      </c>
      <c r="J228" t="s">
        <v>1226</v>
      </c>
      <c r="K228" t="s">
        <v>1227</v>
      </c>
      <c r="L228">
        <v>0</v>
      </c>
      <c r="M228">
        <v>64.790000000000006</v>
      </c>
      <c r="N228">
        <v>0</v>
      </c>
      <c r="O228">
        <v>64.790000000000006</v>
      </c>
      <c r="P228" t="s">
        <v>1228</v>
      </c>
      <c r="Q228" t="s">
        <v>1064</v>
      </c>
      <c r="R228" t="s">
        <v>1199</v>
      </c>
      <c r="S228" t="s">
        <v>947</v>
      </c>
      <c r="T228" t="s">
        <v>1065</v>
      </c>
      <c r="U228" t="s">
        <v>1229</v>
      </c>
      <c r="V228" t="s">
        <v>1165</v>
      </c>
      <c r="W228">
        <v>1</v>
      </c>
      <c r="X228">
        <v>64.790000000000006</v>
      </c>
      <c r="Y228" t="s">
        <v>1166</v>
      </c>
      <c r="Z228" t="s">
        <v>1167</v>
      </c>
      <c r="AA228" t="s">
        <v>1230</v>
      </c>
    </row>
    <row r="229" spans="1:27" x14ac:dyDescent="0.3">
      <c r="A229" t="s">
        <v>1573</v>
      </c>
      <c r="B229" t="s">
        <v>1231</v>
      </c>
      <c r="C229" t="s">
        <v>976</v>
      </c>
      <c r="D229" t="s">
        <v>658</v>
      </c>
      <c r="E229" t="s">
        <v>551</v>
      </c>
      <c r="F229">
        <v>46081</v>
      </c>
      <c r="G229" t="s">
        <v>496</v>
      </c>
      <c r="H229" t="s">
        <v>1159</v>
      </c>
      <c r="I229">
        <v>51309501</v>
      </c>
      <c r="J229" t="s">
        <v>1232</v>
      </c>
      <c r="K229" t="s">
        <v>1238</v>
      </c>
      <c r="L229">
        <v>0</v>
      </c>
      <c r="M229">
        <v>70.81</v>
      </c>
      <c r="N229">
        <v>0</v>
      </c>
      <c r="O229">
        <v>70.81</v>
      </c>
      <c r="P229" t="s">
        <v>1234</v>
      </c>
      <c r="Q229" t="s">
        <v>1068</v>
      </c>
      <c r="R229" t="s">
        <v>1199</v>
      </c>
      <c r="S229" t="s">
        <v>947</v>
      </c>
      <c r="T229" t="s">
        <v>568</v>
      </c>
      <c r="U229" t="s">
        <v>1235</v>
      </c>
      <c r="V229" t="s">
        <v>1165</v>
      </c>
      <c r="W229">
        <v>1</v>
      </c>
      <c r="X229">
        <v>70.81</v>
      </c>
      <c r="Y229" t="s">
        <v>1192</v>
      </c>
      <c r="Z229" t="s">
        <v>1193</v>
      </c>
      <c r="AA229" t="s">
        <v>1236</v>
      </c>
    </row>
    <row r="230" spans="1:27" x14ac:dyDescent="0.3">
      <c r="A230" t="s">
        <v>1573</v>
      </c>
      <c r="B230" t="s">
        <v>1574</v>
      </c>
      <c r="C230" t="s">
        <v>976</v>
      </c>
      <c r="D230" t="s">
        <v>658</v>
      </c>
      <c r="E230" t="s">
        <v>551</v>
      </c>
      <c r="F230">
        <v>46081</v>
      </c>
      <c r="G230" t="s">
        <v>496</v>
      </c>
      <c r="H230" t="s">
        <v>1159</v>
      </c>
      <c r="I230">
        <v>51953001</v>
      </c>
      <c r="J230" t="s">
        <v>1246</v>
      </c>
      <c r="K230" t="s">
        <v>1247</v>
      </c>
      <c r="L230">
        <v>0</v>
      </c>
      <c r="M230">
        <v>39.61</v>
      </c>
      <c r="N230">
        <v>0</v>
      </c>
      <c r="O230">
        <v>39.61</v>
      </c>
      <c r="P230" t="s">
        <v>1248</v>
      </c>
      <c r="Q230" t="s">
        <v>1079</v>
      </c>
      <c r="R230" t="s">
        <v>1199</v>
      </c>
      <c r="S230" t="s">
        <v>947</v>
      </c>
      <c r="T230" t="s">
        <v>1080</v>
      </c>
      <c r="U230" t="s">
        <v>1249</v>
      </c>
      <c r="V230" t="s">
        <v>1165</v>
      </c>
      <c r="W230">
        <v>1</v>
      </c>
      <c r="X230">
        <v>39.61</v>
      </c>
      <c r="Y230" t="s">
        <v>1166</v>
      </c>
      <c r="Z230" t="s">
        <v>1167</v>
      </c>
      <c r="AA230" t="s">
        <v>1250</v>
      </c>
    </row>
    <row r="231" spans="1:27" x14ac:dyDescent="0.3">
      <c r="A231" t="s">
        <v>1573</v>
      </c>
      <c r="B231" t="s">
        <v>1239</v>
      </c>
      <c r="C231" t="s">
        <v>976</v>
      </c>
      <c r="D231" t="s">
        <v>658</v>
      </c>
      <c r="E231" t="s">
        <v>551</v>
      </c>
      <c r="F231">
        <v>46081</v>
      </c>
      <c r="G231" t="s">
        <v>496</v>
      </c>
      <c r="H231" t="s">
        <v>1159</v>
      </c>
      <c r="I231">
        <v>51953001</v>
      </c>
      <c r="J231" t="s">
        <v>1246</v>
      </c>
      <c r="K231" t="s">
        <v>1252</v>
      </c>
      <c r="L231">
        <v>0</v>
      </c>
      <c r="M231">
        <v>74.31</v>
      </c>
      <c r="N231">
        <v>0</v>
      </c>
      <c r="O231">
        <v>74.31</v>
      </c>
      <c r="P231" t="s">
        <v>1248</v>
      </c>
      <c r="Q231" t="s">
        <v>1079</v>
      </c>
      <c r="R231" t="s">
        <v>1199</v>
      </c>
      <c r="S231" t="s">
        <v>947</v>
      </c>
      <c r="T231" t="s">
        <v>1080</v>
      </c>
      <c r="U231" t="s">
        <v>1249</v>
      </c>
      <c r="V231" t="s">
        <v>1165</v>
      </c>
      <c r="W231">
        <v>1</v>
      </c>
      <c r="X231">
        <v>74.31</v>
      </c>
      <c r="Y231" t="s">
        <v>1166</v>
      </c>
      <c r="Z231" t="s">
        <v>1167</v>
      </c>
      <c r="AA231" t="s">
        <v>1250</v>
      </c>
    </row>
    <row r="232" spans="1:27" x14ac:dyDescent="0.3">
      <c r="A232" t="s">
        <v>1573</v>
      </c>
      <c r="B232" t="s">
        <v>1575</v>
      </c>
      <c r="C232" t="s">
        <v>976</v>
      </c>
      <c r="D232" t="s">
        <v>658</v>
      </c>
      <c r="E232" t="s">
        <v>551</v>
      </c>
      <c r="F232">
        <v>46081</v>
      </c>
      <c r="G232" t="s">
        <v>496</v>
      </c>
      <c r="H232" t="s">
        <v>1159</v>
      </c>
      <c r="I232">
        <v>51953001</v>
      </c>
      <c r="J232" t="s">
        <v>1246</v>
      </c>
      <c r="K232" t="s">
        <v>1254</v>
      </c>
      <c r="L232">
        <v>15</v>
      </c>
      <c r="M232">
        <v>0</v>
      </c>
      <c r="N232">
        <v>0</v>
      </c>
      <c r="O232">
        <v>15</v>
      </c>
      <c r="P232" t="s">
        <v>1248</v>
      </c>
      <c r="Q232" t="s">
        <v>1079</v>
      </c>
      <c r="R232" t="s">
        <v>1199</v>
      </c>
      <c r="S232" t="s">
        <v>947</v>
      </c>
      <c r="T232" t="s">
        <v>1080</v>
      </c>
      <c r="U232" t="s">
        <v>1249</v>
      </c>
      <c r="V232" t="s">
        <v>1165</v>
      </c>
      <c r="W232">
        <v>1</v>
      </c>
      <c r="X232">
        <v>15</v>
      </c>
      <c r="Y232" t="s">
        <v>1166</v>
      </c>
      <c r="Z232" t="s">
        <v>1167</v>
      </c>
      <c r="AA232" t="s">
        <v>1250</v>
      </c>
    </row>
    <row r="233" spans="1:27" x14ac:dyDescent="0.3">
      <c r="A233" t="s">
        <v>1573</v>
      </c>
      <c r="B233" t="s">
        <v>1327</v>
      </c>
      <c r="C233" t="s">
        <v>976</v>
      </c>
      <c r="D233" t="s">
        <v>658</v>
      </c>
      <c r="E233" t="s">
        <v>551</v>
      </c>
      <c r="F233">
        <v>46081</v>
      </c>
      <c r="G233" t="s">
        <v>496</v>
      </c>
      <c r="H233" t="s">
        <v>1159</v>
      </c>
      <c r="I233">
        <v>51953001</v>
      </c>
      <c r="J233" t="s">
        <v>1246</v>
      </c>
      <c r="K233" t="s">
        <v>1256</v>
      </c>
      <c r="L233">
        <v>7</v>
      </c>
      <c r="M233">
        <v>0</v>
      </c>
      <c r="N233">
        <v>0</v>
      </c>
      <c r="O233">
        <v>7</v>
      </c>
      <c r="P233" t="s">
        <v>1248</v>
      </c>
      <c r="Q233" t="s">
        <v>1079</v>
      </c>
      <c r="R233" t="s">
        <v>1199</v>
      </c>
      <c r="S233" t="s">
        <v>947</v>
      </c>
      <c r="T233" t="s">
        <v>1080</v>
      </c>
      <c r="U233" t="s">
        <v>1249</v>
      </c>
      <c r="V233" t="s">
        <v>1165</v>
      </c>
      <c r="W233">
        <v>1</v>
      </c>
      <c r="X233">
        <v>7</v>
      </c>
      <c r="Y233" t="s">
        <v>1166</v>
      </c>
      <c r="Z233" t="s">
        <v>1167</v>
      </c>
      <c r="AA233" t="s">
        <v>1250</v>
      </c>
    </row>
    <row r="234" spans="1:27" x14ac:dyDescent="0.3">
      <c r="A234" t="s">
        <v>1573</v>
      </c>
      <c r="B234" t="s">
        <v>1255</v>
      </c>
      <c r="C234" t="s">
        <v>976</v>
      </c>
      <c r="D234" t="s">
        <v>658</v>
      </c>
      <c r="E234" t="s">
        <v>551</v>
      </c>
      <c r="F234">
        <v>46081</v>
      </c>
      <c r="G234" t="s">
        <v>496</v>
      </c>
      <c r="H234" t="s">
        <v>1159</v>
      </c>
      <c r="I234">
        <v>53050501</v>
      </c>
      <c r="J234" t="s">
        <v>1258</v>
      </c>
      <c r="K234" t="s">
        <v>1259</v>
      </c>
      <c r="L234">
        <v>50</v>
      </c>
      <c r="M234">
        <v>30</v>
      </c>
      <c r="N234">
        <v>0</v>
      </c>
      <c r="O234">
        <v>80</v>
      </c>
      <c r="P234" t="s">
        <v>1260</v>
      </c>
      <c r="Q234" t="s">
        <v>1123</v>
      </c>
      <c r="R234" t="s">
        <v>1199</v>
      </c>
      <c r="S234" t="s">
        <v>717</v>
      </c>
      <c r="T234" t="s">
        <v>717</v>
      </c>
      <c r="U234" t="s">
        <v>1261</v>
      </c>
      <c r="V234" t="s">
        <v>1165</v>
      </c>
      <c r="W234">
        <v>1</v>
      </c>
      <c r="X234">
        <v>80</v>
      </c>
      <c r="Y234" t="s">
        <v>1166</v>
      </c>
      <c r="Z234" t="s">
        <v>1167</v>
      </c>
      <c r="AA234" t="s">
        <v>1262</v>
      </c>
    </row>
    <row r="235" spans="1:27" x14ac:dyDescent="0.3">
      <c r="A235" t="s">
        <v>1576</v>
      </c>
      <c r="B235" t="s">
        <v>1264</v>
      </c>
      <c r="C235" t="s">
        <v>975</v>
      </c>
      <c r="D235" t="s">
        <v>1265</v>
      </c>
      <c r="E235" t="s">
        <v>551</v>
      </c>
      <c r="F235">
        <v>46081</v>
      </c>
      <c r="G235" t="s">
        <v>686</v>
      </c>
      <c r="H235" t="s">
        <v>1159</v>
      </c>
      <c r="I235">
        <v>11100501</v>
      </c>
      <c r="J235" t="s">
        <v>1160</v>
      </c>
      <c r="K235" t="s">
        <v>1266</v>
      </c>
      <c r="L235">
        <v>11414.94</v>
      </c>
      <c r="M235">
        <v>64960.94</v>
      </c>
      <c r="N235">
        <v>53.7</v>
      </c>
      <c r="O235">
        <v>76322.179999999993</v>
      </c>
      <c r="P235" t="s">
        <v>1161</v>
      </c>
      <c r="Q235" t="s">
        <v>980</v>
      </c>
      <c r="R235" t="s">
        <v>1162</v>
      </c>
      <c r="S235" t="s">
        <v>1163</v>
      </c>
      <c r="T235" t="s">
        <v>926</v>
      </c>
      <c r="U235" t="s">
        <v>1164</v>
      </c>
      <c r="V235" t="s">
        <v>1165</v>
      </c>
      <c r="W235">
        <v>1</v>
      </c>
      <c r="X235">
        <v>76322.179999999993</v>
      </c>
      <c r="Y235" t="s">
        <v>1166</v>
      </c>
      <c r="Z235" t="s">
        <v>1167</v>
      </c>
      <c r="AA235" t="s">
        <v>1168</v>
      </c>
    </row>
    <row r="236" spans="1:27" x14ac:dyDescent="0.3">
      <c r="A236" t="s">
        <v>1576</v>
      </c>
      <c r="B236" t="s">
        <v>1267</v>
      </c>
      <c r="C236" t="s">
        <v>975</v>
      </c>
      <c r="D236" t="s">
        <v>1265</v>
      </c>
      <c r="E236" t="s">
        <v>551</v>
      </c>
      <c r="F236">
        <v>46081</v>
      </c>
      <c r="G236" t="s">
        <v>686</v>
      </c>
      <c r="H236" t="s">
        <v>1159</v>
      </c>
      <c r="I236">
        <v>11200501</v>
      </c>
      <c r="J236" t="s">
        <v>1268</v>
      </c>
      <c r="K236" t="s">
        <v>1269</v>
      </c>
      <c r="L236">
        <v>12425.45</v>
      </c>
      <c r="M236">
        <v>2891.95</v>
      </c>
      <c r="N236">
        <v>40.700000000000003</v>
      </c>
      <c r="O236">
        <v>15276.7</v>
      </c>
      <c r="P236" t="s">
        <v>1270</v>
      </c>
      <c r="Q236" t="s">
        <v>980</v>
      </c>
      <c r="R236" t="s">
        <v>1162</v>
      </c>
      <c r="S236" t="s">
        <v>1163</v>
      </c>
      <c r="T236" t="s">
        <v>926</v>
      </c>
      <c r="U236" t="s">
        <v>1271</v>
      </c>
      <c r="V236" t="s">
        <v>1165</v>
      </c>
      <c r="W236">
        <v>1</v>
      </c>
      <c r="X236">
        <v>15276.7</v>
      </c>
      <c r="Y236" t="s">
        <v>1166</v>
      </c>
      <c r="Z236" t="s">
        <v>1167</v>
      </c>
      <c r="AA236" t="s">
        <v>1272</v>
      </c>
    </row>
    <row r="237" spans="1:27" x14ac:dyDescent="0.3">
      <c r="A237" t="s">
        <v>1576</v>
      </c>
      <c r="B237" t="s">
        <v>1169</v>
      </c>
      <c r="C237" t="s">
        <v>975</v>
      </c>
      <c r="D237" t="s">
        <v>1265</v>
      </c>
      <c r="E237" t="s">
        <v>551</v>
      </c>
      <c r="F237">
        <v>46081</v>
      </c>
      <c r="G237" t="s">
        <v>686</v>
      </c>
      <c r="H237" t="s">
        <v>1159</v>
      </c>
      <c r="I237">
        <v>13050501</v>
      </c>
      <c r="J237" t="s">
        <v>1273</v>
      </c>
      <c r="K237" t="s">
        <v>1274</v>
      </c>
      <c r="L237">
        <v>7520.8</v>
      </c>
      <c r="M237">
        <v>3285.95</v>
      </c>
      <c r="N237">
        <v>3285.95</v>
      </c>
      <c r="O237">
        <v>7520.8</v>
      </c>
      <c r="P237" t="s">
        <v>1275</v>
      </c>
      <c r="Q237" t="s">
        <v>983</v>
      </c>
      <c r="R237" t="s">
        <v>1162</v>
      </c>
      <c r="S237" t="s">
        <v>1163</v>
      </c>
      <c r="T237" t="s">
        <v>984</v>
      </c>
      <c r="U237" t="s">
        <v>1276</v>
      </c>
      <c r="V237" t="s">
        <v>1165</v>
      </c>
      <c r="W237">
        <v>1</v>
      </c>
      <c r="X237">
        <v>7520.8</v>
      </c>
      <c r="Y237" t="s">
        <v>1166</v>
      </c>
      <c r="Z237" t="s">
        <v>1167</v>
      </c>
      <c r="AA237" t="s">
        <v>1277</v>
      </c>
    </row>
    <row r="238" spans="1:27" x14ac:dyDescent="0.3">
      <c r="A238" t="s">
        <v>1576</v>
      </c>
      <c r="B238" t="s">
        <v>1278</v>
      </c>
      <c r="C238" t="s">
        <v>975</v>
      </c>
      <c r="D238" t="s">
        <v>1265</v>
      </c>
      <c r="E238" t="s">
        <v>551</v>
      </c>
      <c r="F238">
        <v>46081</v>
      </c>
      <c r="G238" t="s">
        <v>686</v>
      </c>
      <c r="H238" t="s">
        <v>1159</v>
      </c>
      <c r="I238">
        <v>13551510</v>
      </c>
      <c r="J238" t="s">
        <v>1279</v>
      </c>
      <c r="K238" t="s">
        <v>1280</v>
      </c>
      <c r="L238">
        <v>0</v>
      </c>
      <c r="M238">
        <v>394</v>
      </c>
      <c r="N238">
        <v>0</v>
      </c>
      <c r="O238">
        <v>394</v>
      </c>
      <c r="P238" t="s">
        <v>1281</v>
      </c>
      <c r="Q238" t="s">
        <v>987</v>
      </c>
      <c r="R238" t="s">
        <v>1162</v>
      </c>
      <c r="S238" t="s">
        <v>1163</v>
      </c>
      <c r="T238" t="s">
        <v>988</v>
      </c>
      <c r="U238" t="s">
        <v>1282</v>
      </c>
      <c r="V238" t="s">
        <v>1165</v>
      </c>
      <c r="W238">
        <v>1</v>
      </c>
      <c r="X238">
        <v>394</v>
      </c>
      <c r="Y238" t="s">
        <v>1166</v>
      </c>
      <c r="Z238" t="s">
        <v>1167</v>
      </c>
      <c r="AA238" t="s">
        <v>1283</v>
      </c>
    </row>
    <row r="239" spans="1:27" x14ac:dyDescent="0.3">
      <c r="A239" t="s">
        <v>1576</v>
      </c>
      <c r="B239" t="s">
        <v>1284</v>
      </c>
      <c r="C239" t="s">
        <v>975</v>
      </c>
      <c r="D239" t="s">
        <v>1265</v>
      </c>
      <c r="E239" t="s">
        <v>551</v>
      </c>
      <c r="F239">
        <v>46081</v>
      </c>
      <c r="G239" t="s">
        <v>686</v>
      </c>
      <c r="H239" t="s">
        <v>1159</v>
      </c>
      <c r="I239">
        <v>15280501</v>
      </c>
      <c r="J239" t="s">
        <v>1285</v>
      </c>
      <c r="K239" t="s">
        <v>1286</v>
      </c>
      <c r="L239">
        <v>8811.86</v>
      </c>
      <c r="M239">
        <v>0</v>
      </c>
      <c r="N239">
        <v>0</v>
      </c>
      <c r="O239">
        <v>8811.86</v>
      </c>
      <c r="P239" t="s">
        <v>1287</v>
      </c>
      <c r="Q239" t="s">
        <v>995</v>
      </c>
      <c r="R239" t="s">
        <v>1162</v>
      </c>
      <c r="S239" t="s">
        <v>957</v>
      </c>
      <c r="T239" t="s">
        <v>996</v>
      </c>
      <c r="U239" t="s">
        <v>1288</v>
      </c>
      <c r="V239" t="s">
        <v>1165</v>
      </c>
      <c r="W239">
        <v>1</v>
      </c>
      <c r="X239">
        <v>8811.86</v>
      </c>
      <c r="Y239" t="s">
        <v>1166</v>
      </c>
      <c r="Z239" t="s">
        <v>1167</v>
      </c>
      <c r="AA239" t="s">
        <v>1289</v>
      </c>
    </row>
    <row r="240" spans="1:27" x14ac:dyDescent="0.3">
      <c r="A240" t="s">
        <v>1576</v>
      </c>
      <c r="B240" t="s">
        <v>1290</v>
      </c>
      <c r="C240" t="s">
        <v>975</v>
      </c>
      <c r="D240" t="s">
        <v>1265</v>
      </c>
      <c r="E240" t="s">
        <v>551</v>
      </c>
      <c r="F240">
        <v>46081</v>
      </c>
      <c r="G240" t="s">
        <v>686</v>
      </c>
      <c r="H240" t="s">
        <v>1159</v>
      </c>
      <c r="I240">
        <v>22050501</v>
      </c>
      <c r="J240" t="s">
        <v>1273</v>
      </c>
      <c r="K240" t="s">
        <v>1291</v>
      </c>
      <c r="L240">
        <v>-2127</v>
      </c>
      <c r="M240">
        <v>0</v>
      </c>
      <c r="N240">
        <v>0</v>
      </c>
      <c r="O240">
        <v>-2127</v>
      </c>
      <c r="P240" t="s">
        <v>1292</v>
      </c>
      <c r="Q240" t="s">
        <v>1008</v>
      </c>
      <c r="R240" t="s">
        <v>1162</v>
      </c>
      <c r="S240" t="s">
        <v>1173</v>
      </c>
      <c r="T240" t="s">
        <v>1009</v>
      </c>
      <c r="U240" t="s">
        <v>563</v>
      </c>
      <c r="V240" t="s">
        <v>1175</v>
      </c>
      <c r="W240">
        <v>-1</v>
      </c>
      <c r="X240">
        <v>2127</v>
      </c>
      <c r="Y240" t="s">
        <v>1166</v>
      </c>
      <c r="Z240" t="s">
        <v>1167</v>
      </c>
      <c r="AA240" t="s">
        <v>1293</v>
      </c>
    </row>
    <row r="241" spans="1:27" x14ac:dyDescent="0.3">
      <c r="A241" t="s">
        <v>1576</v>
      </c>
      <c r="B241" t="s">
        <v>1294</v>
      </c>
      <c r="C241" t="s">
        <v>975</v>
      </c>
      <c r="D241" t="s">
        <v>1265</v>
      </c>
      <c r="E241" t="s">
        <v>551</v>
      </c>
      <c r="F241">
        <v>46081</v>
      </c>
      <c r="G241" t="s">
        <v>686</v>
      </c>
      <c r="H241" t="s">
        <v>1159</v>
      </c>
      <c r="I241">
        <v>22050501</v>
      </c>
      <c r="J241" t="s">
        <v>1273</v>
      </c>
      <c r="K241" t="s">
        <v>1291</v>
      </c>
      <c r="L241">
        <v>0</v>
      </c>
      <c r="M241">
        <v>0</v>
      </c>
      <c r="N241">
        <v>1009.31</v>
      </c>
      <c r="O241">
        <v>-1009.31</v>
      </c>
      <c r="P241" t="s">
        <v>1292</v>
      </c>
      <c r="Q241" t="s">
        <v>1008</v>
      </c>
      <c r="R241" t="s">
        <v>1162</v>
      </c>
      <c r="S241" t="s">
        <v>1173</v>
      </c>
      <c r="T241" t="s">
        <v>1009</v>
      </c>
      <c r="U241" t="s">
        <v>563</v>
      </c>
      <c r="V241" t="s">
        <v>1175</v>
      </c>
      <c r="W241">
        <v>-1</v>
      </c>
      <c r="X241">
        <v>1009.31</v>
      </c>
      <c r="Y241" t="s">
        <v>1166</v>
      </c>
      <c r="Z241" t="s">
        <v>1167</v>
      </c>
      <c r="AA241" t="s">
        <v>1293</v>
      </c>
    </row>
    <row r="242" spans="1:27" x14ac:dyDescent="0.3">
      <c r="A242" t="s">
        <v>1576</v>
      </c>
      <c r="B242" t="s">
        <v>1560</v>
      </c>
      <c r="C242" t="s">
        <v>975</v>
      </c>
      <c r="D242" t="s">
        <v>1265</v>
      </c>
      <c r="E242" t="s">
        <v>551</v>
      </c>
      <c r="F242">
        <v>46081</v>
      </c>
      <c r="G242" t="s">
        <v>686</v>
      </c>
      <c r="H242" t="s">
        <v>1159</v>
      </c>
      <c r="I242">
        <v>24080103</v>
      </c>
      <c r="J242" t="s">
        <v>1296</v>
      </c>
      <c r="K242" t="s">
        <v>1297</v>
      </c>
      <c r="L242">
        <v>0</v>
      </c>
      <c r="M242">
        <v>0</v>
      </c>
      <c r="N242">
        <v>501.25</v>
      </c>
      <c r="O242">
        <v>-501.25</v>
      </c>
      <c r="P242" t="s">
        <v>1298</v>
      </c>
      <c r="Q242" t="s">
        <v>1012</v>
      </c>
      <c r="R242" t="s">
        <v>1162</v>
      </c>
      <c r="S242" t="s">
        <v>1173</v>
      </c>
      <c r="T242" t="s">
        <v>1013</v>
      </c>
      <c r="U242" t="s">
        <v>1299</v>
      </c>
      <c r="V242" t="s">
        <v>1175</v>
      </c>
      <c r="W242">
        <v>-1</v>
      </c>
      <c r="X242">
        <v>501.25</v>
      </c>
      <c r="Y242" t="s">
        <v>1166</v>
      </c>
      <c r="Z242" t="s">
        <v>1167</v>
      </c>
      <c r="AA242" t="s">
        <v>1300</v>
      </c>
    </row>
    <row r="243" spans="1:27" x14ac:dyDescent="0.3">
      <c r="A243" t="s">
        <v>1576</v>
      </c>
      <c r="B243" t="s">
        <v>1557</v>
      </c>
      <c r="C243" t="s">
        <v>975</v>
      </c>
      <c r="D243" t="s">
        <v>1265</v>
      </c>
      <c r="E243" t="s">
        <v>551</v>
      </c>
      <c r="F243">
        <v>46081</v>
      </c>
      <c r="G243" t="s">
        <v>686</v>
      </c>
      <c r="H243" t="s">
        <v>1159</v>
      </c>
      <c r="I243">
        <v>24080201</v>
      </c>
      <c r="J243" t="s">
        <v>1301</v>
      </c>
      <c r="K243" t="s">
        <v>1302</v>
      </c>
      <c r="L243">
        <v>1586.14</v>
      </c>
      <c r="M243">
        <v>0</v>
      </c>
      <c r="N243">
        <v>0</v>
      </c>
      <c r="O243">
        <v>1586.14</v>
      </c>
      <c r="P243" t="s">
        <v>1303</v>
      </c>
      <c r="Q243" t="s">
        <v>987</v>
      </c>
      <c r="R243" t="s">
        <v>1162</v>
      </c>
      <c r="S243" t="s">
        <v>1163</v>
      </c>
      <c r="T243" t="s">
        <v>988</v>
      </c>
      <c r="U243" t="s">
        <v>1304</v>
      </c>
      <c r="V243" t="s">
        <v>1165</v>
      </c>
      <c r="W243">
        <v>1</v>
      </c>
      <c r="X243">
        <v>1586.14</v>
      </c>
      <c r="Y243" t="s">
        <v>1166</v>
      </c>
      <c r="Z243" t="s">
        <v>1167</v>
      </c>
      <c r="AA243" t="s">
        <v>1305</v>
      </c>
    </row>
    <row r="244" spans="1:27" x14ac:dyDescent="0.3">
      <c r="A244" t="s">
        <v>1576</v>
      </c>
      <c r="B244" t="s">
        <v>1195</v>
      </c>
      <c r="C244" t="s">
        <v>975</v>
      </c>
      <c r="D244" t="s">
        <v>1265</v>
      </c>
      <c r="E244" t="s">
        <v>551</v>
      </c>
      <c r="F244">
        <v>46081</v>
      </c>
      <c r="G244" t="s">
        <v>686</v>
      </c>
      <c r="H244" t="s">
        <v>1159</v>
      </c>
      <c r="I244">
        <v>24080201</v>
      </c>
      <c r="J244" t="s">
        <v>1301</v>
      </c>
      <c r="K244" t="s">
        <v>1302</v>
      </c>
      <c r="L244">
        <v>0</v>
      </c>
      <c r="M244">
        <v>153.96</v>
      </c>
      <c r="N244">
        <v>0</v>
      </c>
      <c r="O244">
        <v>153.96</v>
      </c>
      <c r="P244" t="s">
        <v>1303</v>
      </c>
      <c r="Q244" t="s">
        <v>987</v>
      </c>
      <c r="R244" t="s">
        <v>1162</v>
      </c>
      <c r="S244" t="s">
        <v>1163</v>
      </c>
      <c r="T244" t="s">
        <v>988</v>
      </c>
      <c r="U244" t="s">
        <v>1304</v>
      </c>
      <c r="V244" t="s">
        <v>1165</v>
      </c>
      <c r="W244">
        <v>1</v>
      </c>
      <c r="X244">
        <v>153.96</v>
      </c>
      <c r="Y244" t="s">
        <v>1166</v>
      </c>
      <c r="Z244" t="s">
        <v>1167</v>
      </c>
      <c r="AA244" t="s">
        <v>1305</v>
      </c>
    </row>
    <row r="245" spans="1:27" x14ac:dyDescent="0.3">
      <c r="A245" t="s">
        <v>1576</v>
      </c>
      <c r="B245" t="s">
        <v>1306</v>
      </c>
      <c r="C245" t="s">
        <v>975</v>
      </c>
      <c r="D245" t="s">
        <v>1265</v>
      </c>
      <c r="E245" t="s">
        <v>551</v>
      </c>
      <c r="F245">
        <v>46081</v>
      </c>
      <c r="G245" t="s">
        <v>686</v>
      </c>
      <c r="H245" t="s">
        <v>1159</v>
      </c>
      <c r="I245">
        <v>24080201</v>
      </c>
      <c r="J245" t="s">
        <v>1301</v>
      </c>
      <c r="K245" t="s">
        <v>1302</v>
      </c>
      <c r="L245">
        <v>-984.16</v>
      </c>
      <c r="M245">
        <v>0</v>
      </c>
      <c r="N245">
        <v>0</v>
      </c>
      <c r="O245">
        <v>-984.16</v>
      </c>
      <c r="P245" t="s">
        <v>1303</v>
      </c>
      <c r="Q245" t="s">
        <v>987</v>
      </c>
      <c r="R245" t="s">
        <v>1162</v>
      </c>
      <c r="S245" t="s">
        <v>1163</v>
      </c>
      <c r="T245" t="s">
        <v>988</v>
      </c>
      <c r="U245" t="s">
        <v>1304</v>
      </c>
      <c r="V245" t="s">
        <v>1165</v>
      </c>
      <c r="W245">
        <v>1</v>
      </c>
      <c r="X245">
        <v>-984.16</v>
      </c>
      <c r="Y245" t="s">
        <v>1166</v>
      </c>
      <c r="Z245" t="s">
        <v>1167</v>
      </c>
      <c r="AA245" t="s">
        <v>1305</v>
      </c>
    </row>
    <row r="246" spans="1:27" x14ac:dyDescent="0.3">
      <c r="A246" t="s">
        <v>1576</v>
      </c>
      <c r="B246" t="s">
        <v>1561</v>
      </c>
      <c r="C246" t="s">
        <v>975</v>
      </c>
      <c r="D246" t="s">
        <v>1265</v>
      </c>
      <c r="E246" t="s">
        <v>551</v>
      </c>
      <c r="F246">
        <v>46081</v>
      </c>
      <c r="G246" t="s">
        <v>686</v>
      </c>
      <c r="H246" t="s">
        <v>1159</v>
      </c>
      <c r="I246">
        <v>31050501</v>
      </c>
      <c r="J246" t="s">
        <v>1178</v>
      </c>
      <c r="K246" t="s">
        <v>1308</v>
      </c>
      <c r="L246">
        <v>-14208.08</v>
      </c>
      <c r="M246">
        <v>0</v>
      </c>
      <c r="N246">
        <v>0</v>
      </c>
      <c r="O246">
        <v>-14208.08</v>
      </c>
      <c r="P246" t="s">
        <v>1180</v>
      </c>
      <c r="Q246" t="s">
        <v>1028</v>
      </c>
      <c r="R246" t="s">
        <v>1162</v>
      </c>
      <c r="S246" t="s">
        <v>1181</v>
      </c>
      <c r="T246" t="s">
        <v>1029</v>
      </c>
      <c r="U246" t="s">
        <v>1182</v>
      </c>
      <c r="V246" t="s">
        <v>1175</v>
      </c>
      <c r="W246">
        <v>-1</v>
      </c>
      <c r="X246">
        <v>14208.08</v>
      </c>
      <c r="Y246" t="s">
        <v>1166</v>
      </c>
      <c r="Z246" t="s">
        <v>1167</v>
      </c>
      <c r="AA246" t="s">
        <v>1029</v>
      </c>
    </row>
    <row r="247" spans="1:27" x14ac:dyDescent="0.3">
      <c r="A247" t="s">
        <v>1576</v>
      </c>
      <c r="B247" t="s">
        <v>1398</v>
      </c>
      <c r="C247" t="s">
        <v>975</v>
      </c>
      <c r="D247" t="s">
        <v>1265</v>
      </c>
      <c r="E247" t="s">
        <v>551</v>
      </c>
      <c r="F247">
        <v>46081</v>
      </c>
      <c r="G247" t="s">
        <v>686</v>
      </c>
      <c r="H247" t="s">
        <v>1159</v>
      </c>
      <c r="I247">
        <v>37050501</v>
      </c>
      <c r="J247" t="s">
        <v>1310</v>
      </c>
      <c r="K247" t="s">
        <v>1311</v>
      </c>
      <c r="L247">
        <v>-26659.66</v>
      </c>
      <c r="M247">
        <v>0</v>
      </c>
      <c r="N247">
        <v>0</v>
      </c>
      <c r="O247">
        <v>-26659.66</v>
      </c>
      <c r="P247" t="s">
        <v>1312</v>
      </c>
      <c r="Q247" t="s">
        <v>1031</v>
      </c>
      <c r="R247" t="s">
        <v>1162</v>
      </c>
      <c r="S247" t="s">
        <v>1181</v>
      </c>
      <c r="T247" t="s">
        <v>1032</v>
      </c>
      <c r="U247" t="s">
        <v>938</v>
      </c>
      <c r="V247" t="s">
        <v>1175</v>
      </c>
      <c r="W247">
        <v>-1</v>
      </c>
      <c r="X247">
        <v>26659.66</v>
      </c>
      <c r="Y247" t="s">
        <v>1166</v>
      </c>
      <c r="Z247" t="s">
        <v>1167</v>
      </c>
      <c r="AA247" t="s">
        <v>1313</v>
      </c>
    </row>
    <row r="248" spans="1:27" x14ac:dyDescent="0.3">
      <c r="A248" t="s">
        <v>1576</v>
      </c>
      <c r="B248" t="s">
        <v>1562</v>
      </c>
      <c r="C248" t="s">
        <v>975</v>
      </c>
      <c r="D248" t="s">
        <v>1265</v>
      </c>
      <c r="E248" t="s">
        <v>551</v>
      </c>
      <c r="F248">
        <v>46081</v>
      </c>
      <c r="G248" t="s">
        <v>686</v>
      </c>
      <c r="H248" t="s">
        <v>1159</v>
      </c>
      <c r="I248">
        <v>41700124</v>
      </c>
      <c r="J248" t="s">
        <v>1315</v>
      </c>
      <c r="K248" t="s">
        <v>1321</v>
      </c>
      <c r="L248">
        <v>0</v>
      </c>
      <c r="M248">
        <v>0</v>
      </c>
      <c r="N248">
        <v>2784.7</v>
      </c>
      <c r="O248">
        <v>-2784.7</v>
      </c>
      <c r="P248" t="s">
        <v>1317</v>
      </c>
      <c r="Q248" t="s">
        <v>1048</v>
      </c>
      <c r="R248" t="s">
        <v>1199</v>
      </c>
      <c r="S248" t="s">
        <v>1318</v>
      </c>
      <c r="T248" t="s">
        <v>1049</v>
      </c>
      <c r="U248" t="s">
        <v>1319</v>
      </c>
      <c r="V248" t="s">
        <v>1175</v>
      </c>
      <c r="W248">
        <v>-1</v>
      </c>
      <c r="X248">
        <v>2784.7</v>
      </c>
      <c r="Y248" t="s">
        <v>1166</v>
      </c>
      <c r="Z248" t="s">
        <v>1167</v>
      </c>
      <c r="AA248" t="s">
        <v>1320</v>
      </c>
    </row>
    <row r="249" spans="1:27" x14ac:dyDescent="0.3">
      <c r="A249" t="s">
        <v>1576</v>
      </c>
      <c r="B249" t="s">
        <v>1554</v>
      </c>
      <c r="C249" t="s">
        <v>975</v>
      </c>
      <c r="D249" t="s">
        <v>1265</v>
      </c>
      <c r="E249" t="s">
        <v>551</v>
      </c>
      <c r="F249">
        <v>46081</v>
      </c>
      <c r="G249" t="s">
        <v>686</v>
      </c>
      <c r="H249" t="s">
        <v>1159</v>
      </c>
      <c r="I249">
        <v>42958810</v>
      </c>
      <c r="J249" t="s">
        <v>1322</v>
      </c>
      <c r="K249" t="s">
        <v>1322</v>
      </c>
      <c r="L249">
        <v>0</v>
      </c>
      <c r="M249">
        <v>0</v>
      </c>
      <c r="N249">
        <v>64960.94</v>
      </c>
      <c r="O249">
        <v>-64960.94</v>
      </c>
      <c r="P249" t="s">
        <v>1323</v>
      </c>
      <c r="Q249" t="s">
        <v>1120</v>
      </c>
      <c r="R249" t="s">
        <v>1199</v>
      </c>
      <c r="S249" t="s">
        <v>1324</v>
      </c>
      <c r="T249" t="s">
        <v>811</v>
      </c>
      <c r="U249" t="s">
        <v>811</v>
      </c>
      <c r="V249" t="s">
        <v>1175</v>
      </c>
      <c r="W249">
        <v>-1</v>
      </c>
      <c r="X249">
        <v>64960.94</v>
      </c>
      <c r="Y249" t="s">
        <v>1192</v>
      </c>
      <c r="Z249" t="s">
        <v>1193</v>
      </c>
      <c r="AA249" t="s">
        <v>1325</v>
      </c>
    </row>
    <row r="250" spans="1:27" x14ac:dyDescent="0.3">
      <c r="A250" t="s">
        <v>1576</v>
      </c>
      <c r="B250" t="s">
        <v>1412</v>
      </c>
      <c r="C250" t="s">
        <v>975</v>
      </c>
      <c r="D250" t="s">
        <v>1265</v>
      </c>
      <c r="E250" t="s">
        <v>551</v>
      </c>
      <c r="F250">
        <v>46081</v>
      </c>
      <c r="G250" t="s">
        <v>686</v>
      </c>
      <c r="H250" t="s">
        <v>1159</v>
      </c>
      <c r="I250">
        <v>51102503</v>
      </c>
      <c r="J250" t="s">
        <v>1213</v>
      </c>
      <c r="K250" t="s">
        <v>1326</v>
      </c>
      <c r="L250">
        <v>0</v>
      </c>
      <c r="M250">
        <v>505.35</v>
      </c>
      <c r="N250">
        <v>0</v>
      </c>
      <c r="O250">
        <v>505.35</v>
      </c>
      <c r="P250" t="s">
        <v>1215</v>
      </c>
      <c r="Q250" t="s">
        <v>1062</v>
      </c>
      <c r="R250" t="s">
        <v>1199</v>
      </c>
      <c r="S250" t="s">
        <v>947</v>
      </c>
      <c r="T250" t="s">
        <v>1063</v>
      </c>
      <c r="U250" t="s">
        <v>1216</v>
      </c>
      <c r="V250" t="s">
        <v>1165</v>
      </c>
      <c r="W250">
        <v>1</v>
      </c>
      <c r="X250">
        <v>505.35</v>
      </c>
      <c r="Y250" t="s">
        <v>1166</v>
      </c>
      <c r="Z250" t="s">
        <v>1167</v>
      </c>
      <c r="AA250" t="s">
        <v>1217</v>
      </c>
    </row>
    <row r="251" spans="1:27" x14ac:dyDescent="0.3">
      <c r="A251" t="s">
        <v>1576</v>
      </c>
      <c r="B251" t="s">
        <v>1239</v>
      </c>
      <c r="C251" t="s">
        <v>975</v>
      </c>
      <c r="D251" t="s">
        <v>1265</v>
      </c>
      <c r="E251" t="s">
        <v>551</v>
      </c>
      <c r="F251">
        <v>46081</v>
      </c>
      <c r="G251" t="s">
        <v>686</v>
      </c>
      <c r="H251" t="s">
        <v>1159</v>
      </c>
      <c r="I251">
        <v>51103001</v>
      </c>
      <c r="J251" t="s">
        <v>1328</v>
      </c>
      <c r="K251" t="s">
        <v>1329</v>
      </c>
      <c r="L251">
        <v>0</v>
      </c>
      <c r="M251">
        <v>350</v>
      </c>
      <c r="N251">
        <v>0</v>
      </c>
      <c r="O251">
        <v>350</v>
      </c>
      <c r="P251" t="s">
        <v>1330</v>
      </c>
      <c r="Q251" t="s">
        <v>1062</v>
      </c>
      <c r="R251" t="s">
        <v>1199</v>
      </c>
      <c r="S251" t="s">
        <v>947</v>
      </c>
      <c r="T251" t="s">
        <v>1063</v>
      </c>
      <c r="U251" t="s">
        <v>1331</v>
      </c>
      <c r="V251" t="s">
        <v>1165</v>
      </c>
      <c r="W251">
        <v>1</v>
      </c>
      <c r="X251">
        <v>350</v>
      </c>
      <c r="Y251" t="s">
        <v>1166</v>
      </c>
      <c r="Z251" t="s">
        <v>1167</v>
      </c>
      <c r="AA251" t="s">
        <v>1332</v>
      </c>
    </row>
    <row r="252" spans="1:27" x14ac:dyDescent="0.3">
      <c r="A252" t="s">
        <v>1576</v>
      </c>
      <c r="B252" t="s">
        <v>1245</v>
      </c>
      <c r="C252" t="s">
        <v>975</v>
      </c>
      <c r="D252" t="s">
        <v>1265</v>
      </c>
      <c r="E252" t="s">
        <v>551</v>
      </c>
      <c r="F252">
        <v>46081</v>
      </c>
      <c r="G252" t="s">
        <v>686</v>
      </c>
      <c r="H252" t="s">
        <v>1159</v>
      </c>
      <c r="I252">
        <v>52109501</v>
      </c>
      <c r="J252" t="s">
        <v>1232</v>
      </c>
      <c r="K252" t="s">
        <v>1333</v>
      </c>
      <c r="L252">
        <v>2127</v>
      </c>
      <c r="M252">
        <v>0</v>
      </c>
      <c r="N252">
        <v>0</v>
      </c>
      <c r="O252">
        <v>2127</v>
      </c>
      <c r="P252" t="s">
        <v>1334</v>
      </c>
      <c r="Q252" t="s">
        <v>1095</v>
      </c>
      <c r="R252" t="s">
        <v>1199</v>
      </c>
      <c r="S252" t="s">
        <v>948</v>
      </c>
      <c r="T252" t="s">
        <v>1096</v>
      </c>
      <c r="U252" t="s">
        <v>1335</v>
      </c>
      <c r="V252" t="s">
        <v>1165</v>
      </c>
      <c r="W252">
        <v>1</v>
      </c>
      <c r="X252">
        <v>2127</v>
      </c>
      <c r="Y252" t="s">
        <v>1192</v>
      </c>
      <c r="Z252" t="s">
        <v>1193</v>
      </c>
      <c r="AA252" t="s">
        <v>1336</v>
      </c>
    </row>
    <row r="253" spans="1:27" x14ac:dyDescent="0.3">
      <c r="A253" t="s">
        <v>1576</v>
      </c>
      <c r="B253" t="s">
        <v>1255</v>
      </c>
      <c r="C253" t="s">
        <v>975</v>
      </c>
      <c r="D253" t="s">
        <v>1265</v>
      </c>
      <c r="E253" t="s">
        <v>551</v>
      </c>
      <c r="F253">
        <v>46081</v>
      </c>
      <c r="G253" t="s">
        <v>686</v>
      </c>
      <c r="H253" t="s">
        <v>1159</v>
      </c>
      <c r="I253">
        <v>53050501</v>
      </c>
      <c r="J253" t="s">
        <v>1258</v>
      </c>
      <c r="K253" t="s">
        <v>1258</v>
      </c>
      <c r="L253">
        <v>11.06</v>
      </c>
      <c r="M253">
        <v>11</v>
      </c>
      <c r="N253">
        <v>0</v>
      </c>
      <c r="O253">
        <v>22.06</v>
      </c>
      <c r="P253" t="s">
        <v>1260</v>
      </c>
      <c r="Q253" t="s">
        <v>1123</v>
      </c>
      <c r="R253" t="s">
        <v>1199</v>
      </c>
      <c r="S253" t="s">
        <v>717</v>
      </c>
      <c r="T253" t="s">
        <v>717</v>
      </c>
      <c r="U253" t="s">
        <v>1261</v>
      </c>
      <c r="V253" t="s">
        <v>1165</v>
      </c>
      <c r="W253">
        <v>1</v>
      </c>
      <c r="X253">
        <v>22.06</v>
      </c>
      <c r="Y253" t="s">
        <v>1166</v>
      </c>
      <c r="Z253" t="s">
        <v>1167</v>
      </c>
      <c r="AA253" t="s">
        <v>1262</v>
      </c>
    </row>
    <row r="254" spans="1:27" x14ac:dyDescent="0.3">
      <c r="A254" t="s">
        <v>1576</v>
      </c>
      <c r="B254" t="s">
        <v>1577</v>
      </c>
      <c r="C254" t="s">
        <v>975</v>
      </c>
      <c r="D254" t="s">
        <v>1265</v>
      </c>
      <c r="E254" t="s">
        <v>551</v>
      </c>
      <c r="F254">
        <v>46081</v>
      </c>
      <c r="G254" t="s">
        <v>686</v>
      </c>
      <c r="H254" t="s">
        <v>1159</v>
      </c>
      <c r="I254">
        <v>53050503</v>
      </c>
      <c r="J254" t="s">
        <v>1258</v>
      </c>
      <c r="K254" t="s">
        <v>573</v>
      </c>
      <c r="L254">
        <v>1.65</v>
      </c>
      <c r="M254">
        <v>3.4</v>
      </c>
      <c r="N254">
        <v>0</v>
      </c>
      <c r="O254">
        <v>5.05</v>
      </c>
      <c r="P254" t="s">
        <v>1260</v>
      </c>
      <c r="Q254" t="s">
        <v>1123</v>
      </c>
      <c r="R254" t="s">
        <v>1199</v>
      </c>
      <c r="S254" t="s">
        <v>717</v>
      </c>
      <c r="T254" t="s">
        <v>717</v>
      </c>
      <c r="U254" t="s">
        <v>1261</v>
      </c>
      <c r="V254" t="s">
        <v>1165</v>
      </c>
      <c r="W254">
        <v>1</v>
      </c>
      <c r="X254">
        <v>5.05</v>
      </c>
      <c r="Y254" t="s">
        <v>1166</v>
      </c>
      <c r="Z254" t="s">
        <v>1167</v>
      </c>
      <c r="AA254" t="s">
        <v>1262</v>
      </c>
    </row>
    <row r="255" spans="1:27" x14ac:dyDescent="0.3">
      <c r="A255" t="s">
        <v>1576</v>
      </c>
      <c r="B255" t="s">
        <v>1337</v>
      </c>
      <c r="C255" t="s">
        <v>975</v>
      </c>
      <c r="D255" t="s">
        <v>1265</v>
      </c>
      <c r="E255" t="s">
        <v>551</v>
      </c>
      <c r="F255">
        <v>46081</v>
      </c>
      <c r="G255" t="s">
        <v>686</v>
      </c>
      <c r="H255" t="s">
        <v>1159</v>
      </c>
      <c r="I255">
        <v>53050504</v>
      </c>
      <c r="J255" t="s">
        <v>1258</v>
      </c>
      <c r="K255" t="s">
        <v>1371</v>
      </c>
      <c r="L255">
        <v>80</v>
      </c>
      <c r="M255">
        <v>80</v>
      </c>
      <c r="N255">
        <v>0</v>
      </c>
      <c r="O255">
        <v>160</v>
      </c>
      <c r="P255" t="s">
        <v>1260</v>
      </c>
      <c r="Q255" t="s">
        <v>1123</v>
      </c>
      <c r="R255" t="s">
        <v>1199</v>
      </c>
      <c r="S255" t="s">
        <v>717</v>
      </c>
      <c r="T255" t="s">
        <v>717</v>
      </c>
      <c r="U255" t="s">
        <v>1261</v>
      </c>
      <c r="V255" t="s">
        <v>1165</v>
      </c>
      <c r="W255">
        <v>1</v>
      </c>
      <c r="X255">
        <v>160</v>
      </c>
      <c r="Y255" t="s">
        <v>1166</v>
      </c>
      <c r="Z255" t="s">
        <v>1167</v>
      </c>
      <c r="AA255" t="s">
        <v>1262</v>
      </c>
    </row>
    <row r="256" spans="1:27" x14ac:dyDescent="0.3">
      <c r="A256" t="s">
        <v>1578</v>
      </c>
      <c r="B256" t="s">
        <v>1158</v>
      </c>
      <c r="C256" t="s">
        <v>974</v>
      </c>
      <c r="D256" t="s">
        <v>1373</v>
      </c>
      <c r="E256" t="s">
        <v>551</v>
      </c>
      <c r="F256">
        <v>46081</v>
      </c>
      <c r="G256" t="s">
        <v>496</v>
      </c>
      <c r="H256" t="s">
        <v>1159</v>
      </c>
      <c r="I256">
        <v>11100501</v>
      </c>
      <c r="J256" t="s">
        <v>1160</v>
      </c>
      <c r="L256">
        <v>232989.83</v>
      </c>
      <c r="M256">
        <v>5981.6</v>
      </c>
      <c r="N256">
        <v>0</v>
      </c>
      <c r="O256">
        <v>238971.43</v>
      </c>
      <c r="P256" t="s">
        <v>1161</v>
      </c>
      <c r="Q256" t="s">
        <v>980</v>
      </c>
      <c r="R256" t="s">
        <v>1162</v>
      </c>
      <c r="S256" t="s">
        <v>1163</v>
      </c>
      <c r="T256" t="s">
        <v>926</v>
      </c>
      <c r="U256" t="s">
        <v>1164</v>
      </c>
      <c r="V256" t="s">
        <v>1165</v>
      </c>
      <c r="W256">
        <v>1</v>
      </c>
      <c r="X256">
        <v>238971.43</v>
      </c>
      <c r="Y256" t="s">
        <v>1166</v>
      </c>
      <c r="Z256" t="s">
        <v>1167</v>
      </c>
      <c r="AA256" t="s">
        <v>1168</v>
      </c>
    </row>
    <row r="257" spans="1:27" x14ac:dyDescent="0.3">
      <c r="A257" t="s">
        <v>1578</v>
      </c>
      <c r="B257" t="s">
        <v>1374</v>
      </c>
      <c r="C257" t="s">
        <v>974</v>
      </c>
      <c r="D257" t="s">
        <v>1373</v>
      </c>
      <c r="E257" t="s">
        <v>551</v>
      </c>
      <c r="F257">
        <v>46081</v>
      </c>
      <c r="G257" t="s">
        <v>496</v>
      </c>
      <c r="H257" t="s">
        <v>1159</v>
      </c>
      <c r="I257">
        <v>11100502</v>
      </c>
      <c r="J257" t="s">
        <v>1160</v>
      </c>
      <c r="L257">
        <v>99759.47</v>
      </c>
      <c r="M257">
        <v>104.25</v>
      </c>
      <c r="N257">
        <v>17435.91</v>
      </c>
      <c r="O257">
        <v>82427.81</v>
      </c>
      <c r="P257" t="s">
        <v>1161</v>
      </c>
      <c r="Q257" t="s">
        <v>980</v>
      </c>
      <c r="R257" t="s">
        <v>1162</v>
      </c>
      <c r="S257" t="s">
        <v>1163</v>
      </c>
      <c r="T257" t="s">
        <v>926</v>
      </c>
      <c r="U257" t="s">
        <v>1164</v>
      </c>
      <c r="V257" t="s">
        <v>1165</v>
      </c>
      <c r="W257">
        <v>1</v>
      </c>
      <c r="X257">
        <v>82427.81</v>
      </c>
      <c r="Y257" t="s">
        <v>1166</v>
      </c>
      <c r="Z257" t="s">
        <v>1167</v>
      </c>
      <c r="AA257" t="s">
        <v>1168</v>
      </c>
    </row>
    <row r="258" spans="1:27" x14ac:dyDescent="0.3">
      <c r="A258" t="s">
        <v>1578</v>
      </c>
      <c r="B258" t="s">
        <v>1267</v>
      </c>
      <c r="C258" t="s">
        <v>974</v>
      </c>
      <c r="D258" t="s">
        <v>1373</v>
      </c>
      <c r="E258" t="s">
        <v>551</v>
      </c>
      <c r="F258">
        <v>46081</v>
      </c>
      <c r="G258" t="s">
        <v>496</v>
      </c>
      <c r="H258" t="s">
        <v>1159</v>
      </c>
      <c r="I258">
        <v>11100503</v>
      </c>
      <c r="J258" t="s">
        <v>1160</v>
      </c>
      <c r="L258">
        <v>36808.17</v>
      </c>
      <c r="M258">
        <v>0.04</v>
      </c>
      <c r="N258">
        <v>0</v>
      </c>
      <c r="O258">
        <v>36808.21</v>
      </c>
      <c r="P258" t="s">
        <v>1161</v>
      </c>
      <c r="Q258" t="s">
        <v>980</v>
      </c>
      <c r="R258" t="s">
        <v>1162</v>
      </c>
      <c r="S258" t="s">
        <v>1163</v>
      </c>
      <c r="T258" t="s">
        <v>926</v>
      </c>
      <c r="U258" t="s">
        <v>1164</v>
      </c>
      <c r="V258" t="s">
        <v>1165</v>
      </c>
      <c r="W258">
        <v>1</v>
      </c>
      <c r="X258">
        <v>36808.21</v>
      </c>
      <c r="Y258" t="s">
        <v>1166</v>
      </c>
      <c r="Z258" t="s">
        <v>1167</v>
      </c>
      <c r="AA258" t="s">
        <v>1168</v>
      </c>
    </row>
    <row r="259" spans="1:27" x14ac:dyDescent="0.3">
      <c r="A259" t="s">
        <v>1578</v>
      </c>
      <c r="B259" t="s">
        <v>1375</v>
      </c>
      <c r="C259" t="s">
        <v>974</v>
      </c>
      <c r="D259" t="s">
        <v>1373</v>
      </c>
      <c r="E259" t="s">
        <v>551</v>
      </c>
      <c r="F259">
        <v>46081</v>
      </c>
      <c r="G259" t="s">
        <v>496</v>
      </c>
      <c r="H259" t="s">
        <v>1159</v>
      </c>
      <c r="I259">
        <v>13050501</v>
      </c>
      <c r="J259" t="s">
        <v>1273</v>
      </c>
      <c r="K259" t="s">
        <v>1376</v>
      </c>
      <c r="L259">
        <v>5981.6</v>
      </c>
      <c r="M259">
        <v>3900</v>
      </c>
      <c r="N259">
        <v>5981.25</v>
      </c>
      <c r="O259">
        <v>3900.35</v>
      </c>
      <c r="P259" t="s">
        <v>1275</v>
      </c>
      <c r="Q259" t="s">
        <v>983</v>
      </c>
      <c r="R259" t="s">
        <v>1162</v>
      </c>
      <c r="S259" t="s">
        <v>1163</v>
      </c>
      <c r="T259" t="s">
        <v>984</v>
      </c>
      <c r="U259" t="s">
        <v>1276</v>
      </c>
      <c r="V259" t="s">
        <v>1165</v>
      </c>
      <c r="W259">
        <v>1</v>
      </c>
      <c r="X259">
        <v>3900.35</v>
      </c>
      <c r="Y259" t="s">
        <v>1166</v>
      </c>
      <c r="Z259" t="s">
        <v>1167</v>
      </c>
      <c r="AA259" t="s">
        <v>1277</v>
      </c>
    </row>
    <row r="260" spans="1:27" x14ac:dyDescent="0.3">
      <c r="A260" t="s">
        <v>1578</v>
      </c>
      <c r="B260" t="s">
        <v>1377</v>
      </c>
      <c r="C260" t="s">
        <v>974</v>
      </c>
      <c r="D260" t="s">
        <v>1373</v>
      </c>
      <c r="E260" t="s">
        <v>551</v>
      </c>
      <c r="F260">
        <v>46081</v>
      </c>
      <c r="G260" t="s">
        <v>496</v>
      </c>
      <c r="H260" t="s">
        <v>1159</v>
      </c>
      <c r="I260">
        <v>13050501</v>
      </c>
      <c r="J260" t="s">
        <v>1273</v>
      </c>
      <c r="K260" t="s">
        <v>1378</v>
      </c>
      <c r="L260">
        <v>-217</v>
      </c>
      <c r="M260">
        <v>0</v>
      </c>
      <c r="N260">
        <v>0</v>
      </c>
      <c r="O260">
        <v>-217</v>
      </c>
      <c r="P260" t="s">
        <v>1275</v>
      </c>
      <c r="Q260" t="s">
        <v>983</v>
      </c>
      <c r="R260" t="s">
        <v>1162</v>
      </c>
      <c r="S260" t="s">
        <v>1163</v>
      </c>
      <c r="T260" t="s">
        <v>984</v>
      </c>
      <c r="U260" t="s">
        <v>1276</v>
      </c>
      <c r="V260" t="s">
        <v>1165</v>
      </c>
      <c r="W260">
        <v>1</v>
      </c>
      <c r="X260">
        <v>-217</v>
      </c>
      <c r="Y260" t="s">
        <v>1166</v>
      </c>
      <c r="Z260" t="s">
        <v>1167</v>
      </c>
      <c r="AA260" t="s">
        <v>1277</v>
      </c>
    </row>
    <row r="261" spans="1:27" x14ac:dyDescent="0.3">
      <c r="A261" t="s">
        <v>1578</v>
      </c>
      <c r="B261" t="s">
        <v>1278</v>
      </c>
      <c r="C261" t="s">
        <v>974</v>
      </c>
      <c r="D261" t="s">
        <v>1373</v>
      </c>
      <c r="E261" t="s">
        <v>551</v>
      </c>
      <c r="F261">
        <v>46081</v>
      </c>
      <c r="G261" t="s">
        <v>496</v>
      </c>
      <c r="H261" t="s">
        <v>1159</v>
      </c>
      <c r="I261">
        <v>13050501</v>
      </c>
      <c r="J261" t="s">
        <v>1273</v>
      </c>
      <c r="K261" t="s">
        <v>1379</v>
      </c>
      <c r="L261">
        <v>217</v>
      </c>
      <c r="M261">
        <v>0</v>
      </c>
      <c r="N261">
        <v>0</v>
      </c>
      <c r="O261">
        <v>217</v>
      </c>
      <c r="P261" t="s">
        <v>1275</v>
      </c>
      <c r="Q261" t="s">
        <v>983</v>
      </c>
      <c r="R261" t="s">
        <v>1162</v>
      </c>
      <c r="S261" t="s">
        <v>1163</v>
      </c>
      <c r="T261" t="s">
        <v>984</v>
      </c>
      <c r="U261" t="s">
        <v>1276</v>
      </c>
      <c r="V261" t="s">
        <v>1165</v>
      </c>
      <c r="W261">
        <v>1</v>
      </c>
      <c r="X261">
        <v>217</v>
      </c>
      <c r="Y261" t="s">
        <v>1166</v>
      </c>
      <c r="Z261" t="s">
        <v>1167</v>
      </c>
      <c r="AA261" t="s">
        <v>1277</v>
      </c>
    </row>
    <row r="262" spans="1:27" x14ac:dyDescent="0.3">
      <c r="A262" t="s">
        <v>1578</v>
      </c>
      <c r="B262" t="s">
        <v>1380</v>
      </c>
      <c r="C262" t="s">
        <v>974</v>
      </c>
      <c r="D262" t="s">
        <v>1373</v>
      </c>
      <c r="E262" t="s">
        <v>551</v>
      </c>
      <c r="F262">
        <v>46081</v>
      </c>
      <c r="G262" t="s">
        <v>496</v>
      </c>
      <c r="H262" t="s">
        <v>1159</v>
      </c>
      <c r="I262">
        <v>13050501</v>
      </c>
      <c r="J262" t="s">
        <v>1273</v>
      </c>
      <c r="K262" t="s">
        <v>1381</v>
      </c>
      <c r="L262">
        <v>96.45</v>
      </c>
      <c r="M262">
        <v>96.45</v>
      </c>
      <c r="N262">
        <v>96.45</v>
      </c>
      <c r="O262">
        <v>96.45</v>
      </c>
      <c r="P262" t="s">
        <v>1275</v>
      </c>
      <c r="Q262" t="s">
        <v>983</v>
      </c>
      <c r="R262" t="s">
        <v>1162</v>
      </c>
      <c r="S262" t="s">
        <v>1163</v>
      </c>
      <c r="T262" t="s">
        <v>984</v>
      </c>
      <c r="U262" t="s">
        <v>1276</v>
      </c>
      <c r="V262" t="s">
        <v>1165</v>
      </c>
      <c r="W262">
        <v>1</v>
      </c>
      <c r="X262">
        <v>96.45</v>
      </c>
      <c r="Y262" t="s">
        <v>1166</v>
      </c>
      <c r="Z262" t="s">
        <v>1167</v>
      </c>
      <c r="AA262" t="s">
        <v>1277</v>
      </c>
    </row>
    <row r="263" spans="1:27" x14ac:dyDescent="0.3">
      <c r="A263" t="s">
        <v>1578</v>
      </c>
      <c r="B263" t="s">
        <v>1177</v>
      </c>
      <c r="C263" t="s">
        <v>974</v>
      </c>
      <c r="D263" t="s">
        <v>1373</v>
      </c>
      <c r="E263" t="s">
        <v>551</v>
      </c>
      <c r="F263">
        <v>46081</v>
      </c>
      <c r="G263" t="s">
        <v>496</v>
      </c>
      <c r="H263" t="s">
        <v>1159</v>
      </c>
      <c r="I263">
        <v>13050501</v>
      </c>
      <c r="J263" t="s">
        <v>1273</v>
      </c>
      <c r="K263" t="s">
        <v>1382</v>
      </c>
      <c r="L263">
        <v>55</v>
      </c>
      <c r="M263">
        <v>55</v>
      </c>
      <c r="N263">
        <v>0</v>
      </c>
      <c r="O263">
        <v>110</v>
      </c>
      <c r="P263" t="s">
        <v>1275</v>
      </c>
      <c r="Q263" t="s">
        <v>983</v>
      </c>
      <c r="R263" t="s">
        <v>1162</v>
      </c>
      <c r="S263" t="s">
        <v>1163</v>
      </c>
      <c r="T263" t="s">
        <v>984</v>
      </c>
      <c r="U263" t="s">
        <v>1276</v>
      </c>
      <c r="V263" t="s">
        <v>1165</v>
      </c>
      <c r="W263">
        <v>1</v>
      </c>
      <c r="X263">
        <v>110</v>
      </c>
      <c r="Y263" t="s">
        <v>1166</v>
      </c>
      <c r="Z263" t="s">
        <v>1167</v>
      </c>
      <c r="AA263" t="s">
        <v>1277</v>
      </c>
    </row>
    <row r="264" spans="1:27" x14ac:dyDescent="0.3">
      <c r="A264" t="s">
        <v>1578</v>
      </c>
      <c r="B264" t="s">
        <v>1183</v>
      </c>
      <c r="C264" t="s">
        <v>974</v>
      </c>
      <c r="D264" t="s">
        <v>1373</v>
      </c>
      <c r="E264" t="s">
        <v>551</v>
      </c>
      <c r="F264">
        <v>46081</v>
      </c>
      <c r="G264" t="s">
        <v>496</v>
      </c>
      <c r="H264" t="s">
        <v>1159</v>
      </c>
      <c r="I264">
        <v>13802001</v>
      </c>
      <c r="J264" t="s">
        <v>1386</v>
      </c>
      <c r="K264" t="s">
        <v>1387</v>
      </c>
      <c r="L264">
        <v>4300</v>
      </c>
      <c r="M264">
        <v>0</v>
      </c>
      <c r="N264">
        <v>0</v>
      </c>
      <c r="O264">
        <v>4300</v>
      </c>
      <c r="P264" t="s">
        <v>1388</v>
      </c>
      <c r="Q264" t="s">
        <v>989</v>
      </c>
      <c r="R264" t="s">
        <v>1162</v>
      </c>
      <c r="S264" t="s">
        <v>1163</v>
      </c>
      <c r="T264" t="s">
        <v>990</v>
      </c>
      <c r="U264" t="s">
        <v>1389</v>
      </c>
      <c r="V264" t="s">
        <v>1165</v>
      </c>
      <c r="W264">
        <v>1</v>
      </c>
      <c r="X264">
        <v>4300</v>
      </c>
      <c r="Y264" t="s">
        <v>1166</v>
      </c>
      <c r="Z264" t="s">
        <v>1193</v>
      </c>
      <c r="AA264" t="s">
        <v>1390</v>
      </c>
    </row>
    <row r="265" spans="1:27" x14ac:dyDescent="0.3">
      <c r="A265" t="s">
        <v>1578</v>
      </c>
      <c r="B265" t="s">
        <v>1559</v>
      </c>
      <c r="C265" t="s">
        <v>974</v>
      </c>
      <c r="D265" t="s">
        <v>1373</v>
      </c>
      <c r="E265" t="s">
        <v>551</v>
      </c>
      <c r="F265">
        <v>46081</v>
      </c>
      <c r="G265" t="s">
        <v>496</v>
      </c>
      <c r="H265" t="s">
        <v>1159</v>
      </c>
      <c r="I265">
        <v>13802001</v>
      </c>
      <c r="J265" t="s">
        <v>1386</v>
      </c>
      <c r="K265" t="s">
        <v>1179</v>
      </c>
      <c r="L265">
        <v>18539</v>
      </c>
      <c r="M265">
        <v>1540</v>
      </c>
      <c r="N265">
        <v>0</v>
      </c>
      <c r="O265">
        <v>20079</v>
      </c>
      <c r="P265" t="s">
        <v>1388</v>
      </c>
      <c r="Q265" t="s">
        <v>989</v>
      </c>
      <c r="R265" t="s">
        <v>1162</v>
      </c>
      <c r="S265" t="s">
        <v>1163</v>
      </c>
      <c r="T265" t="s">
        <v>990</v>
      </c>
      <c r="U265" t="s">
        <v>1389</v>
      </c>
      <c r="V265" t="s">
        <v>1165</v>
      </c>
      <c r="W265">
        <v>1</v>
      </c>
      <c r="X265">
        <v>20079</v>
      </c>
      <c r="Y265" t="s">
        <v>1166</v>
      </c>
      <c r="Z265" t="s">
        <v>1193</v>
      </c>
      <c r="AA265" t="s">
        <v>1390</v>
      </c>
    </row>
    <row r="266" spans="1:27" x14ac:dyDescent="0.3">
      <c r="A266" t="s">
        <v>1578</v>
      </c>
      <c r="B266" t="s">
        <v>1290</v>
      </c>
      <c r="C266" t="s">
        <v>974</v>
      </c>
      <c r="D266" t="s">
        <v>1373</v>
      </c>
      <c r="E266" t="s">
        <v>551</v>
      </c>
      <c r="F266">
        <v>46081</v>
      </c>
      <c r="G266" t="s">
        <v>496</v>
      </c>
      <c r="H266" t="s">
        <v>1159</v>
      </c>
      <c r="I266">
        <v>13802001</v>
      </c>
      <c r="J266" t="s">
        <v>1386</v>
      </c>
      <c r="K266" t="s">
        <v>1392</v>
      </c>
      <c r="L266">
        <v>571891.71</v>
      </c>
      <c r="M266">
        <v>0</v>
      </c>
      <c r="N266">
        <v>0</v>
      </c>
      <c r="O266">
        <v>571891.71</v>
      </c>
      <c r="P266" t="s">
        <v>1388</v>
      </c>
      <c r="Q266" t="s">
        <v>989</v>
      </c>
      <c r="R266" t="s">
        <v>1162</v>
      </c>
      <c r="S266" t="s">
        <v>1163</v>
      </c>
      <c r="T266" t="s">
        <v>990</v>
      </c>
      <c r="U266" t="s">
        <v>1389</v>
      </c>
      <c r="V266" t="s">
        <v>1165</v>
      </c>
      <c r="W266">
        <v>1</v>
      </c>
      <c r="X266">
        <v>571891.71</v>
      </c>
      <c r="Y266" t="s">
        <v>1166</v>
      </c>
      <c r="Z266" t="s">
        <v>1193</v>
      </c>
      <c r="AA266" t="s">
        <v>1390</v>
      </c>
    </row>
    <row r="267" spans="1:27" x14ac:dyDescent="0.3">
      <c r="A267" t="s">
        <v>1578</v>
      </c>
      <c r="B267" t="s">
        <v>1560</v>
      </c>
      <c r="C267" t="s">
        <v>974</v>
      </c>
      <c r="D267" t="s">
        <v>1373</v>
      </c>
      <c r="E267" t="s">
        <v>551</v>
      </c>
      <c r="F267">
        <v>46081</v>
      </c>
      <c r="G267" t="s">
        <v>496</v>
      </c>
      <c r="H267" t="s">
        <v>1159</v>
      </c>
      <c r="I267">
        <v>15280501</v>
      </c>
      <c r="J267" t="s">
        <v>1285</v>
      </c>
      <c r="L267">
        <v>8817.2199999999993</v>
      </c>
      <c r="M267">
        <v>0</v>
      </c>
      <c r="N267">
        <v>0</v>
      </c>
      <c r="O267">
        <v>8817.2199999999993</v>
      </c>
      <c r="P267" t="s">
        <v>1287</v>
      </c>
      <c r="Q267" t="s">
        <v>995</v>
      </c>
      <c r="R267" t="s">
        <v>1162</v>
      </c>
      <c r="S267" t="s">
        <v>957</v>
      </c>
      <c r="T267" t="s">
        <v>996</v>
      </c>
      <c r="U267" t="s">
        <v>1288</v>
      </c>
      <c r="V267" t="s">
        <v>1165</v>
      </c>
      <c r="W267">
        <v>1</v>
      </c>
      <c r="X267">
        <v>8817.2199999999993</v>
      </c>
      <c r="Y267" t="s">
        <v>1166</v>
      </c>
      <c r="Z267" t="s">
        <v>1167</v>
      </c>
      <c r="AA267" t="s">
        <v>1289</v>
      </c>
    </row>
    <row r="268" spans="1:27" x14ac:dyDescent="0.3">
      <c r="A268" t="s">
        <v>1578</v>
      </c>
      <c r="B268" t="s">
        <v>1195</v>
      </c>
      <c r="C268" t="s">
        <v>974</v>
      </c>
      <c r="D268" t="s">
        <v>1373</v>
      </c>
      <c r="E268" t="s">
        <v>551</v>
      </c>
      <c r="F268">
        <v>46081</v>
      </c>
      <c r="G268" t="s">
        <v>496</v>
      </c>
      <c r="H268" t="s">
        <v>1159</v>
      </c>
      <c r="I268">
        <v>15922001</v>
      </c>
      <c r="J268" t="s">
        <v>1394</v>
      </c>
      <c r="L268">
        <v>-4924</v>
      </c>
      <c r="M268">
        <v>0</v>
      </c>
      <c r="N268">
        <v>0</v>
      </c>
      <c r="O268">
        <v>-4924</v>
      </c>
      <c r="P268" t="s">
        <v>1395</v>
      </c>
      <c r="Q268" t="s">
        <v>997</v>
      </c>
      <c r="R268" t="s">
        <v>1162</v>
      </c>
      <c r="S268" t="s">
        <v>957</v>
      </c>
      <c r="T268" t="s">
        <v>998</v>
      </c>
      <c r="U268" t="s">
        <v>1288</v>
      </c>
      <c r="V268" t="s">
        <v>1396</v>
      </c>
      <c r="W268">
        <v>1</v>
      </c>
      <c r="X268">
        <v>-4924</v>
      </c>
      <c r="Y268" t="s">
        <v>1166</v>
      </c>
      <c r="Z268" t="s">
        <v>1167</v>
      </c>
      <c r="AA268" t="s">
        <v>1397</v>
      </c>
    </row>
    <row r="269" spans="1:27" x14ac:dyDescent="0.3">
      <c r="A269" t="s">
        <v>1578</v>
      </c>
      <c r="B269" t="s">
        <v>1561</v>
      </c>
      <c r="C269" t="s">
        <v>974</v>
      </c>
      <c r="D269" t="s">
        <v>1373</v>
      </c>
      <c r="E269" t="s">
        <v>551</v>
      </c>
      <c r="F269">
        <v>46081</v>
      </c>
      <c r="G269" t="s">
        <v>496</v>
      </c>
      <c r="H269" t="s">
        <v>1159</v>
      </c>
      <c r="I269">
        <v>21051001</v>
      </c>
      <c r="J269" t="s">
        <v>1399</v>
      </c>
      <c r="K269" t="s">
        <v>1454</v>
      </c>
      <c r="L269">
        <v>0</v>
      </c>
      <c r="M269">
        <v>445</v>
      </c>
      <c r="N269">
        <v>445</v>
      </c>
      <c r="O269">
        <v>0</v>
      </c>
      <c r="P269" t="s">
        <v>1401</v>
      </c>
      <c r="Q269" t="s">
        <v>1006</v>
      </c>
      <c r="R269" t="s">
        <v>1162</v>
      </c>
      <c r="S269" t="s">
        <v>1402</v>
      </c>
      <c r="T269" t="s">
        <v>1007</v>
      </c>
      <c r="U269" t="s">
        <v>1403</v>
      </c>
      <c r="V269" t="s">
        <v>1175</v>
      </c>
      <c r="W269">
        <v>-1</v>
      </c>
      <c r="Y269" t="s">
        <v>1192</v>
      </c>
      <c r="Z269" t="s">
        <v>1193</v>
      </c>
      <c r="AA269" t="s">
        <v>1404</v>
      </c>
    </row>
    <row r="270" spans="1:27" x14ac:dyDescent="0.3">
      <c r="A270" t="s">
        <v>1578</v>
      </c>
      <c r="B270" t="s">
        <v>1307</v>
      </c>
      <c r="C270" t="s">
        <v>974</v>
      </c>
      <c r="D270" t="s">
        <v>1373</v>
      </c>
      <c r="E270" t="s">
        <v>551</v>
      </c>
      <c r="F270">
        <v>46081</v>
      </c>
      <c r="G270" t="s">
        <v>496</v>
      </c>
      <c r="H270" t="s">
        <v>1159</v>
      </c>
      <c r="I270">
        <v>21051001</v>
      </c>
      <c r="J270" t="s">
        <v>1399</v>
      </c>
      <c r="K270" t="s">
        <v>1406</v>
      </c>
      <c r="L270">
        <v>0</v>
      </c>
      <c r="M270">
        <v>422.69</v>
      </c>
      <c r="N270">
        <v>614.09</v>
      </c>
      <c r="O270">
        <v>-191.4</v>
      </c>
      <c r="P270" t="s">
        <v>1401</v>
      </c>
      <c r="Q270" t="s">
        <v>1006</v>
      </c>
      <c r="R270" t="s">
        <v>1162</v>
      </c>
      <c r="S270" t="s">
        <v>1402</v>
      </c>
      <c r="T270" t="s">
        <v>1007</v>
      </c>
      <c r="U270" t="s">
        <v>1403</v>
      </c>
      <c r="V270" t="s">
        <v>1175</v>
      </c>
      <c r="W270">
        <v>-1</v>
      </c>
      <c r="X270">
        <v>191.4</v>
      </c>
      <c r="Y270" t="s">
        <v>1192</v>
      </c>
      <c r="Z270" t="s">
        <v>1193</v>
      </c>
      <c r="AA270" t="s">
        <v>1404</v>
      </c>
    </row>
    <row r="271" spans="1:27" x14ac:dyDescent="0.3">
      <c r="A271" t="s">
        <v>1578</v>
      </c>
      <c r="B271" t="s">
        <v>1218</v>
      </c>
      <c r="C271" t="s">
        <v>974</v>
      </c>
      <c r="D271" t="s">
        <v>1373</v>
      </c>
      <c r="E271" t="s">
        <v>551</v>
      </c>
      <c r="F271">
        <v>46081</v>
      </c>
      <c r="G271" t="s">
        <v>496</v>
      </c>
      <c r="H271" t="s">
        <v>1159</v>
      </c>
      <c r="I271">
        <v>28050501</v>
      </c>
      <c r="J271" t="s">
        <v>1407</v>
      </c>
      <c r="K271" t="s">
        <v>1408</v>
      </c>
      <c r="L271">
        <v>-580342.75</v>
      </c>
      <c r="M271">
        <v>0</v>
      </c>
      <c r="N271">
        <v>0</v>
      </c>
      <c r="O271">
        <v>-580342.75</v>
      </c>
      <c r="P271" t="s">
        <v>1409</v>
      </c>
      <c r="Q271" t="s">
        <v>1016</v>
      </c>
      <c r="R271" t="s">
        <v>1162</v>
      </c>
      <c r="S271" t="s">
        <v>1173</v>
      </c>
      <c r="T271" t="s">
        <v>1017</v>
      </c>
      <c r="U271" t="s">
        <v>1410</v>
      </c>
      <c r="V271" t="s">
        <v>1175</v>
      </c>
      <c r="W271">
        <v>-1</v>
      </c>
      <c r="X271">
        <v>580342.75</v>
      </c>
      <c r="Y271" t="s">
        <v>1166</v>
      </c>
      <c r="Z271" t="s">
        <v>1167</v>
      </c>
      <c r="AA271" t="s">
        <v>1411</v>
      </c>
    </row>
    <row r="272" spans="1:27" x14ac:dyDescent="0.3">
      <c r="A272" t="s">
        <v>1578</v>
      </c>
      <c r="B272" t="s">
        <v>1554</v>
      </c>
      <c r="C272" t="s">
        <v>974</v>
      </c>
      <c r="D272" t="s">
        <v>1373</v>
      </c>
      <c r="E272" t="s">
        <v>551</v>
      </c>
      <c r="F272">
        <v>46081</v>
      </c>
      <c r="G272" t="s">
        <v>496</v>
      </c>
      <c r="H272" t="s">
        <v>1159</v>
      </c>
      <c r="I272">
        <v>31050501</v>
      </c>
      <c r="J272" t="s">
        <v>1178</v>
      </c>
      <c r="L272">
        <v>-383868</v>
      </c>
      <c r="M272">
        <v>0</v>
      </c>
      <c r="N272">
        <v>0</v>
      </c>
      <c r="O272">
        <v>-383868</v>
      </c>
      <c r="P272" t="s">
        <v>1180</v>
      </c>
      <c r="Q272" t="s">
        <v>1028</v>
      </c>
      <c r="R272" t="s">
        <v>1162</v>
      </c>
      <c r="S272" t="s">
        <v>1181</v>
      </c>
      <c r="T272" t="s">
        <v>1029</v>
      </c>
      <c r="U272" t="s">
        <v>1182</v>
      </c>
      <c r="V272" t="s">
        <v>1175</v>
      </c>
      <c r="W272">
        <v>-1</v>
      </c>
      <c r="X272">
        <v>383868</v>
      </c>
      <c r="Y272" t="s">
        <v>1166</v>
      </c>
      <c r="Z272" t="s">
        <v>1167</v>
      </c>
      <c r="AA272" t="s">
        <v>1029</v>
      </c>
    </row>
    <row r="273" spans="1:27" x14ac:dyDescent="0.3">
      <c r="A273" t="s">
        <v>1578</v>
      </c>
      <c r="B273" t="s">
        <v>1412</v>
      </c>
      <c r="C273" t="s">
        <v>974</v>
      </c>
      <c r="D273" t="s">
        <v>1373</v>
      </c>
      <c r="E273" t="s">
        <v>551</v>
      </c>
      <c r="F273">
        <v>46081</v>
      </c>
      <c r="G273" t="s">
        <v>496</v>
      </c>
      <c r="H273" t="s">
        <v>1159</v>
      </c>
      <c r="I273">
        <v>36050501</v>
      </c>
      <c r="J273" t="s">
        <v>876</v>
      </c>
      <c r="L273">
        <v>1033.5</v>
      </c>
      <c r="M273">
        <v>0</v>
      </c>
      <c r="N273">
        <v>0</v>
      </c>
      <c r="O273">
        <v>1033.5</v>
      </c>
      <c r="P273" t="s">
        <v>1413</v>
      </c>
      <c r="Q273" t="s">
        <v>1033</v>
      </c>
      <c r="R273" t="s">
        <v>1162</v>
      </c>
      <c r="S273" t="s">
        <v>1181</v>
      </c>
      <c r="T273" t="s">
        <v>1034</v>
      </c>
      <c r="U273" t="s">
        <v>1414</v>
      </c>
      <c r="V273" t="s">
        <v>1175</v>
      </c>
      <c r="W273">
        <v>-1</v>
      </c>
      <c r="X273">
        <v>-1033.5</v>
      </c>
      <c r="Y273" t="s">
        <v>1192</v>
      </c>
      <c r="Z273" t="s">
        <v>1193</v>
      </c>
      <c r="AA273" t="s">
        <v>1415</v>
      </c>
    </row>
    <row r="274" spans="1:27" x14ac:dyDescent="0.3">
      <c r="A274" t="s">
        <v>1578</v>
      </c>
      <c r="B274" t="s">
        <v>1575</v>
      </c>
      <c r="C274" t="s">
        <v>974</v>
      </c>
      <c r="D274" t="s">
        <v>1373</v>
      </c>
      <c r="E274" t="s">
        <v>551</v>
      </c>
      <c r="F274">
        <v>46081</v>
      </c>
      <c r="G274" t="s">
        <v>496</v>
      </c>
      <c r="H274" t="s">
        <v>1159</v>
      </c>
      <c r="I274">
        <v>36100101</v>
      </c>
      <c r="J274" t="s">
        <v>1189</v>
      </c>
      <c r="L274">
        <v>-14076</v>
      </c>
      <c r="M274">
        <v>0</v>
      </c>
      <c r="N274">
        <v>0</v>
      </c>
      <c r="O274">
        <v>-14076</v>
      </c>
      <c r="P274" t="s">
        <v>1190</v>
      </c>
      <c r="Q274" t="s">
        <v>1033</v>
      </c>
      <c r="R274" t="s">
        <v>1162</v>
      </c>
      <c r="S274" t="s">
        <v>1181</v>
      </c>
      <c r="T274" t="s">
        <v>1034</v>
      </c>
      <c r="U274" t="s">
        <v>1191</v>
      </c>
      <c r="V274" t="s">
        <v>1175</v>
      </c>
      <c r="W274">
        <v>-1</v>
      </c>
      <c r="X274">
        <v>14076</v>
      </c>
      <c r="Y274" t="s">
        <v>1192</v>
      </c>
      <c r="Z274" t="s">
        <v>1193</v>
      </c>
      <c r="AA274" t="s">
        <v>1194</v>
      </c>
    </row>
    <row r="275" spans="1:27" x14ac:dyDescent="0.3">
      <c r="A275" t="s">
        <v>1578</v>
      </c>
      <c r="B275" t="s">
        <v>1255</v>
      </c>
      <c r="C275" t="s">
        <v>974</v>
      </c>
      <c r="D275" t="s">
        <v>1373</v>
      </c>
      <c r="E275" t="s">
        <v>551</v>
      </c>
      <c r="F275">
        <v>46081</v>
      </c>
      <c r="G275" t="s">
        <v>496</v>
      </c>
      <c r="H275" t="s">
        <v>1159</v>
      </c>
      <c r="I275">
        <v>41700101</v>
      </c>
      <c r="J275" t="s">
        <v>1315</v>
      </c>
      <c r="K275" t="s">
        <v>1376</v>
      </c>
      <c r="L275">
        <v>-2830.35</v>
      </c>
      <c r="M275">
        <v>0</v>
      </c>
      <c r="N275">
        <v>3900</v>
      </c>
      <c r="O275">
        <v>-6730.35</v>
      </c>
      <c r="P275" t="s">
        <v>1317</v>
      </c>
      <c r="Q275" t="s">
        <v>1048</v>
      </c>
      <c r="R275" t="s">
        <v>1199</v>
      </c>
      <c r="S275" t="s">
        <v>1318</v>
      </c>
      <c r="T275" t="s">
        <v>1049</v>
      </c>
      <c r="U275" t="s">
        <v>1319</v>
      </c>
      <c r="V275" t="s">
        <v>1175</v>
      </c>
      <c r="W275">
        <v>-1</v>
      </c>
      <c r="X275">
        <v>6730.35</v>
      </c>
      <c r="Y275" t="s">
        <v>1166</v>
      </c>
      <c r="Z275" t="s">
        <v>1167</v>
      </c>
      <c r="AA275" t="s">
        <v>1320</v>
      </c>
    </row>
    <row r="276" spans="1:27" x14ac:dyDescent="0.3">
      <c r="A276" t="s">
        <v>1578</v>
      </c>
      <c r="B276" t="s">
        <v>1577</v>
      </c>
      <c r="C276" t="s">
        <v>974</v>
      </c>
      <c r="D276" t="s">
        <v>1373</v>
      </c>
      <c r="E276" t="s">
        <v>551</v>
      </c>
      <c r="F276">
        <v>46081</v>
      </c>
      <c r="G276" t="s">
        <v>496</v>
      </c>
      <c r="H276" t="s">
        <v>1159</v>
      </c>
      <c r="I276">
        <v>41700101</v>
      </c>
      <c r="J276" t="s">
        <v>1315</v>
      </c>
      <c r="K276" t="s">
        <v>1378</v>
      </c>
      <c r="L276">
        <v>-300</v>
      </c>
      <c r="M276">
        <v>0</v>
      </c>
      <c r="N276">
        <v>0</v>
      </c>
      <c r="O276">
        <v>-300</v>
      </c>
      <c r="P276" t="s">
        <v>1317</v>
      </c>
      <c r="Q276" t="s">
        <v>1048</v>
      </c>
      <c r="R276" t="s">
        <v>1199</v>
      </c>
      <c r="S276" t="s">
        <v>1318</v>
      </c>
      <c r="T276" t="s">
        <v>1049</v>
      </c>
      <c r="U276" t="s">
        <v>1319</v>
      </c>
      <c r="V276" t="s">
        <v>1175</v>
      </c>
      <c r="W276">
        <v>-1</v>
      </c>
      <c r="X276">
        <v>300</v>
      </c>
      <c r="Y276" t="s">
        <v>1166</v>
      </c>
      <c r="Z276" t="s">
        <v>1167</v>
      </c>
      <c r="AA276" t="s">
        <v>1320</v>
      </c>
    </row>
    <row r="277" spans="1:27" x14ac:dyDescent="0.3">
      <c r="A277" t="s">
        <v>1578</v>
      </c>
      <c r="B277" t="s">
        <v>1337</v>
      </c>
      <c r="C277" t="s">
        <v>974</v>
      </c>
      <c r="D277" t="s">
        <v>1373</v>
      </c>
      <c r="E277" t="s">
        <v>551</v>
      </c>
      <c r="F277">
        <v>46081</v>
      </c>
      <c r="G277" t="s">
        <v>496</v>
      </c>
      <c r="H277" t="s">
        <v>1159</v>
      </c>
      <c r="I277">
        <v>41700101</v>
      </c>
      <c r="J277" t="s">
        <v>1315</v>
      </c>
      <c r="K277" t="s">
        <v>1379</v>
      </c>
      <c r="L277">
        <v>-217</v>
      </c>
      <c r="M277">
        <v>0</v>
      </c>
      <c r="N277">
        <v>0</v>
      </c>
      <c r="O277">
        <v>-217</v>
      </c>
      <c r="P277" t="s">
        <v>1317</v>
      </c>
      <c r="Q277" t="s">
        <v>1048</v>
      </c>
      <c r="R277" t="s">
        <v>1199</v>
      </c>
      <c r="S277" t="s">
        <v>1318</v>
      </c>
      <c r="T277" t="s">
        <v>1049</v>
      </c>
      <c r="U277" t="s">
        <v>1319</v>
      </c>
      <c r="V277" t="s">
        <v>1175</v>
      </c>
      <c r="W277">
        <v>-1</v>
      </c>
      <c r="X277">
        <v>217</v>
      </c>
      <c r="Y277" t="s">
        <v>1166</v>
      </c>
      <c r="Z277" t="s">
        <v>1167</v>
      </c>
      <c r="AA277" t="s">
        <v>1320</v>
      </c>
    </row>
    <row r="278" spans="1:27" x14ac:dyDescent="0.3">
      <c r="A278" t="s">
        <v>1578</v>
      </c>
      <c r="B278" t="s">
        <v>1564</v>
      </c>
      <c r="C278" t="s">
        <v>974</v>
      </c>
      <c r="D278" t="s">
        <v>1373</v>
      </c>
      <c r="E278" t="s">
        <v>551</v>
      </c>
      <c r="F278">
        <v>46081</v>
      </c>
      <c r="G278" t="s">
        <v>496</v>
      </c>
      <c r="H278" t="s">
        <v>1159</v>
      </c>
      <c r="I278">
        <v>41700101</v>
      </c>
      <c r="J278" t="s">
        <v>1315</v>
      </c>
      <c r="K278" t="s">
        <v>1381</v>
      </c>
      <c r="L278">
        <v>-96.45</v>
      </c>
      <c r="M278">
        <v>0</v>
      </c>
      <c r="N278">
        <v>96.45</v>
      </c>
      <c r="O278">
        <v>-192.9</v>
      </c>
      <c r="P278" t="s">
        <v>1317</v>
      </c>
      <c r="Q278" t="s">
        <v>1048</v>
      </c>
      <c r="R278" t="s">
        <v>1199</v>
      </c>
      <c r="S278" t="s">
        <v>1318</v>
      </c>
      <c r="T278" t="s">
        <v>1049</v>
      </c>
      <c r="U278" t="s">
        <v>1319</v>
      </c>
      <c r="V278" t="s">
        <v>1175</v>
      </c>
      <c r="W278">
        <v>-1</v>
      </c>
      <c r="X278">
        <v>192.9</v>
      </c>
      <c r="Y278" t="s">
        <v>1166</v>
      </c>
      <c r="Z278" t="s">
        <v>1167</v>
      </c>
      <c r="AA278" t="s">
        <v>1320</v>
      </c>
    </row>
    <row r="279" spans="1:27" x14ac:dyDescent="0.3">
      <c r="A279" t="s">
        <v>1578</v>
      </c>
      <c r="B279" t="s">
        <v>1257</v>
      </c>
      <c r="C279" t="s">
        <v>974</v>
      </c>
      <c r="D279" t="s">
        <v>1373</v>
      </c>
      <c r="E279" t="s">
        <v>551</v>
      </c>
      <c r="F279">
        <v>46081</v>
      </c>
      <c r="G279" t="s">
        <v>496</v>
      </c>
      <c r="H279" t="s">
        <v>1159</v>
      </c>
      <c r="I279">
        <v>41700101</v>
      </c>
      <c r="J279" t="s">
        <v>1315</v>
      </c>
      <c r="K279" t="s">
        <v>1382</v>
      </c>
      <c r="L279">
        <v>-55</v>
      </c>
      <c r="M279">
        <v>0</v>
      </c>
      <c r="N279">
        <v>55</v>
      </c>
      <c r="O279">
        <v>-110</v>
      </c>
      <c r="P279" t="s">
        <v>1317</v>
      </c>
      <c r="Q279" t="s">
        <v>1048</v>
      </c>
      <c r="R279" t="s">
        <v>1199</v>
      </c>
      <c r="S279" t="s">
        <v>1318</v>
      </c>
      <c r="T279" t="s">
        <v>1049</v>
      </c>
      <c r="U279" t="s">
        <v>1319</v>
      </c>
      <c r="V279" t="s">
        <v>1175</v>
      </c>
      <c r="W279">
        <v>-1</v>
      </c>
      <c r="X279">
        <v>110</v>
      </c>
      <c r="Y279" t="s">
        <v>1166</v>
      </c>
      <c r="Z279" t="s">
        <v>1167</v>
      </c>
      <c r="AA279" t="s">
        <v>1320</v>
      </c>
    </row>
    <row r="280" spans="1:27" x14ac:dyDescent="0.3">
      <c r="A280" t="s">
        <v>1578</v>
      </c>
      <c r="B280" t="s">
        <v>1351</v>
      </c>
      <c r="C280" t="s">
        <v>974</v>
      </c>
      <c r="D280" t="s">
        <v>1373</v>
      </c>
      <c r="E280" t="s">
        <v>551</v>
      </c>
      <c r="F280">
        <v>46081</v>
      </c>
      <c r="G280" t="s">
        <v>496</v>
      </c>
      <c r="H280" t="s">
        <v>1159</v>
      </c>
      <c r="I280">
        <v>42100502</v>
      </c>
      <c r="J280" t="s">
        <v>1416</v>
      </c>
      <c r="K280" t="s">
        <v>1376</v>
      </c>
      <c r="L280">
        <v>0</v>
      </c>
      <c r="M280">
        <v>0</v>
      </c>
      <c r="N280">
        <v>0.35</v>
      </c>
      <c r="O280">
        <v>-0.35</v>
      </c>
      <c r="P280" t="s">
        <v>1417</v>
      </c>
      <c r="Q280" t="s">
        <v>1118</v>
      </c>
      <c r="R280" t="s">
        <v>1199</v>
      </c>
      <c r="S280" t="s">
        <v>1324</v>
      </c>
      <c r="T280" t="s">
        <v>1119</v>
      </c>
      <c r="U280" t="s">
        <v>1418</v>
      </c>
      <c r="V280" t="s">
        <v>1175</v>
      </c>
      <c r="W280">
        <v>-1</v>
      </c>
      <c r="X280">
        <v>0.35</v>
      </c>
      <c r="Y280" t="s">
        <v>1166</v>
      </c>
      <c r="Z280" t="s">
        <v>1167</v>
      </c>
      <c r="AA280" t="s">
        <v>1419</v>
      </c>
    </row>
    <row r="281" spans="1:27" x14ac:dyDescent="0.3">
      <c r="A281" t="s">
        <v>1578</v>
      </c>
      <c r="B281" t="s">
        <v>1352</v>
      </c>
      <c r="C281" t="s">
        <v>974</v>
      </c>
      <c r="D281" t="s">
        <v>1373</v>
      </c>
      <c r="E281" t="s">
        <v>551</v>
      </c>
      <c r="F281">
        <v>46081</v>
      </c>
      <c r="G281" t="s">
        <v>496</v>
      </c>
      <c r="H281" t="s">
        <v>1159</v>
      </c>
      <c r="I281">
        <v>42100502</v>
      </c>
      <c r="J281" t="s">
        <v>1416</v>
      </c>
      <c r="K281" t="s">
        <v>1378</v>
      </c>
      <c r="L281">
        <v>-83</v>
      </c>
      <c r="M281">
        <v>0</v>
      </c>
      <c r="N281">
        <v>0</v>
      </c>
      <c r="O281">
        <v>-83</v>
      </c>
      <c r="P281" t="s">
        <v>1417</v>
      </c>
      <c r="Q281" t="s">
        <v>1118</v>
      </c>
      <c r="R281" t="s">
        <v>1199</v>
      </c>
      <c r="S281" t="s">
        <v>1324</v>
      </c>
      <c r="T281" t="s">
        <v>1119</v>
      </c>
      <c r="U281" t="s">
        <v>1418</v>
      </c>
      <c r="V281" t="s">
        <v>1175</v>
      </c>
      <c r="W281">
        <v>-1</v>
      </c>
      <c r="X281">
        <v>83</v>
      </c>
      <c r="Y281" t="s">
        <v>1166</v>
      </c>
      <c r="Z281" t="s">
        <v>1167</v>
      </c>
      <c r="AA281" t="s">
        <v>1419</v>
      </c>
    </row>
    <row r="282" spans="1:27" x14ac:dyDescent="0.3">
      <c r="A282" t="s">
        <v>1578</v>
      </c>
      <c r="B282" t="s">
        <v>1353</v>
      </c>
      <c r="C282" t="s">
        <v>974</v>
      </c>
      <c r="D282" t="s">
        <v>1373</v>
      </c>
      <c r="E282" t="s">
        <v>551</v>
      </c>
      <c r="F282">
        <v>46081</v>
      </c>
      <c r="G282" t="s">
        <v>496</v>
      </c>
      <c r="H282" t="s">
        <v>1159</v>
      </c>
      <c r="I282">
        <v>42100502</v>
      </c>
      <c r="J282" t="s">
        <v>1416</v>
      </c>
      <c r="K282" t="s">
        <v>1406</v>
      </c>
      <c r="L282">
        <v>-41.57</v>
      </c>
      <c r="M282">
        <v>0</v>
      </c>
      <c r="N282">
        <v>13.06</v>
      </c>
      <c r="O282">
        <v>-54.63</v>
      </c>
      <c r="P282" t="s">
        <v>1417</v>
      </c>
      <c r="Q282" t="s">
        <v>1118</v>
      </c>
      <c r="R282" t="s">
        <v>1199</v>
      </c>
      <c r="S282" t="s">
        <v>1324</v>
      </c>
      <c r="T282" t="s">
        <v>1119</v>
      </c>
      <c r="U282" t="s">
        <v>1418</v>
      </c>
      <c r="V282" t="s">
        <v>1175</v>
      </c>
      <c r="W282">
        <v>-1</v>
      </c>
      <c r="X282">
        <v>54.63</v>
      </c>
      <c r="Y282" t="s">
        <v>1166</v>
      </c>
      <c r="Z282" t="s">
        <v>1167</v>
      </c>
      <c r="AA282" t="s">
        <v>1419</v>
      </c>
    </row>
    <row r="283" spans="1:27" x14ac:dyDescent="0.3">
      <c r="A283" t="s">
        <v>1578</v>
      </c>
      <c r="B283" t="s">
        <v>1358</v>
      </c>
      <c r="C283" t="s">
        <v>974</v>
      </c>
      <c r="D283" t="s">
        <v>1373</v>
      </c>
      <c r="E283" t="s">
        <v>551</v>
      </c>
      <c r="F283">
        <v>46081</v>
      </c>
      <c r="G283" t="s">
        <v>496</v>
      </c>
      <c r="H283" t="s">
        <v>1159</v>
      </c>
      <c r="I283">
        <v>51050601</v>
      </c>
      <c r="J283" t="s">
        <v>1196</v>
      </c>
      <c r="K283" t="s">
        <v>1421</v>
      </c>
      <c r="L283">
        <v>2592.17</v>
      </c>
      <c r="M283">
        <v>2592.17</v>
      </c>
      <c r="N283">
        <v>0</v>
      </c>
      <c r="O283">
        <v>5184.34</v>
      </c>
      <c r="P283" t="s">
        <v>1198</v>
      </c>
      <c r="Q283" t="s">
        <v>1060</v>
      </c>
      <c r="R283" t="s">
        <v>1199</v>
      </c>
      <c r="S283" t="s">
        <v>947</v>
      </c>
      <c r="T283" t="s">
        <v>1061</v>
      </c>
      <c r="U283" t="s">
        <v>1200</v>
      </c>
      <c r="V283" t="s">
        <v>1165</v>
      </c>
      <c r="W283">
        <v>1</v>
      </c>
      <c r="X283">
        <v>5184.34</v>
      </c>
      <c r="Y283" t="s">
        <v>1166</v>
      </c>
      <c r="Z283" t="s">
        <v>1167</v>
      </c>
      <c r="AA283" t="s">
        <v>1201</v>
      </c>
    </row>
    <row r="284" spans="1:27" x14ac:dyDescent="0.3">
      <c r="A284" t="s">
        <v>1578</v>
      </c>
      <c r="B284" t="s">
        <v>1566</v>
      </c>
      <c r="C284" t="s">
        <v>974</v>
      </c>
      <c r="D284" t="s">
        <v>1373</v>
      </c>
      <c r="E284" t="s">
        <v>551</v>
      </c>
      <c r="F284">
        <v>46081</v>
      </c>
      <c r="G284" t="s">
        <v>496</v>
      </c>
      <c r="H284" t="s">
        <v>1159</v>
      </c>
      <c r="I284">
        <v>51052105</v>
      </c>
      <c r="J284" t="s">
        <v>1203</v>
      </c>
      <c r="K284" t="s">
        <v>1423</v>
      </c>
      <c r="L284">
        <v>0</v>
      </c>
      <c r="M284">
        <v>9.91</v>
      </c>
      <c r="N284">
        <v>0</v>
      </c>
      <c r="O284">
        <v>9.91</v>
      </c>
      <c r="P284" t="s">
        <v>1204</v>
      </c>
      <c r="Q284" t="s">
        <v>1075</v>
      </c>
      <c r="R284" t="s">
        <v>1199</v>
      </c>
      <c r="S284" t="s">
        <v>947</v>
      </c>
      <c r="T284" t="s">
        <v>1076</v>
      </c>
      <c r="U284" t="s">
        <v>1205</v>
      </c>
      <c r="V284" t="s">
        <v>1165</v>
      </c>
      <c r="W284">
        <v>1</v>
      </c>
      <c r="X284">
        <v>9.91</v>
      </c>
      <c r="Y284" t="s">
        <v>1166</v>
      </c>
      <c r="Z284" t="s">
        <v>1167</v>
      </c>
      <c r="AA284" t="s">
        <v>1206</v>
      </c>
    </row>
    <row r="285" spans="1:27" x14ac:dyDescent="0.3">
      <c r="A285" t="s">
        <v>1578</v>
      </c>
      <c r="B285" t="s">
        <v>1420</v>
      </c>
      <c r="C285" t="s">
        <v>974</v>
      </c>
      <c r="D285" t="s">
        <v>1373</v>
      </c>
      <c r="E285" t="s">
        <v>551</v>
      </c>
      <c r="F285">
        <v>46081</v>
      </c>
      <c r="G285" t="s">
        <v>496</v>
      </c>
      <c r="H285" t="s">
        <v>1159</v>
      </c>
      <c r="I285">
        <v>51054503</v>
      </c>
      <c r="J285" t="s">
        <v>1427</v>
      </c>
      <c r="K285" t="s">
        <v>1428</v>
      </c>
      <c r="L285">
        <v>0</v>
      </c>
      <c r="M285">
        <v>7600</v>
      </c>
      <c r="N285">
        <v>0</v>
      </c>
      <c r="O285">
        <v>7600</v>
      </c>
      <c r="P285" t="s">
        <v>1429</v>
      </c>
      <c r="Q285" t="s">
        <v>1060</v>
      </c>
      <c r="R285" t="s">
        <v>1199</v>
      </c>
      <c r="S285" t="s">
        <v>947</v>
      </c>
      <c r="T285" t="s">
        <v>1061</v>
      </c>
      <c r="U285" t="s">
        <v>1430</v>
      </c>
      <c r="V285" t="s">
        <v>1165</v>
      </c>
      <c r="W285">
        <v>1</v>
      </c>
      <c r="X285">
        <v>7600</v>
      </c>
      <c r="Y285" t="s">
        <v>1192</v>
      </c>
      <c r="Z285" t="s">
        <v>1193</v>
      </c>
      <c r="AA285" t="s">
        <v>1431</v>
      </c>
    </row>
    <row r="286" spans="1:27" x14ac:dyDescent="0.3">
      <c r="A286" t="s">
        <v>1578</v>
      </c>
      <c r="B286" t="s">
        <v>1422</v>
      </c>
      <c r="C286" t="s">
        <v>974</v>
      </c>
      <c r="D286" t="s">
        <v>1373</v>
      </c>
      <c r="E286" t="s">
        <v>551</v>
      </c>
      <c r="F286">
        <v>46081</v>
      </c>
      <c r="G286" t="s">
        <v>496</v>
      </c>
      <c r="H286" t="s">
        <v>1159</v>
      </c>
      <c r="I286">
        <v>51058401</v>
      </c>
      <c r="J286" t="s">
        <v>1444</v>
      </c>
      <c r="K286" t="s">
        <v>1445</v>
      </c>
      <c r="L286">
        <v>122.93</v>
      </c>
      <c r="M286">
        <v>0</v>
      </c>
      <c r="N286">
        <v>0</v>
      </c>
      <c r="O286">
        <v>122.93</v>
      </c>
      <c r="P286" t="s">
        <v>1446</v>
      </c>
      <c r="Q286" t="s">
        <v>1060</v>
      </c>
      <c r="R286" t="s">
        <v>1199</v>
      </c>
      <c r="S286" t="s">
        <v>947</v>
      </c>
      <c r="T286" t="s">
        <v>1061</v>
      </c>
      <c r="U286" t="s">
        <v>1447</v>
      </c>
      <c r="V286" t="s">
        <v>1165</v>
      </c>
      <c r="W286">
        <v>1</v>
      </c>
      <c r="X286">
        <v>122.93</v>
      </c>
      <c r="Y286" t="s">
        <v>1166</v>
      </c>
      <c r="Z286" t="s">
        <v>1167</v>
      </c>
      <c r="AA286" t="s">
        <v>1448</v>
      </c>
    </row>
    <row r="287" spans="1:27" x14ac:dyDescent="0.3">
      <c r="A287" t="s">
        <v>1578</v>
      </c>
      <c r="B287" t="s">
        <v>1368</v>
      </c>
      <c r="C287" t="s">
        <v>974</v>
      </c>
      <c r="D287" t="s">
        <v>1373</v>
      </c>
      <c r="E287" t="s">
        <v>551</v>
      </c>
      <c r="F287">
        <v>46081</v>
      </c>
      <c r="G287" t="s">
        <v>496</v>
      </c>
      <c r="H287" t="s">
        <v>1159</v>
      </c>
      <c r="I287">
        <v>51059501</v>
      </c>
      <c r="J287" t="s">
        <v>1232</v>
      </c>
      <c r="K287" t="s">
        <v>1421</v>
      </c>
      <c r="L287">
        <v>835.33</v>
      </c>
      <c r="M287">
        <v>736.33</v>
      </c>
      <c r="N287">
        <v>0</v>
      </c>
      <c r="O287">
        <v>1571.66</v>
      </c>
      <c r="P287" t="s">
        <v>1450</v>
      </c>
      <c r="Q287" t="s">
        <v>1060</v>
      </c>
      <c r="R287" t="s">
        <v>1199</v>
      </c>
      <c r="S287" t="s">
        <v>947</v>
      </c>
      <c r="T287" t="s">
        <v>1061</v>
      </c>
      <c r="U287" t="s">
        <v>1451</v>
      </c>
      <c r="V287" t="s">
        <v>1165</v>
      </c>
      <c r="W287">
        <v>1</v>
      </c>
      <c r="X287">
        <v>1571.66</v>
      </c>
      <c r="Y287" t="s">
        <v>1192</v>
      </c>
      <c r="Z287" t="s">
        <v>1193</v>
      </c>
      <c r="AA287" t="s">
        <v>1452</v>
      </c>
    </row>
    <row r="288" spans="1:27" x14ac:dyDescent="0.3">
      <c r="A288" t="s">
        <v>1578</v>
      </c>
      <c r="B288" t="s">
        <v>1426</v>
      </c>
      <c r="C288" t="s">
        <v>974</v>
      </c>
      <c r="D288" t="s">
        <v>1373</v>
      </c>
      <c r="E288" t="s">
        <v>551</v>
      </c>
      <c r="F288">
        <v>46081</v>
      </c>
      <c r="G288" t="s">
        <v>496</v>
      </c>
      <c r="H288" t="s">
        <v>1159</v>
      </c>
      <c r="I288">
        <v>51103001</v>
      </c>
      <c r="J288" t="s">
        <v>1328</v>
      </c>
      <c r="K288" t="s">
        <v>1454</v>
      </c>
      <c r="L288">
        <v>0</v>
      </c>
      <c r="M288">
        <v>445</v>
      </c>
      <c r="N288">
        <v>0</v>
      </c>
      <c r="O288">
        <v>445</v>
      </c>
      <c r="P288" t="s">
        <v>1330</v>
      </c>
      <c r="Q288" t="s">
        <v>1062</v>
      </c>
      <c r="R288" t="s">
        <v>1199</v>
      </c>
      <c r="S288" t="s">
        <v>947</v>
      </c>
      <c r="T288" t="s">
        <v>1063</v>
      </c>
      <c r="U288" t="s">
        <v>1331</v>
      </c>
      <c r="V288" t="s">
        <v>1165</v>
      </c>
      <c r="W288">
        <v>1</v>
      </c>
      <c r="X288">
        <v>445</v>
      </c>
      <c r="Y288" t="s">
        <v>1166</v>
      </c>
      <c r="Z288" t="s">
        <v>1167</v>
      </c>
      <c r="AA288" t="s">
        <v>1332</v>
      </c>
    </row>
    <row r="289" spans="1:27" x14ac:dyDescent="0.3">
      <c r="A289" t="s">
        <v>1578</v>
      </c>
      <c r="B289" t="s">
        <v>1438</v>
      </c>
      <c r="C289" t="s">
        <v>974</v>
      </c>
      <c r="D289" t="s">
        <v>1373</v>
      </c>
      <c r="E289" t="s">
        <v>551</v>
      </c>
      <c r="F289">
        <v>46081</v>
      </c>
      <c r="G289" t="s">
        <v>496</v>
      </c>
      <c r="H289" t="s">
        <v>1159</v>
      </c>
      <c r="I289">
        <v>51150501</v>
      </c>
      <c r="J289" t="s">
        <v>1219</v>
      </c>
      <c r="K289" t="s">
        <v>1456</v>
      </c>
      <c r="L289">
        <v>0</v>
      </c>
      <c r="M289">
        <v>4021.87</v>
      </c>
      <c r="N289">
        <v>0</v>
      </c>
      <c r="O289">
        <v>4021.87</v>
      </c>
      <c r="P289" t="s">
        <v>1221</v>
      </c>
      <c r="Q289" t="s">
        <v>1064</v>
      </c>
      <c r="R289" t="s">
        <v>1199</v>
      </c>
      <c r="S289" t="s">
        <v>947</v>
      </c>
      <c r="T289" t="s">
        <v>1065</v>
      </c>
      <c r="U289" t="s">
        <v>1222</v>
      </c>
      <c r="V289" t="s">
        <v>1165</v>
      </c>
      <c r="W289">
        <v>1</v>
      </c>
      <c r="X289">
        <v>4021.87</v>
      </c>
      <c r="Y289" t="s">
        <v>1166</v>
      </c>
      <c r="Z289" t="s">
        <v>1167</v>
      </c>
      <c r="AA289" t="s">
        <v>1223</v>
      </c>
    </row>
    <row r="290" spans="1:27" x14ac:dyDescent="0.3">
      <c r="A290" t="s">
        <v>1578</v>
      </c>
      <c r="B290" t="s">
        <v>1567</v>
      </c>
      <c r="C290" t="s">
        <v>974</v>
      </c>
      <c r="D290" t="s">
        <v>1373</v>
      </c>
      <c r="E290" t="s">
        <v>551</v>
      </c>
      <c r="F290">
        <v>46081</v>
      </c>
      <c r="G290" t="s">
        <v>496</v>
      </c>
      <c r="H290" t="s">
        <v>1159</v>
      </c>
      <c r="I290">
        <v>51352001</v>
      </c>
      <c r="J290" t="s">
        <v>1240</v>
      </c>
      <c r="K290" t="s">
        <v>1458</v>
      </c>
      <c r="L290">
        <v>21.35</v>
      </c>
      <c r="M290">
        <v>204</v>
      </c>
      <c r="N290">
        <v>0</v>
      </c>
      <c r="O290">
        <v>225.35</v>
      </c>
      <c r="P290" t="s">
        <v>1242</v>
      </c>
      <c r="Q290" t="s">
        <v>1069</v>
      </c>
      <c r="R290" t="s">
        <v>1199</v>
      </c>
      <c r="S290" t="s">
        <v>947</v>
      </c>
      <c r="T290" t="s">
        <v>1070</v>
      </c>
      <c r="U290" t="s">
        <v>1243</v>
      </c>
      <c r="V290" t="s">
        <v>1165</v>
      </c>
      <c r="W290">
        <v>1</v>
      </c>
      <c r="X290">
        <v>225.35</v>
      </c>
      <c r="Y290" t="s">
        <v>1166</v>
      </c>
      <c r="Z290" t="s">
        <v>1193</v>
      </c>
      <c r="AA290" t="s">
        <v>1244</v>
      </c>
    </row>
    <row r="291" spans="1:27" x14ac:dyDescent="0.3">
      <c r="A291" t="s">
        <v>1578</v>
      </c>
      <c r="B291" t="s">
        <v>1443</v>
      </c>
      <c r="C291" t="s">
        <v>974</v>
      </c>
      <c r="D291" t="s">
        <v>1373</v>
      </c>
      <c r="E291" t="s">
        <v>551</v>
      </c>
      <c r="F291">
        <v>46081</v>
      </c>
      <c r="G291" t="s">
        <v>496</v>
      </c>
      <c r="H291" t="s">
        <v>1159</v>
      </c>
      <c r="I291">
        <v>51352001</v>
      </c>
      <c r="J291" t="s">
        <v>1240</v>
      </c>
      <c r="K291" t="s">
        <v>1460</v>
      </c>
      <c r="L291">
        <v>0</v>
      </c>
      <c r="M291">
        <v>191.4</v>
      </c>
      <c r="N291">
        <v>0</v>
      </c>
      <c r="O291">
        <v>191.4</v>
      </c>
      <c r="P291" t="s">
        <v>1242</v>
      </c>
      <c r="Q291" t="s">
        <v>1069</v>
      </c>
      <c r="R291" t="s">
        <v>1199</v>
      </c>
      <c r="S291" t="s">
        <v>947</v>
      </c>
      <c r="T291" t="s">
        <v>1070</v>
      </c>
      <c r="U291" t="s">
        <v>1243</v>
      </c>
      <c r="V291" t="s">
        <v>1165</v>
      </c>
      <c r="W291">
        <v>1</v>
      </c>
      <c r="X291">
        <v>191.4</v>
      </c>
      <c r="Y291" t="s">
        <v>1166</v>
      </c>
      <c r="Z291" t="s">
        <v>1193</v>
      </c>
      <c r="AA291" t="s">
        <v>1244</v>
      </c>
    </row>
    <row r="292" spans="1:27" x14ac:dyDescent="0.3">
      <c r="A292" t="s">
        <v>1578</v>
      </c>
      <c r="B292" t="s">
        <v>1568</v>
      </c>
      <c r="C292" t="s">
        <v>974</v>
      </c>
      <c r="D292" t="s">
        <v>1373</v>
      </c>
      <c r="E292" t="s">
        <v>551</v>
      </c>
      <c r="F292">
        <v>46081</v>
      </c>
      <c r="G292" t="s">
        <v>496</v>
      </c>
      <c r="H292" t="s">
        <v>1159</v>
      </c>
      <c r="I292">
        <v>51352001</v>
      </c>
      <c r="J292" t="s">
        <v>1240</v>
      </c>
      <c r="K292" t="s">
        <v>1464</v>
      </c>
      <c r="L292">
        <v>20</v>
      </c>
      <c r="M292">
        <v>20</v>
      </c>
      <c r="N292">
        <v>0</v>
      </c>
      <c r="O292">
        <v>40</v>
      </c>
      <c r="P292" t="s">
        <v>1242</v>
      </c>
      <c r="Q292" t="s">
        <v>1069</v>
      </c>
      <c r="R292" t="s">
        <v>1199</v>
      </c>
      <c r="S292" t="s">
        <v>947</v>
      </c>
      <c r="T292" t="s">
        <v>1070</v>
      </c>
      <c r="U292" t="s">
        <v>1243</v>
      </c>
      <c r="V292" t="s">
        <v>1165</v>
      </c>
      <c r="W292">
        <v>1</v>
      </c>
      <c r="X292">
        <v>40</v>
      </c>
      <c r="Y292" t="s">
        <v>1166</v>
      </c>
      <c r="Z292" t="s">
        <v>1193</v>
      </c>
      <c r="AA292" t="s">
        <v>1244</v>
      </c>
    </row>
    <row r="293" spans="1:27" x14ac:dyDescent="0.3">
      <c r="A293" t="s">
        <v>1578</v>
      </c>
      <c r="B293" t="s">
        <v>1579</v>
      </c>
      <c r="C293" t="s">
        <v>974</v>
      </c>
      <c r="D293" t="s">
        <v>1373</v>
      </c>
      <c r="E293" t="s">
        <v>551</v>
      </c>
      <c r="F293">
        <v>46081</v>
      </c>
      <c r="G293" t="s">
        <v>496</v>
      </c>
      <c r="H293" t="s">
        <v>1159</v>
      </c>
      <c r="I293">
        <v>51354001</v>
      </c>
      <c r="J293" t="s">
        <v>1468</v>
      </c>
      <c r="K293" t="s">
        <v>1469</v>
      </c>
      <c r="L293">
        <v>11.36</v>
      </c>
      <c r="M293">
        <v>11.54</v>
      </c>
      <c r="N293">
        <v>0</v>
      </c>
      <c r="O293">
        <v>22.9</v>
      </c>
      <c r="P293" t="s">
        <v>1470</v>
      </c>
      <c r="Q293" t="s">
        <v>1073</v>
      </c>
      <c r="R293" t="s">
        <v>1199</v>
      </c>
      <c r="S293" t="s">
        <v>947</v>
      </c>
      <c r="T293" t="s">
        <v>1074</v>
      </c>
      <c r="U293" t="s">
        <v>1471</v>
      </c>
      <c r="V293" t="s">
        <v>1165</v>
      </c>
      <c r="W293">
        <v>1</v>
      </c>
      <c r="X293">
        <v>22.9</v>
      </c>
      <c r="Y293" t="s">
        <v>1166</v>
      </c>
      <c r="Z293" t="s">
        <v>1167</v>
      </c>
      <c r="AA293" t="s">
        <v>1472</v>
      </c>
    </row>
    <row r="294" spans="1:27" x14ac:dyDescent="0.3">
      <c r="A294" t="s">
        <v>1578</v>
      </c>
      <c r="B294" t="s">
        <v>1453</v>
      </c>
      <c r="C294" t="s">
        <v>974</v>
      </c>
      <c r="D294" t="s">
        <v>1373</v>
      </c>
      <c r="E294" t="s">
        <v>551</v>
      </c>
      <c r="F294">
        <v>46081</v>
      </c>
      <c r="G294" t="s">
        <v>496</v>
      </c>
      <c r="H294" t="s">
        <v>1159</v>
      </c>
      <c r="I294">
        <v>51359501</v>
      </c>
      <c r="J294" t="s">
        <v>1232</v>
      </c>
      <c r="K294" t="s">
        <v>1474</v>
      </c>
      <c r="L294">
        <v>228.63</v>
      </c>
      <c r="M294">
        <v>177.24</v>
      </c>
      <c r="N294">
        <v>0</v>
      </c>
      <c r="O294">
        <v>405.87</v>
      </c>
      <c r="P294" t="s">
        <v>1475</v>
      </c>
      <c r="Q294" t="s">
        <v>1077</v>
      </c>
      <c r="R294" t="s">
        <v>1199</v>
      </c>
      <c r="S294" t="s">
        <v>947</v>
      </c>
      <c r="T294" t="s">
        <v>1078</v>
      </c>
      <c r="U294" t="s">
        <v>576</v>
      </c>
      <c r="V294" t="s">
        <v>1165</v>
      </c>
      <c r="W294">
        <v>1</v>
      </c>
      <c r="X294">
        <v>405.87</v>
      </c>
      <c r="Y294" t="s">
        <v>1192</v>
      </c>
      <c r="Z294" t="s">
        <v>1193</v>
      </c>
      <c r="AA294" t="s">
        <v>1476</v>
      </c>
    </row>
    <row r="295" spans="1:27" x14ac:dyDescent="0.3">
      <c r="A295" t="s">
        <v>1578</v>
      </c>
      <c r="B295" t="s">
        <v>1455</v>
      </c>
      <c r="C295" t="s">
        <v>974</v>
      </c>
      <c r="D295" t="s">
        <v>1373</v>
      </c>
      <c r="E295" t="s">
        <v>551</v>
      </c>
      <c r="F295">
        <v>46081</v>
      </c>
      <c r="G295" t="s">
        <v>496</v>
      </c>
      <c r="H295" t="s">
        <v>1159</v>
      </c>
      <c r="I295">
        <v>51952502</v>
      </c>
      <c r="J295" t="s">
        <v>1478</v>
      </c>
      <c r="K295" t="s">
        <v>1483</v>
      </c>
      <c r="L295">
        <v>50.73</v>
      </c>
      <c r="M295">
        <v>0</v>
      </c>
      <c r="N295">
        <v>0</v>
      </c>
      <c r="O295">
        <v>50.73</v>
      </c>
      <c r="P295" t="s">
        <v>1479</v>
      </c>
      <c r="Q295" t="s">
        <v>1079</v>
      </c>
      <c r="R295" t="s">
        <v>1199</v>
      </c>
      <c r="S295" t="s">
        <v>947</v>
      </c>
      <c r="T295" t="s">
        <v>1080</v>
      </c>
      <c r="U295" t="s">
        <v>1480</v>
      </c>
      <c r="V295" t="s">
        <v>1165</v>
      </c>
      <c r="W295">
        <v>1</v>
      </c>
      <c r="X295">
        <v>50.73</v>
      </c>
      <c r="Y295" t="s">
        <v>1166</v>
      </c>
      <c r="Z295" t="s">
        <v>1193</v>
      </c>
      <c r="AA295" t="s">
        <v>1481</v>
      </c>
    </row>
    <row r="296" spans="1:27" x14ac:dyDescent="0.3">
      <c r="A296" t="s">
        <v>1578</v>
      </c>
      <c r="B296" t="s">
        <v>1580</v>
      </c>
      <c r="C296" t="s">
        <v>974</v>
      </c>
      <c r="D296" t="s">
        <v>1373</v>
      </c>
      <c r="E296" t="s">
        <v>551</v>
      </c>
      <c r="F296">
        <v>46081</v>
      </c>
      <c r="G296" t="s">
        <v>496</v>
      </c>
      <c r="H296" t="s">
        <v>1159</v>
      </c>
      <c r="I296">
        <v>51956001</v>
      </c>
      <c r="J296" t="s">
        <v>1485</v>
      </c>
      <c r="K296" t="s">
        <v>1505</v>
      </c>
      <c r="L296">
        <v>177.68</v>
      </c>
      <c r="M296">
        <v>0</v>
      </c>
      <c r="N296">
        <v>0</v>
      </c>
      <c r="O296">
        <v>177.68</v>
      </c>
      <c r="P296" t="s">
        <v>1487</v>
      </c>
      <c r="Q296" t="s">
        <v>1081</v>
      </c>
      <c r="R296" t="s">
        <v>1199</v>
      </c>
      <c r="S296" t="s">
        <v>947</v>
      </c>
      <c r="T296" t="s">
        <v>1082</v>
      </c>
      <c r="U296" t="s">
        <v>1488</v>
      </c>
      <c r="V296" t="s">
        <v>1165</v>
      </c>
      <c r="W296">
        <v>1</v>
      </c>
      <c r="X296">
        <v>177.68</v>
      </c>
      <c r="Y296" t="s">
        <v>1166</v>
      </c>
      <c r="Z296" t="s">
        <v>1193</v>
      </c>
      <c r="AA296" t="s">
        <v>1489</v>
      </c>
    </row>
    <row r="297" spans="1:27" x14ac:dyDescent="0.3">
      <c r="A297" t="s">
        <v>1578</v>
      </c>
      <c r="B297" t="s">
        <v>1457</v>
      </c>
      <c r="C297" t="s">
        <v>974</v>
      </c>
      <c r="D297" t="s">
        <v>1373</v>
      </c>
      <c r="E297" t="s">
        <v>551</v>
      </c>
      <c r="F297">
        <v>46081</v>
      </c>
      <c r="G297" t="s">
        <v>496</v>
      </c>
      <c r="H297" t="s">
        <v>1159</v>
      </c>
      <c r="I297">
        <v>51956001</v>
      </c>
      <c r="J297" t="s">
        <v>1485</v>
      </c>
      <c r="K297" t="s">
        <v>1507</v>
      </c>
      <c r="L297">
        <v>248</v>
      </c>
      <c r="M297">
        <v>0</v>
      </c>
      <c r="N297">
        <v>0</v>
      </c>
      <c r="O297">
        <v>248</v>
      </c>
      <c r="P297" t="s">
        <v>1487</v>
      </c>
      <c r="Q297" t="s">
        <v>1081</v>
      </c>
      <c r="R297" t="s">
        <v>1199</v>
      </c>
      <c r="S297" t="s">
        <v>947</v>
      </c>
      <c r="T297" t="s">
        <v>1082</v>
      </c>
      <c r="U297" t="s">
        <v>1488</v>
      </c>
      <c r="V297" t="s">
        <v>1165</v>
      </c>
      <c r="W297">
        <v>1</v>
      </c>
      <c r="X297">
        <v>248</v>
      </c>
      <c r="Y297" t="s">
        <v>1166</v>
      </c>
      <c r="Z297" t="s">
        <v>1193</v>
      </c>
      <c r="AA297" t="s">
        <v>1489</v>
      </c>
    </row>
    <row r="298" spans="1:27" x14ac:dyDescent="0.3">
      <c r="A298" t="s">
        <v>1578</v>
      </c>
      <c r="B298" t="s">
        <v>1459</v>
      </c>
      <c r="C298" t="s">
        <v>974</v>
      </c>
      <c r="D298" t="s">
        <v>1373</v>
      </c>
      <c r="E298" t="s">
        <v>551</v>
      </c>
      <c r="F298">
        <v>46081</v>
      </c>
      <c r="G298" t="s">
        <v>496</v>
      </c>
      <c r="H298" t="s">
        <v>1159</v>
      </c>
      <c r="I298">
        <v>51956001</v>
      </c>
      <c r="J298" t="s">
        <v>1485</v>
      </c>
      <c r="K298" t="s">
        <v>1509</v>
      </c>
      <c r="L298">
        <v>30.09</v>
      </c>
      <c r="M298">
        <v>0</v>
      </c>
      <c r="N298">
        <v>0</v>
      </c>
      <c r="O298">
        <v>30.09</v>
      </c>
      <c r="P298" t="s">
        <v>1487</v>
      </c>
      <c r="Q298" t="s">
        <v>1081</v>
      </c>
      <c r="R298" t="s">
        <v>1199</v>
      </c>
      <c r="S298" t="s">
        <v>947</v>
      </c>
      <c r="T298" t="s">
        <v>1082</v>
      </c>
      <c r="U298" t="s">
        <v>1488</v>
      </c>
      <c r="V298" t="s">
        <v>1165</v>
      </c>
      <c r="W298">
        <v>1</v>
      </c>
      <c r="X298">
        <v>30.09</v>
      </c>
      <c r="Y298" t="s">
        <v>1166</v>
      </c>
      <c r="Z298" t="s">
        <v>1193</v>
      </c>
      <c r="AA298" t="s">
        <v>1489</v>
      </c>
    </row>
    <row r="299" spans="1:27" x14ac:dyDescent="0.3">
      <c r="A299" t="s">
        <v>1578</v>
      </c>
      <c r="B299" t="s">
        <v>1581</v>
      </c>
      <c r="C299" t="s">
        <v>974</v>
      </c>
      <c r="D299" t="s">
        <v>1373</v>
      </c>
      <c r="E299" t="s">
        <v>551</v>
      </c>
      <c r="F299">
        <v>46081</v>
      </c>
      <c r="G299" t="s">
        <v>496</v>
      </c>
      <c r="H299" t="s">
        <v>1159</v>
      </c>
      <c r="I299">
        <v>52100503</v>
      </c>
      <c r="J299" t="s">
        <v>1528</v>
      </c>
      <c r="K299" t="s">
        <v>1529</v>
      </c>
      <c r="L299">
        <v>1500</v>
      </c>
      <c r="M299">
        <v>0</v>
      </c>
      <c r="N299">
        <v>0</v>
      </c>
      <c r="O299">
        <v>1500</v>
      </c>
      <c r="P299" t="s">
        <v>1530</v>
      </c>
      <c r="Q299" t="s">
        <v>1062</v>
      </c>
      <c r="R299" t="s">
        <v>1199</v>
      </c>
      <c r="S299" t="s">
        <v>947</v>
      </c>
      <c r="T299" t="s">
        <v>1063</v>
      </c>
      <c r="U299" t="s">
        <v>1531</v>
      </c>
      <c r="V299" t="s">
        <v>1165</v>
      </c>
      <c r="W299">
        <v>1</v>
      </c>
      <c r="X299">
        <v>1500</v>
      </c>
      <c r="Y299" t="s">
        <v>1166</v>
      </c>
      <c r="Z299" t="s">
        <v>1167</v>
      </c>
      <c r="AA299" t="s">
        <v>1532</v>
      </c>
    </row>
    <row r="300" spans="1:27" x14ac:dyDescent="0.3">
      <c r="A300" t="s">
        <v>1578</v>
      </c>
      <c r="B300" t="s">
        <v>1473</v>
      </c>
      <c r="C300" t="s">
        <v>974</v>
      </c>
      <c r="D300" t="s">
        <v>1373</v>
      </c>
      <c r="E300" t="s">
        <v>551</v>
      </c>
      <c r="F300">
        <v>46081</v>
      </c>
      <c r="G300" t="s">
        <v>496</v>
      </c>
      <c r="H300" t="s">
        <v>1159</v>
      </c>
      <c r="I300">
        <v>52359502</v>
      </c>
      <c r="J300" t="s">
        <v>1232</v>
      </c>
      <c r="K300" t="s">
        <v>1537</v>
      </c>
      <c r="L300">
        <v>648</v>
      </c>
      <c r="M300">
        <v>0</v>
      </c>
      <c r="N300">
        <v>0</v>
      </c>
      <c r="O300">
        <v>648</v>
      </c>
      <c r="P300" t="s">
        <v>1538</v>
      </c>
      <c r="Q300" t="s">
        <v>1099</v>
      </c>
      <c r="R300" t="s">
        <v>1199</v>
      </c>
      <c r="S300" t="s">
        <v>948</v>
      </c>
      <c r="T300" t="s">
        <v>1100</v>
      </c>
      <c r="U300" t="s">
        <v>576</v>
      </c>
      <c r="V300" t="s">
        <v>1165</v>
      </c>
      <c r="W300">
        <v>1</v>
      </c>
      <c r="X300">
        <v>648</v>
      </c>
      <c r="Y300" t="s">
        <v>1192</v>
      </c>
      <c r="Z300" t="s">
        <v>1193</v>
      </c>
      <c r="AA300" t="s">
        <v>1539</v>
      </c>
    </row>
    <row r="301" spans="1:27" x14ac:dyDescent="0.3">
      <c r="A301" t="s">
        <v>1578</v>
      </c>
      <c r="B301" t="s">
        <v>1482</v>
      </c>
      <c r="C301" t="s">
        <v>974</v>
      </c>
      <c r="D301" t="s">
        <v>1373</v>
      </c>
      <c r="E301" t="s">
        <v>551</v>
      </c>
      <c r="F301">
        <v>46081</v>
      </c>
      <c r="G301" t="s">
        <v>496</v>
      </c>
      <c r="H301" t="s">
        <v>1159</v>
      </c>
      <c r="I301">
        <v>53051501</v>
      </c>
      <c r="J301" t="s">
        <v>1544</v>
      </c>
      <c r="K301" t="s">
        <v>1545</v>
      </c>
      <c r="L301">
        <v>0</v>
      </c>
      <c r="M301">
        <v>5.22</v>
      </c>
      <c r="N301">
        <v>0</v>
      </c>
      <c r="O301">
        <v>5.22</v>
      </c>
      <c r="P301" t="s">
        <v>1546</v>
      </c>
      <c r="Q301" t="s">
        <v>1123</v>
      </c>
      <c r="R301" t="s">
        <v>1199</v>
      </c>
      <c r="S301" t="s">
        <v>717</v>
      </c>
      <c r="T301" t="s">
        <v>717</v>
      </c>
      <c r="U301" t="s">
        <v>1547</v>
      </c>
      <c r="V301" t="s">
        <v>1165</v>
      </c>
      <c r="W301">
        <v>1</v>
      </c>
      <c r="X301">
        <v>5.22</v>
      </c>
      <c r="Y301" t="s">
        <v>1166</v>
      </c>
      <c r="Z301" t="s">
        <v>1167</v>
      </c>
      <c r="AA301" t="s">
        <v>1548</v>
      </c>
    </row>
    <row r="302" spans="1:27" x14ac:dyDescent="0.3">
      <c r="A302" t="s">
        <v>1578</v>
      </c>
      <c r="B302" t="s">
        <v>1582</v>
      </c>
      <c r="C302" t="s">
        <v>974</v>
      </c>
      <c r="D302" t="s">
        <v>1373</v>
      </c>
      <c r="E302" t="s">
        <v>551</v>
      </c>
      <c r="F302">
        <v>46081</v>
      </c>
      <c r="G302" t="s">
        <v>496</v>
      </c>
      <c r="H302" t="s">
        <v>1159</v>
      </c>
      <c r="I302">
        <v>53051501</v>
      </c>
      <c r="J302" t="s">
        <v>1544</v>
      </c>
      <c r="K302" t="s">
        <v>1551</v>
      </c>
      <c r="L302">
        <v>75</v>
      </c>
      <c r="M302">
        <v>77.849999999999994</v>
      </c>
      <c r="N302">
        <v>0</v>
      </c>
      <c r="O302">
        <v>152.85</v>
      </c>
      <c r="P302" t="s">
        <v>1546</v>
      </c>
      <c r="Q302" t="s">
        <v>1123</v>
      </c>
      <c r="R302" t="s">
        <v>1199</v>
      </c>
      <c r="S302" t="s">
        <v>717</v>
      </c>
      <c r="T302" t="s">
        <v>717</v>
      </c>
      <c r="U302" t="s">
        <v>1547</v>
      </c>
      <c r="V302" t="s">
        <v>1165</v>
      </c>
      <c r="W302">
        <v>1</v>
      </c>
      <c r="X302">
        <v>152.85</v>
      </c>
      <c r="Y302" t="s">
        <v>1166</v>
      </c>
      <c r="Z302" t="s">
        <v>1167</v>
      </c>
      <c r="AA302" t="s">
        <v>1548</v>
      </c>
    </row>
    <row r="303" spans="1:27" x14ac:dyDescent="0.3">
      <c r="A303" t="s">
        <v>1578</v>
      </c>
      <c r="B303" t="s">
        <v>1484</v>
      </c>
      <c r="C303" t="s">
        <v>974</v>
      </c>
      <c r="D303" t="s">
        <v>1373</v>
      </c>
      <c r="E303" t="s">
        <v>551</v>
      </c>
      <c r="F303">
        <v>46081</v>
      </c>
      <c r="G303" t="s">
        <v>496</v>
      </c>
      <c r="H303" t="s">
        <v>1159</v>
      </c>
      <c r="I303">
        <v>53051501</v>
      </c>
      <c r="J303" t="s">
        <v>1544</v>
      </c>
      <c r="K303" t="s">
        <v>1406</v>
      </c>
      <c r="L303">
        <v>0.9</v>
      </c>
      <c r="M303">
        <v>0</v>
      </c>
      <c r="N303">
        <v>0</v>
      </c>
      <c r="O303">
        <v>0.9</v>
      </c>
      <c r="P303" t="s">
        <v>1546</v>
      </c>
      <c r="Q303" t="s">
        <v>1123</v>
      </c>
      <c r="R303" t="s">
        <v>1199</v>
      </c>
      <c r="S303" t="s">
        <v>717</v>
      </c>
      <c r="T303" t="s">
        <v>717</v>
      </c>
      <c r="U303" t="s">
        <v>1547</v>
      </c>
      <c r="V303" t="s">
        <v>1165</v>
      </c>
      <c r="W303">
        <v>1</v>
      </c>
      <c r="X303">
        <v>0.9</v>
      </c>
      <c r="Y303" t="s">
        <v>1166</v>
      </c>
      <c r="Z303" t="s">
        <v>1167</v>
      </c>
      <c r="AA303" t="s">
        <v>1548</v>
      </c>
    </row>
    <row r="304" spans="1:27" x14ac:dyDescent="0.3">
      <c r="A304" t="s">
        <v>1583</v>
      </c>
      <c r="B304" t="s">
        <v>1264</v>
      </c>
      <c r="C304" t="s">
        <v>975</v>
      </c>
      <c r="D304" t="s">
        <v>1265</v>
      </c>
      <c r="E304" t="s">
        <v>624</v>
      </c>
      <c r="F304">
        <v>46234</v>
      </c>
      <c r="G304" t="s">
        <v>686</v>
      </c>
      <c r="H304" t="s">
        <v>1159</v>
      </c>
      <c r="I304">
        <v>11100501</v>
      </c>
      <c r="J304" t="s">
        <v>1160</v>
      </c>
      <c r="K304" t="s">
        <v>1266</v>
      </c>
      <c r="L304">
        <v>46157.26</v>
      </c>
      <c r="M304">
        <v>1380.84</v>
      </c>
      <c r="N304">
        <v>7364.57</v>
      </c>
      <c r="O304">
        <v>40173.53</v>
      </c>
      <c r="P304" t="s">
        <v>1161</v>
      </c>
      <c r="Q304" t="s">
        <v>980</v>
      </c>
      <c r="R304" t="s">
        <v>1162</v>
      </c>
      <c r="S304" t="s">
        <v>1163</v>
      </c>
      <c r="T304" t="s">
        <v>926</v>
      </c>
      <c r="U304" t="s">
        <v>1164</v>
      </c>
      <c r="V304" t="s">
        <v>1165</v>
      </c>
      <c r="W304">
        <v>1</v>
      </c>
      <c r="X304">
        <v>40173.53</v>
      </c>
      <c r="Y304" t="s">
        <v>1166</v>
      </c>
      <c r="Z304" t="s">
        <v>1167</v>
      </c>
      <c r="AA304" t="s">
        <v>1168</v>
      </c>
    </row>
    <row r="305" spans="1:27" x14ac:dyDescent="0.3">
      <c r="A305" t="s">
        <v>1583</v>
      </c>
      <c r="B305" t="s">
        <v>1267</v>
      </c>
      <c r="C305" t="s">
        <v>975</v>
      </c>
      <c r="D305" t="s">
        <v>1265</v>
      </c>
      <c r="E305" t="s">
        <v>624</v>
      </c>
      <c r="F305">
        <v>46234</v>
      </c>
      <c r="G305" t="s">
        <v>686</v>
      </c>
      <c r="H305" t="s">
        <v>1159</v>
      </c>
      <c r="I305">
        <v>11200501</v>
      </c>
      <c r="J305" t="s">
        <v>1268</v>
      </c>
      <c r="K305" t="s">
        <v>1269</v>
      </c>
      <c r="L305">
        <v>4611.1000000000004</v>
      </c>
      <c r="M305">
        <v>5857.66</v>
      </c>
      <c r="N305">
        <v>40.75</v>
      </c>
      <c r="O305">
        <v>10428.01</v>
      </c>
      <c r="P305" t="s">
        <v>1270</v>
      </c>
      <c r="Q305" t="s">
        <v>980</v>
      </c>
      <c r="R305" t="s">
        <v>1162</v>
      </c>
      <c r="S305" t="s">
        <v>1163</v>
      </c>
      <c r="T305" t="s">
        <v>926</v>
      </c>
      <c r="U305" t="s">
        <v>1271</v>
      </c>
      <c r="V305" t="s">
        <v>1165</v>
      </c>
      <c r="W305">
        <v>1</v>
      </c>
      <c r="X305">
        <v>10428.01</v>
      </c>
      <c r="Y305" t="s">
        <v>1166</v>
      </c>
      <c r="Z305" t="s">
        <v>1167</v>
      </c>
      <c r="AA305" t="s">
        <v>1272</v>
      </c>
    </row>
    <row r="306" spans="1:27" x14ac:dyDescent="0.3">
      <c r="A306" t="s">
        <v>1583</v>
      </c>
      <c r="B306" t="s">
        <v>1169</v>
      </c>
      <c r="C306" t="s">
        <v>975</v>
      </c>
      <c r="D306" t="s">
        <v>1265</v>
      </c>
      <c r="E306" t="s">
        <v>624</v>
      </c>
      <c r="F306">
        <v>46234</v>
      </c>
      <c r="G306" t="s">
        <v>686</v>
      </c>
      <c r="H306" t="s">
        <v>1159</v>
      </c>
      <c r="I306">
        <v>13050501</v>
      </c>
      <c r="J306" t="s">
        <v>1273</v>
      </c>
      <c r="K306" t="s">
        <v>1274</v>
      </c>
      <c r="L306">
        <v>14199.6</v>
      </c>
      <c r="M306">
        <v>7318.65</v>
      </c>
      <c r="N306">
        <v>6654.66</v>
      </c>
      <c r="O306">
        <v>14863.59</v>
      </c>
      <c r="P306" t="s">
        <v>1275</v>
      </c>
      <c r="Q306" t="s">
        <v>983</v>
      </c>
      <c r="R306" t="s">
        <v>1162</v>
      </c>
      <c r="S306" t="s">
        <v>1163</v>
      </c>
      <c r="T306" t="s">
        <v>984</v>
      </c>
      <c r="U306" t="s">
        <v>1276</v>
      </c>
      <c r="V306" t="s">
        <v>1165</v>
      </c>
      <c r="W306">
        <v>1</v>
      </c>
      <c r="X306">
        <v>14863.59</v>
      </c>
      <c r="Y306" t="s">
        <v>1166</v>
      </c>
      <c r="Z306" t="s">
        <v>1167</v>
      </c>
      <c r="AA306" t="s">
        <v>1277</v>
      </c>
    </row>
    <row r="307" spans="1:27" x14ac:dyDescent="0.3">
      <c r="A307" t="s">
        <v>1583</v>
      </c>
      <c r="B307" t="s">
        <v>1278</v>
      </c>
      <c r="C307" t="s">
        <v>975</v>
      </c>
      <c r="D307" t="s">
        <v>1265</v>
      </c>
      <c r="E307" t="s">
        <v>624</v>
      </c>
      <c r="F307">
        <v>46234</v>
      </c>
      <c r="G307" t="s">
        <v>686</v>
      </c>
      <c r="H307" t="s">
        <v>1159</v>
      </c>
      <c r="I307">
        <v>13551510</v>
      </c>
      <c r="J307" t="s">
        <v>1279</v>
      </c>
      <c r="K307" t="s">
        <v>1280</v>
      </c>
      <c r="L307">
        <v>1053.7</v>
      </c>
      <c r="M307">
        <v>797</v>
      </c>
      <c r="N307">
        <v>0</v>
      </c>
      <c r="O307">
        <v>1850.7</v>
      </c>
      <c r="P307" t="s">
        <v>1281</v>
      </c>
      <c r="Q307" t="s">
        <v>987</v>
      </c>
      <c r="R307" t="s">
        <v>1162</v>
      </c>
      <c r="S307" t="s">
        <v>1163</v>
      </c>
      <c r="T307" t="s">
        <v>988</v>
      </c>
      <c r="U307" t="s">
        <v>1282</v>
      </c>
      <c r="V307" t="s">
        <v>1165</v>
      </c>
      <c r="W307">
        <v>1</v>
      </c>
      <c r="X307">
        <v>1850.7</v>
      </c>
      <c r="Y307" t="s">
        <v>1166</v>
      </c>
      <c r="Z307" t="s">
        <v>1167</v>
      </c>
      <c r="AA307" t="s">
        <v>1283</v>
      </c>
    </row>
    <row r="308" spans="1:27" x14ac:dyDescent="0.3">
      <c r="A308" t="s">
        <v>1583</v>
      </c>
      <c r="B308" t="s">
        <v>1284</v>
      </c>
      <c r="C308" t="s">
        <v>975</v>
      </c>
      <c r="D308" t="s">
        <v>1265</v>
      </c>
      <c r="E308" t="s">
        <v>624</v>
      </c>
      <c r="F308">
        <v>46234</v>
      </c>
      <c r="G308" t="s">
        <v>686</v>
      </c>
      <c r="H308" t="s">
        <v>1159</v>
      </c>
      <c r="I308">
        <v>15280501</v>
      </c>
      <c r="J308" t="s">
        <v>1285</v>
      </c>
      <c r="K308" t="s">
        <v>1286</v>
      </c>
      <c r="L308">
        <v>8811.86</v>
      </c>
      <c r="M308">
        <v>0</v>
      </c>
      <c r="N308">
        <v>0</v>
      </c>
      <c r="O308">
        <v>8811.86</v>
      </c>
      <c r="P308" t="s">
        <v>1287</v>
      </c>
      <c r="Q308" t="s">
        <v>995</v>
      </c>
      <c r="R308" t="s">
        <v>1162</v>
      </c>
      <c r="S308" t="s">
        <v>957</v>
      </c>
      <c r="T308" t="s">
        <v>996</v>
      </c>
      <c r="U308" t="s">
        <v>1288</v>
      </c>
      <c r="V308" t="s">
        <v>1165</v>
      </c>
      <c r="W308">
        <v>1</v>
      </c>
      <c r="X308">
        <v>8811.86</v>
      </c>
      <c r="Y308" t="s">
        <v>1166</v>
      </c>
      <c r="Z308" t="s">
        <v>1167</v>
      </c>
      <c r="AA308" t="s">
        <v>1289</v>
      </c>
    </row>
    <row r="309" spans="1:27" x14ac:dyDescent="0.3">
      <c r="A309" t="s">
        <v>1583</v>
      </c>
      <c r="B309" t="s">
        <v>1290</v>
      </c>
      <c r="C309" t="s">
        <v>975</v>
      </c>
      <c r="D309" t="s">
        <v>1265</v>
      </c>
      <c r="E309" t="s">
        <v>624</v>
      </c>
      <c r="F309">
        <v>46234</v>
      </c>
      <c r="G309" t="s">
        <v>686</v>
      </c>
      <c r="H309" t="s">
        <v>1159</v>
      </c>
      <c r="I309">
        <v>22050501</v>
      </c>
      <c r="J309" t="s">
        <v>1273</v>
      </c>
      <c r="K309" t="s">
        <v>1291</v>
      </c>
      <c r="L309">
        <v>0</v>
      </c>
      <c r="M309">
        <v>0</v>
      </c>
      <c r="N309">
        <v>4665.72</v>
      </c>
      <c r="O309">
        <v>-4665.72</v>
      </c>
      <c r="P309" t="s">
        <v>1292</v>
      </c>
      <c r="Q309" t="s">
        <v>1008</v>
      </c>
      <c r="R309" t="s">
        <v>1162</v>
      </c>
      <c r="S309" t="s">
        <v>1173</v>
      </c>
      <c r="T309" t="s">
        <v>1009</v>
      </c>
      <c r="U309" t="s">
        <v>563</v>
      </c>
      <c r="V309" t="s">
        <v>1175</v>
      </c>
      <c r="W309">
        <v>-1</v>
      </c>
      <c r="X309">
        <v>4665.72</v>
      </c>
      <c r="Y309" t="s">
        <v>1166</v>
      </c>
      <c r="Z309" t="s">
        <v>1167</v>
      </c>
      <c r="AA309" t="s">
        <v>1293</v>
      </c>
    </row>
    <row r="310" spans="1:27" x14ac:dyDescent="0.3">
      <c r="A310" t="s">
        <v>1583</v>
      </c>
      <c r="B310" t="s">
        <v>1294</v>
      </c>
      <c r="C310" t="s">
        <v>975</v>
      </c>
      <c r="D310" t="s">
        <v>1265</v>
      </c>
      <c r="E310" t="s">
        <v>624</v>
      </c>
      <c r="F310">
        <v>46234</v>
      </c>
      <c r="G310" t="s">
        <v>686</v>
      </c>
      <c r="H310" t="s">
        <v>1159</v>
      </c>
      <c r="I310">
        <v>22050501</v>
      </c>
      <c r="J310" t="s">
        <v>1273</v>
      </c>
      <c r="K310" t="s">
        <v>1291</v>
      </c>
      <c r="L310">
        <v>-1450.63</v>
      </c>
      <c r="M310">
        <v>0</v>
      </c>
      <c r="N310">
        <v>1036.04</v>
      </c>
      <c r="O310">
        <v>-2486.67</v>
      </c>
      <c r="P310" t="s">
        <v>1292</v>
      </c>
      <c r="Q310" t="s">
        <v>1008</v>
      </c>
      <c r="R310" t="s">
        <v>1162</v>
      </c>
      <c r="S310" t="s">
        <v>1173</v>
      </c>
      <c r="T310" t="s">
        <v>1009</v>
      </c>
      <c r="U310" t="s">
        <v>563</v>
      </c>
      <c r="V310" t="s">
        <v>1175</v>
      </c>
      <c r="W310">
        <v>-1</v>
      </c>
      <c r="X310">
        <v>2486.67</v>
      </c>
      <c r="Y310" t="s">
        <v>1166</v>
      </c>
      <c r="Z310" t="s">
        <v>1167</v>
      </c>
      <c r="AA310" t="s">
        <v>1293</v>
      </c>
    </row>
    <row r="311" spans="1:27" x14ac:dyDescent="0.3">
      <c r="A311" t="s">
        <v>1583</v>
      </c>
      <c r="B311" t="s">
        <v>1188</v>
      </c>
      <c r="C311" t="s">
        <v>975</v>
      </c>
      <c r="D311" t="s">
        <v>1265</v>
      </c>
      <c r="E311" t="s">
        <v>624</v>
      </c>
      <c r="F311">
        <v>46234</v>
      </c>
      <c r="G311" t="s">
        <v>686</v>
      </c>
      <c r="H311" t="s">
        <v>1159</v>
      </c>
      <c r="I311">
        <v>22050501</v>
      </c>
      <c r="J311" t="s">
        <v>1273</v>
      </c>
      <c r="K311" t="s">
        <v>1291</v>
      </c>
      <c r="L311">
        <v>0</v>
      </c>
      <c r="M311">
        <v>0</v>
      </c>
      <c r="N311">
        <v>1603.49</v>
      </c>
      <c r="O311">
        <v>-1603.49</v>
      </c>
      <c r="P311" t="s">
        <v>1292</v>
      </c>
      <c r="Q311" t="s">
        <v>1008</v>
      </c>
      <c r="R311" t="s">
        <v>1162</v>
      </c>
      <c r="S311" t="s">
        <v>1173</v>
      </c>
      <c r="T311" t="s">
        <v>1009</v>
      </c>
      <c r="U311" t="s">
        <v>563</v>
      </c>
      <c r="V311" t="s">
        <v>1175</v>
      </c>
      <c r="W311">
        <v>-1</v>
      </c>
      <c r="X311">
        <v>1603.49</v>
      </c>
      <c r="Y311" t="s">
        <v>1166</v>
      </c>
      <c r="Z311" t="s">
        <v>1167</v>
      </c>
      <c r="AA311" t="s">
        <v>1293</v>
      </c>
    </row>
    <row r="312" spans="1:27" x14ac:dyDescent="0.3">
      <c r="A312" t="s">
        <v>1583</v>
      </c>
      <c r="B312" t="s">
        <v>1295</v>
      </c>
      <c r="C312" t="s">
        <v>975</v>
      </c>
      <c r="D312" t="s">
        <v>1265</v>
      </c>
      <c r="E312" t="s">
        <v>624</v>
      </c>
      <c r="F312">
        <v>46234</v>
      </c>
      <c r="G312" t="s">
        <v>686</v>
      </c>
      <c r="H312" t="s">
        <v>1159</v>
      </c>
      <c r="I312">
        <v>24080103</v>
      </c>
      <c r="J312" t="s">
        <v>1296</v>
      </c>
      <c r="K312" t="s">
        <v>1297</v>
      </c>
      <c r="L312">
        <v>-2358.96</v>
      </c>
      <c r="M312">
        <v>0</v>
      </c>
      <c r="N312">
        <v>1116.4000000000001</v>
      </c>
      <c r="O312">
        <v>-3475.36</v>
      </c>
      <c r="P312" t="s">
        <v>1298</v>
      </c>
      <c r="Q312" t="s">
        <v>1012</v>
      </c>
      <c r="R312" t="s">
        <v>1162</v>
      </c>
      <c r="S312" t="s">
        <v>1173</v>
      </c>
      <c r="T312" t="s">
        <v>1013</v>
      </c>
      <c r="U312" t="s">
        <v>1299</v>
      </c>
      <c r="V312" t="s">
        <v>1175</v>
      </c>
      <c r="W312">
        <v>-1</v>
      </c>
      <c r="X312">
        <v>3475.36</v>
      </c>
      <c r="Y312" t="s">
        <v>1166</v>
      </c>
      <c r="Z312" t="s">
        <v>1167</v>
      </c>
      <c r="AA312" t="s">
        <v>1300</v>
      </c>
    </row>
    <row r="313" spans="1:27" x14ac:dyDescent="0.3">
      <c r="A313" t="s">
        <v>1583</v>
      </c>
      <c r="B313" t="s">
        <v>1195</v>
      </c>
      <c r="C313" t="s">
        <v>975</v>
      </c>
      <c r="D313" t="s">
        <v>1265</v>
      </c>
      <c r="E313" t="s">
        <v>624</v>
      </c>
      <c r="F313">
        <v>46234</v>
      </c>
      <c r="G313" t="s">
        <v>686</v>
      </c>
      <c r="H313" t="s">
        <v>1159</v>
      </c>
      <c r="I313">
        <v>24080201</v>
      </c>
      <c r="J313" t="s">
        <v>1301</v>
      </c>
      <c r="K313" t="s">
        <v>1302</v>
      </c>
      <c r="L313">
        <v>0</v>
      </c>
      <c r="M313">
        <v>49.51</v>
      </c>
      <c r="N313">
        <v>0</v>
      </c>
      <c r="O313">
        <v>49.51</v>
      </c>
      <c r="P313" t="s">
        <v>1303</v>
      </c>
      <c r="Q313" t="s">
        <v>987</v>
      </c>
      <c r="R313" t="s">
        <v>1162</v>
      </c>
      <c r="S313" t="s">
        <v>1163</v>
      </c>
      <c r="T313" t="s">
        <v>988</v>
      </c>
      <c r="U313" t="s">
        <v>1304</v>
      </c>
      <c r="V313" t="s">
        <v>1165</v>
      </c>
      <c r="W313">
        <v>1</v>
      </c>
      <c r="X313">
        <v>49.51</v>
      </c>
      <c r="Y313" t="s">
        <v>1166</v>
      </c>
      <c r="Z313" t="s">
        <v>1167</v>
      </c>
      <c r="AA313" t="s">
        <v>1305</v>
      </c>
    </row>
    <row r="314" spans="1:27" x14ac:dyDescent="0.3">
      <c r="A314" t="s">
        <v>1583</v>
      </c>
      <c r="B314" t="s">
        <v>1306</v>
      </c>
      <c r="C314" t="s">
        <v>975</v>
      </c>
      <c r="D314" t="s">
        <v>1265</v>
      </c>
      <c r="E314" t="s">
        <v>624</v>
      </c>
      <c r="F314">
        <v>46234</v>
      </c>
      <c r="G314" t="s">
        <v>686</v>
      </c>
      <c r="H314" t="s">
        <v>1159</v>
      </c>
      <c r="I314">
        <v>24080201</v>
      </c>
      <c r="J314" t="s">
        <v>1301</v>
      </c>
      <c r="K314" t="s">
        <v>1302</v>
      </c>
      <c r="L314">
        <v>0</v>
      </c>
      <c r="M314">
        <v>711.72</v>
      </c>
      <c r="N314">
        <v>0</v>
      </c>
      <c r="O314">
        <v>711.72</v>
      </c>
      <c r="P314" t="s">
        <v>1303</v>
      </c>
      <c r="Q314" t="s">
        <v>987</v>
      </c>
      <c r="R314" t="s">
        <v>1162</v>
      </c>
      <c r="S314" t="s">
        <v>1163</v>
      </c>
      <c r="T314" t="s">
        <v>988</v>
      </c>
      <c r="U314" t="s">
        <v>1304</v>
      </c>
      <c r="V314" t="s">
        <v>1165</v>
      </c>
      <c r="W314">
        <v>1</v>
      </c>
      <c r="X314">
        <v>711.72</v>
      </c>
      <c r="Y314" t="s">
        <v>1166</v>
      </c>
      <c r="Z314" t="s">
        <v>1167</v>
      </c>
      <c r="AA314" t="s">
        <v>1305</v>
      </c>
    </row>
    <row r="315" spans="1:27" x14ac:dyDescent="0.3">
      <c r="A315" t="s">
        <v>1583</v>
      </c>
      <c r="B315" t="s">
        <v>1202</v>
      </c>
      <c r="C315" t="s">
        <v>975</v>
      </c>
      <c r="D315" t="s">
        <v>1265</v>
      </c>
      <c r="E315" t="s">
        <v>624</v>
      </c>
      <c r="F315">
        <v>46234</v>
      </c>
      <c r="G315" t="s">
        <v>686</v>
      </c>
      <c r="H315" t="s">
        <v>1159</v>
      </c>
      <c r="I315">
        <v>24080201</v>
      </c>
      <c r="J315" t="s">
        <v>1301</v>
      </c>
      <c r="K315" t="s">
        <v>1302</v>
      </c>
      <c r="L315">
        <v>1586.14</v>
      </c>
      <c r="M315">
        <v>0</v>
      </c>
      <c r="N315">
        <v>0</v>
      </c>
      <c r="O315">
        <v>1586.14</v>
      </c>
      <c r="P315" t="s">
        <v>1303</v>
      </c>
      <c r="Q315" t="s">
        <v>987</v>
      </c>
      <c r="R315" t="s">
        <v>1162</v>
      </c>
      <c r="S315" t="s">
        <v>1163</v>
      </c>
      <c r="T315" t="s">
        <v>988</v>
      </c>
      <c r="U315" t="s">
        <v>1304</v>
      </c>
      <c r="V315" t="s">
        <v>1165</v>
      </c>
      <c r="W315">
        <v>1</v>
      </c>
      <c r="X315">
        <v>1586.14</v>
      </c>
      <c r="Y315" t="s">
        <v>1166</v>
      </c>
      <c r="Z315" t="s">
        <v>1167</v>
      </c>
      <c r="AA315" t="s">
        <v>1305</v>
      </c>
    </row>
    <row r="316" spans="1:27" x14ac:dyDescent="0.3">
      <c r="A316" t="s">
        <v>1583</v>
      </c>
      <c r="B316" t="s">
        <v>1393</v>
      </c>
      <c r="C316" t="s">
        <v>975</v>
      </c>
      <c r="D316" t="s">
        <v>1265</v>
      </c>
      <c r="E316" t="s">
        <v>624</v>
      </c>
      <c r="F316">
        <v>46234</v>
      </c>
      <c r="G316" t="s">
        <v>686</v>
      </c>
      <c r="H316" t="s">
        <v>1159</v>
      </c>
      <c r="I316">
        <v>24080201</v>
      </c>
      <c r="J316" t="s">
        <v>1301</v>
      </c>
      <c r="K316" t="s">
        <v>1302</v>
      </c>
      <c r="L316">
        <v>822.41</v>
      </c>
      <c r="M316">
        <v>158.04</v>
      </c>
      <c r="N316">
        <v>0</v>
      </c>
      <c r="O316">
        <v>980.45</v>
      </c>
      <c r="P316" t="s">
        <v>1303</v>
      </c>
      <c r="Q316" t="s">
        <v>987</v>
      </c>
      <c r="R316" t="s">
        <v>1162</v>
      </c>
      <c r="S316" t="s">
        <v>1163</v>
      </c>
      <c r="T316" t="s">
        <v>988</v>
      </c>
      <c r="U316" t="s">
        <v>1304</v>
      </c>
      <c r="V316" t="s">
        <v>1165</v>
      </c>
      <c r="W316">
        <v>1</v>
      </c>
      <c r="X316">
        <v>980.45</v>
      </c>
      <c r="Y316" t="s">
        <v>1166</v>
      </c>
      <c r="Z316" t="s">
        <v>1167</v>
      </c>
      <c r="AA316" t="s">
        <v>1305</v>
      </c>
    </row>
    <row r="317" spans="1:27" x14ac:dyDescent="0.3">
      <c r="A317" t="s">
        <v>1583</v>
      </c>
      <c r="B317" t="s">
        <v>1207</v>
      </c>
      <c r="C317" t="s">
        <v>975</v>
      </c>
      <c r="D317" t="s">
        <v>1265</v>
      </c>
      <c r="E317" t="s">
        <v>624</v>
      </c>
      <c r="F317">
        <v>46234</v>
      </c>
      <c r="G317" t="s">
        <v>686</v>
      </c>
      <c r="H317" t="s">
        <v>1159</v>
      </c>
      <c r="I317">
        <v>24080201</v>
      </c>
      <c r="J317" t="s">
        <v>1301</v>
      </c>
      <c r="K317" t="s">
        <v>1302</v>
      </c>
      <c r="L317">
        <v>-984.16</v>
      </c>
      <c r="M317">
        <v>0</v>
      </c>
      <c r="N317">
        <v>0</v>
      </c>
      <c r="O317">
        <v>-984.16</v>
      </c>
      <c r="P317" t="s">
        <v>1303</v>
      </c>
      <c r="Q317" t="s">
        <v>987</v>
      </c>
      <c r="R317" t="s">
        <v>1162</v>
      </c>
      <c r="S317" t="s">
        <v>1163</v>
      </c>
      <c r="T317" t="s">
        <v>988</v>
      </c>
      <c r="U317" t="s">
        <v>1304</v>
      </c>
      <c r="V317" t="s">
        <v>1165</v>
      </c>
      <c r="W317">
        <v>1</v>
      </c>
      <c r="X317">
        <v>-984.16</v>
      </c>
      <c r="Y317" t="s">
        <v>1166</v>
      </c>
      <c r="Z317" t="s">
        <v>1167</v>
      </c>
      <c r="AA317" t="s">
        <v>1305</v>
      </c>
    </row>
    <row r="318" spans="1:27" x14ac:dyDescent="0.3">
      <c r="A318" t="s">
        <v>1583</v>
      </c>
      <c r="B318" t="s">
        <v>1398</v>
      </c>
      <c r="C318" t="s">
        <v>975</v>
      </c>
      <c r="D318" t="s">
        <v>1265</v>
      </c>
      <c r="E318" t="s">
        <v>624</v>
      </c>
      <c r="F318">
        <v>46234</v>
      </c>
      <c r="G318" t="s">
        <v>686</v>
      </c>
      <c r="H318" t="s">
        <v>1159</v>
      </c>
      <c r="I318">
        <v>31050501</v>
      </c>
      <c r="J318" t="s">
        <v>1178</v>
      </c>
      <c r="K318" t="s">
        <v>1308</v>
      </c>
      <c r="L318">
        <v>-14208.08</v>
      </c>
      <c r="M318">
        <v>0</v>
      </c>
      <c r="N318">
        <v>0</v>
      </c>
      <c r="O318">
        <v>-14208.08</v>
      </c>
      <c r="P318" t="s">
        <v>1180</v>
      </c>
      <c r="Q318" t="s">
        <v>1028</v>
      </c>
      <c r="R318" t="s">
        <v>1162</v>
      </c>
      <c r="S318" t="s">
        <v>1181</v>
      </c>
      <c r="T318" t="s">
        <v>1029</v>
      </c>
      <c r="U318" t="s">
        <v>1182</v>
      </c>
      <c r="V318" t="s">
        <v>1175</v>
      </c>
      <c r="W318">
        <v>-1</v>
      </c>
      <c r="X318">
        <v>14208.08</v>
      </c>
      <c r="Y318" t="s">
        <v>1166</v>
      </c>
      <c r="Z318" t="s">
        <v>1167</v>
      </c>
      <c r="AA318" t="s">
        <v>1029</v>
      </c>
    </row>
    <row r="319" spans="1:27" x14ac:dyDescent="0.3">
      <c r="A319" t="s">
        <v>1583</v>
      </c>
      <c r="B319" t="s">
        <v>1224</v>
      </c>
      <c r="C319" t="s">
        <v>975</v>
      </c>
      <c r="D319" t="s">
        <v>1265</v>
      </c>
      <c r="E319" t="s">
        <v>624</v>
      </c>
      <c r="F319">
        <v>46234</v>
      </c>
      <c r="G319" t="s">
        <v>686</v>
      </c>
      <c r="H319" t="s">
        <v>1159</v>
      </c>
      <c r="I319">
        <v>37050501</v>
      </c>
      <c r="J319" t="s">
        <v>1310</v>
      </c>
      <c r="K319" t="s">
        <v>1311</v>
      </c>
      <c r="L319">
        <v>-26659.66</v>
      </c>
      <c r="M319">
        <v>0</v>
      </c>
      <c r="N319">
        <v>0</v>
      </c>
      <c r="O319">
        <v>-26659.66</v>
      </c>
      <c r="P319" t="s">
        <v>1312</v>
      </c>
      <c r="Q319" t="s">
        <v>1031</v>
      </c>
      <c r="R319" t="s">
        <v>1162</v>
      </c>
      <c r="S319" t="s">
        <v>1181</v>
      </c>
      <c r="T319" t="s">
        <v>1032</v>
      </c>
      <c r="U319" t="s">
        <v>938</v>
      </c>
      <c r="V319" t="s">
        <v>1175</v>
      </c>
      <c r="W319">
        <v>-1</v>
      </c>
      <c r="X319">
        <v>26659.66</v>
      </c>
      <c r="Y319" t="s">
        <v>1166</v>
      </c>
      <c r="Z319" t="s">
        <v>1167</v>
      </c>
      <c r="AA319" t="s">
        <v>1313</v>
      </c>
    </row>
    <row r="320" spans="1:27" x14ac:dyDescent="0.3">
      <c r="A320" t="s">
        <v>1583</v>
      </c>
      <c r="B320" t="s">
        <v>1554</v>
      </c>
      <c r="C320" t="s">
        <v>975</v>
      </c>
      <c r="D320" t="s">
        <v>1265</v>
      </c>
      <c r="E320" t="s">
        <v>624</v>
      </c>
      <c r="F320">
        <v>46234</v>
      </c>
      <c r="G320" t="s">
        <v>686</v>
      </c>
      <c r="H320" t="s">
        <v>1159</v>
      </c>
      <c r="I320">
        <v>41700103</v>
      </c>
      <c r="J320" t="s">
        <v>1315</v>
      </c>
      <c r="K320" t="s">
        <v>1316</v>
      </c>
      <c r="L320">
        <v>-1808.92</v>
      </c>
      <c r="M320">
        <v>0</v>
      </c>
      <c r="N320">
        <v>3376.69</v>
      </c>
      <c r="O320">
        <v>-5185.6099999999997</v>
      </c>
      <c r="P320" t="s">
        <v>1317</v>
      </c>
      <c r="Q320" t="s">
        <v>1048</v>
      </c>
      <c r="R320" t="s">
        <v>1199</v>
      </c>
      <c r="S320" t="s">
        <v>1318</v>
      </c>
      <c r="T320" t="s">
        <v>1049</v>
      </c>
      <c r="U320" t="s">
        <v>1319</v>
      </c>
      <c r="V320" t="s">
        <v>1175</v>
      </c>
      <c r="W320">
        <v>-1</v>
      </c>
      <c r="X320">
        <v>5185.6099999999997</v>
      </c>
      <c r="Y320" t="s">
        <v>1166</v>
      </c>
      <c r="Z320" t="s">
        <v>1167</v>
      </c>
      <c r="AA320" t="s">
        <v>1320</v>
      </c>
    </row>
    <row r="321" spans="1:27" x14ac:dyDescent="0.3">
      <c r="A321" t="s">
        <v>1583</v>
      </c>
      <c r="B321" t="s">
        <v>1584</v>
      </c>
      <c r="C321" t="s">
        <v>975</v>
      </c>
      <c r="D321" t="s">
        <v>1265</v>
      </c>
      <c r="E321" t="s">
        <v>624</v>
      </c>
      <c r="F321">
        <v>46234</v>
      </c>
      <c r="G321" t="s">
        <v>686</v>
      </c>
      <c r="H321" t="s">
        <v>1159</v>
      </c>
      <c r="I321">
        <v>41700124</v>
      </c>
      <c r="J321" t="s">
        <v>1315</v>
      </c>
      <c r="K321" t="s">
        <v>1321</v>
      </c>
      <c r="L321">
        <v>-11296.09</v>
      </c>
      <c r="M321">
        <v>0</v>
      </c>
      <c r="N321">
        <v>2825.56</v>
      </c>
      <c r="O321">
        <v>-14121.65</v>
      </c>
      <c r="P321" t="s">
        <v>1317</v>
      </c>
      <c r="Q321" t="s">
        <v>1048</v>
      </c>
      <c r="R321" t="s">
        <v>1199</v>
      </c>
      <c r="S321" t="s">
        <v>1318</v>
      </c>
      <c r="T321" t="s">
        <v>1049</v>
      </c>
      <c r="U321" t="s">
        <v>1319</v>
      </c>
      <c r="V321" t="s">
        <v>1175</v>
      </c>
      <c r="W321">
        <v>-1</v>
      </c>
      <c r="X321">
        <v>14121.65</v>
      </c>
      <c r="Y321" t="s">
        <v>1166</v>
      </c>
      <c r="Z321" t="s">
        <v>1167</v>
      </c>
      <c r="AA321" t="s">
        <v>1320</v>
      </c>
    </row>
    <row r="322" spans="1:27" x14ac:dyDescent="0.3">
      <c r="A322" t="s">
        <v>1583</v>
      </c>
      <c r="B322" t="s">
        <v>1412</v>
      </c>
      <c r="C322" t="s">
        <v>975</v>
      </c>
      <c r="D322" t="s">
        <v>1265</v>
      </c>
      <c r="E322" t="s">
        <v>624</v>
      </c>
      <c r="F322">
        <v>46234</v>
      </c>
      <c r="G322" t="s">
        <v>686</v>
      </c>
      <c r="H322" t="s">
        <v>1159</v>
      </c>
      <c r="I322">
        <v>42958810</v>
      </c>
      <c r="J322" t="s">
        <v>1322</v>
      </c>
      <c r="K322" t="s">
        <v>1322</v>
      </c>
      <c r="L322">
        <v>-64960.94</v>
      </c>
      <c r="M322">
        <v>0</v>
      </c>
      <c r="N322">
        <v>0</v>
      </c>
      <c r="O322">
        <v>-64960.94</v>
      </c>
      <c r="P322" t="s">
        <v>1323</v>
      </c>
      <c r="Q322" t="s">
        <v>1120</v>
      </c>
      <c r="R322" t="s">
        <v>1199</v>
      </c>
      <c r="S322" t="s">
        <v>1324</v>
      </c>
      <c r="T322" t="s">
        <v>811</v>
      </c>
      <c r="U322" t="s">
        <v>811</v>
      </c>
      <c r="V322" t="s">
        <v>1175</v>
      </c>
      <c r="W322">
        <v>-1</v>
      </c>
      <c r="X322">
        <v>64960.94</v>
      </c>
      <c r="Y322" t="s">
        <v>1192</v>
      </c>
      <c r="Z322" t="s">
        <v>1193</v>
      </c>
      <c r="AA322" t="s">
        <v>1325</v>
      </c>
    </row>
    <row r="323" spans="1:27" x14ac:dyDescent="0.3">
      <c r="A323" t="s">
        <v>1583</v>
      </c>
      <c r="B323" t="s">
        <v>1327</v>
      </c>
      <c r="C323" t="s">
        <v>975</v>
      </c>
      <c r="D323" t="s">
        <v>1265</v>
      </c>
      <c r="E323" t="s">
        <v>624</v>
      </c>
      <c r="F323">
        <v>46234</v>
      </c>
      <c r="G323" t="s">
        <v>686</v>
      </c>
      <c r="H323" t="s">
        <v>1159</v>
      </c>
      <c r="I323">
        <v>51102503</v>
      </c>
      <c r="J323" t="s">
        <v>1213</v>
      </c>
      <c r="K323" t="s">
        <v>1326</v>
      </c>
      <c r="L323">
        <v>2068.9499999999998</v>
      </c>
      <c r="M323">
        <v>528</v>
      </c>
      <c r="N323">
        <v>0</v>
      </c>
      <c r="O323">
        <v>2596.9499999999998</v>
      </c>
      <c r="P323" t="s">
        <v>1215</v>
      </c>
      <c r="Q323" t="s">
        <v>1062</v>
      </c>
      <c r="R323" t="s">
        <v>1199</v>
      </c>
      <c r="S323" t="s">
        <v>947</v>
      </c>
      <c r="T323" t="s">
        <v>1063</v>
      </c>
      <c r="U323" t="s">
        <v>1216</v>
      </c>
      <c r="V323" t="s">
        <v>1165</v>
      </c>
      <c r="W323">
        <v>1</v>
      </c>
      <c r="X323">
        <v>2596.9499999999998</v>
      </c>
      <c r="Y323" t="s">
        <v>1166</v>
      </c>
      <c r="Z323" t="s">
        <v>1167</v>
      </c>
      <c r="AA323" t="s">
        <v>1217</v>
      </c>
    </row>
    <row r="324" spans="1:27" x14ac:dyDescent="0.3">
      <c r="A324" t="s">
        <v>1583</v>
      </c>
      <c r="B324" t="s">
        <v>1251</v>
      </c>
      <c r="C324" t="s">
        <v>975</v>
      </c>
      <c r="D324" t="s">
        <v>1265</v>
      </c>
      <c r="E324" t="s">
        <v>624</v>
      </c>
      <c r="F324">
        <v>46234</v>
      </c>
      <c r="G324" t="s">
        <v>686</v>
      </c>
      <c r="H324" t="s">
        <v>1159</v>
      </c>
      <c r="I324">
        <v>51103001</v>
      </c>
      <c r="J324" t="s">
        <v>1328</v>
      </c>
      <c r="K324" t="s">
        <v>1329</v>
      </c>
      <c r="L324">
        <v>2500</v>
      </c>
      <c r="M324">
        <v>350</v>
      </c>
      <c r="N324">
        <v>0</v>
      </c>
      <c r="O324">
        <v>2850</v>
      </c>
      <c r="P324" t="s">
        <v>1330</v>
      </c>
      <c r="Q324" t="s">
        <v>1062</v>
      </c>
      <c r="R324" t="s">
        <v>1199</v>
      </c>
      <c r="S324" t="s">
        <v>947</v>
      </c>
      <c r="T324" t="s">
        <v>1063</v>
      </c>
      <c r="U324" t="s">
        <v>1331</v>
      </c>
      <c r="V324" t="s">
        <v>1165</v>
      </c>
      <c r="W324">
        <v>1</v>
      </c>
      <c r="X324">
        <v>2850</v>
      </c>
      <c r="Y324" t="s">
        <v>1166</v>
      </c>
      <c r="Z324" t="s">
        <v>1167</v>
      </c>
      <c r="AA324" t="s">
        <v>1332</v>
      </c>
    </row>
    <row r="325" spans="1:27" x14ac:dyDescent="0.3">
      <c r="A325" t="s">
        <v>1583</v>
      </c>
      <c r="B325" t="s">
        <v>1577</v>
      </c>
      <c r="C325" t="s">
        <v>975</v>
      </c>
      <c r="D325" t="s">
        <v>1265</v>
      </c>
      <c r="E325" t="s">
        <v>624</v>
      </c>
      <c r="F325">
        <v>46234</v>
      </c>
      <c r="G325" t="s">
        <v>686</v>
      </c>
      <c r="H325" t="s">
        <v>1159</v>
      </c>
      <c r="I325">
        <v>52103501</v>
      </c>
      <c r="J325" t="s">
        <v>1585</v>
      </c>
      <c r="K325" t="s">
        <v>1586</v>
      </c>
      <c r="L325">
        <v>7400.3</v>
      </c>
      <c r="M325">
        <v>0</v>
      </c>
      <c r="N325">
        <v>0</v>
      </c>
      <c r="O325">
        <v>7400.3</v>
      </c>
      <c r="P325" t="s">
        <v>1587</v>
      </c>
      <c r="Q325" t="s">
        <v>1095</v>
      </c>
      <c r="R325" t="s">
        <v>1199</v>
      </c>
      <c r="S325" t="s">
        <v>948</v>
      </c>
      <c r="T325" t="s">
        <v>1096</v>
      </c>
      <c r="U325" t="s">
        <v>1588</v>
      </c>
      <c r="V325" t="s">
        <v>1165</v>
      </c>
      <c r="W325">
        <v>1</v>
      </c>
      <c r="X325">
        <v>7400.3</v>
      </c>
      <c r="Y325" t="s">
        <v>1192</v>
      </c>
      <c r="Z325" t="s">
        <v>1193</v>
      </c>
      <c r="AA325" t="s">
        <v>1589</v>
      </c>
    </row>
    <row r="326" spans="1:27" x14ac:dyDescent="0.3">
      <c r="A326" t="s">
        <v>1583</v>
      </c>
      <c r="B326" t="s">
        <v>1337</v>
      </c>
      <c r="C326" t="s">
        <v>975</v>
      </c>
      <c r="D326" t="s">
        <v>1265</v>
      </c>
      <c r="E326" t="s">
        <v>624</v>
      </c>
      <c r="F326">
        <v>46234</v>
      </c>
      <c r="G326" t="s">
        <v>686</v>
      </c>
      <c r="H326" t="s">
        <v>1159</v>
      </c>
      <c r="I326">
        <v>52103501</v>
      </c>
      <c r="J326" t="s">
        <v>1585</v>
      </c>
      <c r="K326" t="s">
        <v>1586</v>
      </c>
      <c r="L326">
        <v>15383.22</v>
      </c>
      <c r="M326">
        <v>0</v>
      </c>
      <c r="N326">
        <v>0</v>
      </c>
      <c r="O326">
        <v>15383.22</v>
      </c>
      <c r="P326" t="s">
        <v>1587</v>
      </c>
      <c r="Q326" t="s">
        <v>1095</v>
      </c>
      <c r="R326" t="s">
        <v>1199</v>
      </c>
      <c r="S326" t="s">
        <v>948</v>
      </c>
      <c r="T326" t="s">
        <v>1096</v>
      </c>
      <c r="U326" t="s">
        <v>1588</v>
      </c>
      <c r="V326" t="s">
        <v>1165</v>
      </c>
      <c r="W326">
        <v>1</v>
      </c>
      <c r="X326">
        <v>15383.22</v>
      </c>
      <c r="Y326" t="s">
        <v>1192</v>
      </c>
      <c r="Z326" t="s">
        <v>1193</v>
      </c>
      <c r="AA326" t="s">
        <v>1589</v>
      </c>
    </row>
    <row r="327" spans="1:27" x14ac:dyDescent="0.3">
      <c r="A327" t="s">
        <v>1583</v>
      </c>
      <c r="B327" t="s">
        <v>1564</v>
      </c>
      <c r="C327" t="s">
        <v>975</v>
      </c>
      <c r="D327" t="s">
        <v>1265</v>
      </c>
      <c r="E327" t="s">
        <v>624</v>
      </c>
      <c r="F327">
        <v>46234</v>
      </c>
      <c r="G327" t="s">
        <v>686</v>
      </c>
      <c r="H327" t="s">
        <v>1159</v>
      </c>
      <c r="I327">
        <v>52103501</v>
      </c>
      <c r="J327" t="s">
        <v>1585</v>
      </c>
      <c r="K327" t="s">
        <v>1586</v>
      </c>
      <c r="L327">
        <v>7400.3</v>
      </c>
      <c r="M327">
        <v>0</v>
      </c>
      <c r="N327">
        <v>0</v>
      </c>
      <c r="O327">
        <v>7400.3</v>
      </c>
      <c r="P327" t="s">
        <v>1587</v>
      </c>
      <c r="Q327" t="s">
        <v>1095</v>
      </c>
      <c r="R327" t="s">
        <v>1199</v>
      </c>
      <c r="S327" t="s">
        <v>948</v>
      </c>
      <c r="T327" t="s">
        <v>1096</v>
      </c>
      <c r="U327" t="s">
        <v>1588</v>
      </c>
      <c r="V327" t="s">
        <v>1165</v>
      </c>
      <c r="W327">
        <v>1</v>
      </c>
      <c r="X327">
        <v>7400.3</v>
      </c>
      <c r="Y327" t="s">
        <v>1192</v>
      </c>
      <c r="Z327" t="s">
        <v>1193</v>
      </c>
      <c r="AA327" t="s">
        <v>1589</v>
      </c>
    </row>
    <row r="328" spans="1:27" x14ac:dyDescent="0.3">
      <c r="A328" t="s">
        <v>1583</v>
      </c>
      <c r="B328" t="s">
        <v>1342</v>
      </c>
      <c r="C328" t="s">
        <v>975</v>
      </c>
      <c r="D328" t="s">
        <v>1265</v>
      </c>
      <c r="E328" t="s">
        <v>624</v>
      </c>
      <c r="F328">
        <v>46234</v>
      </c>
      <c r="G328" t="s">
        <v>686</v>
      </c>
      <c r="H328" t="s">
        <v>1159</v>
      </c>
      <c r="I328">
        <v>52109501</v>
      </c>
      <c r="J328" t="s">
        <v>1232</v>
      </c>
      <c r="K328" t="s">
        <v>1333</v>
      </c>
      <c r="L328">
        <v>2127</v>
      </c>
      <c r="M328">
        <v>0</v>
      </c>
      <c r="N328">
        <v>0</v>
      </c>
      <c r="O328">
        <v>2127</v>
      </c>
      <c r="P328" t="s">
        <v>1334</v>
      </c>
      <c r="Q328" t="s">
        <v>1095</v>
      </c>
      <c r="R328" t="s">
        <v>1199</v>
      </c>
      <c r="S328" t="s">
        <v>948</v>
      </c>
      <c r="T328" t="s">
        <v>1096</v>
      </c>
      <c r="U328" t="s">
        <v>1335</v>
      </c>
      <c r="V328" t="s">
        <v>1165</v>
      </c>
      <c r="W328">
        <v>1</v>
      </c>
      <c r="X328">
        <v>2127</v>
      </c>
      <c r="Y328" t="s">
        <v>1192</v>
      </c>
      <c r="Z328" t="s">
        <v>1193</v>
      </c>
      <c r="AA328" t="s">
        <v>1336</v>
      </c>
    </row>
    <row r="329" spans="1:27" x14ac:dyDescent="0.3">
      <c r="A329" t="s">
        <v>1583</v>
      </c>
      <c r="B329" t="s">
        <v>1351</v>
      </c>
      <c r="C329" t="s">
        <v>975</v>
      </c>
      <c r="D329" t="s">
        <v>1265</v>
      </c>
      <c r="E329" t="s">
        <v>624</v>
      </c>
      <c r="F329">
        <v>46234</v>
      </c>
      <c r="G329" t="s">
        <v>686</v>
      </c>
      <c r="H329" t="s">
        <v>1159</v>
      </c>
      <c r="I329">
        <v>52356001</v>
      </c>
      <c r="J329" t="s">
        <v>1338</v>
      </c>
      <c r="K329" t="s">
        <v>1338</v>
      </c>
      <c r="L329">
        <v>1706.19</v>
      </c>
      <c r="M329">
        <v>0</v>
      </c>
      <c r="N329">
        <v>0</v>
      </c>
      <c r="O329">
        <v>1706.19</v>
      </c>
      <c r="P329" t="s">
        <v>1339</v>
      </c>
      <c r="Q329" t="s">
        <v>1097</v>
      </c>
      <c r="R329" t="s">
        <v>1199</v>
      </c>
      <c r="S329" t="s">
        <v>948</v>
      </c>
      <c r="T329" t="s">
        <v>1098</v>
      </c>
      <c r="U329" t="s">
        <v>1340</v>
      </c>
      <c r="V329" t="s">
        <v>1165</v>
      </c>
      <c r="W329">
        <v>1</v>
      </c>
      <c r="X329">
        <v>1706.19</v>
      </c>
      <c r="Y329" t="s">
        <v>1166</v>
      </c>
      <c r="Z329" t="s">
        <v>1167</v>
      </c>
      <c r="AA329" t="s">
        <v>1341</v>
      </c>
    </row>
    <row r="330" spans="1:27" x14ac:dyDescent="0.3">
      <c r="A330" t="s">
        <v>1583</v>
      </c>
      <c r="B330" t="s">
        <v>1354</v>
      </c>
      <c r="C330" t="s">
        <v>975</v>
      </c>
      <c r="D330" t="s">
        <v>1265</v>
      </c>
      <c r="E330" t="s">
        <v>624</v>
      </c>
      <c r="F330">
        <v>46234</v>
      </c>
      <c r="G330" t="s">
        <v>686</v>
      </c>
      <c r="H330" t="s">
        <v>1159</v>
      </c>
      <c r="I330">
        <v>52550501</v>
      </c>
      <c r="J330" t="s">
        <v>1343</v>
      </c>
      <c r="K330" t="s">
        <v>1344</v>
      </c>
      <c r="L330">
        <v>0</v>
      </c>
      <c r="M330">
        <v>2822.19</v>
      </c>
      <c r="N330">
        <v>0</v>
      </c>
      <c r="O330">
        <v>2822.19</v>
      </c>
      <c r="P330" t="s">
        <v>1345</v>
      </c>
      <c r="Q330" t="s">
        <v>1101</v>
      </c>
      <c r="R330" t="s">
        <v>1199</v>
      </c>
      <c r="S330" t="s">
        <v>948</v>
      </c>
      <c r="T330" t="s">
        <v>1102</v>
      </c>
      <c r="U330" t="s">
        <v>1346</v>
      </c>
      <c r="V330" t="s">
        <v>1165</v>
      </c>
      <c r="W330">
        <v>1</v>
      </c>
      <c r="X330">
        <v>2822.19</v>
      </c>
      <c r="Y330" t="s">
        <v>1166</v>
      </c>
      <c r="Z330" t="s">
        <v>1167</v>
      </c>
      <c r="AA330" t="s">
        <v>1347</v>
      </c>
    </row>
    <row r="331" spans="1:27" x14ac:dyDescent="0.3">
      <c r="A331" t="s">
        <v>1583</v>
      </c>
      <c r="B331" t="s">
        <v>1355</v>
      </c>
      <c r="C331" t="s">
        <v>975</v>
      </c>
      <c r="D331" t="s">
        <v>1265</v>
      </c>
      <c r="E331" t="s">
        <v>624</v>
      </c>
      <c r="F331">
        <v>46234</v>
      </c>
      <c r="G331" t="s">
        <v>686</v>
      </c>
      <c r="H331" t="s">
        <v>1159</v>
      </c>
      <c r="I331">
        <v>52550501</v>
      </c>
      <c r="J331" t="s">
        <v>1343</v>
      </c>
      <c r="K331" t="s">
        <v>1344</v>
      </c>
      <c r="L331">
        <v>267.26</v>
      </c>
      <c r="M331">
        <v>0</v>
      </c>
      <c r="N331">
        <v>0</v>
      </c>
      <c r="O331">
        <v>267.26</v>
      </c>
      <c r="P331" t="s">
        <v>1345</v>
      </c>
      <c r="Q331" t="s">
        <v>1101</v>
      </c>
      <c r="R331" t="s">
        <v>1199</v>
      </c>
      <c r="S331" t="s">
        <v>948</v>
      </c>
      <c r="T331" t="s">
        <v>1102</v>
      </c>
      <c r="U331" t="s">
        <v>1346</v>
      </c>
      <c r="V331" t="s">
        <v>1165</v>
      </c>
      <c r="W331">
        <v>1</v>
      </c>
      <c r="X331">
        <v>267.26</v>
      </c>
      <c r="Y331" t="s">
        <v>1166</v>
      </c>
      <c r="Z331" t="s">
        <v>1167</v>
      </c>
      <c r="AA331" t="s">
        <v>1347</v>
      </c>
    </row>
    <row r="332" spans="1:27" x14ac:dyDescent="0.3">
      <c r="A332" t="s">
        <v>1583</v>
      </c>
      <c r="B332" t="s">
        <v>1356</v>
      </c>
      <c r="C332" t="s">
        <v>975</v>
      </c>
      <c r="D332" t="s">
        <v>1265</v>
      </c>
      <c r="E332" t="s">
        <v>624</v>
      </c>
      <c r="F332">
        <v>46234</v>
      </c>
      <c r="G332" t="s">
        <v>686</v>
      </c>
      <c r="H332" t="s">
        <v>1159</v>
      </c>
      <c r="I332">
        <v>52550502</v>
      </c>
      <c r="J332" t="s">
        <v>1343</v>
      </c>
      <c r="K332" t="s">
        <v>1349</v>
      </c>
      <c r="L332">
        <v>0</v>
      </c>
      <c r="M332">
        <v>1183</v>
      </c>
      <c r="N332">
        <v>0</v>
      </c>
      <c r="O332">
        <v>1183</v>
      </c>
      <c r="P332" t="s">
        <v>1345</v>
      </c>
      <c r="Q332" t="s">
        <v>1101</v>
      </c>
      <c r="R332" t="s">
        <v>1199</v>
      </c>
      <c r="S332" t="s">
        <v>948</v>
      </c>
      <c r="T332" t="s">
        <v>1102</v>
      </c>
      <c r="U332" t="s">
        <v>1346</v>
      </c>
      <c r="V332" t="s">
        <v>1165</v>
      </c>
      <c r="W332">
        <v>1</v>
      </c>
      <c r="X332">
        <v>1183</v>
      </c>
      <c r="Y332" t="s">
        <v>1166</v>
      </c>
      <c r="Z332" t="s">
        <v>1167</v>
      </c>
      <c r="AA332" t="s">
        <v>1347</v>
      </c>
    </row>
    <row r="333" spans="1:27" x14ac:dyDescent="0.3">
      <c r="A333" t="s">
        <v>1583</v>
      </c>
      <c r="B333" t="s">
        <v>1357</v>
      </c>
      <c r="C333" t="s">
        <v>975</v>
      </c>
      <c r="D333" t="s">
        <v>1265</v>
      </c>
      <c r="E333" t="s">
        <v>624</v>
      </c>
      <c r="F333">
        <v>46234</v>
      </c>
      <c r="G333" t="s">
        <v>686</v>
      </c>
      <c r="H333" t="s">
        <v>1159</v>
      </c>
      <c r="I333">
        <v>52550502</v>
      </c>
      <c r="J333" t="s">
        <v>1343</v>
      </c>
      <c r="K333" t="s">
        <v>1349</v>
      </c>
      <c r="L333">
        <v>80.8</v>
      </c>
      <c r="M333">
        <v>0</v>
      </c>
      <c r="N333">
        <v>0</v>
      </c>
      <c r="O333">
        <v>80.8</v>
      </c>
      <c r="P333" t="s">
        <v>1345</v>
      </c>
      <c r="Q333" t="s">
        <v>1101</v>
      </c>
      <c r="R333" t="s">
        <v>1199</v>
      </c>
      <c r="S333" t="s">
        <v>948</v>
      </c>
      <c r="T333" t="s">
        <v>1102</v>
      </c>
      <c r="U333" t="s">
        <v>1346</v>
      </c>
      <c r="V333" t="s">
        <v>1165</v>
      </c>
      <c r="W333">
        <v>1</v>
      </c>
      <c r="X333">
        <v>80.8</v>
      </c>
      <c r="Y333" t="s">
        <v>1166</v>
      </c>
      <c r="Z333" t="s">
        <v>1167</v>
      </c>
      <c r="AA333" t="s">
        <v>1347</v>
      </c>
    </row>
    <row r="334" spans="1:27" x14ac:dyDescent="0.3">
      <c r="A334" t="s">
        <v>1583</v>
      </c>
      <c r="B334" t="s">
        <v>1358</v>
      </c>
      <c r="C334" t="s">
        <v>975</v>
      </c>
      <c r="D334" t="s">
        <v>1265</v>
      </c>
      <c r="E334" t="s">
        <v>624</v>
      </c>
      <c r="F334">
        <v>46234</v>
      </c>
      <c r="G334" t="s">
        <v>686</v>
      </c>
      <c r="H334" t="s">
        <v>1159</v>
      </c>
      <c r="I334">
        <v>52550502</v>
      </c>
      <c r="J334" t="s">
        <v>1343</v>
      </c>
      <c r="K334" t="s">
        <v>1349</v>
      </c>
      <c r="L334">
        <v>20.68</v>
      </c>
      <c r="M334">
        <v>0</v>
      </c>
      <c r="N334">
        <v>0</v>
      </c>
      <c r="O334">
        <v>20.68</v>
      </c>
      <c r="P334" t="s">
        <v>1345</v>
      </c>
      <c r="Q334" t="s">
        <v>1101</v>
      </c>
      <c r="R334" t="s">
        <v>1199</v>
      </c>
      <c r="S334" t="s">
        <v>948</v>
      </c>
      <c r="T334" t="s">
        <v>1102</v>
      </c>
      <c r="U334" t="s">
        <v>1346</v>
      </c>
      <c r="V334" t="s">
        <v>1165</v>
      </c>
      <c r="W334">
        <v>1</v>
      </c>
      <c r="X334">
        <v>20.68</v>
      </c>
      <c r="Y334" t="s">
        <v>1166</v>
      </c>
      <c r="Z334" t="s">
        <v>1167</v>
      </c>
      <c r="AA334" t="s">
        <v>1347</v>
      </c>
    </row>
    <row r="335" spans="1:27" x14ac:dyDescent="0.3">
      <c r="A335" t="s">
        <v>1583</v>
      </c>
      <c r="B335" t="s">
        <v>1565</v>
      </c>
      <c r="C335" t="s">
        <v>975</v>
      </c>
      <c r="D335" t="s">
        <v>1265</v>
      </c>
      <c r="E335" t="s">
        <v>624</v>
      </c>
      <c r="F335">
        <v>46234</v>
      </c>
      <c r="G335" t="s">
        <v>686</v>
      </c>
      <c r="H335" t="s">
        <v>1159</v>
      </c>
      <c r="I335">
        <v>52550502</v>
      </c>
      <c r="J335" t="s">
        <v>1343</v>
      </c>
      <c r="K335" t="s">
        <v>1349</v>
      </c>
      <c r="L335">
        <v>0</v>
      </c>
      <c r="M335">
        <v>471.49</v>
      </c>
      <c r="N335">
        <v>0</v>
      </c>
      <c r="O335">
        <v>471.49</v>
      </c>
      <c r="P335" t="s">
        <v>1345</v>
      </c>
      <c r="Q335" t="s">
        <v>1101</v>
      </c>
      <c r="R335" t="s">
        <v>1199</v>
      </c>
      <c r="S335" t="s">
        <v>948</v>
      </c>
      <c r="T335" t="s">
        <v>1102</v>
      </c>
      <c r="U335" t="s">
        <v>1346</v>
      </c>
      <c r="V335" t="s">
        <v>1165</v>
      </c>
      <c r="W335">
        <v>1</v>
      </c>
      <c r="X335">
        <v>471.49</v>
      </c>
      <c r="Y335" t="s">
        <v>1166</v>
      </c>
      <c r="Z335" t="s">
        <v>1167</v>
      </c>
      <c r="AA335" t="s">
        <v>1347</v>
      </c>
    </row>
    <row r="336" spans="1:27" x14ac:dyDescent="0.3">
      <c r="A336" t="s">
        <v>1583</v>
      </c>
      <c r="B336" t="s">
        <v>1566</v>
      </c>
      <c r="C336" t="s">
        <v>975</v>
      </c>
      <c r="D336" t="s">
        <v>1265</v>
      </c>
      <c r="E336" t="s">
        <v>624</v>
      </c>
      <c r="F336">
        <v>46234</v>
      </c>
      <c r="G336" t="s">
        <v>686</v>
      </c>
      <c r="H336" t="s">
        <v>1159</v>
      </c>
      <c r="I336">
        <v>52550502</v>
      </c>
      <c r="J336" t="s">
        <v>1343</v>
      </c>
      <c r="K336" t="s">
        <v>1349</v>
      </c>
      <c r="L336">
        <v>0</v>
      </c>
      <c r="M336">
        <v>256</v>
      </c>
      <c r="N336">
        <v>0</v>
      </c>
      <c r="O336">
        <v>256</v>
      </c>
      <c r="P336" t="s">
        <v>1345</v>
      </c>
      <c r="Q336" t="s">
        <v>1101</v>
      </c>
      <c r="R336" t="s">
        <v>1199</v>
      </c>
      <c r="S336" t="s">
        <v>948</v>
      </c>
      <c r="T336" t="s">
        <v>1102</v>
      </c>
      <c r="U336" t="s">
        <v>1346</v>
      </c>
      <c r="V336" t="s">
        <v>1165</v>
      </c>
      <c r="W336">
        <v>1</v>
      </c>
      <c r="X336">
        <v>256</v>
      </c>
      <c r="Y336" t="s">
        <v>1166</v>
      </c>
      <c r="Z336" t="s">
        <v>1167</v>
      </c>
      <c r="AA336" t="s">
        <v>1347</v>
      </c>
    </row>
    <row r="337" spans="1:27" x14ac:dyDescent="0.3">
      <c r="A337" t="s">
        <v>1583</v>
      </c>
      <c r="B337" t="s">
        <v>1359</v>
      </c>
      <c r="C337" t="s">
        <v>975</v>
      </c>
      <c r="D337" t="s">
        <v>1265</v>
      </c>
      <c r="E337" t="s">
        <v>624</v>
      </c>
      <c r="F337">
        <v>46234</v>
      </c>
      <c r="G337" t="s">
        <v>686</v>
      </c>
      <c r="H337" t="s">
        <v>1159</v>
      </c>
      <c r="I337">
        <v>52550502</v>
      </c>
      <c r="J337" t="s">
        <v>1343</v>
      </c>
      <c r="K337" t="s">
        <v>1349</v>
      </c>
      <c r="L337">
        <v>0</v>
      </c>
      <c r="M337">
        <v>269</v>
      </c>
      <c r="N337">
        <v>0</v>
      </c>
      <c r="O337">
        <v>269</v>
      </c>
      <c r="P337" t="s">
        <v>1345</v>
      </c>
      <c r="Q337" t="s">
        <v>1101</v>
      </c>
      <c r="R337" t="s">
        <v>1199</v>
      </c>
      <c r="S337" t="s">
        <v>948</v>
      </c>
      <c r="T337" t="s">
        <v>1102</v>
      </c>
      <c r="U337" t="s">
        <v>1346</v>
      </c>
      <c r="V337" t="s">
        <v>1165</v>
      </c>
      <c r="W337">
        <v>1</v>
      </c>
      <c r="X337">
        <v>269</v>
      </c>
      <c r="Y337" t="s">
        <v>1166</v>
      </c>
      <c r="Z337" t="s">
        <v>1167</v>
      </c>
      <c r="AA337" t="s">
        <v>1347</v>
      </c>
    </row>
    <row r="338" spans="1:27" x14ac:dyDescent="0.3">
      <c r="A338" t="s">
        <v>1583</v>
      </c>
      <c r="B338" t="s">
        <v>1420</v>
      </c>
      <c r="C338" t="s">
        <v>975</v>
      </c>
      <c r="D338" t="s">
        <v>1265</v>
      </c>
      <c r="E338" t="s">
        <v>624</v>
      </c>
      <c r="F338">
        <v>46234</v>
      </c>
      <c r="G338" t="s">
        <v>686</v>
      </c>
      <c r="H338" t="s">
        <v>1159</v>
      </c>
      <c r="I338">
        <v>52550502</v>
      </c>
      <c r="J338" t="s">
        <v>1343</v>
      </c>
      <c r="K338" t="s">
        <v>1349</v>
      </c>
      <c r="L338">
        <v>114</v>
      </c>
      <c r="M338">
        <v>0</v>
      </c>
      <c r="N338">
        <v>0</v>
      </c>
      <c r="O338">
        <v>114</v>
      </c>
      <c r="P338" t="s">
        <v>1345</v>
      </c>
      <c r="Q338" t="s">
        <v>1101</v>
      </c>
      <c r="R338" t="s">
        <v>1199</v>
      </c>
      <c r="S338" t="s">
        <v>948</v>
      </c>
      <c r="T338" t="s">
        <v>1102</v>
      </c>
      <c r="U338" t="s">
        <v>1346</v>
      </c>
      <c r="V338" t="s">
        <v>1165</v>
      </c>
      <c r="W338">
        <v>1</v>
      </c>
      <c r="X338">
        <v>114</v>
      </c>
      <c r="Y338" t="s">
        <v>1166</v>
      </c>
      <c r="Z338" t="s">
        <v>1167</v>
      </c>
      <c r="AA338" t="s">
        <v>1347</v>
      </c>
    </row>
    <row r="339" spans="1:27" x14ac:dyDescent="0.3">
      <c r="A339" t="s">
        <v>1583</v>
      </c>
      <c r="B339" t="s">
        <v>1364</v>
      </c>
      <c r="C339" t="s">
        <v>975</v>
      </c>
      <c r="D339" t="s">
        <v>1265</v>
      </c>
      <c r="E339" t="s">
        <v>624</v>
      </c>
      <c r="F339">
        <v>46234</v>
      </c>
      <c r="G339" t="s">
        <v>686</v>
      </c>
      <c r="H339" t="s">
        <v>1159</v>
      </c>
      <c r="I339">
        <v>52550502</v>
      </c>
      <c r="J339" t="s">
        <v>1343</v>
      </c>
      <c r="K339" t="s">
        <v>1349</v>
      </c>
      <c r="L339">
        <v>0</v>
      </c>
      <c r="M339">
        <v>124.6</v>
      </c>
      <c r="N339">
        <v>0</v>
      </c>
      <c r="O339">
        <v>124.6</v>
      </c>
      <c r="P339" t="s">
        <v>1345</v>
      </c>
      <c r="Q339" t="s">
        <v>1101</v>
      </c>
      <c r="R339" t="s">
        <v>1199</v>
      </c>
      <c r="S339" t="s">
        <v>948</v>
      </c>
      <c r="T339" t="s">
        <v>1102</v>
      </c>
      <c r="U339" t="s">
        <v>1346</v>
      </c>
      <c r="V339" t="s">
        <v>1165</v>
      </c>
      <c r="W339">
        <v>1</v>
      </c>
      <c r="X339">
        <v>124.6</v>
      </c>
      <c r="Y339" t="s">
        <v>1166</v>
      </c>
      <c r="Z339" t="s">
        <v>1167</v>
      </c>
      <c r="AA339" t="s">
        <v>1347</v>
      </c>
    </row>
    <row r="340" spans="1:27" x14ac:dyDescent="0.3">
      <c r="A340" t="s">
        <v>1583</v>
      </c>
      <c r="B340" t="s">
        <v>1422</v>
      </c>
      <c r="C340" t="s">
        <v>975</v>
      </c>
      <c r="D340" t="s">
        <v>1265</v>
      </c>
      <c r="E340" t="s">
        <v>624</v>
      </c>
      <c r="F340">
        <v>46234</v>
      </c>
      <c r="G340" t="s">
        <v>686</v>
      </c>
      <c r="H340" t="s">
        <v>1159</v>
      </c>
      <c r="I340">
        <v>52550502</v>
      </c>
      <c r="J340" t="s">
        <v>1343</v>
      </c>
      <c r="K340" t="s">
        <v>1349</v>
      </c>
      <c r="L340">
        <v>0</v>
      </c>
      <c r="M340">
        <v>19.5</v>
      </c>
      <c r="N340">
        <v>0</v>
      </c>
      <c r="O340">
        <v>19.5</v>
      </c>
      <c r="P340" t="s">
        <v>1345</v>
      </c>
      <c r="Q340" t="s">
        <v>1101</v>
      </c>
      <c r="R340" t="s">
        <v>1199</v>
      </c>
      <c r="S340" t="s">
        <v>948</v>
      </c>
      <c r="T340" t="s">
        <v>1102</v>
      </c>
      <c r="U340" t="s">
        <v>1346</v>
      </c>
      <c r="V340" t="s">
        <v>1165</v>
      </c>
      <c r="W340">
        <v>1</v>
      </c>
      <c r="X340">
        <v>19.5</v>
      </c>
      <c r="Y340" t="s">
        <v>1166</v>
      </c>
      <c r="Z340" t="s">
        <v>1167</v>
      </c>
      <c r="AA340" t="s">
        <v>1347</v>
      </c>
    </row>
    <row r="341" spans="1:27" x14ac:dyDescent="0.3">
      <c r="A341" t="s">
        <v>1583</v>
      </c>
      <c r="B341" t="s">
        <v>1424</v>
      </c>
      <c r="C341" t="s">
        <v>975</v>
      </c>
      <c r="D341" t="s">
        <v>1265</v>
      </c>
      <c r="E341" t="s">
        <v>624</v>
      </c>
      <c r="F341">
        <v>46234</v>
      </c>
      <c r="G341" t="s">
        <v>686</v>
      </c>
      <c r="H341" t="s">
        <v>1159</v>
      </c>
      <c r="I341">
        <v>52550502</v>
      </c>
      <c r="J341" t="s">
        <v>1343</v>
      </c>
      <c r="K341" t="s">
        <v>1349</v>
      </c>
      <c r="L341">
        <v>520</v>
      </c>
      <c r="M341">
        <v>0</v>
      </c>
      <c r="N341">
        <v>0</v>
      </c>
      <c r="O341">
        <v>520</v>
      </c>
      <c r="P341" t="s">
        <v>1345</v>
      </c>
      <c r="Q341" t="s">
        <v>1101</v>
      </c>
      <c r="R341" t="s">
        <v>1199</v>
      </c>
      <c r="S341" t="s">
        <v>948</v>
      </c>
      <c r="T341" t="s">
        <v>1102</v>
      </c>
      <c r="U341" t="s">
        <v>1346</v>
      </c>
      <c r="V341" t="s">
        <v>1165</v>
      </c>
      <c r="W341">
        <v>1</v>
      </c>
      <c r="X341">
        <v>520</v>
      </c>
      <c r="Y341" t="s">
        <v>1166</v>
      </c>
      <c r="Z341" t="s">
        <v>1167</v>
      </c>
      <c r="AA341" t="s">
        <v>1347</v>
      </c>
    </row>
    <row r="342" spans="1:27" x14ac:dyDescent="0.3">
      <c r="A342" t="s">
        <v>1583</v>
      </c>
      <c r="B342" t="s">
        <v>1368</v>
      </c>
      <c r="C342" t="s">
        <v>975</v>
      </c>
      <c r="D342" t="s">
        <v>1265</v>
      </c>
      <c r="E342" t="s">
        <v>624</v>
      </c>
      <c r="F342">
        <v>46234</v>
      </c>
      <c r="G342" t="s">
        <v>686</v>
      </c>
      <c r="H342" t="s">
        <v>1159</v>
      </c>
      <c r="I342">
        <v>52550502</v>
      </c>
      <c r="J342" t="s">
        <v>1343</v>
      </c>
      <c r="K342" t="s">
        <v>1349</v>
      </c>
      <c r="L342">
        <v>6</v>
      </c>
      <c r="M342">
        <v>0</v>
      </c>
      <c r="N342">
        <v>0</v>
      </c>
      <c r="O342">
        <v>6</v>
      </c>
      <c r="P342" t="s">
        <v>1345</v>
      </c>
      <c r="Q342" t="s">
        <v>1101</v>
      </c>
      <c r="R342" t="s">
        <v>1199</v>
      </c>
      <c r="S342" t="s">
        <v>948</v>
      </c>
      <c r="T342" t="s">
        <v>1102</v>
      </c>
      <c r="U342" t="s">
        <v>1346</v>
      </c>
      <c r="V342" t="s">
        <v>1165</v>
      </c>
      <c r="W342">
        <v>1</v>
      </c>
      <c r="X342">
        <v>6</v>
      </c>
      <c r="Y342" t="s">
        <v>1166</v>
      </c>
      <c r="Z342" t="s">
        <v>1167</v>
      </c>
      <c r="AA342" t="s">
        <v>1347</v>
      </c>
    </row>
    <row r="343" spans="1:27" x14ac:dyDescent="0.3">
      <c r="A343" t="s">
        <v>1583</v>
      </c>
      <c r="B343" t="s">
        <v>1369</v>
      </c>
      <c r="C343" t="s">
        <v>975</v>
      </c>
      <c r="D343" t="s">
        <v>1265</v>
      </c>
      <c r="E343" t="s">
        <v>624</v>
      </c>
      <c r="F343">
        <v>46234</v>
      </c>
      <c r="G343" t="s">
        <v>686</v>
      </c>
      <c r="H343" t="s">
        <v>1159</v>
      </c>
      <c r="I343">
        <v>52550502</v>
      </c>
      <c r="J343" t="s">
        <v>1343</v>
      </c>
      <c r="K343" t="s">
        <v>1349</v>
      </c>
      <c r="L343">
        <v>226.33</v>
      </c>
      <c r="M343">
        <v>0</v>
      </c>
      <c r="N343">
        <v>0</v>
      </c>
      <c r="O343">
        <v>226.33</v>
      </c>
      <c r="P343" t="s">
        <v>1345</v>
      </c>
      <c r="Q343" t="s">
        <v>1101</v>
      </c>
      <c r="R343" t="s">
        <v>1199</v>
      </c>
      <c r="S343" t="s">
        <v>948</v>
      </c>
      <c r="T343" t="s">
        <v>1102</v>
      </c>
      <c r="U343" t="s">
        <v>1346</v>
      </c>
      <c r="V343" t="s">
        <v>1165</v>
      </c>
      <c r="W343">
        <v>1</v>
      </c>
      <c r="X343">
        <v>226.33</v>
      </c>
      <c r="Y343" t="s">
        <v>1166</v>
      </c>
      <c r="Z343" t="s">
        <v>1167</v>
      </c>
      <c r="AA343" t="s">
        <v>1347</v>
      </c>
    </row>
    <row r="344" spans="1:27" x14ac:dyDescent="0.3">
      <c r="A344" t="s">
        <v>1583</v>
      </c>
      <c r="B344" t="s">
        <v>1370</v>
      </c>
      <c r="C344" t="s">
        <v>975</v>
      </c>
      <c r="D344" t="s">
        <v>1265</v>
      </c>
      <c r="E344" t="s">
        <v>624</v>
      </c>
      <c r="F344">
        <v>46234</v>
      </c>
      <c r="G344" t="s">
        <v>686</v>
      </c>
      <c r="H344" t="s">
        <v>1159</v>
      </c>
      <c r="I344">
        <v>52550502</v>
      </c>
      <c r="J344" t="s">
        <v>1343</v>
      </c>
      <c r="K344" t="s">
        <v>1349</v>
      </c>
      <c r="L344">
        <v>386.7</v>
      </c>
      <c r="M344">
        <v>0</v>
      </c>
      <c r="N344">
        <v>0</v>
      </c>
      <c r="O344">
        <v>386.7</v>
      </c>
      <c r="P344" t="s">
        <v>1345</v>
      </c>
      <c r="Q344" t="s">
        <v>1101</v>
      </c>
      <c r="R344" t="s">
        <v>1199</v>
      </c>
      <c r="S344" t="s">
        <v>948</v>
      </c>
      <c r="T344" t="s">
        <v>1102</v>
      </c>
      <c r="U344" t="s">
        <v>1346</v>
      </c>
      <c r="V344" t="s">
        <v>1165</v>
      </c>
      <c r="W344">
        <v>1</v>
      </c>
      <c r="X344">
        <v>386.7</v>
      </c>
      <c r="Y344" t="s">
        <v>1166</v>
      </c>
      <c r="Z344" t="s">
        <v>1167</v>
      </c>
      <c r="AA344" t="s">
        <v>1347</v>
      </c>
    </row>
    <row r="345" spans="1:27" x14ac:dyDescent="0.3">
      <c r="A345" t="s">
        <v>1583</v>
      </c>
      <c r="B345" t="s">
        <v>1426</v>
      </c>
      <c r="C345" t="s">
        <v>975</v>
      </c>
      <c r="D345" t="s">
        <v>1265</v>
      </c>
      <c r="E345" t="s">
        <v>624</v>
      </c>
      <c r="F345">
        <v>46234</v>
      </c>
      <c r="G345" t="s">
        <v>686</v>
      </c>
      <c r="H345" t="s">
        <v>1159</v>
      </c>
      <c r="I345">
        <v>52550502</v>
      </c>
      <c r="J345" t="s">
        <v>1343</v>
      </c>
      <c r="K345" t="s">
        <v>1349</v>
      </c>
      <c r="L345">
        <v>150.72</v>
      </c>
      <c r="M345">
        <v>0</v>
      </c>
      <c r="N345">
        <v>0</v>
      </c>
      <c r="O345">
        <v>150.72</v>
      </c>
      <c r="P345" t="s">
        <v>1345</v>
      </c>
      <c r="Q345" t="s">
        <v>1101</v>
      </c>
      <c r="R345" t="s">
        <v>1199</v>
      </c>
      <c r="S345" t="s">
        <v>948</v>
      </c>
      <c r="T345" t="s">
        <v>1102</v>
      </c>
      <c r="U345" t="s">
        <v>1346</v>
      </c>
      <c r="V345" t="s">
        <v>1165</v>
      </c>
      <c r="W345">
        <v>1</v>
      </c>
      <c r="X345">
        <v>150.72</v>
      </c>
      <c r="Y345" t="s">
        <v>1166</v>
      </c>
      <c r="Z345" t="s">
        <v>1167</v>
      </c>
      <c r="AA345" t="s">
        <v>1347</v>
      </c>
    </row>
    <row r="346" spans="1:27" x14ac:dyDescent="0.3">
      <c r="A346" t="s">
        <v>1583</v>
      </c>
      <c r="B346" t="s">
        <v>1590</v>
      </c>
      <c r="C346" t="s">
        <v>975</v>
      </c>
      <c r="D346" t="s">
        <v>1265</v>
      </c>
      <c r="E346" t="s">
        <v>624</v>
      </c>
      <c r="F346">
        <v>46234</v>
      </c>
      <c r="G346" t="s">
        <v>686</v>
      </c>
      <c r="H346" t="s">
        <v>1159</v>
      </c>
      <c r="I346">
        <v>52550502</v>
      </c>
      <c r="J346" t="s">
        <v>1343</v>
      </c>
      <c r="K346" t="s">
        <v>1349</v>
      </c>
      <c r="L346">
        <v>24</v>
      </c>
      <c r="M346">
        <v>0</v>
      </c>
      <c r="N346">
        <v>0</v>
      </c>
      <c r="O346">
        <v>24</v>
      </c>
      <c r="P346" t="s">
        <v>1345</v>
      </c>
      <c r="Q346" t="s">
        <v>1101</v>
      </c>
      <c r="R346" t="s">
        <v>1199</v>
      </c>
      <c r="S346" t="s">
        <v>948</v>
      </c>
      <c r="T346" t="s">
        <v>1102</v>
      </c>
      <c r="U346" t="s">
        <v>1346</v>
      </c>
      <c r="V346" t="s">
        <v>1165</v>
      </c>
      <c r="W346">
        <v>1</v>
      </c>
      <c r="X346">
        <v>24</v>
      </c>
      <c r="Y346" t="s">
        <v>1166</v>
      </c>
      <c r="Z346" t="s">
        <v>1167</v>
      </c>
      <c r="AA346" t="s">
        <v>1347</v>
      </c>
    </row>
    <row r="347" spans="1:27" x14ac:dyDescent="0.3">
      <c r="A347" t="s">
        <v>1583</v>
      </c>
      <c r="B347" t="s">
        <v>1432</v>
      </c>
      <c r="C347" t="s">
        <v>975</v>
      </c>
      <c r="D347" t="s">
        <v>1265</v>
      </c>
      <c r="E347" t="s">
        <v>624</v>
      </c>
      <c r="F347">
        <v>46234</v>
      </c>
      <c r="G347" t="s">
        <v>686</v>
      </c>
      <c r="H347" t="s">
        <v>1159</v>
      </c>
      <c r="I347">
        <v>52550502</v>
      </c>
      <c r="J347" t="s">
        <v>1343</v>
      </c>
      <c r="K347" t="s">
        <v>1349</v>
      </c>
      <c r="L347">
        <v>24</v>
      </c>
      <c r="M347">
        <v>0</v>
      </c>
      <c r="N347">
        <v>0</v>
      </c>
      <c r="O347">
        <v>24</v>
      </c>
      <c r="P347" t="s">
        <v>1345</v>
      </c>
      <c r="Q347" t="s">
        <v>1101</v>
      </c>
      <c r="R347" t="s">
        <v>1199</v>
      </c>
      <c r="S347" t="s">
        <v>948</v>
      </c>
      <c r="T347" t="s">
        <v>1102</v>
      </c>
      <c r="U347" t="s">
        <v>1346</v>
      </c>
      <c r="V347" t="s">
        <v>1165</v>
      </c>
      <c r="W347">
        <v>1</v>
      </c>
      <c r="X347">
        <v>24</v>
      </c>
      <c r="Y347" t="s">
        <v>1166</v>
      </c>
      <c r="Z347" t="s">
        <v>1167</v>
      </c>
      <c r="AA347" t="s">
        <v>1347</v>
      </c>
    </row>
    <row r="348" spans="1:27" x14ac:dyDescent="0.3">
      <c r="A348" t="s">
        <v>1583</v>
      </c>
      <c r="B348" t="s">
        <v>1439</v>
      </c>
      <c r="C348" t="s">
        <v>975</v>
      </c>
      <c r="D348" t="s">
        <v>1265</v>
      </c>
      <c r="E348" t="s">
        <v>624</v>
      </c>
      <c r="F348">
        <v>46234</v>
      </c>
      <c r="G348" t="s">
        <v>686</v>
      </c>
      <c r="H348" t="s">
        <v>1159</v>
      </c>
      <c r="I348">
        <v>52551501</v>
      </c>
      <c r="J348" t="s">
        <v>1591</v>
      </c>
      <c r="K348" t="s">
        <v>1592</v>
      </c>
      <c r="L348">
        <v>0</v>
      </c>
      <c r="M348">
        <v>1450.64</v>
      </c>
      <c r="N348">
        <v>0</v>
      </c>
      <c r="O348">
        <v>1450.64</v>
      </c>
      <c r="P348" t="s">
        <v>1593</v>
      </c>
      <c r="Q348" t="s">
        <v>1101</v>
      </c>
      <c r="R348" t="s">
        <v>1199</v>
      </c>
      <c r="S348" t="s">
        <v>948</v>
      </c>
      <c r="T348" t="s">
        <v>1102</v>
      </c>
      <c r="U348" t="s">
        <v>1594</v>
      </c>
      <c r="V348" t="s">
        <v>1165</v>
      </c>
      <c r="W348">
        <v>1</v>
      </c>
      <c r="X348">
        <v>1450.64</v>
      </c>
      <c r="Y348" t="s">
        <v>1166</v>
      </c>
      <c r="Z348" t="s">
        <v>1167</v>
      </c>
      <c r="AA348" t="s">
        <v>1102</v>
      </c>
    </row>
    <row r="349" spans="1:27" x14ac:dyDescent="0.3">
      <c r="A349" t="s">
        <v>1583</v>
      </c>
      <c r="B349" t="s">
        <v>1441</v>
      </c>
      <c r="C349" t="s">
        <v>975</v>
      </c>
      <c r="D349" t="s">
        <v>1265</v>
      </c>
      <c r="E349" t="s">
        <v>624</v>
      </c>
      <c r="F349">
        <v>46234</v>
      </c>
      <c r="G349" t="s">
        <v>686</v>
      </c>
      <c r="H349" t="s">
        <v>1159</v>
      </c>
      <c r="I349">
        <v>52551501</v>
      </c>
      <c r="J349" t="s">
        <v>1591</v>
      </c>
      <c r="K349" t="s">
        <v>1592</v>
      </c>
      <c r="L349">
        <v>5146.2</v>
      </c>
      <c r="M349">
        <v>0</v>
      </c>
      <c r="N349">
        <v>0</v>
      </c>
      <c r="O349">
        <v>5146.2</v>
      </c>
      <c r="P349" t="s">
        <v>1593</v>
      </c>
      <c r="Q349" t="s">
        <v>1101</v>
      </c>
      <c r="R349" t="s">
        <v>1199</v>
      </c>
      <c r="S349" t="s">
        <v>948</v>
      </c>
      <c r="T349" t="s">
        <v>1102</v>
      </c>
      <c r="U349" t="s">
        <v>1594</v>
      </c>
      <c r="V349" t="s">
        <v>1165</v>
      </c>
      <c r="W349">
        <v>1</v>
      </c>
      <c r="X349">
        <v>5146.2</v>
      </c>
      <c r="Y349" t="s">
        <v>1166</v>
      </c>
      <c r="Z349" t="s">
        <v>1167</v>
      </c>
      <c r="AA349" t="s">
        <v>1102</v>
      </c>
    </row>
    <row r="350" spans="1:27" x14ac:dyDescent="0.3">
      <c r="A350" t="s">
        <v>1583</v>
      </c>
      <c r="B350" t="s">
        <v>1443</v>
      </c>
      <c r="C350" t="s">
        <v>975</v>
      </c>
      <c r="D350" t="s">
        <v>1265</v>
      </c>
      <c r="E350" t="s">
        <v>624</v>
      </c>
      <c r="F350">
        <v>46234</v>
      </c>
      <c r="G350" t="s">
        <v>686</v>
      </c>
      <c r="H350" t="s">
        <v>1159</v>
      </c>
      <c r="I350">
        <v>52559502</v>
      </c>
      <c r="J350" t="s">
        <v>1232</v>
      </c>
      <c r="K350" t="s">
        <v>1595</v>
      </c>
      <c r="L350">
        <v>0</v>
      </c>
      <c r="M350">
        <v>50</v>
      </c>
      <c r="N350">
        <v>0</v>
      </c>
      <c r="O350">
        <v>50</v>
      </c>
      <c r="P350" t="s">
        <v>1596</v>
      </c>
      <c r="Q350" t="s">
        <v>1101</v>
      </c>
      <c r="R350" t="s">
        <v>1199</v>
      </c>
      <c r="S350" t="s">
        <v>948</v>
      </c>
      <c r="T350" t="s">
        <v>1102</v>
      </c>
      <c r="U350" t="s">
        <v>1597</v>
      </c>
      <c r="V350" t="s">
        <v>1165</v>
      </c>
      <c r="W350">
        <v>1</v>
      </c>
      <c r="X350">
        <v>50</v>
      </c>
      <c r="Y350" t="s">
        <v>1192</v>
      </c>
      <c r="Z350" t="s">
        <v>1193</v>
      </c>
      <c r="AA350" t="s">
        <v>1598</v>
      </c>
    </row>
    <row r="351" spans="1:27" x14ac:dyDescent="0.3">
      <c r="A351" t="s">
        <v>1583</v>
      </c>
      <c r="B351" t="s">
        <v>1568</v>
      </c>
      <c r="C351" t="s">
        <v>975</v>
      </c>
      <c r="D351" t="s">
        <v>1265</v>
      </c>
      <c r="E351" t="s">
        <v>624</v>
      </c>
      <c r="F351">
        <v>46234</v>
      </c>
      <c r="G351" t="s">
        <v>686</v>
      </c>
      <c r="H351" t="s">
        <v>1159</v>
      </c>
      <c r="I351">
        <v>52559502</v>
      </c>
      <c r="J351" t="s">
        <v>1232</v>
      </c>
      <c r="K351" t="s">
        <v>1595</v>
      </c>
      <c r="L351">
        <v>0</v>
      </c>
      <c r="M351">
        <v>30</v>
      </c>
      <c r="N351">
        <v>0</v>
      </c>
      <c r="O351">
        <v>30</v>
      </c>
      <c r="P351" t="s">
        <v>1596</v>
      </c>
      <c r="Q351" t="s">
        <v>1101</v>
      </c>
      <c r="R351" t="s">
        <v>1199</v>
      </c>
      <c r="S351" t="s">
        <v>948</v>
      </c>
      <c r="T351" t="s">
        <v>1102</v>
      </c>
      <c r="U351" t="s">
        <v>1597</v>
      </c>
      <c r="V351" t="s">
        <v>1165</v>
      </c>
      <c r="W351">
        <v>1</v>
      </c>
      <c r="X351">
        <v>30</v>
      </c>
      <c r="Y351" t="s">
        <v>1192</v>
      </c>
      <c r="Z351" t="s">
        <v>1193</v>
      </c>
      <c r="AA351" t="s">
        <v>1598</v>
      </c>
    </row>
    <row r="352" spans="1:27" x14ac:dyDescent="0.3">
      <c r="A352" t="s">
        <v>1583</v>
      </c>
      <c r="B352" t="s">
        <v>1569</v>
      </c>
      <c r="C352" t="s">
        <v>975</v>
      </c>
      <c r="D352" t="s">
        <v>1265</v>
      </c>
      <c r="E352" t="s">
        <v>624</v>
      </c>
      <c r="F352">
        <v>46234</v>
      </c>
      <c r="G352" t="s">
        <v>686</v>
      </c>
      <c r="H352" t="s">
        <v>1159</v>
      </c>
      <c r="I352">
        <v>52954501</v>
      </c>
      <c r="J352" t="s">
        <v>1360</v>
      </c>
      <c r="K352" t="s">
        <v>1360</v>
      </c>
      <c r="L352">
        <v>78</v>
      </c>
      <c r="M352">
        <v>78</v>
      </c>
      <c r="N352">
        <v>0</v>
      </c>
      <c r="O352">
        <v>156</v>
      </c>
      <c r="P352" t="s">
        <v>1361</v>
      </c>
      <c r="Q352" t="s">
        <v>1103</v>
      </c>
      <c r="R352" t="s">
        <v>1199</v>
      </c>
      <c r="S352" t="s">
        <v>948</v>
      </c>
      <c r="T352" t="s">
        <v>1104</v>
      </c>
      <c r="U352" t="s">
        <v>1362</v>
      </c>
      <c r="V352" t="s">
        <v>1165</v>
      </c>
      <c r="W352">
        <v>1</v>
      </c>
      <c r="X352">
        <v>156</v>
      </c>
      <c r="Y352" t="s">
        <v>1166</v>
      </c>
      <c r="Z352" t="s">
        <v>1167</v>
      </c>
      <c r="AA352" t="s">
        <v>1363</v>
      </c>
    </row>
    <row r="353" spans="1:27" x14ac:dyDescent="0.3">
      <c r="A353" t="s">
        <v>1583</v>
      </c>
      <c r="B353" t="s">
        <v>1453</v>
      </c>
      <c r="C353" t="s">
        <v>975</v>
      </c>
      <c r="D353" t="s">
        <v>1265</v>
      </c>
      <c r="E353" t="s">
        <v>624</v>
      </c>
      <c r="F353">
        <v>46234</v>
      </c>
      <c r="G353" t="s">
        <v>686</v>
      </c>
      <c r="H353" t="s">
        <v>1159</v>
      </c>
      <c r="I353">
        <v>52954501</v>
      </c>
      <c r="J353" t="s">
        <v>1360</v>
      </c>
      <c r="K353" t="s">
        <v>1360</v>
      </c>
      <c r="L353">
        <v>0</v>
      </c>
      <c r="M353">
        <v>389.37</v>
      </c>
      <c r="N353">
        <v>0</v>
      </c>
      <c r="O353">
        <v>389.37</v>
      </c>
      <c r="P353" t="s">
        <v>1361</v>
      </c>
      <c r="Q353" t="s">
        <v>1103</v>
      </c>
      <c r="R353" t="s">
        <v>1199</v>
      </c>
      <c r="S353" t="s">
        <v>948</v>
      </c>
      <c r="T353" t="s">
        <v>1104</v>
      </c>
      <c r="U353" t="s">
        <v>1362</v>
      </c>
      <c r="V353" t="s">
        <v>1165</v>
      </c>
      <c r="W353">
        <v>1</v>
      </c>
      <c r="X353">
        <v>389.37</v>
      </c>
      <c r="Y353" t="s">
        <v>1166</v>
      </c>
      <c r="Z353" t="s">
        <v>1167</v>
      </c>
      <c r="AA353" t="s">
        <v>1363</v>
      </c>
    </row>
    <row r="354" spans="1:27" x14ac:dyDescent="0.3">
      <c r="A354" t="s">
        <v>1583</v>
      </c>
      <c r="B354" t="s">
        <v>1571</v>
      </c>
      <c r="C354" t="s">
        <v>975</v>
      </c>
      <c r="D354" t="s">
        <v>1265</v>
      </c>
      <c r="E354" t="s">
        <v>624</v>
      </c>
      <c r="F354">
        <v>46234</v>
      </c>
      <c r="G354" t="s">
        <v>686</v>
      </c>
      <c r="H354" t="s">
        <v>1159</v>
      </c>
      <c r="I354">
        <v>52959503</v>
      </c>
      <c r="J354" t="s">
        <v>1232</v>
      </c>
      <c r="K354" t="s">
        <v>1599</v>
      </c>
      <c r="L354">
        <v>0</v>
      </c>
      <c r="M354">
        <v>79.900000000000006</v>
      </c>
      <c r="N354">
        <v>0</v>
      </c>
      <c r="O354">
        <v>79.900000000000006</v>
      </c>
      <c r="P354" t="s">
        <v>1366</v>
      </c>
      <c r="Q354" t="s">
        <v>1105</v>
      </c>
      <c r="R354" t="s">
        <v>1199</v>
      </c>
      <c r="S354" t="s">
        <v>948</v>
      </c>
      <c r="T354" t="s">
        <v>1106</v>
      </c>
      <c r="U354" t="s">
        <v>576</v>
      </c>
      <c r="V354" t="s">
        <v>1165</v>
      </c>
      <c r="W354">
        <v>1</v>
      </c>
      <c r="X354">
        <v>79.900000000000006</v>
      </c>
      <c r="Y354" t="s">
        <v>1192</v>
      </c>
      <c r="Z354" t="s">
        <v>1193</v>
      </c>
      <c r="AA354" t="s">
        <v>1367</v>
      </c>
    </row>
    <row r="355" spans="1:27" x14ac:dyDescent="0.3">
      <c r="A355" t="s">
        <v>1583</v>
      </c>
      <c r="B355" t="s">
        <v>1455</v>
      </c>
      <c r="C355" t="s">
        <v>975</v>
      </c>
      <c r="D355" t="s">
        <v>1265</v>
      </c>
      <c r="E355" t="s">
        <v>624</v>
      </c>
      <c r="F355">
        <v>46234</v>
      </c>
      <c r="G355" t="s">
        <v>686</v>
      </c>
      <c r="H355" t="s">
        <v>1159</v>
      </c>
      <c r="I355">
        <v>52959503</v>
      </c>
      <c r="J355" t="s">
        <v>1232</v>
      </c>
      <c r="K355" t="s">
        <v>1599</v>
      </c>
      <c r="L355">
        <v>0</v>
      </c>
      <c r="M355">
        <v>40.619999999999997</v>
      </c>
      <c r="N355">
        <v>0</v>
      </c>
      <c r="O355">
        <v>40.619999999999997</v>
      </c>
      <c r="P355" t="s">
        <v>1366</v>
      </c>
      <c r="Q355" t="s">
        <v>1105</v>
      </c>
      <c r="R355" t="s">
        <v>1199</v>
      </c>
      <c r="S355" t="s">
        <v>948</v>
      </c>
      <c r="T355" t="s">
        <v>1106</v>
      </c>
      <c r="U355" t="s">
        <v>576</v>
      </c>
      <c r="V355" t="s">
        <v>1165</v>
      </c>
      <c r="W355">
        <v>1</v>
      </c>
      <c r="X355">
        <v>40.619999999999997</v>
      </c>
      <c r="Y355" t="s">
        <v>1192</v>
      </c>
      <c r="Z355" t="s">
        <v>1193</v>
      </c>
      <c r="AA355" t="s">
        <v>1367</v>
      </c>
    </row>
    <row r="356" spans="1:27" x14ac:dyDescent="0.3">
      <c r="A356" t="s">
        <v>1583</v>
      </c>
      <c r="B356" t="s">
        <v>1600</v>
      </c>
      <c r="C356" t="s">
        <v>975</v>
      </c>
      <c r="D356" t="s">
        <v>1265</v>
      </c>
      <c r="E356" t="s">
        <v>624</v>
      </c>
      <c r="F356">
        <v>46234</v>
      </c>
      <c r="G356" t="s">
        <v>686</v>
      </c>
      <c r="H356" t="s">
        <v>1159</v>
      </c>
      <c r="I356">
        <v>52959504</v>
      </c>
      <c r="J356" t="s">
        <v>1232</v>
      </c>
      <c r="K356" t="s">
        <v>1601</v>
      </c>
      <c r="L356">
        <v>0</v>
      </c>
      <c r="M356">
        <v>3954</v>
      </c>
      <c r="N356">
        <v>0</v>
      </c>
      <c r="O356">
        <v>3954</v>
      </c>
      <c r="P356" t="s">
        <v>1366</v>
      </c>
      <c r="Q356" t="s">
        <v>1105</v>
      </c>
      <c r="R356" t="s">
        <v>1199</v>
      </c>
      <c r="S356" t="s">
        <v>948</v>
      </c>
      <c r="T356" t="s">
        <v>1106</v>
      </c>
      <c r="U356" t="s">
        <v>576</v>
      </c>
      <c r="V356" t="s">
        <v>1165</v>
      </c>
      <c r="W356">
        <v>1</v>
      </c>
      <c r="X356">
        <v>3954</v>
      </c>
      <c r="Y356" t="s">
        <v>1192</v>
      </c>
      <c r="Z356" t="s">
        <v>1193</v>
      </c>
      <c r="AA356" t="s">
        <v>1367</v>
      </c>
    </row>
    <row r="357" spans="1:27" x14ac:dyDescent="0.3">
      <c r="A357" t="s">
        <v>1583</v>
      </c>
      <c r="B357" t="s">
        <v>1580</v>
      </c>
      <c r="C357" t="s">
        <v>975</v>
      </c>
      <c r="D357" t="s">
        <v>1265</v>
      </c>
      <c r="E357" t="s">
        <v>624</v>
      </c>
      <c r="F357">
        <v>46234</v>
      </c>
      <c r="G357" t="s">
        <v>686</v>
      </c>
      <c r="H357" t="s">
        <v>1159</v>
      </c>
      <c r="I357">
        <v>52959505</v>
      </c>
      <c r="J357" t="s">
        <v>1232</v>
      </c>
      <c r="K357" t="s">
        <v>1365</v>
      </c>
      <c r="L357">
        <v>1.9</v>
      </c>
      <c r="M357">
        <v>0</v>
      </c>
      <c r="N357">
        <v>0</v>
      </c>
      <c r="O357">
        <v>1.9</v>
      </c>
      <c r="P357" t="s">
        <v>1366</v>
      </c>
      <c r="Q357" t="s">
        <v>1105</v>
      </c>
      <c r="R357" t="s">
        <v>1199</v>
      </c>
      <c r="S357" t="s">
        <v>948</v>
      </c>
      <c r="T357" t="s">
        <v>1106</v>
      </c>
      <c r="U357" t="s">
        <v>576</v>
      </c>
      <c r="V357" t="s">
        <v>1165</v>
      </c>
      <c r="W357">
        <v>1</v>
      </c>
      <c r="X357">
        <v>1.9</v>
      </c>
      <c r="Y357" t="s">
        <v>1192</v>
      </c>
      <c r="Z357" t="s">
        <v>1193</v>
      </c>
      <c r="AA357" t="s">
        <v>1367</v>
      </c>
    </row>
    <row r="358" spans="1:27" x14ac:dyDescent="0.3">
      <c r="A358" t="s">
        <v>1583</v>
      </c>
      <c r="B358" t="s">
        <v>1461</v>
      </c>
      <c r="C358" t="s">
        <v>975</v>
      </c>
      <c r="D358" t="s">
        <v>1265</v>
      </c>
      <c r="E358" t="s">
        <v>624</v>
      </c>
      <c r="F358">
        <v>46234</v>
      </c>
      <c r="G358" t="s">
        <v>686</v>
      </c>
      <c r="H358" t="s">
        <v>1159</v>
      </c>
      <c r="I358">
        <v>53050501</v>
      </c>
      <c r="J358" t="s">
        <v>1258</v>
      </c>
      <c r="K358" t="s">
        <v>1258</v>
      </c>
      <c r="L358">
        <v>227.16</v>
      </c>
      <c r="M358">
        <v>233.65</v>
      </c>
      <c r="N358">
        <v>0</v>
      </c>
      <c r="O358">
        <v>460.81</v>
      </c>
      <c r="P358" t="s">
        <v>1260</v>
      </c>
      <c r="Q358" t="s">
        <v>1123</v>
      </c>
      <c r="R358" t="s">
        <v>1199</v>
      </c>
      <c r="S358" t="s">
        <v>717</v>
      </c>
      <c r="T358" t="s">
        <v>717</v>
      </c>
      <c r="U358" t="s">
        <v>1261</v>
      </c>
      <c r="V358" t="s">
        <v>1165</v>
      </c>
      <c r="W358">
        <v>1</v>
      </c>
      <c r="X358">
        <v>460.81</v>
      </c>
      <c r="Y358" t="s">
        <v>1166</v>
      </c>
      <c r="Z358" t="s">
        <v>1167</v>
      </c>
      <c r="AA358" t="s">
        <v>1262</v>
      </c>
    </row>
    <row r="359" spans="1:27" x14ac:dyDescent="0.3">
      <c r="A359" t="s">
        <v>1583</v>
      </c>
      <c r="B359" t="s">
        <v>1463</v>
      </c>
      <c r="C359" t="s">
        <v>975</v>
      </c>
      <c r="D359" t="s">
        <v>1265</v>
      </c>
      <c r="E359" t="s">
        <v>624</v>
      </c>
      <c r="F359">
        <v>46234</v>
      </c>
      <c r="G359" t="s">
        <v>686</v>
      </c>
      <c r="H359" t="s">
        <v>1159</v>
      </c>
      <c r="I359">
        <v>53050501</v>
      </c>
      <c r="J359" t="s">
        <v>1258</v>
      </c>
      <c r="K359" t="s">
        <v>1258</v>
      </c>
      <c r="L359">
        <v>4.29</v>
      </c>
      <c r="M359">
        <v>0</v>
      </c>
      <c r="N359">
        <v>0</v>
      </c>
      <c r="O359">
        <v>4.29</v>
      </c>
      <c r="P359" t="s">
        <v>1260</v>
      </c>
      <c r="Q359" t="s">
        <v>1123</v>
      </c>
      <c r="R359" t="s">
        <v>1199</v>
      </c>
      <c r="S359" t="s">
        <v>717</v>
      </c>
      <c r="T359" t="s">
        <v>717</v>
      </c>
      <c r="U359" t="s">
        <v>1261</v>
      </c>
      <c r="V359" t="s">
        <v>1165</v>
      </c>
      <c r="W359">
        <v>1</v>
      </c>
      <c r="X359">
        <v>4.29</v>
      </c>
      <c r="Y359" t="s">
        <v>1166</v>
      </c>
      <c r="Z359" t="s">
        <v>1167</v>
      </c>
      <c r="AA359" t="s">
        <v>1262</v>
      </c>
    </row>
    <row r="360" spans="1:27" x14ac:dyDescent="0.3">
      <c r="A360" t="s">
        <v>1583</v>
      </c>
      <c r="B360" t="s">
        <v>1465</v>
      </c>
      <c r="C360" t="s">
        <v>975</v>
      </c>
      <c r="D360" t="s">
        <v>1265</v>
      </c>
      <c r="E360" t="s">
        <v>624</v>
      </c>
      <c r="F360">
        <v>46234</v>
      </c>
      <c r="G360" t="s">
        <v>686</v>
      </c>
      <c r="H360" t="s">
        <v>1159</v>
      </c>
      <c r="I360">
        <v>53050501</v>
      </c>
      <c r="J360" t="s">
        <v>1258</v>
      </c>
      <c r="K360" t="s">
        <v>1258</v>
      </c>
      <c r="L360">
        <v>172.1</v>
      </c>
      <c r="M360">
        <v>0</v>
      </c>
      <c r="N360">
        <v>0</v>
      </c>
      <c r="O360">
        <v>172.1</v>
      </c>
      <c r="P360" t="s">
        <v>1260</v>
      </c>
      <c r="Q360" t="s">
        <v>1123</v>
      </c>
      <c r="R360" t="s">
        <v>1199</v>
      </c>
      <c r="S360" t="s">
        <v>717</v>
      </c>
      <c r="T360" t="s">
        <v>717</v>
      </c>
      <c r="U360" t="s">
        <v>1261</v>
      </c>
      <c r="V360" t="s">
        <v>1165</v>
      </c>
      <c r="W360">
        <v>1</v>
      </c>
      <c r="X360">
        <v>172.1</v>
      </c>
      <c r="Y360" t="s">
        <v>1166</v>
      </c>
      <c r="Z360" t="s">
        <v>1167</v>
      </c>
      <c r="AA360" t="s">
        <v>1262</v>
      </c>
    </row>
    <row r="361" spans="1:27" x14ac:dyDescent="0.3">
      <c r="A361" t="s">
        <v>1583</v>
      </c>
      <c r="B361" t="s">
        <v>1581</v>
      </c>
      <c r="C361" t="s">
        <v>975</v>
      </c>
      <c r="D361" t="s">
        <v>1265</v>
      </c>
      <c r="E361" t="s">
        <v>624</v>
      </c>
      <c r="F361">
        <v>46234</v>
      </c>
      <c r="G361" t="s">
        <v>686</v>
      </c>
      <c r="H361" t="s">
        <v>1159</v>
      </c>
      <c r="I361">
        <v>53050503</v>
      </c>
      <c r="J361" t="s">
        <v>1258</v>
      </c>
      <c r="K361" t="s">
        <v>573</v>
      </c>
      <c r="L361">
        <v>7.4</v>
      </c>
      <c r="M361">
        <v>0.5</v>
      </c>
      <c r="N361">
        <v>0</v>
      </c>
      <c r="O361">
        <v>7.9</v>
      </c>
      <c r="P361" t="s">
        <v>1260</v>
      </c>
      <c r="Q361" t="s">
        <v>1123</v>
      </c>
      <c r="R361" t="s">
        <v>1199</v>
      </c>
      <c r="S361" t="s">
        <v>717</v>
      </c>
      <c r="T361" t="s">
        <v>717</v>
      </c>
      <c r="U361" t="s">
        <v>1261</v>
      </c>
      <c r="V361" t="s">
        <v>1165</v>
      </c>
      <c r="W361">
        <v>1</v>
      </c>
      <c r="X361">
        <v>7.9</v>
      </c>
      <c r="Y361" t="s">
        <v>1166</v>
      </c>
      <c r="Z361" t="s">
        <v>1167</v>
      </c>
      <c r="AA361" t="s">
        <v>1262</v>
      </c>
    </row>
    <row r="362" spans="1:27" x14ac:dyDescent="0.3">
      <c r="A362" t="s">
        <v>1583</v>
      </c>
      <c r="B362" t="s">
        <v>1467</v>
      </c>
      <c r="C362" t="s">
        <v>975</v>
      </c>
      <c r="D362" t="s">
        <v>1265</v>
      </c>
      <c r="E362" t="s">
        <v>624</v>
      </c>
      <c r="F362">
        <v>46234</v>
      </c>
      <c r="G362" t="s">
        <v>686</v>
      </c>
      <c r="H362" t="s">
        <v>1159</v>
      </c>
      <c r="I362">
        <v>53050504</v>
      </c>
      <c r="J362" t="s">
        <v>1258</v>
      </c>
      <c r="K362" t="s">
        <v>1371</v>
      </c>
      <c r="L362">
        <v>441.87</v>
      </c>
      <c r="M362">
        <v>80</v>
      </c>
      <c r="N362">
        <v>0</v>
      </c>
      <c r="O362">
        <v>521.87</v>
      </c>
      <c r="P362" t="s">
        <v>1260</v>
      </c>
      <c r="Q362" t="s">
        <v>1123</v>
      </c>
      <c r="R362" t="s">
        <v>1199</v>
      </c>
      <c r="S362" t="s">
        <v>717</v>
      </c>
      <c r="T362" t="s">
        <v>717</v>
      </c>
      <c r="U362" t="s">
        <v>1261</v>
      </c>
      <c r="V362" t="s">
        <v>1165</v>
      </c>
      <c r="W362">
        <v>1</v>
      </c>
      <c r="X362">
        <v>521.87</v>
      </c>
      <c r="Y362" t="s">
        <v>1166</v>
      </c>
      <c r="Z362" t="s">
        <v>1167</v>
      </c>
      <c r="AA362" t="s">
        <v>1262</v>
      </c>
    </row>
    <row r="363" spans="1:27" x14ac:dyDescent="0.3">
      <c r="A363" t="s">
        <v>1583</v>
      </c>
      <c r="B363" t="s">
        <v>1473</v>
      </c>
      <c r="C363" t="s">
        <v>975</v>
      </c>
      <c r="D363" t="s">
        <v>1265</v>
      </c>
      <c r="E363" t="s">
        <v>624</v>
      </c>
      <c r="F363">
        <v>46234</v>
      </c>
      <c r="G363" t="s">
        <v>686</v>
      </c>
      <c r="H363" t="s">
        <v>1159</v>
      </c>
      <c r="I363">
        <v>53051501</v>
      </c>
      <c r="J363" t="s">
        <v>1544</v>
      </c>
      <c r="K363" t="s">
        <v>1602</v>
      </c>
      <c r="L363">
        <v>4.29</v>
      </c>
      <c r="M363">
        <v>0</v>
      </c>
      <c r="N363">
        <v>0</v>
      </c>
      <c r="O363">
        <v>4.29</v>
      </c>
      <c r="P363" t="s">
        <v>1546</v>
      </c>
      <c r="Q363" t="s">
        <v>1123</v>
      </c>
      <c r="R363" t="s">
        <v>1199</v>
      </c>
      <c r="S363" t="s">
        <v>717</v>
      </c>
      <c r="T363" t="s">
        <v>717</v>
      </c>
      <c r="U363" t="s">
        <v>1547</v>
      </c>
      <c r="V363" t="s">
        <v>1165</v>
      </c>
      <c r="W363">
        <v>1</v>
      </c>
      <c r="X363">
        <v>4.29</v>
      </c>
      <c r="Y363" t="s">
        <v>1166</v>
      </c>
      <c r="Z363" t="s">
        <v>1167</v>
      </c>
      <c r="AA363" t="s">
        <v>1548</v>
      </c>
    </row>
    <row r="364" spans="1:27" x14ac:dyDescent="0.3">
      <c r="A364" t="s">
        <v>1583</v>
      </c>
      <c r="B364" t="s">
        <v>1572</v>
      </c>
      <c r="C364" t="s">
        <v>975</v>
      </c>
      <c r="D364" t="s">
        <v>1265</v>
      </c>
      <c r="E364" t="s">
        <v>624</v>
      </c>
      <c r="F364">
        <v>46234</v>
      </c>
      <c r="G364" t="s">
        <v>686</v>
      </c>
      <c r="H364" t="s">
        <v>1159</v>
      </c>
      <c r="I364">
        <v>53051501</v>
      </c>
      <c r="J364" t="s">
        <v>1544</v>
      </c>
      <c r="K364" t="s">
        <v>1602</v>
      </c>
      <c r="L364">
        <v>-4.29</v>
      </c>
      <c r="M364">
        <v>0</v>
      </c>
      <c r="N364">
        <v>0</v>
      </c>
      <c r="O364">
        <v>-4.29</v>
      </c>
      <c r="P364" t="s">
        <v>1546</v>
      </c>
      <c r="Q364" t="s">
        <v>1123</v>
      </c>
      <c r="R364" t="s">
        <v>1199</v>
      </c>
      <c r="S364" t="s">
        <v>717</v>
      </c>
      <c r="T364" t="s">
        <v>717</v>
      </c>
      <c r="U364" t="s">
        <v>1547</v>
      </c>
      <c r="V364" t="s">
        <v>1165</v>
      </c>
      <c r="W364">
        <v>1</v>
      </c>
      <c r="X364">
        <v>-4.29</v>
      </c>
      <c r="Y364" t="s">
        <v>1166</v>
      </c>
      <c r="Z364" t="s">
        <v>1167</v>
      </c>
      <c r="AA364" t="s">
        <v>1548</v>
      </c>
    </row>
    <row r="365" spans="1:27" x14ac:dyDescent="0.3">
      <c r="A365" t="s">
        <v>1603</v>
      </c>
      <c r="B365" t="s">
        <v>1158</v>
      </c>
      <c r="C365" t="s">
        <v>974</v>
      </c>
      <c r="D365" t="s">
        <v>1373</v>
      </c>
      <c r="E365" t="s">
        <v>624</v>
      </c>
      <c r="F365">
        <v>46234</v>
      </c>
      <c r="G365" t="s">
        <v>496</v>
      </c>
      <c r="H365" t="s">
        <v>1159</v>
      </c>
      <c r="I365">
        <v>11100501</v>
      </c>
      <c r="J365" t="s">
        <v>1160</v>
      </c>
      <c r="L365">
        <v>256189.09</v>
      </c>
      <c r="M365">
        <v>5513</v>
      </c>
      <c r="N365">
        <v>0</v>
      </c>
      <c r="O365">
        <v>261702.09</v>
      </c>
      <c r="P365" t="s">
        <v>1161</v>
      </c>
      <c r="Q365" t="s">
        <v>980</v>
      </c>
      <c r="R365" t="s">
        <v>1162</v>
      </c>
      <c r="S365" t="s">
        <v>1163</v>
      </c>
      <c r="T365" t="s">
        <v>926</v>
      </c>
      <c r="U365" t="s">
        <v>1164</v>
      </c>
      <c r="V365" t="s">
        <v>1165</v>
      </c>
      <c r="W365">
        <v>1</v>
      </c>
      <c r="X365">
        <v>261702.09</v>
      </c>
      <c r="Y365" t="s">
        <v>1166</v>
      </c>
      <c r="Z365" t="s">
        <v>1167</v>
      </c>
      <c r="AA365" t="s">
        <v>1168</v>
      </c>
    </row>
    <row r="366" spans="1:27" x14ac:dyDescent="0.3">
      <c r="A366" t="s">
        <v>1603</v>
      </c>
      <c r="B366" t="s">
        <v>1374</v>
      </c>
      <c r="C366" t="s">
        <v>974</v>
      </c>
      <c r="D366" t="s">
        <v>1373</v>
      </c>
      <c r="E366" t="s">
        <v>624</v>
      </c>
      <c r="F366">
        <v>46234</v>
      </c>
      <c r="G366" t="s">
        <v>496</v>
      </c>
      <c r="H366" t="s">
        <v>1159</v>
      </c>
      <c r="I366">
        <v>11100502</v>
      </c>
      <c r="J366" t="s">
        <v>1160</v>
      </c>
      <c r="L366">
        <v>21461.96</v>
      </c>
      <c r="M366">
        <v>153.85</v>
      </c>
      <c r="N366">
        <v>6794.63</v>
      </c>
      <c r="O366">
        <v>14821.18</v>
      </c>
      <c r="P366" t="s">
        <v>1161</v>
      </c>
      <c r="Q366" t="s">
        <v>980</v>
      </c>
      <c r="R366" t="s">
        <v>1162</v>
      </c>
      <c r="S366" t="s">
        <v>1163</v>
      </c>
      <c r="T366" t="s">
        <v>926</v>
      </c>
      <c r="U366" t="s">
        <v>1164</v>
      </c>
      <c r="V366" t="s">
        <v>1165</v>
      </c>
      <c r="W366">
        <v>1</v>
      </c>
      <c r="X366">
        <v>14821.18</v>
      </c>
      <c r="Y366" t="s">
        <v>1166</v>
      </c>
      <c r="Z366" t="s">
        <v>1167</v>
      </c>
      <c r="AA366" t="s">
        <v>1168</v>
      </c>
    </row>
    <row r="367" spans="1:27" x14ac:dyDescent="0.3">
      <c r="A367" t="s">
        <v>1603</v>
      </c>
      <c r="B367" t="s">
        <v>1267</v>
      </c>
      <c r="C367" t="s">
        <v>974</v>
      </c>
      <c r="D367" t="s">
        <v>1373</v>
      </c>
      <c r="E367" t="s">
        <v>624</v>
      </c>
      <c r="F367">
        <v>46234</v>
      </c>
      <c r="G367" t="s">
        <v>496</v>
      </c>
      <c r="H367" t="s">
        <v>1159</v>
      </c>
      <c r="I367">
        <v>11100503</v>
      </c>
      <c r="J367" t="s">
        <v>1160</v>
      </c>
      <c r="L367">
        <v>36808.33</v>
      </c>
      <c r="M367">
        <v>0.03</v>
      </c>
      <c r="N367">
        <v>11000</v>
      </c>
      <c r="O367">
        <v>25808.36</v>
      </c>
      <c r="P367" t="s">
        <v>1161</v>
      </c>
      <c r="Q367" t="s">
        <v>980</v>
      </c>
      <c r="R367" t="s">
        <v>1162</v>
      </c>
      <c r="S367" t="s">
        <v>1163</v>
      </c>
      <c r="T367" t="s">
        <v>926</v>
      </c>
      <c r="U367" t="s">
        <v>1164</v>
      </c>
      <c r="V367" t="s">
        <v>1165</v>
      </c>
      <c r="W367">
        <v>1</v>
      </c>
      <c r="X367">
        <v>25808.36</v>
      </c>
      <c r="Y367" t="s">
        <v>1166</v>
      </c>
      <c r="Z367" t="s">
        <v>1167</v>
      </c>
      <c r="AA367" t="s">
        <v>1168</v>
      </c>
    </row>
    <row r="368" spans="1:27" x14ac:dyDescent="0.3">
      <c r="A368" t="s">
        <v>1603</v>
      </c>
      <c r="B368" t="s">
        <v>1375</v>
      </c>
      <c r="C368" t="s">
        <v>974</v>
      </c>
      <c r="D368" t="s">
        <v>1373</v>
      </c>
      <c r="E368" t="s">
        <v>624</v>
      </c>
      <c r="F368">
        <v>46234</v>
      </c>
      <c r="G368" t="s">
        <v>496</v>
      </c>
      <c r="H368" t="s">
        <v>1159</v>
      </c>
      <c r="I368">
        <v>13050501</v>
      </c>
      <c r="J368" t="s">
        <v>1273</v>
      </c>
      <c r="K368" t="s">
        <v>1376</v>
      </c>
      <c r="L368">
        <v>5513.35</v>
      </c>
      <c r="M368">
        <v>5862</v>
      </c>
      <c r="N368">
        <v>5513</v>
      </c>
      <c r="O368">
        <v>5862.35</v>
      </c>
      <c r="P368" t="s">
        <v>1275</v>
      </c>
      <c r="Q368" t="s">
        <v>983</v>
      </c>
      <c r="R368" t="s">
        <v>1162</v>
      </c>
      <c r="S368" t="s">
        <v>1163</v>
      </c>
      <c r="T368" t="s">
        <v>984</v>
      </c>
      <c r="U368" t="s">
        <v>1276</v>
      </c>
      <c r="V368" t="s">
        <v>1165</v>
      </c>
      <c r="W368">
        <v>1</v>
      </c>
      <c r="X368">
        <v>5862.35</v>
      </c>
      <c r="Y368" t="s">
        <v>1166</v>
      </c>
      <c r="Z368" t="s">
        <v>1167</v>
      </c>
      <c r="AA368" t="s">
        <v>1277</v>
      </c>
    </row>
    <row r="369" spans="1:27" x14ac:dyDescent="0.3">
      <c r="A369" t="s">
        <v>1603</v>
      </c>
      <c r="B369" t="s">
        <v>1377</v>
      </c>
      <c r="C369" t="s">
        <v>974</v>
      </c>
      <c r="D369" t="s">
        <v>1373</v>
      </c>
      <c r="E369" t="s">
        <v>624</v>
      </c>
      <c r="F369">
        <v>46234</v>
      </c>
      <c r="G369" t="s">
        <v>496</v>
      </c>
      <c r="H369" t="s">
        <v>1159</v>
      </c>
      <c r="I369">
        <v>13050501</v>
      </c>
      <c r="J369" t="s">
        <v>1273</v>
      </c>
      <c r="K369" t="s">
        <v>1378</v>
      </c>
      <c r="L369">
        <v>83</v>
      </c>
      <c r="M369">
        <v>0</v>
      </c>
      <c r="N369">
        <v>300</v>
      </c>
      <c r="O369">
        <v>-217</v>
      </c>
      <c r="P369" t="s">
        <v>1275</v>
      </c>
      <c r="Q369" t="s">
        <v>983</v>
      </c>
      <c r="R369" t="s">
        <v>1162</v>
      </c>
      <c r="S369" t="s">
        <v>1163</v>
      </c>
      <c r="T369" t="s">
        <v>984</v>
      </c>
      <c r="U369" t="s">
        <v>1276</v>
      </c>
      <c r="V369" t="s">
        <v>1165</v>
      </c>
      <c r="W369">
        <v>1</v>
      </c>
      <c r="X369">
        <v>-217</v>
      </c>
      <c r="Y369" t="s">
        <v>1166</v>
      </c>
      <c r="Z369" t="s">
        <v>1167</v>
      </c>
      <c r="AA369" t="s">
        <v>1277</v>
      </c>
    </row>
    <row r="370" spans="1:27" x14ac:dyDescent="0.3">
      <c r="A370" t="s">
        <v>1603</v>
      </c>
      <c r="B370" t="s">
        <v>1278</v>
      </c>
      <c r="C370" t="s">
        <v>974</v>
      </c>
      <c r="D370" t="s">
        <v>1373</v>
      </c>
      <c r="E370" t="s">
        <v>624</v>
      </c>
      <c r="F370">
        <v>46234</v>
      </c>
      <c r="G370" t="s">
        <v>496</v>
      </c>
      <c r="H370" t="s">
        <v>1159</v>
      </c>
      <c r="I370">
        <v>13050501</v>
      </c>
      <c r="J370" t="s">
        <v>1273</v>
      </c>
      <c r="K370" t="s">
        <v>1379</v>
      </c>
      <c r="L370">
        <v>217</v>
      </c>
      <c r="M370">
        <v>0</v>
      </c>
      <c r="N370">
        <v>0</v>
      </c>
      <c r="O370">
        <v>217</v>
      </c>
      <c r="P370" t="s">
        <v>1275</v>
      </c>
      <c r="Q370" t="s">
        <v>983</v>
      </c>
      <c r="R370" t="s">
        <v>1162</v>
      </c>
      <c r="S370" t="s">
        <v>1163</v>
      </c>
      <c r="T370" t="s">
        <v>984</v>
      </c>
      <c r="U370" t="s">
        <v>1276</v>
      </c>
      <c r="V370" t="s">
        <v>1165</v>
      </c>
      <c r="W370">
        <v>1</v>
      </c>
      <c r="X370">
        <v>217</v>
      </c>
      <c r="Y370" t="s">
        <v>1166</v>
      </c>
      <c r="Z370" t="s">
        <v>1167</v>
      </c>
      <c r="AA370" t="s">
        <v>1277</v>
      </c>
    </row>
    <row r="371" spans="1:27" x14ac:dyDescent="0.3">
      <c r="A371" t="s">
        <v>1603</v>
      </c>
      <c r="B371" t="s">
        <v>1380</v>
      </c>
      <c r="C371" t="s">
        <v>974</v>
      </c>
      <c r="D371" t="s">
        <v>1373</v>
      </c>
      <c r="E371" t="s">
        <v>624</v>
      </c>
      <c r="F371">
        <v>46234</v>
      </c>
      <c r="G371" t="s">
        <v>496</v>
      </c>
      <c r="H371" t="s">
        <v>1159</v>
      </c>
      <c r="I371">
        <v>13050501</v>
      </c>
      <c r="J371" t="s">
        <v>1273</v>
      </c>
      <c r="K371" t="s">
        <v>1381</v>
      </c>
      <c r="L371">
        <v>96.45</v>
      </c>
      <c r="M371">
        <v>96.45</v>
      </c>
      <c r="N371">
        <v>96.45</v>
      </c>
      <c r="O371">
        <v>96.45</v>
      </c>
      <c r="P371" t="s">
        <v>1275</v>
      </c>
      <c r="Q371" t="s">
        <v>983</v>
      </c>
      <c r="R371" t="s">
        <v>1162</v>
      </c>
      <c r="S371" t="s">
        <v>1163</v>
      </c>
      <c r="T371" t="s">
        <v>984</v>
      </c>
      <c r="U371" t="s">
        <v>1276</v>
      </c>
      <c r="V371" t="s">
        <v>1165</v>
      </c>
      <c r="W371">
        <v>1</v>
      </c>
      <c r="X371">
        <v>96.45</v>
      </c>
      <c r="Y371" t="s">
        <v>1166</v>
      </c>
      <c r="Z371" t="s">
        <v>1167</v>
      </c>
      <c r="AA371" t="s">
        <v>1277</v>
      </c>
    </row>
    <row r="372" spans="1:27" x14ac:dyDescent="0.3">
      <c r="A372" t="s">
        <v>1603</v>
      </c>
      <c r="B372" t="s">
        <v>1177</v>
      </c>
      <c r="C372" t="s">
        <v>974</v>
      </c>
      <c r="D372" t="s">
        <v>1373</v>
      </c>
      <c r="E372" t="s">
        <v>624</v>
      </c>
      <c r="F372">
        <v>46234</v>
      </c>
      <c r="G372" t="s">
        <v>496</v>
      </c>
      <c r="H372" t="s">
        <v>1159</v>
      </c>
      <c r="I372">
        <v>13050501</v>
      </c>
      <c r="J372" t="s">
        <v>1273</v>
      </c>
      <c r="K372" t="s">
        <v>1382</v>
      </c>
      <c r="L372">
        <v>110</v>
      </c>
      <c r="M372">
        <v>55</v>
      </c>
      <c r="N372">
        <v>55</v>
      </c>
      <c r="O372">
        <v>110</v>
      </c>
      <c r="P372" t="s">
        <v>1275</v>
      </c>
      <c r="Q372" t="s">
        <v>983</v>
      </c>
      <c r="R372" t="s">
        <v>1162</v>
      </c>
      <c r="S372" t="s">
        <v>1163</v>
      </c>
      <c r="T372" t="s">
        <v>984</v>
      </c>
      <c r="U372" t="s">
        <v>1276</v>
      </c>
      <c r="V372" t="s">
        <v>1165</v>
      </c>
      <c r="W372">
        <v>1</v>
      </c>
      <c r="X372">
        <v>110</v>
      </c>
      <c r="Y372" t="s">
        <v>1166</v>
      </c>
      <c r="Z372" t="s">
        <v>1167</v>
      </c>
      <c r="AA372" t="s">
        <v>1277</v>
      </c>
    </row>
    <row r="373" spans="1:27" x14ac:dyDescent="0.3">
      <c r="A373" t="s">
        <v>1603</v>
      </c>
      <c r="B373" t="s">
        <v>1183</v>
      </c>
      <c r="C373" t="s">
        <v>974</v>
      </c>
      <c r="D373" t="s">
        <v>1373</v>
      </c>
      <c r="E373" t="s">
        <v>624</v>
      </c>
      <c r="F373">
        <v>46234</v>
      </c>
      <c r="G373" t="s">
        <v>496</v>
      </c>
      <c r="H373" t="s">
        <v>1159</v>
      </c>
      <c r="I373">
        <v>13309501</v>
      </c>
      <c r="J373" t="s">
        <v>1232</v>
      </c>
      <c r="K373" t="s">
        <v>1378</v>
      </c>
      <c r="L373">
        <v>-300</v>
      </c>
      <c r="M373">
        <v>300</v>
      </c>
      <c r="N373">
        <v>0</v>
      </c>
      <c r="O373">
        <v>0</v>
      </c>
      <c r="P373" t="s">
        <v>1383</v>
      </c>
      <c r="Q373" t="s">
        <v>985</v>
      </c>
      <c r="R373" t="s">
        <v>1162</v>
      </c>
      <c r="S373" t="s">
        <v>1163</v>
      </c>
      <c r="T373" t="s">
        <v>986</v>
      </c>
      <c r="U373" t="s">
        <v>1384</v>
      </c>
      <c r="V373" t="s">
        <v>1165</v>
      </c>
      <c r="W373">
        <v>1</v>
      </c>
      <c r="Y373" t="s">
        <v>1192</v>
      </c>
      <c r="Z373" t="s">
        <v>1193</v>
      </c>
      <c r="AA373" t="s">
        <v>1385</v>
      </c>
    </row>
    <row r="374" spans="1:27" x14ac:dyDescent="0.3">
      <c r="A374" t="s">
        <v>1603</v>
      </c>
      <c r="B374" t="s">
        <v>1294</v>
      </c>
      <c r="C374" t="s">
        <v>974</v>
      </c>
      <c r="D374" t="s">
        <v>1373</v>
      </c>
      <c r="E374" t="s">
        <v>624</v>
      </c>
      <c r="F374">
        <v>46234</v>
      </c>
      <c r="G374" t="s">
        <v>496</v>
      </c>
      <c r="H374" t="s">
        <v>1159</v>
      </c>
      <c r="I374">
        <v>13802001</v>
      </c>
      <c r="J374" t="s">
        <v>1386</v>
      </c>
      <c r="K374" t="s">
        <v>1604</v>
      </c>
      <c r="L374">
        <v>0</v>
      </c>
      <c r="M374">
        <v>3000</v>
      </c>
      <c r="N374">
        <v>0</v>
      </c>
      <c r="O374">
        <v>3000</v>
      </c>
      <c r="P374" t="s">
        <v>1388</v>
      </c>
      <c r="Q374" t="s">
        <v>989</v>
      </c>
      <c r="R374" t="s">
        <v>1162</v>
      </c>
      <c r="S374" t="s">
        <v>1163</v>
      </c>
      <c r="T374" t="s">
        <v>990</v>
      </c>
      <c r="U374" t="s">
        <v>1389</v>
      </c>
      <c r="V374" t="s">
        <v>1165</v>
      </c>
      <c r="W374">
        <v>1</v>
      </c>
      <c r="X374">
        <v>3000</v>
      </c>
      <c r="Y374" t="s">
        <v>1166</v>
      </c>
      <c r="Z374" t="s">
        <v>1193</v>
      </c>
      <c r="AA374" t="s">
        <v>1390</v>
      </c>
    </row>
    <row r="375" spans="1:27" x14ac:dyDescent="0.3">
      <c r="A375" t="s">
        <v>1603</v>
      </c>
      <c r="B375" t="s">
        <v>1188</v>
      </c>
      <c r="C375" t="s">
        <v>974</v>
      </c>
      <c r="D375" t="s">
        <v>1373</v>
      </c>
      <c r="E375" t="s">
        <v>624</v>
      </c>
      <c r="F375">
        <v>46234</v>
      </c>
      <c r="G375" t="s">
        <v>496</v>
      </c>
      <c r="H375" t="s">
        <v>1159</v>
      </c>
      <c r="I375">
        <v>13802001</v>
      </c>
      <c r="J375" t="s">
        <v>1386</v>
      </c>
      <c r="K375" t="s">
        <v>1387</v>
      </c>
      <c r="L375">
        <v>4300</v>
      </c>
      <c r="M375">
        <v>0</v>
      </c>
      <c r="N375">
        <v>0</v>
      </c>
      <c r="O375">
        <v>4300</v>
      </c>
      <c r="P375" t="s">
        <v>1388</v>
      </c>
      <c r="Q375" t="s">
        <v>989</v>
      </c>
      <c r="R375" t="s">
        <v>1162</v>
      </c>
      <c r="S375" t="s">
        <v>1163</v>
      </c>
      <c r="T375" t="s">
        <v>990</v>
      </c>
      <c r="U375" t="s">
        <v>1389</v>
      </c>
      <c r="V375" t="s">
        <v>1165</v>
      </c>
      <c r="W375">
        <v>1</v>
      </c>
      <c r="X375">
        <v>4300</v>
      </c>
      <c r="Y375" t="s">
        <v>1166</v>
      </c>
      <c r="Z375" t="s">
        <v>1193</v>
      </c>
      <c r="AA375" t="s">
        <v>1390</v>
      </c>
    </row>
    <row r="376" spans="1:27" x14ac:dyDescent="0.3">
      <c r="A376" t="s">
        <v>1603</v>
      </c>
      <c r="B376" t="s">
        <v>1391</v>
      </c>
      <c r="C376" t="s">
        <v>974</v>
      </c>
      <c r="D376" t="s">
        <v>1373</v>
      </c>
      <c r="E376" t="s">
        <v>624</v>
      </c>
      <c r="F376">
        <v>46234</v>
      </c>
      <c r="G376" t="s">
        <v>496</v>
      </c>
      <c r="H376" t="s">
        <v>1159</v>
      </c>
      <c r="I376">
        <v>13802001</v>
      </c>
      <c r="J376" t="s">
        <v>1386</v>
      </c>
      <c r="K376" t="s">
        <v>1179</v>
      </c>
      <c r="L376">
        <v>34659.96</v>
      </c>
      <c r="M376">
        <v>2560</v>
      </c>
      <c r="N376">
        <v>0</v>
      </c>
      <c r="O376">
        <v>37219.96</v>
      </c>
      <c r="P376" t="s">
        <v>1388</v>
      </c>
      <c r="Q376" t="s">
        <v>989</v>
      </c>
      <c r="R376" t="s">
        <v>1162</v>
      </c>
      <c r="S376" t="s">
        <v>1163</v>
      </c>
      <c r="T376" t="s">
        <v>990</v>
      </c>
      <c r="U376" t="s">
        <v>1389</v>
      </c>
      <c r="V376" t="s">
        <v>1165</v>
      </c>
      <c r="W376">
        <v>1</v>
      </c>
      <c r="X376">
        <v>37219.96</v>
      </c>
      <c r="Y376" t="s">
        <v>1166</v>
      </c>
      <c r="Z376" t="s">
        <v>1193</v>
      </c>
      <c r="AA376" t="s">
        <v>1390</v>
      </c>
    </row>
    <row r="377" spans="1:27" x14ac:dyDescent="0.3">
      <c r="A377" t="s">
        <v>1603</v>
      </c>
      <c r="B377" t="s">
        <v>1560</v>
      </c>
      <c r="C377" t="s">
        <v>974</v>
      </c>
      <c r="D377" t="s">
        <v>1373</v>
      </c>
      <c r="E377" t="s">
        <v>624</v>
      </c>
      <c r="F377">
        <v>46234</v>
      </c>
      <c r="G377" t="s">
        <v>496</v>
      </c>
      <c r="H377" t="s">
        <v>1159</v>
      </c>
      <c r="I377">
        <v>13802001</v>
      </c>
      <c r="J377" t="s">
        <v>1386</v>
      </c>
      <c r="K377" t="s">
        <v>1392</v>
      </c>
      <c r="L377">
        <v>571891.71</v>
      </c>
      <c r="M377">
        <v>0</v>
      </c>
      <c r="N377">
        <v>0</v>
      </c>
      <c r="O377">
        <v>571891.71</v>
      </c>
      <c r="P377" t="s">
        <v>1388</v>
      </c>
      <c r="Q377" t="s">
        <v>989</v>
      </c>
      <c r="R377" t="s">
        <v>1162</v>
      </c>
      <c r="S377" t="s">
        <v>1163</v>
      </c>
      <c r="T377" t="s">
        <v>990</v>
      </c>
      <c r="U377" t="s">
        <v>1389</v>
      </c>
      <c r="V377" t="s">
        <v>1165</v>
      </c>
      <c r="W377">
        <v>1</v>
      </c>
      <c r="X377">
        <v>571891.71</v>
      </c>
      <c r="Y377" t="s">
        <v>1166</v>
      </c>
      <c r="Z377" t="s">
        <v>1193</v>
      </c>
      <c r="AA377" t="s">
        <v>1390</v>
      </c>
    </row>
    <row r="378" spans="1:27" x14ac:dyDescent="0.3">
      <c r="A378" t="s">
        <v>1603</v>
      </c>
      <c r="B378" t="s">
        <v>1306</v>
      </c>
      <c r="C378" t="s">
        <v>974</v>
      </c>
      <c r="D378" t="s">
        <v>1373</v>
      </c>
      <c r="E378" t="s">
        <v>624</v>
      </c>
      <c r="F378">
        <v>46234</v>
      </c>
      <c r="G378" t="s">
        <v>496</v>
      </c>
      <c r="H378" t="s">
        <v>1159</v>
      </c>
      <c r="I378">
        <v>15280501</v>
      </c>
      <c r="J378" t="s">
        <v>1285</v>
      </c>
      <c r="L378">
        <v>8817.2199999999993</v>
      </c>
      <c r="M378">
        <v>0</v>
      </c>
      <c r="N378">
        <v>0</v>
      </c>
      <c r="O378">
        <v>8817.2199999999993</v>
      </c>
      <c r="P378" t="s">
        <v>1287</v>
      </c>
      <c r="Q378" t="s">
        <v>995</v>
      </c>
      <c r="R378" t="s">
        <v>1162</v>
      </c>
      <c r="S378" t="s">
        <v>957</v>
      </c>
      <c r="T378" t="s">
        <v>996</v>
      </c>
      <c r="U378" t="s">
        <v>1288</v>
      </c>
      <c r="V378" t="s">
        <v>1165</v>
      </c>
      <c r="W378">
        <v>1</v>
      </c>
      <c r="X378">
        <v>8817.2199999999993</v>
      </c>
      <c r="Y378" t="s">
        <v>1166</v>
      </c>
      <c r="Z378" t="s">
        <v>1167</v>
      </c>
      <c r="AA378" t="s">
        <v>1289</v>
      </c>
    </row>
    <row r="379" spans="1:27" x14ac:dyDescent="0.3">
      <c r="A379" t="s">
        <v>1603</v>
      </c>
      <c r="B379" t="s">
        <v>1207</v>
      </c>
      <c r="C379" t="s">
        <v>974</v>
      </c>
      <c r="D379" t="s">
        <v>1373</v>
      </c>
      <c r="E379" t="s">
        <v>624</v>
      </c>
      <c r="F379">
        <v>46234</v>
      </c>
      <c r="G379" t="s">
        <v>496</v>
      </c>
      <c r="H379" t="s">
        <v>1159</v>
      </c>
      <c r="I379">
        <v>15922001</v>
      </c>
      <c r="J379" t="s">
        <v>1394</v>
      </c>
      <c r="L379">
        <v>-4924</v>
      </c>
      <c r="M379">
        <v>0</v>
      </c>
      <c r="N379">
        <v>0</v>
      </c>
      <c r="O379">
        <v>-4924</v>
      </c>
      <c r="P379" t="s">
        <v>1395</v>
      </c>
      <c r="Q379" t="s">
        <v>997</v>
      </c>
      <c r="R379" t="s">
        <v>1162</v>
      </c>
      <c r="S379" t="s">
        <v>957</v>
      </c>
      <c r="T379" t="s">
        <v>998</v>
      </c>
      <c r="U379" t="s">
        <v>1288</v>
      </c>
      <c r="V379" t="s">
        <v>1396</v>
      </c>
      <c r="W379">
        <v>1</v>
      </c>
      <c r="X379">
        <v>-4924</v>
      </c>
      <c r="Y379" t="s">
        <v>1166</v>
      </c>
      <c r="Z379" t="s">
        <v>1167</v>
      </c>
      <c r="AA379" t="s">
        <v>1397</v>
      </c>
    </row>
    <row r="380" spans="1:27" x14ac:dyDescent="0.3">
      <c r="A380" t="s">
        <v>1603</v>
      </c>
      <c r="B380" t="s">
        <v>1309</v>
      </c>
      <c r="C380" t="s">
        <v>974</v>
      </c>
      <c r="D380" t="s">
        <v>1373</v>
      </c>
      <c r="E380" t="s">
        <v>624</v>
      </c>
      <c r="F380">
        <v>46234</v>
      </c>
      <c r="G380" t="s">
        <v>496</v>
      </c>
      <c r="H380" t="s">
        <v>1159</v>
      </c>
      <c r="I380">
        <v>21051001</v>
      </c>
      <c r="J380" t="s">
        <v>1399</v>
      </c>
      <c r="K380" t="s">
        <v>1406</v>
      </c>
      <c r="L380">
        <v>-106.93</v>
      </c>
      <c r="M380">
        <v>714.65</v>
      </c>
      <c r="N380">
        <v>607.72</v>
      </c>
      <c r="O380">
        <v>0</v>
      </c>
      <c r="P380" t="s">
        <v>1401</v>
      </c>
      <c r="Q380" t="s">
        <v>1006</v>
      </c>
      <c r="R380" t="s">
        <v>1162</v>
      </c>
      <c r="S380" t="s">
        <v>1402</v>
      </c>
      <c r="T380" t="s">
        <v>1007</v>
      </c>
      <c r="U380" t="s">
        <v>1403</v>
      </c>
      <c r="V380" t="s">
        <v>1175</v>
      </c>
      <c r="W380">
        <v>-1</v>
      </c>
      <c r="Y380" t="s">
        <v>1192</v>
      </c>
      <c r="Z380" t="s">
        <v>1193</v>
      </c>
      <c r="AA380" t="s">
        <v>1404</v>
      </c>
    </row>
    <row r="381" spans="1:27" x14ac:dyDescent="0.3">
      <c r="A381" t="s">
        <v>1603</v>
      </c>
      <c r="B381" t="s">
        <v>1314</v>
      </c>
      <c r="C381" t="s">
        <v>974</v>
      </c>
      <c r="D381" t="s">
        <v>1373</v>
      </c>
      <c r="E381" t="s">
        <v>624</v>
      </c>
      <c r="F381">
        <v>46234</v>
      </c>
      <c r="G381" t="s">
        <v>496</v>
      </c>
      <c r="H381" t="s">
        <v>1159</v>
      </c>
      <c r="I381">
        <v>28050501</v>
      </c>
      <c r="J381" t="s">
        <v>1407</v>
      </c>
      <c r="K381" t="s">
        <v>1408</v>
      </c>
      <c r="L381">
        <v>-580342.75</v>
      </c>
      <c r="M381">
        <v>0</v>
      </c>
      <c r="N381">
        <v>0</v>
      </c>
      <c r="O381">
        <v>-580342.75</v>
      </c>
      <c r="P381" t="s">
        <v>1409</v>
      </c>
      <c r="Q381" t="s">
        <v>1016</v>
      </c>
      <c r="R381" t="s">
        <v>1162</v>
      </c>
      <c r="S381" t="s">
        <v>1173</v>
      </c>
      <c r="T381" t="s">
        <v>1017</v>
      </c>
      <c r="U381" t="s">
        <v>1410</v>
      </c>
      <c r="V381" t="s">
        <v>1175</v>
      </c>
      <c r="W381">
        <v>-1</v>
      </c>
      <c r="X381">
        <v>580342.75</v>
      </c>
      <c r="Y381" t="s">
        <v>1166</v>
      </c>
      <c r="Z381" t="s">
        <v>1167</v>
      </c>
      <c r="AA381" t="s">
        <v>1411</v>
      </c>
    </row>
    <row r="382" spans="1:27" x14ac:dyDescent="0.3">
      <c r="A382" t="s">
        <v>1603</v>
      </c>
      <c r="B382" t="s">
        <v>1237</v>
      </c>
      <c r="C382" t="s">
        <v>974</v>
      </c>
      <c r="D382" t="s">
        <v>1373</v>
      </c>
      <c r="E382" t="s">
        <v>624</v>
      </c>
      <c r="F382">
        <v>46234</v>
      </c>
      <c r="G382" t="s">
        <v>496</v>
      </c>
      <c r="H382" t="s">
        <v>1159</v>
      </c>
      <c r="I382">
        <v>31050501</v>
      </c>
      <c r="J382" t="s">
        <v>1178</v>
      </c>
      <c r="L382">
        <v>-383868</v>
      </c>
      <c r="M382">
        <v>0</v>
      </c>
      <c r="N382">
        <v>0</v>
      </c>
      <c r="O382">
        <v>-383868</v>
      </c>
      <c r="P382" t="s">
        <v>1180</v>
      </c>
      <c r="Q382" t="s">
        <v>1028</v>
      </c>
      <c r="R382" t="s">
        <v>1162</v>
      </c>
      <c r="S382" t="s">
        <v>1181</v>
      </c>
      <c r="T382" t="s">
        <v>1029</v>
      </c>
      <c r="U382" t="s">
        <v>1182</v>
      </c>
      <c r="V382" t="s">
        <v>1175</v>
      </c>
      <c r="W382">
        <v>-1</v>
      </c>
      <c r="X382">
        <v>383868</v>
      </c>
      <c r="Y382" t="s">
        <v>1166</v>
      </c>
      <c r="Z382" t="s">
        <v>1167</v>
      </c>
      <c r="AA382" t="s">
        <v>1029</v>
      </c>
    </row>
    <row r="383" spans="1:27" x14ac:dyDescent="0.3">
      <c r="A383" t="s">
        <v>1603</v>
      </c>
      <c r="B383" t="s">
        <v>1575</v>
      </c>
      <c r="C383" t="s">
        <v>974</v>
      </c>
      <c r="D383" t="s">
        <v>1373</v>
      </c>
      <c r="E383" t="s">
        <v>624</v>
      </c>
      <c r="F383">
        <v>46234</v>
      </c>
      <c r="G383" t="s">
        <v>496</v>
      </c>
      <c r="H383" t="s">
        <v>1159</v>
      </c>
      <c r="I383">
        <v>36050501</v>
      </c>
      <c r="J383" t="s">
        <v>876</v>
      </c>
      <c r="L383">
        <v>1033.5</v>
      </c>
      <c r="M383">
        <v>0</v>
      </c>
      <c r="N383">
        <v>0</v>
      </c>
      <c r="O383">
        <v>1033.5</v>
      </c>
      <c r="P383" t="s">
        <v>1413</v>
      </c>
      <c r="Q383" t="s">
        <v>1033</v>
      </c>
      <c r="R383" t="s">
        <v>1162</v>
      </c>
      <c r="S383" t="s">
        <v>1181</v>
      </c>
      <c r="T383" t="s">
        <v>1034</v>
      </c>
      <c r="U383" t="s">
        <v>1414</v>
      </c>
      <c r="V383" t="s">
        <v>1175</v>
      </c>
      <c r="W383">
        <v>-1</v>
      </c>
      <c r="X383">
        <v>-1033.5</v>
      </c>
      <c r="Y383" t="s">
        <v>1192</v>
      </c>
      <c r="Z383" t="s">
        <v>1193</v>
      </c>
      <c r="AA383" t="s">
        <v>1415</v>
      </c>
    </row>
    <row r="384" spans="1:27" x14ac:dyDescent="0.3">
      <c r="A384" t="s">
        <v>1603</v>
      </c>
      <c r="B384" t="s">
        <v>1251</v>
      </c>
      <c r="C384" t="s">
        <v>974</v>
      </c>
      <c r="D384" t="s">
        <v>1373</v>
      </c>
      <c r="E384" t="s">
        <v>624</v>
      </c>
      <c r="F384">
        <v>46234</v>
      </c>
      <c r="G384" t="s">
        <v>496</v>
      </c>
      <c r="H384" t="s">
        <v>1159</v>
      </c>
      <c r="I384">
        <v>36100101</v>
      </c>
      <c r="J384" t="s">
        <v>1189</v>
      </c>
      <c r="L384">
        <v>-14076</v>
      </c>
      <c r="M384">
        <v>0</v>
      </c>
      <c r="N384">
        <v>0</v>
      </c>
      <c r="O384">
        <v>-14076</v>
      </c>
      <c r="P384" t="s">
        <v>1190</v>
      </c>
      <c r="Q384" t="s">
        <v>1033</v>
      </c>
      <c r="R384" t="s">
        <v>1162</v>
      </c>
      <c r="S384" t="s">
        <v>1181</v>
      </c>
      <c r="T384" t="s">
        <v>1034</v>
      </c>
      <c r="U384" t="s">
        <v>1191</v>
      </c>
      <c r="V384" t="s">
        <v>1175</v>
      </c>
      <c r="W384">
        <v>-1</v>
      </c>
      <c r="X384">
        <v>14076</v>
      </c>
      <c r="Y384" t="s">
        <v>1192</v>
      </c>
      <c r="Z384" t="s">
        <v>1193</v>
      </c>
      <c r="AA384" t="s">
        <v>1194</v>
      </c>
    </row>
    <row r="385" spans="1:27" x14ac:dyDescent="0.3">
      <c r="A385" t="s">
        <v>1603</v>
      </c>
      <c r="B385" t="s">
        <v>1564</v>
      </c>
      <c r="C385" t="s">
        <v>974</v>
      </c>
      <c r="D385" t="s">
        <v>1373</v>
      </c>
      <c r="E385" t="s">
        <v>624</v>
      </c>
      <c r="F385">
        <v>46234</v>
      </c>
      <c r="G385" t="s">
        <v>496</v>
      </c>
      <c r="H385" t="s">
        <v>1159</v>
      </c>
      <c r="I385">
        <v>41700101</v>
      </c>
      <c r="J385" t="s">
        <v>1315</v>
      </c>
      <c r="K385" t="s">
        <v>1376</v>
      </c>
      <c r="L385">
        <v>-26661.35</v>
      </c>
      <c r="M385">
        <v>0</v>
      </c>
      <c r="N385">
        <v>5862</v>
      </c>
      <c r="O385">
        <v>-32523.35</v>
      </c>
      <c r="P385" t="s">
        <v>1317</v>
      </c>
      <c r="Q385" t="s">
        <v>1048</v>
      </c>
      <c r="R385" t="s">
        <v>1199</v>
      </c>
      <c r="S385" t="s">
        <v>1318</v>
      </c>
      <c r="T385" t="s">
        <v>1049</v>
      </c>
      <c r="U385" t="s">
        <v>1319</v>
      </c>
      <c r="V385" t="s">
        <v>1175</v>
      </c>
      <c r="W385">
        <v>-1</v>
      </c>
      <c r="X385">
        <v>32523.35</v>
      </c>
      <c r="Y385" t="s">
        <v>1166</v>
      </c>
      <c r="Z385" t="s">
        <v>1167</v>
      </c>
      <c r="AA385" t="s">
        <v>1320</v>
      </c>
    </row>
    <row r="386" spans="1:27" x14ac:dyDescent="0.3">
      <c r="A386" t="s">
        <v>1603</v>
      </c>
      <c r="B386" t="s">
        <v>1257</v>
      </c>
      <c r="C386" t="s">
        <v>974</v>
      </c>
      <c r="D386" t="s">
        <v>1373</v>
      </c>
      <c r="E386" t="s">
        <v>624</v>
      </c>
      <c r="F386">
        <v>46234</v>
      </c>
      <c r="G386" t="s">
        <v>496</v>
      </c>
      <c r="H386" t="s">
        <v>1159</v>
      </c>
      <c r="I386">
        <v>41700101</v>
      </c>
      <c r="J386" t="s">
        <v>1315</v>
      </c>
      <c r="K386" t="s">
        <v>1378</v>
      </c>
      <c r="L386">
        <v>-1200</v>
      </c>
      <c r="M386">
        <v>0</v>
      </c>
      <c r="N386">
        <v>0</v>
      </c>
      <c r="O386">
        <v>-1200</v>
      </c>
      <c r="P386" t="s">
        <v>1317</v>
      </c>
      <c r="Q386" t="s">
        <v>1048</v>
      </c>
      <c r="R386" t="s">
        <v>1199</v>
      </c>
      <c r="S386" t="s">
        <v>1318</v>
      </c>
      <c r="T386" t="s">
        <v>1049</v>
      </c>
      <c r="U386" t="s">
        <v>1319</v>
      </c>
      <c r="V386" t="s">
        <v>1175</v>
      </c>
      <c r="W386">
        <v>-1</v>
      </c>
      <c r="X386">
        <v>1200</v>
      </c>
      <c r="Y386" t="s">
        <v>1166</v>
      </c>
      <c r="Z386" t="s">
        <v>1167</v>
      </c>
      <c r="AA386" t="s">
        <v>1320</v>
      </c>
    </row>
    <row r="387" spans="1:27" x14ac:dyDescent="0.3">
      <c r="A387" t="s">
        <v>1603</v>
      </c>
      <c r="B387" t="s">
        <v>1342</v>
      </c>
      <c r="C387" t="s">
        <v>974</v>
      </c>
      <c r="D387" t="s">
        <v>1373</v>
      </c>
      <c r="E387" t="s">
        <v>624</v>
      </c>
      <c r="F387">
        <v>46234</v>
      </c>
      <c r="G387" t="s">
        <v>496</v>
      </c>
      <c r="H387" t="s">
        <v>1159</v>
      </c>
      <c r="I387">
        <v>41700101</v>
      </c>
      <c r="J387" t="s">
        <v>1315</v>
      </c>
      <c r="K387" t="s">
        <v>1387</v>
      </c>
      <c r="L387">
        <v>-4010</v>
      </c>
      <c r="M387">
        <v>0</v>
      </c>
      <c r="N387">
        <v>0</v>
      </c>
      <c r="O387">
        <v>-4010</v>
      </c>
      <c r="P387" t="s">
        <v>1317</v>
      </c>
      <c r="Q387" t="s">
        <v>1048</v>
      </c>
      <c r="R387" t="s">
        <v>1199</v>
      </c>
      <c r="S387" t="s">
        <v>1318</v>
      </c>
      <c r="T387" t="s">
        <v>1049</v>
      </c>
      <c r="U387" t="s">
        <v>1319</v>
      </c>
      <c r="V387" t="s">
        <v>1175</v>
      </c>
      <c r="W387">
        <v>-1</v>
      </c>
      <c r="X387">
        <v>4010</v>
      </c>
      <c r="Y387" t="s">
        <v>1166</v>
      </c>
      <c r="Z387" t="s">
        <v>1167</v>
      </c>
      <c r="AA387" t="s">
        <v>1320</v>
      </c>
    </row>
    <row r="388" spans="1:27" x14ac:dyDescent="0.3">
      <c r="A388" t="s">
        <v>1603</v>
      </c>
      <c r="B388" t="s">
        <v>1348</v>
      </c>
      <c r="C388" t="s">
        <v>974</v>
      </c>
      <c r="D388" t="s">
        <v>1373</v>
      </c>
      <c r="E388" t="s">
        <v>624</v>
      </c>
      <c r="F388">
        <v>46234</v>
      </c>
      <c r="G388" t="s">
        <v>496</v>
      </c>
      <c r="H388" t="s">
        <v>1159</v>
      </c>
      <c r="I388">
        <v>41700101</v>
      </c>
      <c r="J388" t="s">
        <v>1315</v>
      </c>
      <c r="K388" t="s">
        <v>1379</v>
      </c>
      <c r="L388">
        <v>-217</v>
      </c>
      <c r="M388">
        <v>0</v>
      </c>
      <c r="N388">
        <v>0</v>
      </c>
      <c r="O388">
        <v>-217</v>
      </c>
      <c r="P388" t="s">
        <v>1317</v>
      </c>
      <c r="Q388" t="s">
        <v>1048</v>
      </c>
      <c r="R388" t="s">
        <v>1199</v>
      </c>
      <c r="S388" t="s">
        <v>1318</v>
      </c>
      <c r="T388" t="s">
        <v>1049</v>
      </c>
      <c r="U388" t="s">
        <v>1319</v>
      </c>
      <c r="V388" t="s">
        <v>1175</v>
      </c>
      <c r="W388">
        <v>-1</v>
      </c>
      <c r="X388">
        <v>217</v>
      </c>
      <c r="Y388" t="s">
        <v>1166</v>
      </c>
      <c r="Z388" t="s">
        <v>1167</v>
      </c>
      <c r="AA388" t="s">
        <v>1320</v>
      </c>
    </row>
    <row r="389" spans="1:27" x14ac:dyDescent="0.3">
      <c r="A389" t="s">
        <v>1603</v>
      </c>
      <c r="B389" t="s">
        <v>1350</v>
      </c>
      <c r="C389" t="s">
        <v>974</v>
      </c>
      <c r="D389" t="s">
        <v>1373</v>
      </c>
      <c r="E389" t="s">
        <v>624</v>
      </c>
      <c r="F389">
        <v>46234</v>
      </c>
      <c r="G389" t="s">
        <v>496</v>
      </c>
      <c r="H389" t="s">
        <v>1159</v>
      </c>
      <c r="I389">
        <v>41700101</v>
      </c>
      <c r="J389" t="s">
        <v>1315</v>
      </c>
      <c r="K389" t="s">
        <v>1381</v>
      </c>
      <c r="L389">
        <v>-578.70000000000005</v>
      </c>
      <c r="M389">
        <v>0</v>
      </c>
      <c r="N389">
        <v>96.45</v>
      </c>
      <c r="O389">
        <v>-675.15</v>
      </c>
      <c r="P389" t="s">
        <v>1317</v>
      </c>
      <c r="Q389" t="s">
        <v>1048</v>
      </c>
      <c r="R389" t="s">
        <v>1199</v>
      </c>
      <c r="S389" t="s">
        <v>1318</v>
      </c>
      <c r="T389" t="s">
        <v>1049</v>
      </c>
      <c r="U389" t="s">
        <v>1319</v>
      </c>
      <c r="V389" t="s">
        <v>1175</v>
      </c>
      <c r="W389">
        <v>-1</v>
      </c>
      <c r="X389">
        <v>675.15</v>
      </c>
      <c r="Y389" t="s">
        <v>1166</v>
      </c>
      <c r="Z389" t="s">
        <v>1167</v>
      </c>
      <c r="AA389" t="s">
        <v>1320</v>
      </c>
    </row>
    <row r="390" spans="1:27" x14ac:dyDescent="0.3">
      <c r="A390" t="s">
        <v>1603</v>
      </c>
      <c r="B390" t="s">
        <v>1351</v>
      </c>
      <c r="C390" t="s">
        <v>974</v>
      </c>
      <c r="D390" t="s">
        <v>1373</v>
      </c>
      <c r="E390" t="s">
        <v>624</v>
      </c>
      <c r="F390">
        <v>46234</v>
      </c>
      <c r="G390" t="s">
        <v>496</v>
      </c>
      <c r="H390" t="s">
        <v>1159</v>
      </c>
      <c r="I390">
        <v>41700101</v>
      </c>
      <c r="J390" t="s">
        <v>1315</v>
      </c>
      <c r="K390" t="s">
        <v>1382</v>
      </c>
      <c r="L390">
        <v>-330</v>
      </c>
      <c r="M390">
        <v>0</v>
      </c>
      <c r="N390">
        <v>55</v>
      </c>
      <c r="O390">
        <v>-385</v>
      </c>
      <c r="P390" t="s">
        <v>1317</v>
      </c>
      <c r="Q390" t="s">
        <v>1048</v>
      </c>
      <c r="R390" t="s">
        <v>1199</v>
      </c>
      <c r="S390" t="s">
        <v>1318</v>
      </c>
      <c r="T390" t="s">
        <v>1049</v>
      </c>
      <c r="U390" t="s">
        <v>1319</v>
      </c>
      <c r="V390" t="s">
        <v>1175</v>
      </c>
      <c r="W390">
        <v>-1</v>
      </c>
      <c r="X390">
        <v>385</v>
      </c>
      <c r="Y390" t="s">
        <v>1166</v>
      </c>
      <c r="Z390" t="s">
        <v>1167</v>
      </c>
      <c r="AA390" t="s">
        <v>1320</v>
      </c>
    </row>
    <row r="391" spans="1:27" x14ac:dyDescent="0.3">
      <c r="A391" t="s">
        <v>1603</v>
      </c>
      <c r="B391" t="s">
        <v>1355</v>
      </c>
      <c r="C391" t="s">
        <v>974</v>
      </c>
      <c r="D391" t="s">
        <v>1373</v>
      </c>
      <c r="E391" t="s">
        <v>624</v>
      </c>
      <c r="F391">
        <v>46234</v>
      </c>
      <c r="G391" t="s">
        <v>496</v>
      </c>
      <c r="H391" t="s">
        <v>1159</v>
      </c>
      <c r="I391">
        <v>42100502</v>
      </c>
      <c r="J391" t="s">
        <v>1416</v>
      </c>
      <c r="K391" t="s">
        <v>1376</v>
      </c>
      <c r="L391">
        <v>-0.35</v>
      </c>
      <c r="M391">
        <v>0</v>
      </c>
      <c r="N391">
        <v>0</v>
      </c>
      <c r="O391">
        <v>-0.35</v>
      </c>
      <c r="P391" t="s">
        <v>1417</v>
      </c>
      <c r="Q391" t="s">
        <v>1118</v>
      </c>
      <c r="R391" t="s">
        <v>1199</v>
      </c>
      <c r="S391" t="s">
        <v>1324</v>
      </c>
      <c r="T391" t="s">
        <v>1119</v>
      </c>
      <c r="U391" t="s">
        <v>1418</v>
      </c>
      <c r="V391" t="s">
        <v>1175</v>
      </c>
      <c r="W391">
        <v>-1</v>
      </c>
      <c r="X391">
        <v>0.35</v>
      </c>
      <c r="Y391" t="s">
        <v>1166</v>
      </c>
      <c r="Z391" t="s">
        <v>1167</v>
      </c>
      <c r="AA391" t="s">
        <v>1419</v>
      </c>
    </row>
    <row r="392" spans="1:27" x14ac:dyDescent="0.3">
      <c r="A392" t="s">
        <v>1603</v>
      </c>
      <c r="B392" t="s">
        <v>1356</v>
      </c>
      <c r="C392" t="s">
        <v>974</v>
      </c>
      <c r="D392" t="s">
        <v>1373</v>
      </c>
      <c r="E392" t="s">
        <v>624</v>
      </c>
      <c r="F392">
        <v>46234</v>
      </c>
      <c r="G392" t="s">
        <v>496</v>
      </c>
      <c r="H392" t="s">
        <v>1159</v>
      </c>
      <c r="I392">
        <v>42100502</v>
      </c>
      <c r="J392" t="s">
        <v>1416</v>
      </c>
      <c r="K392" t="s">
        <v>1378</v>
      </c>
      <c r="L392">
        <v>-83</v>
      </c>
      <c r="M392">
        <v>0</v>
      </c>
      <c r="N392">
        <v>0</v>
      </c>
      <c r="O392">
        <v>-83</v>
      </c>
      <c r="P392" t="s">
        <v>1417</v>
      </c>
      <c r="Q392" t="s">
        <v>1118</v>
      </c>
      <c r="R392" t="s">
        <v>1199</v>
      </c>
      <c r="S392" t="s">
        <v>1324</v>
      </c>
      <c r="T392" t="s">
        <v>1119</v>
      </c>
      <c r="U392" t="s">
        <v>1418</v>
      </c>
      <c r="V392" t="s">
        <v>1175</v>
      </c>
      <c r="W392">
        <v>-1</v>
      </c>
      <c r="X392">
        <v>83</v>
      </c>
      <c r="Y392" t="s">
        <v>1166</v>
      </c>
      <c r="Z392" t="s">
        <v>1167</v>
      </c>
      <c r="AA392" t="s">
        <v>1419</v>
      </c>
    </row>
    <row r="393" spans="1:27" x14ac:dyDescent="0.3">
      <c r="A393" t="s">
        <v>1603</v>
      </c>
      <c r="B393" t="s">
        <v>1357</v>
      </c>
      <c r="C393" t="s">
        <v>974</v>
      </c>
      <c r="D393" t="s">
        <v>1373</v>
      </c>
      <c r="E393" t="s">
        <v>624</v>
      </c>
      <c r="F393">
        <v>46234</v>
      </c>
      <c r="G393" t="s">
        <v>496</v>
      </c>
      <c r="H393" t="s">
        <v>1159</v>
      </c>
      <c r="I393">
        <v>42100502</v>
      </c>
      <c r="J393" t="s">
        <v>1416</v>
      </c>
      <c r="K393" t="s">
        <v>1406</v>
      </c>
      <c r="L393">
        <v>-482.03</v>
      </c>
      <c r="M393">
        <v>0</v>
      </c>
      <c r="N393">
        <v>10.76</v>
      </c>
      <c r="O393">
        <v>-492.79</v>
      </c>
      <c r="P393" t="s">
        <v>1417</v>
      </c>
      <c r="Q393" t="s">
        <v>1118</v>
      </c>
      <c r="R393" t="s">
        <v>1199</v>
      </c>
      <c r="S393" t="s">
        <v>1324</v>
      </c>
      <c r="T393" t="s">
        <v>1119</v>
      </c>
      <c r="U393" t="s">
        <v>1418</v>
      </c>
      <c r="V393" t="s">
        <v>1175</v>
      </c>
      <c r="W393">
        <v>-1</v>
      </c>
      <c r="X393">
        <v>492.79</v>
      </c>
      <c r="Y393" t="s">
        <v>1166</v>
      </c>
      <c r="Z393" t="s">
        <v>1167</v>
      </c>
      <c r="AA393" t="s">
        <v>1419</v>
      </c>
    </row>
    <row r="394" spans="1:27" x14ac:dyDescent="0.3">
      <c r="A394" t="s">
        <v>1603</v>
      </c>
      <c r="B394" t="s">
        <v>1420</v>
      </c>
      <c r="C394" t="s">
        <v>974</v>
      </c>
      <c r="D394" t="s">
        <v>1373</v>
      </c>
      <c r="E394" t="s">
        <v>624</v>
      </c>
      <c r="F394">
        <v>46234</v>
      </c>
      <c r="G394" t="s">
        <v>496</v>
      </c>
      <c r="H394" t="s">
        <v>1159</v>
      </c>
      <c r="I394">
        <v>51050601</v>
      </c>
      <c r="J394" t="s">
        <v>1196</v>
      </c>
      <c r="K394" t="s">
        <v>1421</v>
      </c>
      <c r="L394">
        <v>15553.02</v>
      </c>
      <c r="M394">
        <v>2592.17</v>
      </c>
      <c r="N394">
        <v>0</v>
      </c>
      <c r="O394">
        <v>18145.189999999999</v>
      </c>
      <c r="P394" t="s">
        <v>1198</v>
      </c>
      <c r="Q394" t="s">
        <v>1060</v>
      </c>
      <c r="R394" t="s">
        <v>1199</v>
      </c>
      <c r="S394" t="s">
        <v>947</v>
      </c>
      <c r="T394" t="s">
        <v>1061</v>
      </c>
      <c r="U394" t="s">
        <v>1200</v>
      </c>
      <c r="V394" t="s">
        <v>1165</v>
      </c>
      <c r="W394">
        <v>1</v>
      </c>
      <c r="X394">
        <v>18145.189999999999</v>
      </c>
      <c r="Y394" t="s">
        <v>1166</v>
      </c>
      <c r="Z394" t="s">
        <v>1167</v>
      </c>
      <c r="AA394" t="s">
        <v>1201</v>
      </c>
    </row>
    <row r="395" spans="1:27" x14ac:dyDescent="0.3">
      <c r="A395" t="s">
        <v>1603</v>
      </c>
      <c r="B395" t="s">
        <v>1364</v>
      </c>
      <c r="C395" t="s">
        <v>974</v>
      </c>
      <c r="D395" t="s">
        <v>1373</v>
      </c>
      <c r="E395" t="s">
        <v>624</v>
      </c>
      <c r="F395">
        <v>46234</v>
      </c>
      <c r="G395" t="s">
        <v>496</v>
      </c>
      <c r="H395" t="s">
        <v>1159</v>
      </c>
      <c r="I395">
        <v>51054505</v>
      </c>
      <c r="J395" t="s">
        <v>1196</v>
      </c>
      <c r="K395" t="s">
        <v>1605</v>
      </c>
      <c r="L395">
        <v>4000</v>
      </c>
      <c r="M395">
        <v>0</v>
      </c>
      <c r="N395">
        <v>0</v>
      </c>
      <c r="O395">
        <v>4000</v>
      </c>
      <c r="P395" t="s">
        <v>1198</v>
      </c>
      <c r="Q395" t="s">
        <v>1060</v>
      </c>
      <c r="R395" t="s">
        <v>1199</v>
      </c>
      <c r="S395" t="s">
        <v>947</v>
      </c>
      <c r="T395" t="s">
        <v>1061</v>
      </c>
      <c r="U395" t="s">
        <v>1200</v>
      </c>
      <c r="V395" t="s">
        <v>1165</v>
      </c>
      <c r="W395">
        <v>1</v>
      </c>
      <c r="X395">
        <v>4000</v>
      </c>
      <c r="Y395" t="s">
        <v>1166</v>
      </c>
      <c r="Z395" t="s">
        <v>1167</v>
      </c>
      <c r="AA395" t="s">
        <v>1201</v>
      </c>
    </row>
    <row r="396" spans="1:27" x14ac:dyDescent="0.3">
      <c r="A396" t="s">
        <v>1603</v>
      </c>
      <c r="B396" t="s">
        <v>1422</v>
      </c>
      <c r="C396" t="s">
        <v>974</v>
      </c>
      <c r="D396" t="s">
        <v>1373</v>
      </c>
      <c r="E396" t="s">
        <v>624</v>
      </c>
      <c r="F396">
        <v>46234</v>
      </c>
      <c r="G396" t="s">
        <v>496</v>
      </c>
      <c r="H396" t="s">
        <v>1159</v>
      </c>
      <c r="I396">
        <v>51054505</v>
      </c>
      <c r="J396" t="s">
        <v>1196</v>
      </c>
      <c r="K396" t="s">
        <v>1606</v>
      </c>
      <c r="L396">
        <v>5000</v>
      </c>
      <c r="M396">
        <v>0</v>
      </c>
      <c r="N396">
        <v>0</v>
      </c>
      <c r="O396">
        <v>5000</v>
      </c>
      <c r="P396" t="s">
        <v>1198</v>
      </c>
      <c r="Q396" t="s">
        <v>1060</v>
      </c>
      <c r="R396" t="s">
        <v>1199</v>
      </c>
      <c r="S396" t="s">
        <v>947</v>
      </c>
      <c r="T396" t="s">
        <v>1061</v>
      </c>
      <c r="U396" t="s">
        <v>1200</v>
      </c>
      <c r="V396" t="s">
        <v>1165</v>
      </c>
      <c r="W396">
        <v>1</v>
      </c>
      <c r="X396">
        <v>5000</v>
      </c>
      <c r="Y396" t="s">
        <v>1166</v>
      </c>
      <c r="Z396" t="s">
        <v>1167</v>
      </c>
      <c r="AA396" t="s">
        <v>1201</v>
      </c>
    </row>
    <row r="397" spans="1:27" x14ac:dyDescent="0.3">
      <c r="A397" t="s">
        <v>1603</v>
      </c>
      <c r="B397" t="s">
        <v>1368</v>
      </c>
      <c r="C397" t="s">
        <v>974</v>
      </c>
      <c r="D397" t="s">
        <v>1373</v>
      </c>
      <c r="E397" t="s">
        <v>624</v>
      </c>
      <c r="F397">
        <v>46234</v>
      </c>
      <c r="G397" t="s">
        <v>496</v>
      </c>
      <c r="H397" t="s">
        <v>1159</v>
      </c>
      <c r="I397">
        <v>51052105</v>
      </c>
      <c r="J397" t="s">
        <v>1203</v>
      </c>
      <c r="K397" t="s">
        <v>1607</v>
      </c>
      <c r="L397">
        <v>78.430000000000007</v>
      </c>
      <c r="M397">
        <v>0</v>
      </c>
      <c r="N397">
        <v>0</v>
      </c>
      <c r="O397">
        <v>78.430000000000007</v>
      </c>
      <c r="P397" t="s">
        <v>1204</v>
      </c>
      <c r="Q397" t="s">
        <v>1075</v>
      </c>
      <c r="R397" t="s">
        <v>1199</v>
      </c>
      <c r="S397" t="s">
        <v>947</v>
      </c>
      <c r="T397" t="s">
        <v>1076</v>
      </c>
      <c r="U397" t="s">
        <v>1205</v>
      </c>
      <c r="V397" t="s">
        <v>1165</v>
      </c>
      <c r="W397">
        <v>1</v>
      </c>
      <c r="X397">
        <v>78.430000000000007</v>
      </c>
      <c r="Y397" t="s">
        <v>1166</v>
      </c>
      <c r="Z397" t="s">
        <v>1167</v>
      </c>
      <c r="AA397" t="s">
        <v>1206</v>
      </c>
    </row>
    <row r="398" spans="1:27" x14ac:dyDescent="0.3">
      <c r="A398" t="s">
        <v>1603</v>
      </c>
      <c r="B398" t="s">
        <v>1369</v>
      </c>
      <c r="C398" t="s">
        <v>974</v>
      </c>
      <c r="D398" t="s">
        <v>1373</v>
      </c>
      <c r="E398" t="s">
        <v>624</v>
      </c>
      <c r="F398">
        <v>46234</v>
      </c>
      <c r="G398" t="s">
        <v>496</v>
      </c>
      <c r="H398" t="s">
        <v>1159</v>
      </c>
      <c r="I398">
        <v>51052105</v>
      </c>
      <c r="J398" t="s">
        <v>1203</v>
      </c>
      <c r="K398" t="s">
        <v>1423</v>
      </c>
      <c r="L398">
        <v>64.790000000000006</v>
      </c>
      <c r="M398">
        <v>0</v>
      </c>
      <c r="N398">
        <v>0</v>
      </c>
      <c r="O398">
        <v>64.790000000000006</v>
      </c>
      <c r="P398" t="s">
        <v>1204</v>
      </c>
      <c r="Q398" t="s">
        <v>1075</v>
      </c>
      <c r="R398" t="s">
        <v>1199</v>
      </c>
      <c r="S398" t="s">
        <v>947</v>
      </c>
      <c r="T398" t="s">
        <v>1076</v>
      </c>
      <c r="U398" t="s">
        <v>1205</v>
      </c>
      <c r="V398" t="s">
        <v>1165</v>
      </c>
      <c r="W398">
        <v>1</v>
      </c>
      <c r="X398">
        <v>64.790000000000006</v>
      </c>
      <c r="Y398" t="s">
        <v>1166</v>
      </c>
      <c r="Z398" t="s">
        <v>1167</v>
      </c>
      <c r="AA398" t="s">
        <v>1206</v>
      </c>
    </row>
    <row r="399" spans="1:27" x14ac:dyDescent="0.3">
      <c r="A399" t="s">
        <v>1603</v>
      </c>
      <c r="B399" t="s">
        <v>1370</v>
      </c>
      <c r="C399" t="s">
        <v>974</v>
      </c>
      <c r="D399" t="s">
        <v>1373</v>
      </c>
      <c r="E399" t="s">
        <v>624</v>
      </c>
      <c r="F399">
        <v>46234</v>
      </c>
      <c r="G399" t="s">
        <v>496</v>
      </c>
      <c r="H399" t="s">
        <v>1159</v>
      </c>
      <c r="I399">
        <v>51052105</v>
      </c>
      <c r="J399" t="s">
        <v>1203</v>
      </c>
      <c r="K399" t="s">
        <v>1425</v>
      </c>
      <c r="L399">
        <v>35.04</v>
      </c>
      <c r="M399">
        <v>0</v>
      </c>
      <c r="N399">
        <v>0</v>
      </c>
      <c r="O399">
        <v>35.04</v>
      </c>
      <c r="P399" t="s">
        <v>1204</v>
      </c>
      <c r="Q399" t="s">
        <v>1075</v>
      </c>
      <c r="R399" t="s">
        <v>1199</v>
      </c>
      <c r="S399" t="s">
        <v>947</v>
      </c>
      <c r="T399" t="s">
        <v>1076</v>
      </c>
      <c r="U399" t="s">
        <v>1205</v>
      </c>
      <c r="V399" t="s">
        <v>1165</v>
      </c>
      <c r="W399">
        <v>1</v>
      </c>
      <c r="X399">
        <v>35.04</v>
      </c>
      <c r="Y399" t="s">
        <v>1166</v>
      </c>
      <c r="Z399" t="s">
        <v>1167</v>
      </c>
      <c r="AA399" t="s">
        <v>1206</v>
      </c>
    </row>
    <row r="400" spans="1:27" x14ac:dyDescent="0.3">
      <c r="A400" t="s">
        <v>1603</v>
      </c>
      <c r="B400" t="s">
        <v>1426</v>
      </c>
      <c r="C400" t="s">
        <v>974</v>
      </c>
      <c r="D400" t="s">
        <v>1373</v>
      </c>
      <c r="E400" t="s">
        <v>624</v>
      </c>
      <c r="F400">
        <v>46234</v>
      </c>
      <c r="G400" t="s">
        <v>496</v>
      </c>
      <c r="H400" t="s">
        <v>1159</v>
      </c>
      <c r="I400">
        <v>51052105</v>
      </c>
      <c r="J400" t="s">
        <v>1203</v>
      </c>
      <c r="K400" t="s">
        <v>1400</v>
      </c>
      <c r="L400">
        <v>60.35</v>
      </c>
      <c r="M400">
        <v>0</v>
      </c>
      <c r="N400">
        <v>0</v>
      </c>
      <c r="O400">
        <v>60.35</v>
      </c>
      <c r="P400" t="s">
        <v>1204</v>
      </c>
      <c r="Q400" t="s">
        <v>1075</v>
      </c>
      <c r="R400" t="s">
        <v>1199</v>
      </c>
      <c r="S400" t="s">
        <v>947</v>
      </c>
      <c r="T400" t="s">
        <v>1076</v>
      </c>
      <c r="U400" t="s">
        <v>1205</v>
      </c>
      <c r="V400" t="s">
        <v>1165</v>
      </c>
      <c r="W400">
        <v>1</v>
      </c>
      <c r="X400">
        <v>60.35</v>
      </c>
      <c r="Y400" t="s">
        <v>1166</v>
      </c>
      <c r="Z400" t="s">
        <v>1167</v>
      </c>
      <c r="AA400" t="s">
        <v>1206</v>
      </c>
    </row>
    <row r="401" spans="1:27" x14ac:dyDescent="0.3">
      <c r="A401" t="s">
        <v>1603</v>
      </c>
      <c r="B401" t="s">
        <v>1590</v>
      </c>
      <c r="C401" t="s">
        <v>974</v>
      </c>
      <c r="D401" t="s">
        <v>1373</v>
      </c>
      <c r="E401" t="s">
        <v>624</v>
      </c>
      <c r="F401">
        <v>46234</v>
      </c>
      <c r="G401" t="s">
        <v>496</v>
      </c>
      <c r="H401" t="s">
        <v>1159</v>
      </c>
      <c r="I401">
        <v>51052105</v>
      </c>
      <c r="J401" t="s">
        <v>1203</v>
      </c>
      <c r="K401" t="s">
        <v>1425</v>
      </c>
      <c r="L401">
        <v>13.54</v>
      </c>
      <c r="M401">
        <v>0</v>
      </c>
      <c r="N401">
        <v>0</v>
      </c>
      <c r="O401">
        <v>13.54</v>
      </c>
      <c r="P401" t="s">
        <v>1204</v>
      </c>
      <c r="Q401" t="s">
        <v>1075</v>
      </c>
      <c r="R401" t="s">
        <v>1199</v>
      </c>
      <c r="S401" t="s">
        <v>947</v>
      </c>
      <c r="T401" t="s">
        <v>1076</v>
      </c>
      <c r="U401" t="s">
        <v>1205</v>
      </c>
      <c r="V401" t="s">
        <v>1165</v>
      </c>
      <c r="W401">
        <v>1</v>
      </c>
      <c r="X401">
        <v>13.54</v>
      </c>
      <c r="Y401" t="s">
        <v>1166</v>
      </c>
      <c r="Z401" t="s">
        <v>1167</v>
      </c>
      <c r="AA401" t="s">
        <v>1206</v>
      </c>
    </row>
    <row r="402" spans="1:27" x14ac:dyDescent="0.3">
      <c r="A402" t="s">
        <v>1603</v>
      </c>
      <c r="B402" t="s">
        <v>1438</v>
      </c>
      <c r="C402" t="s">
        <v>974</v>
      </c>
      <c r="D402" t="s">
        <v>1373</v>
      </c>
      <c r="E402" t="s">
        <v>624</v>
      </c>
      <c r="F402">
        <v>46234</v>
      </c>
      <c r="G402" t="s">
        <v>496</v>
      </c>
      <c r="H402" t="s">
        <v>1159</v>
      </c>
      <c r="I402">
        <v>51054503</v>
      </c>
      <c r="J402" t="s">
        <v>1427</v>
      </c>
      <c r="K402" t="s">
        <v>1428</v>
      </c>
      <c r="L402">
        <v>7600</v>
      </c>
      <c r="M402">
        <v>0</v>
      </c>
      <c r="N402">
        <v>0</v>
      </c>
      <c r="O402">
        <v>7600</v>
      </c>
      <c r="P402" t="s">
        <v>1429</v>
      </c>
      <c r="Q402" t="s">
        <v>1060</v>
      </c>
      <c r="R402" t="s">
        <v>1199</v>
      </c>
      <c r="S402" t="s">
        <v>947</v>
      </c>
      <c r="T402" t="s">
        <v>1061</v>
      </c>
      <c r="U402" t="s">
        <v>1430</v>
      </c>
      <c r="V402" t="s">
        <v>1165</v>
      </c>
      <c r="W402">
        <v>1</v>
      </c>
      <c r="X402">
        <v>7600</v>
      </c>
      <c r="Y402" t="s">
        <v>1192</v>
      </c>
      <c r="Z402" t="s">
        <v>1193</v>
      </c>
      <c r="AA402" t="s">
        <v>1431</v>
      </c>
    </row>
    <row r="403" spans="1:27" x14ac:dyDescent="0.3">
      <c r="A403" t="s">
        <v>1603</v>
      </c>
      <c r="B403" t="s">
        <v>1441</v>
      </c>
      <c r="C403" t="s">
        <v>974</v>
      </c>
      <c r="D403" t="s">
        <v>1373</v>
      </c>
      <c r="E403" t="s">
        <v>624</v>
      </c>
      <c r="F403">
        <v>46234</v>
      </c>
      <c r="G403" t="s">
        <v>496</v>
      </c>
      <c r="H403" t="s">
        <v>1159</v>
      </c>
      <c r="I403">
        <v>51055101</v>
      </c>
      <c r="J403" t="s">
        <v>1433</v>
      </c>
      <c r="K403" t="s">
        <v>1434</v>
      </c>
      <c r="L403">
        <v>276.06</v>
      </c>
      <c r="M403">
        <v>0</v>
      </c>
      <c r="N403">
        <v>0</v>
      </c>
      <c r="O403">
        <v>276.06</v>
      </c>
      <c r="P403" t="s">
        <v>1435</v>
      </c>
      <c r="Q403" t="s">
        <v>1060</v>
      </c>
      <c r="R403" t="s">
        <v>1199</v>
      </c>
      <c r="S403" t="s">
        <v>947</v>
      </c>
      <c r="T403" t="s">
        <v>1061</v>
      </c>
      <c r="U403" t="s">
        <v>1436</v>
      </c>
      <c r="V403" t="s">
        <v>1165</v>
      </c>
      <c r="W403">
        <v>1</v>
      </c>
      <c r="X403">
        <v>276.06</v>
      </c>
      <c r="Y403" t="s">
        <v>1166</v>
      </c>
      <c r="Z403" t="s">
        <v>1167</v>
      </c>
      <c r="AA403" t="s">
        <v>1437</v>
      </c>
    </row>
    <row r="404" spans="1:27" x14ac:dyDescent="0.3">
      <c r="A404" t="s">
        <v>1603</v>
      </c>
      <c r="B404" t="s">
        <v>1567</v>
      </c>
      <c r="C404" t="s">
        <v>974</v>
      </c>
      <c r="D404" t="s">
        <v>1373</v>
      </c>
      <c r="E404" t="s">
        <v>624</v>
      </c>
      <c r="F404">
        <v>46234</v>
      </c>
      <c r="G404" t="s">
        <v>496</v>
      </c>
      <c r="H404" t="s">
        <v>1159</v>
      </c>
      <c r="I404">
        <v>51055101</v>
      </c>
      <c r="J404" t="s">
        <v>1433</v>
      </c>
      <c r="K404" t="s">
        <v>1405</v>
      </c>
      <c r="L404">
        <v>13.9</v>
      </c>
      <c r="M404">
        <v>0</v>
      </c>
      <c r="N404">
        <v>0</v>
      </c>
      <c r="O404">
        <v>13.9</v>
      </c>
      <c r="P404" t="s">
        <v>1435</v>
      </c>
      <c r="Q404" t="s">
        <v>1060</v>
      </c>
      <c r="R404" t="s">
        <v>1199</v>
      </c>
      <c r="S404" t="s">
        <v>947</v>
      </c>
      <c r="T404" t="s">
        <v>1061</v>
      </c>
      <c r="U404" t="s">
        <v>1436</v>
      </c>
      <c r="V404" t="s">
        <v>1165</v>
      </c>
      <c r="W404">
        <v>1</v>
      </c>
      <c r="X404">
        <v>13.9</v>
      </c>
      <c r="Y404" t="s">
        <v>1166</v>
      </c>
      <c r="Z404" t="s">
        <v>1167</v>
      </c>
      <c r="AA404" t="s">
        <v>1437</v>
      </c>
    </row>
    <row r="405" spans="1:27" x14ac:dyDescent="0.3">
      <c r="A405" t="s">
        <v>1603</v>
      </c>
      <c r="B405" t="s">
        <v>1443</v>
      </c>
      <c r="C405" t="s">
        <v>974</v>
      </c>
      <c r="D405" t="s">
        <v>1373</v>
      </c>
      <c r="E405" t="s">
        <v>624</v>
      </c>
      <c r="F405">
        <v>46234</v>
      </c>
      <c r="G405" t="s">
        <v>496</v>
      </c>
      <c r="H405" t="s">
        <v>1159</v>
      </c>
      <c r="I405">
        <v>51055101</v>
      </c>
      <c r="J405" t="s">
        <v>1433</v>
      </c>
      <c r="K405" t="s">
        <v>1440</v>
      </c>
      <c r="L405">
        <v>15.3</v>
      </c>
      <c r="M405">
        <v>0</v>
      </c>
      <c r="N405">
        <v>0</v>
      </c>
      <c r="O405">
        <v>15.3</v>
      </c>
      <c r="P405" t="s">
        <v>1435</v>
      </c>
      <c r="Q405" t="s">
        <v>1060</v>
      </c>
      <c r="R405" t="s">
        <v>1199</v>
      </c>
      <c r="S405" t="s">
        <v>947</v>
      </c>
      <c r="T405" t="s">
        <v>1061</v>
      </c>
      <c r="U405" t="s">
        <v>1436</v>
      </c>
      <c r="V405" t="s">
        <v>1165</v>
      </c>
      <c r="W405">
        <v>1</v>
      </c>
      <c r="X405">
        <v>15.3</v>
      </c>
      <c r="Y405" t="s">
        <v>1166</v>
      </c>
      <c r="Z405" t="s">
        <v>1167</v>
      </c>
      <c r="AA405" t="s">
        <v>1437</v>
      </c>
    </row>
    <row r="406" spans="1:27" x14ac:dyDescent="0.3">
      <c r="A406" t="s">
        <v>1603</v>
      </c>
      <c r="B406" t="s">
        <v>1568</v>
      </c>
      <c r="C406" t="s">
        <v>974</v>
      </c>
      <c r="D406" t="s">
        <v>1373</v>
      </c>
      <c r="E406" t="s">
        <v>624</v>
      </c>
      <c r="F406">
        <v>46234</v>
      </c>
      <c r="G406" t="s">
        <v>496</v>
      </c>
      <c r="H406" t="s">
        <v>1159</v>
      </c>
      <c r="I406">
        <v>51055101</v>
      </c>
      <c r="J406" t="s">
        <v>1433</v>
      </c>
      <c r="K406" t="s">
        <v>1442</v>
      </c>
      <c r="L406">
        <v>2568.42</v>
      </c>
      <c r="M406">
        <v>0</v>
      </c>
      <c r="N406">
        <v>0</v>
      </c>
      <c r="O406">
        <v>2568.42</v>
      </c>
      <c r="P406" t="s">
        <v>1435</v>
      </c>
      <c r="Q406" t="s">
        <v>1060</v>
      </c>
      <c r="R406" t="s">
        <v>1199</v>
      </c>
      <c r="S406" t="s">
        <v>947</v>
      </c>
      <c r="T406" t="s">
        <v>1061</v>
      </c>
      <c r="U406" t="s">
        <v>1436</v>
      </c>
      <c r="V406" t="s">
        <v>1165</v>
      </c>
      <c r="W406">
        <v>1</v>
      </c>
      <c r="X406">
        <v>2568.42</v>
      </c>
      <c r="Y406" t="s">
        <v>1166</v>
      </c>
      <c r="Z406" t="s">
        <v>1167</v>
      </c>
      <c r="AA406" t="s">
        <v>1437</v>
      </c>
    </row>
    <row r="407" spans="1:27" x14ac:dyDescent="0.3">
      <c r="A407" t="s">
        <v>1603</v>
      </c>
      <c r="B407" t="s">
        <v>1449</v>
      </c>
      <c r="C407" t="s">
        <v>974</v>
      </c>
      <c r="D407" t="s">
        <v>1373</v>
      </c>
      <c r="E407" t="s">
        <v>624</v>
      </c>
      <c r="F407">
        <v>46234</v>
      </c>
      <c r="G407" t="s">
        <v>496</v>
      </c>
      <c r="H407" t="s">
        <v>1159</v>
      </c>
      <c r="I407">
        <v>51055101</v>
      </c>
      <c r="J407" t="s">
        <v>1433</v>
      </c>
      <c r="K407" t="s">
        <v>1608</v>
      </c>
      <c r="L407">
        <v>139.1</v>
      </c>
      <c r="M407">
        <v>0</v>
      </c>
      <c r="N407">
        <v>0</v>
      </c>
      <c r="O407">
        <v>139.1</v>
      </c>
      <c r="P407" t="s">
        <v>1435</v>
      </c>
      <c r="Q407" t="s">
        <v>1060</v>
      </c>
      <c r="R407" t="s">
        <v>1199</v>
      </c>
      <c r="S407" t="s">
        <v>947</v>
      </c>
      <c r="T407" t="s">
        <v>1061</v>
      </c>
      <c r="U407" t="s">
        <v>1436</v>
      </c>
      <c r="V407" t="s">
        <v>1165</v>
      </c>
      <c r="W407">
        <v>1</v>
      </c>
      <c r="X407">
        <v>139.1</v>
      </c>
      <c r="Y407" t="s">
        <v>1166</v>
      </c>
      <c r="Z407" t="s">
        <v>1167</v>
      </c>
      <c r="AA407" t="s">
        <v>1437</v>
      </c>
    </row>
    <row r="408" spans="1:27" x14ac:dyDescent="0.3">
      <c r="A408" t="s">
        <v>1603</v>
      </c>
      <c r="B408" t="s">
        <v>1579</v>
      </c>
      <c r="C408" t="s">
        <v>974</v>
      </c>
      <c r="D408" t="s">
        <v>1373</v>
      </c>
      <c r="E408" t="s">
        <v>624</v>
      </c>
      <c r="F408">
        <v>46234</v>
      </c>
      <c r="G408" t="s">
        <v>496</v>
      </c>
      <c r="H408" t="s">
        <v>1159</v>
      </c>
      <c r="I408">
        <v>51055101</v>
      </c>
      <c r="J408" t="s">
        <v>1433</v>
      </c>
      <c r="K408" t="s">
        <v>1406</v>
      </c>
      <c r="L408">
        <v>-540.91999999999996</v>
      </c>
      <c r="M408">
        <v>0</v>
      </c>
      <c r="N408">
        <v>0</v>
      </c>
      <c r="O408">
        <v>-540.91999999999996</v>
      </c>
      <c r="P408" t="s">
        <v>1435</v>
      </c>
      <c r="Q408" t="s">
        <v>1060</v>
      </c>
      <c r="R408" t="s">
        <v>1199</v>
      </c>
      <c r="S408" t="s">
        <v>947</v>
      </c>
      <c r="T408" t="s">
        <v>1061</v>
      </c>
      <c r="U408" t="s">
        <v>1436</v>
      </c>
      <c r="V408" t="s">
        <v>1165</v>
      </c>
      <c r="W408">
        <v>1</v>
      </c>
      <c r="X408">
        <v>-540.91999999999996</v>
      </c>
      <c r="Y408" t="s">
        <v>1166</v>
      </c>
      <c r="Z408" t="s">
        <v>1167</v>
      </c>
      <c r="AA408" t="s">
        <v>1437</v>
      </c>
    </row>
    <row r="409" spans="1:27" x14ac:dyDescent="0.3">
      <c r="A409" t="s">
        <v>1603</v>
      </c>
      <c r="B409" t="s">
        <v>1453</v>
      </c>
      <c r="C409" t="s">
        <v>974</v>
      </c>
      <c r="D409" t="s">
        <v>1373</v>
      </c>
      <c r="E409" t="s">
        <v>624</v>
      </c>
      <c r="F409">
        <v>46234</v>
      </c>
      <c r="G409" t="s">
        <v>496</v>
      </c>
      <c r="H409" t="s">
        <v>1159</v>
      </c>
      <c r="I409">
        <v>51058401</v>
      </c>
      <c r="J409" t="s">
        <v>1444</v>
      </c>
      <c r="K409" t="s">
        <v>1445</v>
      </c>
      <c r="L409">
        <v>122.93</v>
      </c>
      <c r="M409">
        <v>0</v>
      </c>
      <c r="N409">
        <v>0</v>
      </c>
      <c r="O409">
        <v>122.93</v>
      </c>
      <c r="P409" t="s">
        <v>1446</v>
      </c>
      <c r="Q409" t="s">
        <v>1060</v>
      </c>
      <c r="R409" t="s">
        <v>1199</v>
      </c>
      <c r="S409" t="s">
        <v>947</v>
      </c>
      <c r="T409" t="s">
        <v>1061</v>
      </c>
      <c r="U409" t="s">
        <v>1447</v>
      </c>
      <c r="V409" t="s">
        <v>1165</v>
      </c>
      <c r="W409">
        <v>1</v>
      </c>
      <c r="X409">
        <v>122.93</v>
      </c>
      <c r="Y409" t="s">
        <v>1166</v>
      </c>
      <c r="Z409" t="s">
        <v>1167</v>
      </c>
      <c r="AA409" t="s">
        <v>1448</v>
      </c>
    </row>
    <row r="410" spans="1:27" x14ac:dyDescent="0.3">
      <c r="A410" t="s">
        <v>1603</v>
      </c>
      <c r="B410" t="s">
        <v>1570</v>
      </c>
      <c r="C410" t="s">
        <v>974</v>
      </c>
      <c r="D410" t="s">
        <v>1373</v>
      </c>
      <c r="E410" t="s">
        <v>624</v>
      </c>
      <c r="F410">
        <v>46234</v>
      </c>
      <c r="G410" t="s">
        <v>496</v>
      </c>
      <c r="H410" t="s">
        <v>1159</v>
      </c>
      <c r="I410">
        <v>51058401</v>
      </c>
      <c r="J410" t="s">
        <v>1444</v>
      </c>
      <c r="K410" t="s">
        <v>1442</v>
      </c>
      <c r="L410">
        <v>56.7</v>
      </c>
      <c r="M410">
        <v>0</v>
      </c>
      <c r="N410">
        <v>0</v>
      </c>
      <c r="O410">
        <v>56.7</v>
      </c>
      <c r="P410" t="s">
        <v>1446</v>
      </c>
      <c r="Q410" t="s">
        <v>1060</v>
      </c>
      <c r="R410" t="s">
        <v>1199</v>
      </c>
      <c r="S410" t="s">
        <v>947</v>
      </c>
      <c r="T410" t="s">
        <v>1061</v>
      </c>
      <c r="U410" t="s">
        <v>1447</v>
      </c>
      <c r="V410" t="s">
        <v>1165</v>
      </c>
      <c r="W410">
        <v>1</v>
      </c>
      <c r="X410">
        <v>56.7</v>
      </c>
      <c r="Y410" t="s">
        <v>1166</v>
      </c>
      <c r="Z410" t="s">
        <v>1167</v>
      </c>
      <c r="AA410" t="s">
        <v>1448</v>
      </c>
    </row>
    <row r="411" spans="1:27" x14ac:dyDescent="0.3">
      <c r="A411" t="s">
        <v>1603</v>
      </c>
      <c r="B411" t="s">
        <v>1455</v>
      </c>
      <c r="C411" t="s">
        <v>974</v>
      </c>
      <c r="D411" t="s">
        <v>1373</v>
      </c>
      <c r="E411" t="s">
        <v>624</v>
      </c>
      <c r="F411">
        <v>46234</v>
      </c>
      <c r="G411" t="s">
        <v>496</v>
      </c>
      <c r="H411" t="s">
        <v>1159</v>
      </c>
      <c r="I411">
        <v>51059501</v>
      </c>
      <c r="J411" t="s">
        <v>1232</v>
      </c>
      <c r="K411" t="s">
        <v>1421</v>
      </c>
      <c r="L411">
        <v>4153.9799999999996</v>
      </c>
      <c r="M411">
        <v>637.33000000000004</v>
      </c>
      <c r="N411">
        <v>0</v>
      </c>
      <c r="O411">
        <v>4791.3100000000004</v>
      </c>
      <c r="P411" t="s">
        <v>1450</v>
      </c>
      <c r="Q411" t="s">
        <v>1060</v>
      </c>
      <c r="R411" t="s">
        <v>1199</v>
      </c>
      <c r="S411" t="s">
        <v>947</v>
      </c>
      <c r="T411" t="s">
        <v>1061</v>
      </c>
      <c r="U411" t="s">
        <v>1451</v>
      </c>
      <c r="V411" t="s">
        <v>1165</v>
      </c>
      <c r="W411">
        <v>1</v>
      </c>
      <c r="X411">
        <v>4791.3100000000004</v>
      </c>
      <c r="Y411" t="s">
        <v>1192</v>
      </c>
      <c r="Z411" t="s">
        <v>1193</v>
      </c>
      <c r="AA411" t="s">
        <v>1452</v>
      </c>
    </row>
    <row r="412" spans="1:27" x14ac:dyDescent="0.3">
      <c r="A412" t="s">
        <v>1603</v>
      </c>
      <c r="B412" t="s">
        <v>1457</v>
      </c>
      <c r="C412" t="s">
        <v>974</v>
      </c>
      <c r="D412" t="s">
        <v>1373</v>
      </c>
      <c r="E412" t="s">
        <v>624</v>
      </c>
      <c r="F412">
        <v>46234</v>
      </c>
      <c r="G412" t="s">
        <v>496</v>
      </c>
      <c r="H412" t="s">
        <v>1159</v>
      </c>
      <c r="I412">
        <v>51102501</v>
      </c>
      <c r="J412" t="s">
        <v>1213</v>
      </c>
      <c r="K412" t="s">
        <v>1609</v>
      </c>
      <c r="L412">
        <v>150</v>
      </c>
      <c r="M412">
        <v>100</v>
      </c>
      <c r="N412">
        <v>0</v>
      </c>
      <c r="O412">
        <v>250</v>
      </c>
      <c r="P412" t="s">
        <v>1215</v>
      </c>
      <c r="Q412" t="s">
        <v>1062</v>
      </c>
      <c r="R412" t="s">
        <v>1199</v>
      </c>
      <c r="S412" t="s">
        <v>947</v>
      </c>
      <c r="T412" t="s">
        <v>1063</v>
      </c>
      <c r="U412" t="s">
        <v>1216</v>
      </c>
      <c r="V412" t="s">
        <v>1165</v>
      </c>
      <c r="W412">
        <v>1</v>
      </c>
      <c r="X412">
        <v>250</v>
      </c>
      <c r="Y412" t="s">
        <v>1166</v>
      </c>
      <c r="Z412" t="s">
        <v>1167</v>
      </c>
      <c r="AA412" t="s">
        <v>1217</v>
      </c>
    </row>
    <row r="413" spans="1:27" x14ac:dyDescent="0.3">
      <c r="A413" t="s">
        <v>1603</v>
      </c>
      <c r="B413" t="s">
        <v>1461</v>
      </c>
      <c r="C413" t="s">
        <v>974</v>
      </c>
      <c r="D413" t="s">
        <v>1373</v>
      </c>
      <c r="E413" t="s">
        <v>624</v>
      </c>
      <c r="F413">
        <v>46234</v>
      </c>
      <c r="G413" t="s">
        <v>496</v>
      </c>
      <c r="H413" t="s">
        <v>1159</v>
      </c>
      <c r="I413">
        <v>51103001</v>
      </c>
      <c r="J413" t="s">
        <v>1328</v>
      </c>
      <c r="K413" t="s">
        <v>1454</v>
      </c>
      <c r="L413">
        <v>445</v>
      </c>
      <c r="M413">
        <v>0</v>
      </c>
      <c r="N413">
        <v>0</v>
      </c>
      <c r="O413">
        <v>445</v>
      </c>
      <c r="P413" t="s">
        <v>1330</v>
      </c>
      <c r="Q413" t="s">
        <v>1062</v>
      </c>
      <c r="R413" t="s">
        <v>1199</v>
      </c>
      <c r="S413" t="s">
        <v>947</v>
      </c>
      <c r="T413" t="s">
        <v>1063</v>
      </c>
      <c r="U413" t="s">
        <v>1331</v>
      </c>
      <c r="V413" t="s">
        <v>1165</v>
      </c>
      <c r="W413">
        <v>1</v>
      </c>
      <c r="X413">
        <v>445</v>
      </c>
      <c r="Y413" t="s">
        <v>1166</v>
      </c>
      <c r="Z413" t="s">
        <v>1167</v>
      </c>
      <c r="AA413" t="s">
        <v>1332</v>
      </c>
    </row>
    <row r="414" spans="1:27" x14ac:dyDescent="0.3">
      <c r="A414" t="s">
        <v>1603</v>
      </c>
      <c r="B414" t="s">
        <v>1465</v>
      </c>
      <c r="C414" t="s">
        <v>974</v>
      </c>
      <c r="D414" t="s">
        <v>1373</v>
      </c>
      <c r="E414" t="s">
        <v>624</v>
      </c>
      <c r="F414">
        <v>46234</v>
      </c>
      <c r="G414" t="s">
        <v>496</v>
      </c>
      <c r="H414" t="s">
        <v>1159</v>
      </c>
      <c r="I414">
        <v>51103501</v>
      </c>
      <c r="J414" t="s">
        <v>1585</v>
      </c>
      <c r="K414" t="s">
        <v>1610</v>
      </c>
      <c r="L414">
        <v>2000</v>
      </c>
      <c r="M414">
        <v>0</v>
      </c>
      <c r="N414">
        <v>0</v>
      </c>
      <c r="O414">
        <v>2000</v>
      </c>
      <c r="P414" t="s">
        <v>1611</v>
      </c>
      <c r="Q414" t="s">
        <v>1062</v>
      </c>
      <c r="R414" t="s">
        <v>1199</v>
      </c>
      <c r="S414" t="s">
        <v>947</v>
      </c>
      <c r="T414" t="s">
        <v>1063</v>
      </c>
      <c r="U414" t="s">
        <v>1588</v>
      </c>
      <c r="V414" t="s">
        <v>1165</v>
      </c>
      <c r="W414">
        <v>1</v>
      </c>
      <c r="X414">
        <v>2000</v>
      </c>
      <c r="Y414" t="s">
        <v>1166</v>
      </c>
      <c r="Z414" t="s">
        <v>1167</v>
      </c>
      <c r="AA414" t="s">
        <v>1612</v>
      </c>
    </row>
    <row r="415" spans="1:27" x14ac:dyDescent="0.3">
      <c r="A415" t="s">
        <v>1603</v>
      </c>
      <c r="B415" t="s">
        <v>1613</v>
      </c>
      <c r="C415" t="s">
        <v>974</v>
      </c>
      <c r="D415" t="s">
        <v>1373</v>
      </c>
      <c r="E415" t="s">
        <v>624</v>
      </c>
      <c r="F415">
        <v>46234</v>
      </c>
      <c r="G415" t="s">
        <v>496</v>
      </c>
      <c r="H415" t="s">
        <v>1159</v>
      </c>
      <c r="I415">
        <v>51150501</v>
      </c>
      <c r="J415" t="s">
        <v>1219</v>
      </c>
      <c r="K415" t="s">
        <v>1456</v>
      </c>
      <c r="L415">
        <v>4024.05</v>
      </c>
      <c r="M415">
        <v>0</v>
      </c>
      <c r="N415">
        <v>0</v>
      </c>
      <c r="O415">
        <v>4024.05</v>
      </c>
      <c r="P415" t="s">
        <v>1221</v>
      </c>
      <c r="Q415" t="s">
        <v>1064</v>
      </c>
      <c r="R415" t="s">
        <v>1199</v>
      </c>
      <c r="S415" t="s">
        <v>947</v>
      </c>
      <c r="T415" t="s">
        <v>1065</v>
      </c>
      <c r="U415" t="s">
        <v>1222</v>
      </c>
      <c r="V415" t="s">
        <v>1165</v>
      </c>
      <c r="W415">
        <v>1</v>
      </c>
      <c r="X415">
        <v>4024.05</v>
      </c>
      <c r="Y415" t="s">
        <v>1166</v>
      </c>
      <c r="Z415" t="s">
        <v>1167</v>
      </c>
      <c r="AA415" t="s">
        <v>1223</v>
      </c>
    </row>
    <row r="416" spans="1:27" x14ac:dyDescent="0.3">
      <c r="A416" t="s">
        <v>1603</v>
      </c>
      <c r="B416" t="s">
        <v>1614</v>
      </c>
      <c r="C416" t="s">
        <v>974</v>
      </c>
      <c r="D416" t="s">
        <v>1373</v>
      </c>
      <c r="E416" t="s">
        <v>624</v>
      </c>
      <c r="F416">
        <v>46234</v>
      </c>
      <c r="G416" t="s">
        <v>496</v>
      </c>
      <c r="H416" t="s">
        <v>1159</v>
      </c>
      <c r="I416">
        <v>51209501</v>
      </c>
      <c r="J416" t="s">
        <v>1232</v>
      </c>
      <c r="K416" t="s">
        <v>1615</v>
      </c>
      <c r="L416">
        <v>0</v>
      </c>
      <c r="M416">
        <v>85.06</v>
      </c>
      <c r="N416">
        <v>0</v>
      </c>
      <c r="O416">
        <v>85.06</v>
      </c>
      <c r="P416" t="s">
        <v>1616</v>
      </c>
      <c r="Q416" t="s">
        <v>1066</v>
      </c>
      <c r="R416" t="s">
        <v>1199</v>
      </c>
      <c r="S416" t="s">
        <v>947</v>
      </c>
      <c r="T416" t="s">
        <v>1067</v>
      </c>
      <c r="U416" t="s">
        <v>1617</v>
      </c>
      <c r="V416" t="s">
        <v>1165</v>
      </c>
      <c r="W416">
        <v>1</v>
      </c>
      <c r="X416">
        <v>85.06</v>
      </c>
      <c r="Y416" t="s">
        <v>1166</v>
      </c>
      <c r="Z416" t="s">
        <v>1167</v>
      </c>
      <c r="AA416" t="s">
        <v>1618</v>
      </c>
    </row>
    <row r="417" spans="1:27" x14ac:dyDescent="0.3">
      <c r="A417" t="s">
        <v>1603</v>
      </c>
      <c r="B417" t="s">
        <v>1582</v>
      </c>
      <c r="C417" t="s">
        <v>974</v>
      </c>
      <c r="D417" t="s">
        <v>1373</v>
      </c>
      <c r="E417" t="s">
        <v>624</v>
      </c>
      <c r="F417">
        <v>46234</v>
      </c>
      <c r="G417" t="s">
        <v>496</v>
      </c>
      <c r="H417" t="s">
        <v>1159</v>
      </c>
      <c r="I417">
        <v>51352001</v>
      </c>
      <c r="J417" t="s">
        <v>1240</v>
      </c>
      <c r="K417" t="s">
        <v>1458</v>
      </c>
      <c r="L417">
        <v>225.35</v>
      </c>
      <c r="M417">
        <v>0</v>
      </c>
      <c r="N417">
        <v>0</v>
      </c>
      <c r="O417">
        <v>225.35</v>
      </c>
      <c r="P417" t="s">
        <v>1242</v>
      </c>
      <c r="Q417" t="s">
        <v>1069</v>
      </c>
      <c r="R417" t="s">
        <v>1199</v>
      </c>
      <c r="S417" t="s">
        <v>947</v>
      </c>
      <c r="T417" t="s">
        <v>1070</v>
      </c>
      <c r="U417" t="s">
        <v>1243</v>
      </c>
      <c r="V417" t="s">
        <v>1165</v>
      </c>
      <c r="W417">
        <v>1</v>
      </c>
      <c r="X417">
        <v>225.35</v>
      </c>
      <c r="Y417" t="s">
        <v>1166</v>
      </c>
      <c r="Z417" t="s">
        <v>1193</v>
      </c>
      <c r="AA417" t="s">
        <v>1244</v>
      </c>
    </row>
    <row r="418" spans="1:27" x14ac:dyDescent="0.3">
      <c r="A418" t="s">
        <v>1603</v>
      </c>
      <c r="B418" t="s">
        <v>1484</v>
      </c>
      <c r="C418" t="s">
        <v>974</v>
      </c>
      <c r="D418" t="s">
        <v>1373</v>
      </c>
      <c r="E418" t="s">
        <v>624</v>
      </c>
      <c r="F418">
        <v>46234</v>
      </c>
      <c r="G418" t="s">
        <v>496</v>
      </c>
      <c r="H418" t="s">
        <v>1159</v>
      </c>
      <c r="I418">
        <v>51352001</v>
      </c>
      <c r="J418" t="s">
        <v>1240</v>
      </c>
      <c r="K418" t="s">
        <v>1460</v>
      </c>
      <c r="L418">
        <v>191.4</v>
      </c>
      <c r="M418">
        <v>0</v>
      </c>
      <c r="N418">
        <v>0</v>
      </c>
      <c r="O418">
        <v>191.4</v>
      </c>
      <c r="P418" t="s">
        <v>1242</v>
      </c>
      <c r="Q418" t="s">
        <v>1069</v>
      </c>
      <c r="R418" t="s">
        <v>1199</v>
      </c>
      <c r="S418" t="s">
        <v>947</v>
      </c>
      <c r="T418" t="s">
        <v>1070</v>
      </c>
      <c r="U418" t="s">
        <v>1243</v>
      </c>
      <c r="V418" t="s">
        <v>1165</v>
      </c>
      <c r="W418">
        <v>1</v>
      </c>
      <c r="X418">
        <v>191.4</v>
      </c>
      <c r="Y418" t="s">
        <v>1166</v>
      </c>
      <c r="Z418" t="s">
        <v>1193</v>
      </c>
      <c r="AA418" t="s">
        <v>1244</v>
      </c>
    </row>
    <row r="419" spans="1:27" x14ac:dyDescent="0.3">
      <c r="A419" t="s">
        <v>1603</v>
      </c>
      <c r="B419" t="s">
        <v>1490</v>
      </c>
      <c r="C419" t="s">
        <v>974</v>
      </c>
      <c r="D419" t="s">
        <v>1373</v>
      </c>
      <c r="E419" t="s">
        <v>624</v>
      </c>
      <c r="F419">
        <v>46234</v>
      </c>
      <c r="G419" t="s">
        <v>496</v>
      </c>
      <c r="H419" t="s">
        <v>1159</v>
      </c>
      <c r="I419">
        <v>51352001</v>
      </c>
      <c r="J419" t="s">
        <v>1240</v>
      </c>
      <c r="K419" t="s">
        <v>1462</v>
      </c>
      <c r="L419">
        <v>32.1</v>
      </c>
      <c r="M419">
        <v>0</v>
      </c>
      <c r="N419">
        <v>0</v>
      </c>
      <c r="O419">
        <v>32.1</v>
      </c>
      <c r="P419" t="s">
        <v>1242</v>
      </c>
      <c r="Q419" t="s">
        <v>1069</v>
      </c>
      <c r="R419" t="s">
        <v>1199</v>
      </c>
      <c r="S419" t="s">
        <v>947</v>
      </c>
      <c r="T419" t="s">
        <v>1070</v>
      </c>
      <c r="U419" t="s">
        <v>1243</v>
      </c>
      <c r="V419" t="s">
        <v>1165</v>
      </c>
      <c r="W419">
        <v>1</v>
      </c>
      <c r="X419">
        <v>32.1</v>
      </c>
      <c r="Y419" t="s">
        <v>1166</v>
      </c>
      <c r="Z419" t="s">
        <v>1193</v>
      </c>
      <c r="AA419" t="s">
        <v>1244</v>
      </c>
    </row>
    <row r="420" spans="1:27" x14ac:dyDescent="0.3">
      <c r="A420" t="s">
        <v>1603</v>
      </c>
      <c r="B420" t="s">
        <v>1492</v>
      </c>
      <c r="C420" t="s">
        <v>974</v>
      </c>
      <c r="D420" t="s">
        <v>1373</v>
      </c>
      <c r="E420" t="s">
        <v>624</v>
      </c>
      <c r="F420">
        <v>46234</v>
      </c>
      <c r="G420" t="s">
        <v>496</v>
      </c>
      <c r="H420" t="s">
        <v>1159</v>
      </c>
      <c r="I420">
        <v>51352001</v>
      </c>
      <c r="J420" t="s">
        <v>1240</v>
      </c>
      <c r="K420" t="s">
        <v>1464</v>
      </c>
      <c r="L420">
        <v>100</v>
      </c>
      <c r="M420">
        <v>20</v>
      </c>
      <c r="N420">
        <v>0</v>
      </c>
      <c r="O420">
        <v>120</v>
      </c>
      <c r="P420" t="s">
        <v>1242</v>
      </c>
      <c r="Q420" t="s">
        <v>1069</v>
      </c>
      <c r="R420" t="s">
        <v>1199</v>
      </c>
      <c r="S420" t="s">
        <v>947</v>
      </c>
      <c r="T420" t="s">
        <v>1070</v>
      </c>
      <c r="U420" t="s">
        <v>1243</v>
      </c>
      <c r="V420" t="s">
        <v>1165</v>
      </c>
      <c r="W420">
        <v>1</v>
      </c>
      <c r="X420">
        <v>120</v>
      </c>
      <c r="Y420" t="s">
        <v>1166</v>
      </c>
      <c r="Z420" t="s">
        <v>1193</v>
      </c>
      <c r="AA420" t="s">
        <v>1244</v>
      </c>
    </row>
    <row r="421" spans="1:27" x14ac:dyDescent="0.3">
      <c r="A421" t="s">
        <v>1603</v>
      </c>
      <c r="B421" t="s">
        <v>1493</v>
      </c>
      <c r="C421" t="s">
        <v>974</v>
      </c>
      <c r="D421" t="s">
        <v>1373</v>
      </c>
      <c r="E421" t="s">
        <v>624</v>
      </c>
      <c r="F421">
        <v>46234</v>
      </c>
      <c r="G421" t="s">
        <v>496</v>
      </c>
      <c r="H421" t="s">
        <v>1159</v>
      </c>
      <c r="I421">
        <v>51352001</v>
      </c>
      <c r="J421" t="s">
        <v>1240</v>
      </c>
      <c r="K421" t="s">
        <v>1619</v>
      </c>
      <c r="L421">
        <v>7500</v>
      </c>
      <c r="M421">
        <v>0</v>
      </c>
      <c r="N421">
        <v>0</v>
      </c>
      <c r="O421">
        <v>7500</v>
      </c>
      <c r="P421" t="s">
        <v>1242</v>
      </c>
      <c r="Q421" t="s">
        <v>1069</v>
      </c>
      <c r="R421" t="s">
        <v>1199</v>
      </c>
      <c r="S421" t="s">
        <v>947</v>
      </c>
      <c r="T421" t="s">
        <v>1070</v>
      </c>
      <c r="U421" t="s">
        <v>1243</v>
      </c>
      <c r="V421" t="s">
        <v>1165</v>
      </c>
      <c r="W421">
        <v>1</v>
      </c>
      <c r="X421">
        <v>7500</v>
      </c>
      <c r="Y421" t="s">
        <v>1166</v>
      </c>
      <c r="Z421" t="s">
        <v>1193</v>
      </c>
      <c r="AA421" t="s">
        <v>1244</v>
      </c>
    </row>
    <row r="422" spans="1:27" x14ac:dyDescent="0.3">
      <c r="A422" t="s">
        <v>1603</v>
      </c>
      <c r="B422" t="s">
        <v>1494</v>
      </c>
      <c r="C422" t="s">
        <v>974</v>
      </c>
      <c r="D422" t="s">
        <v>1373</v>
      </c>
      <c r="E422" t="s">
        <v>624</v>
      </c>
      <c r="F422">
        <v>46234</v>
      </c>
      <c r="G422" t="s">
        <v>496</v>
      </c>
      <c r="H422" t="s">
        <v>1159</v>
      </c>
      <c r="I422">
        <v>51352001</v>
      </c>
      <c r="J422" t="s">
        <v>1240</v>
      </c>
      <c r="K422" t="s">
        <v>1466</v>
      </c>
      <c r="L422">
        <v>1027.2</v>
      </c>
      <c r="M422">
        <v>225</v>
      </c>
      <c r="N422">
        <v>0</v>
      </c>
      <c r="O422">
        <v>1252.2</v>
      </c>
      <c r="P422" t="s">
        <v>1242</v>
      </c>
      <c r="Q422" t="s">
        <v>1069</v>
      </c>
      <c r="R422" t="s">
        <v>1199</v>
      </c>
      <c r="S422" t="s">
        <v>947</v>
      </c>
      <c r="T422" t="s">
        <v>1070</v>
      </c>
      <c r="U422" t="s">
        <v>1243</v>
      </c>
      <c r="V422" t="s">
        <v>1165</v>
      </c>
      <c r="W422">
        <v>1</v>
      </c>
      <c r="X422">
        <v>1252.2</v>
      </c>
      <c r="Y422" t="s">
        <v>1166</v>
      </c>
      <c r="Z422" t="s">
        <v>1193</v>
      </c>
      <c r="AA422" t="s">
        <v>1244</v>
      </c>
    </row>
    <row r="423" spans="1:27" x14ac:dyDescent="0.3">
      <c r="A423" t="s">
        <v>1603</v>
      </c>
      <c r="B423" t="s">
        <v>1496</v>
      </c>
      <c r="C423" t="s">
        <v>974</v>
      </c>
      <c r="D423" t="s">
        <v>1373</v>
      </c>
      <c r="E423" t="s">
        <v>624</v>
      </c>
      <c r="F423">
        <v>46234</v>
      </c>
      <c r="G423" t="s">
        <v>496</v>
      </c>
      <c r="H423" t="s">
        <v>1159</v>
      </c>
      <c r="I423">
        <v>51352001</v>
      </c>
      <c r="J423" t="s">
        <v>1240</v>
      </c>
      <c r="K423" t="s">
        <v>1563</v>
      </c>
      <c r="L423">
        <v>191.53</v>
      </c>
      <c r="M423">
        <v>0</v>
      </c>
      <c r="N423">
        <v>0</v>
      </c>
      <c r="O423">
        <v>191.53</v>
      </c>
      <c r="P423" t="s">
        <v>1242</v>
      </c>
      <c r="Q423" t="s">
        <v>1069</v>
      </c>
      <c r="R423" t="s">
        <v>1199</v>
      </c>
      <c r="S423" t="s">
        <v>947</v>
      </c>
      <c r="T423" t="s">
        <v>1070</v>
      </c>
      <c r="U423" t="s">
        <v>1243</v>
      </c>
      <c r="V423" t="s">
        <v>1165</v>
      </c>
      <c r="W423">
        <v>1</v>
      </c>
      <c r="X423">
        <v>191.53</v>
      </c>
      <c r="Y423" t="s">
        <v>1166</v>
      </c>
      <c r="Z423" t="s">
        <v>1193</v>
      </c>
      <c r="AA423" t="s">
        <v>1244</v>
      </c>
    </row>
    <row r="424" spans="1:27" x14ac:dyDescent="0.3">
      <c r="A424" t="s">
        <v>1603</v>
      </c>
      <c r="B424" t="s">
        <v>1500</v>
      </c>
      <c r="C424" t="s">
        <v>974</v>
      </c>
      <c r="D424" t="s">
        <v>1373</v>
      </c>
      <c r="E424" t="s">
        <v>624</v>
      </c>
      <c r="F424">
        <v>46234</v>
      </c>
      <c r="G424" t="s">
        <v>496</v>
      </c>
      <c r="H424" t="s">
        <v>1159</v>
      </c>
      <c r="I424">
        <v>51353503</v>
      </c>
      <c r="J424" t="s">
        <v>1620</v>
      </c>
      <c r="K424" t="s">
        <v>1462</v>
      </c>
      <c r="L424">
        <v>314.48</v>
      </c>
      <c r="M424">
        <v>164.53</v>
      </c>
      <c r="N424">
        <v>0</v>
      </c>
      <c r="O424">
        <v>479.01</v>
      </c>
      <c r="P424" t="s">
        <v>1621</v>
      </c>
      <c r="Q424" t="s">
        <v>1071</v>
      </c>
      <c r="R424" t="s">
        <v>1199</v>
      </c>
      <c r="S424" t="s">
        <v>947</v>
      </c>
      <c r="T424" t="s">
        <v>1072</v>
      </c>
      <c r="U424" t="s">
        <v>1622</v>
      </c>
      <c r="V424" t="s">
        <v>1165</v>
      </c>
      <c r="W424">
        <v>1</v>
      </c>
      <c r="X424">
        <v>479.01</v>
      </c>
      <c r="Y424" t="s">
        <v>1166</v>
      </c>
      <c r="Z424" t="s">
        <v>1167</v>
      </c>
      <c r="AA424" t="s">
        <v>1623</v>
      </c>
    </row>
    <row r="425" spans="1:27" x14ac:dyDescent="0.3">
      <c r="A425" t="s">
        <v>1603</v>
      </c>
      <c r="B425" t="s">
        <v>1504</v>
      </c>
      <c r="C425" t="s">
        <v>974</v>
      </c>
      <c r="D425" t="s">
        <v>1373</v>
      </c>
      <c r="E425" t="s">
        <v>624</v>
      </c>
      <c r="F425">
        <v>46234</v>
      </c>
      <c r="G425" t="s">
        <v>496</v>
      </c>
      <c r="H425" t="s">
        <v>1159</v>
      </c>
      <c r="I425">
        <v>51354001</v>
      </c>
      <c r="J425" t="s">
        <v>1468</v>
      </c>
      <c r="K425" t="s">
        <v>1469</v>
      </c>
      <c r="L425">
        <v>57.32</v>
      </c>
      <c r="M425">
        <v>0</v>
      </c>
      <c r="N425">
        <v>0</v>
      </c>
      <c r="O425">
        <v>57.32</v>
      </c>
      <c r="P425" t="s">
        <v>1470</v>
      </c>
      <c r="Q425" t="s">
        <v>1073</v>
      </c>
      <c r="R425" t="s">
        <v>1199</v>
      </c>
      <c r="S425" t="s">
        <v>947</v>
      </c>
      <c r="T425" t="s">
        <v>1074</v>
      </c>
      <c r="U425" t="s">
        <v>1471</v>
      </c>
      <c r="V425" t="s">
        <v>1165</v>
      </c>
      <c r="W425">
        <v>1</v>
      </c>
      <c r="X425">
        <v>57.32</v>
      </c>
      <c r="Y425" t="s">
        <v>1166</v>
      </c>
      <c r="Z425" t="s">
        <v>1167</v>
      </c>
      <c r="AA425" t="s">
        <v>1472</v>
      </c>
    </row>
    <row r="426" spans="1:27" x14ac:dyDescent="0.3">
      <c r="A426" t="s">
        <v>1603</v>
      </c>
      <c r="B426" t="s">
        <v>1508</v>
      </c>
      <c r="C426" t="s">
        <v>974</v>
      </c>
      <c r="D426" t="s">
        <v>1373</v>
      </c>
      <c r="E426" t="s">
        <v>624</v>
      </c>
      <c r="F426">
        <v>46234</v>
      </c>
      <c r="G426" t="s">
        <v>496</v>
      </c>
      <c r="H426" t="s">
        <v>1159</v>
      </c>
      <c r="I426">
        <v>51359501</v>
      </c>
      <c r="J426" t="s">
        <v>1232</v>
      </c>
      <c r="K426" t="s">
        <v>1474</v>
      </c>
      <c r="L426">
        <v>773.99</v>
      </c>
      <c r="M426">
        <v>0</v>
      </c>
      <c r="N426">
        <v>0</v>
      </c>
      <c r="O426">
        <v>773.99</v>
      </c>
      <c r="P426" t="s">
        <v>1475</v>
      </c>
      <c r="Q426" t="s">
        <v>1077</v>
      </c>
      <c r="R426" t="s">
        <v>1199</v>
      </c>
      <c r="S426" t="s">
        <v>947</v>
      </c>
      <c r="T426" t="s">
        <v>1078</v>
      </c>
      <c r="U426" t="s">
        <v>576</v>
      </c>
      <c r="V426" t="s">
        <v>1165</v>
      </c>
      <c r="W426">
        <v>1</v>
      </c>
      <c r="X426">
        <v>773.99</v>
      </c>
      <c r="Y426" t="s">
        <v>1192</v>
      </c>
      <c r="Z426" t="s">
        <v>1193</v>
      </c>
      <c r="AA426" t="s">
        <v>1476</v>
      </c>
    </row>
    <row r="427" spans="1:27" x14ac:dyDescent="0.3">
      <c r="A427" t="s">
        <v>1603</v>
      </c>
      <c r="B427" t="s">
        <v>1514</v>
      </c>
      <c r="C427" t="s">
        <v>974</v>
      </c>
      <c r="D427" t="s">
        <v>1373</v>
      </c>
      <c r="E427" t="s">
        <v>624</v>
      </c>
      <c r="F427">
        <v>46234</v>
      </c>
      <c r="G427" t="s">
        <v>496</v>
      </c>
      <c r="H427" t="s">
        <v>1159</v>
      </c>
      <c r="I427">
        <v>51952502</v>
      </c>
      <c r="J427" t="s">
        <v>1478</v>
      </c>
      <c r="K427" t="s">
        <v>1425</v>
      </c>
      <c r="L427">
        <v>35.1</v>
      </c>
      <c r="M427">
        <v>0</v>
      </c>
      <c r="N427">
        <v>0</v>
      </c>
      <c r="O427">
        <v>35.1</v>
      </c>
      <c r="P427" t="s">
        <v>1479</v>
      </c>
      <c r="Q427" t="s">
        <v>1079</v>
      </c>
      <c r="R427" t="s">
        <v>1199</v>
      </c>
      <c r="S427" t="s">
        <v>947</v>
      </c>
      <c r="T427" t="s">
        <v>1080</v>
      </c>
      <c r="U427" t="s">
        <v>1480</v>
      </c>
      <c r="V427" t="s">
        <v>1165</v>
      </c>
      <c r="W427">
        <v>1</v>
      </c>
      <c r="X427">
        <v>35.1</v>
      </c>
      <c r="Y427" t="s">
        <v>1166</v>
      </c>
      <c r="Z427" t="s">
        <v>1193</v>
      </c>
      <c r="AA427" t="s">
        <v>1481</v>
      </c>
    </row>
    <row r="428" spans="1:27" x14ac:dyDescent="0.3">
      <c r="A428" t="s">
        <v>1603</v>
      </c>
      <c r="B428" t="s">
        <v>1516</v>
      </c>
      <c r="C428" t="s">
        <v>974</v>
      </c>
      <c r="D428" t="s">
        <v>1373</v>
      </c>
      <c r="E428" t="s">
        <v>624</v>
      </c>
      <c r="F428">
        <v>46234</v>
      </c>
      <c r="G428" t="s">
        <v>496</v>
      </c>
      <c r="H428" t="s">
        <v>1159</v>
      </c>
      <c r="I428">
        <v>51952502</v>
      </c>
      <c r="J428" t="s">
        <v>1478</v>
      </c>
      <c r="K428" t="s">
        <v>1483</v>
      </c>
      <c r="L428">
        <v>82.58</v>
      </c>
      <c r="M428">
        <v>0</v>
      </c>
      <c r="N428">
        <v>0</v>
      </c>
      <c r="O428">
        <v>82.58</v>
      </c>
      <c r="P428" t="s">
        <v>1479</v>
      </c>
      <c r="Q428" t="s">
        <v>1079</v>
      </c>
      <c r="R428" t="s">
        <v>1199</v>
      </c>
      <c r="S428" t="s">
        <v>947</v>
      </c>
      <c r="T428" t="s">
        <v>1080</v>
      </c>
      <c r="U428" t="s">
        <v>1480</v>
      </c>
      <c r="V428" t="s">
        <v>1165</v>
      </c>
      <c r="W428">
        <v>1</v>
      </c>
      <c r="X428">
        <v>82.58</v>
      </c>
      <c r="Y428" t="s">
        <v>1166</v>
      </c>
      <c r="Z428" t="s">
        <v>1193</v>
      </c>
      <c r="AA428" t="s">
        <v>1481</v>
      </c>
    </row>
    <row r="429" spans="1:27" x14ac:dyDescent="0.3">
      <c r="A429" t="s">
        <v>1603</v>
      </c>
      <c r="B429" t="s">
        <v>1624</v>
      </c>
      <c r="C429" t="s">
        <v>974</v>
      </c>
      <c r="D429" t="s">
        <v>1373</v>
      </c>
      <c r="E429" t="s">
        <v>624</v>
      </c>
      <c r="F429">
        <v>46234</v>
      </c>
      <c r="G429" t="s">
        <v>496</v>
      </c>
      <c r="H429" t="s">
        <v>1159</v>
      </c>
      <c r="I429">
        <v>51956001</v>
      </c>
      <c r="J429" t="s">
        <v>1485</v>
      </c>
      <c r="K429" t="s">
        <v>1486</v>
      </c>
      <c r="L429">
        <v>254.29</v>
      </c>
      <c r="M429">
        <v>95.81</v>
      </c>
      <c r="N429">
        <v>0</v>
      </c>
      <c r="O429">
        <v>350.1</v>
      </c>
      <c r="P429" t="s">
        <v>1487</v>
      </c>
      <c r="Q429" t="s">
        <v>1081</v>
      </c>
      <c r="R429" t="s">
        <v>1199</v>
      </c>
      <c r="S429" t="s">
        <v>947</v>
      </c>
      <c r="T429" t="s">
        <v>1082</v>
      </c>
      <c r="U429" t="s">
        <v>1488</v>
      </c>
      <c r="V429" t="s">
        <v>1165</v>
      </c>
      <c r="W429">
        <v>1</v>
      </c>
      <c r="X429">
        <v>350.1</v>
      </c>
      <c r="Y429" t="s">
        <v>1166</v>
      </c>
      <c r="Z429" t="s">
        <v>1193</v>
      </c>
      <c r="AA429" t="s">
        <v>1489</v>
      </c>
    </row>
    <row r="430" spans="1:27" x14ac:dyDescent="0.3">
      <c r="A430" t="s">
        <v>1603</v>
      </c>
      <c r="B430" t="s">
        <v>1520</v>
      </c>
      <c r="C430" t="s">
        <v>974</v>
      </c>
      <c r="D430" t="s">
        <v>1373</v>
      </c>
      <c r="E430" t="s">
        <v>624</v>
      </c>
      <c r="F430">
        <v>46234</v>
      </c>
      <c r="G430" t="s">
        <v>496</v>
      </c>
      <c r="H430" t="s">
        <v>1159</v>
      </c>
      <c r="I430">
        <v>51956001</v>
      </c>
      <c r="J430" t="s">
        <v>1485</v>
      </c>
      <c r="K430" t="s">
        <v>1491</v>
      </c>
      <c r="L430">
        <v>63.15</v>
      </c>
      <c r="M430">
        <v>0</v>
      </c>
      <c r="N430">
        <v>0</v>
      </c>
      <c r="O430">
        <v>63.15</v>
      </c>
      <c r="P430" t="s">
        <v>1487</v>
      </c>
      <c r="Q430" t="s">
        <v>1081</v>
      </c>
      <c r="R430" t="s">
        <v>1199</v>
      </c>
      <c r="S430" t="s">
        <v>947</v>
      </c>
      <c r="T430" t="s">
        <v>1082</v>
      </c>
      <c r="U430" t="s">
        <v>1488</v>
      </c>
      <c r="V430" t="s">
        <v>1165</v>
      </c>
      <c r="W430">
        <v>1</v>
      </c>
      <c r="X430">
        <v>63.15</v>
      </c>
      <c r="Y430" t="s">
        <v>1166</v>
      </c>
      <c r="Z430" t="s">
        <v>1193</v>
      </c>
      <c r="AA430" t="s">
        <v>1489</v>
      </c>
    </row>
    <row r="431" spans="1:27" x14ac:dyDescent="0.3">
      <c r="A431" t="s">
        <v>1603</v>
      </c>
      <c r="B431" t="s">
        <v>1525</v>
      </c>
      <c r="C431" t="s">
        <v>974</v>
      </c>
      <c r="D431" t="s">
        <v>1373</v>
      </c>
      <c r="E431" t="s">
        <v>624</v>
      </c>
      <c r="F431">
        <v>46234</v>
      </c>
      <c r="G431" t="s">
        <v>496</v>
      </c>
      <c r="H431" t="s">
        <v>1159</v>
      </c>
      <c r="I431">
        <v>51956001</v>
      </c>
      <c r="J431" t="s">
        <v>1485</v>
      </c>
      <c r="K431" t="s">
        <v>1491</v>
      </c>
      <c r="L431">
        <v>55.93</v>
      </c>
      <c r="M431">
        <v>0</v>
      </c>
      <c r="N431">
        <v>0</v>
      </c>
      <c r="O431">
        <v>55.93</v>
      </c>
      <c r="P431" t="s">
        <v>1487</v>
      </c>
      <c r="Q431" t="s">
        <v>1081</v>
      </c>
      <c r="R431" t="s">
        <v>1199</v>
      </c>
      <c r="S431" t="s">
        <v>947</v>
      </c>
      <c r="T431" t="s">
        <v>1082</v>
      </c>
      <c r="U431" t="s">
        <v>1488</v>
      </c>
      <c r="V431" t="s">
        <v>1165</v>
      </c>
      <c r="W431">
        <v>1</v>
      </c>
      <c r="X431">
        <v>55.93</v>
      </c>
      <c r="Y431" t="s">
        <v>1166</v>
      </c>
      <c r="Z431" t="s">
        <v>1193</v>
      </c>
      <c r="AA431" t="s">
        <v>1489</v>
      </c>
    </row>
    <row r="432" spans="1:27" x14ac:dyDescent="0.3">
      <c r="A432" t="s">
        <v>1603</v>
      </c>
      <c r="B432" t="s">
        <v>1625</v>
      </c>
      <c r="C432" t="s">
        <v>974</v>
      </c>
      <c r="D432" t="s">
        <v>1373</v>
      </c>
      <c r="E432" t="s">
        <v>624</v>
      </c>
      <c r="F432">
        <v>46234</v>
      </c>
      <c r="G432" t="s">
        <v>496</v>
      </c>
      <c r="H432" t="s">
        <v>1159</v>
      </c>
      <c r="I432">
        <v>51956001</v>
      </c>
      <c r="J432" t="s">
        <v>1485</v>
      </c>
      <c r="K432" t="s">
        <v>1405</v>
      </c>
      <c r="L432">
        <v>145.96</v>
      </c>
      <c r="M432">
        <v>0</v>
      </c>
      <c r="N432">
        <v>0</v>
      </c>
      <c r="O432">
        <v>145.96</v>
      </c>
      <c r="P432" t="s">
        <v>1487</v>
      </c>
      <c r="Q432" t="s">
        <v>1081</v>
      </c>
      <c r="R432" t="s">
        <v>1199</v>
      </c>
      <c r="S432" t="s">
        <v>947</v>
      </c>
      <c r="T432" t="s">
        <v>1082</v>
      </c>
      <c r="U432" t="s">
        <v>1488</v>
      </c>
      <c r="V432" t="s">
        <v>1165</v>
      </c>
      <c r="W432">
        <v>1</v>
      </c>
      <c r="X432">
        <v>145.96</v>
      </c>
      <c r="Y432" t="s">
        <v>1166</v>
      </c>
      <c r="Z432" t="s">
        <v>1193</v>
      </c>
      <c r="AA432" t="s">
        <v>1489</v>
      </c>
    </row>
    <row r="433" spans="1:27" x14ac:dyDescent="0.3">
      <c r="A433" t="s">
        <v>1603</v>
      </c>
      <c r="B433" t="s">
        <v>1626</v>
      </c>
      <c r="C433" t="s">
        <v>974</v>
      </c>
      <c r="D433" t="s">
        <v>1373</v>
      </c>
      <c r="E433" t="s">
        <v>624</v>
      </c>
      <c r="F433">
        <v>46234</v>
      </c>
      <c r="G433" t="s">
        <v>496</v>
      </c>
      <c r="H433" t="s">
        <v>1159</v>
      </c>
      <c r="I433">
        <v>51956001</v>
      </c>
      <c r="J433" t="s">
        <v>1485</v>
      </c>
      <c r="K433" t="s">
        <v>1495</v>
      </c>
      <c r="L433">
        <v>92.97</v>
      </c>
      <c r="M433">
        <v>0</v>
      </c>
      <c r="N433">
        <v>0</v>
      </c>
      <c r="O433">
        <v>92.97</v>
      </c>
      <c r="P433" t="s">
        <v>1487</v>
      </c>
      <c r="Q433" t="s">
        <v>1081</v>
      </c>
      <c r="R433" t="s">
        <v>1199</v>
      </c>
      <c r="S433" t="s">
        <v>947</v>
      </c>
      <c r="T433" t="s">
        <v>1082</v>
      </c>
      <c r="U433" t="s">
        <v>1488</v>
      </c>
      <c r="V433" t="s">
        <v>1165</v>
      </c>
      <c r="W433">
        <v>1</v>
      </c>
      <c r="X433">
        <v>92.97</v>
      </c>
      <c r="Y433" t="s">
        <v>1166</v>
      </c>
      <c r="Z433" t="s">
        <v>1193</v>
      </c>
      <c r="AA433" t="s">
        <v>1489</v>
      </c>
    </row>
    <row r="434" spans="1:27" x14ac:dyDescent="0.3">
      <c r="A434" t="s">
        <v>1603</v>
      </c>
      <c r="B434" t="s">
        <v>1627</v>
      </c>
      <c r="C434" t="s">
        <v>974</v>
      </c>
      <c r="D434" t="s">
        <v>1373</v>
      </c>
      <c r="E434" t="s">
        <v>624</v>
      </c>
      <c r="F434">
        <v>46234</v>
      </c>
      <c r="G434" t="s">
        <v>496</v>
      </c>
      <c r="H434" t="s">
        <v>1159</v>
      </c>
      <c r="I434">
        <v>51956001</v>
      </c>
      <c r="J434" t="s">
        <v>1485</v>
      </c>
      <c r="K434" t="s">
        <v>1497</v>
      </c>
      <c r="L434">
        <v>122.49</v>
      </c>
      <c r="M434">
        <v>0</v>
      </c>
      <c r="N434">
        <v>0</v>
      </c>
      <c r="O434">
        <v>122.49</v>
      </c>
      <c r="P434" t="s">
        <v>1487</v>
      </c>
      <c r="Q434" t="s">
        <v>1081</v>
      </c>
      <c r="R434" t="s">
        <v>1199</v>
      </c>
      <c r="S434" t="s">
        <v>947</v>
      </c>
      <c r="T434" t="s">
        <v>1082</v>
      </c>
      <c r="U434" t="s">
        <v>1488</v>
      </c>
      <c r="V434" t="s">
        <v>1165</v>
      </c>
      <c r="W434">
        <v>1</v>
      </c>
      <c r="X434">
        <v>122.49</v>
      </c>
      <c r="Y434" t="s">
        <v>1166</v>
      </c>
      <c r="Z434" t="s">
        <v>1193</v>
      </c>
      <c r="AA434" t="s">
        <v>1489</v>
      </c>
    </row>
    <row r="435" spans="1:27" x14ac:dyDescent="0.3">
      <c r="A435" t="s">
        <v>1603</v>
      </c>
      <c r="B435" t="s">
        <v>1527</v>
      </c>
      <c r="C435" t="s">
        <v>974</v>
      </c>
      <c r="D435" t="s">
        <v>1373</v>
      </c>
      <c r="E435" t="s">
        <v>624</v>
      </c>
      <c r="F435">
        <v>46234</v>
      </c>
      <c r="G435" t="s">
        <v>496</v>
      </c>
      <c r="H435" t="s">
        <v>1159</v>
      </c>
      <c r="I435">
        <v>51956001</v>
      </c>
      <c r="J435" t="s">
        <v>1485</v>
      </c>
      <c r="K435" t="s">
        <v>1499</v>
      </c>
      <c r="L435">
        <v>417.15</v>
      </c>
      <c r="M435">
        <v>0</v>
      </c>
      <c r="N435">
        <v>0</v>
      </c>
      <c r="O435">
        <v>417.15</v>
      </c>
      <c r="P435" t="s">
        <v>1487</v>
      </c>
      <c r="Q435" t="s">
        <v>1081</v>
      </c>
      <c r="R435" t="s">
        <v>1199</v>
      </c>
      <c r="S435" t="s">
        <v>947</v>
      </c>
      <c r="T435" t="s">
        <v>1082</v>
      </c>
      <c r="U435" t="s">
        <v>1488</v>
      </c>
      <c r="V435" t="s">
        <v>1165</v>
      </c>
      <c r="W435">
        <v>1</v>
      </c>
      <c r="X435">
        <v>417.15</v>
      </c>
      <c r="Y435" t="s">
        <v>1166</v>
      </c>
      <c r="Z435" t="s">
        <v>1193</v>
      </c>
      <c r="AA435" t="s">
        <v>1489</v>
      </c>
    </row>
    <row r="436" spans="1:27" x14ac:dyDescent="0.3">
      <c r="A436" t="s">
        <v>1603</v>
      </c>
      <c r="B436" t="s">
        <v>1533</v>
      </c>
      <c r="C436" t="s">
        <v>974</v>
      </c>
      <c r="D436" t="s">
        <v>1373</v>
      </c>
      <c r="E436" t="s">
        <v>624</v>
      </c>
      <c r="F436">
        <v>46234</v>
      </c>
      <c r="G436" t="s">
        <v>496</v>
      </c>
      <c r="H436" t="s">
        <v>1159</v>
      </c>
      <c r="I436">
        <v>51956001</v>
      </c>
      <c r="J436" t="s">
        <v>1485</v>
      </c>
      <c r="K436" t="s">
        <v>1501</v>
      </c>
      <c r="L436">
        <v>80.39</v>
      </c>
      <c r="M436">
        <v>0</v>
      </c>
      <c r="N436">
        <v>0</v>
      </c>
      <c r="O436">
        <v>80.39</v>
      </c>
      <c r="P436" t="s">
        <v>1487</v>
      </c>
      <c r="Q436" t="s">
        <v>1081</v>
      </c>
      <c r="R436" t="s">
        <v>1199</v>
      </c>
      <c r="S436" t="s">
        <v>947</v>
      </c>
      <c r="T436" t="s">
        <v>1082</v>
      </c>
      <c r="U436" t="s">
        <v>1488</v>
      </c>
      <c r="V436" t="s">
        <v>1165</v>
      </c>
      <c r="W436">
        <v>1</v>
      </c>
      <c r="X436">
        <v>80.39</v>
      </c>
      <c r="Y436" t="s">
        <v>1166</v>
      </c>
      <c r="Z436" t="s">
        <v>1193</v>
      </c>
      <c r="AA436" t="s">
        <v>1489</v>
      </c>
    </row>
    <row r="437" spans="1:27" x14ac:dyDescent="0.3">
      <c r="A437" t="s">
        <v>1603</v>
      </c>
      <c r="B437" t="s">
        <v>1628</v>
      </c>
      <c r="C437" t="s">
        <v>974</v>
      </c>
      <c r="D437" t="s">
        <v>1373</v>
      </c>
      <c r="E437" t="s">
        <v>624</v>
      </c>
      <c r="F437">
        <v>46234</v>
      </c>
      <c r="G437" t="s">
        <v>496</v>
      </c>
      <c r="H437" t="s">
        <v>1159</v>
      </c>
      <c r="I437">
        <v>51956001</v>
      </c>
      <c r="J437" t="s">
        <v>1485</v>
      </c>
      <c r="K437" t="s">
        <v>1503</v>
      </c>
      <c r="L437">
        <v>214.32</v>
      </c>
      <c r="M437">
        <v>0</v>
      </c>
      <c r="N437">
        <v>0</v>
      </c>
      <c r="O437">
        <v>214.32</v>
      </c>
      <c r="P437" t="s">
        <v>1487</v>
      </c>
      <c r="Q437" t="s">
        <v>1081</v>
      </c>
      <c r="R437" t="s">
        <v>1199</v>
      </c>
      <c r="S437" t="s">
        <v>947</v>
      </c>
      <c r="T437" t="s">
        <v>1082</v>
      </c>
      <c r="U437" t="s">
        <v>1488</v>
      </c>
      <c r="V437" t="s">
        <v>1165</v>
      </c>
      <c r="W437">
        <v>1</v>
      </c>
      <c r="X437">
        <v>214.32</v>
      </c>
      <c r="Y437" t="s">
        <v>1166</v>
      </c>
      <c r="Z437" t="s">
        <v>1193</v>
      </c>
      <c r="AA437" t="s">
        <v>1489</v>
      </c>
    </row>
    <row r="438" spans="1:27" x14ac:dyDescent="0.3">
      <c r="A438" t="s">
        <v>1603</v>
      </c>
      <c r="B438" t="s">
        <v>1629</v>
      </c>
      <c r="C438" t="s">
        <v>974</v>
      </c>
      <c r="D438" t="s">
        <v>1373</v>
      </c>
      <c r="E438" t="s">
        <v>624</v>
      </c>
      <c r="F438">
        <v>46234</v>
      </c>
      <c r="G438" t="s">
        <v>496</v>
      </c>
      <c r="H438" t="s">
        <v>1159</v>
      </c>
      <c r="I438">
        <v>51956001</v>
      </c>
      <c r="J438" t="s">
        <v>1485</v>
      </c>
      <c r="K438" t="s">
        <v>1483</v>
      </c>
      <c r="L438">
        <v>0</v>
      </c>
      <c r="M438">
        <v>36.49</v>
      </c>
      <c r="N438">
        <v>0</v>
      </c>
      <c r="O438">
        <v>36.49</v>
      </c>
      <c r="P438" t="s">
        <v>1487</v>
      </c>
      <c r="Q438" t="s">
        <v>1081</v>
      </c>
      <c r="R438" t="s">
        <v>1199</v>
      </c>
      <c r="S438" t="s">
        <v>947</v>
      </c>
      <c r="T438" t="s">
        <v>1082</v>
      </c>
      <c r="U438" t="s">
        <v>1488</v>
      </c>
      <c r="V438" t="s">
        <v>1165</v>
      </c>
      <c r="W438">
        <v>1</v>
      </c>
      <c r="X438">
        <v>36.49</v>
      </c>
      <c r="Y438" t="s">
        <v>1166</v>
      </c>
      <c r="Z438" t="s">
        <v>1193</v>
      </c>
      <c r="AA438" t="s">
        <v>1489</v>
      </c>
    </row>
    <row r="439" spans="1:27" x14ac:dyDescent="0.3">
      <c r="A439" t="s">
        <v>1603</v>
      </c>
      <c r="B439" t="s">
        <v>1534</v>
      </c>
      <c r="C439" t="s">
        <v>974</v>
      </c>
      <c r="D439" t="s">
        <v>1373</v>
      </c>
      <c r="E439" t="s">
        <v>624</v>
      </c>
      <c r="F439">
        <v>46234</v>
      </c>
      <c r="G439" t="s">
        <v>496</v>
      </c>
      <c r="H439" t="s">
        <v>1159</v>
      </c>
      <c r="I439">
        <v>51956001</v>
      </c>
      <c r="J439" t="s">
        <v>1485</v>
      </c>
      <c r="K439" t="s">
        <v>1505</v>
      </c>
      <c r="L439">
        <v>284.61</v>
      </c>
      <c r="M439">
        <v>0</v>
      </c>
      <c r="N439">
        <v>0</v>
      </c>
      <c r="O439">
        <v>284.61</v>
      </c>
      <c r="P439" t="s">
        <v>1487</v>
      </c>
      <c r="Q439" t="s">
        <v>1081</v>
      </c>
      <c r="R439" t="s">
        <v>1199</v>
      </c>
      <c r="S439" t="s">
        <v>947</v>
      </c>
      <c r="T439" t="s">
        <v>1082</v>
      </c>
      <c r="U439" t="s">
        <v>1488</v>
      </c>
      <c r="V439" t="s">
        <v>1165</v>
      </c>
      <c r="W439">
        <v>1</v>
      </c>
      <c r="X439">
        <v>284.61</v>
      </c>
      <c r="Y439" t="s">
        <v>1166</v>
      </c>
      <c r="Z439" t="s">
        <v>1193</v>
      </c>
      <c r="AA439" t="s">
        <v>1489</v>
      </c>
    </row>
    <row r="440" spans="1:27" x14ac:dyDescent="0.3">
      <c r="A440" t="s">
        <v>1603</v>
      </c>
      <c r="B440" t="s">
        <v>1630</v>
      </c>
      <c r="C440" t="s">
        <v>974</v>
      </c>
      <c r="D440" t="s">
        <v>1373</v>
      </c>
      <c r="E440" t="s">
        <v>624</v>
      </c>
      <c r="F440">
        <v>46234</v>
      </c>
      <c r="G440" t="s">
        <v>496</v>
      </c>
      <c r="H440" t="s">
        <v>1159</v>
      </c>
      <c r="I440">
        <v>51956001</v>
      </c>
      <c r="J440" t="s">
        <v>1485</v>
      </c>
      <c r="K440" t="s">
        <v>1507</v>
      </c>
      <c r="L440">
        <v>372.46</v>
      </c>
      <c r="M440">
        <v>0</v>
      </c>
      <c r="N440">
        <v>0</v>
      </c>
      <c r="O440">
        <v>372.46</v>
      </c>
      <c r="P440" t="s">
        <v>1487</v>
      </c>
      <c r="Q440" t="s">
        <v>1081</v>
      </c>
      <c r="R440" t="s">
        <v>1199</v>
      </c>
      <c r="S440" t="s">
        <v>947</v>
      </c>
      <c r="T440" t="s">
        <v>1082</v>
      </c>
      <c r="U440" t="s">
        <v>1488</v>
      </c>
      <c r="V440" t="s">
        <v>1165</v>
      </c>
      <c r="W440">
        <v>1</v>
      </c>
      <c r="X440">
        <v>372.46</v>
      </c>
      <c r="Y440" t="s">
        <v>1166</v>
      </c>
      <c r="Z440" t="s">
        <v>1193</v>
      </c>
      <c r="AA440" t="s">
        <v>1489</v>
      </c>
    </row>
    <row r="441" spans="1:27" x14ac:dyDescent="0.3">
      <c r="A441" t="s">
        <v>1603</v>
      </c>
      <c r="B441" t="s">
        <v>1536</v>
      </c>
      <c r="C441" t="s">
        <v>974</v>
      </c>
      <c r="D441" t="s">
        <v>1373</v>
      </c>
      <c r="E441" t="s">
        <v>624</v>
      </c>
      <c r="F441">
        <v>46234</v>
      </c>
      <c r="G441" t="s">
        <v>496</v>
      </c>
      <c r="H441" t="s">
        <v>1159</v>
      </c>
      <c r="I441">
        <v>51956001</v>
      </c>
      <c r="J441" t="s">
        <v>1485</v>
      </c>
      <c r="K441" t="s">
        <v>1509</v>
      </c>
      <c r="L441">
        <v>30.09</v>
      </c>
      <c r="M441">
        <v>0</v>
      </c>
      <c r="N441">
        <v>0</v>
      </c>
      <c r="O441">
        <v>30.09</v>
      </c>
      <c r="P441" t="s">
        <v>1487</v>
      </c>
      <c r="Q441" t="s">
        <v>1081</v>
      </c>
      <c r="R441" t="s">
        <v>1199</v>
      </c>
      <c r="S441" t="s">
        <v>947</v>
      </c>
      <c r="T441" t="s">
        <v>1082</v>
      </c>
      <c r="U441" t="s">
        <v>1488</v>
      </c>
      <c r="V441" t="s">
        <v>1165</v>
      </c>
      <c r="W441">
        <v>1</v>
      </c>
      <c r="X441">
        <v>30.09</v>
      </c>
      <c r="Y441" t="s">
        <v>1166</v>
      </c>
      <c r="Z441" t="s">
        <v>1193</v>
      </c>
      <c r="AA441" t="s">
        <v>1489</v>
      </c>
    </row>
    <row r="442" spans="1:27" x14ac:dyDescent="0.3">
      <c r="A442" t="s">
        <v>1603</v>
      </c>
      <c r="B442" t="s">
        <v>1631</v>
      </c>
      <c r="C442" t="s">
        <v>974</v>
      </c>
      <c r="D442" t="s">
        <v>1373</v>
      </c>
      <c r="E442" t="s">
        <v>624</v>
      </c>
      <c r="F442">
        <v>46234</v>
      </c>
      <c r="G442" t="s">
        <v>496</v>
      </c>
      <c r="H442" t="s">
        <v>1159</v>
      </c>
      <c r="I442">
        <v>51956001</v>
      </c>
      <c r="J442" t="s">
        <v>1485</v>
      </c>
      <c r="K442" t="s">
        <v>1511</v>
      </c>
      <c r="L442">
        <v>182.88</v>
      </c>
      <c r="M442">
        <v>0</v>
      </c>
      <c r="N442">
        <v>0</v>
      </c>
      <c r="O442">
        <v>182.88</v>
      </c>
      <c r="P442" t="s">
        <v>1487</v>
      </c>
      <c r="Q442" t="s">
        <v>1081</v>
      </c>
      <c r="R442" t="s">
        <v>1199</v>
      </c>
      <c r="S442" t="s">
        <v>947</v>
      </c>
      <c r="T442" t="s">
        <v>1082</v>
      </c>
      <c r="U442" t="s">
        <v>1488</v>
      </c>
      <c r="V442" t="s">
        <v>1165</v>
      </c>
      <c r="W442">
        <v>1</v>
      </c>
      <c r="X442">
        <v>182.88</v>
      </c>
      <c r="Y442" t="s">
        <v>1166</v>
      </c>
      <c r="Z442" t="s">
        <v>1193</v>
      </c>
      <c r="AA442" t="s">
        <v>1489</v>
      </c>
    </row>
    <row r="443" spans="1:27" x14ac:dyDescent="0.3">
      <c r="A443" t="s">
        <v>1603</v>
      </c>
      <c r="B443" t="s">
        <v>1632</v>
      </c>
      <c r="C443" t="s">
        <v>974</v>
      </c>
      <c r="D443" t="s">
        <v>1373</v>
      </c>
      <c r="E443" t="s">
        <v>624</v>
      </c>
      <c r="F443">
        <v>46234</v>
      </c>
      <c r="G443" t="s">
        <v>496</v>
      </c>
      <c r="H443" t="s">
        <v>1159</v>
      </c>
      <c r="I443">
        <v>51956001</v>
      </c>
      <c r="J443" t="s">
        <v>1485</v>
      </c>
      <c r="K443" t="s">
        <v>1633</v>
      </c>
      <c r="L443">
        <v>0</v>
      </c>
      <c r="M443">
        <v>45.36</v>
      </c>
      <c r="N443">
        <v>0</v>
      </c>
      <c r="O443">
        <v>45.36</v>
      </c>
      <c r="P443" t="s">
        <v>1487</v>
      </c>
      <c r="Q443" t="s">
        <v>1081</v>
      </c>
      <c r="R443" t="s">
        <v>1199</v>
      </c>
      <c r="S443" t="s">
        <v>947</v>
      </c>
      <c r="T443" t="s">
        <v>1082</v>
      </c>
      <c r="U443" t="s">
        <v>1488</v>
      </c>
      <c r="V443" t="s">
        <v>1165</v>
      </c>
      <c r="W443">
        <v>1</v>
      </c>
      <c r="X443">
        <v>45.36</v>
      </c>
      <c r="Y443" t="s">
        <v>1166</v>
      </c>
      <c r="Z443" t="s">
        <v>1193</v>
      </c>
      <c r="AA443" t="s">
        <v>1489</v>
      </c>
    </row>
    <row r="444" spans="1:27" x14ac:dyDescent="0.3">
      <c r="A444" t="s">
        <v>1603</v>
      </c>
      <c r="B444" t="s">
        <v>1634</v>
      </c>
      <c r="C444" t="s">
        <v>974</v>
      </c>
      <c r="D444" t="s">
        <v>1373</v>
      </c>
      <c r="E444" t="s">
        <v>624</v>
      </c>
      <c r="F444">
        <v>46234</v>
      </c>
      <c r="G444" t="s">
        <v>496</v>
      </c>
      <c r="H444" t="s">
        <v>1159</v>
      </c>
      <c r="I444">
        <v>51956001</v>
      </c>
      <c r="J444" t="s">
        <v>1485</v>
      </c>
      <c r="K444" t="s">
        <v>1513</v>
      </c>
      <c r="L444">
        <v>7.03</v>
      </c>
      <c r="M444">
        <v>0</v>
      </c>
      <c r="N444">
        <v>0</v>
      </c>
      <c r="O444">
        <v>7.03</v>
      </c>
      <c r="P444" t="s">
        <v>1487</v>
      </c>
      <c r="Q444" t="s">
        <v>1081</v>
      </c>
      <c r="R444" t="s">
        <v>1199</v>
      </c>
      <c r="S444" t="s">
        <v>947</v>
      </c>
      <c r="T444" t="s">
        <v>1082</v>
      </c>
      <c r="U444" t="s">
        <v>1488</v>
      </c>
      <c r="V444" t="s">
        <v>1165</v>
      </c>
      <c r="W444">
        <v>1</v>
      </c>
      <c r="X444">
        <v>7.03</v>
      </c>
      <c r="Y444" t="s">
        <v>1166</v>
      </c>
      <c r="Z444" t="s">
        <v>1193</v>
      </c>
      <c r="AA444" t="s">
        <v>1489</v>
      </c>
    </row>
    <row r="445" spans="1:27" x14ac:dyDescent="0.3">
      <c r="A445" t="s">
        <v>1603</v>
      </c>
      <c r="B445" t="s">
        <v>1540</v>
      </c>
      <c r="C445" t="s">
        <v>974</v>
      </c>
      <c r="D445" t="s">
        <v>1373</v>
      </c>
      <c r="E445" t="s">
        <v>624</v>
      </c>
      <c r="F445">
        <v>46234</v>
      </c>
      <c r="G445" t="s">
        <v>496</v>
      </c>
      <c r="H445" t="s">
        <v>1159</v>
      </c>
      <c r="I445">
        <v>51956001</v>
      </c>
      <c r="J445" t="s">
        <v>1485</v>
      </c>
      <c r="K445" t="s">
        <v>1515</v>
      </c>
      <c r="L445">
        <v>299.25</v>
      </c>
      <c r="M445">
        <v>0</v>
      </c>
      <c r="N445">
        <v>0</v>
      </c>
      <c r="O445">
        <v>299.25</v>
      </c>
      <c r="P445" t="s">
        <v>1487</v>
      </c>
      <c r="Q445" t="s">
        <v>1081</v>
      </c>
      <c r="R445" t="s">
        <v>1199</v>
      </c>
      <c r="S445" t="s">
        <v>947</v>
      </c>
      <c r="T445" t="s">
        <v>1082</v>
      </c>
      <c r="U445" t="s">
        <v>1488</v>
      </c>
      <c r="V445" t="s">
        <v>1165</v>
      </c>
      <c r="W445">
        <v>1</v>
      </c>
      <c r="X445">
        <v>299.25</v>
      </c>
      <c r="Y445" t="s">
        <v>1166</v>
      </c>
      <c r="Z445" t="s">
        <v>1193</v>
      </c>
      <c r="AA445" t="s">
        <v>1489</v>
      </c>
    </row>
    <row r="446" spans="1:27" x14ac:dyDescent="0.3">
      <c r="A446" t="s">
        <v>1603</v>
      </c>
      <c r="B446" t="s">
        <v>1542</v>
      </c>
      <c r="C446" t="s">
        <v>974</v>
      </c>
      <c r="D446" t="s">
        <v>1373</v>
      </c>
      <c r="E446" t="s">
        <v>624</v>
      </c>
      <c r="F446">
        <v>46234</v>
      </c>
      <c r="G446" t="s">
        <v>496</v>
      </c>
      <c r="H446" t="s">
        <v>1159</v>
      </c>
      <c r="I446">
        <v>51956001</v>
      </c>
      <c r="J446" t="s">
        <v>1485</v>
      </c>
      <c r="K446" t="s">
        <v>1517</v>
      </c>
      <c r="L446">
        <v>27.93</v>
      </c>
      <c r="M446">
        <v>0</v>
      </c>
      <c r="N446">
        <v>0</v>
      </c>
      <c r="O446">
        <v>27.93</v>
      </c>
      <c r="P446" t="s">
        <v>1487</v>
      </c>
      <c r="Q446" t="s">
        <v>1081</v>
      </c>
      <c r="R446" t="s">
        <v>1199</v>
      </c>
      <c r="S446" t="s">
        <v>947</v>
      </c>
      <c r="T446" t="s">
        <v>1082</v>
      </c>
      <c r="U446" t="s">
        <v>1488</v>
      </c>
      <c r="V446" t="s">
        <v>1165</v>
      </c>
      <c r="W446">
        <v>1</v>
      </c>
      <c r="X446">
        <v>27.93</v>
      </c>
      <c r="Y446" t="s">
        <v>1166</v>
      </c>
      <c r="Z446" t="s">
        <v>1193</v>
      </c>
      <c r="AA446" t="s">
        <v>1489</v>
      </c>
    </row>
    <row r="447" spans="1:27" x14ac:dyDescent="0.3">
      <c r="A447" t="s">
        <v>1603</v>
      </c>
      <c r="B447" t="s">
        <v>1635</v>
      </c>
      <c r="C447" t="s">
        <v>974</v>
      </c>
      <c r="D447" t="s">
        <v>1373</v>
      </c>
      <c r="E447" t="s">
        <v>624</v>
      </c>
      <c r="F447">
        <v>46234</v>
      </c>
      <c r="G447" t="s">
        <v>496</v>
      </c>
      <c r="H447" t="s">
        <v>1159</v>
      </c>
      <c r="I447">
        <v>51956001</v>
      </c>
      <c r="J447" t="s">
        <v>1485</v>
      </c>
      <c r="K447" t="s">
        <v>1519</v>
      </c>
      <c r="L447">
        <v>72.540000000000006</v>
      </c>
      <c r="M447">
        <v>0</v>
      </c>
      <c r="N447">
        <v>0</v>
      </c>
      <c r="O447">
        <v>72.540000000000006</v>
      </c>
      <c r="P447" t="s">
        <v>1487</v>
      </c>
      <c r="Q447" t="s">
        <v>1081</v>
      </c>
      <c r="R447" t="s">
        <v>1199</v>
      </c>
      <c r="S447" t="s">
        <v>947</v>
      </c>
      <c r="T447" t="s">
        <v>1082</v>
      </c>
      <c r="U447" t="s">
        <v>1488</v>
      </c>
      <c r="V447" t="s">
        <v>1165</v>
      </c>
      <c r="W447">
        <v>1</v>
      </c>
      <c r="X447">
        <v>72.540000000000006</v>
      </c>
      <c r="Y447" t="s">
        <v>1166</v>
      </c>
      <c r="Z447" t="s">
        <v>1193</v>
      </c>
      <c r="AA447" t="s">
        <v>1489</v>
      </c>
    </row>
    <row r="448" spans="1:27" x14ac:dyDescent="0.3">
      <c r="A448" t="s">
        <v>1603</v>
      </c>
      <c r="B448" t="s">
        <v>1543</v>
      </c>
      <c r="C448" t="s">
        <v>974</v>
      </c>
      <c r="D448" t="s">
        <v>1373</v>
      </c>
      <c r="E448" t="s">
        <v>624</v>
      </c>
      <c r="F448">
        <v>46234</v>
      </c>
      <c r="G448" t="s">
        <v>496</v>
      </c>
      <c r="H448" t="s">
        <v>1159</v>
      </c>
      <c r="I448">
        <v>51956001</v>
      </c>
      <c r="J448" t="s">
        <v>1485</v>
      </c>
      <c r="K448" t="s">
        <v>1636</v>
      </c>
      <c r="L448">
        <v>476.54</v>
      </c>
      <c r="M448">
        <v>0</v>
      </c>
      <c r="N448">
        <v>0</v>
      </c>
      <c r="O448">
        <v>476.54</v>
      </c>
      <c r="P448" t="s">
        <v>1487</v>
      </c>
      <c r="Q448" t="s">
        <v>1081</v>
      </c>
      <c r="R448" t="s">
        <v>1199</v>
      </c>
      <c r="S448" t="s">
        <v>947</v>
      </c>
      <c r="T448" t="s">
        <v>1082</v>
      </c>
      <c r="U448" t="s">
        <v>1488</v>
      </c>
      <c r="V448" t="s">
        <v>1165</v>
      </c>
      <c r="W448">
        <v>1</v>
      </c>
      <c r="X448">
        <v>476.54</v>
      </c>
      <c r="Y448" t="s">
        <v>1166</v>
      </c>
      <c r="Z448" t="s">
        <v>1193</v>
      </c>
      <c r="AA448" t="s">
        <v>1489</v>
      </c>
    </row>
    <row r="449" spans="1:27" x14ac:dyDescent="0.3">
      <c r="A449" t="s">
        <v>1603</v>
      </c>
      <c r="B449" t="s">
        <v>1549</v>
      </c>
      <c r="C449" t="s">
        <v>974</v>
      </c>
      <c r="D449" t="s">
        <v>1373</v>
      </c>
      <c r="E449" t="s">
        <v>624</v>
      </c>
      <c r="F449">
        <v>46234</v>
      </c>
      <c r="G449" t="s">
        <v>496</v>
      </c>
      <c r="H449" t="s">
        <v>1159</v>
      </c>
      <c r="I449">
        <v>51956001</v>
      </c>
      <c r="J449" t="s">
        <v>1485</v>
      </c>
      <c r="K449" t="s">
        <v>1637</v>
      </c>
      <c r="L449">
        <v>259.2</v>
      </c>
      <c r="M449">
        <v>0</v>
      </c>
      <c r="N449">
        <v>0</v>
      </c>
      <c r="O449">
        <v>259.2</v>
      </c>
      <c r="P449" t="s">
        <v>1487</v>
      </c>
      <c r="Q449" t="s">
        <v>1081</v>
      </c>
      <c r="R449" t="s">
        <v>1199</v>
      </c>
      <c r="S449" t="s">
        <v>947</v>
      </c>
      <c r="T449" t="s">
        <v>1082</v>
      </c>
      <c r="U449" t="s">
        <v>1488</v>
      </c>
      <c r="V449" t="s">
        <v>1165</v>
      </c>
      <c r="W449">
        <v>1</v>
      </c>
      <c r="X449">
        <v>259.2</v>
      </c>
      <c r="Y449" t="s">
        <v>1166</v>
      </c>
      <c r="Z449" t="s">
        <v>1193</v>
      </c>
      <c r="AA449" t="s">
        <v>1489</v>
      </c>
    </row>
    <row r="450" spans="1:27" x14ac:dyDescent="0.3">
      <c r="A450" t="s">
        <v>1603</v>
      </c>
      <c r="B450" t="s">
        <v>1550</v>
      </c>
      <c r="C450" t="s">
        <v>974</v>
      </c>
      <c r="D450" t="s">
        <v>1373</v>
      </c>
      <c r="E450" t="s">
        <v>624</v>
      </c>
      <c r="F450">
        <v>46234</v>
      </c>
      <c r="G450" t="s">
        <v>496</v>
      </c>
      <c r="H450" t="s">
        <v>1159</v>
      </c>
      <c r="I450">
        <v>51956001</v>
      </c>
      <c r="J450" t="s">
        <v>1485</v>
      </c>
      <c r="K450" t="s">
        <v>1638</v>
      </c>
      <c r="L450">
        <v>237.15</v>
      </c>
      <c r="M450">
        <v>0</v>
      </c>
      <c r="N450">
        <v>0</v>
      </c>
      <c r="O450">
        <v>237.15</v>
      </c>
      <c r="P450" t="s">
        <v>1487</v>
      </c>
      <c r="Q450" t="s">
        <v>1081</v>
      </c>
      <c r="R450" t="s">
        <v>1199</v>
      </c>
      <c r="S450" t="s">
        <v>947</v>
      </c>
      <c r="T450" t="s">
        <v>1082</v>
      </c>
      <c r="U450" t="s">
        <v>1488</v>
      </c>
      <c r="V450" t="s">
        <v>1165</v>
      </c>
      <c r="W450">
        <v>1</v>
      </c>
      <c r="X450">
        <v>237.15</v>
      </c>
      <c r="Y450" t="s">
        <v>1166</v>
      </c>
      <c r="Z450" t="s">
        <v>1193</v>
      </c>
      <c r="AA450" t="s">
        <v>1489</v>
      </c>
    </row>
    <row r="451" spans="1:27" x14ac:dyDescent="0.3">
      <c r="A451" t="s">
        <v>1603</v>
      </c>
      <c r="B451" t="s">
        <v>1639</v>
      </c>
      <c r="C451" t="s">
        <v>974</v>
      </c>
      <c r="D451" t="s">
        <v>1373</v>
      </c>
      <c r="E451" t="s">
        <v>624</v>
      </c>
      <c r="F451">
        <v>46234</v>
      </c>
      <c r="G451" t="s">
        <v>496</v>
      </c>
      <c r="H451" t="s">
        <v>1159</v>
      </c>
      <c r="I451">
        <v>51956501</v>
      </c>
      <c r="J451" t="s">
        <v>1521</v>
      </c>
      <c r="K451" t="s">
        <v>1522</v>
      </c>
      <c r="L451">
        <v>10</v>
      </c>
      <c r="M451">
        <v>0</v>
      </c>
      <c r="N451">
        <v>0</v>
      </c>
      <c r="O451">
        <v>10</v>
      </c>
      <c r="P451" t="s">
        <v>1523</v>
      </c>
      <c r="Q451" t="s">
        <v>1083</v>
      </c>
      <c r="R451" t="s">
        <v>1199</v>
      </c>
      <c r="S451" t="s">
        <v>947</v>
      </c>
      <c r="T451" t="s">
        <v>1084</v>
      </c>
      <c r="U451" t="s">
        <v>1524</v>
      </c>
      <c r="V451" t="s">
        <v>1165</v>
      </c>
      <c r="W451">
        <v>1</v>
      </c>
      <c r="X451">
        <v>10</v>
      </c>
      <c r="Y451" t="s">
        <v>1166</v>
      </c>
      <c r="Z451" t="s">
        <v>1167</v>
      </c>
      <c r="AA451" t="s">
        <v>1524</v>
      </c>
    </row>
    <row r="452" spans="1:27" x14ac:dyDescent="0.3">
      <c r="A452" t="s">
        <v>1603</v>
      </c>
      <c r="B452" t="s">
        <v>1640</v>
      </c>
      <c r="C452" t="s">
        <v>974</v>
      </c>
      <c r="D452" t="s">
        <v>1373</v>
      </c>
      <c r="E452" t="s">
        <v>624</v>
      </c>
      <c r="F452">
        <v>46234</v>
      </c>
      <c r="G452" t="s">
        <v>496</v>
      </c>
      <c r="H452" t="s">
        <v>1159</v>
      </c>
      <c r="I452">
        <v>51956501</v>
      </c>
      <c r="J452" t="s">
        <v>1521</v>
      </c>
      <c r="K452" t="s">
        <v>1526</v>
      </c>
      <c r="L452">
        <v>12.75</v>
      </c>
      <c r="M452">
        <v>0</v>
      </c>
      <c r="N452">
        <v>0</v>
      </c>
      <c r="O452">
        <v>12.75</v>
      </c>
      <c r="P452" t="s">
        <v>1523</v>
      </c>
      <c r="Q452" t="s">
        <v>1083</v>
      </c>
      <c r="R452" t="s">
        <v>1199</v>
      </c>
      <c r="S452" t="s">
        <v>947</v>
      </c>
      <c r="T452" t="s">
        <v>1084</v>
      </c>
      <c r="U452" t="s">
        <v>1524</v>
      </c>
      <c r="V452" t="s">
        <v>1165</v>
      </c>
      <c r="W452">
        <v>1</v>
      </c>
      <c r="X452">
        <v>12.75</v>
      </c>
      <c r="Y452" t="s">
        <v>1166</v>
      </c>
      <c r="Z452" t="s">
        <v>1167</v>
      </c>
      <c r="AA452" t="s">
        <v>1524</v>
      </c>
    </row>
    <row r="453" spans="1:27" x14ac:dyDescent="0.3">
      <c r="A453" t="s">
        <v>1603</v>
      </c>
      <c r="B453" t="s">
        <v>1641</v>
      </c>
      <c r="C453" t="s">
        <v>974</v>
      </c>
      <c r="D453" t="s">
        <v>1373</v>
      </c>
      <c r="E453" t="s">
        <v>624</v>
      </c>
      <c r="F453">
        <v>46234</v>
      </c>
      <c r="G453" t="s">
        <v>496</v>
      </c>
      <c r="H453" t="s">
        <v>1159</v>
      </c>
      <c r="I453">
        <v>51956501</v>
      </c>
      <c r="J453" t="s">
        <v>1521</v>
      </c>
      <c r="K453" t="s">
        <v>1642</v>
      </c>
      <c r="L453">
        <v>35</v>
      </c>
      <c r="M453">
        <v>0</v>
      </c>
      <c r="N453">
        <v>0</v>
      </c>
      <c r="O453">
        <v>35</v>
      </c>
      <c r="P453" t="s">
        <v>1523</v>
      </c>
      <c r="Q453" t="s">
        <v>1083</v>
      </c>
      <c r="R453" t="s">
        <v>1199</v>
      </c>
      <c r="S453" t="s">
        <v>947</v>
      </c>
      <c r="T453" t="s">
        <v>1084</v>
      </c>
      <c r="U453" t="s">
        <v>1524</v>
      </c>
      <c r="V453" t="s">
        <v>1165</v>
      </c>
      <c r="W453">
        <v>1</v>
      </c>
      <c r="X453">
        <v>35</v>
      </c>
      <c r="Y453" t="s">
        <v>1166</v>
      </c>
      <c r="Z453" t="s">
        <v>1167</v>
      </c>
      <c r="AA453" t="s">
        <v>1524</v>
      </c>
    </row>
    <row r="454" spans="1:27" x14ac:dyDescent="0.3">
      <c r="A454" t="s">
        <v>1603</v>
      </c>
      <c r="B454" t="s">
        <v>1643</v>
      </c>
      <c r="C454" t="s">
        <v>974</v>
      </c>
      <c r="D454" t="s">
        <v>1373</v>
      </c>
      <c r="E454" t="s">
        <v>624</v>
      </c>
      <c r="F454">
        <v>46234</v>
      </c>
      <c r="G454" t="s">
        <v>496</v>
      </c>
      <c r="H454" t="s">
        <v>1159</v>
      </c>
      <c r="I454">
        <v>52100502</v>
      </c>
      <c r="J454" t="s">
        <v>1528</v>
      </c>
      <c r="K454" t="s">
        <v>1529</v>
      </c>
      <c r="L454">
        <v>2333.33</v>
      </c>
      <c r="M454">
        <v>8000</v>
      </c>
      <c r="N454">
        <v>0</v>
      </c>
      <c r="O454">
        <v>10333.33</v>
      </c>
      <c r="P454" t="s">
        <v>1530</v>
      </c>
      <c r="Q454" t="s">
        <v>1062</v>
      </c>
      <c r="R454" t="s">
        <v>1199</v>
      </c>
      <c r="S454" t="s">
        <v>947</v>
      </c>
      <c r="T454" t="s">
        <v>1063</v>
      </c>
      <c r="U454" t="s">
        <v>1531</v>
      </c>
      <c r="V454" t="s">
        <v>1165</v>
      </c>
      <c r="W454">
        <v>1</v>
      </c>
      <c r="X454">
        <v>10333.33</v>
      </c>
      <c r="Y454" t="s">
        <v>1166</v>
      </c>
      <c r="Z454" t="s">
        <v>1167</v>
      </c>
      <c r="AA454" t="s">
        <v>1532</v>
      </c>
    </row>
    <row r="455" spans="1:27" x14ac:dyDescent="0.3">
      <c r="A455" t="s">
        <v>1603</v>
      </c>
      <c r="B455" t="s">
        <v>1644</v>
      </c>
      <c r="C455" t="s">
        <v>974</v>
      </c>
      <c r="D455" t="s">
        <v>1373</v>
      </c>
      <c r="E455" t="s">
        <v>624</v>
      </c>
      <c r="F455">
        <v>46234</v>
      </c>
      <c r="G455" t="s">
        <v>496</v>
      </c>
      <c r="H455" t="s">
        <v>1159</v>
      </c>
      <c r="I455">
        <v>52100503</v>
      </c>
      <c r="J455" t="s">
        <v>1528</v>
      </c>
      <c r="K455" t="s">
        <v>1529</v>
      </c>
      <c r="L455">
        <v>2557.46</v>
      </c>
      <c r="M455">
        <v>0</v>
      </c>
      <c r="N455">
        <v>0</v>
      </c>
      <c r="O455">
        <v>2557.46</v>
      </c>
      <c r="P455" t="s">
        <v>1530</v>
      </c>
      <c r="Q455" t="s">
        <v>1062</v>
      </c>
      <c r="R455" t="s">
        <v>1199</v>
      </c>
      <c r="S455" t="s">
        <v>947</v>
      </c>
      <c r="T455" t="s">
        <v>1063</v>
      </c>
      <c r="U455" t="s">
        <v>1531</v>
      </c>
      <c r="V455" t="s">
        <v>1165</v>
      </c>
      <c r="W455">
        <v>1</v>
      </c>
      <c r="X455">
        <v>2557.46</v>
      </c>
      <c r="Y455" t="s">
        <v>1166</v>
      </c>
      <c r="Z455" t="s">
        <v>1167</v>
      </c>
      <c r="AA455" t="s">
        <v>1532</v>
      </c>
    </row>
    <row r="456" spans="1:27" x14ac:dyDescent="0.3">
      <c r="A456" t="s">
        <v>1603</v>
      </c>
      <c r="B456" t="s">
        <v>1645</v>
      </c>
      <c r="C456" t="s">
        <v>974</v>
      </c>
      <c r="D456" t="s">
        <v>1373</v>
      </c>
      <c r="E456" t="s">
        <v>624</v>
      </c>
      <c r="F456">
        <v>46234</v>
      </c>
      <c r="G456" t="s">
        <v>496</v>
      </c>
      <c r="H456" t="s">
        <v>1159</v>
      </c>
      <c r="I456">
        <v>52100503</v>
      </c>
      <c r="J456" t="s">
        <v>1528</v>
      </c>
      <c r="K456" t="s">
        <v>1529</v>
      </c>
      <c r="L456">
        <v>5666.67</v>
      </c>
      <c r="M456">
        <v>0</v>
      </c>
      <c r="N456">
        <v>0</v>
      </c>
      <c r="O456">
        <v>5666.67</v>
      </c>
      <c r="P456" t="s">
        <v>1530</v>
      </c>
      <c r="Q456" t="s">
        <v>1062</v>
      </c>
      <c r="R456" t="s">
        <v>1199</v>
      </c>
      <c r="S456" t="s">
        <v>947</v>
      </c>
      <c r="T456" t="s">
        <v>1063</v>
      </c>
      <c r="U456" t="s">
        <v>1531</v>
      </c>
      <c r="V456" t="s">
        <v>1165</v>
      </c>
      <c r="W456">
        <v>1</v>
      </c>
      <c r="X456">
        <v>5666.67</v>
      </c>
      <c r="Y456" t="s">
        <v>1166</v>
      </c>
      <c r="Z456" t="s">
        <v>1167</v>
      </c>
      <c r="AA456" t="s">
        <v>1532</v>
      </c>
    </row>
    <row r="457" spans="1:27" x14ac:dyDescent="0.3">
      <c r="A457" t="s">
        <v>1603</v>
      </c>
      <c r="B457" t="s">
        <v>1646</v>
      </c>
      <c r="C457" t="s">
        <v>974</v>
      </c>
      <c r="D457" t="s">
        <v>1373</v>
      </c>
      <c r="E457" t="s">
        <v>624</v>
      </c>
      <c r="F457">
        <v>46234</v>
      </c>
      <c r="G457" t="s">
        <v>496</v>
      </c>
      <c r="H457" t="s">
        <v>1159</v>
      </c>
      <c r="I457">
        <v>52356001</v>
      </c>
      <c r="J457" t="s">
        <v>1338</v>
      </c>
      <c r="K457" t="s">
        <v>1535</v>
      </c>
      <c r="L457">
        <v>400</v>
      </c>
      <c r="M457">
        <v>0</v>
      </c>
      <c r="N457">
        <v>0</v>
      </c>
      <c r="O457">
        <v>400</v>
      </c>
      <c r="P457" t="s">
        <v>1339</v>
      </c>
      <c r="Q457" t="s">
        <v>1097</v>
      </c>
      <c r="R457" t="s">
        <v>1199</v>
      </c>
      <c r="S457" t="s">
        <v>948</v>
      </c>
      <c r="T457" t="s">
        <v>1098</v>
      </c>
      <c r="U457" t="s">
        <v>1340</v>
      </c>
      <c r="V457" t="s">
        <v>1165</v>
      </c>
      <c r="W457">
        <v>1</v>
      </c>
      <c r="X457">
        <v>400</v>
      </c>
      <c r="Y457" t="s">
        <v>1166</v>
      </c>
      <c r="Z457" t="s">
        <v>1167</v>
      </c>
      <c r="AA457" t="s">
        <v>1341</v>
      </c>
    </row>
    <row r="458" spans="1:27" x14ac:dyDescent="0.3">
      <c r="A458" t="s">
        <v>1603</v>
      </c>
      <c r="B458" t="s">
        <v>1647</v>
      </c>
      <c r="C458" t="s">
        <v>974</v>
      </c>
      <c r="D458" t="s">
        <v>1373</v>
      </c>
      <c r="E458" t="s">
        <v>624</v>
      </c>
      <c r="F458">
        <v>46234</v>
      </c>
      <c r="G458" t="s">
        <v>496</v>
      </c>
      <c r="H458" t="s">
        <v>1159</v>
      </c>
      <c r="I458">
        <v>52359502</v>
      </c>
      <c r="J458" t="s">
        <v>1232</v>
      </c>
      <c r="K458" t="s">
        <v>1648</v>
      </c>
      <c r="L458">
        <v>3500</v>
      </c>
      <c r="M458">
        <v>0</v>
      </c>
      <c r="N458">
        <v>0</v>
      </c>
      <c r="O458">
        <v>3500</v>
      </c>
      <c r="P458" t="s">
        <v>1538</v>
      </c>
      <c r="Q458" t="s">
        <v>1099</v>
      </c>
      <c r="R458" t="s">
        <v>1199</v>
      </c>
      <c r="S458" t="s">
        <v>948</v>
      </c>
      <c r="T458" t="s">
        <v>1100</v>
      </c>
      <c r="U458" t="s">
        <v>576</v>
      </c>
      <c r="V458" t="s">
        <v>1165</v>
      </c>
      <c r="W458">
        <v>1</v>
      </c>
      <c r="X458">
        <v>3500</v>
      </c>
      <c r="Y458" t="s">
        <v>1192</v>
      </c>
      <c r="Z458" t="s">
        <v>1193</v>
      </c>
      <c r="AA458" t="s">
        <v>1539</v>
      </c>
    </row>
    <row r="459" spans="1:27" x14ac:dyDescent="0.3">
      <c r="A459" t="s">
        <v>1603</v>
      </c>
      <c r="B459" t="s">
        <v>1649</v>
      </c>
      <c r="C459" t="s">
        <v>974</v>
      </c>
      <c r="D459" t="s">
        <v>1373</v>
      </c>
      <c r="E459" t="s">
        <v>624</v>
      </c>
      <c r="F459">
        <v>46234</v>
      </c>
      <c r="G459" t="s">
        <v>496</v>
      </c>
      <c r="H459" t="s">
        <v>1159</v>
      </c>
      <c r="I459">
        <v>52359502</v>
      </c>
      <c r="J459" t="s">
        <v>1232</v>
      </c>
      <c r="K459" t="s">
        <v>1537</v>
      </c>
      <c r="L459">
        <v>648</v>
      </c>
      <c r="M459">
        <v>0</v>
      </c>
      <c r="N459">
        <v>0</v>
      </c>
      <c r="O459">
        <v>648</v>
      </c>
      <c r="P459" t="s">
        <v>1538</v>
      </c>
      <c r="Q459" t="s">
        <v>1099</v>
      </c>
      <c r="R459" t="s">
        <v>1199</v>
      </c>
      <c r="S459" t="s">
        <v>948</v>
      </c>
      <c r="T459" t="s">
        <v>1100</v>
      </c>
      <c r="U459" t="s">
        <v>576</v>
      </c>
      <c r="V459" t="s">
        <v>1165</v>
      </c>
      <c r="W459">
        <v>1</v>
      </c>
      <c r="X459">
        <v>648</v>
      </c>
      <c r="Y459" t="s">
        <v>1192</v>
      </c>
      <c r="Z459" t="s">
        <v>1193</v>
      </c>
      <c r="AA459" t="s">
        <v>1539</v>
      </c>
    </row>
    <row r="460" spans="1:27" x14ac:dyDescent="0.3">
      <c r="A460" t="s">
        <v>1603</v>
      </c>
      <c r="B460" t="s">
        <v>1650</v>
      </c>
      <c r="C460" t="s">
        <v>974</v>
      </c>
      <c r="D460" t="s">
        <v>1373</v>
      </c>
      <c r="E460" t="s">
        <v>624</v>
      </c>
      <c r="F460">
        <v>46234</v>
      </c>
      <c r="G460" t="s">
        <v>496</v>
      </c>
      <c r="H460" t="s">
        <v>1159</v>
      </c>
      <c r="I460">
        <v>53050501</v>
      </c>
      <c r="J460" t="s">
        <v>1258</v>
      </c>
      <c r="K460" t="s">
        <v>1541</v>
      </c>
      <c r="L460">
        <v>0.34</v>
      </c>
      <c r="M460">
        <v>0</v>
      </c>
      <c r="N460">
        <v>0</v>
      </c>
      <c r="O460">
        <v>0.34</v>
      </c>
      <c r="P460" t="s">
        <v>1260</v>
      </c>
      <c r="Q460" t="s">
        <v>1123</v>
      </c>
      <c r="R460" t="s">
        <v>1199</v>
      </c>
      <c r="S460" t="s">
        <v>717</v>
      </c>
      <c r="T460" t="s">
        <v>717</v>
      </c>
      <c r="U460" t="s">
        <v>1261</v>
      </c>
      <c r="V460" t="s">
        <v>1165</v>
      </c>
      <c r="W460">
        <v>1</v>
      </c>
      <c r="X460">
        <v>0.34</v>
      </c>
      <c r="Y460" t="s">
        <v>1166</v>
      </c>
      <c r="Z460" t="s">
        <v>1167</v>
      </c>
      <c r="AA460" t="s">
        <v>1262</v>
      </c>
    </row>
    <row r="461" spans="1:27" x14ac:dyDescent="0.3">
      <c r="A461" t="s">
        <v>1603</v>
      </c>
      <c r="B461" t="s">
        <v>1651</v>
      </c>
      <c r="C461" t="s">
        <v>974</v>
      </c>
      <c r="D461" t="s">
        <v>1373</v>
      </c>
      <c r="E461" t="s">
        <v>624</v>
      </c>
      <c r="F461">
        <v>46234</v>
      </c>
      <c r="G461" t="s">
        <v>496</v>
      </c>
      <c r="H461" t="s">
        <v>1159</v>
      </c>
      <c r="I461">
        <v>53050501</v>
      </c>
      <c r="J461" t="s">
        <v>1258</v>
      </c>
      <c r="K461" t="s">
        <v>1406</v>
      </c>
      <c r="L461">
        <v>15</v>
      </c>
      <c r="M461">
        <v>0</v>
      </c>
      <c r="N461">
        <v>0</v>
      </c>
      <c r="O461">
        <v>15</v>
      </c>
      <c r="P461" t="s">
        <v>1260</v>
      </c>
      <c r="Q461" t="s">
        <v>1123</v>
      </c>
      <c r="R461" t="s">
        <v>1199</v>
      </c>
      <c r="S461" t="s">
        <v>717</v>
      </c>
      <c r="T461" t="s">
        <v>717</v>
      </c>
      <c r="U461" t="s">
        <v>1261</v>
      </c>
      <c r="V461" t="s">
        <v>1165</v>
      </c>
      <c r="W461">
        <v>1</v>
      </c>
      <c r="X461">
        <v>15</v>
      </c>
      <c r="Y461" t="s">
        <v>1166</v>
      </c>
      <c r="Z461" t="s">
        <v>1167</v>
      </c>
      <c r="AA461" t="s">
        <v>1262</v>
      </c>
    </row>
    <row r="462" spans="1:27" x14ac:dyDescent="0.3">
      <c r="A462" t="s">
        <v>1603</v>
      </c>
      <c r="B462" t="s">
        <v>1652</v>
      </c>
      <c r="C462" t="s">
        <v>974</v>
      </c>
      <c r="D462" t="s">
        <v>1373</v>
      </c>
      <c r="E462" t="s">
        <v>624</v>
      </c>
      <c r="F462">
        <v>46234</v>
      </c>
      <c r="G462" t="s">
        <v>496</v>
      </c>
      <c r="H462" t="s">
        <v>1159</v>
      </c>
      <c r="I462">
        <v>53051501</v>
      </c>
      <c r="J462" t="s">
        <v>1544</v>
      </c>
      <c r="K462" t="s">
        <v>1545</v>
      </c>
      <c r="L462">
        <v>228.21</v>
      </c>
      <c r="M462">
        <v>8.33</v>
      </c>
      <c r="N462">
        <v>0</v>
      </c>
      <c r="O462">
        <v>236.54</v>
      </c>
      <c r="P462" t="s">
        <v>1546</v>
      </c>
      <c r="Q462" t="s">
        <v>1123</v>
      </c>
      <c r="R462" t="s">
        <v>1199</v>
      </c>
      <c r="S462" t="s">
        <v>717</v>
      </c>
      <c r="T462" t="s">
        <v>717</v>
      </c>
      <c r="U462" t="s">
        <v>1547</v>
      </c>
      <c r="V462" t="s">
        <v>1165</v>
      </c>
      <c r="W462">
        <v>1</v>
      </c>
      <c r="X462">
        <v>236.54</v>
      </c>
      <c r="Y462" t="s">
        <v>1166</v>
      </c>
      <c r="Z462" t="s">
        <v>1167</v>
      </c>
      <c r="AA462" t="s">
        <v>1548</v>
      </c>
    </row>
    <row r="463" spans="1:27" x14ac:dyDescent="0.3">
      <c r="A463" t="s">
        <v>1603</v>
      </c>
      <c r="B463" t="s">
        <v>1653</v>
      </c>
      <c r="C463" t="s">
        <v>974</v>
      </c>
      <c r="D463" t="s">
        <v>1373</v>
      </c>
      <c r="E463" t="s">
        <v>624</v>
      </c>
      <c r="F463">
        <v>46234</v>
      </c>
      <c r="G463" t="s">
        <v>496</v>
      </c>
      <c r="H463" t="s">
        <v>1159</v>
      </c>
      <c r="I463">
        <v>53051501</v>
      </c>
      <c r="J463" t="s">
        <v>1544</v>
      </c>
      <c r="K463" t="s">
        <v>1382</v>
      </c>
      <c r="L463">
        <v>3.11</v>
      </c>
      <c r="M463">
        <v>0</v>
      </c>
      <c r="N463">
        <v>0</v>
      </c>
      <c r="O463">
        <v>3.11</v>
      </c>
      <c r="P463" t="s">
        <v>1546</v>
      </c>
      <c r="Q463" t="s">
        <v>1123</v>
      </c>
      <c r="R463" t="s">
        <v>1199</v>
      </c>
      <c r="S463" t="s">
        <v>717</v>
      </c>
      <c r="T463" t="s">
        <v>717</v>
      </c>
      <c r="U463" t="s">
        <v>1547</v>
      </c>
      <c r="V463" t="s">
        <v>1165</v>
      </c>
      <c r="W463">
        <v>1</v>
      </c>
      <c r="X463">
        <v>3.11</v>
      </c>
      <c r="Y463" t="s">
        <v>1166</v>
      </c>
      <c r="Z463" t="s">
        <v>1167</v>
      </c>
      <c r="AA463" t="s">
        <v>1548</v>
      </c>
    </row>
    <row r="464" spans="1:27" x14ac:dyDescent="0.3">
      <c r="A464" t="s">
        <v>1603</v>
      </c>
      <c r="B464" t="s">
        <v>1654</v>
      </c>
      <c r="C464" t="s">
        <v>974</v>
      </c>
      <c r="D464" t="s">
        <v>1373</v>
      </c>
      <c r="E464" t="s">
        <v>624</v>
      </c>
      <c r="F464">
        <v>46234</v>
      </c>
      <c r="G464" t="s">
        <v>496</v>
      </c>
      <c r="H464" t="s">
        <v>1159</v>
      </c>
      <c r="I464">
        <v>53051501</v>
      </c>
      <c r="J464" t="s">
        <v>1544</v>
      </c>
      <c r="K464" t="s">
        <v>1551</v>
      </c>
      <c r="L464">
        <v>530.70000000000005</v>
      </c>
      <c r="M464">
        <v>125.95</v>
      </c>
      <c r="N464">
        <v>0</v>
      </c>
      <c r="O464">
        <v>656.65</v>
      </c>
      <c r="P464" t="s">
        <v>1546</v>
      </c>
      <c r="Q464" t="s">
        <v>1123</v>
      </c>
      <c r="R464" t="s">
        <v>1199</v>
      </c>
      <c r="S464" t="s">
        <v>717</v>
      </c>
      <c r="T464" t="s">
        <v>717</v>
      </c>
      <c r="U464" t="s">
        <v>1547</v>
      </c>
      <c r="V464" t="s">
        <v>1165</v>
      </c>
      <c r="W464">
        <v>1</v>
      </c>
      <c r="X464">
        <v>656.65</v>
      </c>
      <c r="Y464" t="s">
        <v>1166</v>
      </c>
      <c r="Z464" t="s">
        <v>1167</v>
      </c>
      <c r="AA464" t="s">
        <v>1548</v>
      </c>
    </row>
    <row r="465" spans="1:27" x14ac:dyDescent="0.3">
      <c r="A465" t="s">
        <v>1603</v>
      </c>
      <c r="B465" t="s">
        <v>1655</v>
      </c>
      <c r="C465" t="s">
        <v>974</v>
      </c>
      <c r="D465" t="s">
        <v>1373</v>
      </c>
      <c r="E465" t="s">
        <v>624</v>
      </c>
      <c r="F465">
        <v>46234</v>
      </c>
      <c r="G465" t="s">
        <v>496</v>
      </c>
      <c r="H465" t="s">
        <v>1159</v>
      </c>
      <c r="I465">
        <v>53051501</v>
      </c>
      <c r="J465" t="s">
        <v>1544</v>
      </c>
      <c r="K465" t="s">
        <v>1406</v>
      </c>
      <c r="L465">
        <v>0.9</v>
      </c>
      <c r="M465">
        <v>0</v>
      </c>
      <c r="N465">
        <v>0</v>
      </c>
      <c r="O465">
        <v>0.9</v>
      </c>
      <c r="P465" t="s">
        <v>1546</v>
      </c>
      <c r="Q465" t="s">
        <v>1123</v>
      </c>
      <c r="R465" t="s">
        <v>1199</v>
      </c>
      <c r="S465" t="s">
        <v>717</v>
      </c>
      <c r="T465" t="s">
        <v>717</v>
      </c>
      <c r="U465" t="s">
        <v>1547</v>
      </c>
      <c r="V465" t="s">
        <v>1165</v>
      </c>
      <c r="W465">
        <v>1</v>
      </c>
      <c r="X465">
        <v>0.9</v>
      </c>
      <c r="Y465" t="s">
        <v>1166</v>
      </c>
      <c r="Z465" t="s">
        <v>1167</v>
      </c>
      <c r="AA465" t="s">
        <v>1548</v>
      </c>
    </row>
    <row r="466" spans="1:27" x14ac:dyDescent="0.3">
      <c r="A466" t="s">
        <v>1656</v>
      </c>
      <c r="B466" t="s">
        <v>1158</v>
      </c>
      <c r="C466" t="s">
        <v>976</v>
      </c>
      <c r="D466" t="s">
        <v>658</v>
      </c>
      <c r="E466" t="s">
        <v>603</v>
      </c>
      <c r="F466">
        <v>46203</v>
      </c>
      <c r="G466" t="s">
        <v>496</v>
      </c>
      <c r="H466" t="s">
        <v>1159</v>
      </c>
      <c r="I466">
        <v>11100501</v>
      </c>
      <c r="J466" t="s">
        <v>1160</v>
      </c>
      <c r="L466">
        <v>62.13</v>
      </c>
      <c r="M466">
        <v>3231</v>
      </c>
      <c r="N466">
        <v>2671.99</v>
      </c>
      <c r="O466">
        <v>621.14</v>
      </c>
      <c r="P466" t="s">
        <v>1161</v>
      </c>
      <c r="Q466" t="s">
        <v>980</v>
      </c>
      <c r="R466" t="s">
        <v>1162</v>
      </c>
      <c r="S466" t="s">
        <v>1163</v>
      </c>
      <c r="T466" t="s">
        <v>926</v>
      </c>
      <c r="U466" t="s">
        <v>1164</v>
      </c>
      <c r="V466" t="s">
        <v>1165</v>
      </c>
      <c r="W466">
        <v>1</v>
      </c>
      <c r="X466">
        <v>621.14</v>
      </c>
      <c r="Y466" t="s">
        <v>1166</v>
      </c>
      <c r="Z466" t="s">
        <v>1167</v>
      </c>
      <c r="AA466" t="s">
        <v>1168</v>
      </c>
    </row>
    <row r="467" spans="1:27" x14ac:dyDescent="0.3">
      <c r="A467" t="s">
        <v>1656</v>
      </c>
      <c r="B467" t="s">
        <v>1169</v>
      </c>
      <c r="C467" t="s">
        <v>976</v>
      </c>
      <c r="D467" t="s">
        <v>658</v>
      </c>
      <c r="E467" t="s">
        <v>603</v>
      </c>
      <c r="F467">
        <v>46203</v>
      </c>
      <c r="G467" t="s">
        <v>496</v>
      </c>
      <c r="H467" t="s">
        <v>1159</v>
      </c>
      <c r="I467">
        <v>23050102</v>
      </c>
      <c r="J467" t="s">
        <v>1170</v>
      </c>
      <c r="K467" t="s">
        <v>1171</v>
      </c>
      <c r="L467">
        <v>-92</v>
      </c>
      <c r="M467">
        <v>0</v>
      </c>
      <c r="N467">
        <v>0</v>
      </c>
      <c r="O467">
        <v>-92</v>
      </c>
      <c r="P467" t="s">
        <v>1172</v>
      </c>
      <c r="Q467" t="s">
        <v>1010</v>
      </c>
      <c r="R467" t="s">
        <v>1162</v>
      </c>
      <c r="S467" t="s">
        <v>1173</v>
      </c>
      <c r="T467" t="s">
        <v>1011</v>
      </c>
      <c r="U467" t="s">
        <v>1174</v>
      </c>
      <c r="V467" t="s">
        <v>1175</v>
      </c>
      <c r="W467">
        <v>-1</v>
      </c>
      <c r="X467">
        <v>92</v>
      </c>
      <c r="Y467" t="s">
        <v>1166</v>
      </c>
      <c r="Z467" t="s">
        <v>1167</v>
      </c>
      <c r="AA467" t="s">
        <v>1176</v>
      </c>
    </row>
    <row r="468" spans="1:27" x14ac:dyDescent="0.3">
      <c r="A468" t="s">
        <v>1656</v>
      </c>
      <c r="B468" t="s">
        <v>1177</v>
      </c>
      <c r="C468" t="s">
        <v>976</v>
      </c>
      <c r="D468" t="s">
        <v>658</v>
      </c>
      <c r="E468" t="s">
        <v>603</v>
      </c>
      <c r="F468">
        <v>46203</v>
      </c>
      <c r="G468" t="s">
        <v>496</v>
      </c>
      <c r="H468" t="s">
        <v>1159</v>
      </c>
      <c r="I468">
        <v>31050502</v>
      </c>
      <c r="J468" t="s">
        <v>1178</v>
      </c>
      <c r="K468" t="s">
        <v>1179</v>
      </c>
      <c r="L468">
        <v>-6882.83</v>
      </c>
      <c r="M468">
        <v>0</v>
      </c>
      <c r="N468">
        <v>0</v>
      </c>
      <c r="O468">
        <v>-6882.83</v>
      </c>
      <c r="P468" t="s">
        <v>1180</v>
      </c>
      <c r="Q468" t="s">
        <v>1028</v>
      </c>
      <c r="R468" t="s">
        <v>1162</v>
      </c>
      <c r="S468" t="s">
        <v>1181</v>
      </c>
      <c r="T468" t="s">
        <v>1029</v>
      </c>
      <c r="U468" t="s">
        <v>1182</v>
      </c>
      <c r="V468" t="s">
        <v>1175</v>
      </c>
      <c r="W468">
        <v>-1</v>
      </c>
      <c r="X468">
        <v>6882.83</v>
      </c>
      <c r="Y468" t="s">
        <v>1166</v>
      </c>
      <c r="Z468" t="s">
        <v>1167</v>
      </c>
      <c r="AA468" t="s">
        <v>1029</v>
      </c>
    </row>
    <row r="469" spans="1:27" x14ac:dyDescent="0.3">
      <c r="A469" t="s">
        <v>1656</v>
      </c>
      <c r="B469" t="s">
        <v>1183</v>
      </c>
      <c r="C469" t="s">
        <v>976</v>
      </c>
      <c r="D469" t="s">
        <v>658</v>
      </c>
      <c r="E469" t="s">
        <v>603</v>
      </c>
      <c r="F469">
        <v>46203</v>
      </c>
      <c r="G469" t="s">
        <v>496</v>
      </c>
      <c r="H469" t="s">
        <v>1159</v>
      </c>
      <c r="I469">
        <v>31150502</v>
      </c>
      <c r="J469" t="s">
        <v>1184</v>
      </c>
      <c r="L469">
        <v>-35087.96</v>
      </c>
      <c r="M469">
        <v>0</v>
      </c>
      <c r="N469">
        <v>3231</v>
      </c>
      <c r="O469">
        <v>-38318.959999999999</v>
      </c>
      <c r="P469" t="s">
        <v>1185</v>
      </c>
      <c r="Q469" t="s">
        <v>1028</v>
      </c>
      <c r="R469" t="s">
        <v>1162</v>
      </c>
      <c r="S469" t="s">
        <v>1181</v>
      </c>
      <c r="T469" t="s">
        <v>1029</v>
      </c>
      <c r="U469" t="s">
        <v>1186</v>
      </c>
      <c r="V469" t="s">
        <v>1175</v>
      </c>
      <c r="W469">
        <v>-1</v>
      </c>
      <c r="X469">
        <v>38318.959999999999</v>
      </c>
      <c r="Y469" t="s">
        <v>1166</v>
      </c>
      <c r="Z469" t="s">
        <v>1167</v>
      </c>
      <c r="AA469" t="s">
        <v>1187</v>
      </c>
    </row>
    <row r="470" spans="1:27" x14ac:dyDescent="0.3">
      <c r="A470" t="s">
        <v>1656</v>
      </c>
      <c r="B470" t="s">
        <v>1188</v>
      </c>
      <c r="C470" t="s">
        <v>976</v>
      </c>
      <c r="D470" t="s">
        <v>658</v>
      </c>
      <c r="E470" t="s">
        <v>603</v>
      </c>
      <c r="F470">
        <v>46203</v>
      </c>
      <c r="G470" t="s">
        <v>496</v>
      </c>
      <c r="H470" t="s">
        <v>1159</v>
      </c>
      <c r="I470">
        <v>36100102</v>
      </c>
      <c r="J470" t="s">
        <v>1189</v>
      </c>
      <c r="L470">
        <v>22674.27</v>
      </c>
      <c r="M470">
        <v>0</v>
      </c>
      <c r="N470">
        <v>0</v>
      </c>
      <c r="O470">
        <v>22674.27</v>
      </c>
      <c r="P470" t="s">
        <v>1190</v>
      </c>
      <c r="Q470" t="s">
        <v>1033</v>
      </c>
      <c r="R470" t="s">
        <v>1162</v>
      </c>
      <c r="S470" t="s">
        <v>1181</v>
      </c>
      <c r="T470" t="s">
        <v>1034</v>
      </c>
      <c r="U470" t="s">
        <v>1191</v>
      </c>
      <c r="V470" t="s">
        <v>1175</v>
      </c>
      <c r="W470">
        <v>-1</v>
      </c>
      <c r="X470">
        <v>-22674.27</v>
      </c>
      <c r="Y470" t="s">
        <v>1192</v>
      </c>
      <c r="Z470" t="s">
        <v>1193</v>
      </c>
      <c r="AA470" t="s">
        <v>1194</v>
      </c>
    </row>
    <row r="471" spans="1:27" x14ac:dyDescent="0.3">
      <c r="A471" t="s">
        <v>1656</v>
      </c>
      <c r="B471" t="s">
        <v>1195</v>
      </c>
      <c r="C471" t="s">
        <v>976</v>
      </c>
      <c r="D471" t="s">
        <v>658</v>
      </c>
      <c r="E471" t="s">
        <v>603</v>
      </c>
      <c r="F471">
        <v>46203</v>
      </c>
      <c r="G471" t="s">
        <v>496</v>
      </c>
      <c r="H471" t="s">
        <v>1159</v>
      </c>
      <c r="I471">
        <v>51050601</v>
      </c>
      <c r="J471" t="s">
        <v>1196</v>
      </c>
      <c r="K471" t="s">
        <v>1197</v>
      </c>
      <c r="L471">
        <v>5400</v>
      </c>
      <c r="M471">
        <v>1850</v>
      </c>
      <c r="N471">
        <v>0</v>
      </c>
      <c r="O471">
        <v>7250</v>
      </c>
      <c r="P471" t="s">
        <v>1198</v>
      </c>
      <c r="Q471" t="s">
        <v>1060</v>
      </c>
      <c r="R471" t="s">
        <v>1199</v>
      </c>
      <c r="S471" t="s">
        <v>947</v>
      </c>
      <c r="T471" t="s">
        <v>1061</v>
      </c>
      <c r="U471" t="s">
        <v>1200</v>
      </c>
      <c r="V471" t="s">
        <v>1165</v>
      </c>
      <c r="W471">
        <v>1</v>
      </c>
      <c r="X471">
        <v>7250</v>
      </c>
      <c r="Y471" t="s">
        <v>1166</v>
      </c>
      <c r="Z471" t="s">
        <v>1167</v>
      </c>
      <c r="AA471" t="s">
        <v>1201</v>
      </c>
    </row>
    <row r="472" spans="1:27" x14ac:dyDescent="0.3">
      <c r="A472" t="s">
        <v>1656</v>
      </c>
      <c r="B472" t="s">
        <v>1202</v>
      </c>
      <c r="C472" t="s">
        <v>976</v>
      </c>
      <c r="D472" t="s">
        <v>658</v>
      </c>
      <c r="E472" t="s">
        <v>603</v>
      </c>
      <c r="F472">
        <v>46203</v>
      </c>
      <c r="G472" t="s">
        <v>496</v>
      </c>
      <c r="H472" t="s">
        <v>1159</v>
      </c>
      <c r="I472">
        <v>51052105</v>
      </c>
      <c r="J472" t="s">
        <v>1203</v>
      </c>
      <c r="L472">
        <v>1500</v>
      </c>
      <c r="M472">
        <v>300</v>
      </c>
      <c r="N472">
        <v>0</v>
      </c>
      <c r="O472">
        <v>1800</v>
      </c>
      <c r="P472" t="s">
        <v>1204</v>
      </c>
      <c r="Q472" t="s">
        <v>1075</v>
      </c>
      <c r="R472" t="s">
        <v>1199</v>
      </c>
      <c r="S472" t="s">
        <v>947</v>
      </c>
      <c r="T472" t="s">
        <v>1076</v>
      </c>
      <c r="U472" t="s">
        <v>1205</v>
      </c>
      <c r="V472" t="s">
        <v>1165</v>
      </c>
      <c r="W472">
        <v>1</v>
      </c>
      <c r="X472">
        <v>1800</v>
      </c>
      <c r="Y472" t="s">
        <v>1166</v>
      </c>
      <c r="Z472" t="s">
        <v>1167</v>
      </c>
      <c r="AA472" t="s">
        <v>1206</v>
      </c>
    </row>
    <row r="473" spans="1:27" x14ac:dyDescent="0.3">
      <c r="A473" t="s">
        <v>1656</v>
      </c>
      <c r="B473" t="s">
        <v>1207</v>
      </c>
      <c r="C473" t="s">
        <v>976</v>
      </c>
      <c r="D473" t="s">
        <v>658</v>
      </c>
      <c r="E473" t="s">
        <v>603</v>
      </c>
      <c r="F473">
        <v>46203</v>
      </c>
      <c r="G473" t="s">
        <v>496</v>
      </c>
      <c r="H473" t="s">
        <v>1159</v>
      </c>
      <c r="I473">
        <v>51053101</v>
      </c>
      <c r="J473" t="s">
        <v>1208</v>
      </c>
      <c r="K473" t="s">
        <v>1197</v>
      </c>
      <c r="L473">
        <v>2012.37</v>
      </c>
      <c r="M473">
        <v>400</v>
      </c>
      <c r="N473">
        <v>0</v>
      </c>
      <c r="O473">
        <v>2412.37</v>
      </c>
      <c r="P473" t="s">
        <v>1209</v>
      </c>
      <c r="Q473" t="s">
        <v>1060</v>
      </c>
      <c r="R473" t="s">
        <v>1199</v>
      </c>
      <c r="S473" t="s">
        <v>947</v>
      </c>
      <c r="T473" t="s">
        <v>1061</v>
      </c>
      <c r="U473" t="s">
        <v>1210</v>
      </c>
      <c r="V473" t="s">
        <v>1165</v>
      </c>
      <c r="W473">
        <v>1</v>
      </c>
      <c r="X473">
        <v>2412.37</v>
      </c>
      <c r="Y473" t="s">
        <v>1166</v>
      </c>
      <c r="Z473" t="s">
        <v>1167</v>
      </c>
      <c r="AA473" t="s">
        <v>1211</v>
      </c>
    </row>
    <row r="474" spans="1:27" x14ac:dyDescent="0.3">
      <c r="A474" t="s">
        <v>1656</v>
      </c>
      <c r="B474" t="s">
        <v>1212</v>
      </c>
      <c r="C474" t="s">
        <v>976</v>
      </c>
      <c r="D474" t="s">
        <v>658</v>
      </c>
      <c r="E474" t="s">
        <v>603</v>
      </c>
      <c r="F474">
        <v>46203</v>
      </c>
      <c r="G474" t="s">
        <v>496</v>
      </c>
      <c r="H474" t="s">
        <v>1159</v>
      </c>
      <c r="I474">
        <v>51102501</v>
      </c>
      <c r="J474" t="s">
        <v>1213</v>
      </c>
      <c r="K474" t="s">
        <v>1214</v>
      </c>
      <c r="L474">
        <v>270.35000000000002</v>
      </c>
      <c r="M474">
        <v>0</v>
      </c>
      <c r="N474">
        <v>0</v>
      </c>
      <c r="O474">
        <v>270.35000000000002</v>
      </c>
      <c r="P474" t="s">
        <v>1215</v>
      </c>
      <c r="Q474" t="s">
        <v>1062</v>
      </c>
      <c r="R474" t="s">
        <v>1199</v>
      </c>
      <c r="S474" t="s">
        <v>947</v>
      </c>
      <c r="T474" t="s">
        <v>1063</v>
      </c>
      <c r="U474" t="s">
        <v>1216</v>
      </c>
      <c r="V474" t="s">
        <v>1165</v>
      </c>
      <c r="W474">
        <v>1</v>
      </c>
      <c r="X474">
        <v>270.35000000000002</v>
      </c>
      <c r="Y474" t="s">
        <v>1166</v>
      </c>
      <c r="Z474" t="s">
        <v>1167</v>
      </c>
      <c r="AA474" t="s">
        <v>1217</v>
      </c>
    </row>
    <row r="475" spans="1:27" x14ac:dyDescent="0.3">
      <c r="A475" t="s">
        <v>1656</v>
      </c>
      <c r="B475" t="s">
        <v>1218</v>
      </c>
      <c r="C475" t="s">
        <v>976</v>
      </c>
      <c r="D475" t="s">
        <v>658</v>
      </c>
      <c r="E475" t="s">
        <v>603</v>
      </c>
      <c r="F475">
        <v>46203</v>
      </c>
      <c r="G475" t="s">
        <v>496</v>
      </c>
      <c r="H475" t="s">
        <v>1159</v>
      </c>
      <c r="I475">
        <v>51150501</v>
      </c>
      <c r="J475" t="s">
        <v>1219</v>
      </c>
      <c r="K475" t="s">
        <v>1220</v>
      </c>
      <c r="L475">
        <v>252.73</v>
      </c>
      <c r="M475">
        <v>0</v>
      </c>
      <c r="N475">
        <v>0</v>
      </c>
      <c r="O475">
        <v>252.73</v>
      </c>
      <c r="P475" t="s">
        <v>1221</v>
      </c>
      <c r="Q475" t="s">
        <v>1064</v>
      </c>
      <c r="R475" t="s">
        <v>1199</v>
      </c>
      <c r="S475" t="s">
        <v>947</v>
      </c>
      <c r="T475" t="s">
        <v>1065</v>
      </c>
      <c r="U475" t="s">
        <v>1222</v>
      </c>
      <c r="V475" t="s">
        <v>1165</v>
      </c>
      <c r="W475">
        <v>1</v>
      </c>
      <c r="X475">
        <v>252.73</v>
      </c>
      <c r="Y475" t="s">
        <v>1166</v>
      </c>
      <c r="Z475" t="s">
        <v>1167</v>
      </c>
      <c r="AA475" t="s">
        <v>1223</v>
      </c>
    </row>
    <row r="476" spans="1:27" x14ac:dyDescent="0.3">
      <c r="A476" t="s">
        <v>1656</v>
      </c>
      <c r="B476" t="s">
        <v>1224</v>
      </c>
      <c r="C476" t="s">
        <v>976</v>
      </c>
      <c r="D476" t="s">
        <v>658</v>
      </c>
      <c r="E476" t="s">
        <v>603</v>
      </c>
      <c r="F476">
        <v>46203</v>
      </c>
      <c r="G476" t="s">
        <v>496</v>
      </c>
      <c r="H476" t="s">
        <v>1159</v>
      </c>
      <c r="I476">
        <v>51150502</v>
      </c>
      <c r="J476" t="s">
        <v>1219</v>
      </c>
      <c r="K476" t="s">
        <v>1220</v>
      </c>
      <c r="L476">
        <v>142.19</v>
      </c>
      <c r="M476">
        <v>0</v>
      </c>
      <c r="N476">
        <v>0</v>
      </c>
      <c r="O476">
        <v>142.19</v>
      </c>
      <c r="P476" t="s">
        <v>1221</v>
      </c>
      <c r="Q476" t="s">
        <v>1064</v>
      </c>
      <c r="R476" t="s">
        <v>1199</v>
      </c>
      <c r="S476" t="s">
        <v>947</v>
      </c>
      <c r="T476" t="s">
        <v>1065</v>
      </c>
      <c r="U476" t="s">
        <v>1222</v>
      </c>
      <c r="V476" t="s">
        <v>1165</v>
      </c>
      <c r="W476">
        <v>1</v>
      </c>
      <c r="X476">
        <v>142.19</v>
      </c>
      <c r="Y476" t="s">
        <v>1166</v>
      </c>
      <c r="Z476" t="s">
        <v>1167</v>
      </c>
      <c r="AA476" t="s">
        <v>1223</v>
      </c>
    </row>
    <row r="477" spans="1:27" x14ac:dyDescent="0.3">
      <c r="A477" t="s">
        <v>1656</v>
      </c>
      <c r="B477" t="s">
        <v>1225</v>
      </c>
      <c r="C477" t="s">
        <v>976</v>
      </c>
      <c r="D477" t="s">
        <v>658</v>
      </c>
      <c r="E477" t="s">
        <v>603</v>
      </c>
      <c r="F477">
        <v>46203</v>
      </c>
      <c r="G477" t="s">
        <v>496</v>
      </c>
      <c r="H477" t="s">
        <v>1159</v>
      </c>
      <c r="I477">
        <v>51250501</v>
      </c>
      <c r="J477" t="s">
        <v>1226</v>
      </c>
      <c r="K477" t="s">
        <v>1227</v>
      </c>
      <c r="L477">
        <v>64.790000000000006</v>
      </c>
      <c r="M477">
        <v>0</v>
      </c>
      <c r="N477">
        <v>0</v>
      </c>
      <c r="O477">
        <v>64.790000000000006</v>
      </c>
      <c r="P477" t="s">
        <v>1228</v>
      </c>
      <c r="Q477" t="s">
        <v>1064</v>
      </c>
      <c r="R477" t="s">
        <v>1199</v>
      </c>
      <c r="S477" t="s">
        <v>947</v>
      </c>
      <c r="T477" t="s">
        <v>1065</v>
      </c>
      <c r="U477" t="s">
        <v>1229</v>
      </c>
      <c r="V477" t="s">
        <v>1165</v>
      </c>
      <c r="W477">
        <v>1</v>
      </c>
      <c r="X477">
        <v>64.790000000000006</v>
      </c>
      <c r="Y477" t="s">
        <v>1166</v>
      </c>
      <c r="Z477" t="s">
        <v>1167</v>
      </c>
      <c r="AA477" t="s">
        <v>1230</v>
      </c>
    </row>
    <row r="478" spans="1:27" x14ac:dyDescent="0.3">
      <c r="A478" t="s">
        <v>1656</v>
      </c>
      <c r="B478" t="s">
        <v>1231</v>
      </c>
      <c r="C478" t="s">
        <v>976</v>
      </c>
      <c r="D478" t="s">
        <v>658</v>
      </c>
      <c r="E478" t="s">
        <v>603</v>
      </c>
      <c r="F478">
        <v>46203</v>
      </c>
      <c r="G478" t="s">
        <v>496</v>
      </c>
      <c r="H478" t="s">
        <v>1159</v>
      </c>
      <c r="I478">
        <v>51309501</v>
      </c>
      <c r="J478" t="s">
        <v>1232</v>
      </c>
      <c r="K478" t="s">
        <v>1233</v>
      </c>
      <c r="L478">
        <v>9205.7199999999993</v>
      </c>
      <c r="M478">
        <v>0</v>
      </c>
      <c r="N478">
        <v>0</v>
      </c>
      <c r="O478">
        <v>9205.7199999999993</v>
      </c>
      <c r="P478" t="s">
        <v>1234</v>
      </c>
      <c r="Q478" t="s">
        <v>1068</v>
      </c>
      <c r="R478" t="s">
        <v>1199</v>
      </c>
      <c r="S478" t="s">
        <v>947</v>
      </c>
      <c r="T478" t="s">
        <v>568</v>
      </c>
      <c r="U478" t="s">
        <v>1235</v>
      </c>
      <c r="V478" t="s">
        <v>1165</v>
      </c>
      <c r="W478">
        <v>1</v>
      </c>
      <c r="X478">
        <v>9205.7199999999993</v>
      </c>
      <c r="Y478" t="s">
        <v>1192</v>
      </c>
      <c r="Z478" t="s">
        <v>1193</v>
      </c>
      <c r="AA478" t="s">
        <v>1236</v>
      </c>
    </row>
    <row r="479" spans="1:27" x14ac:dyDescent="0.3">
      <c r="A479" t="s">
        <v>1656</v>
      </c>
      <c r="B479" t="s">
        <v>1237</v>
      </c>
      <c r="C479" t="s">
        <v>976</v>
      </c>
      <c r="D479" t="s">
        <v>658</v>
      </c>
      <c r="E479" t="s">
        <v>603</v>
      </c>
      <c r="F479">
        <v>46203</v>
      </c>
      <c r="G479" t="s">
        <v>496</v>
      </c>
      <c r="H479" t="s">
        <v>1159</v>
      </c>
      <c r="I479">
        <v>51309501</v>
      </c>
      <c r="J479" t="s">
        <v>1232</v>
      </c>
      <c r="K479" t="s">
        <v>1238</v>
      </c>
      <c r="L479">
        <v>70.81</v>
      </c>
      <c r="M479">
        <v>0</v>
      </c>
      <c r="N479">
        <v>0</v>
      </c>
      <c r="O479">
        <v>70.81</v>
      </c>
      <c r="P479" t="s">
        <v>1234</v>
      </c>
      <c r="Q479" t="s">
        <v>1068</v>
      </c>
      <c r="R479" t="s">
        <v>1199</v>
      </c>
      <c r="S479" t="s">
        <v>947</v>
      </c>
      <c r="T479" t="s">
        <v>568</v>
      </c>
      <c r="U479" t="s">
        <v>1235</v>
      </c>
      <c r="V479" t="s">
        <v>1165</v>
      </c>
      <c r="W479">
        <v>1</v>
      </c>
      <c r="X479">
        <v>70.81</v>
      </c>
      <c r="Y479" t="s">
        <v>1192</v>
      </c>
      <c r="Z479" t="s">
        <v>1193</v>
      </c>
      <c r="AA479" t="s">
        <v>1236</v>
      </c>
    </row>
    <row r="480" spans="1:27" x14ac:dyDescent="0.3">
      <c r="A480" t="s">
        <v>1656</v>
      </c>
      <c r="B480" t="s">
        <v>1239</v>
      </c>
      <c r="C480" t="s">
        <v>976</v>
      </c>
      <c r="D480" t="s">
        <v>658</v>
      </c>
      <c r="E480" t="s">
        <v>603</v>
      </c>
      <c r="F480">
        <v>46203</v>
      </c>
      <c r="G480" t="s">
        <v>496</v>
      </c>
      <c r="H480" t="s">
        <v>1159</v>
      </c>
      <c r="I480">
        <v>51352001</v>
      </c>
      <c r="J480" t="s">
        <v>1240</v>
      </c>
      <c r="K480" t="s">
        <v>1241</v>
      </c>
      <c r="L480">
        <v>115.51</v>
      </c>
      <c r="M480">
        <v>0</v>
      </c>
      <c r="N480">
        <v>0</v>
      </c>
      <c r="O480">
        <v>115.51</v>
      </c>
      <c r="P480" t="s">
        <v>1242</v>
      </c>
      <c r="Q480" t="s">
        <v>1069</v>
      </c>
      <c r="R480" t="s">
        <v>1199</v>
      </c>
      <c r="S480" t="s">
        <v>947</v>
      </c>
      <c r="T480" t="s">
        <v>1070</v>
      </c>
      <c r="U480" t="s">
        <v>1243</v>
      </c>
      <c r="V480" t="s">
        <v>1165</v>
      </c>
      <c r="W480">
        <v>1</v>
      </c>
      <c r="X480">
        <v>115.51</v>
      </c>
      <c r="Y480" t="s">
        <v>1166</v>
      </c>
      <c r="Z480" t="s">
        <v>1193</v>
      </c>
      <c r="AA480" t="s">
        <v>1244</v>
      </c>
    </row>
    <row r="481" spans="1:27" x14ac:dyDescent="0.3">
      <c r="A481" t="s">
        <v>1656</v>
      </c>
      <c r="B481" t="s">
        <v>1575</v>
      </c>
      <c r="C481" t="s">
        <v>976</v>
      </c>
      <c r="D481" t="s">
        <v>658</v>
      </c>
      <c r="E481" t="s">
        <v>603</v>
      </c>
      <c r="F481">
        <v>46203</v>
      </c>
      <c r="G481" t="s">
        <v>496</v>
      </c>
      <c r="H481" t="s">
        <v>1159</v>
      </c>
      <c r="I481">
        <v>51352001</v>
      </c>
      <c r="J481" t="s">
        <v>1240</v>
      </c>
      <c r="K481" t="s">
        <v>1657</v>
      </c>
      <c r="L481">
        <v>0</v>
      </c>
      <c r="M481">
        <v>34.299999999999997</v>
      </c>
      <c r="N481">
        <v>0</v>
      </c>
      <c r="O481">
        <v>34.299999999999997</v>
      </c>
      <c r="P481" t="s">
        <v>1242</v>
      </c>
      <c r="Q481" t="s">
        <v>1069</v>
      </c>
      <c r="R481" t="s">
        <v>1199</v>
      </c>
      <c r="S481" t="s">
        <v>947</v>
      </c>
      <c r="T481" t="s">
        <v>1070</v>
      </c>
      <c r="U481" t="s">
        <v>1243</v>
      </c>
      <c r="V481" t="s">
        <v>1165</v>
      </c>
      <c r="W481">
        <v>1</v>
      </c>
      <c r="X481">
        <v>34.299999999999997</v>
      </c>
      <c r="Y481" t="s">
        <v>1166</v>
      </c>
      <c r="Z481" t="s">
        <v>1193</v>
      </c>
      <c r="AA481" t="s">
        <v>1244</v>
      </c>
    </row>
    <row r="482" spans="1:27" x14ac:dyDescent="0.3">
      <c r="A482" t="s">
        <v>1656</v>
      </c>
      <c r="B482" t="s">
        <v>1251</v>
      </c>
      <c r="C482" t="s">
        <v>976</v>
      </c>
      <c r="D482" t="s">
        <v>658</v>
      </c>
      <c r="E482" t="s">
        <v>603</v>
      </c>
      <c r="F482">
        <v>46203</v>
      </c>
      <c r="G482" t="s">
        <v>496</v>
      </c>
      <c r="H482" t="s">
        <v>1159</v>
      </c>
      <c r="I482">
        <v>51953001</v>
      </c>
      <c r="J482" t="s">
        <v>1246</v>
      </c>
      <c r="K482" t="s">
        <v>1658</v>
      </c>
      <c r="L482">
        <v>0</v>
      </c>
      <c r="M482">
        <v>37.69</v>
      </c>
      <c r="N482">
        <v>0</v>
      </c>
      <c r="O482">
        <v>37.69</v>
      </c>
      <c r="P482" t="s">
        <v>1248</v>
      </c>
      <c r="Q482" t="s">
        <v>1079</v>
      </c>
      <c r="R482" t="s">
        <v>1199</v>
      </c>
      <c r="S482" t="s">
        <v>947</v>
      </c>
      <c r="T482" t="s">
        <v>1080</v>
      </c>
      <c r="U482" t="s">
        <v>1249</v>
      </c>
      <c r="V482" t="s">
        <v>1165</v>
      </c>
      <c r="W482">
        <v>1</v>
      </c>
      <c r="X482">
        <v>37.69</v>
      </c>
      <c r="Y482" t="s">
        <v>1166</v>
      </c>
      <c r="Z482" t="s">
        <v>1167</v>
      </c>
      <c r="AA482" t="s">
        <v>1250</v>
      </c>
    </row>
    <row r="483" spans="1:27" x14ac:dyDescent="0.3">
      <c r="A483" t="s">
        <v>1656</v>
      </c>
      <c r="B483" t="s">
        <v>1253</v>
      </c>
      <c r="C483" t="s">
        <v>976</v>
      </c>
      <c r="D483" t="s">
        <v>658</v>
      </c>
      <c r="E483" t="s">
        <v>603</v>
      </c>
      <c r="F483">
        <v>46203</v>
      </c>
      <c r="G483" t="s">
        <v>496</v>
      </c>
      <c r="H483" t="s">
        <v>1159</v>
      </c>
      <c r="I483">
        <v>51953001</v>
      </c>
      <c r="J483" t="s">
        <v>1246</v>
      </c>
      <c r="K483" t="s">
        <v>1247</v>
      </c>
      <c r="L483">
        <v>39.61</v>
      </c>
      <c r="M483">
        <v>0</v>
      </c>
      <c r="N483">
        <v>0</v>
      </c>
      <c r="O483">
        <v>39.61</v>
      </c>
      <c r="P483" t="s">
        <v>1248</v>
      </c>
      <c r="Q483" t="s">
        <v>1079</v>
      </c>
      <c r="R483" t="s">
        <v>1199</v>
      </c>
      <c r="S483" t="s">
        <v>947</v>
      </c>
      <c r="T483" t="s">
        <v>1080</v>
      </c>
      <c r="U483" t="s">
        <v>1249</v>
      </c>
      <c r="V483" t="s">
        <v>1165</v>
      </c>
      <c r="W483">
        <v>1</v>
      </c>
      <c r="X483">
        <v>39.61</v>
      </c>
      <c r="Y483" t="s">
        <v>1166</v>
      </c>
      <c r="Z483" t="s">
        <v>1167</v>
      </c>
      <c r="AA483" t="s">
        <v>1250</v>
      </c>
    </row>
    <row r="484" spans="1:27" x14ac:dyDescent="0.3">
      <c r="A484" t="s">
        <v>1656</v>
      </c>
      <c r="B484" t="s">
        <v>1255</v>
      </c>
      <c r="C484" t="s">
        <v>976</v>
      </c>
      <c r="D484" t="s">
        <v>658</v>
      </c>
      <c r="E484" t="s">
        <v>603</v>
      </c>
      <c r="F484">
        <v>46203</v>
      </c>
      <c r="G484" t="s">
        <v>496</v>
      </c>
      <c r="H484" t="s">
        <v>1159</v>
      </c>
      <c r="I484">
        <v>51953001</v>
      </c>
      <c r="J484" t="s">
        <v>1246</v>
      </c>
      <c r="K484" t="s">
        <v>1252</v>
      </c>
      <c r="L484">
        <v>74.31</v>
      </c>
      <c r="M484">
        <v>0</v>
      </c>
      <c r="N484">
        <v>0</v>
      </c>
      <c r="O484">
        <v>74.31</v>
      </c>
      <c r="P484" t="s">
        <v>1248</v>
      </c>
      <c r="Q484" t="s">
        <v>1079</v>
      </c>
      <c r="R484" t="s">
        <v>1199</v>
      </c>
      <c r="S484" t="s">
        <v>947</v>
      </c>
      <c r="T484" t="s">
        <v>1080</v>
      </c>
      <c r="U484" t="s">
        <v>1249</v>
      </c>
      <c r="V484" t="s">
        <v>1165</v>
      </c>
      <c r="W484">
        <v>1</v>
      </c>
      <c r="X484">
        <v>74.31</v>
      </c>
      <c r="Y484" t="s">
        <v>1166</v>
      </c>
      <c r="Z484" t="s">
        <v>1167</v>
      </c>
      <c r="AA484" t="s">
        <v>1250</v>
      </c>
    </row>
    <row r="485" spans="1:27" x14ac:dyDescent="0.3">
      <c r="A485" t="s">
        <v>1656</v>
      </c>
      <c r="B485" t="s">
        <v>1577</v>
      </c>
      <c r="C485" t="s">
        <v>976</v>
      </c>
      <c r="D485" t="s">
        <v>658</v>
      </c>
      <c r="E485" t="s">
        <v>603</v>
      </c>
      <c r="F485">
        <v>46203</v>
      </c>
      <c r="G485" t="s">
        <v>496</v>
      </c>
      <c r="H485" t="s">
        <v>1159</v>
      </c>
      <c r="I485">
        <v>51953001</v>
      </c>
      <c r="J485" t="s">
        <v>1246</v>
      </c>
      <c r="K485" t="s">
        <v>1254</v>
      </c>
      <c r="L485">
        <v>15</v>
      </c>
      <c r="M485">
        <v>0</v>
      </c>
      <c r="N485">
        <v>0</v>
      </c>
      <c r="O485">
        <v>15</v>
      </c>
      <c r="P485" t="s">
        <v>1248</v>
      </c>
      <c r="Q485" t="s">
        <v>1079</v>
      </c>
      <c r="R485" t="s">
        <v>1199</v>
      </c>
      <c r="S485" t="s">
        <v>947</v>
      </c>
      <c r="T485" t="s">
        <v>1080</v>
      </c>
      <c r="U485" t="s">
        <v>1249</v>
      </c>
      <c r="V485" t="s">
        <v>1165</v>
      </c>
      <c r="W485">
        <v>1</v>
      </c>
      <c r="X485">
        <v>15</v>
      </c>
      <c r="Y485" t="s">
        <v>1166</v>
      </c>
      <c r="Z485" t="s">
        <v>1167</v>
      </c>
      <c r="AA485" t="s">
        <v>1250</v>
      </c>
    </row>
    <row r="486" spans="1:27" x14ac:dyDescent="0.3">
      <c r="A486" t="s">
        <v>1656</v>
      </c>
      <c r="B486" t="s">
        <v>1337</v>
      </c>
      <c r="C486" t="s">
        <v>976</v>
      </c>
      <c r="D486" t="s">
        <v>658</v>
      </c>
      <c r="E486" t="s">
        <v>603</v>
      </c>
      <c r="F486">
        <v>46203</v>
      </c>
      <c r="G486" t="s">
        <v>496</v>
      </c>
      <c r="H486" t="s">
        <v>1159</v>
      </c>
      <c r="I486">
        <v>51953001</v>
      </c>
      <c r="J486" t="s">
        <v>1246</v>
      </c>
      <c r="K486" t="s">
        <v>1256</v>
      </c>
      <c r="L486">
        <v>7</v>
      </c>
      <c r="M486">
        <v>0</v>
      </c>
      <c r="N486">
        <v>0</v>
      </c>
      <c r="O486">
        <v>7</v>
      </c>
      <c r="P486" t="s">
        <v>1248</v>
      </c>
      <c r="Q486" t="s">
        <v>1079</v>
      </c>
      <c r="R486" t="s">
        <v>1199</v>
      </c>
      <c r="S486" t="s">
        <v>947</v>
      </c>
      <c r="T486" t="s">
        <v>1080</v>
      </c>
      <c r="U486" t="s">
        <v>1249</v>
      </c>
      <c r="V486" t="s">
        <v>1165</v>
      </c>
      <c r="W486">
        <v>1</v>
      </c>
      <c r="X486">
        <v>7</v>
      </c>
      <c r="Y486" t="s">
        <v>1166</v>
      </c>
      <c r="Z486" t="s">
        <v>1167</v>
      </c>
      <c r="AA486" t="s">
        <v>1250</v>
      </c>
    </row>
    <row r="487" spans="1:27" x14ac:dyDescent="0.3">
      <c r="A487" t="s">
        <v>1656</v>
      </c>
      <c r="B487" t="s">
        <v>1348</v>
      </c>
      <c r="C487" t="s">
        <v>976</v>
      </c>
      <c r="D487" t="s">
        <v>658</v>
      </c>
      <c r="E487" t="s">
        <v>603</v>
      </c>
      <c r="F487">
        <v>46203</v>
      </c>
      <c r="G487" t="s">
        <v>496</v>
      </c>
      <c r="H487" t="s">
        <v>1159</v>
      </c>
      <c r="I487">
        <v>53050501</v>
      </c>
      <c r="J487" t="s">
        <v>1258</v>
      </c>
      <c r="K487" t="s">
        <v>1259</v>
      </c>
      <c r="L487">
        <v>150</v>
      </c>
      <c r="M487">
        <v>50</v>
      </c>
      <c r="N487">
        <v>0</v>
      </c>
      <c r="O487">
        <v>200</v>
      </c>
      <c r="P487" t="s">
        <v>1260</v>
      </c>
      <c r="Q487" t="s">
        <v>1123</v>
      </c>
      <c r="R487" t="s">
        <v>1199</v>
      </c>
      <c r="S487" t="s">
        <v>717</v>
      </c>
      <c r="T487" t="s">
        <v>717</v>
      </c>
      <c r="U487" t="s">
        <v>1261</v>
      </c>
      <c r="V487" t="s">
        <v>1165</v>
      </c>
      <c r="W487">
        <v>1</v>
      </c>
      <c r="X487">
        <v>200</v>
      </c>
      <c r="Y487" t="s">
        <v>1166</v>
      </c>
      <c r="Z487" t="s">
        <v>1167</v>
      </c>
      <c r="AA487" t="s">
        <v>1262</v>
      </c>
    </row>
    <row r="488" spans="1:27" x14ac:dyDescent="0.3">
      <c r="A488" t="s">
        <v>1656</v>
      </c>
      <c r="B488" t="s">
        <v>1350</v>
      </c>
      <c r="C488" t="s">
        <v>976</v>
      </c>
      <c r="D488" t="s">
        <v>658</v>
      </c>
      <c r="E488" t="s">
        <v>603</v>
      </c>
      <c r="F488">
        <v>46203</v>
      </c>
      <c r="G488" t="s">
        <v>496</v>
      </c>
      <c r="H488" t="s">
        <v>1159</v>
      </c>
      <c r="I488">
        <v>53050504</v>
      </c>
      <c r="J488" t="s">
        <v>1258</v>
      </c>
      <c r="K488" t="s">
        <v>1259</v>
      </c>
      <c r="L488">
        <v>6</v>
      </c>
      <c r="M488">
        <v>0</v>
      </c>
      <c r="N488">
        <v>0</v>
      </c>
      <c r="O488">
        <v>6</v>
      </c>
      <c r="P488" t="s">
        <v>1260</v>
      </c>
      <c r="Q488" t="s">
        <v>1123</v>
      </c>
      <c r="R488" t="s">
        <v>1199</v>
      </c>
      <c r="S488" t="s">
        <v>717</v>
      </c>
      <c r="T488" t="s">
        <v>717</v>
      </c>
      <c r="U488" t="s">
        <v>1261</v>
      </c>
      <c r="V488" t="s">
        <v>1165</v>
      </c>
      <c r="W488">
        <v>1</v>
      </c>
      <c r="X488">
        <v>6</v>
      </c>
      <c r="Y488" t="s">
        <v>1166</v>
      </c>
      <c r="Z488" t="s">
        <v>1167</v>
      </c>
      <c r="AA488" t="s">
        <v>1262</v>
      </c>
    </row>
    <row r="489" spans="1:27" x14ac:dyDescent="0.3">
      <c r="A489" t="s">
        <v>1659</v>
      </c>
      <c r="B489" t="s">
        <v>1264</v>
      </c>
      <c r="C489" t="s">
        <v>975</v>
      </c>
      <c r="D489" t="s">
        <v>1265</v>
      </c>
      <c r="E489" t="s">
        <v>603</v>
      </c>
      <c r="F489">
        <v>46203</v>
      </c>
      <c r="G489" t="s">
        <v>686</v>
      </c>
      <c r="H489" t="s">
        <v>1159</v>
      </c>
      <c r="I489">
        <v>11100501</v>
      </c>
      <c r="J489" t="s">
        <v>1160</v>
      </c>
      <c r="K489" t="s">
        <v>1266</v>
      </c>
      <c r="L489">
        <v>46157.26</v>
      </c>
      <c r="M489">
        <v>1380.84</v>
      </c>
      <c r="N489">
        <v>7364.57</v>
      </c>
      <c r="O489">
        <v>40173.53</v>
      </c>
      <c r="P489" t="s">
        <v>1161</v>
      </c>
      <c r="Q489" t="s">
        <v>980</v>
      </c>
      <c r="R489" t="s">
        <v>1162</v>
      </c>
      <c r="S489" t="s">
        <v>1163</v>
      </c>
      <c r="T489" t="s">
        <v>926</v>
      </c>
      <c r="U489" t="s">
        <v>1164</v>
      </c>
      <c r="V489" t="s">
        <v>1165</v>
      </c>
      <c r="W489">
        <v>1</v>
      </c>
      <c r="X489">
        <v>40173.53</v>
      </c>
      <c r="Y489" t="s">
        <v>1166</v>
      </c>
      <c r="Z489" t="s">
        <v>1167</v>
      </c>
      <c r="AA489" t="s">
        <v>1168</v>
      </c>
    </row>
    <row r="490" spans="1:27" x14ac:dyDescent="0.3">
      <c r="A490" t="s">
        <v>1659</v>
      </c>
      <c r="B490" t="s">
        <v>1267</v>
      </c>
      <c r="C490" t="s">
        <v>975</v>
      </c>
      <c r="D490" t="s">
        <v>1265</v>
      </c>
      <c r="E490" t="s">
        <v>603</v>
      </c>
      <c r="F490">
        <v>46203</v>
      </c>
      <c r="G490" t="s">
        <v>686</v>
      </c>
      <c r="H490" t="s">
        <v>1159</v>
      </c>
      <c r="I490">
        <v>11200501</v>
      </c>
      <c r="J490" t="s">
        <v>1268</v>
      </c>
      <c r="K490" t="s">
        <v>1269</v>
      </c>
      <c r="L490">
        <v>4611.1000000000004</v>
      </c>
      <c r="M490">
        <v>5857.66</v>
      </c>
      <c r="N490">
        <v>40.75</v>
      </c>
      <c r="O490">
        <v>10428.01</v>
      </c>
      <c r="P490" t="s">
        <v>1270</v>
      </c>
      <c r="Q490" t="s">
        <v>980</v>
      </c>
      <c r="R490" t="s">
        <v>1162</v>
      </c>
      <c r="S490" t="s">
        <v>1163</v>
      </c>
      <c r="T490" t="s">
        <v>926</v>
      </c>
      <c r="U490" t="s">
        <v>1271</v>
      </c>
      <c r="V490" t="s">
        <v>1165</v>
      </c>
      <c r="W490">
        <v>1</v>
      </c>
      <c r="X490">
        <v>10428.01</v>
      </c>
      <c r="Y490" t="s">
        <v>1166</v>
      </c>
      <c r="Z490" t="s">
        <v>1167</v>
      </c>
      <c r="AA490" t="s">
        <v>1272</v>
      </c>
    </row>
    <row r="491" spans="1:27" x14ac:dyDescent="0.3">
      <c r="A491" t="s">
        <v>1659</v>
      </c>
      <c r="B491" t="s">
        <v>1169</v>
      </c>
      <c r="C491" t="s">
        <v>975</v>
      </c>
      <c r="D491" t="s">
        <v>1265</v>
      </c>
      <c r="E491" t="s">
        <v>603</v>
      </c>
      <c r="F491">
        <v>46203</v>
      </c>
      <c r="G491" t="s">
        <v>686</v>
      </c>
      <c r="H491" t="s">
        <v>1159</v>
      </c>
      <c r="I491">
        <v>13050501</v>
      </c>
      <c r="J491" t="s">
        <v>1273</v>
      </c>
      <c r="K491" t="s">
        <v>1274</v>
      </c>
      <c r="L491">
        <v>14199.6</v>
      </c>
      <c r="M491">
        <v>7318.65</v>
      </c>
      <c r="N491">
        <v>6654.66</v>
      </c>
      <c r="O491">
        <v>14863.59</v>
      </c>
      <c r="P491" t="s">
        <v>1275</v>
      </c>
      <c r="Q491" t="s">
        <v>983</v>
      </c>
      <c r="R491" t="s">
        <v>1162</v>
      </c>
      <c r="S491" t="s">
        <v>1163</v>
      </c>
      <c r="T491" t="s">
        <v>984</v>
      </c>
      <c r="U491" t="s">
        <v>1276</v>
      </c>
      <c r="V491" t="s">
        <v>1165</v>
      </c>
      <c r="W491">
        <v>1</v>
      </c>
      <c r="X491">
        <v>14863.59</v>
      </c>
      <c r="Y491" t="s">
        <v>1166</v>
      </c>
      <c r="Z491" t="s">
        <v>1167</v>
      </c>
      <c r="AA491" t="s">
        <v>1277</v>
      </c>
    </row>
    <row r="492" spans="1:27" x14ac:dyDescent="0.3">
      <c r="A492" t="s">
        <v>1659</v>
      </c>
      <c r="B492" t="s">
        <v>1278</v>
      </c>
      <c r="C492" t="s">
        <v>975</v>
      </c>
      <c r="D492" t="s">
        <v>1265</v>
      </c>
      <c r="E492" t="s">
        <v>603</v>
      </c>
      <c r="F492">
        <v>46203</v>
      </c>
      <c r="G492" t="s">
        <v>686</v>
      </c>
      <c r="H492" t="s">
        <v>1159</v>
      </c>
      <c r="I492">
        <v>13551510</v>
      </c>
      <c r="J492" t="s">
        <v>1279</v>
      </c>
      <c r="K492" t="s">
        <v>1280</v>
      </c>
      <c r="L492">
        <v>1053.7</v>
      </c>
      <c r="M492">
        <v>797</v>
      </c>
      <c r="N492">
        <v>0</v>
      </c>
      <c r="O492">
        <v>1850.7</v>
      </c>
      <c r="P492" t="s">
        <v>1281</v>
      </c>
      <c r="Q492" t="s">
        <v>987</v>
      </c>
      <c r="R492" t="s">
        <v>1162</v>
      </c>
      <c r="S492" t="s">
        <v>1163</v>
      </c>
      <c r="T492" t="s">
        <v>988</v>
      </c>
      <c r="U492" t="s">
        <v>1282</v>
      </c>
      <c r="V492" t="s">
        <v>1165</v>
      </c>
      <c r="W492">
        <v>1</v>
      </c>
      <c r="X492">
        <v>1850.7</v>
      </c>
      <c r="Y492" t="s">
        <v>1166</v>
      </c>
      <c r="Z492" t="s">
        <v>1167</v>
      </c>
      <c r="AA492" t="s">
        <v>1283</v>
      </c>
    </row>
    <row r="493" spans="1:27" x14ac:dyDescent="0.3">
      <c r="A493" t="s">
        <v>1659</v>
      </c>
      <c r="B493" t="s">
        <v>1284</v>
      </c>
      <c r="C493" t="s">
        <v>975</v>
      </c>
      <c r="D493" t="s">
        <v>1265</v>
      </c>
      <c r="E493" t="s">
        <v>603</v>
      </c>
      <c r="F493">
        <v>46203</v>
      </c>
      <c r="G493" t="s">
        <v>686</v>
      </c>
      <c r="H493" t="s">
        <v>1159</v>
      </c>
      <c r="I493">
        <v>15280501</v>
      </c>
      <c r="J493" t="s">
        <v>1285</v>
      </c>
      <c r="K493" t="s">
        <v>1286</v>
      </c>
      <c r="L493">
        <v>8811.86</v>
      </c>
      <c r="M493">
        <v>0</v>
      </c>
      <c r="N493">
        <v>0</v>
      </c>
      <c r="O493">
        <v>8811.86</v>
      </c>
      <c r="P493" t="s">
        <v>1287</v>
      </c>
      <c r="Q493" t="s">
        <v>995</v>
      </c>
      <c r="R493" t="s">
        <v>1162</v>
      </c>
      <c r="S493" t="s">
        <v>957</v>
      </c>
      <c r="T493" t="s">
        <v>996</v>
      </c>
      <c r="U493" t="s">
        <v>1288</v>
      </c>
      <c r="V493" t="s">
        <v>1165</v>
      </c>
      <c r="W493">
        <v>1</v>
      </c>
      <c r="X493">
        <v>8811.86</v>
      </c>
      <c r="Y493" t="s">
        <v>1166</v>
      </c>
      <c r="Z493" t="s">
        <v>1167</v>
      </c>
      <c r="AA493" t="s">
        <v>1289</v>
      </c>
    </row>
    <row r="494" spans="1:27" x14ac:dyDescent="0.3">
      <c r="A494" t="s">
        <v>1659</v>
      </c>
      <c r="B494" t="s">
        <v>1290</v>
      </c>
      <c r="C494" t="s">
        <v>975</v>
      </c>
      <c r="D494" t="s">
        <v>1265</v>
      </c>
      <c r="E494" t="s">
        <v>603</v>
      </c>
      <c r="F494">
        <v>46203</v>
      </c>
      <c r="G494" t="s">
        <v>686</v>
      </c>
      <c r="H494" t="s">
        <v>1159</v>
      </c>
      <c r="I494">
        <v>22050501</v>
      </c>
      <c r="J494" t="s">
        <v>1273</v>
      </c>
      <c r="K494" t="s">
        <v>1291</v>
      </c>
      <c r="L494">
        <v>0</v>
      </c>
      <c r="M494">
        <v>0</v>
      </c>
      <c r="N494">
        <v>4665.72</v>
      </c>
      <c r="O494">
        <v>-4665.72</v>
      </c>
      <c r="P494" t="s">
        <v>1292</v>
      </c>
      <c r="Q494" t="s">
        <v>1008</v>
      </c>
      <c r="R494" t="s">
        <v>1162</v>
      </c>
      <c r="S494" t="s">
        <v>1173</v>
      </c>
      <c r="T494" t="s">
        <v>1009</v>
      </c>
      <c r="U494" t="s">
        <v>563</v>
      </c>
      <c r="V494" t="s">
        <v>1175</v>
      </c>
      <c r="W494">
        <v>-1</v>
      </c>
      <c r="X494">
        <v>4665.72</v>
      </c>
      <c r="Y494" t="s">
        <v>1166</v>
      </c>
      <c r="Z494" t="s">
        <v>1167</v>
      </c>
      <c r="AA494" t="s">
        <v>1293</v>
      </c>
    </row>
    <row r="495" spans="1:27" x14ac:dyDescent="0.3">
      <c r="A495" t="s">
        <v>1659</v>
      </c>
      <c r="B495" t="s">
        <v>1294</v>
      </c>
      <c r="C495" t="s">
        <v>975</v>
      </c>
      <c r="D495" t="s">
        <v>1265</v>
      </c>
      <c r="E495" t="s">
        <v>603</v>
      </c>
      <c r="F495">
        <v>46203</v>
      </c>
      <c r="G495" t="s">
        <v>686</v>
      </c>
      <c r="H495" t="s">
        <v>1159</v>
      </c>
      <c r="I495">
        <v>22050501</v>
      </c>
      <c r="J495" t="s">
        <v>1273</v>
      </c>
      <c r="K495" t="s">
        <v>1291</v>
      </c>
      <c r="L495">
        <v>-1450.63</v>
      </c>
      <c r="M495">
        <v>0</v>
      </c>
      <c r="N495">
        <v>1036.04</v>
      </c>
      <c r="O495">
        <v>-2486.67</v>
      </c>
      <c r="P495" t="s">
        <v>1292</v>
      </c>
      <c r="Q495" t="s">
        <v>1008</v>
      </c>
      <c r="R495" t="s">
        <v>1162</v>
      </c>
      <c r="S495" t="s">
        <v>1173</v>
      </c>
      <c r="T495" t="s">
        <v>1009</v>
      </c>
      <c r="U495" t="s">
        <v>563</v>
      </c>
      <c r="V495" t="s">
        <v>1175</v>
      </c>
      <c r="W495">
        <v>-1</v>
      </c>
      <c r="X495">
        <v>2486.67</v>
      </c>
      <c r="Y495" t="s">
        <v>1166</v>
      </c>
      <c r="Z495" t="s">
        <v>1167</v>
      </c>
      <c r="AA495" t="s">
        <v>1293</v>
      </c>
    </row>
    <row r="496" spans="1:27" x14ac:dyDescent="0.3">
      <c r="A496" t="s">
        <v>1659</v>
      </c>
      <c r="B496" t="s">
        <v>1188</v>
      </c>
      <c r="C496" t="s">
        <v>975</v>
      </c>
      <c r="D496" t="s">
        <v>1265</v>
      </c>
      <c r="E496" t="s">
        <v>603</v>
      </c>
      <c r="F496">
        <v>46203</v>
      </c>
      <c r="G496" t="s">
        <v>686</v>
      </c>
      <c r="H496" t="s">
        <v>1159</v>
      </c>
      <c r="I496">
        <v>22050501</v>
      </c>
      <c r="J496" t="s">
        <v>1273</v>
      </c>
      <c r="K496" t="s">
        <v>1291</v>
      </c>
      <c r="L496">
        <v>0</v>
      </c>
      <c r="M496">
        <v>0</v>
      </c>
      <c r="N496">
        <v>1603.49</v>
      </c>
      <c r="O496">
        <v>-1603.49</v>
      </c>
      <c r="P496" t="s">
        <v>1292</v>
      </c>
      <c r="Q496" t="s">
        <v>1008</v>
      </c>
      <c r="R496" t="s">
        <v>1162</v>
      </c>
      <c r="S496" t="s">
        <v>1173</v>
      </c>
      <c r="T496" t="s">
        <v>1009</v>
      </c>
      <c r="U496" t="s">
        <v>563</v>
      </c>
      <c r="V496" t="s">
        <v>1175</v>
      </c>
      <c r="W496">
        <v>-1</v>
      </c>
      <c r="X496">
        <v>1603.49</v>
      </c>
      <c r="Y496" t="s">
        <v>1166</v>
      </c>
      <c r="Z496" t="s">
        <v>1167</v>
      </c>
      <c r="AA496" t="s">
        <v>1293</v>
      </c>
    </row>
    <row r="497" spans="1:27" x14ac:dyDescent="0.3">
      <c r="A497" t="s">
        <v>1659</v>
      </c>
      <c r="B497" t="s">
        <v>1295</v>
      </c>
      <c r="C497" t="s">
        <v>975</v>
      </c>
      <c r="D497" t="s">
        <v>1265</v>
      </c>
      <c r="E497" t="s">
        <v>603</v>
      </c>
      <c r="F497">
        <v>46203</v>
      </c>
      <c r="G497" t="s">
        <v>686</v>
      </c>
      <c r="H497" t="s">
        <v>1159</v>
      </c>
      <c r="I497">
        <v>24080103</v>
      </c>
      <c r="J497" t="s">
        <v>1296</v>
      </c>
      <c r="K497" t="s">
        <v>1297</v>
      </c>
      <c r="L497">
        <v>-2358.96</v>
      </c>
      <c r="M497">
        <v>0</v>
      </c>
      <c r="N497">
        <v>1116.4000000000001</v>
      </c>
      <c r="O497">
        <v>-3475.36</v>
      </c>
      <c r="P497" t="s">
        <v>1298</v>
      </c>
      <c r="Q497" t="s">
        <v>1012</v>
      </c>
      <c r="R497" t="s">
        <v>1162</v>
      </c>
      <c r="S497" t="s">
        <v>1173</v>
      </c>
      <c r="T497" t="s">
        <v>1013</v>
      </c>
      <c r="U497" t="s">
        <v>1299</v>
      </c>
      <c r="V497" t="s">
        <v>1175</v>
      </c>
      <c r="W497">
        <v>-1</v>
      </c>
      <c r="X497">
        <v>3475.36</v>
      </c>
      <c r="Y497" t="s">
        <v>1166</v>
      </c>
      <c r="Z497" t="s">
        <v>1167</v>
      </c>
      <c r="AA497" t="s">
        <v>1300</v>
      </c>
    </row>
    <row r="498" spans="1:27" x14ac:dyDescent="0.3">
      <c r="A498" t="s">
        <v>1659</v>
      </c>
      <c r="B498" t="s">
        <v>1195</v>
      </c>
      <c r="C498" t="s">
        <v>975</v>
      </c>
      <c r="D498" t="s">
        <v>1265</v>
      </c>
      <c r="E498" t="s">
        <v>603</v>
      </c>
      <c r="F498">
        <v>46203</v>
      </c>
      <c r="G498" t="s">
        <v>686</v>
      </c>
      <c r="H498" t="s">
        <v>1159</v>
      </c>
      <c r="I498">
        <v>24080201</v>
      </c>
      <c r="J498" t="s">
        <v>1301</v>
      </c>
      <c r="K498" t="s">
        <v>1302</v>
      </c>
      <c r="L498">
        <v>0</v>
      </c>
      <c r="M498">
        <v>49.51</v>
      </c>
      <c r="N498">
        <v>0</v>
      </c>
      <c r="O498">
        <v>49.51</v>
      </c>
      <c r="P498" t="s">
        <v>1303</v>
      </c>
      <c r="Q498" t="s">
        <v>987</v>
      </c>
      <c r="R498" t="s">
        <v>1162</v>
      </c>
      <c r="S498" t="s">
        <v>1163</v>
      </c>
      <c r="T498" t="s">
        <v>988</v>
      </c>
      <c r="U498" t="s">
        <v>1304</v>
      </c>
      <c r="V498" t="s">
        <v>1165</v>
      </c>
      <c r="W498">
        <v>1</v>
      </c>
      <c r="X498">
        <v>49.51</v>
      </c>
      <c r="Y498" t="s">
        <v>1166</v>
      </c>
      <c r="Z498" t="s">
        <v>1167</v>
      </c>
      <c r="AA498" t="s">
        <v>1305</v>
      </c>
    </row>
    <row r="499" spans="1:27" x14ac:dyDescent="0.3">
      <c r="A499" t="s">
        <v>1659</v>
      </c>
      <c r="B499" t="s">
        <v>1306</v>
      </c>
      <c r="C499" t="s">
        <v>975</v>
      </c>
      <c r="D499" t="s">
        <v>1265</v>
      </c>
      <c r="E499" t="s">
        <v>603</v>
      </c>
      <c r="F499">
        <v>46203</v>
      </c>
      <c r="G499" t="s">
        <v>686</v>
      </c>
      <c r="H499" t="s">
        <v>1159</v>
      </c>
      <c r="I499">
        <v>24080201</v>
      </c>
      <c r="J499" t="s">
        <v>1301</v>
      </c>
      <c r="K499" t="s">
        <v>1302</v>
      </c>
      <c r="L499">
        <v>0</v>
      </c>
      <c r="M499">
        <v>711.72</v>
      </c>
      <c r="N499">
        <v>0</v>
      </c>
      <c r="O499">
        <v>711.72</v>
      </c>
      <c r="P499" t="s">
        <v>1303</v>
      </c>
      <c r="Q499" t="s">
        <v>987</v>
      </c>
      <c r="R499" t="s">
        <v>1162</v>
      </c>
      <c r="S499" t="s">
        <v>1163</v>
      </c>
      <c r="T499" t="s">
        <v>988</v>
      </c>
      <c r="U499" t="s">
        <v>1304</v>
      </c>
      <c r="V499" t="s">
        <v>1165</v>
      </c>
      <c r="W499">
        <v>1</v>
      </c>
      <c r="X499">
        <v>711.72</v>
      </c>
      <c r="Y499" t="s">
        <v>1166</v>
      </c>
      <c r="Z499" t="s">
        <v>1167</v>
      </c>
      <c r="AA499" t="s">
        <v>1305</v>
      </c>
    </row>
    <row r="500" spans="1:27" x14ac:dyDescent="0.3">
      <c r="A500" t="s">
        <v>1659</v>
      </c>
      <c r="B500" t="s">
        <v>1202</v>
      </c>
      <c r="C500" t="s">
        <v>975</v>
      </c>
      <c r="D500" t="s">
        <v>1265</v>
      </c>
      <c r="E500" t="s">
        <v>603</v>
      </c>
      <c r="F500">
        <v>46203</v>
      </c>
      <c r="G500" t="s">
        <v>686</v>
      </c>
      <c r="H500" t="s">
        <v>1159</v>
      </c>
      <c r="I500">
        <v>24080201</v>
      </c>
      <c r="J500" t="s">
        <v>1301</v>
      </c>
      <c r="K500" t="s">
        <v>1302</v>
      </c>
      <c r="L500">
        <v>1586.14</v>
      </c>
      <c r="M500">
        <v>0</v>
      </c>
      <c r="N500">
        <v>0</v>
      </c>
      <c r="O500">
        <v>1586.14</v>
      </c>
      <c r="P500" t="s">
        <v>1303</v>
      </c>
      <c r="Q500" t="s">
        <v>987</v>
      </c>
      <c r="R500" t="s">
        <v>1162</v>
      </c>
      <c r="S500" t="s">
        <v>1163</v>
      </c>
      <c r="T500" t="s">
        <v>988</v>
      </c>
      <c r="U500" t="s">
        <v>1304</v>
      </c>
      <c r="V500" t="s">
        <v>1165</v>
      </c>
      <c r="W500">
        <v>1</v>
      </c>
      <c r="X500">
        <v>1586.14</v>
      </c>
      <c r="Y500" t="s">
        <v>1166</v>
      </c>
      <c r="Z500" t="s">
        <v>1167</v>
      </c>
      <c r="AA500" t="s">
        <v>1305</v>
      </c>
    </row>
    <row r="501" spans="1:27" x14ac:dyDescent="0.3">
      <c r="A501" t="s">
        <v>1659</v>
      </c>
      <c r="B501" t="s">
        <v>1393</v>
      </c>
      <c r="C501" t="s">
        <v>975</v>
      </c>
      <c r="D501" t="s">
        <v>1265</v>
      </c>
      <c r="E501" t="s">
        <v>603</v>
      </c>
      <c r="F501">
        <v>46203</v>
      </c>
      <c r="G501" t="s">
        <v>686</v>
      </c>
      <c r="H501" t="s">
        <v>1159</v>
      </c>
      <c r="I501">
        <v>24080201</v>
      </c>
      <c r="J501" t="s">
        <v>1301</v>
      </c>
      <c r="K501" t="s">
        <v>1302</v>
      </c>
      <c r="L501">
        <v>822.41</v>
      </c>
      <c r="M501">
        <v>158.04</v>
      </c>
      <c r="N501">
        <v>0</v>
      </c>
      <c r="O501">
        <v>980.45</v>
      </c>
      <c r="P501" t="s">
        <v>1303</v>
      </c>
      <c r="Q501" t="s">
        <v>987</v>
      </c>
      <c r="R501" t="s">
        <v>1162</v>
      </c>
      <c r="S501" t="s">
        <v>1163</v>
      </c>
      <c r="T501" t="s">
        <v>988</v>
      </c>
      <c r="U501" t="s">
        <v>1304</v>
      </c>
      <c r="V501" t="s">
        <v>1165</v>
      </c>
      <c r="W501">
        <v>1</v>
      </c>
      <c r="X501">
        <v>980.45</v>
      </c>
      <c r="Y501" t="s">
        <v>1166</v>
      </c>
      <c r="Z501" t="s">
        <v>1167</v>
      </c>
      <c r="AA501" t="s">
        <v>1305</v>
      </c>
    </row>
    <row r="502" spans="1:27" x14ac:dyDescent="0.3">
      <c r="A502" t="s">
        <v>1659</v>
      </c>
      <c r="B502" t="s">
        <v>1207</v>
      </c>
      <c r="C502" t="s">
        <v>975</v>
      </c>
      <c r="D502" t="s">
        <v>1265</v>
      </c>
      <c r="E502" t="s">
        <v>603</v>
      </c>
      <c r="F502">
        <v>46203</v>
      </c>
      <c r="G502" t="s">
        <v>686</v>
      </c>
      <c r="H502" t="s">
        <v>1159</v>
      </c>
      <c r="I502">
        <v>24080201</v>
      </c>
      <c r="J502" t="s">
        <v>1301</v>
      </c>
      <c r="K502" t="s">
        <v>1302</v>
      </c>
      <c r="L502">
        <v>-984.16</v>
      </c>
      <c r="M502">
        <v>0</v>
      </c>
      <c r="N502">
        <v>0</v>
      </c>
      <c r="O502">
        <v>-984.16</v>
      </c>
      <c r="P502" t="s">
        <v>1303</v>
      </c>
      <c r="Q502" t="s">
        <v>987</v>
      </c>
      <c r="R502" t="s">
        <v>1162</v>
      </c>
      <c r="S502" t="s">
        <v>1163</v>
      </c>
      <c r="T502" t="s">
        <v>988</v>
      </c>
      <c r="U502" t="s">
        <v>1304</v>
      </c>
      <c r="V502" t="s">
        <v>1165</v>
      </c>
      <c r="W502">
        <v>1</v>
      </c>
      <c r="X502">
        <v>-984.16</v>
      </c>
      <c r="Y502" t="s">
        <v>1166</v>
      </c>
      <c r="Z502" t="s">
        <v>1167</v>
      </c>
      <c r="AA502" t="s">
        <v>1305</v>
      </c>
    </row>
    <row r="503" spans="1:27" x14ac:dyDescent="0.3">
      <c r="A503" t="s">
        <v>1659</v>
      </c>
      <c r="B503" t="s">
        <v>1398</v>
      </c>
      <c r="C503" t="s">
        <v>975</v>
      </c>
      <c r="D503" t="s">
        <v>1265</v>
      </c>
      <c r="E503" t="s">
        <v>603</v>
      </c>
      <c r="F503">
        <v>46203</v>
      </c>
      <c r="G503" t="s">
        <v>686</v>
      </c>
      <c r="H503" t="s">
        <v>1159</v>
      </c>
      <c r="I503">
        <v>31050501</v>
      </c>
      <c r="J503" t="s">
        <v>1178</v>
      </c>
      <c r="K503" t="s">
        <v>1308</v>
      </c>
      <c r="L503">
        <v>-14208.08</v>
      </c>
      <c r="M503">
        <v>0</v>
      </c>
      <c r="N503">
        <v>0</v>
      </c>
      <c r="O503">
        <v>-14208.08</v>
      </c>
      <c r="P503" t="s">
        <v>1180</v>
      </c>
      <c r="Q503" t="s">
        <v>1028</v>
      </c>
      <c r="R503" t="s">
        <v>1162</v>
      </c>
      <c r="S503" t="s">
        <v>1181</v>
      </c>
      <c r="T503" t="s">
        <v>1029</v>
      </c>
      <c r="U503" t="s">
        <v>1182</v>
      </c>
      <c r="V503" t="s">
        <v>1175</v>
      </c>
      <c r="W503">
        <v>-1</v>
      </c>
      <c r="X503">
        <v>14208.08</v>
      </c>
      <c r="Y503" t="s">
        <v>1166</v>
      </c>
      <c r="Z503" t="s">
        <v>1167</v>
      </c>
      <c r="AA503" t="s">
        <v>1029</v>
      </c>
    </row>
    <row r="504" spans="1:27" x14ac:dyDescent="0.3">
      <c r="A504" t="s">
        <v>1659</v>
      </c>
      <c r="B504" t="s">
        <v>1224</v>
      </c>
      <c r="C504" t="s">
        <v>975</v>
      </c>
      <c r="D504" t="s">
        <v>1265</v>
      </c>
      <c r="E504" t="s">
        <v>603</v>
      </c>
      <c r="F504">
        <v>46203</v>
      </c>
      <c r="G504" t="s">
        <v>686</v>
      </c>
      <c r="H504" t="s">
        <v>1159</v>
      </c>
      <c r="I504">
        <v>37050501</v>
      </c>
      <c r="J504" t="s">
        <v>1310</v>
      </c>
      <c r="K504" t="s">
        <v>1311</v>
      </c>
      <c r="L504">
        <v>-26659.66</v>
      </c>
      <c r="M504">
        <v>0</v>
      </c>
      <c r="N504">
        <v>0</v>
      </c>
      <c r="O504">
        <v>-26659.66</v>
      </c>
      <c r="P504" t="s">
        <v>1312</v>
      </c>
      <c r="Q504" t="s">
        <v>1031</v>
      </c>
      <c r="R504" t="s">
        <v>1162</v>
      </c>
      <c r="S504" t="s">
        <v>1181</v>
      </c>
      <c r="T504" t="s">
        <v>1032</v>
      </c>
      <c r="U504" t="s">
        <v>938</v>
      </c>
      <c r="V504" t="s">
        <v>1175</v>
      </c>
      <c r="W504">
        <v>-1</v>
      </c>
      <c r="X504">
        <v>26659.66</v>
      </c>
      <c r="Y504" t="s">
        <v>1166</v>
      </c>
      <c r="Z504" t="s">
        <v>1167</v>
      </c>
      <c r="AA504" t="s">
        <v>1313</v>
      </c>
    </row>
    <row r="505" spans="1:27" x14ac:dyDescent="0.3">
      <c r="A505" t="s">
        <v>1659</v>
      </c>
      <c r="B505" t="s">
        <v>1554</v>
      </c>
      <c r="C505" t="s">
        <v>975</v>
      </c>
      <c r="D505" t="s">
        <v>1265</v>
      </c>
      <c r="E505" t="s">
        <v>603</v>
      </c>
      <c r="F505">
        <v>46203</v>
      </c>
      <c r="G505" t="s">
        <v>686</v>
      </c>
      <c r="H505" t="s">
        <v>1159</v>
      </c>
      <c r="I505">
        <v>41700103</v>
      </c>
      <c r="J505" t="s">
        <v>1315</v>
      </c>
      <c r="K505" t="s">
        <v>1316</v>
      </c>
      <c r="L505">
        <v>-1808.92</v>
      </c>
      <c r="M505">
        <v>0</v>
      </c>
      <c r="N505">
        <v>3376.69</v>
      </c>
      <c r="O505">
        <v>-5185.6099999999997</v>
      </c>
      <c r="P505" t="s">
        <v>1317</v>
      </c>
      <c r="Q505" t="s">
        <v>1048</v>
      </c>
      <c r="R505" t="s">
        <v>1199</v>
      </c>
      <c r="S505" t="s">
        <v>1318</v>
      </c>
      <c r="T505" t="s">
        <v>1049</v>
      </c>
      <c r="U505" t="s">
        <v>1319</v>
      </c>
      <c r="V505" t="s">
        <v>1175</v>
      </c>
      <c r="W505">
        <v>-1</v>
      </c>
      <c r="X505">
        <v>5185.6099999999997</v>
      </c>
      <c r="Y505" t="s">
        <v>1166</v>
      </c>
      <c r="Z505" t="s">
        <v>1167</v>
      </c>
      <c r="AA505" t="s">
        <v>1320</v>
      </c>
    </row>
    <row r="506" spans="1:27" x14ac:dyDescent="0.3">
      <c r="A506" t="s">
        <v>1659</v>
      </c>
      <c r="B506" t="s">
        <v>1584</v>
      </c>
      <c r="C506" t="s">
        <v>975</v>
      </c>
      <c r="D506" t="s">
        <v>1265</v>
      </c>
      <c r="E506" t="s">
        <v>603</v>
      </c>
      <c r="F506">
        <v>46203</v>
      </c>
      <c r="G506" t="s">
        <v>686</v>
      </c>
      <c r="H506" t="s">
        <v>1159</v>
      </c>
      <c r="I506">
        <v>41700124</v>
      </c>
      <c r="J506" t="s">
        <v>1315</v>
      </c>
      <c r="K506" t="s">
        <v>1321</v>
      </c>
      <c r="L506">
        <v>-11296.09</v>
      </c>
      <c r="M506">
        <v>0</v>
      </c>
      <c r="N506">
        <v>2825.56</v>
      </c>
      <c r="O506">
        <v>-14121.65</v>
      </c>
      <c r="P506" t="s">
        <v>1317</v>
      </c>
      <c r="Q506" t="s">
        <v>1048</v>
      </c>
      <c r="R506" t="s">
        <v>1199</v>
      </c>
      <c r="S506" t="s">
        <v>1318</v>
      </c>
      <c r="T506" t="s">
        <v>1049</v>
      </c>
      <c r="U506" t="s">
        <v>1319</v>
      </c>
      <c r="V506" t="s">
        <v>1175</v>
      </c>
      <c r="W506">
        <v>-1</v>
      </c>
      <c r="X506">
        <v>14121.65</v>
      </c>
      <c r="Y506" t="s">
        <v>1166</v>
      </c>
      <c r="Z506" t="s">
        <v>1167</v>
      </c>
      <c r="AA506" t="s">
        <v>1320</v>
      </c>
    </row>
    <row r="507" spans="1:27" x14ac:dyDescent="0.3">
      <c r="A507" t="s">
        <v>1659</v>
      </c>
      <c r="B507" t="s">
        <v>1412</v>
      </c>
      <c r="C507" t="s">
        <v>975</v>
      </c>
      <c r="D507" t="s">
        <v>1265</v>
      </c>
      <c r="E507" t="s">
        <v>603</v>
      </c>
      <c r="F507">
        <v>46203</v>
      </c>
      <c r="G507" t="s">
        <v>686</v>
      </c>
      <c r="H507" t="s">
        <v>1159</v>
      </c>
      <c r="I507">
        <v>42958810</v>
      </c>
      <c r="J507" t="s">
        <v>1322</v>
      </c>
      <c r="K507" t="s">
        <v>1322</v>
      </c>
      <c r="L507">
        <v>-64960.94</v>
      </c>
      <c r="M507">
        <v>0</v>
      </c>
      <c r="N507">
        <v>0</v>
      </c>
      <c r="O507">
        <v>-64960.94</v>
      </c>
      <c r="P507" t="s">
        <v>1323</v>
      </c>
      <c r="Q507" t="s">
        <v>1120</v>
      </c>
      <c r="R507" t="s">
        <v>1199</v>
      </c>
      <c r="S507" t="s">
        <v>1324</v>
      </c>
      <c r="T507" t="s">
        <v>811</v>
      </c>
      <c r="U507" t="s">
        <v>811</v>
      </c>
      <c r="V507" t="s">
        <v>1175</v>
      </c>
      <c r="W507">
        <v>-1</v>
      </c>
      <c r="X507">
        <v>64960.94</v>
      </c>
      <c r="Y507" t="s">
        <v>1192</v>
      </c>
      <c r="Z507" t="s">
        <v>1193</v>
      </c>
      <c r="AA507" t="s">
        <v>1325</v>
      </c>
    </row>
    <row r="508" spans="1:27" x14ac:dyDescent="0.3">
      <c r="A508" t="s">
        <v>1659</v>
      </c>
      <c r="B508" t="s">
        <v>1327</v>
      </c>
      <c r="C508" t="s">
        <v>975</v>
      </c>
      <c r="D508" t="s">
        <v>1265</v>
      </c>
      <c r="E508" t="s">
        <v>603</v>
      </c>
      <c r="F508">
        <v>46203</v>
      </c>
      <c r="G508" t="s">
        <v>686</v>
      </c>
      <c r="H508" t="s">
        <v>1159</v>
      </c>
      <c r="I508">
        <v>51102503</v>
      </c>
      <c r="J508" t="s">
        <v>1213</v>
      </c>
      <c r="K508" t="s">
        <v>1326</v>
      </c>
      <c r="L508">
        <v>2068.9499999999998</v>
      </c>
      <c r="M508">
        <v>528</v>
      </c>
      <c r="N508">
        <v>0</v>
      </c>
      <c r="O508">
        <v>2596.9499999999998</v>
      </c>
      <c r="P508" t="s">
        <v>1215</v>
      </c>
      <c r="Q508" t="s">
        <v>1062</v>
      </c>
      <c r="R508" t="s">
        <v>1199</v>
      </c>
      <c r="S508" t="s">
        <v>947</v>
      </c>
      <c r="T508" t="s">
        <v>1063</v>
      </c>
      <c r="U508" t="s">
        <v>1216</v>
      </c>
      <c r="V508" t="s">
        <v>1165</v>
      </c>
      <c r="W508">
        <v>1</v>
      </c>
      <c r="X508">
        <v>2596.9499999999998</v>
      </c>
      <c r="Y508" t="s">
        <v>1166</v>
      </c>
      <c r="Z508" t="s">
        <v>1167</v>
      </c>
      <c r="AA508" t="s">
        <v>1217</v>
      </c>
    </row>
    <row r="509" spans="1:27" x14ac:dyDescent="0.3">
      <c r="A509" t="s">
        <v>1659</v>
      </c>
      <c r="B509" t="s">
        <v>1251</v>
      </c>
      <c r="C509" t="s">
        <v>975</v>
      </c>
      <c r="D509" t="s">
        <v>1265</v>
      </c>
      <c r="E509" t="s">
        <v>603</v>
      </c>
      <c r="F509">
        <v>46203</v>
      </c>
      <c r="G509" t="s">
        <v>686</v>
      </c>
      <c r="H509" t="s">
        <v>1159</v>
      </c>
      <c r="I509">
        <v>51103001</v>
      </c>
      <c r="J509" t="s">
        <v>1328</v>
      </c>
      <c r="K509" t="s">
        <v>1329</v>
      </c>
      <c r="L509">
        <v>2500</v>
      </c>
      <c r="M509">
        <v>350</v>
      </c>
      <c r="N509">
        <v>0</v>
      </c>
      <c r="O509">
        <v>2850</v>
      </c>
      <c r="P509" t="s">
        <v>1330</v>
      </c>
      <c r="Q509" t="s">
        <v>1062</v>
      </c>
      <c r="R509" t="s">
        <v>1199</v>
      </c>
      <c r="S509" t="s">
        <v>947</v>
      </c>
      <c r="T509" t="s">
        <v>1063</v>
      </c>
      <c r="U509" t="s">
        <v>1331</v>
      </c>
      <c r="V509" t="s">
        <v>1165</v>
      </c>
      <c r="W509">
        <v>1</v>
      </c>
      <c r="X509">
        <v>2850</v>
      </c>
      <c r="Y509" t="s">
        <v>1166</v>
      </c>
      <c r="Z509" t="s">
        <v>1167</v>
      </c>
      <c r="AA509" t="s">
        <v>1332</v>
      </c>
    </row>
    <row r="510" spans="1:27" x14ac:dyDescent="0.3">
      <c r="A510" t="s">
        <v>1659</v>
      </c>
      <c r="B510" t="s">
        <v>1577</v>
      </c>
      <c r="C510" t="s">
        <v>975</v>
      </c>
      <c r="D510" t="s">
        <v>1265</v>
      </c>
      <c r="E510" t="s">
        <v>603</v>
      </c>
      <c r="F510">
        <v>46203</v>
      </c>
      <c r="G510" t="s">
        <v>686</v>
      </c>
      <c r="H510" t="s">
        <v>1159</v>
      </c>
      <c r="I510">
        <v>52103501</v>
      </c>
      <c r="J510" t="s">
        <v>1585</v>
      </c>
      <c r="K510" t="s">
        <v>1586</v>
      </c>
      <c r="L510">
        <v>7400.3</v>
      </c>
      <c r="M510">
        <v>0</v>
      </c>
      <c r="N510">
        <v>0</v>
      </c>
      <c r="O510">
        <v>7400.3</v>
      </c>
      <c r="P510" t="s">
        <v>1587</v>
      </c>
      <c r="Q510" t="s">
        <v>1095</v>
      </c>
      <c r="R510" t="s">
        <v>1199</v>
      </c>
      <c r="S510" t="s">
        <v>948</v>
      </c>
      <c r="T510" t="s">
        <v>1096</v>
      </c>
      <c r="U510" t="s">
        <v>1588</v>
      </c>
      <c r="V510" t="s">
        <v>1165</v>
      </c>
      <c r="W510">
        <v>1</v>
      </c>
      <c r="X510">
        <v>7400.3</v>
      </c>
      <c r="Y510" t="s">
        <v>1192</v>
      </c>
      <c r="Z510" t="s">
        <v>1193</v>
      </c>
      <c r="AA510" t="s">
        <v>1589</v>
      </c>
    </row>
    <row r="511" spans="1:27" x14ac:dyDescent="0.3">
      <c r="A511" t="s">
        <v>1659</v>
      </c>
      <c r="B511" t="s">
        <v>1337</v>
      </c>
      <c r="C511" t="s">
        <v>975</v>
      </c>
      <c r="D511" t="s">
        <v>1265</v>
      </c>
      <c r="E511" t="s">
        <v>603</v>
      </c>
      <c r="F511">
        <v>46203</v>
      </c>
      <c r="G511" t="s">
        <v>686</v>
      </c>
      <c r="H511" t="s">
        <v>1159</v>
      </c>
      <c r="I511">
        <v>52103501</v>
      </c>
      <c r="J511" t="s">
        <v>1585</v>
      </c>
      <c r="K511" t="s">
        <v>1586</v>
      </c>
      <c r="L511">
        <v>15383.22</v>
      </c>
      <c r="M511">
        <v>0</v>
      </c>
      <c r="N511">
        <v>0</v>
      </c>
      <c r="O511">
        <v>15383.22</v>
      </c>
      <c r="P511" t="s">
        <v>1587</v>
      </c>
      <c r="Q511" t="s">
        <v>1095</v>
      </c>
      <c r="R511" t="s">
        <v>1199</v>
      </c>
      <c r="S511" t="s">
        <v>948</v>
      </c>
      <c r="T511" t="s">
        <v>1096</v>
      </c>
      <c r="U511" t="s">
        <v>1588</v>
      </c>
      <c r="V511" t="s">
        <v>1165</v>
      </c>
      <c r="W511">
        <v>1</v>
      </c>
      <c r="X511">
        <v>15383.22</v>
      </c>
      <c r="Y511" t="s">
        <v>1192</v>
      </c>
      <c r="Z511" t="s">
        <v>1193</v>
      </c>
      <c r="AA511" t="s">
        <v>1589</v>
      </c>
    </row>
    <row r="512" spans="1:27" x14ac:dyDescent="0.3">
      <c r="A512" t="s">
        <v>1659</v>
      </c>
      <c r="B512" t="s">
        <v>1564</v>
      </c>
      <c r="C512" t="s">
        <v>975</v>
      </c>
      <c r="D512" t="s">
        <v>1265</v>
      </c>
      <c r="E512" t="s">
        <v>603</v>
      </c>
      <c r="F512">
        <v>46203</v>
      </c>
      <c r="G512" t="s">
        <v>686</v>
      </c>
      <c r="H512" t="s">
        <v>1159</v>
      </c>
      <c r="I512">
        <v>52103501</v>
      </c>
      <c r="J512" t="s">
        <v>1585</v>
      </c>
      <c r="K512" t="s">
        <v>1586</v>
      </c>
      <c r="L512">
        <v>7400.3</v>
      </c>
      <c r="M512">
        <v>0</v>
      </c>
      <c r="N512">
        <v>0</v>
      </c>
      <c r="O512">
        <v>7400.3</v>
      </c>
      <c r="P512" t="s">
        <v>1587</v>
      </c>
      <c r="Q512" t="s">
        <v>1095</v>
      </c>
      <c r="R512" t="s">
        <v>1199</v>
      </c>
      <c r="S512" t="s">
        <v>948</v>
      </c>
      <c r="T512" t="s">
        <v>1096</v>
      </c>
      <c r="U512" t="s">
        <v>1588</v>
      </c>
      <c r="V512" t="s">
        <v>1165</v>
      </c>
      <c r="W512">
        <v>1</v>
      </c>
      <c r="X512">
        <v>7400.3</v>
      </c>
      <c r="Y512" t="s">
        <v>1192</v>
      </c>
      <c r="Z512" t="s">
        <v>1193</v>
      </c>
      <c r="AA512" t="s">
        <v>1589</v>
      </c>
    </row>
    <row r="513" spans="1:27" x14ac:dyDescent="0.3">
      <c r="A513" t="s">
        <v>1659</v>
      </c>
      <c r="B513" t="s">
        <v>1342</v>
      </c>
      <c r="C513" t="s">
        <v>975</v>
      </c>
      <c r="D513" t="s">
        <v>1265</v>
      </c>
      <c r="E513" t="s">
        <v>603</v>
      </c>
      <c r="F513">
        <v>46203</v>
      </c>
      <c r="G513" t="s">
        <v>686</v>
      </c>
      <c r="H513" t="s">
        <v>1159</v>
      </c>
      <c r="I513">
        <v>52109501</v>
      </c>
      <c r="J513" t="s">
        <v>1232</v>
      </c>
      <c r="K513" t="s">
        <v>1333</v>
      </c>
      <c r="L513">
        <v>2127</v>
      </c>
      <c r="M513">
        <v>0</v>
      </c>
      <c r="N513">
        <v>0</v>
      </c>
      <c r="O513">
        <v>2127</v>
      </c>
      <c r="P513" t="s">
        <v>1334</v>
      </c>
      <c r="Q513" t="s">
        <v>1095</v>
      </c>
      <c r="R513" t="s">
        <v>1199</v>
      </c>
      <c r="S513" t="s">
        <v>948</v>
      </c>
      <c r="T513" t="s">
        <v>1096</v>
      </c>
      <c r="U513" t="s">
        <v>1335</v>
      </c>
      <c r="V513" t="s">
        <v>1165</v>
      </c>
      <c r="W513">
        <v>1</v>
      </c>
      <c r="X513">
        <v>2127</v>
      </c>
      <c r="Y513" t="s">
        <v>1192</v>
      </c>
      <c r="Z513" t="s">
        <v>1193</v>
      </c>
      <c r="AA513" t="s">
        <v>1336</v>
      </c>
    </row>
    <row r="514" spans="1:27" x14ac:dyDescent="0.3">
      <c r="A514" t="s">
        <v>1659</v>
      </c>
      <c r="B514" t="s">
        <v>1351</v>
      </c>
      <c r="C514" t="s">
        <v>975</v>
      </c>
      <c r="D514" t="s">
        <v>1265</v>
      </c>
      <c r="E514" t="s">
        <v>603</v>
      </c>
      <c r="F514">
        <v>46203</v>
      </c>
      <c r="G514" t="s">
        <v>686</v>
      </c>
      <c r="H514" t="s">
        <v>1159</v>
      </c>
      <c r="I514">
        <v>52356001</v>
      </c>
      <c r="J514" t="s">
        <v>1338</v>
      </c>
      <c r="K514" t="s">
        <v>1338</v>
      </c>
      <c r="L514">
        <v>1706.19</v>
      </c>
      <c r="M514">
        <v>0</v>
      </c>
      <c r="N514">
        <v>0</v>
      </c>
      <c r="O514">
        <v>1706.19</v>
      </c>
      <c r="P514" t="s">
        <v>1339</v>
      </c>
      <c r="Q514" t="s">
        <v>1097</v>
      </c>
      <c r="R514" t="s">
        <v>1199</v>
      </c>
      <c r="S514" t="s">
        <v>948</v>
      </c>
      <c r="T514" t="s">
        <v>1098</v>
      </c>
      <c r="U514" t="s">
        <v>1340</v>
      </c>
      <c r="V514" t="s">
        <v>1165</v>
      </c>
      <c r="W514">
        <v>1</v>
      </c>
      <c r="X514">
        <v>1706.19</v>
      </c>
      <c r="Y514" t="s">
        <v>1166</v>
      </c>
      <c r="Z514" t="s">
        <v>1167</v>
      </c>
      <c r="AA514" t="s">
        <v>1341</v>
      </c>
    </row>
    <row r="515" spans="1:27" x14ac:dyDescent="0.3">
      <c r="A515" t="s">
        <v>1659</v>
      </c>
      <c r="B515" t="s">
        <v>1354</v>
      </c>
      <c r="C515" t="s">
        <v>975</v>
      </c>
      <c r="D515" t="s">
        <v>1265</v>
      </c>
      <c r="E515" t="s">
        <v>603</v>
      </c>
      <c r="F515">
        <v>46203</v>
      </c>
      <c r="G515" t="s">
        <v>686</v>
      </c>
      <c r="H515" t="s">
        <v>1159</v>
      </c>
      <c r="I515">
        <v>52550501</v>
      </c>
      <c r="J515" t="s">
        <v>1343</v>
      </c>
      <c r="K515" t="s">
        <v>1344</v>
      </c>
      <c r="L515">
        <v>0</v>
      </c>
      <c r="M515">
        <v>2822.19</v>
      </c>
      <c r="N515">
        <v>0</v>
      </c>
      <c r="O515">
        <v>2822.19</v>
      </c>
      <c r="P515" t="s">
        <v>1345</v>
      </c>
      <c r="Q515" t="s">
        <v>1101</v>
      </c>
      <c r="R515" t="s">
        <v>1199</v>
      </c>
      <c r="S515" t="s">
        <v>948</v>
      </c>
      <c r="T515" t="s">
        <v>1102</v>
      </c>
      <c r="U515" t="s">
        <v>1346</v>
      </c>
      <c r="V515" t="s">
        <v>1165</v>
      </c>
      <c r="W515">
        <v>1</v>
      </c>
      <c r="X515">
        <v>2822.19</v>
      </c>
      <c r="Y515" t="s">
        <v>1166</v>
      </c>
      <c r="Z515" t="s">
        <v>1167</v>
      </c>
      <c r="AA515" t="s">
        <v>1347</v>
      </c>
    </row>
    <row r="516" spans="1:27" x14ac:dyDescent="0.3">
      <c r="A516" t="s">
        <v>1659</v>
      </c>
      <c r="B516" t="s">
        <v>1355</v>
      </c>
      <c r="C516" t="s">
        <v>975</v>
      </c>
      <c r="D516" t="s">
        <v>1265</v>
      </c>
      <c r="E516" t="s">
        <v>603</v>
      </c>
      <c r="F516">
        <v>46203</v>
      </c>
      <c r="G516" t="s">
        <v>686</v>
      </c>
      <c r="H516" t="s">
        <v>1159</v>
      </c>
      <c r="I516">
        <v>52550501</v>
      </c>
      <c r="J516" t="s">
        <v>1343</v>
      </c>
      <c r="K516" t="s">
        <v>1344</v>
      </c>
      <c r="L516">
        <v>267.26</v>
      </c>
      <c r="M516">
        <v>0</v>
      </c>
      <c r="N516">
        <v>0</v>
      </c>
      <c r="O516">
        <v>267.26</v>
      </c>
      <c r="P516" t="s">
        <v>1345</v>
      </c>
      <c r="Q516" t="s">
        <v>1101</v>
      </c>
      <c r="R516" t="s">
        <v>1199</v>
      </c>
      <c r="S516" t="s">
        <v>948</v>
      </c>
      <c r="T516" t="s">
        <v>1102</v>
      </c>
      <c r="U516" t="s">
        <v>1346</v>
      </c>
      <c r="V516" t="s">
        <v>1165</v>
      </c>
      <c r="W516">
        <v>1</v>
      </c>
      <c r="X516">
        <v>267.26</v>
      </c>
      <c r="Y516" t="s">
        <v>1166</v>
      </c>
      <c r="Z516" t="s">
        <v>1167</v>
      </c>
      <c r="AA516" t="s">
        <v>1347</v>
      </c>
    </row>
    <row r="517" spans="1:27" x14ac:dyDescent="0.3">
      <c r="A517" t="s">
        <v>1659</v>
      </c>
      <c r="B517" t="s">
        <v>1356</v>
      </c>
      <c r="C517" t="s">
        <v>975</v>
      </c>
      <c r="D517" t="s">
        <v>1265</v>
      </c>
      <c r="E517" t="s">
        <v>603</v>
      </c>
      <c r="F517">
        <v>46203</v>
      </c>
      <c r="G517" t="s">
        <v>686</v>
      </c>
      <c r="H517" t="s">
        <v>1159</v>
      </c>
      <c r="I517">
        <v>52550502</v>
      </c>
      <c r="J517" t="s">
        <v>1343</v>
      </c>
      <c r="K517" t="s">
        <v>1349</v>
      </c>
      <c r="L517">
        <v>0</v>
      </c>
      <c r="M517">
        <v>1183</v>
      </c>
      <c r="N517">
        <v>0</v>
      </c>
      <c r="O517">
        <v>1183</v>
      </c>
      <c r="P517" t="s">
        <v>1345</v>
      </c>
      <c r="Q517" t="s">
        <v>1101</v>
      </c>
      <c r="R517" t="s">
        <v>1199</v>
      </c>
      <c r="S517" t="s">
        <v>948</v>
      </c>
      <c r="T517" t="s">
        <v>1102</v>
      </c>
      <c r="U517" t="s">
        <v>1346</v>
      </c>
      <c r="V517" t="s">
        <v>1165</v>
      </c>
      <c r="W517">
        <v>1</v>
      </c>
      <c r="X517">
        <v>1183</v>
      </c>
      <c r="Y517" t="s">
        <v>1166</v>
      </c>
      <c r="Z517" t="s">
        <v>1167</v>
      </c>
      <c r="AA517" t="s">
        <v>1347</v>
      </c>
    </row>
    <row r="518" spans="1:27" x14ac:dyDescent="0.3">
      <c r="A518" t="s">
        <v>1659</v>
      </c>
      <c r="B518" t="s">
        <v>1357</v>
      </c>
      <c r="C518" t="s">
        <v>975</v>
      </c>
      <c r="D518" t="s">
        <v>1265</v>
      </c>
      <c r="E518" t="s">
        <v>603</v>
      </c>
      <c r="F518">
        <v>46203</v>
      </c>
      <c r="G518" t="s">
        <v>686</v>
      </c>
      <c r="H518" t="s">
        <v>1159</v>
      </c>
      <c r="I518">
        <v>52550502</v>
      </c>
      <c r="J518" t="s">
        <v>1343</v>
      </c>
      <c r="K518" t="s">
        <v>1349</v>
      </c>
      <c r="L518">
        <v>80.8</v>
      </c>
      <c r="M518">
        <v>0</v>
      </c>
      <c r="N518">
        <v>0</v>
      </c>
      <c r="O518">
        <v>80.8</v>
      </c>
      <c r="P518" t="s">
        <v>1345</v>
      </c>
      <c r="Q518" t="s">
        <v>1101</v>
      </c>
      <c r="R518" t="s">
        <v>1199</v>
      </c>
      <c r="S518" t="s">
        <v>948</v>
      </c>
      <c r="T518" t="s">
        <v>1102</v>
      </c>
      <c r="U518" t="s">
        <v>1346</v>
      </c>
      <c r="V518" t="s">
        <v>1165</v>
      </c>
      <c r="W518">
        <v>1</v>
      </c>
      <c r="X518">
        <v>80.8</v>
      </c>
      <c r="Y518" t="s">
        <v>1166</v>
      </c>
      <c r="Z518" t="s">
        <v>1167</v>
      </c>
      <c r="AA518" t="s">
        <v>1347</v>
      </c>
    </row>
    <row r="519" spans="1:27" x14ac:dyDescent="0.3">
      <c r="A519" t="s">
        <v>1659</v>
      </c>
      <c r="B519" t="s">
        <v>1358</v>
      </c>
      <c r="C519" t="s">
        <v>975</v>
      </c>
      <c r="D519" t="s">
        <v>1265</v>
      </c>
      <c r="E519" t="s">
        <v>603</v>
      </c>
      <c r="F519">
        <v>46203</v>
      </c>
      <c r="G519" t="s">
        <v>686</v>
      </c>
      <c r="H519" t="s">
        <v>1159</v>
      </c>
      <c r="I519">
        <v>52550502</v>
      </c>
      <c r="J519" t="s">
        <v>1343</v>
      </c>
      <c r="K519" t="s">
        <v>1349</v>
      </c>
      <c r="L519">
        <v>20.68</v>
      </c>
      <c r="M519">
        <v>0</v>
      </c>
      <c r="N519">
        <v>0</v>
      </c>
      <c r="O519">
        <v>20.68</v>
      </c>
      <c r="P519" t="s">
        <v>1345</v>
      </c>
      <c r="Q519" t="s">
        <v>1101</v>
      </c>
      <c r="R519" t="s">
        <v>1199</v>
      </c>
      <c r="S519" t="s">
        <v>948</v>
      </c>
      <c r="T519" t="s">
        <v>1102</v>
      </c>
      <c r="U519" t="s">
        <v>1346</v>
      </c>
      <c r="V519" t="s">
        <v>1165</v>
      </c>
      <c r="W519">
        <v>1</v>
      </c>
      <c r="X519">
        <v>20.68</v>
      </c>
      <c r="Y519" t="s">
        <v>1166</v>
      </c>
      <c r="Z519" t="s">
        <v>1167</v>
      </c>
      <c r="AA519" t="s">
        <v>1347</v>
      </c>
    </row>
    <row r="520" spans="1:27" x14ac:dyDescent="0.3">
      <c r="A520" t="s">
        <v>1659</v>
      </c>
      <c r="B520" t="s">
        <v>1565</v>
      </c>
      <c r="C520" t="s">
        <v>975</v>
      </c>
      <c r="D520" t="s">
        <v>1265</v>
      </c>
      <c r="E520" t="s">
        <v>603</v>
      </c>
      <c r="F520">
        <v>46203</v>
      </c>
      <c r="G520" t="s">
        <v>686</v>
      </c>
      <c r="H520" t="s">
        <v>1159</v>
      </c>
      <c r="I520">
        <v>52550502</v>
      </c>
      <c r="J520" t="s">
        <v>1343</v>
      </c>
      <c r="K520" t="s">
        <v>1349</v>
      </c>
      <c r="L520">
        <v>0</v>
      </c>
      <c r="M520">
        <v>471.49</v>
      </c>
      <c r="N520">
        <v>0</v>
      </c>
      <c r="O520">
        <v>471.49</v>
      </c>
      <c r="P520" t="s">
        <v>1345</v>
      </c>
      <c r="Q520" t="s">
        <v>1101</v>
      </c>
      <c r="R520" t="s">
        <v>1199</v>
      </c>
      <c r="S520" t="s">
        <v>948</v>
      </c>
      <c r="T520" t="s">
        <v>1102</v>
      </c>
      <c r="U520" t="s">
        <v>1346</v>
      </c>
      <c r="V520" t="s">
        <v>1165</v>
      </c>
      <c r="W520">
        <v>1</v>
      </c>
      <c r="X520">
        <v>471.49</v>
      </c>
      <c r="Y520" t="s">
        <v>1166</v>
      </c>
      <c r="Z520" t="s">
        <v>1167</v>
      </c>
      <c r="AA520" t="s">
        <v>1347</v>
      </c>
    </row>
    <row r="521" spans="1:27" x14ac:dyDescent="0.3">
      <c r="A521" t="s">
        <v>1659</v>
      </c>
      <c r="B521" t="s">
        <v>1566</v>
      </c>
      <c r="C521" t="s">
        <v>975</v>
      </c>
      <c r="D521" t="s">
        <v>1265</v>
      </c>
      <c r="E521" t="s">
        <v>603</v>
      </c>
      <c r="F521">
        <v>46203</v>
      </c>
      <c r="G521" t="s">
        <v>686</v>
      </c>
      <c r="H521" t="s">
        <v>1159</v>
      </c>
      <c r="I521">
        <v>52550502</v>
      </c>
      <c r="J521" t="s">
        <v>1343</v>
      </c>
      <c r="K521" t="s">
        <v>1349</v>
      </c>
      <c r="L521">
        <v>0</v>
      </c>
      <c r="M521">
        <v>256</v>
      </c>
      <c r="N521">
        <v>0</v>
      </c>
      <c r="O521">
        <v>256</v>
      </c>
      <c r="P521" t="s">
        <v>1345</v>
      </c>
      <c r="Q521" t="s">
        <v>1101</v>
      </c>
      <c r="R521" t="s">
        <v>1199</v>
      </c>
      <c r="S521" t="s">
        <v>948</v>
      </c>
      <c r="T521" t="s">
        <v>1102</v>
      </c>
      <c r="U521" t="s">
        <v>1346</v>
      </c>
      <c r="V521" t="s">
        <v>1165</v>
      </c>
      <c r="W521">
        <v>1</v>
      </c>
      <c r="X521">
        <v>256</v>
      </c>
      <c r="Y521" t="s">
        <v>1166</v>
      </c>
      <c r="Z521" t="s">
        <v>1167</v>
      </c>
      <c r="AA521" t="s">
        <v>1347</v>
      </c>
    </row>
    <row r="522" spans="1:27" x14ac:dyDescent="0.3">
      <c r="A522" t="s">
        <v>1659</v>
      </c>
      <c r="B522" t="s">
        <v>1359</v>
      </c>
      <c r="C522" t="s">
        <v>975</v>
      </c>
      <c r="D522" t="s">
        <v>1265</v>
      </c>
      <c r="E522" t="s">
        <v>603</v>
      </c>
      <c r="F522">
        <v>46203</v>
      </c>
      <c r="G522" t="s">
        <v>686</v>
      </c>
      <c r="H522" t="s">
        <v>1159</v>
      </c>
      <c r="I522">
        <v>52550502</v>
      </c>
      <c r="J522" t="s">
        <v>1343</v>
      </c>
      <c r="K522" t="s">
        <v>1349</v>
      </c>
      <c r="L522">
        <v>0</v>
      </c>
      <c r="M522">
        <v>269</v>
      </c>
      <c r="N522">
        <v>0</v>
      </c>
      <c r="O522">
        <v>269</v>
      </c>
      <c r="P522" t="s">
        <v>1345</v>
      </c>
      <c r="Q522" t="s">
        <v>1101</v>
      </c>
      <c r="R522" t="s">
        <v>1199</v>
      </c>
      <c r="S522" t="s">
        <v>948</v>
      </c>
      <c r="T522" t="s">
        <v>1102</v>
      </c>
      <c r="U522" t="s">
        <v>1346</v>
      </c>
      <c r="V522" t="s">
        <v>1165</v>
      </c>
      <c r="W522">
        <v>1</v>
      </c>
      <c r="X522">
        <v>269</v>
      </c>
      <c r="Y522" t="s">
        <v>1166</v>
      </c>
      <c r="Z522" t="s">
        <v>1167</v>
      </c>
      <c r="AA522" t="s">
        <v>1347</v>
      </c>
    </row>
    <row r="523" spans="1:27" x14ac:dyDescent="0.3">
      <c r="A523" t="s">
        <v>1659</v>
      </c>
      <c r="B523" t="s">
        <v>1420</v>
      </c>
      <c r="C523" t="s">
        <v>975</v>
      </c>
      <c r="D523" t="s">
        <v>1265</v>
      </c>
      <c r="E523" t="s">
        <v>603</v>
      </c>
      <c r="F523">
        <v>46203</v>
      </c>
      <c r="G523" t="s">
        <v>686</v>
      </c>
      <c r="H523" t="s">
        <v>1159</v>
      </c>
      <c r="I523">
        <v>52550502</v>
      </c>
      <c r="J523" t="s">
        <v>1343</v>
      </c>
      <c r="K523" t="s">
        <v>1349</v>
      </c>
      <c r="L523">
        <v>114</v>
      </c>
      <c r="M523">
        <v>0</v>
      </c>
      <c r="N523">
        <v>0</v>
      </c>
      <c r="O523">
        <v>114</v>
      </c>
      <c r="P523" t="s">
        <v>1345</v>
      </c>
      <c r="Q523" t="s">
        <v>1101</v>
      </c>
      <c r="R523" t="s">
        <v>1199</v>
      </c>
      <c r="S523" t="s">
        <v>948</v>
      </c>
      <c r="T523" t="s">
        <v>1102</v>
      </c>
      <c r="U523" t="s">
        <v>1346</v>
      </c>
      <c r="V523" t="s">
        <v>1165</v>
      </c>
      <c r="W523">
        <v>1</v>
      </c>
      <c r="X523">
        <v>114</v>
      </c>
      <c r="Y523" t="s">
        <v>1166</v>
      </c>
      <c r="Z523" t="s">
        <v>1167</v>
      </c>
      <c r="AA523" t="s">
        <v>1347</v>
      </c>
    </row>
    <row r="524" spans="1:27" x14ac:dyDescent="0.3">
      <c r="A524" t="s">
        <v>1659</v>
      </c>
      <c r="B524" t="s">
        <v>1364</v>
      </c>
      <c r="C524" t="s">
        <v>975</v>
      </c>
      <c r="D524" t="s">
        <v>1265</v>
      </c>
      <c r="E524" t="s">
        <v>603</v>
      </c>
      <c r="F524">
        <v>46203</v>
      </c>
      <c r="G524" t="s">
        <v>686</v>
      </c>
      <c r="H524" t="s">
        <v>1159</v>
      </c>
      <c r="I524">
        <v>52550502</v>
      </c>
      <c r="J524" t="s">
        <v>1343</v>
      </c>
      <c r="K524" t="s">
        <v>1349</v>
      </c>
      <c r="L524">
        <v>0</v>
      </c>
      <c r="M524">
        <v>124.6</v>
      </c>
      <c r="N524">
        <v>0</v>
      </c>
      <c r="O524">
        <v>124.6</v>
      </c>
      <c r="P524" t="s">
        <v>1345</v>
      </c>
      <c r="Q524" t="s">
        <v>1101</v>
      </c>
      <c r="R524" t="s">
        <v>1199</v>
      </c>
      <c r="S524" t="s">
        <v>948</v>
      </c>
      <c r="T524" t="s">
        <v>1102</v>
      </c>
      <c r="U524" t="s">
        <v>1346</v>
      </c>
      <c r="V524" t="s">
        <v>1165</v>
      </c>
      <c r="W524">
        <v>1</v>
      </c>
      <c r="X524">
        <v>124.6</v>
      </c>
      <c r="Y524" t="s">
        <v>1166</v>
      </c>
      <c r="Z524" t="s">
        <v>1167</v>
      </c>
      <c r="AA524" t="s">
        <v>1347</v>
      </c>
    </row>
    <row r="525" spans="1:27" x14ac:dyDescent="0.3">
      <c r="A525" t="s">
        <v>1659</v>
      </c>
      <c r="B525" t="s">
        <v>1422</v>
      </c>
      <c r="C525" t="s">
        <v>975</v>
      </c>
      <c r="D525" t="s">
        <v>1265</v>
      </c>
      <c r="E525" t="s">
        <v>603</v>
      </c>
      <c r="F525">
        <v>46203</v>
      </c>
      <c r="G525" t="s">
        <v>686</v>
      </c>
      <c r="H525" t="s">
        <v>1159</v>
      </c>
      <c r="I525">
        <v>52550502</v>
      </c>
      <c r="J525" t="s">
        <v>1343</v>
      </c>
      <c r="K525" t="s">
        <v>1349</v>
      </c>
      <c r="L525">
        <v>0</v>
      </c>
      <c r="M525">
        <v>19.5</v>
      </c>
      <c r="N525">
        <v>0</v>
      </c>
      <c r="O525">
        <v>19.5</v>
      </c>
      <c r="P525" t="s">
        <v>1345</v>
      </c>
      <c r="Q525" t="s">
        <v>1101</v>
      </c>
      <c r="R525" t="s">
        <v>1199</v>
      </c>
      <c r="S525" t="s">
        <v>948</v>
      </c>
      <c r="T525" t="s">
        <v>1102</v>
      </c>
      <c r="U525" t="s">
        <v>1346</v>
      </c>
      <c r="V525" t="s">
        <v>1165</v>
      </c>
      <c r="W525">
        <v>1</v>
      </c>
      <c r="X525">
        <v>19.5</v>
      </c>
      <c r="Y525" t="s">
        <v>1166</v>
      </c>
      <c r="Z525" t="s">
        <v>1167</v>
      </c>
      <c r="AA525" t="s">
        <v>1347</v>
      </c>
    </row>
    <row r="526" spans="1:27" x14ac:dyDescent="0.3">
      <c r="A526" t="s">
        <v>1659</v>
      </c>
      <c r="B526" t="s">
        <v>1424</v>
      </c>
      <c r="C526" t="s">
        <v>975</v>
      </c>
      <c r="D526" t="s">
        <v>1265</v>
      </c>
      <c r="E526" t="s">
        <v>603</v>
      </c>
      <c r="F526">
        <v>46203</v>
      </c>
      <c r="G526" t="s">
        <v>686</v>
      </c>
      <c r="H526" t="s">
        <v>1159</v>
      </c>
      <c r="I526">
        <v>52550502</v>
      </c>
      <c r="J526" t="s">
        <v>1343</v>
      </c>
      <c r="K526" t="s">
        <v>1349</v>
      </c>
      <c r="L526">
        <v>520</v>
      </c>
      <c r="M526">
        <v>0</v>
      </c>
      <c r="N526">
        <v>0</v>
      </c>
      <c r="O526">
        <v>520</v>
      </c>
      <c r="P526" t="s">
        <v>1345</v>
      </c>
      <c r="Q526" t="s">
        <v>1101</v>
      </c>
      <c r="R526" t="s">
        <v>1199</v>
      </c>
      <c r="S526" t="s">
        <v>948</v>
      </c>
      <c r="T526" t="s">
        <v>1102</v>
      </c>
      <c r="U526" t="s">
        <v>1346</v>
      </c>
      <c r="V526" t="s">
        <v>1165</v>
      </c>
      <c r="W526">
        <v>1</v>
      </c>
      <c r="X526">
        <v>520</v>
      </c>
      <c r="Y526" t="s">
        <v>1166</v>
      </c>
      <c r="Z526" t="s">
        <v>1167</v>
      </c>
      <c r="AA526" t="s">
        <v>1347</v>
      </c>
    </row>
    <row r="527" spans="1:27" x14ac:dyDescent="0.3">
      <c r="A527" t="s">
        <v>1659</v>
      </c>
      <c r="B527" t="s">
        <v>1368</v>
      </c>
      <c r="C527" t="s">
        <v>975</v>
      </c>
      <c r="D527" t="s">
        <v>1265</v>
      </c>
      <c r="E527" t="s">
        <v>603</v>
      </c>
      <c r="F527">
        <v>46203</v>
      </c>
      <c r="G527" t="s">
        <v>686</v>
      </c>
      <c r="H527" t="s">
        <v>1159</v>
      </c>
      <c r="I527">
        <v>52550502</v>
      </c>
      <c r="J527" t="s">
        <v>1343</v>
      </c>
      <c r="K527" t="s">
        <v>1349</v>
      </c>
      <c r="L527">
        <v>6</v>
      </c>
      <c r="M527">
        <v>0</v>
      </c>
      <c r="N527">
        <v>0</v>
      </c>
      <c r="O527">
        <v>6</v>
      </c>
      <c r="P527" t="s">
        <v>1345</v>
      </c>
      <c r="Q527" t="s">
        <v>1101</v>
      </c>
      <c r="R527" t="s">
        <v>1199</v>
      </c>
      <c r="S527" t="s">
        <v>948</v>
      </c>
      <c r="T527" t="s">
        <v>1102</v>
      </c>
      <c r="U527" t="s">
        <v>1346</v>
      </c>
      <c r="V527" t="s">
        <v>1165</v>
      </c>
      <c r="W527">
        <v>1</v>
      </c>
      <c r="X527">
        <v>6</v>
      </c>
      <c r="Y527" t="s">
        <v>1166</v>
      </c>
      <c r="Z527" t="s">
        <v>1167</v>
      </c>
      <c r="AA527" t="s">
        <v>1347</v>
      </c>
    </row>
    <row r="528" spans="1:27" x14ac:dyDescent="0.3">
      <c r="A528" t="s">
        <v>1659</v>
      </c>
      <c r="B528" t="s">
        <v>1369</v>
      </c>
      <c r="C528" t="s">
        <v>975</v>
      </c>
      <c r="D528" t="s">
        <v>1265</v>
      </c>
      <c r="E528" t="s">
        <v>603</v>
      </c>
      <c r="F528">
        <v>46203</v>
      </c>
      <c r="G528" t="s">
        <v>686</v>
      </c>
      <c r="H528" t="s">
        <v>1159</v>
      </c>
      <c r="I528">
        <v>52550502</v>
      </c>
      <c r="J528" t="s">
        <v>1343</v>
      </c>
      <c r="K528" t="s">
        <v>1349</v>
      </c>
      <c r="L528">
        <v>226.33</v>
      </c>
      <c r="M528">
        <v>0</v>
      </c>
      <c r="N528">
        <v>0</v>
      </c>
      <c r="O528">
        <v>226.33</v>
      </c>
      <c r="P528" t="s">
        <v>1345</v>
      </c>
      <c r="Q528" t="s">
        <v>1101</v>
      </c>
      <c r="R528" t="s">
        <v>1199</v>
      </c>
      <c r="S528" t="s">
        <v>948</v>
      </c>
      <c r="T528" t="s">
        <v>1102</v>
      </c>
      <c r="U528" t="s">
        <v>1346</v>
      </c>
      <c r="V528" t="s">
        <v>1165</v>
      </c>
      <c r="W528">
        <v>1</v>
      </c>
      <c r="X528">
        <v>226.33</v>
      </c>
      <c r="Y528" t="s">
        <v>1166</v>
      </c>
      <c r="Z528" t="s">
        <v>1167</v>
      </c>
      <c r="AA528" t="s">
        <v>1347</v>
      </c>
    </row>
    <row r="529" spans="1:27" x14ac:dyDescent="0.3">
      <c r="A529" t="s">
        <v>1659</v>
      </c>
      <c r="B529" t="s">
        <v>1370</v>
      </c>
      <c r="C529" t="s">
        <v>975</v>
      </c>
      <c r="D529" t="s">
        <v>1265</v>
      </c>
      <c r="E529" t="s">
        <v>603</v>
      </c>
      <c r="F529">
        <v>46203</v>
      </c>
      <c r="G529" t="s">
        <v>686</v>
      </c>
      <c r="H529" t="s">
        <v>1159</v>
      </c>
      <c r="I529">
        <v>52550502</v>
      </c>
      <c r="J529" t="s">
        <v>1343</v>
      </c>
      <c r="K529" t="s">
        <v>1349</v>
      </c>
      <c r="L529">
        <v>386.7</v>
      </c>
      <c r="M529">
        <v>0</v>
      </c>
      <c r="N529">
        <v>0</v>
      </c>
      <c r="O529">
        <v>386.7</v>
      </c>
      <c r="P529" t="s">
        <v>1345</v>
      </c>
      <c r="Q529" t="s">
        <v>1101</v>
      </c>
      <c r="R529" t="s">
        <v>1199</v>
      </c>
      <c r="S529" t="s">
        <v>948</v>
      </c>
      <c r="T529" t="s">
        <v>1102</v>
      </c>
      <c r="U529" t="s">
        <v>1346</v>
      </c>
      <c r="V529" t="s">
        <v>1165</v>
      </c>
      <c r="W529">
        <v>1</v>
      </c>
      <c r="X529">
        <v>386.7</v>
      </c>
      <c r="Y529" t="s">
        <v>1166</v>
      </c>
      <c r="Z529" t="s">
        <v>1167</v>
      </c>
      <c r="AA529" t="s">
        <v>1347</v>
      </c>
    </row>
    <row r="530" spans="1:27" x14ac:dyDescent="0.3">
      <c r="A530" t="s">
        <v>1659</v>
      </c>
      <c r="B530" t="s">
        <v>1426</v>
      </c>
      <c r="C530" t="s">
        <v>975</v>
      </c>
      <c r="D530" t="s">
        <v>1265</v>
      </c>
      <c r="E530" t="s">
        <v>603</v>
      </c>
      <c r="F530">
        <v>46203</v>
      </c>
      <c r="G530" t="s">
        <v>686</v>
      </c>
      <c r="H530" t="s">
        <v>1159</v>
      </c>
      <c r="I530">
        <v>52550502</v>
      </c>
      <c r="J530" t="s">
        <v>1343</v>
      </c>
      <c r="K530" t="s">
        <v>1349</v>
      </c>
      <c r="L530">
        <v>150.72</v>
      </c>
      <c r="M530">
        <v>0</v>
      </c>
      <c r="N530">
        <v>0</v>
      </c>
      <c r="O530">
        <v>150.72</v>
      </c>
      <c r="P530" t="s">
        <v>1345</v>
      </c>
      <c r="Q530" t="s">
        <v>1101</v>
      </c>
      <c r="R530" t="s">
        <v>1199</v>
      </c>
      <c r="S530" t="s">
        <v>948</v>
      </c>
      <c r="T530" t="s">
        <v>1102</v>
      </c>
      <c r="U530" t="s">
        <v>1346</v>
      </c>
      <c r="V530" t="s">
        <v>1165</v>
      </c>
      <c r="W530">
        <v>1</v>
      </c>
      <c r="X530">
        <v>150.72</v>
      </c>
      <c r="Y530" t="s">
        <v>1166</v>
      </c>
      <c r="Z530" t="s">
        <v>1167</v>
      </c>
      <c r="AA530" t="s">
        <v>1347</v>
      </c>
    </row>
    <row r="531" spans="1:27" x14ac:dyDescent="0.3">
      <c r="A531" t="s">
        <v>1659</v>
      </c>
      <c r="B531" t="s">
        <v>1590</v>
      </c>
      <c r="C531" t="s">
        <v>975</v>
      </c>
      <c r="D531" t="s">
        <v>1265</v>
      </c>
      <c r="E531" t="s">
        <v>603</v>
      </c>
      <c r="F531">
        <v>46203</v>
      </c>
      <c r="G531" t="s">
        <v>686</v>
      </c>
      <c r="H531" t="s">
        <v>1159</v>
      </c>
      <c r="I531">
        <v>52550502</v>
      </c>
      <c r="J531" t="s">
        <v>1343</v>
      </c>
      <c r="K531" t="s">
        <v>1349</v>
      </c>
      <c r="L531">
        <v>24</v>
      </c>
      <c r="M531">
        <v>0</v>
      </c>
      <c r="N531">
        <v>0</v>
      </c>
      <c r="O531">
        <v>24</v>
      </c>
      <c r="P531" t="s">
        <v>1345</v>
      </c>
      <c r="Q531" t="s">
        <v>1101</v>
      </c>
      <c r="R531" t="s">
        <v>1199</v>
      </c>
      <c r="S531" t="s">
        <v>948</v>
      </c>
      <c r="T531" t="s">
        <v>1102</v>
      </c>
      <c r="U531" t="s">
        <v>1346</v>
      </c>
      <c r="V531" t="s">
        <v>1165</v>
      </c>
      <c r="W531">
        <v>1</v>
      </c>
      <c r="X531">
        <v>24</v>
      </c>
      <c r="Y531" t="s">
        <v>1166</v>
      </c>
      <c r="Z531" t="s">
        <v>1167</v>
      </c>
      <c r="AA531" t="s">
        <v>1347</v>
      </c>
    </row>
    <row r="532" spans="1:27" x14ac:dyDescent="0.3">
      <c r="A532" t="s">
        <v>1659</v>
      </c>
      <c r="B532" t="s">
        <v>1432</v>
      </c>
      <c r="C532" t="s">
        <v>975</v>
      </c>
      <c r="D532" t="s">
        <v>1265</v>
      </c>
      <c r="E532" t="s">
        <v>603</v>
      </c>
      <c r="F532">
        <v>46203</v>
      </c>
      <c r="G532" t="s">
        <v>686</v>
      </c>
      <c r="H532" t="s">
        <v>1159</v>
      </c>
      <c r="I532">
        <v>52550502</v>
      </c>
      <c r="J532" t="s">
        <v>1343</v>
      </c>
      <c r="K532" t="s">
        <v>1349</v>
      </c>
      <c r="L532">
        <v>24</v>
      </c>
      <c r="M532">
        <v>0</v>
      </c>
      <c r="N532">
        <v>0</v>
      </c>
      <c r="O532">
        <v>24</v>
      </c>
      <c r="P532" t="s">
        <v>1345</v>
      </c>
      <c r="Q532" t="s">
        <v>1101</v>
      </c>
      <c r="R532" t="s">
        <v>1199</v>
      </c>
      <c r="S532" t="s">
        <v>948</v>
      </c>
      <c r="T532" t="s">
        <v>1102</v>
      </c>
      <c r="U532" t="s">
        <v>1346</v>
      </c>
      <c r="V532" t="s">
        <v>1165</v>
      </c>
      <c r="W532">
        <v>1</v>
      </c>
      <c r="X532">
        <v>24</v>
      </c>
      <c r="Y532" t="s">
        <v>1166</v>
      </c>
      <c r="Z532" t="s">
        <v>1167</v>
      </c>
      <c r="AA532" t="s">
        <v>1347</v>
      </c>
    </row>
    <row r="533" spans="1:27" x14ac:dyDescent="0.3">
      <c r="A533" t="s">
        <v>1659</v>
      </c>
      <c r="B533" t="s">
        <v>1439</v>
      </c>
      <c r="C533" t="s">
        <v>975</v>
      </c>
      <c r="D533" t="s">
        <v>1265</v>
      </c>
      <c r="E533" t="s">
        <v>603</v>
      </c>
      <c r="F533">
        <v>46203</v>
      </c>
      <c r="G533" t="s">
        <v>686</v>
      </c>
      <c r="H533" t="s">
        <v>1159</v>
      </c>
      <c r="I533">
        <v>52551501</v>
      </c>
      <c r="J533" t="s">
        <v>1591</v>
      </c>
      <c r="K533" t="s">
        <v>1592</v>
      </c>
      <c r="L533">
        <v>0</v>
      </c>
      <c r="M533">
        <v>1450.64</v>
      </c>
      <c r="N533">
        <v>0</v>
      </c>
      <c r="O533">
        <v>1450.64</v>
      </c>
      <c r="P533" t="s">
        <v>1593</v>
      </c>
      <c r="Q533" t="s">
        <v>1101</v>
      </c>
      <c r="R533" t="s">
        <v>1199</v>
      </c>
      <c r="S533" t="s">
        <v>948</v>
      </c>
      <c r="T533" t="s">
        <v>1102</v>
      </c>
      <c r="U533" t="s">
        <v>1594</v>
      </c>
      <c r="V533" t="s">
        <v>1165</v>
      </c>
      <c r="W533">
        <v>1</v>
      </c>
      <c r="X533">
        <v>1450.64</v>
      </c>
      <c r="Y533" t="s">
        <v>1166</v>
      </c>
      <c r="Z533" t="s">
        <v>1167</v>
      </c>
      <c r="AA533" t="s">
        <v>1102</v>
      </c>
    </row>
    <row r="534" spans="1:27" x14ac:dyDescent="0.3">
      <c r="A534" t="s">
        <v>1659</v>
      </c>
      <c r="B534" t="s">
        <v>1441</v>
      </c>
      <c r="C534" t="s">
        <v>975</v>
      </c>
      <c r="D534" t="s">
        <v>1265</v>
      </c>
      <c r="E534" t="s">
        <v>603</v>
      </c>
      <c r="F534">
        <v>46203</v>
      </c>
      <c r="G534" t="s">
        <v>686</v>
      </c>
      <c r="H534" t="s">
        <v>1159</v>
      </c>
      <c r="I534">
        <v>52551501</v>
      </c>
      <c r="J534" t="s">
        <v>1591</v>
      </c>
      <c r="K534" t="s">
        <v>1592</v>
      </c>
      <c r="L534">
        <v>5146.2</v>
      </c>
      <c r="M534">
        <v>0</v>
      </c>
      <c r="N534">
        <v>0</v>
      </c>
      <c r="O534">
        <v>5146.2</v>
      </c>
      <c r="P534" t="s">
        <v>1593</v>
      </c>
      <c r="Q534" t="s">
        <v>1101</v>
      </c>
      <c r="R534" t="s">
        <v>1199</v>
      </c>
      <c r="S534" t="s">
        <v>948</v>
      </c>
      <c r="T534" t="s">
        <v>1102</v>
      </c>
      <c r="U534" t="s">
        <v>1594</v>
      </c>
      <c r="V534" t="s">
        <v>1165</v>
      </c>
      <c r="W534">
        <v>1</v>
      </c>
      <c r="X534">
        <v>5146.2</v>
      </c>
      <c r="Y534" t="s">
        <v>1166</v>
      </c>
      <c r="Z534" t="s">
        <v>1167</v>
      </c>
      <c r="AA534" t="s">
        <v>1102</v>
      </c>
    </row>
    <row r="535" spans="1:27" x14ac:dyDescent="0.3">
      <c r="A535" t="s">
        <v>1659</v>
      </c>
      <c r="B535" t="s">
        <v>1443</v>
      </c>
      <c r="C535" t="s">
        <v>975</v>
      </c>
      <c r="D535" t="s">
        <v>1265</v>
      </c>
      <c r="E535" t="s">
        <v>603</v>
      </c>
      <c r="F535">
        <v>46203</v>
      </c>
      <c r="G535" t="s">
        <v>686</v>
      </c>
      <c r="H535" t="s">
        <v>1159</v>
      </c>
      <c r="I535">
        <v>52559502</v>
      </c>
      <c r="J535" t="s">
        <v>1232</v>
      </c>
      <c r="K535" t="s">
        <v>1595</v>
      </c>
      <c r="L535">
        <v>0</v>
      </c>
      <c r="M535">
        <v>50</v>
      </c>
      <c r="N535">
        <v>0</v>
      </c>
      <c r="O535">
        <v>50</v>
      </c>
      <c r="P535" t="s">
        <v>1596</v>
      </c>
      <c r="Q535" t="s">
        <v>1101</v>
      </c>
      <c r="R535" t="s">
        <v>1199</v>
      </c>
      <c r="S535" t="s">
        <v>948</v>
      </c>
      <c r="T535" t="s">
        <v>1102</v>
      </c>
      <c r="U535" t="s">
        <v>1597</v>
      </c>
      <c r="V535" t="s">
        <v>1165</v>
      </c>
      <c r="W535">
        <v>1</v>
      </c>
      <c r="X535">
        <v>50</v>
      </c>
      <c r="Y535" t="s">
        <v>1192</v>
      </c>
      <c r="Z535" t="s">
        <v>1193</v>
      </c>
      <c r="AA535" t="s">
        <v>1598</v>
      </c>
    </row>
    <row r="536" spans="1:27" x14ac:dyDescent="0.3">
      <c r="A536" t="s">
        <v>1659</v>
      </c>
      <c r="B536" t="s">
        <v>1568</v>
      </c>
      <c r="C536" t="s">
        <v>975</v>
      </c>
      <c r="D536" t="s">
        <v>1265</v>
      </c>
      <c r="E536" t="s">
        <v>603</v>
      </c>
      <c r="F536">
        <v>46203</v>
      </c>
      <c r="G536" t="s">
        <v>686</v>
      </c>
      <c r="H536" t="s">
        <v>1159</v>
      </c>
      <c r="I536">
        <v>52559502</v>
      </c>
      <c r="J536" t="s">
        <v>1232</v>
      </c>
      <c r="K536" t="s">
        <v>1595</v>
      </c>
      <c r="L536">
        <v>0</v>
      </c>
      <c r="M536">
        <v>30</v>
      </c>
      <c r="N536">
        <v>0</v>
      </c>
      <c r="O536">
        <v>30</v>
      </c>
      <c r="P536" t="s">
        <v>1596</v>
      </c>
      <c r="Q536" t="s">
        <v>1101</v>
      </c>
      <c r="R536" t="s">
        <v>1199</v>
      </c>
      <c r="S536" t="s">
        <v>948</v>
      </c>
      <c r="T536" t="s">
        <v>1102</v>
      </c>
      <c r="U536" t="s">
        <v>1597</v>
      </c>
      <c r="V536" t="s">
        <v>1165</v>
      </c>
      <c r="W536">
        <v>1</v>
      </c>
      <c r="X536">
        <v>30</v>
      </c>
      <c r="Y536" t="s">
        <v>1192</v>
      </c>
      <c r="Z536" t="s">
        <v>1193</v>
      </c>
      <c r="AA536" t="s">
        <v>1598</v>
      </c>
    </row>
    <row r="537" spans="1:27" x14ac:dyDescent="0.3">
      <c r="A537" t="s">
        <v>1659</v>
      </c>
      <c r="B537" t="s">
        <v>1569</v>
      </c>
      <c r="C537" t="s">
        <v>975</v>
      </c>
      <c r="D537" t="s">
        <v>1265</v>
      </c>
      <c r="E537" t="s">
        <v>603</v>
      </c>
      <c r="F537">
        <v>46203</v>
      </c>
      <c r="G537" t="s">
        <v>686</v>
      </c>
      <c r="H537" t="s">
        <v>1159</v>
      </c>
      <c r="I537">
        <v>52954501</v>
      </c>
      <c r="J537" t="s">
        <v>1360</v>
      </c>
      <c r="K537" t="s">
        <v>1360</v>
      </c>
      <c r="L537">
        <v>78</v>
      </c>
      <c r="M537">
        <v>78</v>
      </c>
      <c r="N537">
        <v>0</v>
      </c>
      <c r="O537">
        <v>156</v>
      </c>
      <c r="P537" t="s">
        <v>1361</v>
      </c>
      <c r="Q537" t="s">
        <v>1103</v>
      </c>
      <c r="R537" t="s">
        <v>1199</v>
      </c>
      <c r="S537" t="s">
        <v>948</v>
      </c>
      <c r="T537" t="s">
        <v>1104</v>
      </c>
      <c r="U537" t="s">
        <v>1362</v>
      </c>
      <c r="V537" t="s">
        <v>1165</v>
      </c>
      <c r="W537">
        <v>1</v>
      </c>
      <c r="X537">
        <v>156</v>
      </c>
      <c r="Y537" t="s">
        <v>1166</v>
      </c>
      <c r="Z537" t="s">
        <v>1167</v>
      </c>
      <c r="AA537" t="s">
        <v>1363</v>
      </c>
    </row>
    <row r="538" spans="1:27" x14ac:dyDescent="0.3">
      <c r="A538" t="s">
        <v>1659</v>
      </c>
      <c r="B538" t="s">
        <v>1453</v>
      </c>
      <c r="C538" t="s">
        <v>975</v>
      </c>
      <c r="D538" t="s">
        <v>1265</v>
      </c>
      <c r="E538" t="s">
        <v>603</v>
      </c>
      <c r="F538">
        <v>46203</v>
      </c>
      <c r="G538" t="s">
        <v>686</v>
      </c>
      <c r="H538" t="s">
        <v>1159</v>
      </c>
      <c r="I538">
        <v>52954501</v>
      </c>
      <c r="J538" t="s">
        <v>1360</v>
      </c>
      <c r="K538" t="s">
        <v>1360</v>
      </c>
      <c r="L538">
        <v>0</v>
      </c>
      <c r="M538">
        <v>389.37</v>
      </c>
      <c r="N538">
        <v>0</v>
      </c>
      <c r="O538">
        <v>389.37</v>
      </c>
      <c r="P538" t="s">
        <v>1361</v>
      </c>
      <c r="Q538" t="s">
        <v>1103</v>
      </c>
      <c r="R538" t="s">
        <v>1199</v>
      </c>
      <c r="S538" t="s">
        <v>948</v>
      </c>
      <c r="T538" t="s">
        <v>1104</v>
      </c>
      <c r="U538" t="s">
        <v>1362</v>
      </c>
      <c r="V538" t="s">
        <v>1165</v>
      </c>
      <c r="W538">
        <v>1</v>
      </c>
      <c r="X538">
        <v>389.37</v>
      </c>
      <c r="Y538" t="s">
        <v>1166</v>
      </c>
      <c r="Z538" t="s">
        <v>1167</v>
      </c>
      <c r="AA538" t="s">
        <v>1363</v>
      </c>
    </row>
    <row r="539" spans="1:27" x14ac:dyDescent="0.3">
      <c r="A539" t="s">
        <v>1659</v>
      </c>
      <c r="B539" t="s">
        <v>1571</v>
      </c>
      <c r="C539" t="s">
        <v>975</v>
      </c>
      <c r="D539" t="s">
        <v>1265</v>
      </c>
      <c r="E539" t="s">
        <v>603</v>
      </c>
      <c r="F539">
        <v>46203</v>
      </c>
      <c r="G539" t="s">
        <v>686</v>
      </c>
      <c r="H539" t="s">
        <v>1159</v>
      </c>
      <c r="I539">
        <v>52959503</v>
      </c>
      <c r="J539" t="s">
        <v>1232</v>
      </c>
      <c r="K539" t="s">
        <v>1599</v>
      </c>
      <c r="L539">
        <v>0</v>
      </c>
      <c r="M539">
        <v>79.900000000000006</v>
      </c>
      <c r="N539">
        <v>0</v>
      </c>
      <c r="O539">
        <v>79.900000000000006</v>
      </c>
      <c r="P539" t="s">
        <v>1366</v>
      </c>
      <c r="Q539" t="s">
        <v>1105</v>
      </c>
      <c r="R539" t="s">
        <v>1199</v>
      </c>
      <c r="S539" t="s">
        <v>948</v>
      </c>
      <c r="T539" t="s">
        <v>1106</v>
      </c>
      <c r="U539" t="s">
        <v>576</v>
      </c>
      <c r="V539" t="s">
        <v>1165</v>
      </c>
      <c r="W539">
        <v>1</v>
      </c>
      <c r="X539">
        <v>79.900000000000006</v>
      </c>
      <c r="Y539" t="s">
        <v>1192</v>
      </c>
      <c r="Z539" t="s">
        <v>1193</v>
      </c>
      <c r="AA539" t="s">
        <v>1367</v>
      </c>
    </row>
    <row r="540" spans="1:27" x14ac:dyDescent="0.3">
      <c r="A540" t="s">
        <v>1659</v>
      </c>
      <c r="B540" t="s">
        <v>1455</v>
      </c>
      <c r="C540" t="s">
        <v>975</v>
      </c>
      <c r="D540" t="s">
        <v>1265</v>
      </c>
      <c r="E540" t="s">
        <v>603</v>
      </c>
      <c r="F540">
        <v>46203</v>
      </c>
      <c r="G540" t="s">
        <v>686</v>
      </c>
      <c r="H540" t="s">
        <v>1159</v>
      </c>
      <c r="I540">
        <v>52959503</v>
      </c>
      <c r="J540" t="s">
        <v>1232</v>
      </c>
      <c r="K540" t="s">
        <v>1599</v>
      </c>
      <c r="L540">
        <v>0</v>
      </c>
      <c r="M540">
        <v>40.619999999999997</v>
      </c>
      <c r="N540">
        <v>0</v>
      </c>
      <c r="O540">
        <v>40.619999999999997</v>
      </c>
      <c r="P540" t="s">
        <v>1366</v>
      </c>
      <c r="Q540" t="s">
        <v>1105</v>
      </c>
      <c r="R540" t="s">
        <v>1199</v>
      </c>
      <c r="S540" t="s">
        <v>948</v>
      </c>
      <c r="T540" t="s">
        <v>1106</v>
      </c>
      <c r="U540" t="s">
        <v>576</v>
      </c>
      <c r="V540" t="s">
        <v>1165</v>
      </c>
      <c r="W540">
        <v>1</v>
      </c>
      <c r="X540">
        <v>40.619999999999997</v>
      </c>
      <c r="Y540" t="s">
        <v>1192</v>
      </c>
      <c r="Z540" t="s">
        <v>1193</v>
      </c>
      <c r="AA540" t="s">
        <v>1367</v>
      </c>
    </row>
    <row r="541" spans="1:27" x14ac:dyDescent="0.3">
      <c r="A541" t="s">
        <v>1659</v>
      </c>
      <c r="B541" t="s">
        <v>1600</v>
      </c>
      <c r="C541" t="s">
        <v>975</v>
      </c>
      <c r="D541" t="s">
        <v>1265</v>
      </c>
      <c r="E541" t="s">
        <v>603</v>
      </c>
      <c r="F541">
        <v>46203</v>
      </c>
      <c r="G541" t="s">
        <v>686</v>
      </c>
      <c r="H541" t="s">
        <v>1159</v>
      </c>
      <c r="I541">
        <v>52959504</v>
      </c>
      <c r="J541" t="s">
        <v>1232</v>
      </c>
      <c r="K541" t="s">
        <v>1601</v>
      </c>
      <c r="L541">
        <v>0</v>
      </c>
      <c r="M541">
        <v>3954</v>
      </c>
      <c r="N541">
        <v>0</v>
      </c>
      <c r="O541">
        <v>3954</v>
      </c>
      <c r="P541" t="s">
        <v>1366</v>
      </c>
      <c r="Q541" t="s">
        <v>1105</v>
      </c>
      <c r="R541" t="s">
        <v>1199</v>
      </c>
      <c r="S541" t="s">
        <v>948</v>
      </c>
      <c r="T541" t="s">
        <v>1106</v>
      </c>
      <c r="U541" t="s">
        <v>576</v>
      </c>
      <c r="V541" t="s">
        <v>1165</v>
      </c>
      <c r="W541">
        <v>1</v>
      </c>
      <c r="X541">
        <v>3954</v>
      </c>
      <c r="Y541" t="s">
        <v>1192</v>
      </c>
      <c r="Z541" t="s">
        <v>1193</v>
      </c>
      <c r="AA541" t="s">
        <v>1367</v>
      </c>
    </row>
    <row r="542" spans="1:27" x14ac:dyDescent="0.3">
      <c r="A542" t="s">
        <v>1659</v>
      </c>
      <c r="B542" t="s">
        <v>1580</v>
      </c>
      <c r="C542" t="s">
        <v>975</v>
      </c>
      <c r="D542" t="s">
        <v>1265</v>
      </c>
      <c r="E542" t="s">
        <v>603</v>
      </c>
      <c r="F542">
        <v>46203</v>
      </c>
      <c r="G542" t="s">
        <v>686</v>
      </c>
      <c r="H542" t="s">
        <v>1159</v>
      </c>
      <c r="I542">
        <v>52959505</v>
      </c>
      <c r="J542" t="s">
        <v>1232</v>
      </c>
      <c r="K542" t="s">
        <v>1365</v>
      </c>
      <c r="L542">
        <v>1.9</v>
      </c>
      <c r="M542">
        <v>0</v>
      </c>
      <c r="N542">
        <v>0</v>
      </c>
      <c r="O542">
        <v>1.9</v>
      </c>
      <c r="P542" t="s">
        <v>1366</v>
      </c>
      <c r="Q542" t="s">
        <v>1105</v>
      </c>
      <c r="R542" t="s">
        <v>1199</v>
      </c>
      <c r="S542" t="s">
        <v>948</v>
      </c>
      <c r="T542" t="s">
        <v>1106</v>
      </c>
      <c r="U542" t="s">
        <v>576</v>
      </c>
      <c r="V542" t="s">
        <v>1165</v>
      </c>
      <c r="W542">
        <v>1</v>
      </c>
      <c r="X542">
        <v>1.9</v>
      </c>
      <c r="Y542" t="s">
        <v>1192</v>
      </c>
      <c r="Z542" t="s">
        <v>1193</v>
      </c>
      <c r="AA542" t="s">
        <v>1367</v>
      </c>
    </row>
    <row r="543" spans="1:27" x14ac:dyDescent="0.3">
      <c r="A543" t="s">
        <v>1659</v>
      </c>
      <c r="B543" t="s">
        <v>1461</v>
      </c>
      <c r="C543" t="s">
        <v>975</v>
      </c>
      <c r="D543" t="s">
        <v>1265</v>
      </c>
      <c r="E543" t="s">
        <v>603</v>
      </c>
      <c r="F543">
        <v>46203</v>
      </c>
      <c r="G543" t="s">
        <v>686</v>
      </c>
      <c r="H543" t="s">
        <v>1159</v>
      </c>
      <c r="I543">
        <v>53050501</v>
      </c>
      <c r="J543" t="s">
        <v>1258</v>
      </c>
      <c r="K543" t="s">
        <v>1258</v>
      </c>
      <c r="L543">
        <v>227.16</v>
      </c>
      <c r="M543">
        <v>233.65</v>
      </c>
      <c r="N543">
        <v>0</v>
      </c>
      <c r="O543">
        <v>460.81</v>
      </c>
      <c r="P543" t="s">
        <v>1260</v>
      </c>
      <c r="Q543" t="s">
        <v>1123</v>
      </c>
      <c r="R543" t="s">
        <v>1199</v>
      </c>
      <c r="S543" t="s">
        <v>717</v>
      </c>
      <c r="T543" t="s">
        <v>717</v>
      </c>
      <c r="U543" t="s">
        <v>1261</v>
      </c>
      <c r="V543" t="s">
        <v>1165</v>
      </c>
      <c r="W543">
        <v>1</v>
      </c>
      <c r="X543">
        <v>460.81</v>
      </c>
      <c r="Y543" t="s">
        <v>1166</v>
      </c>
      <c r="Z543" t="s">
        <v>1167</v>
      </c>
      <c r="AA543" t="s">
        <v>1262</v>
      </c>
    </row>
    <row r="544" spans="1:27" x14ac:dyDescent="0.3">
      <c r="A544" t="s">
        <v>1659</v>
      </c>
      <c r="B544" t="s">
        <v>1463</v>
      </c>
      <c r="C544" t="s">
        <v>975</v>
      </c>
      <c r="D544" t="s">
        <v>1265</v>
      </c>
      <c r="E544" t="s">
        <v>603</v>
      </c>
      <c r="F544">
        <v>46203</v>
      </c>
      <c r="G544" t="s">
        <v>686</v>
      </c>
      <c r="H544" t="s">
        <v>1159</v>
      </c>
      <c r="I544">
        <v>53050501</v>
      </c>
      <c r="J544" t="s">
        <v>1258</v>
      </c>
      <c r="K544" t="s">
        <v>1258</v>
      </c>
      <c r="L544">
        <v>4.29</v>
      </c>
      <c r="M544">
        <v>0</v>
      </c>
      <c r="N544">
        <v>0</v>
      </c>
      <c r="O544">
        <v>4.29</v>
      </c>
      <c r="P544" t="s">
        <v>1260</v>
      </c>
      <c r="Q544" t="s">
        <v>1123</v>
      </c>
      <c r="R544" t="s">
        <v>1199</v>
      </c>
      <c r="S544" t="s">
        <v>717</v>
      </c>
      <c r="T544" t="s">
        <v>717</v>
      </c>
      <c r="U544" t="s">
        <v>1261</v>
      </c>
      <c r="V544" t="s">
        <v>1165</v>
      </c>
      <c r="W544">
        <v>1</v>
      </c>
      <c r="X544">
        <v>4.29</v>
      </c>
      <c r="Y544" t="s">
        <v>1166</v>
      </c>
      <c r="Z544" t="s">
        <v>1167</v>
      </c>
      <c r="AA544" t="s">
        <v>1262</v>
      </c>
    </row>
    <row r="545" spans="1:27" x14ac:dyDescent="0.3">
      <c r="A545" t="s">
        <v>1659</v>
      </c>
      <c r="B545" t="s">
        <v>1465</v>
      </c>
      <c r="C545" t="s">
        <v>975</v>
      </c>
      <c r="D545" t="s">
        <v>1265</v>
      </c>
      <c r="E545" t="s">
        <v>603</v>
      </c>
      <c r="F545">
        <v>46203</v>
      </c>
      <c r="G545" t="s">
        <v>686</v>
      </c>
      <c r="H545" t="s">
        <v>1159</v>
      </c>
      <c r="I545">
        <v>53050501</v>
      </c>
      <c r="J545" t="s">
        <v>1258</v>
      </c>
      <c r="K545" t="s">
        <v>1258</v>
      </c>
      <c r="L545">
        <v>172.1</v>
      </c>
      <c r="M545">
        <v>0</v>
      </c>
      <c r="N545">
        <v>0</v>
      </c>
      <c r="O545">
        <v>172.1</v>
      </c>
      <c r="P545" t="s">
        <v>1260</v>
      </c>
      <c r="Q545" t="s">
        <v>1123</v>
      </c>
      <c r="R545" t="s">
        <v>1199</v>
      </c>
      <c r="S545" t="s">
        <v>717</v>
      </c>
      <c r="T545" t="s">
        <v>717</v>
      </c>
      <c r="U545" t="s">
        <v>1261</v>
      </c>
      <c r="V545" t="s">
        <v>1165</v>
      </c>
      <c r="W545">
        <v>1</v>
      </c>
      <c r="X545">
        <v>172.1</v>
      </c>
      <c r="Y545" t="s">
        <v>1166</v>
      </c>
      <c r="Z545" t="s">
        <v>1167</v>
      </c>
      <c r="AA545" t="s">
        <v>1262</v>
      </c>
    </row>
    <row r="546" spans="1:27" x14ac:dyDescent="0.3">
      <c r="A546" t="s">
        <v>1659</v>
      </c>
      <c r="B546" t="s">
        <v>1581</v>
      </c>
      <c r="C546" t="s">
        <v>975</v>
      </c>
      <c r="D546" t="s">
        <v>1265</v>
      </c>
      <c r="E546" t="s">
        <v>603</v>
      </c>
      <c r="F546">
        <v>46203</v>
      </c>
      <c r="G546" t="s">
        <v>686</v>
      </c>
      <c r="H546" t="s">
        <v>1159</v>
      </c>
      <c r="I546">
        <v>53050503</v>
      </c>
      <c r="J546" t="s">
        <v>1258</v>
      </c>
      <c r="K546" t="s">
        <v>573</v>
      </c>
      <c r="L546">
        <v>7.4</v>
      </c>
      <c r="M546">
        <v>0.5</v>
      </c>
      <c r="N546">
        <v>0</v>
      </c>
      <c r="O546">
        <v>7.9</v>
      </c>
      <c r="P546" t="s">
        <v>1260</v>
      </c>
      <c r="Q546" t="s">
        <v>1123</v>
      </c>
      <c r="R546" t="s">
        <v>1199</v>
      </c>
      <c r="S546" t="s">
        <v>717</v>
      </c>
      <c r="T546" t="s">
        <v>717</v>
      </c>
      <c r="U546" t="s">
        <v>1261</v>
      </c>
      <c r="V546" t="s">
        <v>1165</v>
      </c>
      <c r="W546">
        <v>1</v>
      </c>
      <c r="X546">
        <v>7.9</v>
      </c>
      <c r="Y546" t="s">
        <v>1166</v>
      </c>
      <c r="Z546" t="s">
        <v>1167</v>
      </c>
      <c r="AA546" t="s">
        <v>1262</v>
      </c>
    </row>
    <row r="547" spans="1:27" x14ac:dyDescent="0.3">
      <c r="A547" t="s">
        <v>1659</v>
      </c>
      <c r="B547" t="s">
        <v>1467</v>
      </c>
      <c r="C547" t="s">
        <v>975</v>
      </c>
      <c r="D547" t="s">
        <v>1265</v>
      </c>
      <c r="E547" t="s">
        <v>603</v>
      </c>
      <c r="F547">
        <v>46203</v>
      </c>
      <c r="G547" t="s">
        <v>686</v>
      </c>
      <c r="H547" t="s">
        <v>1159</v>
      </c>
      <c r="I547">
        <v>53050504</v>
      </c>
      <c r="J547" t="s">
        <v>1258</v>
      </c>
      <c r="K547" t="s">
        <v>1371</v>
      </c>
      <c r="L547">
        <v>441.87</v>
      </c>
      <c r="M547">
        <v>80</v>
      </c>
      <c r="N547">
        <v>0</v>
      </c>
      <c r="O547">
        <v>521.87</v>
      </c>
      <c r="P547" t="s">
        <v>1260</v>
      </c>
      <c r="Q547" t="s">
        <v>1123</v>
      </c>
      <c r="R547" t="s">
        <v>1199</v>
      </c>
      <c r="S547" t="s">
        <v>717</v>
      </c>
      <c r="T547" t="s">
        <v>717</v>
      </c>
      <c r="U547" t="s">
        <v>1261</v>
      </c>
      <c r="V547" t="s">
        <v>1165</v>
      </c>
      <c r="W547">
        <v>1</v>
      </c>
      <c r="X547">
        <v>521.87</v>
      </c>
      <c r="Y547" t="s">
        <v>1166</v>
      </c>
      <c r="Z547" t="s">
        <v>1167</v>
      </c>
      <c r="AA547" t="s">
        <v>1262</v>
      </c>
    </row>
    <row r="548" spans="1:27" x14ac:dyDescent="0.3">
      <c r="A548" t="s">
        <v>1659</v>
      </c>
      <c r="B548" t="s">
        <v>1473</v>
      </c>
      <c r="C548" t="s">
        <v>975</v>
      </c>
      <c r="D548" t="s">
        <v>1265</v>
      </c>
      <c r="E548" t="s">
        <v>603</v>
      </c>
      <c r="F548">
        <v>46203</v>
      </c>
      <c r="G548" t="s">
        <v>686</v>
      </c>
      <c r="H548" t="s">
        <v>1159</v>
      </c>
      <c r="I548">
        <v>53051501</v>
      </c>
      <c r="J548" t="s">
        <v>1544</v>
      </c>
      <c r="K548" t="s">
        <v>1602</v>
      </c>
      <c r="L548">
        <v>4.29</v>
      </c>
      <c r="M548">
        <v>0</v>
      </c>
      <c r="N548">
        <v>0</v>
      </c>
      <c r="O548">
        <v>4.29</v>
      </c>
      <c r="P548" t="s">
        <v>1546</v>
      </c>
      <c r="Q548" t="s">
        <v>1123</v>
      </c>
      <c r="R548" t="s">
        <v>1199</v>
      </c>
      <c r="S548" t="s">
        <v>717</v>
      </c>
      <c r="T548" t="s">
        <v>717</v>
      </c>
      <c r="U548" t="s">
        <v>1547</v>
      </c>
      <c r="V548" t="s">
        <v>1165</v>
      </c>
      <c r="W548">
        <v>1</v>
      </c>
      <c r="X548">
        <v>4.29</v>
      </c>
      <c r="Y548" t="s">
        <v>1166</v>
      </c>
      <c r="Z548" t="s">
        <v>1167</v>
      </c>
      <c r="AA548" t="s">
        <v>1548</v>
      </c>
    </row>
    <row r="549" spans="1:27" x14ac:dyDescent="0.3">
      <c r="A549" t="s">
        <v>1659</v>
      </c>
      <c r="B549" t="s">
        <v>1572</v>
      </c>
      <c r="C549" t="s">
        <v>975</v>
      </c>
      <c r="D549" t="s">
        <v>1265</v>
      </c>
      <c r="E549" t="s">
        <v>603</v>
      </c>
      <c r="F549">
        <v>46203</v>
      </c>
      <c r="G549" t="s">
        <v>686</v>
      </c>
      <c r="H549" t="s">
        <v>1159</v>
      </c>
      <c r="I549">
        <v>53051501</v>
      </c>
      <c r="J549" t="s">
        <v>1544</v>
      </c>
      <c r="K549" t="s">
        <v>1602</v>
      </c>
      <c r="L549">
        <v>-4.29</v>
      </c>
      <c r="M549">
        <v>0</v>
      </c>
      <c r="N549">
        <v>0</v>
      </c>
      <c r="O549">
        <v>-4.29</v>
      </c>
      <c r="P549" t="s">
        <v>1546</v>
      </c>
      <c r="Q549" t="s">
        <v>1123</v>
      </c>
      <c r="R549" t="s">
        <v>1199</v>
      </c>
      <c r="S549" t="s">
        <v>717</v>
      </c>
      <c r="T549" t="s">
        <v>717</v>
      </c>
      <c r="U549" t="s">
        <v>1547</v>
      </c>
      <c r="V549" t="s">
        <v>1165</v>
      </c>
      <c r="W549">
        <v>1</v>
      </c>
      <c r="X549">
        <v>-4.29</v>
      </c>
      <c r="Y549" t="s">
        <v>1166</v>
      </c>
      <c r="Z549" t="s">
        <v>1167</v>
      </c>
      <c r="AA549" t="s">
        <v>1548</v>
      </c>
    </row>
    <row r="550" spans="1:27" x14ac:dyDescent="0.3">
      <c r="A550" t="s">
        <v>1660</v>
      </c>
      <c r="B550" t="s">
        <v>1158</v>
      </c>
      <c r="C550" t="s">
        <v>974</v>
      </c>
      <c r="D550" t="s">
        <v>1373</v>
      </c>
      <c r="E550" t="s">
        <v>603</v>
      </c>
      <c r="F550">
        <v>46203</v>
      </c>
      <c r="G550" t="s">
        <v>496</v>
      </c>
      <c r="H550" t="s">
        <v>1159</v>
      </c>
      <c r="I550">
        <v>11100501</v>
      </c>
      <c r="J550" t="s">
        <v>1160</v>
      </c>
      <c r="L550">
        <v>256779.21</v>
      </c>
      <c r="M550">
        <v>5255</v>
      </c>
      <c r="N550">
        <v>5845.12</v>
      </c>
      <c r="O550">
        <v>256189.09</v>
      </c>
      <c r="P550" t="s">
        <v>1161</v>
      </c>
      <c r="Q550" t="s">
        <v>980</v>
      </c>
      <c r="R550" t="s">
        <v>1162</v>
      </c>
      <c r="S550" t="s">
        <v>1163</v>
      </c>
      <c r="T550" t="s">
        <v>926</v>
      </c>
      <c r="U550" t="s">
        <v>1164</v>
      </c>
      <c r="V550" t="s">
        <v>1165</v>
      </c>
      <c r="W550">
        <v>1</v>
      </c>
      <c r="X550">
        <v>256189.09</v>
      </c>
      <c r="Y550" t="s">
        <v>1166</v>
      </c>
      <c r="Z550" t="s">
        <v>1167</v>
      </c>
      <c r="AA550" t="s">
        <v>1168</v>
      </c>
    </row>
    <row r="551" spans="1:27" x14ac:dyDescent="0.3">
      <c r="A551" t="s">
        <v>1660</v>
      </c>
      <c r="B551" t="s">
        <v>1374</v>
      </c>
      <c r="C551" t="s">
        <v>974</v>
      </c>
      <c r="D551" t="s">
        <v>1373</v>
      </c>
      <c r="E551" t="s">
        <v>603</v>
      </c>
      <c r="F551">
        <v>46203</v>
      </c>
      <c r="G551" t="s">
        <v>496</v>
      </c>
      <c r="H551" t="s">
        <v>1159</v>
      </c>
      <c r="I551">
        <v>11100502</v>
      </c>
      <c r="J551" t="s">
        <v>1160</v>
      </c>
      <c r="L551">
        <v>36917.93</v>
      </c>
      <c r="M551">
        <v>4125.42</v>
      </c>
      <c r="N551">
        <v>19581.39</v>
      </c>
      <c r="O551">
        <v>21461.96</v>
      </c>
      <c r="P551" t="s">
        <v>1161</v>
      </c>
      <c r="Q551" t="s">
        <v>980</v>
      </c>
      <c r="R551" t="s">
        <v>1162</v>
      </c>
      <c r="S551" t="s">
        <v>1163</v>
      </c>
      <c r="T551" t="s">
        <v>926</v>
      </c>
      <c r="U551" t="s">
        <v>1164</v>
      </c>
      <c r="V551" t="s">
        <v>1165</v>
      </c>
      <c r="W551">
        <v>1</v>
      </c>
      <c r="X551">
        <v>21461.96</v>
      </c>
      <c r="Y551" t="s">
        <v>1166</v>
      </c>
      <c r="Z551" t="s">
        <v>1167</v>
      </c>
      <c r="AA551" t="s">
        <v>1168</v>
      </c>
    </row>
    <row r="552" spans="1:27" x14ac:dyDescent="0.3">
      <c r="A552" t="s">
        <v>1660</v>
      </c>
      <c r="B552" t="s">
        <v>1267</v>
      </c>
      <c r="C552" t="s">
        <v>974</v>
      </c>
      <c r="D552" t="s">
        <v>1373</v>
      </c>
      <c r="E552" t="s">
        <v>603</v>
      </c>
      <c r="F552">
        <v>46203</v>
      </c>
      <c r="G552" t="s">
        <v>496</v>
      </c>
      <c r="H552" t="s">
        <v>1159</v>
      </c>
      <c r="I552">
        <v>11100503</v>
      </c>
      <c r="J552" t="s">
        <v>1160</v>
      </c>
      <c r="L552">
        <v>36808.300000000003</v>
      </c>
      <c r="M552">
        <v>0.03</v>
      </c>
      <c r="N552">
        <v>0</v>
      </c>
      <c r="O552">
        <v>36808.33</v>
      </c>
      <c r="P552" t="s">
        <v>1161</v>
      </c>
      <c r="Q552" t="s">
        <v>980</v>
      </c>
      <c r="R552" t="s">
        <v>1162</v>
      </c>
      <c r="S552" t="s">
        <v>1163</v>
      </c>
      <c r="T552" t="s">
        <v>926</v>
      </c>
      <c r="U552" t="s">
        <v>1164</v>
      </c>
      <c r="V552" t="s">
        <v>1165</v>
      </c>
      <c r="W552">
        <v>1</v>
      </c>
      <c r="X552">
        <v>36808.33</v>
      </c>
      <c r="Y552" t="s">
        <v>1166</v>
      </c>
      <c r="Z552" t="s">
        <v>1167</v>
      </c>
      <c r="AA552" t="s">
        <v>1168</v>
      </c>
    </row>
    <row r="553" spans="1:27" x14ac:dyDescent="0.3">
      <c r="A553" t="s">
        <v>1660</v>
      </c>
      <c r="B553" t="s">
        <v>1375</v>
      </c>
      <c r="C553" t="s">
        <v>974</v>
      </c>
      <c r="D553" t="s">
        <v>1373</v>
      </c>
      <c r="E553" t="s">
        <v>603</v>
      </c>
      <c r="F553">
        <v>46203</v>
      </c>
      <c r="G553" t="s">
        <v>496</v>
      </c>
      <c r="H553" t="s">
        <v>1159</v>
      </c>
      <c r="I553">
        <v>13050501</v>
      </c>
      <c r="J553" t="s">
        <v>1273</v>
      </c>
      <c r="K553" t="s">
        <v>1376</v>
      </c>
      <c r="L553">
        <v>5255.35</v>
      </c>
      <c r="M553">
        <v>5513</v>
      </c>
      <c r="N553">
        <v>5255</v>
      </c>
      <c r="O553">
        <v>5513.35</v>
      </c>
      <c r="P553" t="s">
        <v>1275</v>
      </c>
      <c r="Q553" t="s">
        <v>983</v>
      </c>
      <c r="R553" t="s">
        <v>1162</v>
      </c>
      <c r="S553" t="s">
        <v>1163</v>
      </c>
      <c r="T553" t="s">
        <v>984</v>
      </c>
      <c r="U553" t="s">
        <v>1276</v>
      </c>
      <c r="V553" t="s">
        <v>1165</v>
      </c>
      <c r="W553">
        <v>1</v>
      </c>
      <c r="X553">
        <v>5513.35</v>
      </c>
      <c r="Y553" t="s">
        <v>1166</v>
      </c>
      <c r="Z553" t="s">
        <v>1167</v>
      </c>
      <c r="AA553" t="s">
        <v>1277</v>
      </c>
    </row>
    <row r="554" spans="1:27" x14ac:dyDescent="0.3">
      <c r="A554" t="s">
        <v>1660</v>
      </c>
      <c r="B554" t="s">
        <v>1377</v>
      </c>
      <c r="C554" t="s">
        <v>974</v>
      </c>
      <c r="D554" t="s">
        <v>1373</v>
      </c>
      <c r="E554" t="s">
        <v>603</v>
      </c>
      <c r="F554">
        <v>46203</v>
      </c>
      <c r="G554" t="s">
        <v>496</v>
      </c>
      <c r="H554" t="s">
        <v>1159</v>
      </c>
      <c r="I554">
        <v>13050501</v>
      </c>
      <c r="J554" t="s">
        <v>1273</v>
      </c>
      <c r="K554" t="s">
        <v>1378</v>
      </c>
      <c r="L554">
        <v>83</v>
      </c>
      <c r="M554">
        <v>0</v>
      </c>
      <c r="N554">
        <v>0</v>
      </c>
      <c r="O554">
        <v>83</v>
      </c>
      <c r="P554" t="s">
        <v>1275</v>
      </c>
      <c r="Q554" t="s">
        <v>983</v>
      </c>
      <c r="R554" t="s">
        <v>1162</v>
      </c>
      <c r="S554" t="s">
        <v>1163</v>
      </c>
      <c r="T554" t="s">
        <v>984</v>
      </c>
      <c r="U554" t="s">
        <v>1276</v>
      </c>
      <c r="V554" t="s">
        <v>1165</v>
      </c>
      <c r="W554">
        <v>1</v>
      </c>
      <c r="X554">
        <v>83</v>
      </c>
      <c r="Y554" t="s">
        <v>1166</v>
      </c>
      <c r="Z554" t="s">
        <v>1167</v>
      </c>
      <c r="AA554" t="s">
        <v>1277</v>
      </c>
    </row>
    <row r="555" spans="1:27" x14ac:dyDescent="0.3">
      <c r="A555" t="s">
        <v>1660</v>
      </c>
      <c r="B555" t="s">
        <v>1278</v>
      </c>
      <c r="C555" t="s">
        <v>974</v>
      </c>
      <c r="D555" t="s">
        <v>1373</v>
      </c>
      <c r="E555" t="s">
        <v>603</v>
      </c>
      <c r="F555">
        <v>46203</v>
      </c>
      <c r="G555" t="s">
        <v>496</v>
      </c>
      <c r="H555" t="s">
        <v>1159</v>
      </c>
      <c r="I555">
        <v>13050501</v>
      </c>
      <c r="J555" t="s">
        <v>1273</v>
      </c>
      <c r="K555" t="s">
        <v>1387</v>
      </c>
      <c r="L555">
        <v>4010</v>
      </c>
      <c r="M555">
        <v>0</v>
      </c>
      <c r="N555">
        <v>4010</v>
      </c>
      <c r="O555">
        <v>0</v>
      </c>
      <c r="P555" t="s">
        <v>1275</v>
      </c>
      <c r="Q555" t="s">
        <v>983</v>
      </c>
      <c r="R555" t="s">
        <v>1162</v>
      </c>
      <c r="S555" t="s">
        <v>1163</v>
      </c>
      <c r="T555" t="s">
        <v>984</v>
      </c>
      <c r="U555" t="s">
        <v>1276</v>
      </c>
      <c r="V555" t="s">
        <v>1165</v>
      </c>
      <c r="W555">
        <v>1</v>
      </c>
      <c r="Y555" t="s">
        <v>1166</v>
      </c>
      <c r="Z555" t="s">
        <v>1167</v>
      </c>
      <c r="AA555" t="s">
        <v>1277</v>
      </c>
    </row>
    <row r="556" spans="1:27" x14ac:dyDescent="0.3">
      <c r="A556" t="s">
        <v>1660</v>
      </c>
      <c r="B556" t="s">
        <v>1380</v>
      </c>
      <c r="C556" t="s">
        <v>974</v>
      </c>
      <c r="D556" t="s">
        <v>1373</v>
      </c>
      <c r="E556" t="s">
        <v>603</v>
      </c>
      <c r="F556">
        <v>46203</v>
      </c>
      <c r="G556" t="s">
        <v>496</v>
      </c>
      <c r="H556" t="s">
        <v>1159</v>
      </c>
      <c r="I556">
        <v>13050501</v>
      </c>
      <c r="J556" t="s">
        <v>1273</v>
      </c>
      <c r="K556" t="s">
        <v>1379</v>
      </c>
      <c r="L556">
        <v>217</v>
      </c>
      <c r="M556">
        <v>0</v>
      </c>
      <c r="N556">
        <v>0</v>
      </c>
      <c r="O556">
        <v>217</v>
      </c>
      <c r="P556" t="s">
        <v>1275</v>
      </c>
      <c r="Q556" t="s">
        <v>983</v>
      </c>
      <c r="R556" t="s">
        <v>1162</v>
      </c>
      <c r="S556" t="s">
        <v>1163</v>
      </c>
      <c r="T556" t="s">
        <v>984</v>
      </c>
      <c r="U556" t="s">
        <v>1276</v>
      </c>
      <c r="V556" t="s">
        <v>1165</v>
      </c>
      <c r="W556">
        <v>1</v>
      </c>
      <c r="X556">
        <v>217</v>
      </c>
      <c r="Y556" t="s">
        <v>1166</v>
      </c>
      <c r="Z556" t="s">
        <v>1167</v>
      </c>
      <c r="AA556" t="s">
        <v>1277</v>
      </c>
    </row>
    <row r="557" spans="1:27" x14ac:dyDescent="0.3">
      <c r="A557" t="s">
        <v>1660</v>
      </c>
      <c r="B557" t="s">
        <v>1177</v>
      </c>
      <c r="C557" t="s">
        <v>974</v>
      </c>
      <c r="D557" t="s">
        <v>1373</v>
      </c>
      <c r="E557" t="s">
        <v>603</v>
      </c>
      <c r="F557">
        <v>46203</v>
      </c>
      <c r="G557" t="s">
        <v>496</v>
      </c>
      <c r="H557" t="s">
        <v>1159</v>
      </c>
      <c r="I557">
        <v>13050501</v>
      </c>
      <c r="J557" t="s">
        <v>1273</v>
      </c>
      <c r="K557" t="s">
        <v>1381</v>
      </c>
      <c r="L557">
        <v>96.45</v>
      </c>
      <c r="M557">
        <v>96.45</v>
      </c>
      <c r="N557">
        <v>96.45</v>
      </c>
      <c r="O557">
        <v>96.45</v>
      </c>
      <c r="P557" t="s">
        <v>1275</v>
      </c>
      <c r="Q557" t="s">
        <v>983</v>
      </c>
      <c r="R557" t="s">
        <v>1162</v>
      </c>
      <c r="S557" t="s">
        <v>1163</v>
      </c>
      <c r="T557" t="s">
        <v>984</v>
      </c>
      <c r="U557" t="s">
        <v>1276</v>
      </c>
      <c r="V557" t="s">
        <v>1165</v>
      </c>
      <c r="W557">
        <v>1</v>
      </c>
      <c r="X557">
        <v>96.45</v>
      </c>
      <c r="Y557" t="s">
        <v>1166</v>
      </c>
      <c r="Z557" t="s">
        <v>1167</v>
      </c>
      <c r="AA557" t="s">
        <v>1277</v>
      </c>
    </row>
    <row r="558" spans="1:27" x14ac:dyDescent="0.3">
      <c r="A558" t="s">
        <v>1660</v>
      </c>
      <c r="B558" t="s">
        <v>1284</v>
      </c>
      <c r="C558" t="s">
        <v>974</v>
      </c>
      <c r="D558" t="s">
        <v>1373</v>
      </c>
      <c r="E558" t="s">
        <v>603</v>
      </c>
      <c r="F558">
        <v>46203</v>
      </c>
      <c r="G558" t="s">
        <v>496</v>
      </c>
      <c r="H558" t="s">
        <v>1159</v>
      </c>
      <c r="I558">
        <v>13050501</v>
      </c>
      <c r="J558" t="s">
        <v>1273</v>
      </c>
      <c r="K558" t="s">
        <v>1382</v>
      </c>
      <c r="L558">
        <v>110</v>
      </c>
      <c r="M558">
        <v>55</v>
      </c>
      <c r="N558">
        <v>55</v>
      </c>
      <c r="O558">
        <v>110</v>
      </c>
      <c r="P558" t="s">
        <v>1275</v>
      </c>
      <c r="Q558" t="s">
        <v>983</v>
      </c>
      <c r="R558" t="s">
        <v>1162</v>
      </c>
      <c r="S558" t="s">
        <v>1163</v>
      </c>
      <c r="T558" t="s">
        <v>984</v>
      </c>
      <c r="U558" t="s">
        <v>1276</v>
      </c>
      <c r="V558" t="s">
        <v>1165</v>
      </c>
      <c r="W558">
        <v>1</v>
      </c>
      <c r="X558">
        <v>110</v>
      </c>
      <c r="Y558" t="s">
        <v>1166</v>
      </c>
      <c r="Z558" t="s">
        <v>1167</v>
      </c>
      <c r="AA558" t="s">
        <v>1277</v>
      </c>
    </row>
    <row r="559" spans="1:27" x14ac:dyDescent="0.3">
      <c r="A559" t="s">
        <v>1660</v>
      </c>
      <c r="B559" t="s">
        <v>1559</v>
      </c>
      <c r="C559" t="s">
        <v>974</v>
      </c>
      <c r="D559" t="s">
        <v>1373</v>
      </c>
      <c r="E559" t="s">
        <v>603</v>
      </c>
      <c r="F559">
        <v>46203</v>
      </c>
      <c r="G559" t="s">
        <v>496</v>
      </c>
      <c r="H559" t="s">
        <v>1159</v>
      </c>
      <c r="I559">
        <v>13309501</v>
      </c>
      <c r="J559" t="s">
        <v>1232</v>
      </c>
      <c r="K559" t="s">
        <v>1378</v>
      </c>
      <c r="L559">
        <v>-300</v>
      </c>
      <c r="M559">
        <v>0</v>
      </c>
      <c r="N559">
        <v>0</v>
      </c>
      <c r="O559">
        <v>-300</v>
      </c>
      <c r="P559" t="s">
        <v>1383</v>
      </c>
      <c r="Q559" t="s">
        <v>985</v>
      </c>
      <c r="R559" t="s">
        <v>1162</v>
      </c>
      <c r="S559" t="s">
        <v>1163</v>
      </c>
      <c r="T559" t="s">
        <v>986</v>
      </c>
      <c r="U559" t="s">
        <v>1384</v>
      </c>
      <c r="V559" t="s">
        <v>1165</v>
      </c>
      <c r="W559">
        <v>1</v>
      </c>
      <c r="X559">
        <v>-300</v>
      </c>
      <c r="Y559" t="s">
        <v>1192</v>
      </c>
      <c r="Z559" t="s">
        <v>1193</v>
      </c>
      <c r="AA559" t="s">
        <v>1385</v>
      </c>
    </row>
    <row r="560" spans="1:27" x14ac:dyDescent="0.3">
      <c r="A560" t="s">
        <v>1660</v>
      </c>
      <c r="B560" t="s">
        <v>1188</v>
      </c>
      <c r="C560" t="s">
        <v>974</v>
      </c>
      <c r="D560" t="s">
        <v>1373</v>
      </c>
      <c r="E560" t="s">
        <v>603</v>
      </c>
      <c r="F560">
        <v>46203</v>
      </c>
      <c r="G560" t="s">
        <v>496</v>
      </c>
      <c r="H560" t="s">
        <v>1159</v>
      </c>
      <c r="I560">
        <v>13802001</v>
      </c>
      <c r="J560" t="s">
        <v>1386</v>
      </c>
      <c r="K560" t="s">
        <v>1387</v>
      </c>
      <c r="L560">
        <v>4300</v>
      </c>
      <c r="M560">
        <v>0</v>
      </c>
      <c r="N560">
        <v>0</v>
      </c>
      <c r="O560">
        <v>4300</v>
      </c>
      <c r="P560" t="s">
        <v>1388</v>
      </c>
      <c r="Q560" t="s">
        <v>989</v>
      </c>
      <c r="R560" t="s">
        <v>1162</v>
      </c>
      <c r="S560" t="s">
        <v>1163</v>
      </c>
      <c r="T560" t="s">
        <v>990</v>
      </c>
      <c r="U560" t="s">
        <v>1389</v>
      </c>
      <c r="V560" t="s">
        <v>1165</v>
      </c>
      <c r="W560">
        <v>1</v>
      </c>
      <c r="X560">
        <v>4300</v>
      </c>
      <c r="Y560" t="s">
        <v>1166</v>
      </c>
      <c r="Z560" t="s">
        <v>1193</v>
      </c>
      <c r="AA560" t="s">
        <v>1390</v>
      </c>
    </row>
    <row r="561" spans="1:27" x14ac:dyDescent="0.3">
      <c r="A561" t="s">
        <v>1660</v>
      </c>
      <c r="B561" t="s">
        <v>1391</v>
      </c>
      <c r="C561" t="s">
        <v>974</v>
      </c>
      <c r="D561" t="s">
        <v>1373</v>
      </c>
      <c r="E561" t="s">
        <v>603</v>
      </c>
      <c r="F561">
        <v>46203</v>
      </c>
      <c r="G561" t="s">
        <v>496</v>
      </c>
      <c r="H561" t="s">
        <v>1159</v>
      </c>
      <c r="I561">
        <v>13802001</v>
      </c>
      <c r="J561" t="s">
        <v>1386</v>
      </c>
      <c r="K561" t="s">
        <v>1179</v>
      </c>
      <c r="L561">
        <v>32099.96</v>
      </c>
      <c r="M561">
        <v>2560</v>
      </c>
      <c r="N561">
        <v>0</v>
      </c>
      <c r="O561">
        <v>34659.96</v>
      </c>
      <c r="P561" t="s">
        <v>1388</v>
      </c>
      <c r="Q561" t="s">
        <v>989</v>
      </c>
      <c r="R561" t="s">
        <v>1162</v>
      </c>
      <c r="S561" t="s">
        <v>1163</v>
      </c>
      <c r="T561" t="s">
        <v>990</v>
      </c>
      <c r="U561" t="s">
        <v>1389</v>
      </c>
      <c r="V561" t="s">
        <v>1165</v>
      </c>
      <c r="W561">
        <v>1</v>
      </c>
      <c r="X561">
        <v>34659.96</v>
      </c>
      <c r="Y561" t="s">
        <v>1166</v>
      </c>
      <c r="Z561" t="s">
        <v>1193</v>
      </c>
      <c r="AA561" t="s">
        <v>1390</v>
      </c>
    </row>
    <row r="562" spans="1:27" x14ac:dyDescent="0.3">
      <c r="A562" t="s">
        <v>1660</v>
      </c>
      <c r="B562" t="s">
        <v>1560</v>
      </c>
      <c r="C562" t="s">
        <v>974</v>
      </c>
      <c r="D562" t="s">
        <v>1373</v>
      </c>
      <c r="E562" t="s">
        <v>603</v>
      </c>
      <c r="F562">
        <v>46203</v>
      </c>
      <c r="G562" t="s">
        <v>496</v>
      </c>
      <c r="H562" t="s">
        <v>1159</v>
      </c>
      <c r="I562">
        <v>13802001</v>
      </c>
      <c r="J562" t="s">
        <v>1386</v>
      </c>
      <c r="K562" t="s">
        <v>1421</v>
      </c>
      <c r="L562">
        <v>-3845.12</v>
      </c>
      <c r="M562">
        <v>3845.12</v>
      </c>
      <c r="N562">
        <v>0</v>
      </c>
      <c r="O562">
        <v>0</v>
      </c>
      <c r="P562" t="s">
        <v>1388</v>
      </c>
      <c r="Q562" t="s">
        <v>989</v>
      </c>
      <c r="R562" t="s">
        <v>1162</v>
      </c>
      <c r="S562" t="s">
        <v>1163</v>
      </c>
      <c r="T562" t="s">
        <v>990</v>
      </c>
      <c r="U562" t="s">
        <v>1389</v>
      </c>
      <c r="V562" t="s">
        <v>1165</v>
      </c>
      <c r="W562">
        <v>1</v>
      </c>
      <c r="Y562" t="s">
        <v>1166</v>
      </c>
      <c r="Z562" t="s">
        <v>1193</v>
      </c>
      <c r="AA562" t="s">
        <v>1390</v>
      </c>
    </row>
    <row r="563" spans="1:27" x14ac:dyDescent="0.3">
      <c r="A563" t="s">
        <v>1660</v>
      </c>
      <c r="B563" t="s">
        <v>1295</v>
      </c>
      <c r="C563" t="s">
        <v>974</v>
      </c>
      <c r="D563" t="s">
        <v>1373</v>
      </c>
      <c r="E563" t="s">
        <v>603</v>
      </c>
      <c r="F563">
        <v>46203</v>
      </c>
      <c r="G563" t="s">
        <v>496</v>
      </c>
      <c r="H563" t="s">
        <v>1159</v>
      </c>
      <c r="I563">
        <v>13802001</v>
      </c>
      <c r="J563" t="s">
        <v>1386</v>
      </c>
      <c r="K563" t="s">
        <v>1392</v>
      </c>
      <c r="L563">
        <v>571891.71</v>
      </c>
      <c r="M563">
        <v>0</v>
      </c>
      <c r="N563">
        <v>0</v>
      </c>
      <c r="O563">
        <v>571891.71</v>
      </c>
      <c r="P563" t="s">
        <v>1388</v>
      </c>
      <c r="Q563" t="s">
        <v>989</v>
      </c>
      <c r="R563" t="s">
        <v>1162</v>
      </c>
      <c r="S563" t="s">
        <v>1163</v>
      </c>
      <c r="T563" t="s">
        <v>990</v>
      </c>
      <c r="U563" t="s">
        <v>1389</v>
      </c>
      <c r="V563" t="s">
        <v>1165</v>
      </c>
      <c r="W563">
        <v>1</v>
      </c>
      <c r="X563">
        <v>571891.71</v>
      </c>
      <c r="Y563" t="s">
        <v>1166</v>
      </c>
      <c r="Z563" t="s">
        <v>1193</v>
      </c>
      <c r="AA563" t="s">
        <v>1390</v>
      </c>
    </row>
    <row r="564" spans="1:27" x14ac:dyDescent="0.3">
      <c r="A564" t="s">
        <v>1660</v>
      </c>
      <c r="B564" t="s">
        <v>1202</v>
      </c>
      <c r="C564" t="s">
        <v>974</v>
      </c>
      <c r="D564" t="s">
        <v>1373</v>
      </c>
      <c r="E564" t="s">
        <v>603</v>
      </c>
      <c r="F564">
        <v>46203</v>
      </c>
      <c r="G564" t="s">
        <v>496</v>
      </c>
      <c r="H564" t="s">
        <v>1159</v>
      </c>
      <c r="I564">
        <v>15280501</v>
      </c>
      <c r="J564" t="s">
        <v>1285</v>
      </c>
      <c r="L564">
        <v>8817.2199999999993</v>
      </c>
      <c r="M564">
        <v>0</v>
      </c>
      <c r="N564">
        <v>0</v>
      </c>
      <c r="O564">
        <v>8817.2199999999993</v>
      </c>
      <c r="P564" t="s">
        <v>1287</v>
      </c>
      <c r="Q564" t="s">
        <v>995</v>
      </c>
      <c r="R564" t="s">
        <v>1162</v>
      </c>
      <c r="S564" t="s">
        <v>957</v>
      </c>
      <c r="T564" t="s">
        <v>996</v>
      </c>
      <c r="U564" t="s">
        <v>1288</v>
      </c>
      <c r="V564" t="s">
        <v>1165</v>
      </c>
      <c r="W564">
        <v>1</v>
      </c>
      <c r="X564">
        <v>8817.2199999999993</v>
      </c>
      <c r="Y564" t="s">
        <v>1166</v>
      </c>
      <c r="Z564" t="s">
        <v>1167</v>
      </c>
      <c r="AA564" t="s">
        <v>1289</v>
      </c>
    </row>
    <row r="565" spans="1:27" x14ac:dyDescent="0.3">
      <c r="A565" t="s">
        <v>1660</v>
      </c>
      <c r="B565" t="s">
        <v>1561</v>
      </c>
      <c r="C565" t="s">
        <v>974</v>
      </c>
      <c r="D565" t="s">
        <v>1373</v>
      </c>
      <c r="E565" t="s">
        <v>603</v>
      </c>
      <c r="F565">
        <v>46203</v>
      </c>
      <c r="G565" t="s">
        <v>496</v>
      </c>
      <c r="H565" t="s">
        <v>1159</v>
      </c>
      <c r="I565">
        <v>15922001</v>
      </c>
      <c r="J565" t="s">
        <v>1394</v>
      </c>
      <c r="L565">
        <v>-4924</v>
      </c>
      <c r="M565">
        <v>0</v>
      </c>
      <c r="N565">
        <v>0</v>
      </c>
      <c r="O565">
        <v>-4924</v>
      </c>
      <c r="P565" t="s">
        <v>1395</v>
      </c>
      <c r="Q565" t="s">
        <v>997</v>
      </c>
      <c r="R565" t="s">
        <v>1162</v>
      </c>
      <c r="S565" t="s">
        <v>957</v>
      </c>
      <c r="T565" t="s">
        <v>998</v>
      </c>
      <c r="U565" t="s">
        <v>1288</v>
      </c>
      <c r="V565" t="s">
        <v>1396</v>
      </c>
      <c r="W565">
        <v>1</v>
      </c>
      <c r="X565">
        <v>-4924</v>
      </c>
      <c r="Y565" t="s">
        <v>1166</v>
      </c>
      <c r="Z565" t="s">
        <v>1167</v>
      </c>
      <c r="AA565" t="s">
        <v>1397</v>
      </c>
    </row>
    <row r="566" spans="1:27" x14ac:dyDescent="0.3">
      <c r="A566" t="s">
        <v>1660</v>
      </c>
      <c r="B566" t="s">
        <v>1218</v>
      </c>
      <c r="C566" t="s">
        <v>974</v>
      </c>
      <c r="D566" t="s">
        <v>1373</v>
      </c>
      <c r="E566" t="s">
        <v>603</v>
      </c>
      <c r="F566">
        <v>46203</v>
      </c>
      <c r="G566" t="s">
        <v>496</v>
      </c>
      <c r="H566" t="s">
        <v>1159</v>
      </c>
      <c r="I566">
        <v>21051001</v>
      </c>
      <c r="J566" t="s">
        <v>1399</v>
      </c>
      <c r="K566" t="s">
        <v>1406</v>
      </c>
      <c r="L566">
        <v>0</v>
      </c>
      <c r="M566">
        <v>11005.06</v>
      </c>
      <c r="N566">
        <v>11111.99</v>
      </c>
      <c r="O566">
        <v>-106.93</v>
      </c>
      <c r="P566" t="s">
        <v>1401</v>
      </c>
      <c r="Q566" t="s">
        <v>1006</v>
      </c>
      <c r="R566" t="s">
        <v>1162</v>
      </c>
      <c r="S566" t="s">
        <v>1402</v>
      </c>
      <c r="T566" t="s">
        <v>1007</v>
      </c>
      <c r="U566" t="s">
        <v>1403</v>
      </c>
      <c r="V566" t="s">
        <v>1175</v>
      </c>
      <c r="W566">
        <v>-1</v>
      </c>
      <c r="X566">
        <v>106.93</v>
      </c>
      <c r="Y566" t="s">
        <v>1192</v>
      </c>
      <c r="Z566" t="s">
        <v>1193</v>
      </c>
      <c r="AA566" t="s">
        <v>1404</v>
      </c>
    </row>
    <row r="567" spans="1:27" x14ac:dyDescent="0.3">
      <c r="A567" t="s">
        <v>1660</v>
      </c>
      <c r="B567" t="s">
        <v>1225</v>
      </c>
      <c r="C567" t="s">
        <v>974</v>
      </c>
      <c r="D567" t="s">
        <v>1373</v>
      </c>
      <c r="E567" t="s">
        <v>603</v>
      </c>
      <c r="F567">
        <v>46203</v>
      </c>
      <c r="G567" t="s">
        <v>496</v>
      </c>
      <c r="H567" t="s">
        <v>1159</v>
      </c>
      <c r="I567">
        <v>28050501</v>
      </c>
      <c r="J567" t="s">
        <v>1407</v>
      </c>
      <c r="K567" t="s">
        <v>1408</v>
      </c>
      <c r="L567">
        <v>-580342.75</v>
      </c>
      <c r="M567">
        <v>0</v>
      </c>
      <c r="N567">
        <v>0</v>
      </c>
      <c r="O567">
        <v>-580342.75</v>
      </c>
      <c r="P567" t="s">
        <v>1409</v>
      </c>
      <c r="Q567" t="s">
        <v>1016</v>
      </c>
      <c r="R567" t="s">
        <v>1162</v>
      </c>
      <c r="S567" t="s">
        <v>1173</v>
      </c>
      <c r="T567" t="s">
        <v>1017</v>
      </c>
      <c r="U567" t="s">
        <v>1410</v>
      </c>
      <c r="V567" t="s">
        <v>1175</v>
      </c>
      <c r="W567">
        <v>-1</v>
      </c>
      <c r="X567">
        <v>580342.75</v>
      </c>
      <c r="Y567" t="s">
        <v>1166</v>
      </c>
      <c r="Z567" t="s">
        <v>1167</v>
      </c>
      <c r="AA567" t="s">
        <v>1411</v>
      </c>
    </row>
    <row r="568" spans="1:27" x14ac:dyDescent="0.3">
      <c r="A568" t="s">
        <v>1660</v>
      </c>
      <c r="B568" t="s">
        <v>1412</v>
      </c>
      <c r="C568" t="s">
        <v>974</v>
      </c>
      <c r="D568" t="s">
        <v>1373</v>
      </c>
      <c r="E568" t="s">
        <v>603</v>
      </c>
      <c r="F568">
        <v>46203</v>
      </c>
      <c r="G568" t="s">
        <v>496</v>
      </c>
      <c r="H568" t="s">
        <v>1159</v>
      </c>
      <c r="I568">
        <v>31050501</v>
      </c>
      <c r="J568" t="s">
        <v>1178</v>
      </c>
      <c r="L568">
        <v>-383868</v>
      </c>
      <c r="M568">
        <v>0</v>
      </c>
      <c r="N568">
        <v>0</v>
      </c>
      <c r="O568">
        <v>-383868</v>
      </c>
      <c r="P568" t="s">
        <v>1180</v>
      </c>
      <c r="Q568" t="s">
        <v>1028</v>
      </c>
      <c r="R568" t="s">
        <v>1162</v>
      </c>
      <c r="S568" t="s">
        <v>1181</v>
      </c>
      <c r="T568" t="s">
        <v>1029</v>
      </c>
      <c r="U568" t="s">
        <v>1182</v>
      </c>
      <c r="V568" t="s">
        <v>1175</v>
      </c>
      <c r="W568">
        <v>-1</v>
      </c>
      <c r="X568">
        <v>383868</v>
      </c>
      <c r="Y568" t="s">
        <v>1166</v>
      </c>
      <c r="Z568" t="s">
        <v>1167</v>
      </c>
      <c r="AA568" t="s">
        <v>1029</v>
      </c>
    </row>
    <row r="569" spans="1:27" x14ac:dyDescent="0.3">
      <c r="A569" t="s">
        <v>1660</v>
      </c>
      <c r="B569" t="s">
        <v>1327</v>
      </c>
      <c r="C569" t="s">
        <v>974</v>
      </c>
      <c r="D569" t="s">
        <v>1373</v>
      </c>
      <c r="E569" t="s">
        <v>603</v>
      </c>
      <c r="F569">
        <v>46203</v>
      </c>
      <c r="G569" t="s">
        <v>496</v>
      </c>
      <c r="H569" t="s">
        <v>1159</v>
      </c>
      <c r="I569">
        <v>36050501</v>
      </c>
      <c r="J569" t="s">
        <v>876</v>
      </c>
      <c r="L569">
        <v>1033.5</v>
      </c>
      <c r="M569">
        <v>0</v>
      </c>
      <c r="N569">
        <v>0</v>
      </c>
      <c r="O569">
        <v>1033.5</v>
      </c>
      <c r="P569" t="s">
        <v>1413</v>
      </c>
      <c r="Q569" t="s">
        <v>1033</v>
      </c>
      <c r="R569" t="s">
        <v>1162</v>
      </c>
      <c r="S569" t="s">
        <v>1181</v>
      </c>
      <c r="T569" t="s">
        <v>1034</v>
      </c>
      <c r="U569" t="s">
        <v>1414</v>
      </c>
      <c r="V569" t="s">
        <v>1175</v>
      </c>
      <c r="W569">
        <v>-1</v>
      </c>
      <c r="X569">
        <v>-1033.5</v>
      </c>
      <c r="Y569" t="s">
        <v>1192</v>
      </c>
      <c r="Z569" t="s">
        <v>1193</v>
      </c>
      <c r="AA569" t="s">
        <v>1415</v>
      </c>
    </row>
    <row r="570" spans="1:27" x14ac:dyDescent="0.3">
      <c r="A570" t="s">
        <v>1660</v>
      </c>
      <c r="B570" t="s">
        <v>1253</v>
      </c>
      <c r="C570" t="s">
        <v>974</v>
      </c>
      <c r="D570" t="s">
        <v>1373</v>
      </c>
      <c r="E570" t="s">
        <v>603</v>
      </c>
      <c r="F570">
        <v>46203</v>
      </c>
      <c r="G570" t="s">
        <v>496</v>
      </c>
      <c r="H570" t="s">
        <v>1159</v>
      </c>
      <c r="I570">
        <v>36100101</v>
      </c>
      <c r="J570" t="s">
        <v>1189</v>
      </c>
      <c r="L570">
        <v>-14076</v>
      </c>
      <c r="M570">
        <v>0</v>
      </c>
      <c r="N570">
        <v>0</v>
      </c>
      <c r="O570">
        <v>-14076</v>
      </c>
      <c r="P570" t="s">
        <v>1190</v>
      </c>
      <c r="Q570" t="s">
        <v>1033</v>
      </c>
      <c r="R570" t="s">
        <v>1162</v>
      </c>
      <c r="S570" t="s">
        <v>1181</v>
      </c>
      <c r="T570" t="s">
        <v>1034</v>
      </c>
      <c r="U570" t="s">
        <v>1191</v>
      </c>
      <c r="V570" t="s">
        <v>1175</v>
      </c>
      <c r="W570">
        <v>-1</v>
      </c>
      <c r="X570">
        <v>14076</v>
      </c>
      <c r="Y570" t="s">
        <v>1192</v>
      </c>
      <c r="Z570" t="s">
        <v>1193</v>
      </c>
      <c r="AA570" t="s">
        <v>1194</v>
      </c>
    </row>
    <row r="571" spans="1:27" x14ac:dyDescent="0.3">
      <c r="A571" t="s">
        <v>1660</v>
      </c>
      <c r="B571" t="s">
        <v>1257</v>
      </c>
      <c r="C571" t="s">
        <v>974</v>
      </c>
      <c r="D571" t="s">
        <v>1373</v>
      </c>
      <c r="E571" t="s">
        <v>603</v>
      </c>
      <c r="F571">
        <v>46203</v>
      </c>
      <c r="G571" t="s">
        <v>496</v>
      </c>
      <c r="H571" t="s">
        <v>1159</v>
      </c>
      <c r="I571">
        <v>41700101</v>
      </c>
      <c r="J571" t="s">
        <v>1315</v>
      </c>
      <c r="K571" t="s">
        <v>1376</v>
      </c>
      <c r="L571">
        <v>-21148.35</v>
      </c>
      <c r="M571">
        <v>0</v>
      </c>
      <c r="N571">
        <v>5513</v>
      </c>
      <c r="O571">
        <v>-26661.35</v>
      </c>
      <c r="P571" t="s">
        <v>1317</v>
      </c>
      <c r="Q571" t="s">
        <v>1048</v>
      </c>
      <c r="R571" t="s">
        <v>1199</v>
      </c>
      <c r="S571" t="s">
        <v>1318</v>
      </c>
      <c r="T571" t="s">
        <v>1049</v>
      </c>
      <c r="U571" t="s">
        <v>1319</v>
      </c>
      <c r="V571" t="s">
        <v>1175</v>
      </c>
      <c r="W571">
        <v>-1</v>
      </c>
      <c r="X571">
        <v>26661.35</v>
      </c>
      <c r="Y571" t="s">
        <v>1166</v>
      </c>
      <c r="Z571" t="s">
        <v>1167</v>
      </c>
      <c r="AA571" t="s">
        <v>1320</v>
      </c>
    </row>
    <row r="572" spans="1:27" x14ac:dyDescent="0.3">
      <c r="A572" t="s">
        <v>1660</v>
      </c>
      <c r="B572" t="s">
        <v>1342</v>
      </c>
      <c r="C572" t="s">
        <v>974</v>
      </c>
      <c r="D572" t="s">
        <v>1373</v>
      </c>
      <c r="E572" t="s">
        <v>603</v>
      </c>
      <c r="F572">
        <v>46203</v>
      </c>
      <c r="G572" t="s">
        <v>496</v>
      </c>
      <c r="H572" t="s">
        <v>1159</v>
      </c>
      <c r="I572">
        <v>41700101</v>
      </c>
      <c r="J572" t="s">
        <v>1315</v>
      </c>
      <c r="K572" t="s">
        <v>1378</v>
      </c>
      <c r="L572">
        <v>-1200</v>
      </c>
      <c r="M572">
        <v>0</v>
      </c>
      <c r="N572">
        <v>0</v>
      </c>
      <c r="O572">
        <v>-1200</v>
      </c>
      <c r="P572" t="s">
        <v>1317</v>
      </c>
      <c r="Q572" t="s">
        <v>1048</v>
      </c>
      <c r="R572" t="s">
        <v>1199</v>
      </c>
      <c r="S572" t="s">
        <v>1318</v>
      </c>
      <c r="T572" t="s">
        <v>1049</v>
      </c>
      <c r="U572" t="s">
        <v>1319</v>
      </c>
      <c r="V572" t="s">
        <v>1175</v>
      </c>
      <c r="W572">
        <v>-1</v>
      </c>
      <c r="X572">
        <v>1200</v>
      </c>
      <c r="Y572" t="s">
        <v>1166</v>
      </c>
      <c r="Z572" t="s">
        <v>1167</v>
      </c>
      <c r="AA572" t="s">
        <v>1320</v>
      </c>
    </row>
    <row r="573" spans="1:27" x14ac:dyDescent="0.3">
      <c r="A573" t="s">
        <v>1660</v>
      </c>
      <c r="B573" t="s">
        <v>1348</v>
      </c>
      <c r="C573" t="s">
        <v>974</v>
      </c>
      <c r="D573" t="s">
        <v>1373</v>
      </c>
      <c r="E573" t="s">
        <v>603</v>
      </c>
      <c r="F573">
        <v>46203</v>
      </c>
      <c r="G573" t="s">
        <v>496</v>
      </c>
      <c r="H573" t="s">
        <v>1159</v>
      </c>
      <c r="I573">
        <v>41700101</v>
      </c>
      <c r="J573" t="s">
        <v>1315</v>
      </c>
      <c r="K573" t="s">
        <v>1387</v>
      </c>
      <c r="L573">
        <v>-4010</v>
      </c>
      <c r="M573">
        <v>0</v>
      </c>
      <c r="N573">
        <v>0</v>
      </c>
      <c r="O573">
        <v>-4010</v>
      </c>
      <c r="P573" t="s">
        <v>1317</v>
      </c>
      <c r="Q573" t="s">
        <v>1048</v>
      </c>
      <c r="R573" t="s">
        <v>1199</v>
      </c>
      <c r="S573" t="s">
        <v>1318</v>
      </c>
      <c r="T573" t="s">
        <v>1049</v>
      </c>
      <c r="U573" t="s">
        <v>1319</v>
      </c>
      <c r="V573" t="s">
        <v>1175</v>
      </c>
      <c r="W573">
        <v>-1</v>
      </c>
      <c r="X573">
        <v>4010</v>
      </c>
      <c r="Y573" t="s">
        <v>1166</v>
      </c>
      <c r="Z573" t="s">
        <v>1167</v>
      </c>
      <c r="AA573" t="s">
        <v>1320</v>
      </c>
    </row>
    <row r="574" spans="1:27" x14ac:dyDescent="0.3">
      <c r="A574" t="s">
        <v>1660</v>
      </c>
      <c r="B574" t="s">
        <v>1350</v>
      </c>
      <c r="C574" t="s">
        <v>974</v>
      </c>
      <c r="D574" t="s">
        <v>1373</v>
      </c>
      <c r="E574" t="s">
        <v>603</v>
      </c>
      <c r="F574">
        <v>46203</v>
      </c>
      <c r="G574" t="s">
        <v>496</v>
      </c>
      <c r="H574" t="s">
        <v>1159</v>
      </c>
      <c r="I574">
        <v>41700101</v>
      </c>
      <c r="J574" t="s">
        <v>1315</v>
      </c>
      <c r="K574" t="s">
        <v>1379</v>
      </c>
      <c r="L574">
        <v>-217</v>
      </c>
      <c r="M574">
        <v>0</v>
      </c>
      <c r="N574">
        <v>0</v>
      </c>
      <c r="O574">
        <v>-217</v>
      </c>
      <c r="P574" t="s">
        <v>1317</v>
      </c>
      <c r="Q574" t="s">
        <v>1048</v>
      </c>
      <c r="R574" t="s">
        <v>1199</v>
      </c>
      <c r="S574" t="s">
        <v>1318</v>
      </c>
      <c r="T574" t="s">
        <v>1049</v>
      </c>
      <c r="U574" t="s">
        <v>1319</v>
      </c>
      <c r="V574" t="s">
        <v>1175</v>
      </c>
      <c r="W574">
        <v>-1</v>
      </c>
      <c r="X574">
        <v>217</v>
      </c>
      <c r="Y574" t="s">
        <v>1166</v>
      </c>
      <c r="Z574" t="s">
        <v>1167</v>
      </c>
      <c r="AA574" t="s">
        <v>1320</v>
      </c>
    </row>
    <row r="575" spans="1:27" x14ac:dyDescent="0.3">
      <c r="A575" t="s">
        <v>1660</v>
      </c>
      <c r="B575" t="s">
        <v>1351</v>
      </c>
      <c r="C575" t="s">
        <v>974</v>
      </c>
      <c r="D575" t="s">
        <v>1373</v>
      </c>
      <c r="E575" t="s">
        <v>603</v>
      </c>
      <c r="F575">
        <v>46203</v>
      </c>
      <c r="G575" t="s">
        <v>496</v>
      </c>
      <c r="H575" t="s">
        <v>1159</v>
      </c>
      <c r="I575">
        <v>41700101</v>
      </c>
      <c r="J575" t="s">
        <v>1315</v>
      </c>
      <c r="K575" t="s">
        <v>1381</v>
      </c>
      <c r="L575">
        <v>-482.25</v>
      </c>
      <c r="M575">
        <v>0</v>
      </c>
      <c r="N575">
        <v>96.45</v>
      </c>
      <c r="O575">
        <v>-578.70000000000005</v>
      </c>
      <c r="P575" t="s">
        <v>1317</v>
      </c>
      <c r="Q575" t="s">
        <v>1048</v>
      </c>
      <c r="R575" t="s">
        <v>1199</v>
      </c>
      <c r="S575" t="s">
        <v>1318</v>
      </c>
      <c r="T575" t="s">
        <v>1049</v>
      </c>
      <c r="U575" t="s">
        <v>1319</v>
      </c>
      <c r="V575" t="s">
        <v>1175</v>
      </c>
      <c r="W575">
        <v>-1</v>
      </c>
      <c r="X575">
        <v>578.70000000000005</v>
      </c>
      <c r="Y575" t="s">
        <v>1166</v>
      </c>
      <c r="Z575" t="s">
        <v>1167</v>
      </c>
      <c r="AA575" t="s">
        <v>1320</v>
      </c>
    </row>
    <row r="576" spans="1:27" x14ac:dyDescent="0.3">
      <c r="A576" t="s">
        <v>1660</v>
      </c>
      <c r="B576" t="s">
        <v>1352</v>
      </c>
      <c r="C576" t="s">
        <v>974</v>
      </c>
      <c r="D576" t="s">
        <v>1373</v>
      </c>
      <c r="E576" t="s">
        <v>603</v>
      </c>
      <c r="F576">
        <v>46203</v>
      </c>
      <c r="G576" t="s">
        <v>496</v>
      </c>
      <c r="H576" t="s">
        <v>1159</v>
      </c>
      <c r="I576">
        <v>41700101</v>
      </c>
      <c r="J576" t="s">
        <v>1315</v>
      </c>
      <c r="K576" t="s">
        <v>1382</v>
      </c>
      <c r="L576">
        <v>-275</v>
      </c>
      <c r="M576">
        <v>0</v>
      </c>
      <c r="N576">
        <v>55</v>
      </c>
      <c r="O576">
        <v>-330</v>
      </c>
      <c r="P576" t="s">
        <v>1317</v>
      </c>
      <c r="Q576" t="s">
        <v>1048</v>
      </c>
      <c r="R576" t="s">
        <v>1199</v>
      </c>
      <c r="S576" t="s">
        <v>1318</v>
      </c>
      <c r="T576" t="s">
        <v>1049</v>
      </c>
      <c r="U576" t="s">
        <v>1319</v>
      </c>
      <c r="V576" t="s">
        <v>1175</v>
      </c>
      <c r="W576">
        <v>-1</v>
      </c>
      <c r="X576">
        <v>330</v>
      </c>
      <c r="Y576" t="s">
        <v>1166</v>
      </c>
      <c r="Z576" t="s">
        <v>1167</v>
      </c>
      <c r="AA576" t="s">
        <v>1320</v>
      </c>
    </row>
    <row r="577" spans="1:27" x14ac:dyDescent="0.3">
      <c r="A577" t="s">
        <v>1660</v>
      </c>
      <c r="B577" t="s">
        <v>1356</v>
      </c>
      <c r="C577" t="s">
        <v>974</v>
      </c>
      <c r="D577" t="s">
        <v>1373</v>
      </c>
      <c r="E577" t="s">
        <v>603</v>
      </c>
      <c r="F577">
        <v>46203</v>
      </c>
      <c r="G577" t="s">
        <v>496</v>
      </c>
      <c r="H577" t="s">
        <v>1159</v>
      </c>
      <c r="I577">
        <v>42100502</v>
      </c>
      <c r="J577" t="s">
        <v>1416</v>
      </c>
      <c r="K577" t="s">
        <v>1376</v>
      </c>
      <c r="L577">
        <v>-0.35</v>
      </c>
      <c r="M577">
        <v>0</v>
      </c>
      <c r="N577">
        <v>0</v>
      </c>
      <c r="O577">
        <v>-0.35</v>
      </c>
      <c r="P577" t="s">
        <v>1417</v>
      </c>
      <c r="Q577" t="s">
        <v>1118</v>
      </c>
      <c r="R577" t="s">
        <v>1199</v>
      </c>
      <c r="S577" t="s">
        <v>1324</v>
      </c>
      <c r="T577" t="s">
        <v>1119</v>
      </c>
      <c r="U577" t="s">
        <v>1418</v>
      </c>
      <c r="V577" t="s">
        <v>1175</v>
      </c>
      <c r="W577">
        <v>-1</v>
      </c>
      <c r="X577">
        <v>0.35</v>
      </c>
      <c r="Y577" t="s">
        <v>1166</v>
      </c>
      <c r="Z577" t="s">
        <v>1167</v>
      </c>
      <c r="AA577" t="s">
        <v>1419</v>
      </c>
    </row>
    <row r="578" spans="1:27" x14ac:dyDescent="0.3">
      <c r="A578" t="s">
        <v>1660</v>
      </c>
      <c r="B578" t="s">
        <v>1357</v>
      </c>
      <c r="C578" t="s">
        <v>974</v>
      </c>
      <c r="D578" t="s">
        <v>1373</v>
      </c>
      <c r="E578" t="s">
        <v>603</v>
      </c>
      <c r="F578">
        <v>46203</v>
      </c>
      <c r="G578" t="s">
        <v>496</v>
      </c>
      <c r="H578" t="s">
        <v>1159</v>
      </c>
      <c r="I578">
        <v>42100502</v>
      </c>
      <c r="J578" t="s">
        <v>1416</v>
      </c>
      <c r="K578" t="s">
        <v>1378</v>
      </c>
      <c r="L578">
        <v>-83</v>
      </c>
      <c r="M578">
        <v>0</v>
      </c>
      <c r="N578">
        <v>0</v>
      </c>
      <c r="O578">
        <v>-83</v>
      </c>
      <c r="P578" t="s">
        <v>1417</v>
      </c>
      <c r="Q578" t="s">
        <v>1118</v>
      </c>
      <c r="R578" t="s">
        <v>1199</v>
      </c>
      <c r="S578" t="s">
        <v>1324</v>
      </c>
      <c r="T578" t="s">
        <v>1119</v>
      </c>
      <c r="U578" t="s">
        <v>1418</v>
      </c>
      <c r="V578" t="s">
        <v>1175</v>
      </c>
      <c r="W578">
        <v>-1</v>
      </c>
      <c r="X578">
        <v>83</v>
      </c>
      <c r="Y578" t="s">
        <v>1166</v>
      </c>
      <c r="Z578" t="s">
        <v>1167</v>
      </c>
      <c r="AA578" t="s">
        <v>1419</v>
      </c>
    </row>
    <row r="579" spans="1:27" x14ac:dyDescent="0.3">
      <c r="A579" t="s">
        <v>1660</v>
      </c>
      <c r="B579" t="s">
        <v>1358</v>
      </c>
      <c r="C579" t="s">
        <v>974</v>
      </c>
      <c r="D579" t="s">
        <v>1373</v>
      </c>
      <c r="E579" t="s">
        <v>603</v>
      </c>
      <c r="F579">
        <v>46203</v>
      </c>
      <c r="G579" t="s">
        <v>496</v>
      </c>
      <c r="H579" t="s">
        <v>1159</v>
      </c>
      <c r="I579">
        <v>42100502</v>
      </c>
      <c r="J579" t="s">
        <v>1416</v>
      </c>
      <c r="K579" t="s">
        <v>1406</v>
      </c>
      <c r="L579">
        <v>-316.92</v>
      </c>
      <c r="M579">
        <v>0</v>
      </c>
      <c r="N579">
        <v>165.11</v>
      </c>
      <c r="O579">
        <v>-482.03</v>
      </c>
      <c r="P579" t="s">
        <v>1417</v>
      </c>
      <c r="Q579" t="s">
        <v>1118</v>
      </c>
      <c r="R579" t="s">
        <v>1199</v>
      </c>
      <c r="S579" t="s">
        <v>1324</v>
      </c>
      <c r="T579" t="s">
        <v>1119</v>
      </c>
      <c r="U579" t="s">
        <v>1418</v>
      </c>
      <c r="V579" t="s">
        <v>1175</v>
      </c>
      <c r="W579">
        <v>-1</v>
      </c>
      <c r="X579">
        <v>482.03</v>
      </c>
      <c r="Y579" t="s">
        <v>1166</v>
      </c>
      <c r="Z579" t="s">
        <v>1167</v>
      </c>
      <c r="AA579" t="s">
        <v>1419</v>
      </c>
    </row>
    <row r="580" spans="1:27" x14ac:dyDescent="0.3">
      <c r="A580" t="s">
        <v>1660</v>
      </c>
      <c r="B580" t="s">
        <v>1364</v>
      </c>
      <c r="C580" t="s">
        <v>974</v>
      </c>
      <c r="D580" t="s">
        <v>1373</v>
      </c>
      <c r="E580" t="s">
        <v>603</v>
      </c>
      <c r="F580">
        <v>46203</v>
      </c>
      <c r="G580" t="s">
        <v>496</v>
      </c>
      <c r="H580" t="s">
        <v>1159</v>
      </c>
      <c r="I580">
        <v>51050601</v>
      </c>
      <c r="J580" t="s">
        <v>1196</v>
      </c>
      <c r="K580" t="s">
        <v>1421</v>
      </c>
      <c r="L580">
        <v>12960.85</v>
      </c>
      <c r="M580">
        <v>2592.17</v>
      </c>
      <c r="N580">
        <v>0</v>
      </c>
      <c r="O580">
        <v>15553.02</v>
      </c>
      <c r="P580" t="s">
        <v>1198</v>
      </c>
      <c r="Q580" t="s">
        <v>1060</v>
      </c>
      <c r="R580" t="s">
        <v>1199</v>
      </c>
      <c r="S580" t="s">
        <v>947</v>
      </c>
      <c r="T580" t="s">
        <v>1061</v>
      </c>
      <c r="U580" t="s">
        <v>1200</v>
      </c>
      <c r="V580" t="s">
        <v>1165</v>
      </c>
      <c r="W580">
        <v>1</v>
      </c>
      <c r="X580">
        <v>15553.02</v>
      </c>
      <c r="Y580" t="s">
        <v>1166</v>
      </c>
      <c r="Z580" t="s">
        <v>1167</v>
      </c>
      <c r="AA580" t="s">
        <v>1201</v>
      </c>
    </row>
    <row r="581" spans="1:27" x14ac:dyDescent="0.3">
      <c r="A581" t="s">
        <v>1660</v>
      </c>
      <c r="B581" t="s">
        <v>1422</v>
      </c>
      <c r="C581" t="s">
        <v>974</v>
      </c>
      <c r="D581" t="s">
        <v>1373</v>
      </c>
      <c r="E581" t="s">
        <v>603</v>
      </c>
      <c r="F581">
        <v>46203</v>
      </c>
      <c r="G581" t="s">
        <v>496</v>
      </c>
      <c r="H581" t="s">
        <v>1159</v>
      </c>
      <c r="I581">
        <v>51054505</v>
      </c>
      <c r="J581" t="s">
        <v>1196</v>
      </c>
      <c r="K581" t="s">
        <v>1605</v>
      </c>
      <c r="L581">
        <v>0</v>
      </c>
      <c r="M581">
        <v>4000</v>
      </c>
      <c r="N581">
        <v>0</v>
      </c>
      <c r="O581">
        <v>4000</v>
      </c>
      <c r="P581" t="s">
        <v>1198</v>
      </c>
      <c r="Q581" t="s">
        <v>1060</v>
      </c>
      <c r="R581" t="s">
        <v>1199</v>
      </c>
      <c r="S581" t="s">
        <v>947</v>
      </c>
      <c r="T581" t="s">
        <v>1061</v>
      </c>
      <c r="U581" t="s">
        <v>1200</v>
      </c>
      <c r="V581" t="s">
        <v>1165</v>
      </c>
      <c r="W581">
        <v>1</v>
      </c>
      <c r="X581">
        <v>4000</v>
      </c>
      <c r="Y581" t="s">
        <v>1166</v>
      </c>
      <c r="Z581" t="s">
        <v>1167</v>
      </c>
      <c r="AA581" t="s">
        <v>1201</v>
      </c>
    </row>
    <row r="582" spans="1:27" x14ac:dyDescent="0.3">
      <c r="A582" t="s">
        <v>1660</v>
      </c>
      <c r="B582" t="s">
        <v>1424</v>
      </c>
      <c r="C582" t="s">
        <v>974</v>
      </c>
      <c r="D582" t="s">
        <v>1373</v>
      </c>
      <c r="E582" t="s">
        <v>603</v>
      </c>
      <c r="F582">
        <v>46203</v>
      </c>
      <c r="G582" t="s">
        <v>496</v>
      </c>
      <c r="H582" t="s">
        <v>1159</v>
      </c>
      <c r="I582">
        <v>51054505</v>
      </c>
      <c r="J582" t="s">
        <v>1196</v>
      </c>
      <c r="K582" t="s">
        <v>1606</v>
      </c>
      <c r="L582">
        <v>0</v>
      </c>
      <c r="M582">
        <v>5000</v>
      </c>
      <c r="N582">
        <v>0</v>
      </c>
      <c r="O582">
        <v>5000</v>
      </c>
      <c r="P582" t="s">
        <v>1198</v>
      </c>
      <c r="Q582" t="s">
        <v>1060</v>
      </c>
      <c r="R582" t="s">
        <v>1199</v>
      </c>
      <c r="S582" t="s">
        <v>947</v>
      </c>
      <c r="T582" t="s">
        <v>1061</v>
      </c>
      <c r="U582" t="s">
        <v>1200</v>
      </c>
      <c r="V582" t="s">
        <v>1165</v>
      </c>
      <c r="W582">
        <v>1</v>
      </c>
      <c r="X582">
        <v>5000</v>
      </c>
      <c r="Y582" t="s">
        <v>1166</v>
      </c>
      <c r="Z582" t="s">
        <v>1167</v>
      </c>
      <c r="AA582" t="s">
        <v>1201</v>
      </c>
    </row>
    <row r="583" spans="1:27" x14ac:dyDescent="0.3">
      <c r="A583" t="s">
        <v>1660</v>
      </c>
      <c r="B583" t="s">
        <v>1369</v>
      </c>
      <c r="C583" t="s">
        <v>974</v>
      </c>
      <c r="D583" t="s">
        <v>1373</v>
      </c>
      <c r="E583" t="s">
        <v>603</v>
      </c>
      <c r="F583">
        <v>46203</v>
      </c>
      <c r="G583" t="s">
        <v>496</v>
      </c>
      <c r="H583" t="s">
        <v>1159</v>
      </c>
      <c r="I583">
        <v>51052105</v>
      </c>
      <c r="J583" t="s">
        <v>1203</v>
      </c>
      <c r="K583" t="s">
        <v>1607</v>
      </c>
      <c r="L583">
        <v>78.430000000000007</v>
      </c>
      <c r="M583">
        <v>0</v>
      </c>
      <c r="N583">
        <v>0</v>
      </c>
      <c r="O583">
        <v>78.430000000000007</v>
      </c>
      <c r="P583" t="s">
        <v>1204</v>
      </c>
      <c r="Q583" t="s">
        <v>1075</v>
      </c>
      <c r="R583" t="s">
        <v>1199</v>
      </c>
      <c r="S583" t="s">
        <v>947</v>
      </c>
      <c r="T583" t="s">
        <v>1076</v>
      </c>
      <c r="U583" t="s">
        <v>1205</v>
      </c>
      <c r="V583" t="s">
        <v>1165</v>
      </c>
      <c r="W583">
        <v>1</v>
      </c>
      <c r="X583">
        <v>78.430000000000007</v>
      </c>
      <c r="Y583" t="s">
        <v>1166</v>
      </c>
      <c r="Z583" t="s">
        <v>1167</v>
      </c>
      <c r="AA583" t="s">
        <v>1206</v>
      </c>
    </row>
    <row r="584" spans="1:27" x14ac:dyDescent="0.3">
      <c r="A584" t="s">
        <v>1660</v>
      </c>
      <c r="B584" t="s">
        <v>1370</v>
      </c>
      <c r="C584" t="s">
        <v>974</v>
      </c>
      <c r="D584" t="s">
        <v>1373</v>
      </c>
      <c r="E584" t="s">
        <v>603</v>
      </c>
      <c r="F584">
        <v>46203</v>
      </c>
      <c r="G584" t="s">
        <v>496</v>
      </c>
      <c r="H584" t="s">
        <v>1159</v>
      </c>
      <c r="I584">
        <v>51052105</v>
      </c>
      <c r="J584" t="s">
        <v>1203</v>
      </c>
      <c r="K584" t="s">
        <v>1423</v>
      </c>
      <c r="L584">
        <v>64.790000000000006</v>
      </c>
      <c r="M584">
        <v>0</v>
      </c>
      <c r="N584">
        <v>0</v>
      </c>
      <c r="O584">
        <v>64.790000000000006</v>
      </c>
      <c r="P584" t="s">
        <v>1204</v>
      </c>
      <c r="Q584" t="s">
        <v>1075</v>
      </c>
      <c r="R584" t="s">
        <v>1199</v>
      </c>
      <c r="S584" t="s">
        <v>947</v>
      </c>
      <c r="T584" t="s">
        <v>1076</v>
      </c>
      <c r="U584" t="s">
        <v>1205</v>
      </c>
      <c r="V584" t="s">
        <v>1165</v>
      </c>
      <c r="W584">
        <v>1</v>
      </c>
      <c r="X584">
        <v>64.790000000000006</v>
      </c>
      <c r="Y584" t="s">
        <v>1166</v>
      </c>
      <c r="Z584" t="s">
        <v>1167</v>
      </c>
      <c r="AA584" t="s">
        <v>1206</v>
      </c>
    </row>
    <row r="585" spans="1:27" x14ac:dyDescent="0.3">
      <c r="A585" t="s">
        <v>1660</v>
      </c>
      <c r="B585" t="s">
        <v>1426</v>
      </c>
      <c r="C585" t="s">
        <v>974</v>
      </c>
      <c r="D585" t="s">
        <v>1373</v>
      </c>
      <c r="E585" t="s">
        <v>603</v>
      </c>
      <c r="F585">
        <v>46203</v>
      </c>
      <c r="G585" t="s">
        <v>496</v>
      </c>
      <c r="H585" t="s">
        <v>1159</v>
      </c>
      <c r="I585">
        <v>51052105</v>
      </c>
      <c r="J585" t="s">
        <v>1203</v>
      </c>
      <c r="K585" t="s">
        <v>1425</v>
      </c>
      <c r="L585">
        <v>35.04</v>
      </c>
      <c r="M585">
        <v>0</v>
      </c>
      <c r="N585">
        <v>0</v>
      </c>
      <c r="O585">
        <v>35.04</v>
      </c>
      <c r="P585" t="s">
        <v>1204</v>
      </c>
      <c r="Q585" t="s">
        <v>1075</v>
      </c>
      <c r="R585" t="s">
        <v>1199</v>
      </c>
      <c r="S585" t="s">
        <v>947</v>
      </c>
      <c r="T585" t="s">
        <v>1076</v>
      </c>
      <c r="U585" t="s">
        <v>1205</v>
      </c>
      <c r="V585" t="s">
        <v>1165</v>
      </c>
      <c r="W585">
        <v>1</v>
      </c>
      <c r="X585">
        <v>35.04</v>
      </c>
      <c r="Y585" t="s">
        <v>1166</v>
      </c>
      <c r="Z585" t="s">
        <v>1167</v>
      </c>
      <c r="AA585" t="s">
        <v>1206</v>
      </c>
    </row>
    <row r="586" spans="1:27" x14ac:dyDescent="0.3">
      <c r="A586" t="s">
        <v>1660</v>
      </c>
      <c r="B586" t="s">
        <v>1590</v>
      </c>
      <c r="C586" t="s">
        <v>974</v>
      </c>
      <c r="D586" t="s">
        <v>1373</v>
      </c>
      <c r="E586" t="s">
        <v>603</v>
      </c>
      <c r="F586">
        <v>46203</v>
      </c>
      <c r="G586" t="s">
        <v>496</v>
      </c>
      <c r="H586" t="s">
        <v>1159</v>
      </c>
      <c r="I586">
        <v>51052105</v>
      </c>
      <c r="J586" t="s">
        <v>1203</v>
      </c>
      <c r="K586" t="s">
        <v>1400</v>
      </c>
      <c r="L586">
        <v>22.14</v>
      </c>
      <c r="M586">
        <v>38.21</v>
      </c>
      <c r="N586">
        <v>0</v>
      </c>
      <c r="O586">
        <v>60.35</v>
      </c>
      <c r="P586" t="s">
        <v>1204</v>
      </c>
      <c r="Q586" t="s">
        <v>1075</v>
      </c>
      <c r="R586" t="s">
        <v>1199</v>
      </c>
      <c r="S586" t="s">
        <v>947</v>
      </c>
      <c r="T586" t="s">
        <v>1076</v>
      </c>
      <c r="U586" t="s">
        <v>1205</v>
      </c>
      <c r="V586" t="s">
        <v>1165</v>
      </c>
      <c r="W586">
        <v>1</v>
      </c>
      <c r="X586">
        <v>60.35</v>
      </c>
      <c r="Y586" t="s">
        <v>1166</v>
      </c>
      <c r="Z586" t="s">
        <v>1167</v>
      </c>
      <c r="AA586" t="s">
        <v>1206</v>
      </c>
    </row>
    <row r="587" spans="1:27" x14ac:dyDescent="0.3">
      <c r="A587" t="s">
        <v>1660</v>
      </c>
      <c r="B587" t="s">
        <v>1432</v>
      </c>
      <c r="C587" t="s">
        <v>974</v>
      </c>
      <c r="D587" t="s">
        <v>1373</v>
      </c>
      <c r="E587" t="s">
        <v>603</v>
      </c>
      <c r="F587">
        <v>46203</v>
      </c>
      <c r="G587" t="s">
        <v>496</v>
      </c>
      <c r="H587" t="s">
        <v>1159</v>
      </c>
      <c r="I587">
        <v>51052105</v>
      </c>
      <c r="J587" t="s">
        <v>1203</v>
      </c>
      <c r="K587" t="s">
        <v>1425</v>
      </c>
      <c r="L587">
        <v>13.54</v>
      </c>
      <c r="M587">
        <v>0</v>
      </c>
      <c r="N587">
        <v>0</v>
      </c>
      <c r="O587">
        <v>13.54</v>
      </c>
      <c r="P587" t="s">
        <v>1204</v>
      </c>
      <c r="Q587" t="s">
        <v>1075</v>
      </c>
      <c r="R587" t="s">
        <v>1199</v>
      </c>
      <c r="S587" t="s">
        <v>947</v>
      </c>
      <c r="T587" t="s">
        <v>1076</v>
      </c>
      <c r="U587" t="s">
        <v>1205</v>
      </c>
      <c r="V587" t="s">
        <v>1165</v>
      </c>
      <c r="W587">
        <v>1</v>
      </c>
      <c r="X587">
        <v>13.54</v>
      </c>
      <c r="Y587" t="s">
        <v>1166</v>
      </c>
      <c r="Z587" t="s">
        <v>1167</v>
      </c>
      <c r="AA587" t="s">
        <v>1206</v>
      </c>
    </row>
    <row r="588" spans="1:27" x14ac:dyDescent="0.3">
      <c r="A588" t="s">
        <v>1660</v>
      </c>
      <c r="B588" t="s">
        <v>1439</v>
      </c>
      <c r="C588" t="s">
        <v>974</v>
      </c>
      <c r="D588" t="s">
        <v>1373</v>
      </c>
      <c r="E588" t="s">
        <v>603</v>
      </c>
      <c r="F588">
        <v>46203</v>
      </c>
      <c r="G588" t="s">
        <v>496</v>
      </c>
      <c r="H588" t="s">
        <v>1159</v>
      </c>
      <c r="I588">
        <v>51054503</v>
      </c>
      <c r="J588" t="s">
        <v>1427</v>
      </c>
      <c r="K588" t="s">
        <v>1428</v>
      </c>
      <c r="L588">
        <v>7600</v>
      </c>
      <c r="M588">
        <v>0</v>
      </c>
      <c r="N588">
        <v>0</v>
      </c>
      <c r="O588">
        <v>7600</v>
      </c>
      <c r="P588" t="s">
        <v>1429</v>
      </c>
      <c r="Q588" t="s">
        <v>1060</v>
      </c>
      <c r="R588" t="s">
        <v>1199</v>
      </c>
      <c r="S588" t="s">
        <v>947</v>
      </c>
      <c r="T588" t="s">
        <v>1061</v>
      </c>
      <c r="U588" t="s">
        <v>1430</v>
      </c>
      <c r="V588" t="s">
        <v>1165</v>
      </c>
      <c r="W588">
        <v>1</v>
      </c>
      <c r="X588">
        <v>7600</v>
      </c>
      <c r="Y588" t="s">
        <v>1192</v>
      </c>
      <c r="Z588" t="s">
        <v>1193</v>
      </c>
      <c r="AA588" t="s">
        <v>1431</v>
      </c>
    </row>
    <row r="589" spans="1:27" x14ac:dyDescent="0.3">
      <c r="A589" t="s">
        <v>1660</v>
      </c>
      <c r="B589" t="s">
        <v>1567</v>
      </c>
      <c r="C589" t="s">
        <v>974</v>
      </c>
      <c r="D589" t="s">
        <v>1373</v>
      </c>
      <c r="E589" t="s">
        <v>603</v>
      </c>
      <c r="F589">
        <v>46203</v>
      </c>
      <c r="G589" t="s">
        <v>496</v>
      </c>
      <c r="H589" t="s">
        <v>1159</v>
      </c>
      <c r="I589">
        <v>51055101</v>
      </c>
      <c r="J589" t="s">
        <v>1433</v>
      </c>
      <c r="K589" t="s">
        <v>1434</v>
      </c>
      <c r="L589">
        <v>276.06</v>
      </c>
      <c r="M589">
        <v>0</v>
      </c>
      <c r="N589">
        <v>0</v>
      </c>
      <c r="O589">
        <v>276.06</v>
      </c>
      <c r="P589" t="s">
        <v>1435</v>
      </c>
      <c r="Q589" t="s">
        <v>1060</v>
      </c>
      <c r="R589" t="s">
        <v>1199</v>
      </c>
      <c r="S589" t="s">
        <v>947</v>
      </c>
      <c r="T589" t="s">
        <v>1061</v>
      </c>
      <c r="U589" t="s">
        <v>1436</v>
      </c>
      <c r="V589" t="s">
        <v>1165</v>
      </c>
      <c r="W589">
        <v>1</v>
      </c>
      <c r="X589">
        <v>276.06</v>
      </c>
      <c r="Y589" t="s">
        <v>1166</v>
      </c>
      <c r="Z589" t="s">
        <v>1167</v>
      </c>
      <c r="AA589" t="s">
        <v>1437</v>
      </c>
    </row>
    <row r="590" spans="1:27" x14ac:dyDescent="0.3">
      <c r="A590" t="s">
        <v>1660</v>
      </c>
      <c r="B590" t="s">
        <v>1443</v>
      </c>
      <c r="C590" t="s">
        <v>974</v>
      </c>
      <c r="D590" t="s">
        <v>1373</v>
      </c>
      <c r="E590" t="s">
        <v>603</v>
      </c>
      <c r="F590">
        <v>46203</v>
      </c>
      <c r="G590" t="s">
        <v>496</v>
      </c>
      <c r="H590" t="s">
        <v>1159</v>
      </c>
      <c r="I590">
        <v>51055101</v>
      </c>
      <c r="J590" t="s">
        <v>1433</v>
      </c>
      <c r="K590" t="s">
        <v>1405</v>
      </c>
      <c r="L590">
        <v>13.9</v>
      </c>
      <c r="M590">
        <v>0</v>
      </c>
      <c r="N590">
        <v>0</v>
      </c>
      <c r="O590">
        <v>13.9</v>
      </c>
      <c r="P590" t="s">
        <v>1435</v>
      </c>
      <c r="Q590" t="s">
        <v>1060</v>
      </c>
      <c r="R590" t="s">
        <v>1199</v>
      </c>
      <c r="S590" t="s">
        <v>947</v>
      </c>
      <c r="T590" t="s">
        <v>1061</v>
      </c>
      <c r="U590" t="s">
        <v>1436</v>
      </c>
      <c r="V590" t="s">
        <v>1165</v>
      </c>
      <c r="W590">
        <v>1</v>
      </c>
      <c r="X590">
        <v>13.9</v>
      </c>
      <c r="Y590" t="s">
        <v>1166</v>
      </c>
      <c r="Z590" t="s">
        <v>1167</v>
      </c>
      <c r="AA590" t="s">
        <v>1437</v>
      </c>
    </row>
    <row r="591" spans="1:27" x14ac:dyDescent="0.3">
      <c r="A591" t="s">
        <v>1660</v>
      </c>
      <c r="B591" t="s">
        <v>1568</v>
      </c>
      <c r="C591" t="s">
        <v>974</v>
      </c>
      <c r="D591" t="s">
        <v>1373</v>
      </c>
      <c r="E591" t="s">
        <v>603</v>
      </c>
      <c r="F591">
        <v>46203</v>
      </c>
      <c r="G591" t="s">
        <v>496</v>
      </c>
      <c r="H591" t="s">
        <v>1159</v>
      </c>
      <c r="I591">
        <v>51055101</v>
      </c>
      <c r="J591" t="s">
        <v>1433</v>
      </c>
      <c r="K591" t="s">
        <v>1440</v>
      </c>
      <c r="L591">
        <v>15.3</v>
      </c>
      <c r="M591">
        <v>0</v>
      </c>
      <c r="N591">
        <v>0</v>
      </c>
      <c r="O591">
        <v>15.3</v>
      </c>
      <c r="P591" t="s">
        <v>1435</v>
      </c>
      <c r="Q591" t="s">
        <v>1060</v>
      </c>
      <c r="R591" t="s">
        <v>1199</v>
      </c>
      <c r="S591" t="s">
        <v>947</v>
      </c>
      <c r="T591" t="s">
        <v>1061</v>
      </c>
      <c r="U591" t="s">
        <v>1436</v>
      </c>
      <c r="V591" t="s">
        <v>1165</v>
      </c>
      <c r="W591">
        <v>1</v>
      </c>
      <c r="X591">
        <v>15.3</v>
      </c>
      <c r="Y591" t="s">
        <v>1166</v>
      </c>
      <c r="Z591" t="s">
        <v>1167</v>
      </c>
      <c r="AA591" t="s">
        <v>1437</v>
      </c>
    </row>
    <row r="592" spans="1:27" x14ac:dyDescent="0.3">
      <c r="A592" t="s">
        <v>1660</v>
      </c>
      <c r="B592" t="s">
        <v>1449</v>
      </c>
      <c r="C592" t="s">
        <v>974</v>
      </c>
      <c r="D592" t="s">
        <v>1373</v>
      </c>
      <c r="E592" t="s">
        <v>603</v>
      </c>
      <c r="F592">
        <v>46203</v>
      </c>
      <c r="G592" t="s">
        <v>496</v>
      </c>
      <c r="H592" t="s">
        <v>1159</v>
      </c>
      <c r="I592">
        <v>51055101</v>
      </c>
      <c r="J592" t="s">
        <v>1433</v>
      </c>
      <c r="K592" t="s">
        <v>1442</v>
      </c>
      <c r="L592">
        <v>1813.01</v>
      </c>
      <c r="M592">
        <v>755.41</v>
      </c>
      <c r="N592">
        <v>0</v>
      </c>
      <c r="O592">
        <v>2568.42</v>
      </c>
      <c r="P592" t="s">
        <v>1435</v>
      </c>
      <c r="Q592" t="s">
        <v>1060</v>
      </c>
      <c r="R592" t="s">
        <v>1199</v>
      </c>
      <c r="S592" t="s">
        <v>947</v>
      </c>
      <c r="T592" t="s">
        <v>1061</v>
      </c>
      <c r="U592" t="s">
        <v>1436</v>
      </c>
      <c r="V592" t="s">
        <v>1165</v>
      </c>
      <c r="W592">
        <v>1</v>
      </c>
      <c r="X592">
        <v>2568.42</v>
      </c>
      <c r="Y592" t="s">
        <v>1166</v>
      </c>
      <c r="Z592" t="s">
        <v>1167</v>
      </c>
      <c r="AA592" t="s">
        <v>1437</v>
      </c>
    </row>
    <row r="593" spans="1:27" x14ac:dyDescent="0.3">
      <c r="A593" t="s">
        <v>1660</v>
      </c>
      <c r="B593" t="s">
        <v>1579</v>
      </c>
      <c r="C593" t="s">
        <v>974</v>
      </c>
      <c r="D593" t="s">
        <v>1373</v>
      </c>
      <c r="E593" t="s">
        <v>603</v>
      </c>
      <c r="F593">
        <v>46203</v>
      </c>
      <c r="G593" t="s">
        <v>496</v>
      </c>
      <c r="H593" t="s">
        <v>1159</v>
      </c>
      <c r="I593">
        <v>51055101</v>
      </c>
      <c r="J593" t="s">
        <v>1433</v>
      </c>
      <c r="K593" t="s">
        <v>1608</v>
      </c>
      <c r="L593">
        <v>139.1</v>
      </c>
      <c r="M593">
        <v>0</v>
      </c>
      <c r="N593">
        <v>0</v>
      </c>
      <c r="O593">
        <v>139.1</v>
      </c>
      <c r="P593" t="s">
        <v>1435</v>
      </c>
      <c r="Q593" t="s">
        <v>1060</v>
      </c>
      <c r="R593" t="s">
        <v>1199</v>
      </c>
      <c r="S593" t="s">
        <v>947</v>
      </c>
      <c r="T593" t="s">
        <v>1061</v>
      </c>
      <c r="U593" t="s">
        <v>1436</v>
      </c>
      <c r="V593" t="s">
        <v>1165</v>
      </c>
      <c r="W593">
        <v>1</v>
      </c>
      <c r="X593">
        <v>139.1</v>
      </c>
      <c r="Y593" t="s">
        <v>1166</v>
      </c>
      <c r="Z593" t="s">
        <v>1167</v>
      </c>
      <c r="AA593" t="s">
        <v>1437</v>
      </c>
    </row>
    <row r="594" spans="1:27" x14ac:dyDescent="0.3">
      <c r="A594" t="s">
        <v>1660</v>
      </c>
      <c r="B594" t="s">
        <v>1569</v>
      </c>
      <c r="C594" t="s">
        <v>974</v>
      </c>
      <c r="D594" t="s">
        <v>1373</v>
      </c>
      <c r="E594" t="s">
        <v>603</v>
      </c>
      <c r="F594">
        <v>46203</v>
      </c>
      <c r="G594" t="s">
        <v>496</v>
      </c>
      <c r="H594" t="s">
        <v>1159</v>
      </c>
      <c r="I594">
        <v>51055101</v>
      </c>
      <c r="J594" t="s">
        <v>1433</v>
      </c>
      <c r="K594" t="s">
        <v>1406</v>
      </c>
      <c r="L594">
        <v>-540.91999999999996</v>
      </c>
      <c r="M594">
        <v>0</v>
      </c>
      <c r="N594">
        <v>0</v>
      </c>
      <c r="O594">
        <v>-540.91999999999996</v>
      </c>
      <c r="P594" t="s">
        <v>1435</v>
      </c>
      <c r="Q594" t="s">
        <v>1060</v>
      </c>
      <c r="R594" t="s">
        <v>1199</v>
      </c>
      <c r="S594" t="s">
        <v>947</v>
      </c>
      <c r="T594" t="s">
        <v>1061</v>
      </c>
      <c r="U594" t="s">
        <v>1436</v>
      </c>
      <c r="V594" t="s">
        <v>1165</v>
      </c>
      <c r="W594">
        <v>1</v>
      </c>
      <c r="X594">
        <v>-540.91999999999996</v>
      </c>
      <c r="Y594" t="s">
        <v>1166</v>
      </c>
      <c r="Z594" t="s">
        <v>1167</v>
      </c>
      <c r="AA594" t="s">
        <v>1437</v>
      </c>
    </row>
    <row r="595" spans="1:27" x14ac:dyDescent="0.3">
      <c r="A595" t="s">
        <v>1660</v>
      </c>
      <c r="B595" t="s">
        <v>1570</v>
      </c>
      <c r="C595" t="s">
        <v>974</v>
      </c>
      <c r="D595" t="s">
        <v>1373</v>
      </c>
      <c r="E595" t="s">
        <v>603</v>
      </c>
      <c r="F595">
        <v>46203</v>
      </c>
      <c r="G595" t="s">
        <v>496</v>
      </c>
      <c r="H595" t="s">
        <v>1159</v>
      </c>
      <c r="I595">
        <v>51058401</v>
      </c>
      <c r="J595" t="s">
        <v>1444</v>
      </c>
      <c r="K595" t="s">
        <v>1445</v>
      </c>
      <c r="L595">
        <v>122.93</v>
      </c>
      <c r="M595">
        <v>0</v>
      </c>
      <c r="N595">
        <v>0</v>
      </c>
      <c r="O595">
        <v>122.93</v>
      </c>
      <c r="P595" t="s">
        <v>1446</v>
      </c>
      <c r="Q595" t="s">
        <v>1060</v>
      </c>
      <c r="R595" t="s">
        <v>1199</v>
      </c>
      <c r="S595" t="s">
        <v>947</v>
      </c>
      <c r="T595" t="s">
        <v>1061</v>
      </c>
      <c r="U595" t="s">
        <v>1447</v>
      </c>
      <c r="V595" t="s">
        <v>1165</v>
      </c>
      <c r="W595">
        <v>1</v>
      </c>
      <c r="X595">
        <v>122.93</v>
      </c>
      <c r="Y595" t="s">
        <v>1166</v>
      </c>
      <c r="Z595" t="s">
        <v>1167</v>
      </c>
      <c r="AA595" t="s">
        <v>1448</v>
      </c>
    </row>
    <row r="596" spans="1:27" x14ac:dyDescent="0.3">
      <c r="A596" t="s">
        <v>1660</v>
      </c>
      <c r="B596" t="s">
        <v>1571</v>
      </c>
      <c r="C596" t="s">
        <v>974</v>
      </c>
      <c r="D596" t="s">
        <v>1373</v>
      </c>
      <c r="E596" t="s">
        <v>603</v>
      </c>
      <c r="F596">
        <v>46203</v>
      </c>
      <c r="G596" t="s">
        <v>496</v>
      </c>
      <c r="H596" t="s">
        <v>1159</v>
      </c>
      <c r="I596">
        <v>51058401</v>
      </c>
      <c r="J596" t="s">
        <v>1444</v>
      </c>
      <c r="K596" t="s">
        <v>1442</v>
      </c>
      <c r="L596">
        <v>56.7</v>
      </c>
      <c r="M596">
        <v>0</v>
      </c>
      <c r="N596">
        <v>0</v>
      </c>
      <c r="O596">
        <v>56.7</v>
      </c>
      <c r="P596" t="s">
        <v>1446</v>
      </c>
      <c r="Q596" t="s">
        <v>1060</v>
      </c>
      <c r="R596" t="s">
        <v>1199</v>
      </c>
      <c r="S596" t="s">
        <v>947</v>
      </c>
      <c r="T596" t="s">
        <v>1061</v>
      </c>
      <c r="U596" t="s">
        <v>1447</v>
      </c>
      <c r="V596" t="s">
        <v>1165</v>
      </c>
      <c r="W596">
        <v>1</v>
      </c>
      <c r="X596">
        <v>56.7</v>
      </c>
      <c r="Y596" t="s">
        <v>1166</v>
      </c>
      <c r="Z596" t="s">
        <v>1167</v>
      </c>
      <c r="AA596" t="s">
        <v>1448</v>
      </c>
    </row>
    <row r="597" spans="1:27" x14ac:dyDescent="0.3">
      <c r="A597" t="s">
        <v>1660</v>
      </c>
      <c r="B597" t="s">
        <v>1600</v>
      </c>
      <c r="C597" t="s">
        <v>974</v>
      </c>
      <c r="D597" t="s">
        <v>1373</v>
      </c>
      <c r="E597" t="s">
        <v>603</v>
      </c>
      <c r="F597">
        <v>46203</v>
      </c>
      <c r="G597" t="s">
        <v>496</v>
      </c>
      <c r="H597" t="s">
        <v>1159</v>
      </c>
      <c r="I597">
        <v>51059501</v>
      </c>
      <c r="J597" t="s">
        <v>1232</v>
      </c>
      <c r="K597" t="s">
        <v>1421</v>
      </c>
      <c r="L597">
        <v>3516.65</v>
      </c>
      <c r="M597">
        <v>637.33000000000004</v>
      </c>
      <c r="N597">
        <v>0</v>
      </c>
      <c r="O597">
        <v>4153.9799999999996</v>
      </c>
      <c r="P597" t="s">
        <v>1450</v>
      </c>
      <c r="Q597" t="s">
        <v>1060</v>
      </c>
      <c r="R597" t="s">
        <v>1199</v>
      </c>
      <c r="S597" t="s">
        <v>947</v>
      </c>
      <c r="T597" t="s">
        <v>1061</v>
      </c>
      <c r="U597" t="s">
        <v>1451</v>
      </c>
      <c r="V597" t="s">
        <v>1165</v>
      </c>
      <c r="W597">
        <v>1</v>
      </c>
      <c r="X597">
        <v>4153.9799999999996</v>
      </c>
      <c r="Y597" t="s">
        <v>1192</v>
      </c>
      <c r="Z597" t="s">
        <v>1193</v>
      </c>
      <c r="AA597" t="s">
        <v>1452</v>
      </c>
    </row>
    <row r="598" spans="1:27" x14ac:dyDescent="0.3">
      <c r="A598" t="s">
        <v>1660</v>
      </c>
      <c r="B598" t="s">
        <v>1459</v>
      </c>
      <c r="C598" t="s">
        <v>974</v>
      </c>
      <c r="D598" t="s">
        <v>1373</v>
      </c>
      <c r="E598" t="s">
        <v>603</v>
      </c>
      <c r="F598">
        <v>46203</v>
      </c>
      <c r="G598" t="s">
        <v>496</v>
      </c>
      <c r="H598" t="s">
        <v>1159</v>
      </c>
      <c r="I598">
        <v>51102501</v>
      </c>
      <c r="J598" t="s">
        <v>1213</v>
      </c>
      <c r="K598" t="s">
        <v>1609</v>
      </c>
      <c r="L598">
        <v>0</v>
      </c>
      <c r="M598">
        <v>150</v>
      </c>
      <c r="N598">
        <v>0</v>
      </c>
      <c r="O598">
        <v>150</v>
      </c>
      <c r="P598" t="s">
        <v>1215</v>
      </c>
      <c r="Q598" t="s">
        <v>1062</v>
      </c>
      <c r="R598" t="s">
        <v>1199</v>
      </c>
      <c r="S598" t="s">
        <v>947</v>
      </c>
      <c r="T598" t="s">
        <v>1063</v>
      </c>
      <c r="U598" t="s">
        <v>1216</v>
      </c>
      <c r="V598" t="s">
        <v>1165</v>
      </c>
      <c r="W598">
        <v>1</v>
      </c>
      <c r="X598">
        <v>150</v>
      </c>
      <c r="Y598" t="s">
        <v>1166</v>
      </c>
      <c r="Z598" t="s">
        <v>1167</v>
      </c>
      <c r="AA598" t="s">
        <v>1217</v>
      </c>
    </row>
    <row r="599" spans="1:27" x14ac:dyDescent="0.3">
      <c r="A599" t="s">
        <v>1660</v>
      </c>
      <c r="B599" t="s">
        <v>1463</v>
      </c>
      <c r="C599" t="s">
        <v>974</v>
      </c>
      <c r="D599" t="s">
        <v>1373</v>
      </c>
      <c r="E599" t="s">
        <v>603</v>
      </c>
      <c r="F599">
        <v>46203</v>
      </c>
      <c r="G599" t="s">
        <v>496</v>
      </c>
      <c r="H599" t="s">
        <v>1159</v>
      </c>
      <c r="I599">
        <v>51103001</v>
      </c>
      <c r="J599" t="s">
        <v>1328</v>
      </c>
      <c r="K599" t="s">
        <v>1454</v>
      </c>
      <c r="L599">
        <v>445</v>
      </c>
      <c r="M599">
        <v>0</v>
      </c>
      <c r="N599">
        <v>0</v>
      </c>
      <c r="O599">
        <v>445</v>
      </c>
      <c r="P599" t="s">
        <v>1330</v>
      </c>
      <c r="Q599" t="s">
        <v>1062</v>
      </c>
      <c r="R599" t="s">
        <v>1199</v>
      </c>
      <c r="S599" t="s">
        <v>947</v>
      </c>
      <c r="T599" t="s">
        <v>1063</v>
      </c>
      <c r="U599" t="s">
        <v>1331</v>
      </c>
      <c r="V599" t="s">
        <v>1165</v>
      </c>
      <c r="W599">
        <v>1</v>
      </c>
      <c r="X599">
        <v>445</v>
      </c>
      <c r="Y599" t="s">
        <v>1166</v>
      </c>
      <c r="Z599" t="s">
        <v>1167</v>
      </c>
      <c r="AA599" t="s">
        <v>1332</v>
      </c>
    </row>
    <row r="600" spans="1:27" x14ac:dyDescent="0.3">
      <c r="A600" t="s">
        <v>1660</v>
      </c>
      <c r="B600" t="s">
        <v>1581</v>
      </c>
      <c r="C600" t="s">
        <v>974</v>
      </c>
      <c r="D600" t="s">
        <v>1373</v>
      </c>
      <c r="E600" t="s">
        <v>603</v>
      </c>
      <c r="F600">
        <v>46203</v>
      </c>
      <c r="G600" t="s">
        <v>496</v>
      </c>
      <c r="H600" t="s">
        <v>1159</v>
      </c>
      <c r="I600">
        <v>51103501</v>
      </c>
      <c r="J600" t="s">
        <v>1585</v>
      </c>
      <c r="K600" t="s">
        <v>1610</v>
      </c>
      <c r="L600">
        <v>0</v>
      </c>
      <c r="M600">
        <v>2000</v>
      </c>
      <c r="N600">
        <v>0</v>
      </c>
      <c r="O600">
        <v>2000</v>
      </c>
      <c r="P600" t="s">
        <v>1611</v>
      </c>
      <c r="Q600" t="s">
        <v>1062</v>
      </c>
      <c r="R600" t="s">
        <v>1199</v>
      </c>
      <c r="S600" t="s">
        <v>947</v>
      </c>
      <c r="T600" t="s">
        <v>1063</v>
      </c>
      <c r="U600" t="s">
        <v>1588</v>
      </c>
      <c r="V600" t="s">
        <v>1165</v>
      </c>
      <c r="W600">
        <v>1</v>
      </c>
      <c r="X600">
        <v>2000</v>
      </c>
      <c r="Y600" t="s">
        <v>1166</v>
      </c>
      <c r="Z600" t="s">
        <v>1167</v>
      </c>
      <c r="AA600" t="s">
        <v>1612</v>
      </c>
    </row>
    <row r="601" spans="1:27" x14ac:dyDescent="0.3">
      <c r="A601" t="s">
        <v>1660</v>
      </c>
      <c r="B601" t="s">
        <v>1473</v>
      </c>
      <c r="C601" t="s">
        <v>974</v>
      </c>
      <c r="D601" t="s">
        <v>1373</v>
      </c>
      <c r="E601" t="s">
        <v>603</v>
      </c>
      <c r="F601">
        <v>46203</v>
      </c>
      <c r="G601" t="s">
        <v>496</v>
      </c>
      <c r="H601" t="s">
        <v>1159</v>
      </c>
      <c r="I601">
        <v>51150501</v>
      </c>
      <c r="J601" t="s">
        <v>1219</v>
      </c>
      <c r="K601" t="s">
        <v>1456</v>
      </c>
      <c r="L601">
        <v>4024.05</v>
      </c>
      <c r="M601">
        <v>0</v>
      </c>
      <c r="N601">
        <v>0</v>
      </c>
      <c r="O601">
        <v>4024.05</v>
      </c>
      <c r="P601" t="s">
        <v>1221</v>
      </c>
      <c r="Q601" t="s">
        <v>1064</v>
      </c>
      <c r="R601" t="s">
        <v>1199</v>
      </c>
      <c r="S601" t="s">
        <v>947</v>
      </c>
      <c r="T601" t="s">
        <v>1065</v>
      </c>
      <c r="U601" t="s">
        <v>1222</v>
      </c>
      <c r="V601" t="s">
        <v>1165</v>
      </c>
      <c r="W601">
        <v>1</v>
      </c>
      <c r="X601">
        <v>4024.05</v>
      </c>
      <c r="Y601" t="s">
        <v>1166</v>
      </c>
      <c r="Z601" t="s">
        <v>1167</v>
      </c>
      <c r="AA601" t="s">
        <v>1223</v>
      </c>
    </row>
    <row r="602" spans="1:27" x14ac:dyDescent="0.3">
      <c r="A602" t="s">
        <v>1660</v>
      </c>
      <c r="B602" t="s">
        <v>1477</v>
      </c>
      <c r="C602" t="s">
        <v>974</v>
      </c>
      <c r="D602" t="s">
        <v>1373</v>
      </c>
      <c r="E602" t="s">
        <v>603</v>
      </c>
      <c r="F602">
        <v>46203</v>
      </c>
      <c r="G602" t="s">
        <v>496</v>
      </c>
      <c r="H602" t="s">
        <v>1159</v>
      </c>
      <c r="I602">
        <v>51352001</v>
      </c>
      <c r="J602" t="s">
        <v>1240</v>
      </c>
      <c r="K602" t="s">
        <v>1458</v>
      </c>
      <c r="L602">
        <v>225.35</v>
      </c>
      <c r="M602">
        <v>0</v>
      </c>
      <c r="N602">
        <v>0</v>
      </c>
      <c r="O602">
        <v>225.35</v>
      </c>
      <c r="P602" t="s">
        <v>1242</v>
      </c>
      <c r="Q602" t="s">
        <v>1069</v>
      </c>
      <c r="R602" t="s">
        <v>1199</v>
      </c>
      <c r="S602" t="s">
        <v>947</v>
      </c>
      <c r="T602" t="s">
        <v>1070</v>
      </c>
      <c r="U602" t="s">
        <v>1243</v>
      </c>
      <c r="V602" t="s">
        <v>1165</v>
      </c>
      <c r="W602">
        <v>1</v>
      </c>
      <c r="X602">
        <v>225.35</v>
      </c>
      <c r="Y602" t="s">
        <v>1166</v>
      </c>
      <c r="Z602" t="s">
        <v>1193</v>
      </c>
      <c r="AA602" t="s">
        <v>1244</v>
      </c>
    </row>
    <row r="603" spans="1:27" x14ac:dyDescent="0.3">
      <c r="A603" t="s">
        <v>1660</v>
      </c>
      <c r="B603" t="s">
        <v>1482</v>
      </c>
      <c r="C603" t="s">
        <v>974</v>
      </c>
      <c r="D603" t="s">
        <v>1373</v>
      </c>
      <c r="E603" t="s">
        <v>603</v>
      </c>
      <c r="F603">
        <v>46203</v>
      </c>
      <c r="G603" t="s">
        <v>496</v>
      </c>
      <c r="H603" t="s">
        <v>1159</v>
      </c>
      <c r="I603">
        <v>51352001</v>
      </c>
      <c r="J603" t="s">
        <v>1240</v>
      </c>
      <c r="K603" t="s">
        <v>1460</v>
      </c>
      <c r="L603">
        <v>191.4</v>
      </c>
      <c r="M603">
        <v>0</v>
      </c>
      <c r="N603">
        <v>0</v>
      </c>
      <c r="O603">
        <v>191.4</v>
      </c>
      <c r="P603" t="s">
        <v>1242</v>
      </c>
      <c r="Q603" t="s">
        <v>1069</v>
      </c>
      <c r="R603" t="s">
        <v>1199</v>
      </c>
      <c r="S603" t="s">
        <v>947</v>
      </c>
      <c r="T603" t="s">
        <v>1070</v>
      </c>
      <c r="U603" t="s">
        <v>1243</v>
      </c>
      <c r="V603" t="s">
        <v>1165</v>
      </c>
      <c r="W603">
        <v>1</v>
      </c>
      <c r="X603">
        <v>191.4</v>
      </c>
      <c r="Y603" t="s">
        <v>1166</v>
      </c>
      <c r="Z603" t="s">
        <v>1193</v>
      </c>
      <c r="AA603" t="s">
        <v>1244</v>
      </c>
    </row>
    <row r="604" spans="1:27" x14ac:dyDescent="0.3">
      <c r="A604" t="s">
        <v>1660</v>
      </c>
      <c r="B604" t="s">
        <v>1582</v>
      </c>
      <c r="C604" t="s">
        <v>974</v>
      </c>
      <c r="D604" t="s">
        <v>1373</v>
      </c>
      <c r="E604" t="s">
        <v>603</v>
      </c>
      <c r="F604">
        <v>46203</v>
      </c>
      <c r="G604" t="s">
        <v>496</v>
      </c>
      <c r="H604" t="s">
        <v>1159</v>
      </c>
      <c r="I604">
        <v>51352001</v>
      </c>
      <c r="J604" t="s">
        <v>1240</v>
      </c>
      <c r="K604" t="s">
        <v>1462</v>
      </c>
      <c r="L604">
        <v>32.1</v>
      </c>
      <c r="M604">
        <v>0</v>
      </c>
      <c r="N604">
        <v>0</v>
      </c>
      <c r="O604">
        <v>32.1</v>
      </c>
      <c r="P604" t="s">
        <v>1242</v>
      </c>
      <c r="Q604" t="s">
        <v>1069</v>
      </c>
      <c r="R604" t="s">
        <v>1199</v>
      </c>
      <c r="S604" t="s">
        <v>947</v>
      </c>
      <c r="T604" t="s">
        <v>1070</v>
      </c>
      <c r="U604" t="s">
        <v>1243</v>
      </c>
      <c r="V604" t="s">
        <v>1165</v>
      </c>
      <c r="W604">
        <v>1</v>
      </c>
      <c r="X604">
        <v>32.1</v>
      </c>
      <c r="Y604" t="s">
        <v>1166</v>
      </c>
      <c r="Z604" t="s">
        <v>1193</v>
      </c>
      <c r="AA604" t="s">
        <v>1244</v>
      </c>
    </row>
    <row r="605" spans="1:27" x14ac:dyDescent="0.3">
      <c r="A605" t="s">
        <v>1660</v>
      </c>
      <c r="B605" t="s">
        <v>1484</v>
      </c>
      <c r="C605" t="s">
        <v>974</v>
      </c>
      <c r="D605" t="s">
        <v>1373</v>
      </c>
      <c r="E605" t="s">
        <v>603</v>
      </c>
      <c r="F605">
        <v>46203</v>
      </c>
      <c r="G605" t="s">
        <v>496</v>
      </c>
      <c r="H605" t="s">
        <v>1159</v>
      </c>
      <c r="I605">
        <v>51352001</v>
      </c>
      <c r="J605" t="s">
        <v>1240</v>
      </c>
      <c r="K605" t="s">
        <v>1464</v>
      </c>
      <c r="L605">
        <v>80</v>
      </c>
      <c r="M605">
        <v>20</v>
      </c>
      <c r="N605">
        <v>0</v>
      </c>
      <c r="O605">
        <v>100</v>
      </c>
      <c r="P605" t="s">
        <v>1242</v>
      </c>
      <c r="Q605" t="s">
        <v>1069</v>
      </c>
      <c r="R605" t="s">
        <v>1199</v>
      </c>
      <c r="S605" t="s">
        <v>947</v>
      </c>
      <c r="T605" t="s">
        <v>1070</v>
      </c>
      <c r="U605" t="s">
        <v>1243</v>
      </c>
      <c r="V605" t="s">
        <v>1165</v>
      </c>
      <c r="W605">
        <v>1</v>
      </c>
      <c r="X605">
        <v>100</v>
      </c>
      <c r="Y605" t="s">
        <v>1166</v>
      </c>
      <c r="Z605" t="s">
        <v>1193</v>
      </c>
      <c r="AA605" t="s">
        <v>1244</v>
      </c>
    </row>
    <row r="606" spans="1:27" x14ac:dyDescent="0.3">
      <c r="A606" t="s">
        <v>1660</v>
      </c>
      <c r="B606" t="s">
        <v>1490</v>
      </c>
      <c r="C606" t="s">
        <v>974</v>
      </c>
      <c r="D606" t="s">
        <v>1373</v>
      </c>
      <c r="E606" t="s">
        <v>603</v>
      </c>
      <c r="F606">
        <v>46203</v>
      </c>
      <c r="G606" t="s">
        <v>496</v>
      </c>
      <c r="H606" t="s">
        <v>1159</v>
      </c>
      <c r="I606">
        <v>51352001</v>
      </c>
      <c r="J606" t="s">
        <v>1240</v>
      </c>
      <c r="K606" t="s">
        <v>1619</v>
      </c>
      <c r="L606">
        <v>7500</v>
      </c>
      <c r="M606">
        <v>0</v>
      </c>
      <c r="N606">
        <v>0</v>
      </c>
      <c r="O606">
        <v>7500</v>
      </c>
      <c r="P606" t="s">
        <v>1242</v>
      </c>
      <c r="Q606" t="s">
        <v>1069</v>
      </c>
      <c r="R606" t="s">
        <v>1199</v>
      </c>
      <c r="S606" t="s">
        <v>947</v>
      </c>
      <c r="T606" t="s">
        <v>1070</v>
      </c>
      <c r="U606" t="s">
        <v>1243</v>
      </c>
      <c r="V606" t="s">
        <v>1165</v>
      </c>
      <c r="W606">
        <v>1</v>
      </c>
      <c r="X606">
        <v>7500</v>
      </c>
      <c r="Y606" t="s">
        <v>1166</v>
      </c>
      <c r="Z606" t="s">
        <v>1193</v>
      </c>
      <c r="AA606" t="s">
        <v>1244</v>
      </c>
    </row>
    <row r="607" spans="1:27" x14ac:dyDescent="0.3">
      <c r="A607" t="s">
        <v>1660</v>
      </c>
      <c r="B607" t="s">
        <v>1492</v>
      </c>
      <c r="C607" t="s">
        <v>974</v>
      </c>
      <c r="D607" t="s">
        <v>1373</v>
      </c>
      <c r="E607" t="s">
        <v>603</v>
      </c>
      <c r="F607">
        <v>46203</v>
      </c>
      <c r="G607" t="s">
        <v>496</v>
      </c>
      <c r="H607" t="s">
        <v>1159</v>
      </c>
      <c r="I607">
        <v>51352001</v>
      </c>
      <c r="J607" t="s">
        <v>1240</v>
      </c>
      <c r="K607" t="s">
        <v>1466</v>
      </c>
      <c r="L607">
        <v>1027.2</v>
      </c>
      <c r="M607">
        <v>0</v>
      </c>
      <c r="N607">
        <v>0</v>
      </c>
      <c r="O607">
        <v>1027.2</v>
      </c>
      <c r="P607" t="s">
        <v>1242</v>
      </c>
      <c r="Q607" t="s">
        <v>1069</v>
      </c>
      <c r="R607" t="s">
        <v>1199</v>
      </c>
      <c r="S607" t="s">
        <v>947</v>
      </c>
      <c r="T607" t="s">
        <v>1070</v>
      </c>
      <c r="U607" t="s">
        <v>1243</v>
      </c>
      <c r="V607" t="s">
        <v>1165</v>
      </c>
      <c r="W607">
        <v>1</v>
      </c>
      <c r="X607">
        <v>1027.2</v>
      </c>
      <c r="Y607" t="s">
        <v>1166</v>
      </c>
      <c r="Z607" t="s">
        <v>1193</v>
      </c>
      <c r="AA607" t="s">
        <v>1244</v>
      </c>
    </row>
    <row r="608" spans="1:27" x14ac:dyDescent="0.3">
      <c r="A608" t="s">
        <v>1660</v>
      </c>
      <c r="B608" t="s">
        <v>1493</v>
      </c>
      <c r="C608" t="s">
        <v>974</v>
      </c>
      <c r="D608" t="s">
        <v>1373</v>
      </c>
      <c r="E608" t="s">
        <v>603</v>
      </c>
      <c r="F608">
        <v>46203</v>
      </c>
      <c r="G608" t="s">
        <v>496</v>
      </c>
      <c r="H608" t="s">
        <v>1159</v>
      </c>
      <c r="I608">
        <v>51352001</v>
      </c>
      <c r="J608" t="s">
        <v>1240</v>
      </c>
      <c r="K608" t="s">
        <v>1563</v>
      </c>
      <c r="L608">
        <v>191.53</v>
      </c>
      <c r="M608">
        <v>0</v>
      </c>
      <c r="N608">
        <v>0</v>
      </c>
      <c r="O608">
        <v>191.53</v>
      </c>
      <c r="P608" t="s">
        <v>1242</v>
      </c>
      <c r="Q608" t="s">
        <v>1069</v>
      </c>
      <c r="R608" t="s">
        <v>1199</v>
      </c>
      <c r="S608" t="s">
        <v>947</v>
      </c>
      <c r="T608" t="s">
        <v>1070</v>
      </c>
      <c r="U608" t="s">
        <v>1243</v>
      </c>
      <c r="V608" t="s">
        <v>1165</v>
      </c>
      <c r="W608">
        <v>1</v>
      </c>
      <c r="X608">
        <v>191.53</v>
      </c>
      <c r="Y608" t="s">
        <v>1166</v>
      </c>
      <c r="Z608" t="s">
        <v>1193</v>
      </c>
      <c r="AA608" t="s">
        <v>1244</v>
      </c>
    </row>
    <row r="609" spans="1:27" x14ac:dyDescent="0.3">
      <c r="A609" t="s">
        <v>1660</v>
      </c>
      <c r="B609" t="s">
        <v>1496</v>
      </c>
      <c r="C609" t="s">
        <v>974</v>
      </c>
      <c r="D609" t="s">
        <v>1373</v>
      </c>
      <c r="E609" t="s">
        <v>603</v>
      </c>
      <c r="F609">
        <v>46203</v>
      </c>
      <c r="G609" t="s">
        <v>496</v>
      </c>
      <c r="H609" t="s">
        <v>1159</v>
      </c>
      <c r="I609">
        <v>51353503</v>
      </c>
      <c r="J609" t="s">
        <v>1620</v>
      </c>
      <c r="K609" t="s">
        <v>1462</v>
      </c>
      <c r="L609">
        <v>153.6</v>
      </c>
      <c r="M609">
        <v>160.88</v>
      </c>
      <c r="N609">
        <v>0</v>
      </c>
      <c r="O609">
        <v>314.48</v>
      </c>
      <c r="P609" t="s">
        <v>1621</v>
      </c>
      <c r="Q609" t="s">
        <v>1071</v>
      </c>
      <c r="R609" t="s">
        <v>1199</v>
      </c>
      <c r="S609" t="s">
        <v>947</v>
      </c>
      <c r="T609" t="s">
        <v>1072</v>
      </c>
      <c r="U609" t="s">
        <v>1622</v>
      </c>
      <c r="V609" t="s">
        <v>1165</v>
      </c>
      <c r="W609">
        <v>1</v>
      </c>
      <c r="X609">
        <v>314.48</v>
      </c>
      <c r="Y609" t="s">
        <v>1166</v>
      </c>
      <c r="Z609" t="s">
        <v>1167</v>
      </c>
      <c r="AA609" t="s">
        <v>1623</v>
      </c>
    </row>
    <row r="610" spans="1:27" x14ac:dyDescent="0.3">
      <c r="A610" t="s">
        <v>1660</v>
      </c>
      <c r="B610" t="s">
        <v>1500</v>
      </c>
      <c r="C610" t="s">
        <v>974</v>
      </c>
      <c r="D610" t="s">
        <v>1373</v>
      </c>
      <c r="E610" t="s">
        <v>603</v>
      </c>
      <c r="F610">
        <v>46203</v>
      </c>
      <c r="G610" t="s">
        <v>496</v>
      </c>
      <c r="H610" t="s">
        <v>1159</v>
      </c>
      <c r="I610">
        <v>51354001</v>
      </c>
      <c r="J610" t="s">
        <v>1468</v>
      </c>
      <c r="K610" t="s">
        <v>1469</v>
      </c>
      <c r="L610">
        <v>57.32</v>
      </c>
      <c r="M610">
        <v>0</v>
      </c>
      <c r="N610">
        <v>0</v>
      </c>
      <c r="O610">
        <v>57.32</v>
      </c>
      <c r="P610" t="s">
        <v>1470</v>
      </c>
      <c r="Q610" t="s">
        <v>1073</v>
      </c>
      <c r="R610" t="s">
        <v>1199</v>
      </c>
      <c r="S610" t="s">
        <v>947</v>
      </c>
      <c r="T610" t="s">
        <v>1074</v>
      </c>
      <c r="U610" t="s">
        <v>1471</v>
      </c>
      <c r="V610" t="s">
        <v>1165</v>
      </c>
      <c r="W610">
        <v>1</v>
      </c>
      <c r="X610">
        <v>57.32</v>
      </c>
      <c r="Y610" t="s">
        <v>1166</v>
      </c>
      <c r="Z610" t="s">
        <v>1167</v>
      </c>
      <c r="AA610" t="s">
        <v>1472</v>
      </c>
    </row>
    <row r="611" spans="1:27" x14ac:dyDescent="0.3">
      <c r="A611" t="s">
        <v>1660</v>
      </c>
      <c r="B611" t="s">
        <v>1504</v>
      </c>
      <c r="C611" t="s">
        <v>974</v>
      </c>
      <c r="D611" t="s">
        <v>1373</v>
      </c>
      <c r="E611" t="s">
        <v>603</v>
      </c>
      <c r="F611">
        <v>46203</v>
      </c>
      <c r="G611" t="s">
        <v>496</v>
      </c>
      <c r="H611" t="s">
        <v>1159</v>
      </c>
      <c r="I611">
        <v>51359501</v>
      </c>
      <c r="J611" t="s">
        <v>1232</v>
      </c>
      <c r="K611" t="s">
        <v>1474</v>
      </c>
      <c r="L611">
        <v>773.99</v>
      </c>
      <c r="M611">
        <v>0</v>
      </c>
      <c r="N611">
        <v>0</v>
      </c>
      <c r="O611">
        <v>773.99</v>
      </c>
      <c r="P611" t="s">
        <v>1475</v>
      </c>
      <c r="Q611" t="s">
        <v>1077</v>
      </c>
      <c r="R611" t="s">
        <v>1199</v>
      </c>
      <c r="S611" t="s">
        <v>947</v>
      </c>
      <c r="T611" t="s">
        <v>1078</v>
      </c>
      <c r="U611" t="s">
        <v>576</v>
      </c>
      <c r="V611" t="s">
        <v>1165</v>
      </c>
      <c r="W611">
        <v>1</v>
      </c>
      <c r="X611">
        <v>773.99</v>
      </c>
      <c r="Y611" t="s">
        <v>1192</v>
      </c>
      <c r="Z611" t="s">
        <v>1193</v>
      </c>
      <c r="AA611" t="s">
        <v>1476</v>
      </c>
    </row>
    <row r="612" spans="1:27" x14ac:dyDescent="0.3">
      <c r="A612" t="s">
        <v>1660</v>
      </c>
      <c r="B612" t="s">
        <v>1510</v>
      </c>
      <c r="C612" t="s">
        <v>974</v>
      </c>
      <c r="D612" t="s">
        <v>1373</v>
      </c>
      <c r="E612" t="s">
        <v>603</v>
      </c>
      <c r="F612">
        <v>46203</v>
      </c>
      <c r="G612" t="s">
        <v>496</v>
      </c>
      <c r="H612" t="s">
        <v>1159</v>
      </c>
      <c r="I612">
        <v>51952502</v>
      </c>
      <c r="J612" t="s">
        <v>1478</v>
      </c>
      <c r="K612" t="s">
        <v>1425</v>
      </c>
      <c r="L612">
        <v>35.1</v>
      </c>
      <c r="M612">
        <v>0</v>
      </c>
      <c r="N612">
        <v>0</v>
      </c>
      <c r="O612">
        <v>35.1</v>
      </c>
      <c r="P612" t="s">
        <v>1479</v>
      </c>
      <c r="Q612" t="s">
        <v>1079</v>
      </c>
      <c r="R612" t="s">
        <v>1199</v>
      </c>
      <c r="S612" t="s">
        <v>947</v>
      </c>
      <c r="T612" t="s">
        <v>1080</v>
      </c>
      <c r="U612" t="s">
        <v>1480</v>
      </c>
      <c r="V612" t="s">
        <v>1165</v>
      </c>
      <c r="W612">
        <v>1</v>
      </c>
      <c r="X612">
        <v>35.1</v>
      </c>
      <c r="Y612" t="s">
        <v>1166</v>
      </c>
      <c r="Z612" t="s">
        <v>1193</v>
      </c>
      <c r="AA612" t="s">
        <v>1481</v>
      </c>
    </row>
    <row r="613" spans="1:27" x14ac:dyDescent="0.3">
      <c r="A613" t="s">
        <v>1660</v>
      </c>
      <c r="B613" t="s">
        <v>1512</v>
      </c>
      <c r="C613" t="s">
        <v>974</v>
      </c>
      <c r="D613" t="s">
        <v>1373</v>
      </c>
      <c r="E613" t="s">
        <v>603</v>
      </c>
      <c r="F613">
        <v>46203</v>
      </c>
      <c r="G613" t="s">
        <v>496</v>
      </c>
      <c r="H613" t="s">
        <v>1159</v>
      </c>
      <c r="I613">
        <v>51952502</v>
      </c>
      <c r="J613" t="s">
        <v>1478</v>
      </c>
      <c r="K613" t="s">
        <v>1483</v>
      </c>
      <c r="L613">
        <v>82.58</v>
      </c>
      <c r="M613">
        <v>0</v>
      </c>
      <c r="N613">
        <v>0</v>
      </c>
      <c r="O613">
        <v>82.58</v>
      </c>
      <c r="P613" t="s">
        <v>1479</v>
      </c>
      <c r="Q613" t="s">
        <v>1079</v>
      </c>
      <c r="R613" t="s">
        <v>1199</v>
      </c>
      <c r="S613" t="s">
        <v>947</v>
      </c>
      <c r="T613" t="s">
        <v>1080</v>
      </c>
      <c r="U613" t="s">
        <v>1480</v>
      </c>
      <c r="V613" t="s">
        <v>1165</v>
      </c>
      <c r="W613">
        <v>1</v>
      </c>
      <c r="X613">
        <v>82.58</v>
      </c>
      <c r="Y613" t="s">
        <v>1166</v>
      </c>
      <c r="Z613" t="s">
        <v>1193</v>
      </c>
      <c r="AA613" t="s">
        <v>1481</v>
      </c>
    </row>
    <row r="614" spans="1:27" x14ac:dyDescent="0.3">
      <c r="A614" t="s">
        <v>1660</v>
      </c>
      <c r="B614" t="s">
        <v>1516</v>
      </c>
      <c r="C614" t="s">
        <v>974</v>
      </c>
      <c r="D614" t="s">
        <v>1373</v>
      </c>
      <c r="E614" t="s">
        <v>603</v>
      </c>
      <c r="F614">
        <v>46203</v>
      </c>
      <c r="G614" t="s">
        <v>496</v>
      </c>
      <c r="H614" t="s">
        <v>1159</v>
      </c>
      <c r="I614">
        <v>51956001</v>
      </c>
      <c r="J614" t="s">
        <v>1485</v>
      </c>
      <c r="K614" t="s">
        <v>1486</v>
      </c>
      <c r="L614">
        <v>254.29</v>
      </c>
      <c r="M614">
        <v>0</v>
      </c>
      <c r="N614">
        <v>0</v>
      </c>
      <c r="O614">
        <v>254.29</v>
      </c>
      <c r="P614" t="s">
        <v>1487</v>
      </c>
      <c r="Q614" t="s">
        <v>1081</v>
      </c>
      <c r="R614" t="s">
        <v>1199</v>
      </c>
      <c r="S614" t="s">
        <v>947</v>
      </c>
      <c r="T614" t="s">
        <v>1082</v>
      </c>
      <c r="U614" t="s">
        <v>1488</v>
      </c>
      <c r="V614" t="s">
        <v>1165</v>
      </c>
      <c r="W614">
        <v>1</v>
      </c>
      <c r="X614">
        <v>254.29</v>
      </c>
      <c r="Y614" t="s">
        <v>1166</v>
      </c>
      <c r="Z614" t="s">
        <v>1193</v>
      </c>
      <c r="AA614" t="s">
        <v>1489</v>
      </c>
    </row>
    <row r="615" spans="1:27" x14ac:dyDescent="0.3">
      <c r="A615" t="s">
        <v>1660</v>
      </c>
      <c r="B615" t="s">
        <v>1518</v>
      </c>
      <c r="C615" t="s">
        <v>974</v>
      </c>
      <c r="D615" t="s">
        <v>1373</v>
      </c>
      <c r="E615" t="s">
        <v>603</v>
      </c>
      <c r="F615">
        <v>46203</v>
      </c>
      <c r="G615" t="s">
        <v>496</v>
      </c>
      <c r="H615" t="s">
        <v>1159</v>
      </c>
      <c r="I615">
        <v>51956001</v>
      </c>
      <c r="J615" t="s">
        <v>1485</v>
      </c>
      <c r="K615" t="s">
        <v>1491</v>
      </c>
      <c r="L615">
        <v>63.15</v>
      </c>
      <c r="M615">
        <v>0</v>
      </c>
      <c r="N615">
        <v>0</v>
      </c>
      <c r="O615">
        <v>63.15</v>
      </c>
      <c r="P615" t="s">
        <v>1487</v>
      </c>
      <c r="Q615" t="s">
        <v>1081</v>
      </c>
      <c r="R615" t="s">
        <v>1199</v>
      </c>
      <c r="S615" t="s">
        <v>947</v>
      </c>
      <c r="T615" t="s">
        <v>1082</v>
      </c>
      <c r="U615" t="s">
        <v>1488</v>
      </c>
      <c r="V615" t="s">
        <v>1165</v>
      </c>
      <c r="W615">
        <v>1</v>
      </c>
      <c r="X615">
        <v>63.15</v>
      </c>
      <c r="Y615" t="s">
        <v>1166</v>
      </c>
      <c r="Z615" t="s">
        <v>1193</v>
      </c>
      <c r="AA615" t="s">
        <v>1489</v>
      </c>
    </row>
    <row r="616" spans="1:27" x14ac:dyDescent="0.3">
      <c r="A616" t="s">
        <v>1660</v>
      </c>
      <c r="B616" t="s">
        <v>1624</v>
      </c>
      <c r="C616" t="s">
        <v>974</v>
      </c>
      <c r="D616" t="s">
        <v>1373</v>
      </c>
      <c r="E616" t="s">
        <v>603</v>
      </c>
      <c r="F616">
        <v>46203</v>
      </c>
      <c r="G616" t="s">
        <v>496</v>
      </c>
      <c r="H616" t="s">
        <v>1159</v>
      </c>
      <c r="I616">
        <v>51956001</v>
      </c>
      <c r="J616" t="s">
        <v>1485</v>
      </c>
      <c r="K616" t="s">
        <v>1491</v>
      </c>
      <c r="L616">
        <v>55.93</v>
      </c>
      <c r="M616">
        <v>0</v>
      </c>
      <c r="N616">
        <v>0</v>
      </c>
      <c r="O616">
        <v>55.93</v>
      </c>
      <c r="P616" t="s">
        <v>1487</v>
      </c>
      <c r="Q616" t="s">
        <v>1081</v>
      </c>
      <c r="R616" t="s">
        <v>1199</v>
      </c>
      <c r="S616" t="s">
        <v>947</v>
      </c>
      <c r="T616" t="s">
        <v>1082</v>
      </c>
      <c r="U616" t="s">
        <v>1488</v>
      </c>
      <c r="V616" t="s">
        <v>1165</v>
      </c>
      <c r="W616">
        <v>1</v>
      </c>
      <c r="X616">
        <v>55.93</v>
      </c>
      <c r="Y616" t="s">
        <v>1166</v>
      </c>
      <c r="Z616" t="s">
        <v>1193</v>
      </c>
      <c r="AA616" t="s">
        <v>1489</v>
      </c>
    </row>
    <row r="617" spans="1:27" x14ac:dyDescent="0.3">
      <c r="A617" t="s">
        <v>1660</v>
      </c>
      <c r="B617" t="s">
        <v>1520</v>
      </c>
      <c r="C617" t="s">
        <v>974</v>
      </c>
      <c r="D617" t="s">
        <v>1373</v>
      </c>
      <c r="E617" t="s">
        <v>603</v>
      </c>
      <c r="F617">
        <v>46203</v>
      </c>
      <c r="G617" t="s">
        <v>496</v>
      </c>
      <c r="H617" t="s">
        <v>1159</v>
      </c>
      <c r="I617">
        <v>51956001</v>
      </c>
      <c r="J617" t="s">
        <v>1485</v>
      </c>
      <c r="K617" t="s">
        <v>1405</v>
      </c>
      <c r="L617">
        <v>145.96</v>
      </c>
      <c r="M617">
        <v>0</v>
      </c>
      <c r="N617">
        <v>0</v>
      </c>
      <c r="O617">
        <v>145.96</v>
      </c>
      <c r="P617" t="s">
        <v>1487</v>
      </c>
      <c r="Q617" t="s">
        <v>1081</v>
      </c>
      <c r="R617" t="s">
        <v>1199</v>
      </c>
      <c r="S617" t="s">
        <v>947</v>
      </c>
      <c r="T617" t="s">
        <v>1082</v>
      </c>
      <c r="U617" t="s">
        <v>1488</v>
      </c>
      <c r="V617" t="s">
        <v>1165</v>
      </c>
      <c r="W617">
        <v>1</v>
      </c>
      <c r="X617">
        <v>145.96</v>
      </c>
      <c r="Y617" t="s">
        <v>1166</v>
      </c>
      <c r="Z617" t="s">
        <v>1193</v>
      </c>
      <c r="AA617" t="s">
        <v>1489</v>
      </c>
    </row>
    <row r="618" spans="1:27" x14ac:dyDescent="0.3">
      <c r="A618" t="s">
        <v>1660</v>
      </c>
      <c r="B618" t="s">
        <v>1525</v>
      </c>
      <c r="C618" t="s">
        <v>974</v>
      </c>
      <c r="D618" t="s">
        <v>1373</v>
      </c>
      <c r="E618" t="s">
        <v>603</v>
      </c>
      <c r="F618">
        <v>46203</v>
      </c>
      <c r="G618" t="s">
        <v>496</v>
      </c>
      <c r="H618" t="s">
        <v>1159</v>
      </c>
      <c r="I618">
        <v>51956001</v>
      </c>
      <c r="J618" t="s">
        <v>1485</v>
      </c>
      <c r="K618" t="s">
        <v>1495</v>
      </c>
      <c r="L618">
        <v>92.97</v>
      </c>
      <c r="M618">
        <v>0</v>
      </c>
      <c r="N618">
        <v>0</v>
      </c>
      <c r="O618">
        <v>92.97</v>
      </c>
      <c r="P618" t="s">
        <v>1487</v>
      </c>
      <c r="Q618" t="s">
        <v>1081</v>
      </c>
      <c r="R618" t="s">
        <v>1199</v>
      </c>
      <c r="S618" t="s">
        <v>947</v>
      </c>
      <c r="T618" t="s">
        <v>1082</v>
      </c>
      <c r="U618" t="s">
        <v>1488</v>
      </c>
      <c r="V618" t="s">
        <v>1165</v>
      </c>
      <c r="W618">
        <v>1</v>
      </c>
      <c r="X618">
        <v>92.97</v>
      </c>
      <c r="Y618" t="s">
        <v>1166</v>
      </c>
      <c r="Z618" t="s">
        <v>1193</v>
      </c>
      <c r="AA618" t="s">
        <v>1489</v>
      </c>
    </row>
    <row r="619" spans="1:27" x14ac:dyDescent="0.3">
      <c r="A619" t="s">
        <v>1660</v>
      </c>
      <c r="B619" t="s">
        <v>1625</v>
      </c>
      <c r="C619" t="s">
        <v>974</v>
      </c>
      <c r="D619" t="s">
        <v>1373</v>
      </c>
      <c r="E619" t="s">
        <v>603</v>
      </c>
      <c r="F619">
        <v>46203</v>
      </c>
      <c r="G619" t="s">
        <v>496</v>
      </c>
      <c r="H619" t="s">
        <v>1159</v>
      </c>
      <c r="I619">
        <v>51956001</v>
      </c>
      <c r="J619" t="s">
        <v>1485</v>
      </c>
      <c r="K619" t="s">
        <v>1497</v>
      </c>
      <c r="L619">
        <v>122.49</v>
      </c>
      <c r="M619">
        <v>0</v>
      </c>
      <c r="N619">
        <v>0</v>
      </c>
      <c r="O619">
        <v>122.49</v>
      </c>
      <c r="P619" t="s">
        <v>1487</v>
      </c>
      <c r="Q619" t="s">
        <v>1081</v>
      </c>
      <c r="R619" t="s">
        <v>1199</v>
      </c>
      <c r="S619" t="s">
        <v>947</v>
      </c>
      <c r="T619" t="s">
        <v>1082</v>
      </c>
      <c r="U619" t="s">
        <v>1488</v>
      </c>
      <c r="V619" t="s">
        <v>1165</v>
      </c>
      <c r="W619">
        <v>1</v>
      </c>
      <c r="X619">
        <v>122.49</v>
      </c>
      <c r="Y619" t="s">
        <v>1166</v>
      </c>
      <c r="Z619" t="s">
        <v>1193</v>
      </c>
      <c r="AA619" t="s">
        <v>1489</v>
      </c>
    </row>
    <row r="620" spans="1:27" x14ac:dyDescent="0.3">
      <c r="A620" t="s">
        <v>1660</v>
      </c>
      <c r="B620" t="s">
        <v>1626</v>
      </c>
      <c r="C620" t="s">
        <v>974</v>
      </c>
      <c r="D620" t="s">
        <v>1373</v>
      </c>
      <c r="E620" t="s">
        <v>603</v>
      </c>
      <c r="F620">
        <v>46203</v>
      </c>
      <c r="G620" t="s">
        <v>496</v>
      </c>
      <c r="H620" t="s">
        <v>1159</v>
      </c>
      <c r="I620">
        <v>51956001</v>
      </c>
      <c r="J620" t="s">
        <v>1485</v>
      </c>
      <c r="K620" t="s">
        <v>1499</v>
      </c>
      <c r="L620">
        <v>184.6</v>
      </c>
      <c r="M620">
        <v>232.55</v>
      </c>
      <c r="N620">
        <v>0</v>
      </c>
      <c r="O620">
        <v>417.15</v>
      </c>
      <c r="P620" t="s">
        <v>1487</v>
      </c>
      <c r="Q620" t="s">
        <v>1081</v>
      </c>
      <c r="R620" t="s">
        <v>1199</v>
      </c>
      <c r="S620" t="s">
        <v>947</v>
      </c>
      <c r="T620" t="s">
        <v>1082</v>
      </c>
      <c r="U620" t="s">
        <v>1488</v>
      </c>
      <c r="V620" t="s">
        <v>1165</v>
      </c>
      <c r="W620">
        <v>1</v>
      </c>
      <c r="X620">
        <v>417.15</v>
      </c>
      <c r="Y620" t="s">
        <v>1166</v>
      </c>
      <c r="Z620" t="s">
        <v>1193</v>
      </c>
      <c r="AA620" t="s">
        <v>1489</v>
      </c>
    </row>
    <row r="621" spans="1:27" x14ac:dyDescent="0.3">
      <c r="A621" t="s">
        <v>1660</v>
      </c>
      <c r="B621" t="s">
        <v>1627</v>
      </c>
      <c r="C621" t="s">
        <v>974</v>
      </c>
      <c r="D621" t="s">
        <v>1373</v>
      </c>
      <c r="E621" t="s">
        <v>603</v>
      </c>
      <c r="F621">
        <v>46203</v>
      </c>
      <c r="G621" t="s">
        <v>496</v>
      </c>
      <c r="H621" t="s">
        <v>1159</v>
      </c>
      <c r="I621">
        <v>51956001</v>
      </c>
      <c r="J621" t="s">
        <v>1485</v>
      </c>
      <c r="K621" t="s">
        <v>1501</v>
      </c>
      <c r="L621">
        <v>80.39</v>
      </c>
      <c r="M621">
        <v>0</v>
      </c>
      <c r="N621">
        <v>0</v>
      </c>
      <c r="O621">
        <v>80.39</v>
      </c>
      <c r="P621" t="s">
        <v>1487</v>
      </c>
      <c r="Q621" t="s">
        <v>1081</v>
      </c>
      <c r="R621" t="s">
        <v>1199</v>
      </c>
      <c r="S621" t="s">
        <v>947</v>
      </c>
      <c r="T621" t="s">
        <v>1082</v>
      </c>
      <c r="U621" t="s">
        <v>1488</v>
      </c>
      <c r="V621" t="s">
        <v>1165</v>
      </c>
      <c r="W621">
        <v>1</v>
      </c>
      <c r="X621">
        <v>80.39</v>
      </c>
      <c r="Y621" t="s">
        <v>1166</v>
      </c>
      <c r="Z621" t="s">
        <v>1193</v>
      </c>
      <c r="AA621" t="s">
        <v>1489</v>
      </c>
    </row>
    <row r="622" spans="1:27" x14ac:dyDescent="0.3">
      <c r="A622" t="s">
        <v>1660</v>
      </c>
      <c r="B622" t="s">
        <v>1527</v>
      </c>
      <c r="C622" t="s">
        <v>974</v>
      </c>
      <c r="D622" t="s">
        <v>1373</v>
      </c>
      <c r="E622" t="s">
        <v>603</v>
      </c>
      <c r="F622">
        <v>46203</v>
      </c>
      <c r="G622" t="s">
        <v>496</v>
      </c>
      <c r="H622" t="s">
        <v>1159</v>
      </c>
      <c r="I622">
        <v>51956001</v>
      </c>
      <c r="J622" t="s">
        <v>1485</v>
      </c>
      <c r="K622" t="s">
        <v>1503</v>
      </c>
      <c r="L622">
        <v>214.32</v>
      </c>
      <c r="M622">
        <v>0</v>
      </c>
      <c r="N622">
        <v>0</v>
      </c>
      <c r="O622">
        <v>214.32</v>
      </c>
      <c r="P622" t="s">
        <v>1487</v>
      </c>
      <c r="Q622" t="s">
        <v>1081</v>
      </c>
      <c r="R622" t="s">
        <v>1199</v>
      </c>
      <c r="S622" t="s">
        <v>947</v>
      </c>
      <c r="T622" t="s">
        <v>1082</v>
      </c>
      <c r="U622" t="s">
        <v>1488</v>
      </c>
      <c r="V622" t="s">
        <v>1165</v>
      </c>
      <c r="W622">
        <v>1</v>
      </c>
      <c r="X622">
        <v>214.32</v>
      </c>
      <c r="Y622" t="s">
        <v>1166</v>
      </c>
      <c r="Z622" t="s">
        <v>1193</v>
      </c>
      <c r="AA622" t="s">
        <v>1489</v>
      </c>
    </row>
    <row r="623" spans="1:27" x14ac:dyDescent="0.3">
      <c r="A623" t="s">
        <v>1660</v>
      </c>
      <c r="B623" t="s">
        <v>1533</v>
      </c>
      <c r="C623" t="s">
        <v>974</v>
      </c>
      <c r="D623" t="s">
        <v>1373</v>
      </c>
      <c r="E623" t="s">
        <v>603</v>
      </c>
      <c r="F623">
        <v>46203</v>
      </c>
      <c r="G623" t="s">
        <v>496</v>
      </c>
      <c r="H623" t="s">
        <v>1159</v>
      </c>
      <c r="I623">
        <v>51956001</v>
      </c>
      <c r="J623" t="s">
        <v>1485</v>
      </c>
      <c r="K623" t="s">
        <v>1505</v>
      </c>
      <c r="L623">
        <v>177.68</v>
      </c>
      <c r="M623">
        <v>106.93</v>
      </c>
      <c r="N623">
        <v>0</v>
      </c>
      <c r="O623">
        <v>284.61</v>
      </c>
      <c r="P623" t="s">
        <v>1487</v>
      </c>
      <c r="Q623" t="s">
        <v>1081</v>
      </c>
      <c r="R623" t="s">
        <v>1199</v>
      </c>
      <c r="S623" t="s">
        <v>947</v>
      </c>
      <c r="T623" t="s">
        <v>1082</v>
      </c>
      <c r="U623" t="s">
        <v>1488</v>
      </c>
      <c r="V623" t="s">
        <v>1165</v>
      </c>
      <c r="W623">
        <v>1</v>
      </c>
      <c r="X623">
        <v>284.61</v>
      </c>
      <c r="Y623" t="s">
        <v>1166</v>
      </c>
      <c r="Z623" t="s">
        <v>1193</v>
      </c>
      <c r="AA623" t="s">
        <v>1489</v>
      </c>
    </row>
    <row r="624" spans="1:27" x14ac:dyDescent="0.3">
      <c r="A624" t="s">
        <v>1660</v>
      </c>
      <c r="B624" t="s">
        <v>1628</v>
      </c>
      <c r="C624" t="s">
        <v>974</v>
      </c>
      <c r="D624" t="s">
        <v>1373</v>
      </c>
      <c r="E624" t="s">
        <v>603</v>
      </c>
      <c r="F624">
        <v>46203</v>
      </c>
      <c r="G624" t="s">
        <v>496</v>
      </c>
      <c r="H624" t="s">
        <v>1159</v>
      </c>
      <c r="I624">
        <v>51956001</v>
      </c>
      <c r="J624" t="s">
        <v>1485</v>
      </c>
      <c r="K624" t="s">
        <v>1507</v>
      </c>
      <c r="L624">
        <v>248</v>
      </c>
      <c r="M624">
        <v>124.46</v>
      </c>
      <c r="N624">
        <v>0</v>
      </c>
      <c r="O624">
        <v>372.46</v>
      </c>
      <c r="P624" t="s">
        <v>1487</v>
      </c>
      <c r="Q624" t="s">
        <v>1081</v>
      </c>
      <c r="R624" t="s">
        <v>1199</v>
      </c>
      <c r="S624" t="s">
        <v>947</v>
      </c>
      <c r="T624" t="s">
        <v>1082</v>
      </c>
      <c r="U624" t="s">
        <v>1488</v>
      </c>
      <c r="V624" t="s">
        <v>1165</v>
      </c>
      <c r="W624">
        <v>1</v>
      </c>
      <c r="X624">
        <v>372.46</v>
      </c>
      <c r="Y624" t="s">
        <v>1166</v>
      </c>
      <c r="Z624" t="s">
        <v>1193</v>
      </c>
      <c r="AA624" t="s">
        <v>1489</v>
      </c>
    </row>
    <row r="625" spans="1:27" x14ac:dyDescent="0.3">
      <c r="A625" t="s">
        <v>1660</v>
      </c>
      <c r="B625" t="s">
        <v>1629</v>
      </c>
      <c r="C625" t="s">
        <v>974</v>
      </c>
      <c r="D625" t="s">
        <v>1373</v>
      </c>
      <c r="E625" t="s">
        <v>603</v>
      </c>
      <c r="F625">
        <v>46203</v>
      </c>
      <c r="G625" t="s">
        <v>496</v>
      </c>
      <c r="H625" t="s">
        <v>1159</v>
      </c>
      <c r="I625">
        <v>51956001</v>
      </c>
      <c r="J625" t="s">
        <v>1485</v>
      </c>
      <c r="K625" t="s">
        <v>1509</v>
      </c>
      <c r="L625">
        <v>30.09</v>
      </c>
      <c r="M625">
        <v>0</v>
      </c>
      <c r="N625">
        <v>0</v>
      </c>
      <c r="O625">
        <v>30.09</v>
      </c>
      <c r="P625" t="s">
        <v>1487</v>
      </c>
      <c r="Q625" t="s">
        <v>1081</v>
      </c>
      <c r="R625" t="s">
        <v>1199</v>
      </c>
      <c r="S625" t="s">
        <v>947</v>
      </c>
      <c r="T625" t="s">
        <v>1082</v>
      </c>
      <c r="U625" t="s">
        <v>1488</v>
      </c>
      <c r="V625" t="s">
        <v>1165</v>
      </c>
      <c r="W625">
        <v>1</v>
      </c>
      <c r="X625">
        <v>30.09</v>
      </c>
      <c r="Y625" t="s">
        <v>1166</v>
      </c>
      <c r="Z625" t="s">
        <v>1193</v>
      </c>
      <c r="AA625" t="s">
        <v>1489</v>
      </c>
    </row>
    <row r="626" spans="1:27" x14ac:dyDescent="0.3">
      <c r="A626" t="s">
        <v>1660</v>
      </c>
      <c r="B626" t="s">
        <v>1534</v>
      </c>
      <c r="C626" t="s">
        <v>974</v>
      </c>
      <c r="D626" t="s">
        <v>1373</v>
      </c>
      <c r="E626" t="s">
        <v>603</v>
      </c>
      <c r="F626">
        <v>46203</v>
      </c>
      <c r="G626" t="s">
        <v>496</v>
      </c>
      <c r="H626" t="s">
        <v>1159</v>
      </c>
      <c r="I626">
        <v>51956001</v>
      </c>
      <c r="J626" t="s">
        <v>1485</v>
      </c>
      <c r="K626" t="s">
        <v>1511</v>
      </c>
      <c r="L626">
        <v>182.88</v>
      </c>
      <c r="M626">
        <v>0</v>
      </c>
      <c r="N626">
        <v>0</v>
      </c>
      <c r="O626">
        <v>182.88</v>
      </c>
      <c r="P626" t="s">
        <v>1487</v>
      </c>
      <c r="Q626" t="s">
        <v>1081</v>
      </c>
      <c r="R626" t="s">
        <v>1199</v>
      </c>
      <c r="S626" t="s">
        <v>947</v>
      </c>
      <c r="T626" t="s">
        <v>1082</v>
      </c>
      <c r="U626" t="s">
        <v>1488</v>
      </c>
      <c r="V626" t="s">
        <v>1165</v>
      </c>
      <c r="W626">
        <v>1</v>
      </c>
      <c r="X626">
        <v>182.88</v>
      </c>
      <c r="Y626" t="s">
        <v>1166</v>
      </c>
      <c r="Z626" t="s">
        <v>1193</v>
      </c>
      <c r="AA626" t="s">
        <v>1489</v>
      </c>
    </row>
    <row r="627" spans="1:27" x14ac:dyDescent="0.3">
      <c r="A627" t="s">
        <v>1660</v>
      </c>
      <c r="B627" t="s">
        <v>1630</v>
      </c>
      <c r="C627" t="s">
        <v>974</v>
      </c>
      <c r="D627" t="s">
        <v>1373</v>
      </c>
      <c r="E627" t="s">
        <v>603</v>
      </c>
      <c r="F627">
        <v>46203</v>
      </c>
      <c r="G627" t="s">
        <v>496</v>
      </c>
      <c r="H627" t="s">
        <v>1159</v>
      </c>
      <c r="I627">
        <v>51956001</v>
      </c>
      <c r="J627" t="s">
        <v>1485</v>
      </c>
      <c r="K627" t="s">
        <v>1513</v>
      </c>
      <c r="L627">
        <v>7.03</v>
      </c>
      <c r="M627">
        <v>0</v>
      </c>
      <c r="N627">
        <v>0</v>
      </c>
      <c r="O627">
        <v>7.03</v>
      </c>
      <c r="P627" t="s">
        <v>1487</v>
      </c>
      <c r="Q627" t="s">
        <v>1081</v>
      </c>
      <c r="R627" t="s">
        <v>1199</v>
      </c>
      <c r="S627" t="s">
        <v>947</v>
      </c>
      <c r="T627" t="s">
        <v>1082</v>
      </c>
      <c r="U627" t="s">
        <v>1488</v>
      </c>
      <c r="V627" t="s">
        <v>1165</v>
      </c>
      <c r="W627">
        <v>1</v>
      </c>
      <c r="X627">
        <v>7.03</v>
      </c>
      <c r="Y627" t="s">
        <v>1166</v>
      </c>
      <c r="Z627" t="s">
        <v>1193</v>
      </c>
      <c r="AA627" t="s">
        <v>1489</v>
      </c>
    </row>
    <row r="628" spans="1:27" x14ac:dyDescent="0.3">
      <c r="A628" t="s">
        <v>1660</v>
      </c>
      <c r="B628" t="s">
        <v>1536</v>
      </c>
      <c r="C628" t="s">
        <v>974</v>
      </c>
      <c r="D628" t="s">
        <v>1373</v>
      </c>
      <c r="E628" t="s">
        <v>603</v>
      </c>
      <c r="F628">
        <v>46203</v>
      </c>
      <c r="G628" t="s">
        <v>496</v>
      </c>
      <c r="H628" t="s">
        <v>1159</v>
      </c>
      <c r="I628">
        <v>51956001</v>
      </c>
      <c r="J628" t="s">
        <v>1485</v>
      </c>
      <c r="K628" t="s">
        <v>1515</v>
      </c>
      <c r="L628">
        <v>127.26</v>
      </c>
      <c r="M628">
        <v>171.99</v>
      </c>
      <c r="N628">
        <v>0</v>
      </c>
      <c r="O628">
        <v>299.25</v>
      </c>
      <c r="P628" t="s">
        <v>1487</v>
      </c>
      <c r="Q628" t="s">
        <v>1081</v>
      </c>
      <c r="R628" t="s">
        <v>1199</v>
      </c>
      <c r="S628" t="s">
        <v>947</v>
      </c>
      <c r="T628" t="s">
        <v>1082</v>
      </c>
      <c r="U628" t="s">
        <v>1488</v>
      </c>
      <c r="V628" t="s">
        <v>1165</v>
      </c>
      <c r="W628">
        <v>1</v>
      </c>
      <c r="X628">
        <v>299.25</v>
      </c>
      <c r="Y628" t="s">
        <v>1166</v>
      </c>
      <c r="Z628" t="s">
        <v>1193</v>
      </c>
      <c r="AA628" t="s">
        <v>1489</v>
      </c>
    </row>
    <row r="629" spans="1:27" x14ac:dyDescent="0.3">
      <c r="A629" t="s">
        <v>1660</v>
      </c>
      <c r="B629" t="s">
        <v>1631</v>
      </c>
      <c r="C629" t="s">
        <v>974</v>
      </c>
      <c r="D629" t="s">
        <v>1373</v>
      </c>
      <c r="E629" t="s">
        <v>603</v>
      </c>
      <c r="F629">
        <v>46203</v>
      </c>
      <c r="G629" t="s">
        <v>496</v>
      </c>
      <c r="H629" t="s">
        <v>1159</v>
      </c>
      <c r="I629">
        <v>51956001</v>
      </c>
      <c r="J629" t="s">
        <v>1485</v>
      </c>
      <c r="K629" t="s">
        <v>1517</v>
      </c>
      <c r="L629">
        <v>27.93</v>
      </c>
      <c r="M629">
        <v>0</v>
      </c>
      <c r="N629">
        <v>0</v>
      </c>
      <c r="O629">
        <v>27.93</v>
      </c>
      <c r="P629" t="s">
        <v>1487</v>
      </c>
      <c r="Q629" t="s">
        <v>1081</v>
      </c>
      <c r="R629" t="s">
        <v>1199</v>
      </c>
      <c r="S629" t="s">
        <v>947</v>
      </c>
      <c r="T629" t="s">
        <v>1082</v>
      </c>
      <c r="U629" t="s">
        <v>1488</v>
      </c>
      <c r="V629" t="s">
        <v>1165</v>
      </c>
      <c r="W629">
        <v>1</v>
      </c>
      <c r="X629">
        <v>27.93</v>
      </c>
      <c r="Y629" t="s">
        <v>1166</v>
      </c>
      <c r="Z629" t="s">
        <v>1193</v>
      </c>
      <c r="AA629" t="s">
        <v>1489</v>
      </c>
    </row>
    <row r="630" spans="1:27" x14ac:dyDescent="0.3">
      <c r="A630" t="s">
        <v>1660</v>
      </c>
      <c r="B630" t="s">
        <v>1632</v>
      </c>
      <c r="C630" t="s">
        <v>974</v>
      </c>
      <c r="D630" t="s">
        <v>1373</v>
      </c>
      <c r="E630" t="s">
        <v>603</v>
      </c>
      <c r="F630">
        <v>46203</v>
      </c>
      <c r="G630" t="s">
        <v>496</v>
      </c>
      <c r="H630" t="s">
        <v>1159</v>
      </c>
      <c r="I630">
        <v>51956001</v>
      </c>
      <c r="J630" t="s">
        <v>1485</v>
      </c>
      <c r="K630" t="s">
        <v>1519</v>
      </c>
      <c r="L630">
        <v>72.540000000000006</v>
      </c>
      <c r="M630">
        <v>0</v>
      </c>
      <c r="N630">
        <v>0</v>
      </c>
      <c r="O630">
        <v>72.540000000000006</v>
      </c>
      <c r="P630" t="s">
        <v>1487</v>
      </c>
      <c r="Q630" t="s">
        <v>1081</v>
      </c>
      <c r="R630" t="s">
        <v>1199</v>
      </c>
      <c r="S630" t="s">
        <v>947</v>
      </c>
      <c r="T630" t="s">
        <v>1082</v>
      </c>
      <c r="U630" t="s">
        <v>1488</v>
      </c>
      <c r="V630" t="s">
        <v>1165</v>
      </c>
      <c r="W630">
        <v>1</v>
      </c>
      <c r="X630">
        <v>72.540000000000006</v>
      </c>
      <c r="Y630" t="s">
        <v>1166</v>
      </c>
      <c r="Z630" t="s">
        <v>1193</v>
      </c>
      <c r="AA630" t="s">
        <v>1489</v>
      </c>
    </row>
    <row r="631" spans="1:27" x14ac:dyDescent="0.3">
      <c r="A631" t="s">
        <v>1660</v>
      </c>
      <c r="B631" t="s">
        <v>1634</v>
      </c>
      <c r="C631" t="s">
        <v>974</v>
      </c>
      <c r="D631" t="s">
        <v>1373</v>
      </c>
      <c r="E631" t="s">
        <v>603</v>
      </c>
      <c r="F631">
        <v>46203</v>
      </c>
      <c r="G631" t="s">
        <v>496</v>
      </c>
      <c r="H631" t="s">
        <v>1159</v>
      </c>
      <c r="I631">
        <v>51956001</v>
      </c>
      <c r="J631" t="s">
        <v>1485</v>
      </c>
      <c r="K631" t="s">
        <v>1636</v>
      </c>
      <c r="L631">
        <v>236.25</v>
      </c>
      <c r="M631">
        <v>240.29</v>
      </c>
      <c r="N631">
        <v>0</v>
      </c>
      <c r="O631">
        <v>476.54</v>
      </c>
      <c r="P631" t="s">
        <v>1487</v>
      </c>
      <c r="Q631" t="s">
        <v>1081</v>
      </c>
      <c r="R631" t="s">
        <v>1199</v>
      </c>
      <c r="S631" t="s">
        <v>947</v>
      </c>
      <c r="T631" t="s">
        <v>1082</v>
      </c>
      <c r="U631" t="s">
        <v>1488</v>
      </c>
      <c r="V631" t="s">
        <v>1165</v>
      </c>
      <c r="W631">
        <v>1</v>
      </c>
      <c r="X631">
        <v>476.54</v>
      </c>
      <c r="Y631" t="s">
        <v>1166</v>
      </c>
      <c r="Z631" t="s">
        <v>1193</v>
      </c>
      <c r="AA631" t="s">
        <v>1489</v>
      </c>
    </row>
    <row r="632" spans="1:27" x14ac:dyDescent="0.3">
      <c r="A632" t="s">
        <v>1660</v>
      </c>
      <c r="B632" t="s">
        <v>1540</v>
      </c>
      <c r="C632" t="s">
        <v>974</v>
      </c>
      <c r="D632" t="s">
        <v>1373</v>
      </c>
      <c r="E632" t="s">
        <v>603</v>
      </c>
      <c r="F632">
        <v>46203</v>
      </c>
      <c r="G632" t="s">
        <v>496</v>
      </c>
      <c r="H632" t="s">
        <v>1159</v>
      </c>
      <c r="I632">
        <v>51956001</v>
      </c>
      <c r="J632" t="s">
        <v>1485</v>
      </c>
      <c r="K632" t="s">
        <v>1637</v>
      </c>
      <c r="L632">
        <v>259.2</v>
      </c>
      <c r="M632">
        <v>0</v>
      </c>
      <c r="N632">
        <v>0</v>
      </c>
      <c r="O632">
        <v>259.2</v>
      </c>
      <c r="P632" t="s">
        <v>1487</v>
      </c>
      <c r="Q632" t="s">
        <v>1081</v>
      </c>
      <c r="R632" t="s">
        <v>1199</v>
      </c>
      <c r="S632" t="s">
        <v>947</v>
      </c>
      <c r="T632" t="s">
        <v>1082</v>
      </c>
      <c r="U632" t="s">
        <v>1488</v>
      </c>
      <c r="V632" t="s">
        <v>1165</v>
      </c>
      <c r="W632">
        <v>1</v>
      </c>
      <c r="X632">
        <v>259.2</v>
      </c>
      <c r="Y632" t="s">
        <v>1166</v>
      </c>
      <c r="Z632" t="s">
        <v>1193</v>
      </c>
      <c r="AA632" t="s">
        <v>1489</v>
      </c>
    </row>
    <row r="633" spans="1:27" x14ac:dyDescent="0.3">
      <c r="A633" t="s">
        <v>1660</v>
      </c>
      <c r="B633" t="s">
        <v>1542</v>
      </c>
      <c r="C633" t="s">
        <v>974</v>
      </c>
      <c r="D633" t="s">
        <v>1373</v>
      </c>
      <c r="E633" t="s">
        <v>603</v>
      </c>
      <c r="F633">
        <v>46203</v>
      </c>
      <c r="G633" t="s">
        <v>496</v>
      </c>
      <c r="H633" t="s">
        <v>1159</v>
      </c>
      <c r="I633">
        <v>51956001</v>
      </c>
      <c r="J633" t="s">
        <v>1485</v>
      </c>
      <c r="K633" t="s">
        <v>1638</v>
      </c>
      <c r="L633">
        <v>0</v>
      </c>
      <c r="M633">
        <v>237.15</v>
      </c>
      <c r="N633">
        <v>0</v>
      </c>
      <c r="O633">
        <v>237.15</v>
      </c>
      <c r="P633" t="s">
        <v>1487</v>
      </c>
      <c r="Q633" t="s">
        <v>1081</v>
      </c>
      <c r="R633" t="s">
        <v>1199</v>
      </c>
      <c r="S633" t="s">
        <v>947</v>
      </c>
      <c r="T633" t="s">
        <v>1082</v>
      </c>
      <c r="U633" t="s">
        <v>1488</v>
      </c>
      <c r="V633" t="s">
        <v>1165</v>
      </c>
      <c r="W633">
        <v>1</v>
      </c>
      <c r="X633">
        <v>237.15</v>
      </c>
      <c r="Y633" t="s">
        <v>1166</v>
      </c>
      <c r="Z633" t="s">
        <v>1193</v>
      </c>
      <c r="AA633" t="s">
        <v>1489</v>
      </c>
    </row>
    <row r="634" spans="1:27" x14ac:dyDescent="0.3">
      <c r="A634" t="s">
        <v>1660</v>
      </c>
      <c r="B634" t="s">
        <v>1543</v>
      </c>
      <c r="C634" t="s">
        <v>974</v>
      </c>
      <c r="D634" t="s">
        <v>1373</v>
      </c>
      <c r="E634" t="s">
        <v>603</v>
      </c>
      <c r="F634">
        <v>46203</v>
      </c>
      <c r="G634" t="s">
        <v>496</v>
      </c>
      <c r="H634" t="s">
        <v>1159</v>
      </c>
      <c r="I634">
        <v>51956501</v>
      </c>
      <c r="J634" t="s">
        <v>1521</v>
      </c>
      <c r="K634" t="s">
        <v>1522</v>
      </c>
      <c r="L634">
        <v>10</v>
      </c>
      <c r="M634">
        <v>0</v>
      </c>
      <c r="N634">
        <v>0</v>
      </c>
      <c r="O634">
        <v>10</v>
      </c>
      <c r="P634" t="s">
        <v>1523</v>
      </c>
      <c r="Q634" t="s">
        <v>1083</v>
      </c>
      <c r="R634" t="s">
        <v>1199</v>
      </c>
      <c r="S634" t="s">
        <v>947</v>
      </c>
      <c r="T634" t="s">
        <v>1084</v>
      </c>
      <c r="U634" t="s">
        <v>1524</v>
      </c>
      <c r="V634" t="s">
        <v>1165</v>
      </c>
      <c r="W634">
        <v>1</v>
      </c>
      <c r="X634">
        <v>10</v>
      </c>
      <c r="Y634" t="s">
        <v>1166</v>
      </c>
      <c r="Z634" t="s">
        <v>1167</v>
      </c>
      <c r="AA634" t="s">
        <v>1524</v>
      </c>
    </row>
    <row r="635" spans="1:27" x14ac:dyDescent="0.3">
      <c r="A635" t="s">
        <v>1660</v>
      </c>
      <c r="B635" t="s">
        <v>1549</v>
      </c>
      <c r="C635" t="s">
        <v>974</v>
      </c>
      <c r="D635" t="s">
        <v>1373</v>
      </c>
      <c r="E635" t="s">
        <v>603</v>
      </c>
      <c r="F635">
        <v>46203</v>
      </c>
      <c r="G635" t="s">
        <v>496</v>
      </c>
      <c r="H635" t="s">
        <v>1159</v>
      </c>
      <c r="I635">
        <v>51956501</v>
      </c>
      <c r="J635" t="s">
        <v>1521</v>
      </c>
      <c r="K635" t="s">
        <v>1526</v>
      </c>
      <c r="L635">
        <v>12.75</v>
      </c>
      <c r="M635">
        <v>0</v>
      </c>
      <c r="N635">
        <v>0</v>
      </c>
      <c r="O635">
        <v>12.75</v>
      </c>
      <c r="P635" t="s">
        <v>1523</v>
      </c>
      <c r="Q635" t="s">
        <v>1083</v>
      </c>
      <c r="R635" t="s">
        <v>1199</v>
      </c>
      <c r="S635" t="s">
        <v>947</v>
      </c>
      <c r="T635" t="s">
        <v>1084</v>
      </c>
      <c r="U635" t="s">
        <v>1524</v>
      </c>
      <c r="V635" t="s">
        <v>1165</v>
      </c>
      <c r="W635">
        <v>1</v>
      </c>
      <c r="X635">
        <v>12.75</v>
      </c>
      <c r="Y635" t="s">
        <v>1166</v>
      </c>
      <c r="Z635" t="s">
        <v>1167</v>
      </c>
      <c r="AA635" t="s">
        <v>1524</v>
      </c>
    </row>
    <row r="636" spans="1:27" x14ac:dyDescent="0.3">
      <c r="A636" t="s">
        <v>1660</v>
      </c>
      <c r="B636" t="s">
        <v>1550</v>
      </c>
      <c r="C636" t="s">
        <v>974</v>
      </c>
      <c r="D636" t="s">
        <v>1373</v>
      </c>
      <c r="E636" t="s">
        <v>603</v>
      </c>
      <c r="F636">
        <v>46203</v>
      </c>
      <c r="G636" t="s">
        <v>496</v>
      </c>
      <c r="H636" t="s">
        <v>1159</v>
      </c>
      <c r="I636">
        <v>51956501</v>
      </c>
      <c r="J636" t="s">
        <v>1521</v>
      </c>
      <c r="K636" t="s">
        <v>1642</v>
      </c>
      <c r="L636">
        <v>0</v>
      </c>
      <c r="M636">
        <v>35</v>
      </c>
      <c r="N636">
        <v>0</v>
      </c>
      <c r="O636">
        <v>35</v>
      </c>
      <c r="P636" t="s">
        <v>1523</v>
      </c>
      <c r="Q636" t="s">
        <v>1083</v>
      </c>
      <c r="R636" t="s">
        <v>1199</v>
      </c>
      <c r="S636" t="s">
        <v>947</v>
      </c>
      <c r="T636" t="s">
        <v>1084</v>
      </c>
      <c r="U636" t="s">
        <v>1524</v>
      </c>
      <c r="V636" t="s">
        <v>1165</v>
      </c>
      <c r="W636">
        <v>1</v>
      </c>
      <c r="X636">
        <v>35</v>
      </c>
      <c r="Y636" t="s">
        <v>1166</v>
      </c>
      <c r="Z636" t="s">
        <v>1167</v>
      </c>
      <c r="AA636" t="s">
        <v>1524</v>
      </c>
    </row>
    <row r="637" spans="1:27" x14ac:dyDescent="0.3">
      <c r="A637" t="s">
        <v>1660</v>
      </c>
      <c r="B637" t="s">
        <v>1641</v>
      </c>
      <c r="C637" t="s">
        <v>974</v>
      </c>
      <c r="D637" t="s">
        <v>1373</v>
      </c>
      <c r="E637" t="s">
        <v>603</v>
      </c>
      <c r="F637">
        <v>46203</v>
      </c>
      <c r="G637" t="s">
        <v>496</v>
      </c>
      <c r="H637" t="s">
        <v>1159</v>
      </c>
      <c r="I637">
        <v>52100502</v>
      </c>
      <c r="J637" t="s">
        <v>1528</v>
      </c>
      <c r="K637" t="s">
        <v>1529</v>
      </c>
      <c r="L637">
        <v>2333.33</v>
      </c>
      <c r="M637">
        <v>0</v>
      </c>
      <c r="N637">
        <v>0</v>
      </c>
      <c r="O637">
        <v>2333.33</v>
      </c>
      <c r="P637" t="s">
        <v>1530</v>
      </c>
      <c r="Q637" t="s">
        <v>1062</v>
      </c>
      <c r="R637" t="s">
        <v>1199</v>
      </c>
      <c r="S637" t="s">
        <v>947</v>
      </c>
      <c r="T637" t="s">
        <v>1063</v>
      </c>
      <c r="U637" t="s">
        <v>1531</v>
      </c>
      <c r="V637" t="s">
        <v>1165</v>
      </c>
      <c r="W637">
        <v>1</v>
      </c>
      <c r="X637">
        <v>2333.33</v>
      </c>
      <c r="Y637" t="s">
        <v>1166</v>
      </c>
      <c r="Z637" t="s">
        <v>1167</v>
      </c>
      <c r="AA637" t="s">
        <v>1532</v>
      </c>
    </row>
    <row r="638" spans="1:27" x14ac:dyDescent="0.3">
      <c r="A638" t="s">
        <v>1660</v>
      </c>
      <c r="B638" t="s">
        <v>1661</v>
      </c>
      <c r="C638" t="s">
        <v>974</v>
      </c>
      <c r="D638" t="s">
        <v>1373</v>
      </c>
      <c r="E638" t="s">
        <v>603</v>
      </c>
      <c r="F638">
        <v>46203</v>
      </c>
      <c r="G638" t="s">
        <v>496</v>
      </c>
      <c r="H638" t="s">
        <v>1159</v>
      </c>
      <c r="I638">
        <v>52100503</v>
      </c>
      <c r="J638" t="s">
        <v>1528</v>
      </c>
      <c r="K638" t="s">
        <v>1529</v>
      </c>
      <c r="L638">
        <v>2557.46</v>
      </c>
      <c r="M638">
        <v>0</v>
      </c>
      <c r="N638">
        <v>0</v>
      </c>
      <c r="O638">
        <v>2557.46</v>
      </c>
      <c r="P638" t="s">
        <v>1530</v>
      </c>
      <c r="Q638" t="s">
        <v>1062</v>
      </c>
      <c r="R638" t="s">
        <v>1199</v>
      </c>
      <c r="S638" t="s">
        <v>947</v>
      </c>
      <c r="T638" t="s">
        <v>1063</v>
      </c>
      <c r="U638" t="s">
        <v>1531</v>
      </c>
      <c r="V638" t="s">
        <v>1165</v>
      </c>
      <c r="W638">
        <v>1</v>
      </c>
      <c r="X638">
        <v>2557.46</v>
      </c>
      <c r="Y638" t="s">
        <v>1166</v>
      </c>
      <c r="Z638" t="s">
        <v>1167</v>
      </c>
      <c r="AA638" t="s">
        <v>1532</v>
      </c>
    </row>
    <row r="639" spans="1:27" x14ac:dyDescent="0.3">
      <c r="A639" t="s">
        <v>1660</v>
      </c>
      <c r="B639" t="s">
        <v>1662</v>
      </c>
      <c r="C639" t="s">
        <v>974</v>
      </c>
      <c r="D639" t="s">
        <v>1373</v>
      </c>
      <c r="E639" t="s">
        <v>603</v>
      </c>
      <c r="F639">
        <v>46203</v>
      </c>
      <c r="G639" t="s">
        <v>496</v>
      </c>
      <c r="H639" t="s">
        <v>1159</v>
      </c>
      <c r="I639">
        <v>52100503</v>
      </c>
      <c r="J639" t="s">
        <v>1528</v>
      </c>
      <c r="K639" t="s">
        <v>1529</v>
      </c>
      <c r="L639">
        <v>3166.67</v>
      </c>
      <c r="M639">
        <v>2500</v>
      </c>
      <c r="N639">
        <v>0</v>
      </c>
      <c r="O639">
        <v>5666.67</v>
      </c>
      <c r="P639" t="s">
        <v>1530</v>
      </c>
      <c r="Q639" t="s">
        <v>1062</v>
      </c>
      <c r="R639" t="s">
        <v>1199</v>
      </c>
      <c r="S639" t="s">
        <v>947</v>
      </c>
      <c r="T639" t="s">
        <v>1063</v>
      </c>
      <c r="U639" t="s">
        <v>1531</v>
      </c>
      <c r="V639" t="s">
        <v>1165</v>
      </c>
      <c r="W639">
        <v>1</v>
      </c>
      <c r="X639">
        <v>5666.67</v>
      </c>
      <c r="Y639" t="s">
        <v>1166</v>
      </c>
      <c r="Z639" t="s">
        <v>1167</v>
      </c>
      <c r="AA639" t="s">
        <v>1532</v>
      </c>
    </row>
    <row r="640" spans="1:27" x14ac:dyDescent="0.3">
      <c r="A640" t="s">
        <v>1660</v>
      </c>
      <c r="B640" t="s">
        <v>1644</v>
      </c>
      <c r="C640" t="s">
        <v>974</v>
      </c>
      <c r="D640" t="s">
        <v>1373</v>
      </c>
      <c r="E640" t="s">
        <v>603</v>
      </c>
      <c r="F640">
        <v>46203</v>
      </c>
      <c r="G640" t="s">
        <v>496</v>
      </c>
      <c r="H640" t="s">
        <v>1159</v>
      </c>
      <c r="I640">
        <v>52356001</v>
      </c>
      <c r="J640" t="s">
        <v>1338</v>
      </c>
      <c r="K640" t="s">
        <v>1535</v>
      </c>
      <c r="L640">
        <v>400</v>
      </c>
      <c r="M640">
        <v>0</v>
      </c>
      <c r="N640">
        <v>0</v>
      </c>
      <c r="O640">
        <v>400</v>
      </c>
      <c r="P640" t="s">
        <v>1339</v>
      </c>
      <c r="Q640" t="s">
        <v>1097</v>
      </c>
      <c r="R640" t="s">
        <v>1199</v>
      </c>
      <c r="S640" t="s">
        <v>948</v>
      </c>
      <c r="T640" t="s">
        <v>1098</v>
      </c>
      <c r="U640" t="s">
        <v>1340</v>
      </c>
      <c r="V640" t="s">
        <v>1165</v>
      </c>
      <c r="W640">
        <v>1</v>
      </c>
      <c r="X640">
        <v>400</v>
      </c>
      <c r="Y640" t="s">
        <v>1166</v>
      </c>
      <c r="Z640" t="s">
        <v>1167</v>
      </c>
      <c r="AA640" t="s">
        <v>1341</v>
      </c>
    </row>
    <row r="641" spans="1:27" x14ac:dyDescent="0.3">
      <c r="A641" t="s">
        <v>1660</v>
      </c>
      <c r="B641" t="s">
        <v>1663</v>
      </c>
      <c r="C641" t="s">
        <v>974</v>
      </c>
      <c r="D641" t="s">
        <v>1373</v>
      </c>
      <c r="E641" t="s">
        <v>603</v>
      </c>
      <c r="F641">
        <v>46203</v>
      </c>
      <c r="G641" t="s">
        <v>496</v>
      </c>
      <c r="H641" t="s">
        <v>1159</v>
      </c>
      <c r="I641">
        <v>52359502</v>
      </c>
      <c r="J641" t="s">
        <v>1232</v>
      </c>
      <c r="K641" t="s">
        <v>1648</v>
      </c>
      <c r="L641">
        <v>3500</v>
      </c>
      <c r="M641">
        <v>0</v>
      </c>
      <c r="N641">
        <v>0</v>
      </c>
      <c r="O641">
        <v>3500</v>
      </c>
      <c r="P641" t="s">
        <v>1538</v>
      </c>
      <c r="Q641" t="s">
        <v>1099</v>
      </c>
      <c r="R641" t="s">
        <v>1199</v>
      </c>
      <c r="S641" t="s">
        <v>948</v>
      </c>
      <c r="T641" t="s">
        <v>1100</v>
      </c>
      <c r="U641" t="s">
        <v>576</v>
      </c>
      <c r="V641" t="s">
        <v>1165</v>
      </c>
      <c r="W641">
        <v>1</v>
      </c>
      <c r="X641">
        <v>3500</v>
      </c>
      <c r="Y641" t="s">
        <v>1192</v>
      </c>
      <c r="Z641" t="s">
        <v>1193</v>
      </c>
      <c r="AA641" t="s">
        <v>1539</v>
      </c>
    </row>
    <row r="642" spans="1:27" x14ac:dyDescent="0.3">
      <c r="A642" t="s">
        <v>1660</v>
      </c>
      <c r="B642" t="s">
        <v>1664</v>
      </c>
      <c r="C642" t="s">
        <v>974</v>
      </c>
      <c r="D642" t="s">
        <v>1373</v>
      </c>
      <c r="E642" t="s">
        <v>603</v>
      </c>
      <c r="F642">
        <v>46203</v>
      </c>
      <c r="G642" t="s">
        <v>496</v>
      </c>
      <c r="H642" t="s">
        <v>1159</v>
      </c>
      <c r="I642">
        <v>52359502</v>
      </c>
      <c r="J642" t="s">
        <v>1232</v>
      </c>
      <c r="K642" t="s">
        <v>1537</v>
      </c>
      <c r="L642">
        <v>648</v>
      </c>
      <c r="M642">
        <v>0</v>
      </c>
      <c r="N642">
        <v>0</v>
      </c>
      <c r="O642">
        <v>648</v>
      </c>
      <c r="P642" t="s">
        <v>1538</v>
      </c>
      <c r="Q642" t="s">
        <v>1099</v>
      </c>
      <c r="R642" t="s">
        <v>1199</v>
      </c>
      <c r="S642" t="s">
        <v>948</v>
      </c>
      <c r="T642" t="s">
        <v>1100</v>
      </c>
      <c r="U642" t="s">
        <v>576</v>
      </c>
      <c r="V642" t="s">
        <v>1165</v>
      </c>
      <c r="W642">
        <v>1</v>
      </c>
      <c r="X642">
        <v>648</v>
      </c>
      <c r="Y642" t="s">
        <v>1192</v>
      </c>
      <c r="Z642" t="s">
        <v>1193</v>
      </c>
      <c r="AA642" t="s">
        <v>1539</v>
      </c>
    </row>
    <row r="643" spans="1:27" x14ac:dyDescent="0.3">
      <c r="A643" t="s">
        <v>1660</v>
      </c>
      <c r="B643" t="s">
        <v>1649</v>
      </c>
      <c r="C643" t="s">
        <v>974</v>
      </c>
      <c r="D643" t="s">
        <v>1373</v>
      </c>
      <c r="E643" t="s">
        <v>603</v>
      </c>
      <c r="F643">
        <v>46203</v>
      </c>
      <c r="G643" t="s">
        <v>496</v>
      </c>
      <c r="H643" t="s">
        <v>1159</v>
      </c>
      <c r="I643">
        <v>53050501</v>
      </c>
      <c r="J643" t="s">
        <v>1258</v>
      </c>
      <c r="K643" t="s">
        <v>1541</v>
      </c>
      <c r="L643">
        <v>0.34</v>
      </c>
      <c r="M643">
        <v>0</v>
      </c>
      <c r="N643">
        <v>0</v>
      </c>
      <c r="O643">
        <v>0.34</v>
      </c>
      <c r="P643" t="s">
        <v>1260</v>
      </c>
      <c r="Q643" t="s">
        <v>1123</v>
      </c>
      <c r="R643" t="s">
        <v>1199</v>
      </c>
      <c r="S643" t="s">
        <v>717</v>
      </c>
      <c r="T643" t="s">
        <v>717</v>
      </c>
      <c r="U643" t="s">
        <v>1261</v>
      </c>
      <c r="V643" t="s">
        <v>1165</v>
      </c>
      <c r="W643">
        <v>1</v>
      </c>
      <c r="X643">
        <v>0.34</v>
      </c>
      <c r="Y643" t="s">
        <v>1166</v>
      </c>
      <c r="Z643" t="s">
        <v>1167</v>
      </c>
      <c r="AA643" t="s">
        <v>1262</v>
      </c>
    </row>
    <row r="644" spans="1:27" x14ac:dyDescent="0.3">
      <c r="A644" t="s">
        <v>1660</v>
      </c>
      <c r="B644" t="s">
        <v>1665</v>
      </c>
      <c r="C644" t="s">
        <v>974</v>
      </c>
      <c r="D644" t="s">
        <v>1373</v>
      </c>
      <c r="E644" t="s">
        <v>603</v>
      </c>
      <c r="F644">
        <v>46203</v>
      </c>
      <c r="G644" t="s">
        <v>496</v>
      </c>
      <c r="H644" t="s">
        <v>1159</v>
      </c>
      <c r="I644">
        <v>53050501</v>
      </c>
      <c r="J644" t="s">
        <v>1258</v>
      </c>
      <c r="K644" t="s">
        <v>1406</v>
      </c>
      <c r="L644">
        <v>15</v>
      </c>
      <c r="M644">
        <v>0</v>
      </c>
      <c r="N644">
        <v>0</v>
      </c>
      <c r="O644">
        <v>15</v>
      </c>
      <c r="P644" t="s">
        <v>1260</v>
      </c>
      <c r="Q644" t="s">
        <v>1123</v>
      </c>
      <c r="R644" t="s">
        <v>1199</v>
      </c>
      <c r="S644" t="s">
        <v>717</v>
      </c>
      <c r="T644" t="s">
        <v>717</v>
      </c>
      <c r="U644" t="s">
        <v>1261</v>
      </c>
      <c r="V644" t="s">
        <v>1165</v>
      </c>
      <c r="W644">
        <v>1</v>
      </c>
      <c r="X644">
        <v>15</v>
      </c>
      <c r="Y644" t="s">
        <v>1166</v>
      </c>
      <c r="Z644" t="s">
        <v>1167</v>
      </c>
      <c r="AA644" t="s">
        <v>1262</v>
      </c>
    </row>
    <row r="645" spans="1:27" x14ac:dyDescent="0.3">
      <c r="A645" t="s">
        <v>1660</v>
      </c>
      <c r="B645" t="s">
        <v>1666</v>
      </c>
      <c r="C645" t="s">
        <v>974</v>
      </c>
      <c r="D645" t="s">
        <v>1373</v>
      </c>
      <c r="E645" t="s">
        <v>603</v>
      </c>
      <c r="F645">
        <v>46203</v>
      </c>
      <c r="G645" t="s">
        <v>496</v>
      </c>
      <c r="H645" t="s">
        <v>1159</v>
      </c>
      <c r="I645">
        <v>53051501</v>
      </c>
      <c r="J645" t="s">
        <v>1544</v>
      </c>
      <c r="K645" t="s">
        <v>1545</v>
      </c>
      <c r="L645">
        <v>27.1</v>
      </c>
      <c r="M645">
        <v>201.11</v>
      </c>
      <c r="N645">
        <v>0</v>
      </c>
      <c r="O645">
        <v>228.21</v>
      </c>
      <c r="P645" t="s">
        <v>1546</v>
      </c>
      <c r="Q645" t="s">
        <v>1123</v>
      </c>
      <c r="R645" t="s">
        <v>1199</v>
      </c>
      <c r="S645" t="s">
        <v>717</v>
      </c>
      <c r="T645" t="s">
        <v>717</v>
      </c>
      <c r="U645" t="s">
        <v>1547</v>
      </c>
      <c r="V645" t="s">
        <v>1165</v>
      </c>
      <c r="W645">
        <v>1</v>
      </c>
      <c r="X645">
        <v>228.21</v>
      </c>
      <c r="Y645" t="s">
        <v>1166</v>
      </c>
      <c r="Z645" t="s">
        <v>1167</v>
      </c>
      <c r="AA645" t="s">
        <v>1548</v>
      </c>
    </row>
    <row r="646" spans="1:27" x14ac:dyDescent="0.3">
      <c r="A646" t="s">
        <v>1660</v>
      </c>
      <c r="B646" t="s">
        <v>1650</v>
      </c>
      <c r="C646" t="s">
        <v>974</v>
      </c>
      <c r="D646" t="s">
        <v>1373</v>
      </c>
      <c r="E646" t="s">
        <v>603</v>
      </c>
      <c r="F646">
        <v>46203</v>
      </c>
      <c r="G646" t="s">
        <v>496</v>
      </c>
      <c r="H646" t="s">
        <v>1159</v>
      </c>
      <c r="I646">
        <v>53051501</v>
      </c>
      <c r="J646" t="s">
        <v>1544</v>
      </c>
      <c r="K646" t="s">
        <v>1382</v>
      </c>
      <c r="L646">
        <v>3.11</v>
      </c>
      <c r="M646">
        <v>0</v>
      </c>
      <c r="N646">
        <v>0</v>
      </c>
      <c r="O646">
        <v>3.11</v>
      </c>
      <c r="P646" t="s">
        <v>1546</v>
      </c>
      <c r="Q646" t="s">
        <v>1123</v>
      </c>
      <c r="R646" t="s">
        <v>1199</v>
      </c>
      <c r="S646" t="s">
        <v>717</v>
      </c>
      <c r="T646" t="s">
        <v>717</v>
      </c>
      <c r="U646" t="s">
        <v>1547</v>
      </c>
      <c r="V646" t="s">
        <v>1165</v>
      </c>
      <c r="W646">
        <v>1</v>
      </c>
      <c r="X646">
        <v>3.11</v>
      </c>
      <c r="Y646" t="s">
        <v>1166</v>
      </c>
      <c r="Z646" t="s">
        <v>1167</v>
      </c>
      <c r="AA646" t="s">
        <v>1548</v>
      </c>
    </row>
    <row r="647" spans="1:27" x14ac:dyDescent="0.3">
      <c r="A647" t="s">
        <v>1660</v>
      </c>
      <c r="B647" t="s">
        <v>1651</v>
      </c>
      <c r="C647" t="s">
        <v>974</v>
      </c>
      <c r="D647" t="s">
        <v>1373</v>
      </c>
      <c r="E647" t="s">
        <v>603</v>
      </c>
      <c r="F647">
        <v>46203</v>
      </c>
      <c r="G647" t="s">
        <v>496</v>
      </c>
      <c r="H647" t="s">
        <v>1159</v>
      </c>
      <c r="I647">
        <v>53051501</v>
      </c>
      <c r="J647" t="s">
        <v>1544</v>
      </c>
      <c r="K647" t="s">
        <v>1551</v>
      </c>
      <c r="L647">
        <v>404.75</v>
      </c>
      <c r="M647">
        <v>125.95</v>
      </c>
      <c r="N647">
        <v>0</v>
      </c>
      <c r="O647">
        <v>530.70000000000005</v>
      </c>
      <c r="P647" t="s">
        <v>1546</v>
      </c>
      <c r="Q647" t="s">
        <v>1123</v>
      </c>
      <c r="R647" t="s">
        <v>1199</v>
      </c>
      <c r="S647" t="s">
        <v>717</v>
      </c>
      <c r="T647" t="s">
        <v>717</v>
      </c>
      <c r="U647" t="s">
        <v>1547</v>
      </c>
      <c r="V647" t="s">
        <v>1165</v>
      </c>
      <c r="W647">
        <v>1</v>
      </c>
      <c r="X647">
        <v>530.70000000000005</v>
      </c>
      <c r="Y647" t="s">
        <v>1166</v>
      </c>
      <c r="Z647" t="s">
        <v>1167</v>
      </c>
      <c r="AA647" t="s">
        <v>1548</v>
      </c>
    </row>
    <row r="648" spans="1:27" x14ac:dyDescent="0.3">
      <c r="A648" t="s">
        <v>1660</v>
      </c>
      <c r="B648" t="s">
        <v>1667</v>
      </c>
      <c r="C648" t="s">
        <v>974</v>
      </c>
      <c r="D648" t="s">
        <v>1373</v>
      </c>
      <c r="E648" t="s">
        <v>603</v>
      </c>
      <c r="F648">
        <v>46203</v>
      </c>
      <c r="G648" t="s">
        <v>496</v>
      </c>
      <c r="H648" t="s">
        <v>1159</v>
      </c>
      <c r="I648">
        <v>53051501</v>
      </c>
      <c r="J648" t="s">
        <v>1544</v>
      </c>
      <c r="K648" t="s">
        <v>1406</v>
      </c>
      <c r="L648">
        <v>0.9</v>
      </c>
      <c r="M648">
        <v>0</v>
      </c>
      <c r="N648">
        <v>0</v>
      </c>
      <c r="O648">
        <v>0.9</v>
      </c>
      <c r="P648" t="s">
        <v>1546</v>
      </c>
      <c r="Q648" t="s">
        <v>1123</v>
      </c>
      <c r="R648" t="s">
        <v>1199</v>
      </c>
      <c r="S648" t="s">
        <v>717</v>
      </c>
      <c r="T648" t="s">
        <v>717</v>
      </c>
      <c r="U648" t="s">
        <v>1547</v>
      </c>
      <c r="V648" t="s">
        <v>1165</v>
      </c>
      <c r="W648">
        <v>1</v>
      </c>
      <c r="X648">
        <v>0.9</v>
      </c>
      <c r="Y648" t="s">
        <v>1166</v>
      </c>
      <c r="Z648" t="s">
        <v>1167</v>
      </c>
      <c r="AA648" t="s">
        <v>1548</v>
      </c>
    </row>
    <row r="649" spans="1:27" x14ac:dyDescent="0.3">
      <c r="A649" t="s">
        <v>1668</v>
      </c>
      <c r="B649" t="s">
        <v>1158</v>
      </c>
      <c r="C649" t="s">
        <v>976</v>
      </c>
      <c r="D649" t="s">
        <v>658</v>
      </c>
      <c r="E649" t="s">
        <v>552</v>
      </c>
      <c r="F649">
        <v>46112</v>
      </c>
      <c r="G649" t="s">
        <v>496</v>
      </c>
      <c r="H649" t="s">
        <v>1159</v>
      </c>
      <c r="I649">
        <v>11100501</v>
      </c>
      <c r="J649" t="s">
        <v>1160</v>
      </c>
      <c r="L649">
        <v>438.87</v>
      </c>
      <c r="M649">
        <v>2300</v>
      </c>
      <c r="N649">
        <v>2265.83</v>
      </c>
      <c r="O649">
        <v>473.04</v>
      </c>
      <c r="P649" t="s">
        <v>1161</v>
      </c>
      <c r="Q649" t="s">
        <v>980</v>
      </c>
      <c r="R649" t="s">
        <v>1162</v>
      </c>
      <c r="S649" t="s">
        <v>1163</v>
      </c>
      <c r="T649" t="s">
        <v>926</v>
      </c>
      <c r="U649" t="s">
        <v>1164</v>
      </c>
      <c r="V649" t="s">
        <v>1165</v>
      </c>
      <c r="W649">
        <v>1</v>
      </c>
      <c r="X649">
        <v>473.04</v>
      </c>
      <c r="Y649" t="s">
        <v>1166</v>
      </c>
      <c r="Z649" t="s">
        <v>1167</v>
      </c>
      <c r="AA649" t="s">
        <v>1168</v>
      </c>
    </row>
    <row r="650" spans="1:27" x14ac:dyDescent="0.3">
      <c r="A650" t="s">
        <v>1668</v>
      </c>
      <c r="B650" t="s">
        <v>1169</v>
      </c>
      <c r="C650" t="s">
        <v>976</v>
      </c>
      <c r="D650" t="s">
        <v>658</v>
      </c>
      <c r="E650" t="s">
        <v>552</v>
      </c>
      <c r="F650">
        <v>46112</v>
      </c>
      <c r="G650" t="s">
        <v>496</v>
      </c>
      <c r="H650" t="s">
        <v>1159</v>
      </c>
      <c r="I650">
        <v>23050102</v>
      </c>
      <c r="J650" t="s">
        <v>1170</v>
      </c>
      <c r="K650" t="s">
        <v>1171</v>
      </c>
      <c r="L650">
        <v>-92</v>
      </c>
      <c r="M650">
        <v>0</v>
      </c>
      <c r="N650">
        <v>0</v>
      </c>
      <c r="O650">
        <v>-92</v>
      </c>
      <c r="P650" t="s">
        <v>1172</v>
      </c>
      <c r="Q650" t="s">
        <v>1010</v>
      </c>
      <c r="R650" t="s">
        <v>1162</v>
      </c>
      <c r="S650" t="s">
        <v>1173</v>
      </c>
      <c r="T650" t="s">
        <v>1011</v>
      </c>
      <c r="U650" t="s">
        <v>1174</v>
      </c>
      <c r="V650" t="s">
        <v>1175</v>
      </c>
      <c r="W650">
        <v>-1</v>
      </c>
      <c r="X650">
        <v>92</v>
      </c>
      <c r="Y650" t="s">
        <v>1166</v>
      </c>
      <c r="Z650" t="s">
        <v>1167</v>
      </c>
      <c r="AA650" t="s">
        <v>1176</v>
      </c>
    </row>
    <row r="651" spans="1:27" x14ac:dyDescent="0.3">
      <c r="A651" t="s">
        <v>1668</v>
      </c>
      <c r="B651" t="s">
        <v>1177</v>
      </c>
      <c r="C651" t="s">
        <v>976</v>
      </c>
      <c r="D651" t="s">
        <v>658</v>
      </c>
      <c r="E651" t="s">
        <v>552</v>
      </c>
      <c r="F651">
        <v>46112</v>
      </c>
      <c r="G651" t="s">
        <v>496</v>
      </c>
      <c r="H651" t="s">
        <v>1159</v>
      </c>
      <c r="I651">
        <v>31050502</v>
      </c>
      <c r="J651" t="s">
        <v>1178</v>
      </c>
      <c r="K651" t="s">
        <v>1179</v>
      </c>
      <c r="L651">
        <v>-6882.83</v>
      </c>
      <c r="M651">
        <v>0</v>
      </c>
      <c r="N651">
        <v>0</v>
      </c>
      <c r="O651">
        <v>-6882.83</v>
      </c>
      <c r="P651" t="s">
        <v>1180</v>
      </c>
      <c r="Q651" t="s">
        <v>1028</v>
      </c>
      <c r="R651" t="s">
        <v>1162</v>
      </c>
      <c r="S651" t="s">
        <v>1181</v>
      </c>
      <c r="T651" t="s">
        <v>1029</v>
      </c>
      <c r="U651" t="s">
        <v>1182</v>
      </c>
      <c r="V651" t="s">
        <v>1175</v>
      </c>
      <c r="W651">
        <v>-1</v>
      </c>
      <c r="X651">
        <v>6882.83</v>
      </c>
      <c r="Y651" t="s">
        <v>1166</v>
      </c>
      <c r="Z651" t="s">
        <v>1167</v>
      </c>
      <c r="AA651" t="s">
        <v>1029</v>
      </c>
    </row>
    <row r="652" spans="1:27" x14ac:dyDescent="0.3">
      <c r="A652" t="s">
        <v>1668</v>
      </c>
      <c r="B652" t="s">
        <v>1183</v>
      </c>
      <c r="C652" t="s">
        <v>976</v>
      </c>
      <c r="D652" t="s">
        <v>658</v>
      </c>
      <c r="E652" t="s">
        <v>552</v>
      </c>
      <c r="F652">
        <v>46112</v>
      </c>
      <c r="G652" t="s">
        <v>496</v>
      </c>
      <c r="H652" t="s">
        <v>1159</v>
      </c>
      <c r="I652">
        <v>31150502</v>
      </c>
      <c r="J652" t="s">
        <v>1184</v>
      </c>
      <c r="L652">
        <v>-20486</v>
      </c>
      <c r="M652">
        <v>0</v>
      </c>
      <c r="N652">
        <v>2300</v>
      </c>
      <c r="O652">
        <v>-22786</v>
      </c>
      <c r="P652" t="s">
        <v>1185</v>
      </c>
      <c r="Q652" t="s">
        <v>1028</v>
      </c>
      <c r="R652" t="s">
        <v>1162</v>
      </c>
      <c r="S652" t="s">
        <v>1181</v>
      </c>
      <c r="T652" t="s">
        <v>1029</v>
      </c>
      <c r="U652" t="s">
        <v>1186</v>
      </c>
      <c r="V652" t="s">
        <v>1175</v>
      </c>
      <c r="W652">
        <v>-1</v>
      </c>
      <c r="X652">
        <v>22786</v>
      </c>
      <c r="Y652" t="s">
        <v>1166</v>
      </c>
      <c r="Z652" t="s">
        <v>1167</v>
      </c>
      <c r="AA652" t="s">
        <v>1187</v>
      </c>
    </row>
    <row r="653" spans="1:27" x14ac:dyDescent="0.3">
      <c r="A653" t="s">
        <v>1668</v>
      </c>
      <c r="B653" t="s">
        <v>1188</v>
      </c>
      <c r="C653" t="s">
        <v>976</v>
      </c>
      <c r="D653" t="s">
        <v>658</v>
      </c>
      <c r="E653" t="s">
        <v>552</v>
      </c>
      <c r="F653">
        <v>46112</v>
      </c>
      <c r="G653" t="s">
        <v>496</v>
      </c>
      <c r="H653" t="s">
        <v>1159</v>
      </c>
      <c r="I653">
        <v>36100102</v>
      </c>
      <c r="J653" t="s">
        <v>1189</v>
      </c>
      <c r="L653">
        <v>22674.27</v>
      </c>
      <c r="M653">
        <v>0</v>
      </c>
      <c r="N653">
        <v>0</v>
      </c>
      <c r="O653">
        <v>22674.27</v>
      </c>
      <c r="P653" t="s">
        <v>1190</v>
      </c>
      <c r="Q653" t="s">
        <v>1033</v>
      </c>
      <c r="R653" t="s">
        <v>1162</v>
      </c>
      <c r="S653" t="s">
        <v>1181</v>
      </c>
      <c r="T653" t="s">
        <v>1034</v>
      </c>
      <c r="U653" t="s">
        <v>1191</v>
      </c>
      <c r="V653" t="s">
        <v>1175</v>
      </c>
      <c r="W653">
        <v>-1</v>
      </c>
      <c r="X653">
        <v>-22674.27</v>
      </c>
      <c r="Y653" t="s">
        <v>1192</v>
      </c>
      <c r="Z653" t="s">
        <v>1193</v>
      </c>
      <c r="AA653" t="s">
        <v>1194</v>
      </c>
    </row>
    <row r="654" spans="1:27" x14ac:dyDescent="0.3">
      <c r="A654" t="s">
        <v>1668</v>
      </c>
      <c r="B654" t="s">
        <v>1195</v>
      </c>
      <c r="C654" t="s">
        <v>976</v>
      </c>
      <c r="D654" t="s">
        <v>658</v>
      </c>
      <c r="E654" t="s">
        <v>552</v>
      </c>
      <c r="F654">
        <v>46112</v>
      </c>
      <c r="G654" t="s">
        <v>496</v>
      </c>
      <c r="H654" t="s">
        <v>1159</v>
      </c>
      <c r="I654">
        <v>51050601</v>
      </c>
      <c r="J654" t="s">
        <v>1196</v>
      </c>
      <c r="K654" t="s">
        <v>1197</v>
      </c>
      <c r="L654">
        <v>2400</v>
      </c>
      <c r="M654">
        <v>1200</v>
      </c>
      <c r="N654">
        <v>0</v>
      </c>
      <c r="O654">
        <v>3600</v>
      </c>
      <c r="P654" t="s">
        <v>1198</v>
      </c>
      <c r="Q654" t="s">
        <v>1060</v>
      </c>
      <c r="R654" t="s">
        <v>1199</v>
      </c>
      <c r="S654" t="s">
        <v>947</v>
      </c>
      <c r="T654" t="s">
        <v>1061</v>
      </c>
      <c r="U654" t="s">
        <v>1200</v>
      </c>
      <c r="V654" t="s">
        <v>1165</v>
      </c>
      <c r="W654">
        <v>1</v>
      </c>
      <c r="X654">
        <v>3600</v>
      </c>
      <c r="Y654" t="s">
        <v>1166</v>
      </c>
      <c r="Z654" t="s">
        <v>1167</v>
      </c>
      <c r="AA654" t="s">
        <v>1201</v>
      </c>
    </row>
    <row r="655" spans="1:27" x14ac:dyDescent="0.3">
      <c r="A655" t="s">
        <v>1668</v>
      </c>
      <c r="B655" t="s">
        <v>1202</v>
      </c>
      <c r="C655" t="s">
        <v>976</v>
      </c>
      <c r="D655" t="s">
        <v>658</v>
      </c>
      <c r="E655" t="s">
        <v>552</v>
      </c>
      <c r="F655">
        <v>46112</v>
      </c>
      <c r="G655" t="s">
        <v>496</v>
      </c>
      <c r="H655" t="s">
        <v>1159</v>
      </c>
      <c r="I655">
        <v>51052105</v>
      </c>
      <c r="J655" t="s">
        <v>1203</v>
      </c>
      <c r="L655">
        <v>600</v>
      </c>
      <c r="M655">
        <v>300</v>
      </c>
      <c r="N655">
        <v>0</v>
      </c>
      <c r="O655">
        <v>900</v>
      </c>
      <c r="P655" t="s">
        <v>1204</v>
      </c>
      <c r="Q655" t="s">
        <v>1075</v>
      </c>
      <c r="R655" t="s">
        <v>1199</v>
      </c>
      <c r="S655" t="s">
        <v>947</v>
      </c>
      <c r="T655" t="s">
        <v>1076</v>
      </c>
      <c r="U655" t="s">
        <v>1205</v>
      </c>
      <c r="V655" t="s">
        <v>1165</v>
      </c>
      <c r="W655">
        <v>1</v>
      </c>
      <c r="X655">
        <v>900</v>
      </c>
      <c r="Y655" t="s">
        <v>1166</v>
      </c>
      <c r="Z655" t="s">
        <v>1167</v>
      </c>
      <c r="AA655" t="s">
        <v>1206</v>
      </c>
    </row>
    <row r="656" spans="1:27" x14ac:dyDescent="0.3">
      <c r="A656" t="s">
        <v>1668</v>
      </c>
      <c r="B656" t="s">
        <v>1207</v>
      </c>
      <c r="C656" t="s">
        <v>976</v>
      </c>
      <c r="D656" t="s">
        <v>658</v>
      </c>
      <c r="E656" t="s">
        <v>552</v>
      </c>
      <c r="F656">
        <v>46112</v>
      </c>
      <c r="G656" t="s">
        <v>496</v>
      </c>
      <c r="H656" t="s">
        <v>1159</v>
      </c>
      <c r="I656">
        <v>51053101</v>
      </c>
      <c r="J656" t="s">
        <v>1208</v>
      </c>
      <c r="K656" t="s">
        <v>1197</v>
      </c>
      <c r="L656">
        <v>812.37</v>
      </c>
      <c r="M656">
        <v>400</v>
      </c>
      <c r="N656">
        <v>0</v>
      </c>
      <c r="O656">
        <v>1212.3699999999999</v>
      </c>
      <c r="P656" t="s">
        <v>1209</v>
      </c>
      <c r="Q656" t="s">
        <v>1060</v>
      </c>
      <c r="R656" t="s">
        <v>1199</v>
      </c>
      <c r="S656" t="s">
        <v>947</v>
      </c>
      <c r="T656" t="s">
        <v>1061</v>
      </c>
      <c r="U656" t="s">
        <v>1210</v>
      </c>
      <c r="V656" t="s">
        <v>1165</v>
      </c>
      <c r="W656">
        <v>1</v>
      </c>
      <c r="X656">
        <v>1212.3699999999999</v>
      </c>
      <c r="Y656" t="s">
        <v>1166</v>
      </c>
      <c r="Z656" t="s">
        <v>1167</v>
      </c>
      <c r="AA656" t="s">
        <v>1211</v>
      </c>
    </row>
    <row r="657" spans="1:27" x14ac:dyDescent="0.3">
      <c r="A657" t="s">
        <v>1668</v>
      </c>
      <c r="B657" t="s">
        <v>1212</v>
      </c>
      <c r="C657" t="s">
        <v>976</v>
      </c>
      <c r="D657" t="s">
        <v>658</v>
      </c>
      <c r="E657" t="s">
        <v>552</v>
      </c>
      <c r="F657">
        <v>46112</v>
      </c>
      <c r="G657" t="s">
        <v>496</v>
      </c>
      <c r="H657" t="s">
        <v>1159</v>
      </c>
      <c r="I657">
        <v>51102501</v>
      </c>
      <c r="J657" t="s">
        <v>1213</v>
      </c>
      <c r="K657" t="s">
        <v>1214</v>
      </c>
      <c r="L657">
        <v>222.59</v>
      </c>
      <c r="M657">
        <v>47.76</v>
      </c>
      <c r="N657">
        <v>0</v>
      </c>
      <c r="O657">
        <v>270.35000000000002</v>
      </c>
      <c r="P657" t="s">
        <v>1215</v>
      </c>
      <c r="Q657" t="s">
        <v>1062</v>
      </c>
      <c r="R657" t="s">
        <v>1199</v>
      </c>
      <c r="S657" t="s">
        <v>947</v>
      </c>
      <c r="T657" t="s">
        <v>1063</v>
      </c>
      <c r="U657" t="s">
        <v>1216</v>
      </c>
      <c r="V657" t="s">
        <v>1165</v>
      </c>
      <c r="W657">
        <v>1</v>
      </c>
      <c r="X657">
        <v>270.35000000000002</v>
      </c>
      <c r="Y657" t="s">
        <v>1166</v>
      </c>
      <c r="Z657" t="s">
        <v>1167</v>
      </c>
      <c r="AA657" t="s">
        <v>1217</v>
      </c>
    </row>
    <row r="658" spans="1:27" x14ac:dyDescent="0.3">
      <c r="A658" t="s">
        <v>1668</v>
      </c>
      <c r="B658" t="s">
        <v>1218</v>
      </c>
      <c r="C658" t="s">
        <v>976</v>
      </c>
      <c r="D658" t="s">
        <v>658</v>
      </c>
      <c r="E658" t="s">
        <v>552</v>
      </c>
      <c r="F658">
        <v>46112</v>
      </c>
      <c r="G658" t="s">
        <v>496</v>
      </c>
      <c r="H658" t="s">
        <v>1159</v>
      </c>
      <c r="I658">
        <v>51150501</v>
      </c>
      <c r="J658" t="s">
        <v>1219</v>
      </c>
      <c r="K658" t="s">
        <v>1220</v>
      </c>
      <c r="L658">
        <v>240.73</v>
      </c>
      <c r="M658">
        <v>12</v>
      </c>
      <c r="N658">
        <v>0</v>
      </c>
      <c r="O658">
        <v>252.73</v>
      </c>
      <c r="P658" t="s">
        <v>1221</v>
      </c>
      <c r="Q658" t="s">
        <v>1064</v>
      </c>
      <c r="R658" t="s">
        <v>1199</v>
      </c>
      <c r="S658" t="s">
        <v>947</v>
      </c>
      <c r="T658" t="s">
        <v>1065</v>
      </c>
      <c r="U658" t="s">
        <v>1222</v>
      </c>
      <c r="V658" t="s">
        <v>1165</v>
      </c>
      <c r="W658">
        <v>1</v>
      </c>
      <c r="X658">
        <v>252.73</v>
      </c>
      <c r="Y658" t="s">
        <v>1166</v>
      </c>
      <c r="Z658" t="s">
        <v>1167</v>
      </c>
      <c r="AA658" t="s">
        <v>1223</v>
      </c>
    </row>
    <row r="659" spans="1:27" x14ac:dyDescent="0.3">
      <c r="A659" t="s">
        <v>1668</v>
      </c>
      <c r="B659" t="s">
        <v>1224</v>
      </c>
      <c r="C659" t="s">
        <v>976</v>
      </c>
      <c r="D659" t="s">
        <v>658</v>
      </c>
      <c r="E659" t="s">
        <v>552</v>
      </c>
      <c r="F659">
        <v>46112</v>
      </c>
      <c r="G659" t="s">
        <v>496</v>
      </c>
      <c r="H659" t="s">
        <v>1159</v>
      </c>
      <c r="I659">
        <v>51150502</v>
      </c>
      <c r="J659" t="s">
        <v>1219</v>
      </c>
      <c r="K659" t="s">
        <v>1220</v>
      </c>
      <c r="L659">
        <v>0</v>
      </c>
      <c r="M659">
        <v>26.55</v>
      </c>
      <c r="N659">
        <v>0</v>
      </c>
      <c r="O659">
        <v>26.55</v>
      </c>
      <c r="P659" t="s">
        <v>1221</v>
      </c>
      <c r="Q659" t="s">
        <v>1064</v>
      </c>
      <c r="R659" t="s">
        <v>1199</v>
      </c>
      <c r="S659" t="s">
        <v>947</v>
      </c>
      <c r="T659" t="s">
        <v>1065</v>
      </c>
      <c r="U659" t="s">
        <v>1222</v>
      </c>
      <c r="V659" t="s">
        <v>1165</v>
      </c>
      <c r="W659">
        <v>1</v>
      </c>
      <c r="X659">
        <v>26.55</v>
      </c>
      <c r="Y659" t="s">
        <v>1166</v>
      </c>
      <c r="Z659" t="s">
        <v>1167</v>
      </c>
      <c r="AA659" t="s">
        <v>1223</v>
      </c>
    </row>
    <row r="660" spans="1:27" x14ac:dyDescent="0.3">
      <c r="A660" t="s">
        <v>1668</v>
      </c>
      <c r="B660" t="s">
        <v>1225</v>
      </c>
      <c r="C660" t="s">
        <v>976</v>
      </c>
      <c r="D660" t="s">
        <v>658</v>
      </c>
      <c r="E660" t="s">
        <v>552</v>
      </c>
      <c r="F660">
        <v>46112</v>
      </c>
      <c r="G660" t="s">
        <v>496</v>
      </c>
      <c r="H660" t="s">
        <v>1159</v>
      </c>
      <c r="I660">
        <v>51250501</v>
      </c>
      <c r="J660" t="s">
        <v>1226</v>
      </c>
      <c r="K660" t="s">
        <v>1227</v>
      </c>
      <c r="L660">
        <v>0</v>
      </c>
      <c r="M660">
        <v>64.790000000000006</v>
      </c>
      <c r="N660">
        <v>0</v>
      </c>
      <c r="O660">
        <v>64.790000000000006</v>
      </c>
      <c r="P660" t="s">
        <v>1228</v>
      </c>
      <c r="Q660" t="s">
        <v>1064</v>
      </c>
      <c r="R660" t="s">
        <v>1199</v>
      </c>
      <c r="S660" t="s">
        <v>947</v>
      </c>
      <c r="T660" t="s">
        <v>1065</v>
      </c>
      <c r="U660" t="s">
        <v>1229</v>
      </c>
      <c r="V660" t="s">
        <v>1165</v>
      </c>
      <c r="W660">
        <v>1</v>
      </c>
      <c r="X660">
        <v>64.790000000000006</v>
      </c>
      <c r="Y660" t="s">
        <v>1166</v>
      </c>
      <c r="Z660" t="s">
        <v>1167</v>
      </c>
      <c r="AA660" t="s">
        <v>1230</v>
      </c>
    </row>
    <row r="661" spans="1:27" x14ac:dyDescent="0.3">
      <c r="A661" t="s">
        <v>1668</v>
      </c>
      <c r="B661" t="s">
        <v>1231</v>
      </c>
      <c r="C661" t="s">
        <v>976</v>
      </c>
      <c r="D661" t="s">
        <v>658</v>
      </c>
      <c r="E661" t="s">
        <v>552</v>
      </c>
      <c r="F661">
        <v>46112</v>
      </c>
      <c r="G661" t="s">
        <v>496</v>
      </c>
      <c r="H661" t="s">
        <v>1159</v>
      </c>
      <c r="I661">
        <v>51309501</v>
      </c>
      <c r="J661" t="s">
        <v>1232</v>
      </c>
      <c r="K661" t="s">
        <v>1238</v>
      </c>
      <c r="L661">
        <v>0</v>
      </c>
      <c r="M661">
        <v>70.81</v>
      </c>
      <c r="N661">
        <v>0</v>
      </c>
      <c r="O661">
        <v>70.81</v>
      </c>
      <c r="P661" t="s">
        <v>1234</v>
      </c>
      <c r="Q661" t="s">
        <v>1068</v>
      </c>
      <c r="R661" t="s">
        <v>1199</v>
      </c>
      <c r="S661" t="s">
        <v>947</v>
      </c>
      <c r="T661" t="s">
        <v>568</v>
      </c>
      <c r="U661" t="s">
        <v>1235</v>
      </c>
      <c r="V661" t="s">
        <v>1165</v>
      </c>
      <c r="W661">
        <v>1</v>
      </c>
      <c r="X661">
        <v>70.81</v>
      </c>
      <c r="Y661" t="s">
        <v>1192</v>
      </c>
      <c r="Z661" t="s">
        <v>1193</v>
      </c>
      <c r="AA661" t="s">
        <v>1236</v>
      </c>
    </row>
    <row r="662" spans="1:27" x14ac:dyDescent="0.3">
      <c r="A662" t="s">
        <v>1668</v>
      </c>
      <c r="B662" t="s">
        <v>1574</v>
      </c>
      <c r="C662" t="s">
        <v>976</v>
      </c>
      <c r="D662" t="s">
        <v>658</v>
      </c>
      <c r="E662" t="s">
        <v>552</v>
      </c>
      <c r="F662">
        <v>46112</v>
      </c>
      <c r="G662" t="s">
        <v>496</v>
      </c>
      <c r="H662" t="s">
        <v>1159</v>
      </c>
      <c r="I662">
        <v>51953001</v>
      </c>
      <c r="J662" t="s">
        <v>1246</v>
      </c>
      <c r="K662" t="s">
        <v>1247</v>
      </c>
      <c r="L662">
        <v>0</v>
      </c>
      <c r="M662">
        <v>39.61</v>
      </c>
      <c r="N662">
        <v>0</v>
      </c>
      <c r="O662">
        <v>39.61</v>
      </c>
      <c r="P662" t="s">
        <v>1248</v>
      </c>
      <c r="Q662" t="s">
        <v>1079</v>
      </c>
      <c r="R662" t="s">
        <v>1199</v>
      </c>
      <c r="S662" t="s">
        <v>947</v>
      </c>
      <c r="T662" t="s">
        <v>1080</v>
      </c>
      <c r="U662" t="s">
        <v>1249</v>
      </c>
      <c r="V662" t="s">
        <v>1165</v>
      </c>
      <c r="W662">
        <v>1</v>
      </c>
      <c r="X662">
        <v>39.61</v>
      </c>
      <c r="Y662" t="s">
        <v>1166</v>
      </c>
      <c r="Z662" t="s">
        <v>1167</v>
      </c>
      <c r="AA662" t="s">
        <v>1250</v>
      </c>
    </row>
    <row r="663" spans="1:27" x14ac:dyDescent="0.3">
      <c r="A663" t="s">
        <v>1668</v>
      </c>
      <c r="B663" t="s">
        <v>1239</v>
      </c>
      <c r="C663" t="s">
        <v>976</v>
      </c>
      <c r="D663" t="s">
        <v>658</v>
      </c>
      <c r="E663" t="s">
        <v>552</v>
      </c>
      <c r="F663">
        <v>46112</v>
      </c>
      <c r="G663" t="s">
        <v>496</v>
      </c>
      <c r="H663" t="s">
        <v>1159</v>
      </c>
      <c r="I663">
        <v>51953001</v>
      </c>
      <c r="J663" t="s">
        <v>1246</v>
      </c>
      <c r="K663" t="s">
        <v>1252</v>
      </c>
      <c r="L663">
        <v>0</v>
      </c>
      <c r="M663">
        <v>74.31</v>
      </c>
      <c r="N663">
        <v>0</v>
      </c>
      <c r="O663">
        <v>74.31</v>
      </c>
      <c r="P663" t="s">
        <v>1248</v>
      </c>
      <c r="Q663" t="s">
        <v>1079</v>
      </c>
      <c r="R663" t="s">
        <v>1199</v>
      </c>
      <c r="S663" t="s">
        <v>947</v>
      </c>
      <c r="T663" t="s">
        <v>1080</v>
      </c>
      <c r="U663" t="s">
        <v>1249</v>
      </c>
      <c r="V663" t="s">
        <v>1165</v>
      </c>
      <c r="W663">
        <v>1</v>
      </c>
      <c r="X663">
        <v>74.31</v>
      </c>
      <c r="Y663" t="s">
        <v>1166</v>
      </c>
      <c r="Z663" t="s">
        <v>1167</v>
      </c>
      <c r="AA663" t="s">
        <v>1250</v>
      </c>
    </row>
    <row r="664" spans="1:27" x14ac:dyDescent="0.3">
      <c r="A664" t="s">
        <v>1668</v>
      </c>
      <c r="B664" t="s">
        <v>1575</v>
      </c>
      <c r="C664" t="s">
        <v>976</v>
      </c>
      <c r="D664" t="s">
        <v>658</v>
      </c>
      <c r="E664" t="s">
        <v>552</v>
      </c>
      <c r="F664">
        <v>46112</v>
      </c>
      <c r="G664" t="s">
        <v>496</v>
      </c>
      <c r="H664" t="s">
        <v>1159</v>
      </c>
      <c r="I664">
        <v>51953001</v>
      </c>
      <c r="J664" t="s">
        <v>1246</v>
      </c>
      <c r="K664" t="s">
        <v>1254</v>
      </c>
      <c r="L664">
        <v>15</v>
      </c>
      <c r="M664">
        <v>0</v>
      </c>
      <c r="N664">
        <v>0</v>
      </c>
      <c r="O664">
        <v>15</v>
      </c>
      <c r="P664" t="s">
        <v>1248</v>
      </c>
      <c r="Q664" t="s">
        <v>1079</v>
      </c>
      <c r="R664" t="s">
        <v>1199</v>
      </c>
      <c r="S664" t="s">
        <v>947</v>
      </c>
      <c r="T664" t="s">
        <v>1080</v>
      </c>
      <c r="U664" t="s">
        <v>1249</v>
      </c>
      <c r="V664" t="s">
        <v>1165</v>
      </c>
      <c r="W664">
        <v>1</v>
      </c>
      <c r="X664">
        <v>15</v>
      </c>
      <c r="Y664" t="s">
        <v>1166</v>
      </c>
      <c r="Z664" t="s">
        <v>1167</v>
      </c>
      <c r="AA664" t="s">
        <v>1250</v>
      </c>
    </row>
    <row r="665" spans="1:27" x14ac:dyDescent="0.3">
      <c r="A665" t="s">
        <v>1668</v>
      </c>
      <c r="B665" t="s">
        <v>1327</v>
      </c>
      <c r="C665" t="s">
        <v>976</v>
      </c>
      <c r="D665" t="s">
        <v>658</v>
      </c>
      <c r="E665" t="s">
        <v>552</v>
      </c>
      <c r="F665">
        <v>46112</v>
      </c>
      <c r="G665" t="s">
        <v>496</v>
      </c>
      <c r="H665" t="s">
        <v>1159</v>
      </c>
      <c r="I665">
        <v>51953001</v>
      </c>
      <c r="J665" t="s">
        <v>1246</v>
      </c>
      <c r="K665" t="s">
        <v>1256</v>
      </c>
      <c r="L665">
        <v>7</v>
      </c>
      <c r="M665">
        <v>0</v>
      </c>
      <c r="N665">
        <v>0</v>
      </c>
      <c r="O665">
        <v>7</v>
      </c>
      <c r="P665" t="s">
        <v>1248</v>
      </c>
      <c r="Q665" t="s">
        <v>1079</v>
      </c>
      <c r="R665" t="s">
        <v>1199</v>
      </c>
      <c r="S665" t="s">
        <v>947</v>
      </c>
      <c r="T665" t="s">
        <v>1080</v>
      </c>
      <c r="U665" t="s">
        <v>1249</v>
      </c>
      <c r="V665" t="s">
        <v>1165</v>
      </c>
      <c r="W665">
        <v>1</v>
      </c>
      <c r="X665">
        <v>7</v>
      </c>
      <c r="Y665" t="s">
        <v>1166</v>
      </c>
      <c r="Z665" t="s">
        <v>1167</v>
      </c>
      <c r="AA665" t="s">
        <v>1250</v>
      </c>
    </row>
    <row r="666" spans="1:27" x14ac:dyDescent="0.3">
      <c r="A666" t="s">
        <v>1668</v>
      </c>
      <c r="B666" t="s">
        <v>1255</v>
      </c>
      <c r="C666" t="s">
        <v>976</v>
      </c>
      <c r="D666" t="s">
        <v>658</v>
      </c>
      <c r="E666" t="s">
        <v>552</v>
      </c>
      <c r="F666">
        <v>46112</v>
      </c>
      <c r="G666" t="s">
        <v>496</v>
      </c>
      <c r="H666" t="s">
        <v>1159</v>
      </c>
      <c r="I666">
        <v>53050501</v>
      </c>
      <c r="J666" t="s">
        <v>1258</v>
      </c>
      <c r="K666" t="s">
        <v>1259</v>
      </c>
      <c r="L666">
        <v>50</v>
      </c>
      <c r="M666">
        <v>30</v>
      </c>
      <c r="N666">
        <v>0</v>
      </c>
      <c r="O666">
        <v>80</v>
      </c>
      <c r="P666" t="s">
        <v>1260</v>
      </c>
      <c r="Q666" t="s">
        <v>1123</v>
      </c>
      <c r="R666" t="s">
        <v>1199</v>
      </c>
      <c r="S666" t="s">
        <v>717</v>
      </c>
      <c r="T666" t="s">
        <v>717</v>
      </c>
      <c r="U666" t="s">
        <v>1261</v>
      </c>
      <c r="V666" t="s">
        <v>1165</v>
      </c>
      <c r="W666">
        <v>1</v>
      </c>
      <c r="X666">
        <v>80</v>
      </c>
      <c r="Y666" t="s">
        <v>1166</v>
      </c>
      <c r="Z666" t="s">
        <v>1167</v>
      </c>
      <c r="AA666" t="s">
        <v>1262</v>
      </c>
    </row>
    <row r="667" spans="1:27" x14ac:dyDescent="0.3">
      <c r="A667" t="s">
        <v>1669</v>
      </c>
      <c r="B667" t="s">
        <v>1264</v>
      </c>
      <c r="C667" t="s">
        <v>975</v>
      </c>
      <c r="D667" t="s">
        <v>1265</v>
      </c>
      <c r="E667" t="s">
        <v>552</v>
      </c>
      <c r="F667">
        <v>46112</v>
      </c>
      <c r="G667" t="s">
        <v>686</v>
      </c>
      <c r="H667" t="s">
        <v>1159</v>
      </c>
      <c r="I667">
        <v>11100501</v>
      </c>
      <c r="J667" t="s">
        <v>1160</v>
      </c>
      <c r="K667" t="s">
        <v>1266</v>
      </c>
      <c r="L667">
        <v>75220.98</v>
      </c>
      <c r="M667">
        <v>0</v>
      </c>
      <c r="N667">
        <v>3027.29</v>
      </c>
      <c r="O667">
        <v>72193.69</v>
      </c>
      <c r="P667" t="s">
        <v>1161</v>
      </c>
      <c r="Q667" t="s">
        <v>980</v>
      </c>
      <c r="R667" t="s">
        <v>1162</v>
      </c>
      <c r="S667" t="s">
        <v>1163</v>
      </c>
      <c r="T667" t="s">
        <v>926</v>
      </c>
      <c r="U667" t="s">
        <v>1164</v>
      </c>
      <c r="V667" t="s">
        <v>1165</v>
      </c>
      <c r="W667">
        <v>1</v>
      </c>
      <c r="X667">
        <v>72193.69</v>
      </c>
      <c r="Y667" t="s">
        <v>1166</v>
      </c>
      <c r="Z667" t="s">
        <v>1167</v>
      </c>
      <c r="AA667" t="s">
        <v>1168</v>
      </c>
    </row>
    <row r="668" spans="1:27" x14ac:dyDescent="0.3">
      <c r="A668" t="s">
        <v>1669</v>
      </c>
      <c r="B668" t="s">
        <v>1267</v>
      </c>
      <c r="C668" t="s">
        <v>975</v>
      </c>
      <c r="D668" t="s">
        <v>1265</v>
      </c>
      <c r="E668" t="s">
        <v>552</v>
      </c>
      <c r="F668">
        <v>46112</v>
      </c>
      <c r="G668" t="s">
        <v>686</v>
      </c>
      <c r="H668" t="s">
        <v>1159</v>
      </c>
      <c r="I668">
        <v>11200501</v>
      </c>
      <c r="J668" t="s">
        <v>1268</v>
      </c>
      <c r="K668" t="s">
        <v>1269</v>
      </c>
      <c r="L668">
        <v>20075.57</v>
      </c>
      <c r="M668">
        <v>0</v>
      </c>
      <c r="N668">
        <v>40.75</v>
      </c>
      <c r="O668">
        <v>20034.82</v>
      </c>
      <c r="P668" t="s">
        <v>1270</v>
      </c>
      <c r="Q668" t="s">
        <v>980</v>
      </c>
      <c r="R668" t="s">
        <v>1162</v>
      </c>
      <c r="S668" t="s">
        <v>1163</v>
      </c>
      <c r="T668" t="s">
        <v>926</v>
      </c>
      <c r="U668" t="s">
        <v>1271</v>
      </c>
      <c r="V668" t="s">
        <v>1165</v>
      </c>
      <c r="W668">
        <v>1</v>
      </c>
      <c r="X668">
        <v>20034.82</v>
      </c>
      <c r="Y668" t="s">
        <v>1166</v>
      </c>
      <c r="Z668" t="s">
        <v>1167</v>
      </c>
      <c r="AA668" t="s">
        <v>1272</v>
      </c>
    </row>
    <row r="669" spans="1:27" x14ac:dyDescent="0.3">
      <c r="A669" t="s">
        <v>1669</v>
      </c>
      <c r="B669" t="s">
        <v>1169</v>
      </c>
      <c r="C669" t="s">
        <v>975</v>
      </c>
      <c r="D669" t="s">
        <v>1265</v>
      </c>
      <c r="E669" t="s">
        <v>552</v>
      </c>
      <c r="F669">
        <v>46112</v>
      </c>
      <c r="G669" t="s">
        <v>686</v>
      </c>
      <c r="H669" t="s">
        <v>1159</v>
      </c>
      <c r="I669">
        <v>13050501</v>
      </c>
      <c r="J669" t="s">
        <v>1273</v>
      </c>
      <c r="K669" t="s">
        <v>1274</v>
      </c>
      <c r="L669">
        <v>7520.8</v>
      </c>
      <c r="M669">
        <v>3358.3</v>
      </c>
      <c r="N669">
        <v>0</v>
      </c>
      <c r="O669">
        <v>10879.1</v>
      </c>
      <c r="P669" t="s">
        <v>1275</v>
      </c>
      <c r="Q669" t="s">
        <v>983</v>
      </c>
      <c r="R669" t="s">
        <v>1162</v>
      </c>
      <c r="S669" t="s">
        <v>1163</v>
      </c>
      <c r="T669" t="s">
        <v>984</v>
      </c>
      <c r="U669" t="s">
        <v>1276</v>
      </c>
      <c r="V669" t="s">
        <v>1165</v>
      </c>
      <c r="W669">
        <v>1</v>
      </c>
      <c r="X669">
        <v>10879.1</v>
      </c>
      <c r="Y669" t="s">
        <v>1166</v>
      </c>
      <c r="Z669" t="s">
        <v>1167</v>
      </c>
      <c r="AA669" t="s">
        <v>1277</v>
      </c>
    </row>
    <row r="670" spans="1:27" x14ac:dyDescent="0.3">
      <c r="A670" t="s">
        <v>1669</v>
      </c>
      <c r="B670" t="s">
        <v>1278</v>
      </c>
      <c r="C670" t="s">
        <v>975</v>
      </c>
      <c r="D670" t="s">
        <v>1265</v>
      </c>
      <c r="E670" t="s">
        <v>552</v>
      </c>
      <c r="F670">
        <v>46112</v>
      </c>
      <c r="G670" t="s">
        <v>686</v>
      </c>
      <c r="H670" t="s">
        <v>1159</v>
      </c>
      <c r="I670">
        <v>13551510</v>
      </c>
      <c r="J670" t="s">
        <v>1279</v>
      </c>
      <c r="K670" t="s">
        <v>1280</v>
      </c>
      <c r="L670">
        <v>1053.7</v>
      </c>
      <c r="M670">
        <v>0</v>
      </c>
      <c r="N670">
        <v>0</v>
      </c>
      <c r="O670">
        <v>1053.7</v>
      </c>
      <c r="P670" t="s">
        <v>1281</v>
      </c>
      <c r="Q670" t="s">
        <v>987</v>
      </c>
      <c r="R670" t="s">
        <v>1162</v>
      </c>
      <c r="S670" t="s">
        <v>1163</v>
      </c>
      <c r="T670" t="s">
        <v>988</v>
      </c>
      <c r="U670" t="s">
        <v>1282</v>
      </c>
      <c r="V670" t="s">
        <v>1165</v>
      </c>
      <c r="W670">
        <v>1</v>
      </c>
      <c r="X670">
        <v>1053.7</v>
      </c>
      <c r="Y670" t="s">
        <v>1166</v>
      </c>
      <c r="Z670" t="s">
        <v>1167</v>
      </c>
      <c r="AA670" t="s">
        <v>1283</v>
      </c>
    </row>
    <row r="671" spans="1:27" x14ac:dyDescent="0.3">
      <c r="A671" t="s">
        <v>1669</v>
      </c>
      <c r="B671" t="s">
        <v>1284</v>
      </c>
      <c r="C671" t="s">
        <v>975</v>
      </c>
      <c r="D671" t="s">
        <v>1265</v>
      </c>
      <c r="E671" t="s">
        <v>552</v>
      </c>
      <c r="F671">
        <v>46112</v>
      </c>
      <c r="G671" t="s">
        <v>686</v>
      </c>
      <c r="H671" t="s">
        <v>1159</v>
      </c>
      <c r="I671">
        <v>15280501</v>
      </c>
      <c r="J671" t="s">
        <v>1285</v>
      </c>
      <c r="K671" t="s">
        <v>1286</v>
      </c>
      <c r="L671">
        <v>8811.86</v>
      </c>
      <c r="M671">
        <v>0</v>
      </c>
      <c r="N671">
        <v>0</v>
      </c>
      <c r="O671">
        <v>8811.86</v>
      </c>
      <c r="P671" t="s">
        <v>1287</v>
      </c>
      <c r="Q671" t="s">
        <v>995</v>
      </c>
      <c r="R671" t="s">
        <v>1162</v>
      </c>
      <c r="S671" t="s">
        <v>957</v>
      </c>
      <c r="T671" t="s">
        <v>996</v>
      </c>
      <c r="U671" t="s">
        <v>1288</v>
      </c>
      <c r="V671" t="s">
        <v>1165</v>
      </c>
      <c r="W671">
        <v>1</v>
      </c>
      <c r="X671">
        <v>8811.86</v>
      </c>
      <c r="Y671" t="s">
        <v>1166</v>
      </c>
      <c r="Z671" t="s">
        <v>1167</v>
      </c>
      <c r="AA671" t="s">
        <v>1289</v>
      </c>
    </row>
    <row r="672" spans="1:27" x14ac:dyDescent="0.3">
      <c r="A672" t="s">
        <v>1669</v>
      </c>
      <c r="B672" t="s">
        <v>1290</v>
      </c>
      <c r="C672" t="s">
        <v>975</v>
      </c>
      <c r="D672" t="s">
        <v>1265</v>
      </c>
      <c r="E672" t="s">
        <v>552</v>
      </c>
      <c r="F672">
        <v>46112</v>
      </c>
      <c r="G672" t="s">
        <v>686</v>
      </c>
      <c r="H672" t="s">
        <v>1159</v>
      </c>
      <c r="I672">
        <v>22050501</v>
      </c>
      <c r="J672" t="s">
        <v>1273</v>
      </c>
      <c r="K672" t="s">
        <v>1291</v>
      </c>
      <c r="L672">
        <v>-2127</v>
      </c>
      <c r="M672">
        <v>2127</v>
      </c>
      <c r="N672">
        <v>0</v>
      </c>
      <c r="O672">
        <v>0</v>
      </c>
      <c r="P672" t="s">
        <v>1292</v>
      </c>
      <c r="Q672" t="s">
        <v>1008</v>
      </c>
      <c r="R672" t="s">
        <v>1162</v>
      </c>
      <c r="S672" t="s">
        <v>1173</v>
      </c>
      <c r="T672" t="s">
        <v>1009</v>
      </c>
      <c r="U672" t="s">
        <v>563</v>
      </c>
      <c r="V672" t="s">
        <v>1175</v>
      </c>
      <c r="W672">
        <v>-1</v>
      </c>
      <c r="Y672" t="s">
        <v>1166</v>
      </c>
      <c r="Z672" t="s">
        <v>1167</v>
      </c>
      <c r="AA672" t="s">
        <v>1293</v>
      </c>
    </row>
    <row r="673" spans="1:27" x14ac:dyDescent="0.3">
      <c r="A673" t="s">
        <v>1669</v>
      </c>
      <c r="B673" t="s">
        <v>1294</v>
      </c>
      <c r="C673" t="s">
        <v>975</v>
      </c>
      <c r="D673" t="s">
        <v>1265</v>
      </c>
      <c r="E673" t="s">
        <v>552</v>
      </c>
      <c r="F673">
        <v>46112</v>
      </c>
      <c r="G673" t="s">
        <v>686</v>
      </c>
      <c r="H673" t="s">
        <v>1159</v>
      </c>
      <c r="I673">
        <v>22050501</v>
      </c>
      <c r="J673" t="s">
        <v>1273</v>
      </c>
      <c r="K673" t="s">
        <v>1291</v>
      </c>
      <c r="L673">
        <v>-2024.11</v>
      </c>
      <c r="M673">
        <v>0</v>
      </c>
      <c r="N673">
        <v>1916.62</v>
      </c>
      <c r="O673">
        <v>-3940.73</v>
      </c>
      <c r="P673" t="s">
        <v>1292</v>
      </c>
      <c r="Q673" t="s">
        <v>1008</v>
      </c>
      <c r="R673" t="s">
        <v>1162</v>
      </c>
      <c r="S673" t="s">
        <v>1173</v>
      </c>
      <c r="T673" t="s">
        <v>1009</v>
      </c>
      <c r="U673" t="s">
        <v>563</v>
      </c>
      <c r="V673" t="s">
        <v>1175</v>
      </c>
      <c r="W673">
        <v>-1</v>
      </c>
      <c r="X673">
        <v>3940.73</v>
      </c>
      <c r="Y673" t="s">
        <v>1166</v>
      </c>
      <c r="Z673" t="s">
        <v>1167</v>
      </c>
      <c r="AA673" t="s">
        <v>1293</v>
      </c>
    </row>
    <row r="674" spans="1:27" x14ac:dyDescent="0.3">
      <c r="A674" t="s">
        <v>1669</v>
      </c>
      <c r="B674" t="s">
        <v>1188</v>
      </c>
      <c r="C674" t="s">
        <v>975</v>
      </c>
      <c r="D674" t="s">
        <v>1265</v>
      </c>
      <c r="E674" t="s">
        <v>552</v>
      </c>
      <c r="F674">
        <v>46112</v>
      </c>
      <c r="G674" t="s">
        <v>686</v>
      </c>
      <c r="H674" t="s">
        <v>1159</v>
      </c>
      <c r="I674">
        <v>22050501</v>
      </c>
      <c r="J674" t="s">
        <v>1273</v>
      </c>
      <c r="K674" t="s">
        <v>1291</v>
      </c>
      <c r="L674">
        <v>-1706.19</v>
      </c>
      <c r="M674">
        <v>0</v>
      </c>
      <c r="N674">
        <v>0</v>
      </c>
      <c r="O674">
        <v>-1706.19</v>
      </c>
      <c r="P674" t="s">
        <v>1292</v>
      </c>
      <c r="Q674" t="s">
        <v>1008</v>
      </c>
      <c r="R674" t="s">
        <v>1162</v>
      </c>
      <c r="S674" t="s">
        <v>1173</v>
      </c>
      <c r="T674" t="s">
        <v>1009</v>
      </c>
      <c r="U674" t="s">
        <v>563</v>
      </c>
      <c r="V674" t="s">
        <v>1175</v>
      </c>
      <c r="W674">
        <v>-1</v>
      </c>
      <c r="X674">
        <v>1706.19</v>
      </c>
      <c r="Y674" t="s">
        <v>1166</v>
      </c>
      <c r="Z674" t="s">
        <v>1167</v>
      </c>
      <c r="AA674" t="s">
        <v>1293</v>
      </c>
    </row>
    <row r="675" spans="1:27" x14ac:dyDescent="0.3">
      <c r="A675" t="s">
        <v>1669</v>
      </c>
      <c r="B675" t="s">
        <v>1295</v>
      </c>
      <c r="C675" t="s">
        <v>975</v>
      </c>
      <c r="D675" t="s">
        <v>1265</v>
      </c>
      <c r="E675" t="s">
        <v>552</v>
      </c>
      <c r="F675">
        <v>46112</v>
      </c>
      <c r="G675" t="s">
        <v>686</v>
      </c>
      <c r="H675" t="s">
        <v>1159</v>
      </c>
      <c r="I675">
        <v>24080103</v>
      </c>
      <c r="J675" t="s">
        <v>1296</v>
      </c>
      <c r="K675" t="s">
        <v>1297</v>
      </c>
      <c r="L675">
        <v>-1340.16</v>
      </c>
      <c r="M675">
        <v>0</v>
      </c>
      <c r="N675">
        <v>512.28</v>
      </c>
      <c r="O675">
        <v>-1852.44</v>
      </c>
      <c r="P675" t="s">
        <v>1298</v>
      </c>
      <c r="Q675" t="s">
        <v>1012</v>
      </c>
      <c r="R675" t="s">
        <v>1162</v>
      </c>
      <c r="S675" t="s">
        <v>1173</v>
      </c>
      <c r="T675" t="s">
        <v>1013</v>
      </c>
      <c r="U675" t="s">
        <v>1299</v>
      </c>
      <c r="V675" t="s">
        <v>1175</v>
      </c>
      <c r="W675">
        <v>-1</v>
      </c>
      <c r="X675">
        <v>1852.44</v>
      </c>
      <c r="Y675" t="s">
        <v>1166</v>
      </c>
      <c r="Z675" t="s">
        <v>1167</v>
      </c>
      <c r="AA675" t="s">
        <v>1300</v>
      </c>
    </row>
    <row r="676" spans="1:27" x14ac:dyDescent="0.3">
      <c r="A676" t="s">
        <v>1669</v>
      </c>
      <c r="B676" t="s">
        <v>1195</v>
      </c>
      <c r="C676" t="s">
        <v>975</v>
      </c>
      <c r="D676" t="s">
        <v>1265</v>
      </c>
      <c r="E676" t="s">
        <v>552</v>
      </c>
      <c r="F676">
        <v>46112</v>
      </c>
      <c r="G676" t="s">
        <v>686</v>
      </c>
      <c r="H676" t="s">
        <v>1159</v>
      </c>
      <c r="I676">
        <v>24080201</v>
      </c>
      <c r="J676" t="s">
        <v>1301</v>
      </c>
      <c r="K676" t="s">
        <v>1302</v>
      </c>
      <c r="L676">
        <v>1586.14</v>
      </c>
      <c r="M676">
        <v>0</v>
      </c>
      <c r="N676">
        <v>0</v>
      </c>
      <c r="O676">
        <v>1586.14</v>
      </c>
      <c r="P676" t="s">
        <v>1303</v>
      </c>
      <c r="Q676" t="s">
        <v>987</v>
      </c>
      <c r="R676" t="s">
        <v>1162</v>
      </c>
      <c r="S676" t="s">
        <v>1163</v>
      </c>
      <c r="T676" t="s">
        <v>988</v>
      </c>
      <c r="U676" t="s">
        <v>1304</v>
      </c>
      <c r="V676" t="s">
        <v>1165</v>
      </c>
      <c r="W676">
        <v>1</v>
      </c>
      <c r="X676">
        <v>1586.14</v>
      </c>
      <c r="Y676" t="s">
        <v>1166</v>
      </c>
      <c r="Z676" t="s">
        <v>1167</v>
      </c>
      <c r="AA676" t="s">
        <v>1305</v>
      </c>
    </row>
    <row r="677" spans="1:27" x14ac:dyDescent="0.3">
      <c r="A677" t="s">
        <v>1669</v>
      </c>
      <c r="B677" t="s">
        <v>1306</v>
      </c>
      <c r="C677" t="s">
        <v>975</v>
      </c>
      <c r="D677" t="s">
        <v>1265</v>
      </c>
      <c r="E677" t="s">
        <v>552</v>
      </c>
      <c r="F677">
        <v>46112</v>
      </c>
      <c r="G677" t="s">
        <v>686</v>
      </c>
      <c r="H677" t="s">
        <v>1159</v>
      </c>
      <c r="I677">
        <v>24080201</v>
      </c>
      <c r="J677" t="s">
        <v>1301</v>
      </c>
      <c r="K677" t="s">
        <v>1302</v>
      </c>
      <c r="L677">
        <v>308.76</v>
      </c>
      <c r="M677">
        <v>292.37</v>
      </c>
      <c r="N677">
        <v>0</v>
      </c>
      <c r="O677">
        <v>601.13</v>
      </c>
      <c r="P677" t="s">
        <v>1303</v>
      </c>
      <c r="Q677" t="s">
        <v>987</v>
      </c>
      <c r="R677" t="s">
        <v>1162</v>
      </c>
      <c r="S677" t="s">
        <v>1163</v>
      </c>
      <c r="T677" t="s">
        <v>988</v>
      </c>
      <c r="U677" t="s">
        <v>1304</v>
      </c>
      <c r="V677" t="s">
        <v>1165</v>
      </c>
      <c r="W677">
        <v>1</v>
      </c>
      <c r="X677">
        <v>601.13</v>
      </c>
      <c r="Y677" t="s">
        <v>1166</v>
      </c>
      <c r="Z677" t="s">
        <v>1167</v>
      </c>
      <c r="AA677" t="s">
        <v>1305</v>
      </c>
    </row>
    <row r="678" spans="1:27" x14ac:dyDescent="0.3">
      <c r="A678" t="s">
        <v>1669</v>
      </c>
      <c r="B678" t="s">
        <v>1202</v>
      </c>
      <c r="C678" t="s">
        <v>975</v>
      </c>
      <c r="D678" t="s">
        <v>1265</v>
      </c>
      <c r="E678" t="s">
        <v>552</v>
      </c>
      <c r="F678">
        <v>46112</v>
      </c>
      <c r="G678" t="s">
        <v>686</v>
      </c>
      <c r="H678" t="s">
        <v>1159</v>
      </c>
      <c r="I678">
        <v>24080201</v>
      </c>
      <c r="J678" t="s">
        <v>1301</v>
      </c>
      <c r="K678" t="s">
        <v>1302</v>
      </c>
      <c r="L678">
        <v>-984.16</v>
      </c>
      <c r="M678">
        <v>0</v>
      </c>
      <c r="N678">
        <v>0</v>
      </c>
      <c r="O678">
        <v>-984.16</v>
      </c>
      <c r="P678" t="s">
        <v>1303</v>
      </c>
      <c r="Q678" t="s">
        <v>987</v>
      </c>
      <c r="R678" t="s">
        <v>1162</v>
      </c>
      <c r="S678" t="s">
        <v>1163</v>
      </c>
      <c r="T678" t="s">
        <v>988</v>
      </c>
      <c r="U678" t="s">
        <v>1304</v>
      </c>
      <c r="V678" t="s">
        <v>1165</v>
      </c>
      <c r="W678">
        <v>1</v>
      </c>
      <c r="X678">
        <v>-984.16</v>
      </c>
      <c r="Y678" t="s">
        <v>1166</v>
      </c>
      <c r="Z678" t="s">
        <v>1167</v>
      </c>
      <c r="AA678" t="s">
        <v>1305</v>
      </c>
    </row>
    <row r="679" spans="1:27" x14ac:dyDescent="0.3">
      <c r="A679" t="s">
        <v>1669</v>
      </c>
      <c r="B679" t="s">
        <v>1307</v>
      </c>
      <c r="C679" t="s">
        <v>975</v>
      </c>
      <c r="D679" t="s">
        <v>1265</v>
      </c>
      <c r="E679" t="s">
        <v>552</v>
      </c>
      <c r="F679">
        <v>46112</v>
      </c>
      <c r="G679" t="s">
        <v>686</v>
      </c>
      <c r="H679" t="s">
        <v>1159</v>
      </c>
      <c r="I679">
        <v>31050501</v>
      </c>
      <c r="J679" t="s">
        <v>1178</v>
      </c>
      <c r="K679" t="s">
        <v>1308</v>
      </c>
      <c r="L679">
        <v>-14208.08</v>
      </c>
      <c r="M679">
        <v>0</v>
      </c>
      <c r="N679">
        <v>0</v>
      </c>
      <c r="O679">
        <v>-14208.08</v>
      </c>
      <c r="P679" t="s">
        <v>1180</v>
      </c>
      <c r="Q679" t="s">
        <v>1028</v>
      </c>
      <c r="R679" t="s">
        <v>1162</v>
      </c>
      <c r="S679" t="s">
        <v>1181</v>
      </c>
      <c r="T679" t="s">
        <v>1029</v>
      </c>
      <c r="U679" t="s">
        <v>1182</v>
      </c>
      <c r="V679" t="s">
        <v>1175</v>
      </c>
      <c r="W679">
        <v>-1</v>
      </c>
      <c r="X679">
        <v>14208.08</v>
      </c>
      <c r="Y679" t="s">
        <v>1166</v>
      </c>
      <c r="Z679" t="s">
        <v>1167</v>
      </c>
      <c r="AA679" t="s">
        <v>1029</v>
      </c>
    </row>
    <row r="680" spans="1:27" x14ac:dyDescent="0.3">
      <c r="A680" t="s">
        <v>1669</v>
      </c>
      <c r="B680" t="s">
        <v>1309</v>
      </c>
      <c r="C680" t="s">
        <v>975</v>
      </c>
      <c r="D680" t="s">
        <v>1265</v>
      </c>
      <c r="E680" t="s">
        <v>552</v>
      </c>
      <c r="F680">
        <v>46112</v>
      </c>
      <c r="G680" t="s">
        <v>686</v>
      </c>
      <c r="H680" t="s">
        <v>1159</v>
      </c>
      <c r="I680">
        <v>37050501</v>
      </c>
      <c r="J680" t="s">
        <v>1310</v>
      </c>
      <c r="K680" t="s">
        <v>1311</v>
      </c>
      <c r="L680">
        <v>-26659.66</v>
      </c>
      <c r="M680">
        <v>0</v>
      </c>
      <c r="N680">
        <v>0</v>
      </c>
      <c r="O680">
        <v>-26659.66</v>
      </c>
      <c r="P680" t="s">
        <v>1312</v>
      </c>
      <c r="Q680" t="s">
        <v>1031</v>
      </c>
      <c r="R680" t="s">
        <v>1162</v>
      </c>
      <c r="S680" t="s">
        <v>1181</v>
      </c>
      <c r="T680" t="s">
        <v>1032</v>
      </c>
      <c r="U680" t="s">
        <v>938</v>
      </c>
      <c r="V680" t="s">
        <v>1175</v>
      </c>
      <c r="W680">
        <v>-1</v>
      </c>
      <c r="X680">
        <v>26659.66</v>
      </c>
      <c r="Y680" t="s">
        <v>1166</v>
      </c>
      <c r="Z680" t="s">
        <v>1167</v>
      </c>
      <c r="AA680" t="s">
        <v>1313</v>
      </c>
    </row>
    <row r="681" spans="1:27" x14ac:dyDescent="0.3">
      <c r="A681" t="s">
        <v>1669</v>
      </c>
      <c r="B681" t="s">
        <v>1314</v>
      </c>
      <c r="C681" t="s">
        <v>975</v>
      </c>
      <c r="D681" t="s">
        <v>1265</v>
      </c>
      <c r="E681" t="s">
        <v>552</v>
      </c>
      <c r="F681">
        <v>46112</v>
      </c>
      <c r="G681" t="s">
        <v>686</v>
      </c>
      <c r="H681" t="s">
        <v>1159</v>
      </c>
      <c r="I681">
        <v>41700103</v>
      </c>
      <c r="J681" t="s">
        <v>1315</v>
      </c>
      <c r="K681" t="s">
        <v>1316</v>
      </c>
      <c r="L681">
        <v>-1808.92</v>
      </c>
      <c r="M681">
        <v>0</v>
      </c>
      <c r="N681">
        <v>0</v>
      </c>
      <c r="O681">
        <v>-1808.92</v>
      </c>
      <c r="P681" t="s">
        <v>1317</v>
      </c>
      <c r="Q681" t="s">
        <v>1048</v>
      </c>
      <c r="R681" t="s">
        <v>1199</v>
      </c>
      <c r="S681" t="s">
        <v>1318</v>
      </c>
      <c r="T681" t="s">
        <v>1049</v>
      </c>
      <c r="U681" t="s">
        <v>1319</v>
      </c>
      <c r="V681" t="s">
        <v>1175</v>
      </c>
      <c r="W681">
        <v>-1</v>
      </c>
      <c r="X681">
        <v>1808.92</v>
      </c>
      <c r="Y681" t="s">
        <v>1166</v>
      </c>
      <c r="Z681" t="s">
        <v>1167</v>
      </c>
      <c r="AA681" t="s">
        <v>1320</v>
      </c>
    </row>
    <row r="682" spans="1:27" x14ac:dyDescent="0.3">
      <c r="A682" t="s">
        <v>1669</v>
      </c>
      <c r="B682" t="s">
        <v>1225</v>
      </c>
      <c r="C682" t="s">
        <v>975</v>
      </c>
      <c r="D682" t="s">
        <v>1265</v>
      </c>
      <c r="E682" t="s">
        <v>552</v>
      </c>
      <c r="F682">
        <v>46112</v>
      </c>
      <c r="G682" t="s">
        <v>686</v>
      </c>
      <c r="H682" t="s">
        <v>1159</v>
      </c>
      <c r="I682">
        <v>41700124</v>
      </c>
      <c r="J682" t="s">
        <v>1315</v>
      </c>
      <c r="K682" t="s">
        <v>1321</v>
      </c>
      <c r="L682">
        <v>-5636.09</v>
      </c>
      <c r="M682">
        <v>0</v>
      </c>
      <c r="N682">
        <v>2846.02</v>
      </c>
      <c r="O682">
        <v>-8482.11</v>
      </c>
      <c r="P682" t="s">
        <v>1317</v>
      </c>
      <c r="Q682" t="s">
        <v>1048</v>
      </c>
      <c r="R682" t="s">
        <v>1199</v>
      </c>
      <c r="S682" t="s">
        <v>1318</v>
      </c>
      <c r="T682" t="s">
        <v>1049</v>
      </c>
      <c r="U682" t="s">
        <v>1319</v>
      </c>
      <c r="V682" t="s">
        <v>1175</v>
      </c>
      <c r="W682">
        <v>-1</v>
      </c>
      <c r="X682">
        <v>8482.11</v>
      </c>
      <c r="Y682" t="s">
        <v>1166</v>
      </c>
      <c r="Z682" t="s">
        <v>1167</v>
      </c>
      <c r="AA682" t="s">
        <v>1320</v>
      </c>
    </row>
    <row r="683" spans="1:27" x14ac:dyDescent="0.3">
      <c r="A683" t="s">
        <v>1669</v>
      </c>
      <c r="B683" t="s">
        <v>1231</v>
      </c>
      <c r="C683" t="s">
        <v>975</v>
      </c>
      <c r="D683" t="s">
        <v>1265</v>
      </c>
      <c r="E683" t="s">
        <v>552</v>
      </c>
      <c r="F683">
        <v>46112</v>
      </c>
      <c r="G683" t="s">
        <v>686</v>
      </c>
      <c r="H683" t="s">
        <v>1159</v>
      </c>
      <c r="I683">
        <v>42958810</v>
      </c>
      <c r="J683" t="s">
        <v>1322</v>
      </c>
      <c r="K683" t="s">
        <v>1322</v>
      </c>
      <c r="L683">
        <v>-64960.94</v>
      </c>
      <c r="M683">
        <v>0</v>
      </c>
      <c r="N683">
        <v>0</v>
      </c>
      <c r="O683">
        <v>-64960.94</v>
      </c>
      <c r="P683" t="s">
        <v>1323</v>
      </c>
      <c r="Q683" t="s">
        <v>1120</v>
      </c>
      <c r="R683" t="s">
        <v>1199</v>
      </c>
      <c r="S683" t="s">
        <v>1324</v>
      </c>
      <c r="T683" t="s">
        <v>811</v>
      </c>
      <c r="U683" t="s">
        <v>811</v>
      </c>
      <c r="V683" t="s">
        <v>1175</v>
      </c>
      <c r="W683">
        <v>-1</v>
      </c>
      <c r="X683">
        <v>64960.94</v>
      </c>
      <c r="Y683" t="s">
        <v>1192</v>
      </c>
      <c r="Z683" t="s">
        <v>1193</v>
      </c>
      <c r="AA683" t="s">
        <v>1325</v>
      </c>
    </row>
    <row r="684" spans="1:27" x14ac:dyDescent="0.3">
      <c r="A684" t="s">
        <v>1669</v>
      </c>
      <c r="B684" t="s">
        <v>1239</v>
      </c>
      <c r="C684" t="s">
        <v>975</v>
      </c>
      <c r="D684" t="s">
        <v>1265</v>
      </c>
      <c r="E684" t="s">
        <v>552</v>
      </c>
      <c r="F684">
        <v>46112</v>
      </c>
      <c r="G684" t="s">
        <v>686</v>
      </c>
      <c r="H684" t="s">
        <v>1159</v>
      </c>
      <c r="I684">
        <v>51102503</v>
      </c>
      <c r="J684" t="s">
        <v>1213</v>
      </c>
      <c r="K684" t="s">
        <v>1326</v>
      </c>
      <c r="L684">
        <v>1015.35</v>
      </c>
      <c r="M684">
        <v>524.25</v>
      </c>
      <c r="N684">
        <v>0</v>
      </c>
      <c r="O684">
        <v>1539.6</v>
      </c>
      <c r="P684" t="s">
        <v>1215</v>
      </c>
      <c r="Q684" t="s">
        <v>1062</v>
      </c>
      <c r="R684" t="s">
        <v>1199</v>
      </c>
      <c r="S684" t="s">
        <v>947</v>
      </c>
      <c r="T684" t="s">
        <v>1063</v>
      </c>
      <c r="U684" t="s">
        <v>1216</v>
      </c>
      <c r="V684" t="s">
        <v>1165</v>
      </c>
      <c r="W684">
        <v>1</v>
      </c>
      <c r="X684">
        <v>1539.6</v>
      </c>
      <c r="Y684" t="s">
        <v>1166</v>
      </c>
      <c r="Z684" t="s">
        <v>1167</v>
      </c>
      <c r="AA684" t="s">
        <v>1217</v>
      </c>
    </row>
    <row r="685" spans="1:27" x14ac:dyDescent="0.3">
      <c r="A685" t="s">
        <v>1669</v>
      </c>
      <c r="B685" t="s">
        <v>1327</v>
      </c>
      <c r="C685" t="s">
        <v>975</v>
      </c>
      <c r="D685" t="s">
        <v>1265</v>
      </c>
      <c r="E685" t="s">
        <v>552</v>
      </c>
      <c r="F685">
        <v>46112</v>
      </c>
      <c r="G685" t="s">
        <v>686</v>
      </c>
      <c r="H685" t="s">
        <v>1159</v>
      </c>
      <c r="I685">
        <v>51103001</v>
      </c>
      <c r="J685" t="s">
        <v>1328</v>
      </c>
      <c r="K685" t="s">
        <v>1329</v>
      </c>
      <c r="L685">
        <v>700</v>
      </c>
      <c r="M685">
        <v>1100</v>
      </c>
      <c r="N685">
        <v>0</v>
      </c>
      <c r="O685">
        <v>1800</v>
      </c>
      <c r="P685" t="s">
        <v>1330</v>
      </c>
      <c r="Q685" t="s">
        <v>1062</v>
      </c>
      <c r="R685" t="s">
        <v>1199</v>
      </c>
      <c r="S685" t="s">
        <v>947</v>
      </c>
      <c r="T685" t="s">
        <v>1063</v>
      </c>
      <c r="U685" t="s">
        <v>1331</v>
      </c>
      <c r="V685" t="s">
        <v>1165</v>
      </c>
      <c r="W685">
        <v>1</v>
      </c>
      <c r="X685">
        <v>1800</v>
      </c>
      <c r="Y685" t="s">
        <v>1166</v>
      </c>
      <c r="Z685" t="s">
        <v>1167</v>
      </c>
      <c r="AA685" t="s">
        <v>1332</v>
      </c>
    </row>
    <row r="686" spans="1:27" x14ac:dyDescent="0.3">
      <c r="A686" t="s">
        <v>1669</v>
      </c>
      <c r="B686" t="s">
        <v>1253</v>
      </c>
      <c r="C686" t="s">
        <v>975</v>
      </c>
      <c r="D686" t="s">
        <v>1265</v>
      </c>
      <c r="E686" t="s">
        <v>552</v>
      </c>
      <c r="F686">
        <v>46112</v>
      </c>
      <c r="G686" t="s">
        <v>686</v>
      </c>
      <c r="H686" t="s">
        <v>1159</v>
      </c>
      <c r="I686">
        <v>52109501</v>
      </c>
      <c r="J686" t="s">
        <v>1232</v>
      </c>
      <c r="K686" t="s">
        <v>1333</v>
      </c>
      <c r="L686">
        <v>2127</v>
      </c>
      <c r="M686">
        <v>0</v>
      </c>
      <c r="N686">
        <v>0</v>
      </c>
      <c r="O686">
        <v>2127</v>
      </c>
      <c r="P686" t="s">
        <v>1334</v>
      </c>
      <c r="Q686" t="s">
        <v>1095</v>
      </c>
      <c r="R686" t="s">
        <v>1199</v>
      </c>
      <c r="S686" t="s">
        <v>948</v>
      </c>
      <c r="T686" t="s">
        <v>1096</v>
      </c>
      <c r="U686" t="s">
        <v>1335</v>
      </c>
      <c r="V686" t="s">
        <v>1165</v>
      </c>
      <c r="W686">
        <v>1</v>
      </c>
      <c r="X686">
        <v>2127</v>
      </c>
      <c r="Y686" t="s">
        <v>1192</v>
      </c>
      <c r="Z686" t="s">
        <v>1193</v>
      </c>
      <c r="AA686" t="s">
        <v>1336</v>
      </c>
    </row>
    <row r="687" spans="1:27" x14ac:dyDescent="0.3">
      <c r="A687" t="s">
        <v>1669</v>
      </c>
      <c r="B687" t="s">
        <v>1337</v>
      </c>
      <c r="C687" t="s">
        <v>975</v>
      </c>
      <c r="D687" t="s">
        <v>1265</v>
      </c>
      <c r="E687" t="s">
        <v>552</v>
      </c>
      <c r="F687">
        <v>46112</v>
      </c>
      <c r="G687" t="s">
        <v>686</v>
      </c>
      <c r="H687" t="s">
        <v>1159</v>
      </c>
      <c r="I687">
        <v>52356001</v>
      </c>
      <c r="J687" t="s">
        <v>1338</v>
      </c>
      <c r="K687" t="s">
        <v>1338</v>
      </c>
      <c r="L687">
        <v>1706.19</v>
      </c>
      <c r="M687">
        <v>0</v>
      </c>
      <c r="N687">
        <v>0</v>
      </c>
      <c r="O687">
        <v>1706.19</v>
      </c>
      <c r="P687" t="s">
        <v>1339</v>
      </c>
      <c r="Q687" t="s">
        <v>1097</v>
      </c>
      <c r="R687" t="s">
        <v>1199</v>
      </c>
      <c r="S687" t="s">
        <v>948</v>
      </c>
      <c r="T687" t="s">
        <v>1098</v>
      </c>
      <c r="U687" t="s">
        <v>1340</v>
      </c>
      <c r="V687" t="s">
        <v>1165</v>
      </c>
      <c r="W687">
        <v>1</v>
      </c>
      <c r="X687">
        <v>1706.19</v>
      </c>
      <c r="Y687" t="s">
        <v>1166</v>
      </c>
      <c r="Z687" t="s">
        <v>1167</v>
      </c>
      <c r="AA687" t="s">
        <v>1341</v>
      </c>
    </row>
    <row r="688" spans="1:27" x14ac:dyDescent="0.3">
      <c r="A688" t="s">
        <v>1669</v>
      </c>
      <c r="B688" t="s">
        <v>1342</v>
      </c>
      <c r="C688" t="s">
        <v>975</v>
      </c>
      <c r="D688" t="s">
        <v>1265</v>
      </c>
      <c r="E688" t="s">
        <v>552</v>
      </c>
      <c r="F688">
        <v>46112</v>
      </c>
      <c r="G688" t="s">
        <v>686</v>
      </c>
      <c r="H688" t="s">
        <v>1159</v>
      </c>
      <c r="I688">
        <v>52550501</v>
      </c>
      <c r="J688" t="s">
        <v>1343</v>
      </c>
      <c r="K688" t="s">
        <v>1344</v>
      </c>
      <c r="L688">
        <v>0</v>
      </c>
      <c r="M688">
        <v>267.26</v>
      </c>
      <c r="N688">
        <v>0</v>
      </c>
      <c r="O688">
        <v>267.26</v>
      </c>
      <c r="P688" t="s">
        <v>1345</v>
      </c>
      <c r="Q688" t="s">
        <v>1101</v>
      </c>
      <c r="R688" t="s">
        <v>1199</v>
      </c>
      <c r="S688" t="s">
        <v>948</v>
      </c>
      <c r="T688" t="s">
        <v>1102</v>
      </c>
      <c r="U688" t="s">
        <v>1346</v>
      </c>
      <c r="V688" t="s">
        <v>1165</v>
      </c>
      <c r="W688">
        <v>1</v>
      </c>
      <c r="X688">
        <v>267.26</v>
      </c>
      <c r="Y688" t="s">
        <v>1166</v>
      </c>
      <c r="Z688" t="s">
        <v>1167</v>
      </c>
      <c r="AA688" t="s">
        <v>1347</v>
      </c>
    </row>
    <row r="689" spans="1:27" x14ac:dyDescent="0.3">
      <c r="A689" t="s">
        <v>1669</v>
      </c>
      <c r="B689" t="s">
        <v>1348</v>
      </c>
      <c r="C689" t="s">
        <v>975</v>
      </c>
      <c r="D689" t="s">
        <v>1265</v>
      </c>
      <c r="E689" t="s">
        <v>552</v>
      </c>
      <c r="F689">
        <v>46112</v>
      </c>
      <c r="G689" t="s">
        <v>686</v>
      </c>
      <c r="H689" t="s">
        <v>1159</v>
      </c>
      <c r="I689">
        <v>52550502</v>
      </c>
      <c r="J689" t="s">
        <v>1343</v>
      </c>
      <c r="K689" t="s">
        <v>1349</v>
      </c>
      <c r="L689">
        <v>80.8</v>
      </c>
      <c r="M689">
        <v>0</v>
      </c>
      <c r="N689">
        <v>0</v>
      </c>
      <c r="O689">
        <v>80.8</v>
      </c>
      <c r="P689" t="s">
        <v>1345</v>
      </c>
      <c r="Q689" t="s">
        <v>1101</v>
      </c>
      <c r="R689" t="s">
        <v>1199</v>
      </c>
      <c r="S689" t="s">
        <v>948</v>
      </c>
      <c r="T689" t="s">
        <v>1102</v>
      </c>
      <c r="U689" t="s">
        <v>1346</v>
      </c>
      <c r="V689" t="s">
        <v>1165</v>
      </c>
      <c r="W689">
        <v>1</v>
      </c>
      <c r="X689">
        <v>80.8</v>
      </c>
      <c r="Y689" t="s">
        <v>1166</v>
      </c>
      <c r="Z689" t="s">
        <v>1167</v>
      </c>
      <c r="AA689" t="s">
        <v>1347</v>
      </c>
    </row>
    <row r="690" spans="1:27" x14ac:dyDescent="0.3">
      <c r="A690" t="s">
        <v>1669</v>
      </c>
      <c r="B690" t="s">
        <v>1350</v>
      </c>
      <c r="C690" t="s">
        <v>975</v>
      </c>
      <c r="D690" t="s">
        <v>1265</v>
      </c>
      <c r="E690" t="s">
        <v>552</v>
      </c>
      <c r="F690">
        <v>46112</v>
      </c>
      <c r="G690" t="s">
        <v>686</v>
      </c>
      <c r="H690" t="s">
        <v>1159</v>
      </c>
      <c r="I690">
        <v>52550502</v>
      </c>
      <c r="J690" t="s">
        <v>1343</v>
      </c>
      <c r="K690" t="s">
        <v>1349</v>
      </c>
      <c r="L690">
        <v>0</v>
      </c>
      <c r="M690">
        <v>20.68</v>
      </c>
      <c r="N690">
        <v>0</v>
      </c>
      <c r="O690">
        <v>20.68</v>
      </c>
      <c r="P690" t="s">
        <v>1345</v>
      </c>
      <c r="Q690" t="s">
        <v>1101</v>
      </c>
      <c r="R690" t="s">
        <v>1199</v>
      </c>
      <c r="S690" t="s">
        <v>948</v>
      </c>
      <c r="T690" t="s">
        <v>1102</v>
      </c>
      <c r="U690" t="s">
        <v>1346</v>
      </c>
      <c r="V690" t="s">
        <v>1165</v>
      </c>
      <c r="W690">
        <v>1</v>
      </c>
      <c r="X690">
        <v>20.68</v>
      </c>
      <c r="Y690" t="s">
        <v>1166</v>
      </c>
      <c r="Z690" t="s">
        <v>1167</v>
      </c>
      <c r="AA690" t="s">
        <v>1347</v>
      </c>
    </row>
    <row r="691" spans="1:27" x14ac:dyDescent="0.3">
      <c r="A691" t="s">
        <v>1669</v>
      </c>
      <c r="B691" t="s">
        <v>1351</v>
      </c>
      <c r="C691" t="s">
        <v>975</v>
      </c>
      <c r="D691" t="s">
        <v>1265</v>
      </c>
      <c r="E691" t="s">
        <v>552</v>
      </c>
      <c r="F691">
        <v>46112</v>
      </c>
      <c r="G691" t="s">
        <v>686</v>
      </c>
      <c r="H691" t="s">
        <v>1159</v>
      </c>
      <c r="I691">
        <v>52550502</v>
      </c>
      <c r="J691" t="s">
        <v>1343</v>
      </c>
      <c r="K691" t="s">
        <v>1349</v>
      </c>
      <c r="L691">
        <v>114</v>
      </c>
      <c r="M691">
        <v>0</v>
      </c>
      <c r="N691">
        <v>0</v>
      </c>
      <c r="O691">
        <v>114</v>
      </c>
      <c r="P691" t="s">
        <v>1345</v>
      </c>
      <c r="Q691" t="s">
        <v>1101</v>
      </c>
      <c r="R691" t="s">
        <v>1199</v>
      </c>
      <c r="S691" t="s">
        <v>948</v>
      </c>
      <c r="T691" t="s">
        <v>1102</v>
      </c>
      <c r="U691" t="s">
        <v>1346</v>
      </c>
      <c r="V691" t="s">
        <v>1165</v>
      </c>
      <c r="W691">
        <v>1</v>
      </c>
      <c r="X691">
        <v>114</v>
      </c>
      <c r="Y691" t="s">
        <v>1166</v>
      </c>
      <c r="Z691" t="s">
        <v>1167</v>
      </c>
      <c r="AA691" t="s">
        <v>1347</v>
      </c>
    </row>
    <row r="692" spans="1:27" x14ac:dyDescent="0.3">
      <c r="A692" t="s">
        <v>1669</v>
      </c>
      <c r="B692" t="s">
        <v>1352</v>
      </c>
      <c r="C692" t="s">
        <v>975</v>
      </c>
      <c r="D692" t="s">
        <v>1265</v>
      </c>
      <c r="E692" t="s">
        <v>552</v>
      </c>
      <c r="F692">
        <v>46112</v>
      </c>
      <c r="G692" t="s">
        <v>686</v>
      </c>
      <c r="H692" t="s">
        <v>1159</v>
      </c>
      <c r="I692">
        <v>52550502</v>
      </c>
      <c r="J692" t="s">
        <v>1343</v>
      </c>
      <c r="K692" t="s">
        <v>1349</v>
      </c>
      <c r="L692">
        <v>520</v>
      </c>
      <c r="M692">
        <v>0</v>
      </c>
      <c r="N692">
        <v>0</v>
      </c>
      <c r="O692">
        <v>520</v>
      </c>
      <c r="P692" t="s">
        <v>1345</v>
      </c>
      <c r="Q692" t="s">
        <v>1101</v>
      </c>
      <c r="R692" t="s">
        <v>1199</v>
      </c>
      <c r="S692" t="s">
        <v>948</v>
      </c>
      <c r="T692" t="s">
        <v>1102</v>
      </c>
      <c r="U692" t="s">
        <v>1346</v>
      </c>
      <c r="V692" t="s">
        <v>1165</v>
      </c>
      <c r="W692">
        <v>1</v>
      </c>
      <c r="X692">
        <v>520</v>
      </c>
      <c r="Y692" t="s">
        <v>1166</v>
      </c>
      <c r="Z692" t="s">
        <v>1167</v>
      </c>
      <c r="AA692" t="s">
        <v>1347</v>
      </c>
    </row>
    <row r="693" spans="1:27" x14ac:dyDescent="0.3">
      <c r="A693" t="s">
        <v>1669</v>
      </c>
      <c r="B693" t="s">
        <v>1353</v>
      </c>
      <c r="C693" t="s">
        <v>975</v>
      </c>
      <c r="D693" t="s">
        <v>1265</v>
      </c>
      <c r="E693" t="s">
        <v>552</v>
      </c>
      <c r="F693">
        <v>46112</v>
      </c>
      <c r="G693" t="s">
        <v>686</v>
      </c>
      <c r="H693" t="s">
        <v>1159</v>
      </c>
      <c r="I693">
        <v>52550502</v>
      </c>
      <c r="J693" t="s">
        <v>1343</v>
      </c>
      <c r="K693" t="s">
        <v>1349</v>
      </c>
      <c r="L693">
        <v>6</v>
      </c>
      <c r="M693">
        <v>0</v>
      </c>
      <c r="N693">
        <v>0</v>
      </c>
      <c r="O693">
        <v>6</v>
      </c>
      <c r="P693" t="s">
        <v>1345</v>
      </c>
      <c r="Q693" t="s">
        <v>1101</v>
      </c>
      <c r="R693" t="s">
        <v>1199</v>
      </c>
      <c r="S693" t="s">
        <v>948</v>
      </c>
      <c r="T693" t="s">
        <v>1102</v>
      </c>
      <c r="U693" t="s">
        <v>1346</v>
      </c>
      <c r="V693" t="s">
        <v>1165</v>
      </c>
      <c r="W693">
        <v>1</v>
      </c>
      <c r="X693">
        <v>6</v>
      </c>
      <c r="Y693" t="s">
        <v>1166</v>
      </c>
      <c r="Z693" t="s">
        <v>1167</v>
      </c>
      <c r="AA693" t="s">
        <v>1347</v>
      </c>
    </row>
    <row r="694" spans="1:27" x14ac:dyDescent="0.3">
      <c r="A694" t="s">
        <v>1669</v>
      </c>
      <c r="B694" t="s">
        <v>1354</v>
      </c>
      <c r="C694" t="s">
        <v>975</v>
      </c>
      <c r="D694" t="s">
        <v>1265</v>
      </c>
      <c r="E694" t="s">
        <v>552</v>
      </c>
      <c r="F694">
        <v>46112</v>
      </c>
      <c r="G694" t="s">
        <v>686</v>
      </c>
      <c r="H694" t="s">
        <v>1159</v>
      </c>
      <c r="I694">
        <v>52550502</v>
      </c>
      <c r="J694" t="s">
        <v>1343</v>
      </c>
      <c r="K694" t="s">
        <v>1349</v>
      </c>
      <c r="L694">
        <v>0</v>
      </c>
      <c r="M694">
        <v>226.33</v>
      </c>
      <c r="N694">
        <v>0</v>
      </c>
      <c r="O694">
        <v>226.33</v>
      </c>
      <c r="P694" t="s">
        <v>1345</v>
      </c>
      <c r="Q694" t="s">
        <v>1101</v>
      </c>
      <c r="R694" t="s">
        <v>1199</v>
      </c>
      <c r="S694" t="s">
        <v>948</v>
      </c>
      <c r="T694" t="s">
        <v>1102</v>
      </c>
      <c r="U694" t="s">
        <v>1346</v>
      </c>
      <c r="V694" t="s">
        <v>1165</v>
      </c>
      <c r="W694">
        <v>1</v>
      </c>
      <c r="X694">
        <v>226.33</v>
      </c>
      <c r="Y694" t="s">
        <v>1166</v>
      </c>
      <c r="Z694" t="s">
        <v>1167</v>
      </c>
      <c r="AA694" t="s">
        <v>1347</v>
      </c>
    </row>
    <row r="695" spans="1:27" x14ac:dyDescent="0.3">
      <c r="A695" t="s">
        <v>1669</v>
      </c>
      <c r="B695" t="s">
        <v>1355</v>
      </c>
      <c r="C695" t="s">
        <v>975</v>
      </c>
      <c r="D695" t="s">
        <v>1265</v>
      </c>
      <c r="E695" t="s">
        <v>552</v>
      </c>
      <c r="F695">
        <v>46112</v>
      </c>
      <c r="G695" t="s">
        <v>686</v>
      </c>
      <c r="H695" t="s">
        <v>1159</v>
      </c>
      <c r="I695">
        <v>52550502</v>
      </c>
      <c r="J695" t="s">
        <v>1343</v>
      </c>
      <c r="K695" t="s">
        <v>1349</v>
      </c>
      <c r="L695">
        <v>280</v>
      </c>
      <c r="M695">
        <v>106.7</v>
      </c>
      <c r="N695">
        <v>0</v>
      </c>
      <c r="O695">
        <v>386.7</v>
      </c>
      <c r="P695" t="s">
        <v>1345</v>
      </c>
      <c r="Q695" t="s">
        <v>1101</v>
      </c>
      <c r="R695" t="s">
        <v>1199</v>
      </c>
      <c r="S695" t="s">
        <v>948</v>
      </c>
      <c r="T695" t="s">
        <v>1102</v>
      </c>
      <c r="U695" t="s">
        <v>1346</v>
      </c>
      <c r="V695" t="s">
        <v>1165</v>
      </c>
      <c r="W695">
        <v>1</v>
      </c>
      <c r="X695">
        <v>386.7</v>
      </c>
      <c r="Y695" t="s">
        <v>1166</v>
      </c>
      <c r="Z695" t="s">
        <v>1167</v>
      </c>
      <c r="AA695" t="s">
        <v>1347</v>
      </c>
    </row>
    <row r="696" spans="1:27" x14ac:dyDescent="0.3">
      <c r="A696" t="s">
        <v>1669</v>
      </c>
      <c r="B696" t="s">
        <v>1356</v>
      </c>
      <c r="C696" t="s">
        <v>975</v>
      </c>
      <c r="D696" t="s">
        <v>1265</v>
      </c>
      <c r="E696" t="s">
        <v>552</v>
      </c>
      <c r="F696">
        <v>46112</v>
      </c>
      <c r="G696" t="s">
        <v>686</v>
      </c>
      <c r="H696" t="s">
        <v>1159</v>
      </c>
      <c r="I696">
        <v>52550502</v>
      </c>
      <c r="J696" t="s">
        <v>1343</v>
      </c>
      <c r="K696" t="s">
        <v>1349</v>
      </c>
      <c r="L696">
        <v>0</v>
      </c>
      <c r="M696">
        <v>150.72</v>
      </c>
      <c r="N696">
        <v>0</v>
      </c>
      <c r="O696">
        <v>150.72</v>
      </c>
      <c r="P696" t="s">
        <v>1345</v>
      </c>
      <c r="Q696" t="s">
        <v>1101</v>
      </c>
      <c r="R696" t="s">
        <v>1199</v>
      </c>
      <c r="S696" t="s">
        <v>948</v>
      </c>
      <c r="T696" t="s">
        <v>1102</v>
      </c>
      <c r="U696" t="s">
        <v>1346</v>
      </c>
      <c r="V696" t="s">
        <v>1165</v>
      </c>
      <c r="W696">
        <v>1</v>
      </c>
      <c r="X696">
        <v>150.72</v>
      </c>
      <c r="Y696" t="s">
        <v>1166</v>
      </c>
      <c r="Z696" t="s">
        <v>1167</v>
      </c>
      <c r="AA696" t="s">
        <v>1347</v>
      </c>
    </row>
    <row r="697" spans="1:27" x14ac:dyDescent="0.3">
      <c r="A697" t="s">
        <v>1669</v>
      </c>
      <c r="B697" t="s">
        <v>1357</v>
      </c>
      <c r="C697" t="s">
        <v>975</v>
      </c>
      <c r="D697" t="s">
        <v>1265</v>
      </c>
      <c r="E697" t="s">
        <v>552</v>
      </c>
      <c r="F697">
        <v>46112</v>
      </c>
      <c r="G697" t="s">
        <v>686</v>
      </c>
      <c r="H697" t="s">
        <v>1159</v>
      </c>
      <c r="I697">
        <v>52550502</v>
      </c>
      <c r="J697" t="s">
        <v>1343</v>
      </c>
      <c r="K697" t="s">
        <v>1349</v>
      </c>
      <c r="L697">
        <v>24</v>
      </c>
      <c r="M697">
        <v>0</v>
      </c>
      <c r="N697">
        <v>0</v>
      </c>
      <c r="O697">
        <v>24</v>
      </c>
      <c r="P697" t="s">
        <v>1345</v>
      </c>
      <c r="Q697" t="s">
        <v>1101</v>
      </c>
      <c r="R697" t="s">
        <v>1199</v>
      </c>
      <c r="S697" t="s">
        <v>948</v>
      </c>
      <c r="T697" t="s">
        <v>1102</v>
      </c>
      <c r="U697" t="s">
        <v>1346</v>
      </c>
      <c r="V697" t="s">
        <v>1165</v>
      </c>
      <c r="W697">
        <v>1</v>
      </c>
      <c r="X697">
        <v>24</v>
      </c>
      <c r="Y697" t="s">
        <v>1166</v>
      </c>
      <c r="Z697" t="s">
        <v>1167</v>
      </c>
      <c r="AA697" t="s">
        <v>1347</v>
      </c>
    </row>
    <row r="698" spans="1:27" x14ac:dyDescent="0.3">
      <c r="A698" t="s">
        <v>1669</v>
      </c>
      <c r="B698" t="s">
        <v>1358</v>
      </c>
      <c r="C698" t="s">
        <v>975</v>
      </c>
      <c r="D698" t="s">
        <v>1265</v>
      </c>
      <c r="E698" t="s">
        <v>552</v>
      </c>
      <c r="F698">
        <v>46112</v>
      </c>
      <c r="G698" t="s">
        <v>686</v>
      </c>
      <c r="H698" t="s">
        <v>1159</v>
      </c>
      <c r="I698">
        <v>52550502</v>
      </c>
      <c r="J698" t="s">
        <v>1343</v>
      </c>
      <c r="K698" t="s">
        <v>1349</v>
      </c>
      <c r="L698">
        <v>24</v>
      </c>
      <c r="M698">
        <v>0</v>
      </c>
      <c r="N698">
        <v>0</v>
      </c>
      <c r="O698">
        <v>24</v>
      </c>
      <c r="P698" t="s">
        <v>1345</v>
      </c>
      <c r="Q698" t="s">
        <v>1101</v>
      </c>
      <c r="R698" t="s">
        <v>1199</v>
      </c>
      <c r="S698" t="s">
        <v>948</v>
      </c>
      <c r="T698" t="s">
        <v>1102</v>
      </c>
      <c r="U698" t="s">
        <v>1346</v>
      </c>
      <c r="V698" t="s">
        <v>1165</v>
      </c>
      <c r="W698">
        <v>1</v>
      </c>
      <c r="X698">
        <v>24</v>
      </c>
      <c r="Y698" t="s">
        <v>1166</v>
      </c>
      <c r="Z698" t="s">
        <v>1167</v>
      </c>
      <c r="AA698" t="s">
        <v>1347</v>
      </c>
    </row>
    <row r="699" spans="1:27" x14ac:dyDescent="0.3">
      <c r="A699" t="s">
        <v>1669</v>
      </c>
      <c r="B699" t="s">
        <v>1359</v>
      </c>
      <c r="C699" t="s">
        <v>975</v>
      </c>
      <c r="D699" t="s">
        <v>1265</v>
      </c>
      <c r="E699" t="s">
        <v>552</v>
      </c>
      <c r="F699">
        <v>46112</v>
      </c>
      <c r="G699" t="s">
        <v>686</v>
      </c>
      <c r="H699" t="s">
        <v>1159</v>
      </c>
      <c r="I699">
        <v>52954501</v>
      </c>
      <c r="J699" t="s">
        <v>1360</v>
      </c>
      <c r="K699" t="s">
        <v>1360</v>
      </c>
      <c r="L699">
        <v>0</v>
      </c>
      <c r="M699">
        <v>78</v>
      </c>
      <c r="N699">
        <v>0</v>
      </c>
      <c r="O699">
        <v>78</v>
      </c>
      <c r="P699" t="s">
        <v>1361</v>
      </c>
      <c r="Q699" t="s">
        <v>1103</v>
      </c>
      <c r="R699" t="s">
        <v>1199</v>
      </c>
      <c r="S699" t="s">
        <v>948</v>
      </c>
      <c r="T699" t="s">
        <v>1104</v>
      </c>
      <c r="U699" t="s">
        <v>1362</v>
      </c>
      <c r="V699" t="s">
        <v>1165</v>
      </c>
      <c r="W699">
        <v>1</v>
      </c>
      <c r="X699">
        <v>78</v>
      </c>
      <c r="Y699" t="s">
        <v>1166</v>
      </c>
      <c r="Z699" t="s">
        <v>1167</v>
      </c>
      <c r="AA699" t="s">
        <v>1363</v>
      </c>
    </row>
    <row r="700" spans="1:27" x14ac:dyDescent="0.3">
      <c r="A700" t="s">
        <v>1669</v>
      </c>
      <c r="B700" t="s">
        <v>1364</v>
      </c>
      <c r="C700" t="s">
        <v>975</v>
      </c>
      <c r="D700" t="s">
        <v>1265</v>
      </c>
      <c r="E700" t="s">
        <v>552</v>
      </c>
      <c r="F700">
        <v>46112</v>
      </c>
      <c r="G700" t="s">
        <v>686</v>
      </c>
      <c r="H700" t="s">
        <v>1159</v>
      </c>
      <c r="I700">
        <v>52959505</v>
      </c>
      <c r="J700" t="s">
        <v>1232</v>
      </c>
      <c r="K700" t="s">
        <v>1365</v>
      </c>
      <c r="L700">
        <v>1.9</v>
      </c>
      <c r="M700">
        <v>0</v>
      </c>
      <c r="N700">
        <v>0</v>
      </c>
      <c r="O700">
        <v>1.9</v>
      </c>
      <c r="P700" t="s">
        <v>1366</v>
      </c>
      <c r="Q700" t="s">
        <v>1105</v>
      </c>
      <c r="R700" t="s">
        <v>1199</v>
      </c>
      <c r="S700" t="s">
        <v>948</v>
      </c>
      <c r="T700" t="s">
        <v>1106</v>
      </c>
      <c r="U700" t="s">
        <v>576</v>
      </c>
      <c r="V700" t="s">
        <v>1165</v>
      </c>
      <c r="W700">
        <v>1</v>
      </c>
      <c r="X700">
        <v>1.9</v>
      </c>
      <c r="Y700" t="s">
        <v>1192</v>
      </c>
      <c r="Z700" t="s">
        <v>1193</v>
      </c>
      <c r="AA700" t="s">
        <v>1367</v>
      </c>
    </row>
    <row r="701" spans="1:27" x14ac:dyDescent="0.3">
      <c r="A701" t="s">
        <v>1669</v>
      </c>
      <c r="B701" t="s">
        <v>1368</v>
      </c>
      <c r="C701" t="s">
        <v>975</v>
      </c>
      <c r="D701" t="s">
        <v>1265</v>
      </c>
      <c r="E701" t="s">
        <v>552</v>
      </c>
      <c r="F701">
        <v>46112</v>
      </c>
      <c r="G701" t="s">
        <v>686</v>
      </c>
      <c r="H701" t="s">
        <v>1159</v>
      </c>
      <c r="I701">
        <v>53050501</v>
      </c>
      <c r="J701" t="s">
        <v>1258</v>
      </c>
      <c r="K701" t="s">
        <v>1258</v>
      </c>
      <c r="L701">
        <v>33.06</v>
      </c>
      <c r="M701">
        <v>11</v>
      </c>
      <c r="N701">
        <v>0</v>
      </c>
      <c r="O701">
        <v>44.06</v>
      </c>
      <c r="P701" t="s">
        <v>1260</v>
      </c>
      <c r="Q701" t="s">
        <v>1123</v>
      </c>
      <c r="R701" t="s">
        <v>1199</v>
      </c>
      <c r="S701" t="s">
        <v>717</v>
      </c>
      <c r="T701" t="s">
        <v>717</v>
      </c>
      <c r="U701" t="s">
        <v>1261</v>
      </c>
      <c r="V701" t="s">
        <v>1165</v>
      </c>
      <c r="W701">
        <v>1</v>
      </c>
      <c r="X701">
        <v>44.06</v>
      </c>
      <c r="Y701" t="s">
        <v>1166</v>
      </c>
      <c r="Z701" t="s">
        <v>1167</v>
      </c>
      <c r="AA701" t="s">
        <v>1262</v>
      </c>
    </row>
    <row r="702" spans="1:27" x14ac:dyDescent="0.3">
      <c r="A702" t="s">
        <v>1669</v>
      </c>
      <c r="B702" t="s">
        <v>1369</v>
      </c>
      <c r="C702" t="s">
        <v>975</v>
      </c>
      <c r="D702" t="s">
        <v>1265</v>
      </c>
      <c r="E702" t="s">
        <v>552</v>
      </c>
      <c r="F702">
        <v>46112</v>
      </c>
      <c r="G702" t="s">
        <v>686</v>
      </c>
      <c r="H702" t="s">
        <v>1159</v>
      </c>
      <c r="I702">
        <v>53050503</v>
      </c>
      <c r="J702" t="s">
        <v>1258</v>
      </c>
      <c r="K702" t="s">
        <v>573</v>
      </c>
      <c r="L702">
        <v>5.2</v>
      </c>
      <c r="M702">
        <v>0.35</v>
      </c>
      <c r="N702">
        <v>0</v>
      </c>
      <c r="O702">
        <v>5.55</v>
      </c>
      <c r="P702" t="s">
        <v>1260</v>
      </c>
      <c r="Q702" t="s">
        <v>1123</v>
      </c>
      <c r="R702" t="s">
        <v>1199</v>
      </c>
      <c r="S702" t="s">
        <v>717</v>
      </c>
      <c r="T702" t="s">
        <v>717</v>
      </c>
      <c r="U702" t="s">
        <v>1261</v>
      </c>
      <c r="V702" t="s">
        <v>1165</v>
      </c>
      <c r="W702">
        <v>1</v>
      </c>
      <c r="X702">
        <v>5.55</v>
      </c>
      <c r="Y702" t="s">
        <v>1166</v>
      </c>
      <c r="Z702" t="s">
        <v>1167</v>
      </c>
      <c r="AA702" t="s">
        <v>1262</v>
      </c>
    </row>
    <row r="703" spans="1:27" x14ac:dyDescent="0.3">
      <c r="A703" t="s">
        <v>1669</v>
      </c>
      <c r="B703" t="s">
        <v>1370</v>
      </c>
      <c r="C703" t="s">
        <v>975</v>
      </c>
      <c r="D703" t="s">
        <v>1265</v>
      </c>
      <c r="E703" t="s">
        <v>552</v>
      </c>
      <c r="F703">
        <v>46112</v>
      </c>
      <c r="G703" t="s">
        <v>686</v>
      </c>
      <c r="H703" t="s">
        <v>1159</v>
      </c>
      <c r="I703">
        <v>53050504</v>
      </c>
      <c r="J703" t="s">
        <v>1258</v>
      </c>
      <c r="K703" t="s">
        <v>1371</v>
      </c>
      <c r="L703">
        <v>240</v>
      </c>
      <c r="M703">
        <v>80</v>
      </c>
      <c r="N703">
        <v>0</v>
      </c>
      <c r="O703">
        <v>320</v>
      </c>
      <c r="P703" t="s">
        <v>1260</v>
      </c>
      <c r="Q703" t="s">
        <v>1123</v>
      </c>
      <c r="R703" t="s">
        <v>1199</v>
      </c>
      <c r="S703" t="s">
        <v>717</v>
      </c>
      <c r="T703" t="s">
        <v>717</v>
      </c>
      <c r="U703" t="s">
        <v>1261</v>
      </c>
      <c r="V703" t="s">
        <v>1165</v>
      </c>
      <c r="W703">
        <v>1</v>
      </c>
      <c r="X703">
        <v>320</v>
      </c>
      <c r="Y703" t="s">
        <v>1166</v>
      </c>
      <c r="Z703" t="s">
        <v>1167</v>
      </c>
      <c r="AA703" t="s">
        <v>1262</v>
      </c>
    </row>
    <row r="704" spans="1:27" x14ac:dyDescent="0.3">
      <c r="A704" t="s">
        <v>1670</v>
      </c>
      <c r="B704" t="s">
        <v>1158</v>
      </c>
      <c r="C704" t="s">
        <v>974</v>
      </c>
      <c r="D704" t="s">
        <v>1373</v>
      </c>
      <c r="E704" t="s">
        <v>552</v>
      </c>
      <c r="F704">
        <v>46112</v>
      </c>
      <c r="G704" t="s">
        <v>496</v>
      </c>
      <c r="H704" t="s">
        <v>1159</v>
      </c>
      <c r="I704">
        <v>11100501</v>
      </c>
      <c r="J704" t="s">
        <v>1160</v>
      </c>
      <c r="L704">
        <v>238971.43</v>
      </c>
      <c r="M704">
        <v>4500</v>
      </c>
      <c r="N704">
        <v>0</v>
      </c>
      <c r="O704">
        <v>243471.43</v>
      </c>
      <c r="P704" t="s">
        <v>1161</v>
      </c>
      <c r="Q704" t="s">
        <v>980</v>
      </c>
      <c r="R704" t="s">
        <v>1162</v>
      </c>
      <c r="S704" t="s">
        <v>1163</v>
      </c>
      <c r="T704" t="s">
        <v>926</v>
      </c>
      <c r="U704" t="s">
        <v>1164</v>
      </c>
      <c r="V704" t="s">
        <v>1165</v>
      </c>
      <c r="W704">
        <v>1</v>
      </c>
      <c r="X704">
        <v>243471.43</v>
      </c>
      <c r="Y704" t="s">
        <v>1166</v>
      </c>
      <c r="Z704" t="s">
        <v>1167</v>
      </c>
      <c r="AA704" t="s">
        <v>1168</v>
      </c>
    </row>
    <row r="705" spans="1:27" x14ac:dyDescent="0.3">
      <c r="A705" t="s">
        <v>1670</v>
      </c>
      <c r="B705" t="s">
        <v>1374</v>
      </c>
      <c r="C705" t="s">
        <v>974</v>
      </c>
      <c r="D705" t="s">
        <v>1373</v>
      </c>
      <c r="E705" t="s">
        <v>552</v>
      </c>
      <c r="F705">
        <v>46112</v>
      </c>
      <c r="G705" t="s">
        <v>496</v>
      </c>
      <c r="H705" t="s">
        <v>1159</v>
      </c>
      <c r="I705">
        <v>11100502</v>
      </c>
      <c r="J705" t="s">
        <v>1160</v>
      </c>
      <c r="L705">
        <v>82427.81</v>
      </c>
      <c r="M705">
        <v>166.05</v>
      </c>
      <c r="N705">
        <v>8889.36</v>
      </c>
      <c r="O705">
        <v>73704.5</v>
      </c>
      <c r="P705" t="s">
        <v>1161</v>
      </c>
      <c r="Q705" t="s">
        <v>980</v>
      </c>
      <c r="R705" t="s">
        <v>1162</v>
      </c>
      <c r="S705" t="s">
        <v>1163</v>
      </c>
      <c r="T705" t="s">
        <v>926</v>
      </c>
      <c r="U705" t="s">
        <v>1164</v>
      </c>
      <c r="V705" t="s">
        <v>1165</v>
      </c>
      <c r="W705">
        <v>1</v>
      </c>
      <c r="X705">
        <v>73704.5</v>
      </c>
      <c r="Y705" t="s">
        <v>1166</v>
      </c>
      <c r="Z705" t="s">
        <v>1167</v>
      </c>
      <c r="AA705" t="s">
        <v>1168</v>
      </c>
    </row>
    <row r="706" spans="1:27" x14ac:dyDescent="0.3">
      <c r="A706" t="s">
        <v>1670</v>
      </c>
      <c r="B706" t="s">
        <v>1267</v>
      </c>
      <c r="C706" t="s">
        <v>974</v>
      </c>
      <c r="D706" t="s">
        <v>1373</v>
      </c>
      <c r="E706" t="s">
        <v>552</v>
      </c>
      <c r="F706">
        <v>46112</v>
      </c>
      <c r="G706" t="s">
        <v>496</v>
      </c>
      <c r="H706" t="s">
        <v>1159</v>
      </c>
      <c r="I706">
        <v>11100503</v>
      </c>
      <c r="J706" t="s">
        <v>1160</v>
      </c>
      <c r="L706">
        <v>36808.21</v>
      </c>
      <c r="M706">
        <v>0.03</v>
      </c>
      <c r="N706">
        <v>0</v>
      </c>
      <c r="O706">
        <v>36808.239999999998</v>
      </c>
      <c r="P706" t="s">
        <v>1161</v>
      </c>
      <c r="Q706" t="s">
        <v>980</v>
      </c>
      <c r="R706" t="s">
        <v>1162</v>
      </c>
      <c r="S706" t="s">
        <v>1163</v>
      </c>
      <c r="T706" t="s">
        <v>926</v>
      </c>
      <c r="U706" t="s">
        <v>1164</v>
      </c>
      <c r="V706" t="s">
        <v>1165</v>
      </c>
      <c r="W706">
        <v>1</v>
      </c>
      <c r="X706">
        <v>36808.239999999998</v>
      </c>
      <c r="Y706" t="s">
        <v>1166</v>
      </c>
      <c r="Z706" t="s">
        <v>1167</v>
      </c>
      <c r="AA706" t="s">
        <v>1168</v>
      </c>
    </row>
    <row r="707" spans="1:27" x14ac:dyDescent="0.3">
      <c r="A707" t="s">
        <v>1670</v>
      </c>
      <c r="B707" t="s">
        <v>1375</v>
      </c>
      <c r="C707" t="s">
        <v>974</v>
      </c>
      <c r="D707" t="s">
        <v>1373</v>
      </c>
      <c r="E707" t="s">
        <v>552</v>
      </c>
      <c r="F707">
        <v>46112</v>
      </c>
      <c r="G707" t="s">
        <v>496</v>
      </c>
      <c r="H707" t="s">
        <v>1159</v>
      </c>
      <c r="I707">
        <v>13050501</v>
      </c>
      <c r="J707" t="s">
        <v>1273</v>
      </c>
      <c r="K707" t="s">
        <v>1376</v>
      </c>
      <c r="L707">
        <v>3900.35</v>
      </c>
      <c r="M707">
        <v>3622</v>
      </c>
      <c r="N707">
        <v>3900</v>
      </c>
      <c r="O707">
        <v>3622.35</v>
      </c>
      <c r="P707" t="s">
        <v>1275</v>
      </c>
      <c r="Q707" t="s">
        <v>983</v>
      </c>
      <c r="R707" t="s">
        <v>1162</v>
      </c>
      <c r="S707" t="s">
        <v>1163</v>
      </c>
      <c r="T707" t="s">
        <v>984</v>
      </c>
      <c r="U707" t="s">
        <v>1276</v>
      </c>
      <c r="V707" t="s">
        <v>1165</v>
      </c>
      <c r="W707">
        <v>1</v>
      </c>
      <c r="X707">
        <v>3622.35</v>
      </c>
      <c r="Y707" t="s">
        <v>1166</v>
      </c>
      <c r="Z707" t="s">
        <v>1167</v>
      </c>
      <c r="AA707" t="s">
        <v>1277</v>
      </c>
    </row>
    <row r="708" spans="1:27" x14ac:dyDescent="0.3">
      <c r="A708" t="s">
        <v>1670</v>
      </c>
      <c r="B708" t="s">
        <v>1377</v>
      </c>
      <c r="C708" t="s">
        <v>974</v>
      </c>
      <c r="D708" t="s">
        <v>1373</v>
      </c>
      <c r="E708" t="s">
        <v>552</v>
      </c>
      <c r="F708">
        <v>46112</v>
      </c>
      <c r="G708" t="s">
        <v>496</v>
      </c>
      <c r="H708" t="s">
        <v>1159</v>
      </c>
      <c r="I708">
        <v>13050501</v>
      </c>
      <c r="J708" t="s">
        <v>1273</v>
      </c>
      <c r="K708" t="s">
        <v>1378</v>
      </c>
      <c r="L708">
        <v>-217</v>
      </c>
      <c r="M708">
        <v>300</v>
      </c>
      <c r="N708">
        <v>300</v>
      </c>
      <c r="O708">
        <v>-217</v>
      </c>
      <c r="P708" t="s">
        <v>1275</v>
      </c>
      <c r="Q708" t="s">
        <v>983</v>
      </c>
      <c r="R708" t="s">
        <v>1162</v>
      </c>
      <c r="S708" t="s">
        <v>1163</v>
      </c>
      <c r="T708" t="s">
        <v>984</v>
      </c>
      <c r="U708" t="s">
        <v>1276</v>
      </c>
      <c r="V708" t="s">
        <v>1165</v>
      </c>
      <c r="W708">
        <v>1</v>
      </c>
      <c r="X708">
        <v>-217</v>
      </c>
      <c r="Y708" t="s">
        <v>1166</v>
      </c>
      <c r="Z708" t="s">
        <v>1167</v>
      </c>
      <c r="AA708" t="s">
        <v>1277</v>
      </c>
    </row>
    <row r="709" spans="1:27" x14ac:dyDescent="0.3">
      <c r="A709" t="s">
        <v>1670</v>
      </c>
      <c r="B709" t="s">
        <v>1278</v>
      </c>
      <c r="C709" t="s">
        <v>974</v>
      </c>
      <c r="D709" t="s">
        <v>1373</v>
      </c>
      <c r="E709" t="s">
        <v>552</v>
      </c>
      <c r="F709">
        <v>46112</v>
      </c>
      <c r="G709" t="s">
        <v>496</v>
      </c>
      <c r="H709" t="s">
        <v>1159</v>
      </c>
      <c r="I709">
        <v>13050501</v>
      </c>
      <c r="J709" t="s">
        <v>1273</v>
      </c>
      <c r="K709" t="s">
        <v>1379</v>
      </c>
      <c r="L709">
        <v>217</v>
      </c>
      <c r="M709">
        <v>0</v>
      </c>
      <c r="N709">
        <v>0</v>
      </c>
      <c r="O709">
        <v>217</v>
      </c>
      <c r="P709" t="s">
        <v>1275</v>
      </c>
      <c r="Q709" t="s">
        <v>983</v>
      </c>
      <c r="R709" t="s">
        <v>1162</v>
      </c>
      <c r="S709" t="s">
        <v>1163</v>
      </c>
      <c r="T709" t="s">
        <v>984</v>
      </c>
      <c r="U709" t="s">
        <v>1276</v>
      </c>
      <c r="V709" t="s">
        <v>1165</v>
      </c>
      <c r="W709">
        <v>1</v>
      </c>
      <c r="X709">
        <v>217</v>
      </c>
      <c r="Y709" t="s">
        <v>1166</v>
      </c>
      <c r="Z709" t="s">
        <v>1167</v>
      </c>
      <c r="AA709" t="s">
        <v>1277</v>
      </c>
    </row>
    <row r="710" spans="1:27" x14ac:dyDescent="0.3">
      <c r="A710" t="s">
        <v>1670</v>
      </c>
      <c r="B710" t="s">
        <v>1380</v>
      </c>
      <c r="C710" t="s">
        <v>974</v>
      </c>
      <c r="D710" t="s">
        <v>1373</v>
      </c>
      <c r="E710" t="s">
        <v>552</v>
      </c>
      <c r="F710">
        <v>46112</v>
      </c>
      <c r="G710" t="s">
        <v>496</v>
      </c>
      <c r="H710" t="s">
        <v>1159</v>
      </c>
      <c r="I710">
        <v>13050501</v>
      </c>
      <c r="J710" t="s">
        <v>1273</v>
      </c>
      <c r="K710" t="s">
        <v>1381</v>
      </c>
      <c r="L710">
        <v>96.45</v>
      </c>
      <c r="M710">
        <v>96.45</v>
      </c>
      <c r="N710">
        <v>96.45</v>
      </c>
      <c r="O710">
        <v>96.45</v>
      </c>
      <c r="P710" t="s">
        <v>1275</v>
      </c>
      <c r="Q710" t="s">
        <v>983</v>
      </c>
      <c r="R710" t="s">
        <v>1162</v>
      </c>
      <c r="S710" t="s">
        <v>1163</v>
      </c>
      <c r="T710" t="s">
        <v>984</v>
      </c>
      <c r="U710" t="s">
        <v>1276</v>
      </c>
      <c r="V710" t="s">
        <v>1165</v>
      </c>
      <c r="W710">
        <v>1</v>
      </c>
      <c r="X710">
        <v>96.45</v>
      </c>
      <c r="Y710" t="s">
        <v>1166</v>
      </c>
      <c r="Z710" t="s">
        <v>1167</v>
      </c>
      <c r="AA710" t="s">
        <v>1277</v>
      </c>
    </row>
    <row r="711" spans="1:27" x14ac:dyDescent="0.3">
      <c r="A711" t="s">
        <v>1670</v>
      </c>
      <c r="B711" t="s">
        <v>1177</v>
      </c>
      <c r="C711" t="s">
        <v>974</v>
      </c>
      <c r="D711" t="s">
        <v>1373</v>
      </c>
      <c r="E711" t="s">
        <v>552</v>
      </c>
      <c r="F711">
        <v>46112</v>
      </c>
      <c r="G711" t="s">
        <v>496</v>
      </c>
      <c r="H711" t="s">
        <v>1159</v>
      </c>
      <c r="I711">
        <v>13050501</v>
      </c>
      <c r="J711" t="s">
        <v>1273</v>
      </c>
      <c r="K711" t="s">
        <v>1382</v>
      </c>
      <c r="L711">
        <v>110</v>
      </c>
      <c r="M711">
        <v>55</v>
      </c>
      <c r="N711">
        <v>55</v>
      </c>
      <c r="O711">
        <v>110</v>
      </c>
      <c r="P711" t="s">
        <v>1275</v>
      </c>
      <c r="Q711" t="s">
        <v>983</v>
      </c>
      <c r="R711" t="s">
        <v>1162</v>
      </c>
      <c r="S711" t="s">
        <v>1163</v>
      </c>
      <c r="T711" t="s">
        <v>984</v>
      </c>
      <c r="U711" t="s">
        <v>1276</v>
      </c>
      <c r="V711" t="s">
        <v>1165</v>
      </c>
      <c r="W711">
        <v>1</v>
      </c>
      <c r="X711">
        <v>110</v>
      </c>
      <c r="Y711" t="s">
        <v>1166</v>
      </c>
      <c r="Z711" t="s">
        <v>1167</v>
      </c>
      <c r="AA711" t="s">
        <v>1277</v>
      </c>
    </row>
    <row r="712" spans="1:27" x14ac:dyDescent="0.3">
      <c r="A712" t="s">
        <v>1670</v>
      </c>
      <c r="B712" t="s">
        <v>1183</v>
      </c>
      <c r="C712" t="s">
        <v>974</v>
      </c>
      <c r="D712" t="s">
        <v>1373</v>
      </c>
      <c r="E712" t="s">
        <v>552</v>
      </c>
      <c r="F712">
        <v>46112</v>
      </c>
      <c r="G712" t="s">
        <v>496</v>
      </c>
      <c r="H712" t="s">
        <v>1159</v>
      </c>
      <c r="I712">
        <v>13309501</v>
      </c>
      <c r="J712" t="s">
        <v>1232</v>
      </c>
      <c r="K712" t="s">
        <v>1378</v>
      </c>
      <c r="L712">
        <v>0</v>
      </c>
      <c r="M712">
        <v>0</v>
      </c>
      <c r="N712">
        <v>300</v>
      </c>
      <c r="O712">
        <v>-300</v>
      </c>
      <c r="P712" t="s">
        <v>1383</v>
      </c>
      <c r="Q712" t="s">
        <v>985</v>
      </c>
      <c r="R712" t="s">
        <v>1162</v>
      </c>
      <c r="S712" t="s">
        <v>1163</v>
      </c>
      <c r="T712" t="s">
        <v>986</v>
      </c>
      <c r="U712" t="s">
        <v>1384</v>
      </c>
      <c r="V712" t="s">
        <v>1165</v>
      </c>
      <c r="W712">
        <v>1</v>
      </c>
      <c r="X712">
        <v>-300</v>
      </c>
      <c r="Y712" t="s">
        <v>1192</v>
      </c>
      <c r="Z712" t="s">
        <v>1193</v>
      </c>
      <c r="AA712" t="s">
        <v>1385</v>
      </c>
    </row>
    <row r="713" spans="1:27" x14ac:dyDescent="0.3">
      <c r="A713" t="s">
        <v>1670</v>
      </c>
      <c r="B713" t="s">
        <v>1294</v>
      </c>
      <c r="C713" t="s">
        <v>974</v>
      </c>
      <c r="D713" t="s">
        <v>1373</v>
      </c>
      <c r="E713" t="s">
        <v>552</v>
      </c>
      <c r="F713">
        <v>46112</v>
      </c>
      <c r="G713" t="s">
        <v>496</v>
      </c>
      <c r="H713" t="s">
        <v>1159</v>
      </c>
      <c r="I713">
        <v>13802001</v>
      </c>
      <c r="J713" t="s">
        <v>1386</v>
      </c>
      <c r="K713" t="s">
        <v>1387</v>
      </c>
      <c r="L713">
        <v>4300</v>
      </c>
      <c r="M713">
        <v>0</v>
      </c>
      <c r="N713">
        <v>0</v>
      </c>
      <c r="O713">
        <v>4300</v>
      </c>
      <c r="P713" t="s">
        <v>1388</v>
      </c>
      <c r="Q713" t="s">
        <v>989</v>
      </c>
      <c r="R713" t="s">
        <v>1162</v>
      </c>
      <c r="S713" t="s">
        <v>1163</v>
      </c>
      <c r="T713" t="s">
        <v>990</v>
      </c>
      <c r="U713" t="s">
        <v>1389</v>
      </c>
      <c r="V713" t="s">
        <v>1165</v>
      </c>
      <c r="W713">
        <v>1</v>
      </c>
      <c r="X713">
        <v>4300</v>
      </c>
      <c r="Y713" t="s">
        <v>1166</v>
      </c>
      <c r="Z713" t="s">
        <v>1193</v>
      </c>
      <c r="AA713" t="s">
        <v>1390</v>
      </c>
    </row>
    <row r="714" spans="1:27" x14ac:dyDescent="0.3">
      <c r="A714" t="s">
        <v>1670</v>
      </c>
      <c r="B714" t="s">
        <v>1188</v>
      </c>
      <c r="C714" t="s">
        <v>974</v>
      </c>
      <c r="D714" t="s">
        <v>1373</v>
      </c>
      <c r="E714" t="s">
        <v>552</v>
      </c>
      <c r="F714">
        <v>46112</v>
      </c>
      <c r="G714" t="s">
        <v>496</v>
      </c>
      <c r="H714" t="s">
        <v>1159</v>
      </c>
      <c r="I714">
        <v>13802001</v>
      </c>
      <c r="J714" t="s">
        <v>1386</v>
      </c>
      <c r="K714" t="s">
        <v>1179</v>
      </c>
      <c r="L714">
        <v>20079</v>
      </c>
      <c r="M714">
        <v>1540</v>
      </c>
      <c r="N714">
        <v>0</v>
      </c>
      <c r="O714">
        <v>21619</v>
      </c>
      <c r="P714" t="s">
        <v>1388</v>
      </c>
      <c r="Q714" t="s">
        <v>989</v>
      </c>
      <c r="R714" t="s">
        <v>1162</v>
      </c>
      <c r="S714" t="s">
        <v>1163</v>
      </c>
      <c r="T714" t="s">
        <v>990</v>
      </c>
      <c r="U714" t="s">
        <v>1389</v>
      </c>
      <c r="V714" t="s">
        <v>1165</v>
      </c>
      <c r="W714">
        <v>1</v>
      </c>
      <c r="X714">
        <v>21619</v>
      </c>
      <c r="Y714" t="s">
        <v>1166</v>
      </c>
      <c r="Z714" t="s">
        <v>1193</v>
      </c>
      <c r="AA714" t="s">
        <v>1390</v>
      </c>
    </row>
    <row r="715" spans="1:27" x14ac:dyDescent="0.3">
      <c r="A715" t="s">
        <v>1670</v>
      </c>
      <c r="B715" t="s">
        <v>1391</v>
      </c>
      <c r="C715" t="s">
        <v>974</v>
      </c>
      <c r="D715" t="s">
        <v>1373</v>
      </c>
      <c r="E715" t="s">
        <v>552</v>
      </c>
      <c r="F715">
        <v>46112</v>
      </c>
      <c r="G715" t="s">
        <v>496</v>
      </c>
      <c r="H715" t="s">
        <v>1159</v>
      </c>
      <c r="I715">
        <v>13802001</v>
      </c>
      <c r="J715" t="s">
        <v>1386</v>
      </c>
      <c r="K715" t="s">
        <v>1392</v>
      </c>
      <c r="L715">
        <v>571891.71</v>
      </c>
      <c r="M715">
        <v>0</v>
      </c>
      <c r="N715">
        <v>0</v>
      </c>
      <c r="O715">
        <v>571891.71</v>
      </c>
      <c r="P715" t="s">
        <v>1388</v>
      </c>
      <c r="Q715" t="s">
        <v>989</v>
      </c>
      <c r="R715" t="s">
        <v>1162</v>
      </c>
      <c r="S715" t="s">
        <v>1163</v>
      </c>
      <c r="T715" t="s">
        <v>990</v>
      </c>
      <c r="U715" t="s">
        <v>1389</v>
      </c>
      <c r="V715" t="s">
        <v>1165</v>
      </c>
      <c r="W715">
        <v>1</v>
      </c>
      <c r="X715">
        <v>571891.71</v>
      </c>
      <c r="Y715" t="s">
        <v>1166</v>
      </c>
      <c r="Z715" t="s">
        <v>1193</v>
      </c>
      <c r="AA715" t="s">
        <v>1390</v>
      </c>
    </row>
    <row r="716" spans="1:27" x14ac:dyDescent="0.3">
      <c r="A716" t="s">
        <v>1670</v>
      </c>
      <c r="B716" t="s">
        <v>1195</v>
      </c>
      <c r="C716" t="s">
        <v>974</v>
      </c>
      <c r="D716" t="s">
        <v>1373</v>
      </c>
      <c r="E716" t="s">
        <v>552</v>
      </c>
      <c r="F716">
        <v>46112</v>
      </c>
      <c r="G716" t="s">
        <v>496</v>
      </c>
      <c r="H716" t="s">
        <v>1159</v>
      </c>
      <c r="I716">
        <v>15280501</v>
      </c>
      <c r="J716" t="s">
        <v>1285</v>
      </c>
      <c r="L716">
        <v>8817.2199999999993</v>
      </c>
      <c r="M716">
        <v>0</v>
      </c>
      <c r="N716">
        <v>0</v>
      </c>
      <c r="O716">
        <v>8817.2199999999993</v>
      </c>
      <c r="P716" t="s">
        <v>1287</v>
      </c>
      <c r="Q716" t="s">
        <v>995</v>
      </c>
      <c r="R716" t="s">
        <v>1162</v>
      </c>
      <c r="S716" t="s">
        <v>957</v>
      </c>
      <c r="T716" t="s">
        <v>996</v>
      </c>
      <c r="U716" t="s">
        <v>1288</v>
      </c>
      <c r="V716" t="s">
        <v>1165</v>
      </c>
      <c r="W716">
        <v>1</v>
      </c>
      <c r="X716">
        <v>8817.2199999999993</v>
      </c>
      <c r="Y716" t="s">
        <v>1166</v>
      </c>
      <c r="Z716" t="s">
        <v>1167</v>
      </c>
      <c r="AA716" t="s">
        <v>1289</v>
      </c>
    </row>
    <row r="717" spans="1:27" x14ac:dyDescent="0.3">
      <c r="A717" t="s">
        <v>1670</v>
      </c>
      <c r="B717" t="s">
        <v>1393</v>
      </c>
      <c r="C717" t="s">
        <v>974</v>
      </c>
      <c r="D717" t="s">
        <v>1373</v>
      </c>
      <c r="E717" t="s">
        <v>552</v>
      </c>
      <c r="F717">
        <v>46112</v>
      </c>
      <c r="G717" t="s">
        <v>496</v>
      </c>
      <c r="H717" t="s">
        <v>1159</v>
      </c>
      <c r="I717">
        <v>15922001</v>
      </c>
      <c r="J717" t="s">
        <v>1394</v>
      </c>
      <c r="L717">
        <v>-4924</v>
      </c>
      <c r="M717">
        <v>0</v>
      </c>
      <c r="N717">
        <v>0</v>
      </c>
      <c r="O717">
        <v>-4924</v>
      </c>
      <c r="P717" t="s">
        <v>1395</v>
      </c>
      <c r="Q717" t="s">
        <v>997</v>
      </c>
      <c r="R717" t="s">
        <v>1162</v>
      </c>
      <c r="S717" t="s">
        <v>957</v>
      </c>
      <c r="T717" t="s">
        <v>998</v>
      </c>
      <c r="U717" t="s">
        <v>1288</v>
      </c>
      <c r="V717" t="s">
        <v>1396</v>
      </c>
      <c r="W717">
        <v>1</v>
      </c>
      <c r="X717">
        <v>-4924</v>
      </c>
      <c r="Y717" t="s">
        <v>1166</v>
      </c>
      <c r="Z717" t="s">
        <v>1167</v>
      </c>
      <c r="AA717" t="s">
        <v>1397</v>
      </c>
    </row>
    <row r="718" spans="1:27" x14ac:dyDescent="0.3">
      <c r="A718" t="s">
        <v>1670</v>
      </c>
      <c r="B718" t="s">
        <v>1398</v>
      </c>
      <c r="C718" t="s">
        <v>974</v>
      </c>
      <c r="D718" t="s">
        <v>1373</v>
      </c>
      <c r="E718" t="s">
        <v>552</v>
      </c>
      <c r="F718">
        <v>46112</v>
      </c>
      <c r="G718" t="s">
        <v>496</v>
      </c>
      <c r="H718" t="s">
        <v>1159</v>
      </c>
      <c r="I718">
        <v>21051001</v>
      </c>
      <c r="J718" t="s">
        <v>1399</v>
      </c>
      <c r="K718" t="s">
        <v>1535</v>
      </c>
      <c r="L718">
        <v>0</v>
      </c>
      <c r="M718">
        <v>400</v>
      </c>
      <c r="N718">
        <v>400</v>
      </c>
      <c r="O718">
        <v>0</v>
      </c>
      <c r="P718" t="s">
        <v>1401</v>
      </c>
      <c r="Q718" t="s">
        <v>1006</v>
      </c>
      <c r="R718" t="s">
        <v>1162</v>
      </c>
      <c r="S718" t="s">
        <v>1402</v>
      </c>
      <c r="T718" t="s">
        <v>1007</v>
      </c>
      <c r="U718" t="s">
        <v>1403</v>
      </c>
      <c r="V718" t="s">
        <v>1175</v>
      </c>
      <c r="W718">
        <v>-1</v>
      </c>
      <c r="Y718" t="s">
        <v>1192</v>
      </c>
      <c r="Z718" t="s">
        <v>1193</v>
      </c>
      <c r="AA718" t="s">
        <v>1404</v>
      </c>
    </row>
    <row r="719" spans="1:27" x14ac:dyDescent="0.3">
      <c r="A719" t="s">
        <v>1670</v>
      </c>
      <c r="B719" t="s">
        <v>1309</v>
      </c>
      <c r="C719" t="s">
        <v>974</v>
      </c>
      <c r="D719" t="s">
        <v>1373</v>
      </c>
      <c r="E719" t="s">
        <v>552</v>
      </c>
      <c r="F719">
        <v>46112</v>
      </c>
      <c r="G719" t="s">
        <v>496</v>
      </c>
      <c r="H719" t="s">
        <v>1159</v>
      </c>
      <c r="I719">
        <v>21051001</v>
      </c>
      <c r="J719" t="s">
        <v>1399</v>
      </c>
      <c r="K719" t="s">
        <v>1513</v>
      </c>
      <c r="L719">
        <v>0</v>
      </c>
      <c r="M719">
        <v>7.03</v>
      </c>
      <c r="N719">
        <v>7.03</v>
      </c>
      <c r="O719">
        <v>0</v>
      </c>
      <c r="P719" t="s">
        <v>1401</v>
      </c>
      <c r="Q719" t="s">
        <v>1006</v>
      </c>
      <c r="R719" t="s">
        <v>1162</v>
      </c>
      <c r="S719" t="s">
        <v>1402</v>
      </c>
      <c r="T719" t="s">
        <v>1007</v>
      </c>
      <c r="U719" t="s">
        <v>1403</v>
      </c>
      <c r="V719" t="s">
        <v>1175</v>
      </c>
      <c r="W719">
        <v>-1</v>
      </c>
      <c r="Y719" t="s">
        <v>1192</v>
      </c>
      <c r="Z719" t="s">
        <v>1193</v>
      </c>
      <c r="AA719" t="s">
        <v>1404</v>
      </c>
    </row>
    <row r="720" spans="1:27" x14ac:dyDescent="0.3">
      <c r="A720" t="s">
        <v>1670</v>
      </c>
      <c r="B720" t="s">
        <v>1218</v>
      </c>
      <c r="C720" t="s">
        <v>974</v>
      </c>
      <c r="D720" t="s">
        <v>1373</v>
      </c>
      <c r="E720" t="s">
        <v>552</v>
      </c>
      <c r="F720">
        <v>46112</v>
      </c>
      <c r="G720" t="s">
        <v>496</v>
      </c>
      <c r="H720" t="s">
        <v>1159</v>
      </c>
      <c r="I720">
        <v>21051001</v>
      </c>
      <c r="J720" t="s">
        <v>1399</v>
      </c>
      <c r="K720" t="s">
        <v>1519</v>
      </c>
      <c r="L720">
        <v>0</v>
      </c>
      <c r="M720">
        <v>72.540000000000006</v>
      </c>
      <c r="N720">
        <v>72.540000000000006</v>
      </c>
      <c r="O720">
        <v>0</v>
      </c>
      <c r="P720" t="s">
        <v>1401</v>
      </c>
      <c r="Q720" t="s">
        <v>1006</v>
      </c>
      <c r="R720" t="s">
        <v>1162</v>
      </c>
      <c r="S720" t="s">
        <v>1402</v>
      </c>
      <c r="T720" t="s">
        <v>1007</v>
      </c>
      <c r="U720" t="s">
        <v>1403</v>
      </c>
      <c r="V720" t="s">
        <v>1175</v>
      </c>
      <c r="W720">
        <v>-1</v>
      </c>
      <c r="Y720" t="s">
        <v>1192</v>
      </c>
      <c r="Z720" t="s">
        <v>1193</v>
      </c>
      <c r="AA720" t="s">
        <v>1404</v>
      </c>
    </row>
    <row r="721" spans="1:27" x14ac:dyDescent="0.3">
      <c r="A721" t="s">
        <v>1670</v>
      </c>
      <c r="B721" t="s">
        <v>1224</v>
      </c>
      <c r="C721" t="s">
        <v>974</v>
      </c>
      <c r="D721" t="s">
        <v>1373</v>
      </c>
      <c r="E721" t="s">
        <v>552</v>
      </c>
      <c r="F721">
        <v>46112</v>
      </c>
      <c r="G721" t="s">
        <v>496</v>
      </c>
      <c r="H721" t="s">
        <v>1159</v>
      </c>
      <c r="I721">
        <v>21051001</v>
      </c>
      <c r="J721" t="s">
        <v>1399</v>
      </c>
      <c r="K721" t="s">
        <v>1456</v>
      </c>
      <c r="L721">
        <v>0</v>
      </c>
      <c r="M721">
        <v>2.1800000000000002</v>
      </c>
      <c r="N721">
        <v>2.1800000000000002</v>
      </c>
      <c r="O721">
        <v>0</v>
      </c>
      <c r="P721" t="s">
        <v>1401</v>
      </c>
      <c r="Q721" t="s">
        <v>1006</v>
      </c>
      <c r="R721" t="s">
        <v>1162</v>
      </c>
      <c r="S721" t="s">
        <v>1402</v>
      </c>
      <c r="T721" t="s">
        <v>1007</v>
      </c>
      <c r="U721" t="s">
        <v>1403</v>
      </c>
      <c r="V721" t="s">
        <v>1175</v>
      </c>
      <c r="W721">
        <v>-1</v>
      </c>
      <c r="Y721" t="s">
        <v>1192</v>
      </c>
      <c r="Z721" t="s">
        <v>1193</v>
      </c>
      <c r="AA721" t="s">
        <v>1404</v>
      </c>
    </row>
    <row r="722" spans="1:27" x14ac:dyDescent="0.3">
      <c r="A722" t="s">
        <v>1670</v>
      </c>
      <c r="B722" t="s">
        <v>1562</v>
      </c>
      <c r="C722" t="s">
        <v>974</v>
      </c>
      <c r="D722" t="s">
        <v>1373</v>
      </c>
      <c r="E722" t="s">
        <v>552</v>
      </c>
      <c r="F722">
        <v>46112</v>
      </c>
      <c r="G722" t="s">
        <v>496</v>
      </c>
      <c r="H722" t="s">
        <v>1159</v>
      </c>
      <c r="I722">
        <v>21051001</v>
      </c>
      <c r="J722" t="s">
        <v>1399</v>
      </c>
      <c r="K722" t="s">
        <v>1406</v>
      </c>
      <c r="L722">
        <v>-191.4</v>
      </c>
      <c r="M722">
        <v>1047.6500000000001</v>
      </c>
      <c r="N722">
        <v>919.4</v>
      </c>
      <c r="O722">
        <v>-63.15</v>
      </c>
      <c r="P722" t="s">
        <v>1401</v>
      </c>
      <c r="Q722" t="s">
        <v>1006</v>
      </c>
      <c r="R722" t="s">
        <v>1162</v>
      </c>
      <c r="S722" t="s">
        <v>1402</v>
      </c>
      <c r="T722" t="s">
        <v>1007</v>
      </c>
      <c r="U722" t="s">
        <v>1403</v>
      </c>
      <c r="V722" t="s">
        <v>1175</v>
      </c>
      <c r="W722">
        <v>-1</v>
      </c>
      <c r="X722">
        <v>63.15</v>
      </c>
      <c r="Y722" t="s">
        <v>1192</v>
      </c>
      <c r="Z722" t="s">
        <v>1193</v>
      </c>
      <c r="AA722" t="s">
        <v>1404</v>
      </c>
    </row>
    <row r="723" spans="1:27" x14ac:dyDescent="0.3">
      <c r="A723" t="s">
        <v>1670</v>
      </c>
      <c r="B723" t="s">
        <v>1584</v>
      </c>
      <c r="C723" t="s">
        <v>974</v>
      </c>
      <c r="D723" t="s">
        <v>1373</v>
      </c>
      <c r="E723" t="s">
        <v>552</v>
      </c>
      <c r="F723">
        <v>46112</v>
      </c>
      <c r="G723" t="s">
        <v>496</v>
      </c>
      <c r="H723" t="s">
        <v>1159</v>
      </c>
      <c r="I723">
        <v>28050501</v>
      </c>
      <c r="J723" t="s">
        <v>1407</v>
      </c>
      <c r="K723" t="s">
        <v>1408</v>
      </c>
      <c r="L723">
        <v>-580342.75</v>
      </c>
      <c r="M723">
        <v>0</v>
      </c>
      <c r="N723">
        <v>0</v>
      </c>
      <c r="O723">
        <v>-580342.75</v>
      </c>
      <c r="P723" t="s">
        <v>1409</v>
      </c>
      <c r="Q723" t="s">
        <v>1016</v>
      </c>
      <c r="R723" t="s">
        <v>1162</v>
      </c>
      <c r="S723" t="s">
        <v>1173</v>
      </c>
      <c r="T723" t="s">
        <v>1017</v>
      </c>
      <c r="U723" t="s">
        <v>1410</v>
      </c>
      <c r="V723" t="s">
        <v>1175</v>
      </c>
      <c r="W723">
        <v>-1</v>
      </c>
      <c r="X723">
        <v>580342.75</v>
      </c>
      <c r="Y723" t="s">
        <v>1166</v>
      </c>
      <c r="Z723" t="s">
        <v>1167</v>
      </c>
      <c r="AA723" t="s">
        <v>1411</v>
      </c>
    </row>
    <row r="724" spans="1:27" x14ac:dyDescent="0.3">
      <c r="A724" t="s">
        <v>1670</v>
      </c>
      <c r="B724" t="s">
        <v>1239</v>
      </c>
      <c r="C724" t="s">
        <v>974</v>
      </c>
      <c r="D724" t="s">
        <v>1373</v>
      </c>
      <c r="E724" t="s">
        <v>552</v>
      </c>
      <c r="F724">
        <v>46112</v>
      </c>
      <c r="G724" t="s">
        <v>496</v>
      </c>
      <c r="H724" t="s">
        <v>1159</v>
      </c>
      <c r="I724">
        <v>31050501</v>
      </c>
      <c r="J724" t="s">
        <v>1178</v>
      </c>
      <c r="L724">
        <v>-383868</v>
      </c>
      <c r="M724">
        <v>0</v>
      </c>
      <c r="N724">
        <v>0</v>
      </c>
      <c r="O724">
        <v>-383868</v>
      </c>
      <c r="P724" t="s">
        <v>1180</v>
      </c>
      <c r="Q724" t="s">
        <v>1028</v>
      </c>
      <c r="R724" t="s">
        <v>1162</v>
      </c>
      <c r="S724" t="s">
        <v>1181</v>
      </c>
      <c r="T724" t="s">
        <v>1029</v>
      </c>
      <c r="U724" t="s">
        <v>1182</v>
      </c>
      <c r="V724" t="s">
        <v>1175</v>
      </c>
      <c r="W724">
        <v>-1</v>
      </c>
      <c r="X724">
        <v>383868</v>
      </c>
      <c r="Y724" t="s">
        <v>1166</v>
      </c>
      <c r="Z724" t="s">
        <v>1167</v>
      </c>
      <c r="AA724" t="s">
        <v>1029</v>
      </c>
    </row>
    <row r="725" spans="1:27" x14ac:dyDescent="0.3">
      <c r="A725" t="s">
        <v>1670</v>
      </c>
      <c r="B725" t="s">
        <v>1251</v>
      </c>
      <c r="C725" t="s">
        <v>974</v>
      </c>
      <c r="D725" t="s">
        <v>1373</v>
      </c>
      <c r="E725" t="s">
        <v>552</v>
      </c>
      <c r="F725">
        <v>46112</v>
      </c>
      <c r="G725" t="s">
        <v>496</v>
      </c>
      <c r="H725" t="s">
        <v>1159</v>
      </c>
      <c r="I725">
        <v>36050501</v>
      </c>
      <c r="J725" t="s">
        <v>876</v>
      </c>
      <c r="L725">
        <v>1033.5</v>
      </c>
      <c r="M725">
        <v>0</v>
      </c>
      <c r="N725">
        <v>0</v>
      </c>
      <c r="O725">
        <v>1033.5</v>
      </c>
      <c r="P725" t="s">
        <v>1413</v>
      </c>
      <c r="Q725" t="s">
        <v>1033</v>
      </c>
      <c r="R725" t="s">
        <v>1162</v>
      </c>
      <c r="S725" t="s">
        <v>1181</v>
      </c>
      <c r="T725" t="s">
        <v>1034</v>
      </c>
      <c r="U725" t="s">
        <v>1414</v>
      </c>
      <c r="V725" t="s">
        <v>1175</v>
      </c>
      <c r="W725">
        <v>-1</v>
      </c>
      <c r="X725">
        <v>-1033.5</v>
      </c>
      <c r="Y725" t="s">
        <v>1192</v>
      </c>
      <c r="Z725" t="s">
        <v>1193</v>
      </c>
      <c r="AA725" t="s">
        <v>1415</v>
      </c>
    </row>
    <row r="726" spans="1:27" x14ac:dyDescent="0.3">
      <c r="A726" t="s">
        <v>1670</v>
      </c>
      <c r="B726" t="s">
        <v>1577</v>
      </c>
      <c r="C726" t="s">
        <v>974</v>
      </c>
      <c r="D726" t="s">
        <v>1373</v>
      </c>
      <c r="E726" t="s">
        <v>552</v>
      </c>
      <c r="F726">
        <v>46112</v>
      </c>
      <c r="G726" t="s">
        <v>496</v>
      </c>
      <c r="H726" t="s">
        <v>1159</v>
      </c>
      <c r="I726">
        <v>36100101</v>
      </c>
      <c r="J726" t="s">
        <v>1189</v>
      </c>
      <c r="L726">
        <v>-14076</v>
      </c>
      <c r="M726">
        <v>0</v>
      </c>
      <c r="N726">
        <v>0</v>
      </c>
      <c r="O726">
        <v>-14076</v>
      </c>
      <c r="P726" t="s">
        <v>1190</v>
      </c>
      <c r="Q726" t="s">
        <v>1033</v>
      </c>
      <c r="R726" t="s">
        <v>1162</v>
      </c>
      <c r="S726" t="s">
        <v>1181</v>
      </c>
      <c r="T726" t="s">
        <v>1034</v>
      </c>
      <c r="U726" t="s">
        <v>1191</v>
      </c>
      <c r="V726" t="s">
        <v>1175</v>
      </c>
      <c r="W726">
        <v>-1</v>
      </c>
      <c r="X726">
        <v>14076</v>
      </c>
      <c r="Y726" t="s">
        <v>1192</v>
      </c>
      <c r="Z726" t="s">
        <v>1193</v>
      </c>
      <c r="AA726" t="s">
        <v>1194</v>
      </c>
    </row>
    <row r="727" spans="1:27" x14ac:dyDescent="0.3">
      <c r="A727" t="s">
        <v>1670</v>
      </c>
      <c r="B727" t="s">
        <v>1348</v>
      </c>
      <c r="C727" t="s">
        <v>974</v>
      </c>
      <c r="D727" t="s">
        <v>1373</v>
      </c>
      <c r="E727" t="s">
        <v>552</v>
      </c>
      <c r="F727">
        <v>46112</v>
      </c>
      <c r="G727" t="s">
        <v>496</v>
      </c>
      <c r="H727" t="s">
        <v>1159</v>
      </c>
      <c r="I727">
        <v>41700101</v>
      </c>
      <c r="J727" t="s">
        <v>1315</v>
      </c>
      <c r="K727" t="s">
        <v>1376</v>
      </c>
      <c r="L727">
        <v>-6730.35</v>
      </c>
      <c r="M727">
        <v>0</v>
      </c>
      <c r="N727">
        <v>3622</v>
      </c>
      <c r="O727">
        <v>-10352.35</v>
      </c>
      <c r="P727" t="s">
        <v>1317</v>
      </c>
      <c r="Q727" t="s">
        <v>1048</v>
      </c>
      <c r="R727" t="s">
        <v>1199</v>
      </c>
      <c r="S727" t="s">
        <v>1318</v>
      </c>
      <c r="T727" t="s">
        <v>1049</v>
      </c>
      <c r="U727" t="s">
        <v>1319</v>
      </c>
      <c r="V727" t="s">
        <v>1175</v>
      </c>
      <c r="W727">
        <v>-1</v>
      </c>
      <c r="X727">
        <v>10352.35</v>
      </c>
      <c r="Y727" t="s">
        <v>1166</v>
      </c>
      <c r="Z727" t="s">
        <v>1167</v>
      </c>
      <c r="AA727" t="s">
        <v>1320</v>
      </c>
    </row>
    <row r="728" spans="1:27" x14ac:dyDescent="0.3">
      <c r="A728" t="s">
        <v>1670</v>
      </c>
      <c r="B728" t="s">
        <v>1350</v>
      </c>
      <c r="C728" t="s">
        <v>974</v>
      </c>
      <c r="D728" t="s">
        <v>1373</v>
      </c>
      <c r="E728" t="s">
        <v>552</v>
      </c>
      <c r="F728">
        <v>46112</v>
      </c>
      <c r="G728" t="s">
        <v>496</v>
      </c>
      <c r="H728" t="s">
        <v>1159</v>
      </c>
      <c r="I728">
        <v>41700101</v>
      </c>
      <c r="J728" t="s">
        <v>1315</v>
      </c>
      <c r="K728" t="s">
        <v>1378</v>
      </c>
      <c r="L728">
        <v>-300</v>
      </c>
      <c r="M728">
        <v>0</v>
      </c>
      <c r="N728">
        <v>300</v>
      </c>
      <c r="O728">
        <v>-600</v>
      </c>
      <c r="P728" t="s">
        <v>1317</v>
      </c>
      <c r="Q728" t="s">
        <v>1048</v>
      </c>
      <c r="R728" t="s">
        <v>1199</v>
      </c>
      <c r="S728" t="s">
        <v>1318</v>
      </c>
      <c r="T728" t="s">
        <v>1049</v>
      </c>
      <c r="U728" t="s">
        <v>1319</v>
      </c>
      <c r="V728" t="s">
        <v>1175</v>
      </c>
      <c r="W728">
        <v>-1</v>
      </c>
      <c r="X728">
        <v>600</v>
      </c>
      <c r="Y728" t="s">
        <v>1166</v>
      </c>
      <c r="Z728" t="s">
        <v>1167</v>
      </c>
      <c r="AA728" t="s">
        <v>1320</v>
      </c>
    </row>
    <row r="729" spans="1:27" x14ac:dyDescent="0.3">
      <c r="A729" t="s">
        <v>1670</v>
      </c>
      <c r="B729" t="s">
        <v>1351</v>
      </c>
      <c r="C729" t="s">
        <v>974</v>
      </c>
      <c r="D729" t="s">
        <v>1373</v>
      </c>
      <c r="E729" t="s">
        <v>552</v>
      </c>
      <c r="F729">
        <v>46112</v>
      </c>
      <c r="G729" t="s">
        <v>496</v>
      </c>
      <c r="H729" t="s">
        <v>1159</v>
      </c>
      <c r="I729">
        <v>41700101</v>
      </c>
      <c r="J729" t="s">
        <v>1315</v>
      </c>
      <c r="K729" t="s">
        <v>1379</v>
      </c>
      <c r="L729">
        <v>-217</v>
      </c>
      <c r="M729">
        <v>0</v>
      </c>
      <c r="N729">
        <v>0</v>
      </c>
      <c r="O729">
        <v>-217</v>
      </c>
      <c r="P729" t="s">
        <v>1317</v>
      </c>
      <c r="Q729" t="s">
        <v>1048</v>
      </c>
      <c r="R729" t="s">
        <v>1199</v>
      </c>
      <c r="S729" t="s">
        <v>1318</v>
      </c>
      <c r="T729" t="s">
        <v>1049</v>
      </c>
      <c r="U729" t="s">
        <v>1319</v>
      </c>
      <c r="V729" t="s">
        <v>1175</v>
      </c>
      <c r="W729">
        <v>-1</v>
      </c>
      <c r="X729">
        <v>217</v>
      </c>
      <c r="Y729" t="s">
        <v>1166</v>
      </c>
      <c r="Z729" t="s">
        <v>1167</v>
      </c>
      <c r="AA729" t="s">
        <v>1320</v>
      </c>
    </row>
    <row r="730" spans="1:27" x14ac:dyDescent="0.3">
      <c r="A730" t="s">
        <v>1670</v>
      </c>
      <c r="B730" t="s">
        <v>1352</v>
      </c>
      <c r="C730" t="s">
        <v>974</v>
      </c>
      <c r="D730" t="s">
        <v>1373</v>
      </c>
      <c r="E730" t="s">
        <v>552</v>
      </c>
      <c r="F730">
        <v>46112</v>
      </c>
      <c r="G730" t="s">
        <v>496</v>
      </c>
      <c r="H730" t="s">
        <v>1159</v>
      </c>
      <c r="I730">
        <v>41700101</v>
      </c>
      <c r="J730" t="s">
        <v>1315</v>
      </c>
      <c r="K730" t="s">
        <v>1381</v>
      </c>
      <c r="L730">
        <v>-192.9</v>
      </c>
      <c r="M730">
        <v>0</v>
      </c>
      <c r="N730">
        <v>96.45</v>
      </c>
      <c r="O730">
        <v>-289.35000000000002</v>
      </c>
      <c r="P730" t="s">
        <v>1317</v>
      </c>
      <c r="Q730" t="s">
        <v>1048</v>
      </c>
      <c r="R730" t="s">
        <v>1199</v>
      </c>
      <c r="S730" t="s">
        <v>1318</v>
      </c>
      <c r="T730" t="s">
        <v>1049</v>
      </c>
      <c r="U730" t="s">
        <v>1319</v>
      </c>
      <c r="V730" t="s">
        <v>1175</v>
      </c>
      <c r="W730">
        <v>-1</v>
      </c>
      <c r="X730">
        <v>289.35000000000002</v>
      </c>
      <c r="Y730" t="s">
        <v>1166</v>
      </c>
      <c r="Z730" t="s">
        <v>1167</v>
      </c>
      <c r="AA730" t="s">
        <v>1320</v>
      </c>
    </row>
    <row r="731" spans="1:27" x14ac:dyDescent="0.3">
      <c r="A731" t="s">
        <v>1670</v>
      </c>
      <c r="B731" t="s">
        <v>1353</v>
      </c>
      <c r="C731" t="s">
        <v>974</v>
      </c>
      <c r="D731" t="s">
        <v>1373</v>
      </c>
      <c r="E731" t="s">
        <v>552</v>
      </c>
      <c r="F731">
        <v>46112</v>
      </c>
      <c r="G731" t="s">
        <v>496</v>
      </c>
      <c r="H731" t="s">
        <v>1159</v>
      </c>
      <c r="I731">
        <v>41700101</v>
      </c>
      <c r="J731" t="s">
        <v>1315</v>
      </c>
      <c r="K731" t="s">
        <v>1382</v>
      </c>
      <c r="L731">
        <v>-110</v>
      </c>
      <c r="M731">
        <v>0</v>
      </c>
      <c r="N731">
        <v>55</v>
      </c>
      <c r="O731">
        <v>-165</v>
      </c>
      <c r="P731" t="s">
        <v>1317</v>
      </c>
      <c r="Q731" t="s">
        <v>1048</v>
      </c>
      <c r="R731" t="s">
        <v>1199</v>
      </c>
      <c r="S731" t="s">
        <v>1318</v>
      </c>
      <c r="T731" t="s">
        <v>1049</v>
      </c>
      <c r="U731" t="s">
        <v>1319</v>
      </c>
      <c r="V731" t="s">
        <v>1175</v>
      </c>
      <c r="W731">
        <v>-1</v>
      </c>
      <c r="X731">
        <v>165</v>
      </c>
      <c r="Y731" t="s">
        <v>1166</v>
      </c>
      <c r="Z731" t="s">
        <v>1167</v>
      </c>
      <c r="AA731" t="s">
        <v>1320</v>
      </c>
    </row>
    <row r="732" spans="1:27" x14ac:dyDescent="0.3">
      <c r="A732" t="s">
        <v>1670</v>
      </c>
      <c r="B732" t="s">
        <v>1357</v>
      </c>
      <c r="C732" t="s">
        <v>974</v>
      </c>
      <c r="D732" t="s">
        <v>1373</v>
      </c>
      <c r="E732" t="s">
        <v>552</v>
      </c>
      <c r="F732">
        <v>46112</v>
      </c>
      <c r="G732" t="s">
        <v>496</v>
      </c>
      <c r="H732" t="s">
        <v>1159</v>
      </c>
      <c r="I732">
        <v>42100502</v>
      </c>
      <c r="J732" t="s">
        <v>1416</v>
      </c>
      <c r="K732" t="s">
        <v>1376</v>
      </c>
      <c r="L732">
        <v>-0.35</v>
      </c>
      <c r="M732">
        <v>0</v>
      </c>
      <c r="N732">
        <v>0</v>
      </c>
      <c r="O732">
        <v>-0.35</v>
      </c>
      <c r="P732" t="s">
        <v>1417</v>
      </c>
      <c r="Q732" t="s">
        <v>1118</v>
      </c>
      <c r="R732" t="s">
        <v>1199</v>
      </c>
      <c r="S732" t="s">
        <v>1324</v>
      </c>
      <c r="T732" t="s">
        <v>1119</v>
      </c>
      <c r="U732" t="s">
        <v>1418</v>
      </c>
      <c r="V732" t="s">
        <v>1175</v>
      </c>
      <c r="W732">
        <v>-1</v>
      </c>
      <c r="X732">
        <v>0.35</v>
      </c>
      <c r="Y732" t="s">
        <v>1166</v>
      </c>
      <c r="Z732" t="s">
        <v>1167</v>
      </c>
      <c r="AA732" t="s">
        <v>1419</v>
      </c>
    </row>
    <row r="733" spans="1:27" x14ac:dyDescent="0.3">
      <c r="A733" t="s">
        <v>1670</v>
      </c>
      <c r="B733" t="s">
        <v>1358</v>
      </c>
      <c r="C733" t="s">
        <v>974</v>
      </c>
      <c r="D733" t="s">
        <v>1373</v>
      </c>
      <c r="E733" t="s">
        <v>552</v>
      </c>
      <c r="F733">
        <v>46112</v>
      </c>
      <c r="G733" t="s">
        <v>496</v>
      </c>
      <c r="H733" t="s">
        <v>1159</v>
      </c>
      <c r="I733">
        <v>42100502</v>
      </c>
      <c r="J733" t="s">
        <v>1416</v>
      </c>
      <c r="K733" t="s">
        <v>1378</v>
      </c>
      <c r="L733">
        <v>-83</v>
      </c>
      <c r="M733">
        <v>0</v>
      </c>
      <c r="N733">
        <v>0</v>
      </c>
      <c r="O733">
        <v>-83</v>
      </c>
      <c r="P733" t="s">
        <v>1417</v>
      </c>
      <c r="Q733" t="s">
        <v>1118</v>
      </c>
      <c r="R733" t="s">
        <v>1199</v>
      </c>
      <c r="S733" t="s">
        <v>1324</v>
      </c>
      <c r="T733" t="s">
        <v>1119</v>
      </c>
      <c r="U733" t="s">
        <v>1418</v>
      </c>
      <c r="V733" t="s">
        <v>1175</v>
      </c>
      <c r="W733">
        <v>-1</v>
      </c>
      <c r="X733">
        <v>83</v>
      </c>
      <c r="Y733" t="s">
        <v>1166</v>
      </c>
      <c r="Z733" t="s">
        <v>1167</v>
      </c>
      <c r="AA733" t="s">
        <v>1419</v>
      </c>
    </row>
    <row r="734" spans="1:27" x14ac:dyDescent="0.3">
      <c r="A734" t="s">
        <v>1670</v>
      </c>
      <c r="B734" t="s">
        <v>1565</v>
      </c>
      <c r="C734" t="s">
        <v>974</v>
      </c>
      <c r="D734" t="s">
        <v>1373</v>
      </c>
      <c r="E734" t="s">
        <v>552</v>
      </c>
      <c r="F734">
        <v>46112</v>
      </c>
      <c r="G734" t="s">
        <v>496</v>
      </c>
      <c r="H734" t="s">
        <v>1159</v>
      </c>
      <c r="I734">
        <v>42100502</v>
      </c>
      <c r="J734" t="s">
        <v>1416</v>
      </c>
      <c r="K734" t="s">
        <v>1406</v>
      </c>
      <c r="L734">
        <v>-54.63</v>
      </c>
      <c r="M734">
        <v>0</v>
      </c>
      <c r="N734">
        <v>22.96</v>
      </c>
      <c r="O734">
        <v>-77.59</v>
      </c>
      <c r="P734" t="s">
        <v>1417</v>
      </c>
      <c r="Q734" t="s">
        <v>1118</v>
      </c>
      <c r="R734" t="s">
        <v>1199</v>
      </c>
      <c r="S734" t="s">
        <v>1324</v>
      </c>
      <c r="T734" t="s">
        <v>1119</v>
      </c>
      <c r="U734" t="s">
        <v>1418</v>
      </c>
      <c r="V734" t="s">
        <v>1175</v>
      </c>
      <c r="W734">
        <v>-1</v>
      </c>
      <c r="X734">
        <v>77.59</v>
      </c>
      <c r="Y734" t="s">
        <v>1166</v>
      </c>
      <c r="Z734" t="s">
        <v>1167</v>
      </c>
      <c r="AA734" t="s">
        <v>1419</v>
      </c>
    </row>
    <row r="735" spans="1:27" x14ac:dyDescent="0.3">
      <c r="A735" t="s">
        <v>1670</v>
      </c>
      <c r="B735" t="s">
        <v>1422</v>
      </c>
      <c r="C735" t="s">
        <v>974</v>
      </c>
      <c r="D735" t="s">
        <v>1373</v>
      </c>
      <c r="E735" t="s">
        <v>552</v>
      </c>
      <c r="F735">
        <v>46112</v>
      </c>
      <c r="G735" t="s">
        <v>496</v>
      </c>
      <c r="H735" t="s">
        <v>1159</v>
      </c>
      <c r="I735">
        <v>51050601</v>
      </c>
      <c r="J735" t="s">
        <v>1196</v>
      </c>
      <c r="K735" t="s">
        <v>1421</v>
      </c>
      <c r="L735">
        <v>5184.34</v>
      </c>
      <c r="M735">
        <v>2592.17</v>
      </c>
      <c r="N735">
        <v>0</v>
      </c>
      <c r="O735">
        <v>7776.51</v>
      </c>
      <c r="P735" t="s">
        <v>1198</v>
      </c>
      <c r="Q735" t="s">
        <v>1060</v>
      </c>
      <c r="R735" t="s">
        <v>1199</v>
      </c>
      <c r="S735" t="s">
        <v>947</v>
      </c>
      <c r="T735" t="s">
        <v>1061</v>
      </c>
      <c r="U735" t="s">
        <v>1200</v>
      </c>
      <c r="V735" t="s">
        <v>1165</v>
      </c>
      <c r="W735">
        <v>1</v>
      </c>
      <c r="X735">
        <v>7776.51</v>
      </c>
      <c r="Y735" t="s">
        <v>1166</v>
      </c>
      <c r="Z735" t="s">
        <v>1167</v>
      </c>
      <c r="AA735" t="s">
        <v>1201</v>
      </c>
    </row>
    <row r="736" spans="1:27" x14ac:dyDescent="0.3">
      <c r="A736" t="s">
        <v>1670</v>
      </c>
      <c r="B736" t="s">
        <v>1368</v>
      </c>
      <c r="C736" t="s">
        <v>974</v>
      </c>
      <c r="D736" t="s">
        <v>1373</v>
      </c>
      <c r="E736" t="s">
        <v>552</v>
      </c>
      <c r="F736">
        <v>46112</v>
      </c>
      <c r="G736" t="s">
        <v>496</v>
      </c>
      <c r="H736" t="s">
        <v>1159</v>
      </c>
      <c r="I736">
        <v>51052105</v>
      </c>
      <c r="J736" t="s">
        <v>1203</v>
      </c>
      <c r="K736" t="s">
        <v>1423</v>
      </c>
      <c r="L736">
        <v>9.91</v>
      </c>
      <c r="M736">
        <v>16.899999999999999</v>
      </c>
      <c r="N736">
        <v>0</v>
      </c>
      <c r="O736">
        <v>26.81</v>
      </c>
      <c r="P736" t="s">
        <v>1204</v>
      </c>
      <c r="Q736" t="s">
        <v>1075</v>
      </c>
      <c r="R736" t="s">
        <v>1199</v>
      </c>
      <c r="S736" t="s">
        <v>947</v>
      </c>
      <c r="T736" t="s">
        <v>1076</v>
      </c>
      <c r="U736" t="s">
        <v>1205</v>
      </c>
      <c r="V736" t="s">
        <v>1165</v>
      </c>
      <c r="W736">
        <v>1</v>
      </c>
      <c r="X736">
        <v>26.81</v>
      </c>
      <c r="Y736" t="s">
        <v>1166</v>
      </c>
      <c r="Z736" t="s">
        <v>1167</v>
      </c>
      <c r="AA736" t="s">
        <v>1206</v>
      </c>
    </row>
    <row r="737" spans="1:27" x14ac:dyDescent="0.3">
      <c r="A737" t="s">
        <v>1670</v>
      </c>
      <c r="B737" t="s">
        <v>1369</v>
      </c>
      <c r="C737" t="s">
        <v>974</v>
      </c>
      <c r="D737" t="s">
        <v>1373</v>
      </c>
      <c r="E737" t="s">
        <v>552</v>
      </c>
      <c r="F737">
        <v>46112</v>
      </c>
      <c r="G737" t="s">
        <v>496</v>
      </c>
      <c r="H737" t="s">
        <v>1159</v>
      </c>
      <c r="I737">
        <v>51052105</v>
      </c>
      <c r="J737" t="s">
        <v>1203</v>
      </c>
      <c r="K737" t="s">
        <v>1425</v>
      </c>
      <c r="L737">
        <v>0</v>
      </c>
      <c r="M737">
        <v>35.04</v>
      </c>
      <c r="N737">
        <v>0</v>
      </c>
      <c r="O737">
        <v>35.04</v>
      </c>
      <c r="P737" t="s">
        <v>1204</v>
      </c>
      <c r="Q737" t="s">
        <v>1075</v>
      </c>
      <c r="R737" t="s">
        <v>1199</v>
      </c>
      <c r="S737" t="s">
        <v>947</v>
      </c>
      <c r="T737" t="s">
        <v>1076</v>
      </c>
      <c r="U737" t="s">
        <v>1205</v>
      </c>
      <c r="V737" t="s">
        <v>1165</v>
      </c>
      <c r="W737">
        <v>1</v>
      </c>
      <c r="X737">
        <v>35.04</v>
      </c>
      <c r="Y737" t="s">
        <v>1166</v>
      </c>
      <c r="Z737" t="s">
        <v>1167</v>
      </c>
      <c r="AA737" t="s">
        <v>1206</v>
      </c>
    </row>
    <row r="738" spans="1:27" x14ac:dyDescent="0.3">
      <c r="A738" t="s">
        <v>1670</v>
      </c>
      <c r="B738" t="s">
        <v>1426</v>
      </c>
      <c r="C738" t="s">
        <v>974</v>
      </c>
      <c r="D738" t="s">
        <v>1373</v>
      </c>
      <c r="E738" t="s">
        <v>552</v>
      </c>
      <c r="F738">
        <v>46112</v>
      </c>
      <c r="G738" t="s">
        <v>496</v>
      </c>
      <c r="H738" t="s">
        <v>1159</v>
      </c>
      <c r="I738">
        <v>51054503</v>
      </c>
      <c r="J738" t="s">
        <v>1427</v>
      </c>
      <c r="K738" t="s">
        <v>1428</v>
      </c>
      <c r="L738">
        <v>7600</v>
      </c>
      <c r="M738">
        <v>0</v>
      </c>
      <c r="N738">
        <v>0</v>
      </c>
      <c r="O738">
        <v>7600</v>
      </c>
      <c r="P738" t="s">
        <v>1429</v>
      </c>
      <c r="Q738" t="s">
        <v>1060</v>
      </c>
      <c r="R738" t="s">
        <v>1199</v>
      </c>
      <c r="S738" t="s">
        <v>947</v>
      </c>
      <c r="T738" t="s">
        <v>1061</v>
      </c>
      <c r="U738" t="s">
        <v>1430</v>
      </c>
      <c r="V738" t="s">
        <v>1165</v>
      </c>
      <c r="W738">
        <v>1</v>
      </c>
      <c r="X738">
        <v>7600</v>
      </c>
      <c r="Y738" t="s">
        <v>1192</v>
      </c>
      <c r="Z738" t="s">
        <v>1193</v>
      </c>
      <c r="AA738" t="s">
        <v>1431</v>
      </c>
    </row>
    <row r="739" spans="1:27" x14ac:dyDescent="0.3">
      <c r="A739" t="s">
        <v>1670</v>
      </c>
      <c r="B739" t="s">
        <v>1432</v>
      </c>
      <c r="C739" t="s">
        <v>974</v>
      </c>
      <c r="D739" t="s">
        <v>1373</v>
      </c>
      <c r="E739" t="s">
        <v>552</v>
      </c>
      <c r="F739">
        <v>46112</v>
      </c>
      <c r="G739" t="s">
        <v>496</v>
      </c>
      <c r="H739" t="s">
        <v>1159</v>
      </c>
      <c r="I739">
        <v>51055101</v>
      </c>
      <c r="J739" t="s">
        <v>1433</v>
      </c>
      <c r="K739" t="s">
        <v>1434</v>
      </c>
      <c r="L739">
        <v>0</v>
      </c>
      <c r="M739">
        <v>276.06</v>
      </c>
      <c r="N739">
        <v>0</v>
      </c>
      <c r="O739">
        <v>276.06</v>
      </c>
      <c r="P739" t="s">
        <v>1435</v>
      </c>
      <c r="Q739" t="s">
        <v>1060</v>
      </c>
      <c r="R739" t="s">
        <v>1199</v>
      </c>
      <c r="S739" t="s">
        <v>947</v>
      </c>
      <c r="T739" t="s">
        <v>1061</v>
      </c>
      <c r="U739" t="s">
        <v>1436</v>
      </c>
      <c r="V739" t="s">
        <v>1165</v>
      </c>
      <c r="W739">
        <v>1</v>
      </c>
      <c r="X739">
        <v>276.06</v>
      </c>
      <c r="Y739" t="s">
        <v>1166</v>
      </c>
      <c r="Z739" t="s">
        <v>1167</v>
      </c>
      <c r="AA739" t="s">
        <v>1437</v>
      </c>
    </row>
    <row r="740" spans="1:27" x14ac:dyDescent="0.3">
      <c r="A740" t="s">
        <v>1670</v>
      </c>
      <c r="B740" t="s">
        <v>1438</v>
      </c>
      <c r="C740" t="s">
        <v>974</v>
      </c>
      <c r="D740" t="s">
        <v>1373</v>
      </c>
      <c r="E740" t="s">
        <v>552</v>
      </c>
      <c r="F740">
        <v>46112</v>
      </c>
      <c r="G740" t="s">
        <v>496</v>
      </c>
      <c r="H740" t="s">
        <v>1159</v>
      </c>
      <c r="I740">
        <v>51055101</v>
      </c>
      <c r="J740" t="s">
        <v>1433</v>
      </c>
      <c r="K740" t="s">
        <v>1442</v>
      </c>
      <c r="L740">
        <v>0</v>
      </c>
      <c r="M740">
        <v>132.38</v>
      </c>
      <c r="N740">
        <v>0</v>
      </c>
      <c r="O740">
        <v>132.38</v>
      </c>
      <c r="P740" t="s">
        <v>1435</v>
      </c>
      <c r="Q740" t="s">
        <v>1060</v>
      </c>
      <c r="R740" t="s">
        <v>1199</v>
      </c>
      <c r="S740" t="s">
        <v>947</v>
      </c>
      <c r="T740" t="s">
        <v>1061</v>
      </c>
      <c r="U740" t="s">
        <v>1436</v>
      </c>
      <c r="V740" t="s">
        <v>1165</v>
      </c>
      <c r="W740">
        <v>1</v>
      </c>
      <c r="X740">
        <v>132.38</v>
      </c>
      <c r="Y740" t="s">
        <v>1166</v>
      </c>
      <c r="Z740" t="s">
        <v>1167</v>
      </c>
      <c r="AA740" t="s">
        <v>1437</v>
      </c>
    </row>
    <row r="741" spans="1:27" x14ac:dyDescent="0.3">
      <c r="A741" t="s">
        <v>1670</v>
      </c>
      <c r="B741" t="s">
        <v>1441</v>
      </c>
      <c r="C741" t="s">
        <v>974</v>
      </c>
      <c r="D741" t="s">
        <v>1373</v>
      </c>
      <c r="E741" t="s">
        <v>552</v>
      </c>
      <c r="F741">
        <v>46112</v>
      </c>
      <c r="G741" t="s">
        <v>496</v>
      </c>
      <c r="H741" t="s">
        <v>1159</v>
      </c>
      <c r="I741">
        <v>51058401</v>
      </c>
      <c r="J741" t="s">
        <v>1444</v>
      </c>
      <c r="K741" t="s">
        <v>1445</v>
      </c>
      <c r="L741">
        <v>122.93</v>
      </c>
      <c r="M741">
        <v>0</v>
      </c>
      <c r="N741">
        <v>0</v>
      </c>
      <c r="O741">
        <v>122.93</v>
      </c>
      <c r="P741" t="s">
        <v>1446</v>
      </c>
      <c r="Q741" t="s">
        <v>1060</v>
      </c>
      <c r="R741" t="s">
        <v>1199</v>
      </c>
      <c r="S741" t="s">
        <v>947</v>
      </c>
      <c r="T741" t="s">
        <v>1061</v>
      </c>
      <c r="U741" t="s">
        <v>1447</v>
      </c>
      <c r="V741" t="s">
        <v>1165</v>
      </c>
      <c r="W741">
        <v>1</v>
      </c>
      <c r="X741">
        <v>122.93</v>
      </c>
      <c r="Y741" t="s">
        <v>1166</v>
      </c>
      <c r="Z741" t="s">
        <v>1167</v>
      </c>
      <c r="AA741" t="s">
        <v>1448</v>
      </c>
    </row>
    <row r="742" spans="1:27" x14ac:dyDescent="0.3">
      <c r="A742" t="s">
        <v>1670</v>
      </c>
      <c r="B742" t="s">
        <v>1443</v>
      </c>
      <c r="C742" t="s">
        <v>974</v>
      </c>
      <c r="D742" t="s">
        <v>1373</v>
      </c>
      <c r="E742" t="s">
        <v>552</v>
      </c>
      <c r="F742">
        <v>46112</v>
      </c>
      <c r="G742" t="s">
        <v>496</v>
      </c>
      <c r="H742" t="s">
        <v>1159</v>
      </c>
      <c r="I742">
        <v>51059501</v>
      </c>
      <c r="J742" t="s">
        <v>1232</v>
      </c>
      <c r="K742" t="s">
        <v>1421</v>
      </c>
      <c r="L742">
        <v>1571.66</v>
      </c>
      <c r="M742">
        <v>670.33</v>
      </c>
      <c r="N742">
        <v>0</v>
      </c>
      <c r="O742">
        <v>2241.9899999999998</v>
      </c>
      <c r="P742" t="s">
        <v>1450</v>
      </c>
      <c r="Q742" t="s">
        <v>1060</v>
      </c>
      <c r="R742" t="s">
        <v>1199</v>
      </c>
      <c r="S742" t="s">
        <v>947</v>
      </c>
      <c r="T742" t="s">
        <v>1061</v>
      </c>
      <c r="U742" t="s">
        <v>1451</v>
      </c>
      <c r="V742" t="s">
        <v>1165</v>
      </c>
      <c r="W742">
        <v>1</v>
      </c>
      <c r="X742">
        <v>2241.9899999999998</v>
      </c>
      <c r="Y742" t="s">
        <v>1192</v>
      </c>
      <c r="Z742" t="s">
        <v>1193</v>
      </c>
      <c r="AA742" t="s">
        <v>1452</v>
      </c>
    </row>
    <row r="743" spans="1:27" x14ac:dyDescent="0.3">
      <c r="A743" t="s">
        <v>1670</v>
      </c>
      <c r="B743" t="s">
        <v>1579</v>
      </c>
      <c r="C743" t="s">
        <v>974</v>
      </c>
      <c r="D743" t="s">
        <v>1373</v>
      </c>
      <c r="E743" t="s">
        <v>552</v>
      </c>
      <c r="F743">
        <v>46112</v>
      </c>
      <c r="G743" t="s">
        <v>496</v>
      </c>
      <c r="H743" t="s">
        <v>1159</v>
      </c>
      <c r="I743">
        <v>51103001</v>
      </c>
      <c r="J743" t="s">
        <v>1328</v>
      </c>
      <c r="K743" t="s">
        <v>1454</v>
      </c>
      <c r="L743">
        <v>445</v>
      </c>
      <c r="M743">
        <v>0</v>
      </c>
      <c r="N743">
        <v>0</v>
      </c>
      <c r="O743">
        <v>445</v>
      </c>
      <c r="P743" t="s">
        <v>1330</v>
      </c>
      <c r="Q743" t="s">
        <v>1062</v>
      </c>
      <c r="R743" t="s">
        <v>1199</v>
      </c>
      <c r="S743" t="s">
        <v>947</v>
      </c>
      <c r="T743" t="s">
        <v>1063</v>
      </c>
      <c r="U743" t="s">
        <v>1331</v>
      </c>
      <c r="V743" t="s">
        <v>1165</v>
      </c>
      <c r="W743">
        <v>1</v>
      </c>
      <c r="X743">
        <v>445</v>
      </c>
      <c r="Y743" t="s">
        <v>1166</v>
      </c>
      <c r="Z743" t="s">
        <v>1167</v>
      </c>
      <c r="AA743" t="s">
        <v>1332</v>
      </c>
    </row>
    <row r="744" spans="1:27" x14ac:dyDescent="0.3">
      <c r="A744" t="s">
        <v>1670</v>
      </c>
      <c r="B744" t="s">
        <v>1570</v>
      </c>
      <c r="C744" t="s">
        <v>974</v>
      </c>
      <c r="D744" t="s">
        <v>1373</v>
      </c>
      <c r="E744" t="s">
        <v>552</v>
      </c>
      <c r="F744">
        <v>46112</v>
      </c>
      <c r="G744" t="s">
        <v>496</v>
      </c>
      <c r="H744" t="s">
        <v>1159</v>
      </c>
      <c r="I744">
        <v>51150501</v>
      </c>
      <c r="J744" t="s">
        <v>1219</v>
      </c>
      <c r="K744" t="s">
        <v>1456</v>
      </c>
      <c r="L744">
        <v>4021.87</v>
      </c>
      <c r="M744">
        <v>2.1800000000000002</v>
      </c>
      <c r="N744">
        <v>0</v>
      </c>
      <c r="O744">
        <v>4024.05</v>
      </c>
      <c r="P744" t="s">
        <v>1221</v>
      </c>
      <c r="Q744" t="s">
        <v>1064</v>
      </c>
      <c r="R744" t="s">
        <v>1199</v>
      </c>
      <c r="S744" t="s">
        <v>947</v>
      </c>
      <c r="T744" t="s">
        <v>1065</v>
      </c>
      <c r="U744" t="s">
        <v>1222</v>
      </c>
      <c r="V744" t="s">
        <v>1165</v>
      </c>
      <c r="W744">
        <v>1</v>
      </c>
      <c r="X744">
        <v>4024.05</v>
      </c>
      <c r="Y744" t="s">
        <v>1166</v>
      </c>
      <c r="Z744" t="s">
        <v>1167</v>
      </c>
      <c r="AA744" t="s">
        <v>1223</v>
      </c>
    </row>
    <row r="745" spans="1:27" x14ac:dyDescent="0.3">
      <c r="A745" t="s">
        <v>1670</v>
      </c>
      <c r="B745" t="s">
        <v>1600</v>
      </c>
      <c r="C745" t="s">
        <v>974</v>
      </c>
      <c r="D745" t="s">
        <v>1373</v>
      </c>
      <c r="E745" t="s">
        <v>552</v>
      </c>
      <c r="F745">
        <v>46112</v>
      </c>
      <c r="G745" t="s">
        <v>496</v>
      </c>
      <c r="H745" t="s">
        <v>1159</v>
      </c>
      <c r="I745">
        <v>51352001</v>
      </c>
      <c r="J745" t="s">
        <v>1240</v>
      </c>
      <c r="K745" t="s">
        <v>1458</v>
      </c>
      <c r="L745">
        <v>225.35</v>
      </c>
      <c r="M745">
        <v>0</v>
      </c>
      <c r="N745">
        <v>0</v>
      </c>
      <c r="O745">
        <v>225.35</v>
      </c>
      <c r="P745" t="s">
        <v>1242</v>
      </c>
      <c r="Q745" t="s">
        <v>1069</v>
      </c>
      <c r="R745" t="s">
        <v>1199</v>
      </c>
      <c r="S745" t="s">
        <v>947</v>
      </c>
      <c r="T745" t="s">
        <v>1070</v>
      </c>
      <c r="U745" t="s">
        <v>1243</v>
      </c>
      <c r="V745" t="s">
        <v>1165</v>
      </c>
      <c r="W745">
        <v>1</v>
      </c>
      <c r="X745">
        <v>225.35</v>
      </c>
      <c r="Y745" t="s">
        <v>1166</v>
      </c>
      <c r="Z745" t="s">
        <v>1193</v>
      </c>
      <c r="AA745" t="s">
        <v>1244</v>
      </c>
    </row>
    <row r="746" spans="1:27" x14ac:dyDescent="0.3">
      <c r="A746" t="s">
        <v>1670</v>
      </c>
      <c r="B746" t="s">
        <v>1580</v>
      </c>
      <c r="C746" t="s">
        <v>974</v>
      </c>
      <c r="D746" t="s">
        <v>1373</v>
      </c>
      <c r="E746" t="s">
        <v>552</v>
      </c>
      <c r="F746">
        <v>46112</v>
      </c>
      <c r="G746" t="s">
        <v>496</v>
      </c>
      <c r="H746" t="s">
        <v>1159</v>
      </c>
      <c r="I746">
        <v>51352001</v>
      </c>
      <c r="J746" t="s">
        <v>1240</v>
      </c>
      <c r="K746" t="s">
        <v>1460</v>
      </c>
      <c r="L746">
        <v>191.4</v>
      </c>
      <c r="M746">
        <v>0</v>
      </c>
      <c r="N746">
        <v>0</v>
      </c>
      <c r="O746">
        <v>191.4</v>
      </c>
      <c r="P746" t="s">
        <v>1242</v>
      </c>
      <c r="Q746" t="s">
        <v>1069</v>
      </c>
      <c r="R746" t="s">
        <v>1199</v>
      </c>
      <c r="S746" t="s">
        <v>947</v>
      </c>
      <c r="T746" t="s">
        <v>1070</v>
      </c>
      <c r="U746" t="s">
        <v>1243</v>
      </c>
      <c r="V746" t="s">
        <v>1165</v>
      </c>
      <c r="W746">
        <v>1</v>
      </c>
      <c r="X746">
        <v>191.4</v>
      </c>
      <c r="Y746" t="s">
        <v>1166</v>
      </c>
      <c r="Z746" t="s">
        <v>1193</v>
      </c>
      <c r="AA746" t="s">
        <v>1244</v>
      </c>
    </row>
    <row r="747" spans="1:27" x14ac:dyDescent="0.3">
      <c r="A747" t="s">
        <v>1670</v>
      </c>
      <c r="B747" t="s">
        <v>1457</v>
      </c>
      <c r="C747" t="s">
        <v>974</v>
      </c>
      <c r="D747" t="s">
        <v>1373</v>
      </c>
      <c r="E747" t="s">
        <v>552</v>
      </c>
      <c r="F747">
        <v>46112</v>
      </c>
      <c r="G747" t="s">
        <v>496</v>
      </c>
      <c r="H747" t="s">
        <v>1159</v>
      </c>
      <c r="I747">
        <v>51352001</v>
      </c>
      <c r="J747" t="s">
        <v>1240</v>
      </c>
      <c r="K747" t="s">
        <v>1464</v>
      </c>
      <c r="L747">
        <v>40</v>
      </c>
      <c r="M747">
        <v>20</v>
      </c>
      <c r="N747">
        <v>0</v>
      </c>
      <c r="O747">
        <v>60</v>
      </c>
      <c r="P747" t="s">
        <v>1242</v>
      </c>
      <c r="Q747" t="s">
        <v>1069</v>
      </c>
      <c r="R747" t="s">
        <v>1199</v>
      </c>
      <c r="S747" t="s">
        <v>947</v>
      </c>
      <c r="T747" t="s">
        <v>1070</v>
      </c>
      <c r="U747" t="s">
        <v>1243</v>
      </c>
      <c r="V747" t="s">
        <v>1165</v>
      </c>
      <c r="W747">
        <v>1</v>
      </c>
      <c r="X747">
        <v>60</v>
      </c>
      <c r="Y747" t="s">
        <v>1166</v>
      </c>
      <c r="Z747" t="s">
        <v>1193</v>
      </c>
      <c r="AA747" t="s">
        <v>1244</v>
      </c>
    </row>
    <row r="748" spans="1:27" x14ac:dyDescent="0.3">
      <c r="A748" t="s">
        <v>1670</v>
      </c>
      <c r="B748" t="s">
        <v>1461</v>
      </c>
      <c r="C748" t="s">
        <v>974</v>
      </c>
      <c r="D748" t="s">
        <v>1373</v>
      </c>
      <c r="E748" t="s">
        <v>552</v>
      </c>
      <c r="F748">
        <v>46112</v>
      </c>
      <c r="G748" t="s">
        <v>496</v>
      </c>
      <c r="H748" t="s">
        <v>1159</v>
      </c>
      <c r="I748">
        <v>51354001</v>
      </c>
      <c r="J748" t="s">
        <v>1468</v>
      </c>
      <c r="K748" t="s">
        <v>1469</v>
      </c>
      <c r="L748">
        <v>22.9</v>
      </c>
      <c r="M748">
        <v>11.39</v>
      </c>
      <c r="N748">
        <v>0</v>
      </c>
      <c r="O748">
        <v>34.29</v>
      </c>
      <c r="P748" t="s">
        <v>1470</v>
      </c>
      <c r="Q748" t="s">
        <v>1073</v>
      </c>
      <c r="R748" t="s">
        <v>1199</v>
      </c>
      <c r="S748" t="s">
        <v>947</v>
      </c>
      <c r="T748" t="s">
        <v>1074</v>
      </c>
      <c r="U748" t="s">
        <v>1471</v>
      </c>
      <c r="V748" t="s">
        <v>1165</v>
      </c>
      <c r="W748">
        <v>1</v>
      </c>
      <c r="X748">
        <v>34.29</v>
      </c>
      <c r="Y748" t="s">
        <v>1166</v>
      </c>
      <c r="Z748" t="s">
        <v>1167</v>
      </c>
      <c r="AA748" t="s">
        <v>1472</v>
      </c>
    </row>
    <row r="749" spans="1:27" x14ac:dyDescent="0.3">
      <c r="A749" t="s">
        <v>1670</v>
      </c>
      <c r="B749" t="s">
        <v>1465</v>
      </c>
      <c r="C749" t="s">
        <v>974</v>
      </c>
      <c r="D749" t="s">
        <v>1373</v>
      </c>
      <c r="E749" t="s">
        <v>552</v>
      </c>
      <c r="F749">
        <v>46112</v>
      </c>
      <c r="G749" t="s">
        <v>496</v>
      </c>
      <c r="H749" t="s">
        <v>1159</v>
      </c>
      <c r="I749">
        <v>51359501</v>
      </c>
      <c r="J749" t="s">
        <v>1232</v>
      </c>
      <c r="K749" t="s">
        <v>1474</v>
      </c>
      <c r="L749">
        <v>405.87</v>
      </c>
      <c r="M749">
        <v>172.4</v>
      </c>
      <c r="N749">
        <v>0</v>
      </c>
      <c r="O749">
        <v>578.27</v>
      </c>
      <c r="P749" t="s">
        <v>1475</v>
      </c>
      <c r="Q749" t="s">
        <v>1077</v>
      </c>
      <c r="R749" t="s">
        <v>1199</v>
      </c>
      <c r="S749" t="s">
        <v>947</v>
      </c>
      <c r="T749" t="s">
        <v>1078</v>
      </c>
      <c r="U749" t="s">
        <v>576</v>
      </c>
      <c r="V749" t="s">
        <v>1165</v>
      </c>
      <c r="W749">
        <v>1</v>
      </c>
      <c r="X749">
        <v>578.27</v>
      </c>
      <c r="Y749" t="s">
        <v>1192</v>
      </c>
      <c r="Z749" t="s">
        <v>1193</v>
      </c>
      <c r="AA749" t="s">
        <v>1476</v>
      </c>
    </row>
    <row r="750" spans="1:27" x14ac:dyDescent="0.3">
      <c r="A750" t="s">
        <v>1670</v>
      </c>
      <c r="B750" t="s">
        <v>1613</v>
      </c>
      <c r="C750" t="s">
        <v>974</v>
      </c>
      <c r="D750" t="s">
        <v>1373</v>
      </c>
      <c r="E750" t="s">
        <v>552</v>
      </c>
      <c r="F750">
        <v>46112</v>
      </c>
      <c r="G750" t="s">
        <v>496</v>
      </c>
      <c r="H750" t="s">
        <v>1159</v>
      </c>
      <c r="I750">
        <v>51952502</v>
      </c>
      <c r="J750" t="s">
        <v>1478</v>
      </c>
      <c r="K750" t="s">
        <v>1425</v>
      </c>
      <c r="L750">
        <v>0</v>
      </c>
      <c r="M750">
        <v>35.1</v>
      </c>
      <c r="N750">
        <v>0</v>
      </c>
      <c r="O750">
        <v>35.1</v>
      </c>
      <c r="P750" t="s">
        <v>1479</v>
      </c>
      <c r="Q750" t="s">
        <v>1079</v>
      </c>
      <c r="R750" t="s">
        <v>1199</v>
      </c>
      <c r="S750" t="s">
        <v>947</v>
      </c>
      <c r="T750" t="s">
        <v>1080</v>
      </c>
      <c r="U750" t="s">
        <v>1480</v>
      </c>
      <c r="V750" t="s">
        <v>1165</v>
      </c>
      <c r="W750">
        <v>1</v>
      </c>
      <c r="X750">
        <v>35.1</v>
      </c>
      <c r="Y750" t="s">
        <v>1166</v>
      </c>
      <c r="Z750" t="s">
        <v>1193</v>
      </c>
      <c r="AA750" t="s">
        <v>1481</v>
      </c>
    </row>
    <row r="751" spans="1:27" x14ac:dyDescent="0.3">
      <c r="A751" t="s">
        <v>1670</v>
      </c>
      <c r="B751" t="s">
        <v>1473</v>
      </c>
      <c r="C751" t="s">
        <v>974</v>
      </c>
      <c r="D751" t="s">
        <v>1373</v>
      </c>
      <c r="E751" t="s">
        <v>552</v>
      </c>
      <c r="F751">
        <v>46112</v>
      </c>
      <c r="G751" t="s">
        <v>496</v>
      </c>
      <c r="H751" t="s">
        <v>1159</v>
      </c>
      <c r="I751">
        <v>51952502</v>
      </c>
      <c r="J751" t="s">
        <v>1478</v>
      </c>
      <c r="K751" t="s">
        <v>1483</v>
      </c>
      <c r="L751">
        <v>50.73</v>
      </c>
      <c r="M751">
        <v>31.85</v>
      </c>
      <c r="N751">
        <v>0</v>
      </c>
      <c r="O751">
        <v>82.58</v>
      </c>
      <c r="P751" t="s">
        <v>1479</v>
      </c>
      <c r="Q751" t="s">
        <v>1079</v>
      </c>
      <c r="R751" t="s">
        <v>1199</v>
      </c>
      <c r="S751" t="s">
        <v>947</v>
      </c>
      <c r="T751" t="s">
        <v>1080</v>
      </c>
      <c r="U751" t="s">
        <v>1480</v>
      </c>
      <c r="V751" t="s">
        <v>1165</v>
      </c>
      <c r="W751">
        <v>1</v>
      </c>
      <c r="X751">
        <v>82.58</v>
      </c>
      <c r="Y751" t="s">
        <v>1166</v>
      </c>
      <c r="Z751" t="s">
        <v>1193</v>
      </c>
      <c r="AA751" t="s">
        <v>1481</v>
      </c>
    </row>
    <row r="752" spans="1:27" x14ac:dyDescent="0.3">
      <c r="A752" t="s">
        <v>1670</v>
      </c>
      <c r="B752" t="s">
        <v>1614</v>
      </c>
      <c r="C752" t="s">
        <v>974</v>
      </c>
      <c r="D752" t="s">
        <v>1373</v>
      </c>
      <c r="E752" t="s">
        <v>552</v>
      </c>
      <c r="F752">
        <v>46112</v>
      </c>
      <c r="G752" t="s">
        <v>496</v>
      </c>
      <c r="H752" t="s">
        <v>1159</v>
      </c>
      <c r="I752">
        <v>51956001</v>
      </c>
      <c r="J752" t="s">
        <v>1485</v>
      </c>
      <c r="K752" t="s">
        <v>1486</v>
      </c>
      <c r="L752">
        <v>0</v>
      </c>
      <c r="M752">
        <v>125.13</v>
      </c>
      <c r="N752">
        <v>0</v>
      </c>
      <c r="O752">
        <v>125.13</v>
      </c>
      <c r="P752" t="s">
        <v>1487</v>
      </c>
      <c r="Q752" t="s">
        <v>1081</v>
      </c>
      <c r="R752" t="s">
        <v>1199</v>
      </c>
      <c r="S752" t="s">
        <v>947</v>
      </c>
      <c r="T752" t="s">
        <v>1082</v>
      </c>
      <c r="U752" t="s">
        <v>1488</v>
      </c>
      <c r="V752" t="s">
        <v>1165</v>
      </c>
      <c r="W752">
        <v>1</v>
      </c>
      <c r="X752">
        <v>125.13</v>
      </c>
      <c r="Y752" t="s">
        <v>1166</v>
      </c>
      <c r="Z752" t="s">
        <v>1193</v>
      </c>
      <c r="AA752" t="s">
        <v>1489</v>
      </c>
    </row>
    <row r="753" spans="1:27" x14ac:dyDescent="0.3">
      <c r="A753" t="s">
        <v>1670</v>
      </c>
      <c r="B753" t="s">
        <v>1477</v>
      </c>
      <c r="C753" t="s">
        <v>974</v>
      </c>
      <c r="D753" t="s">
        <v>1373</v>
      </c>
      <c r="E753" t="s">
        <v>552</v>
      </c>
      <c r="F753">
        <v>46112</v>
      </c>
      <c r="G753" t="s">
        <v>496</v>
      </c>
      <c r="H753" t="s">
        <v>1159</v>
      </c>
      <c r="I753">
        <v>51956001</v>
      </c>
      <c r="J753" t="s">
        <v>1485</v>
      </c>
      <c r="K753" t="s">
        <v>1491</v>
      </c>
      <c r="L753">
        <v>0</v>
      </c>
      <c r="M753">
        <v>63.15</v>
      </c>
      <c r="N753">
        <v>0</v>
      </c>
      <c r="O753">
        <v>63.15</v>
      </c>
      <c r="P753" t="s">
        <v>1487</v>
      </c>
      <c r="Q753" t="s">
        <v>1081</v>
      </c>
      <c r="R753" t="s">
        <v>1199</v>
      </c>
      <c r="S753" t="s">
        <v>947</v>
      </c>
      <c r="T753" t="s">
        <v>1082</v>
      </c>
      <c r="U753" t="s">
        <v>1488</v>
      </c>
      <c r="V753" t="s">
        <v>1165</v>
      </c>
      <c r="W753">
        <v>1</v>
      </c>
      <c r="X753">
        <v>63.15</v>
      </c>
      <c r="Y753" t="s">
        <v>1166</v>
      </c>
      <c r="Z753" t="s">
        <v>1193</v>
      </c>
      <c r="AA753" t="s">
        <v>1489</v>
      </c>
    </row>
    <row r="754" spans="1:27" x14ac:dyDescent="0.3">
      <c r="A754" t="s">
        <v>1670</v>
      </c>
      <c r="B754" t="s">
        <v>1482</v>
      </c>
      <c r="C754" t="s">
        <v>974</v>
      </c>
      <c r="D754" t="s">
        <v>1373</v>
      </c>
      <c r="E754" t="s">
        <v>552</v>
      </c>
      <c r="F754">
        <v>46112</v>
      </c>
      <c r="G754" t="s">
        <v>496</v>
      </c>
      <c r="H754" t="s">
        <v>1159</v>
      </c>
      <c r="I754">
        <v>51956001</v>
      </c>
      <c r="J754" t="s">
        <v>1485</v>
      </c>
      <c r="K754" t="s">
        <v>1505</v>
      </c>
      <c r="L754">
        <v>177.68</v>
      </c>
      <c r="M754">
        <v>0</v>
      </c>
      <c r="N754">
        <v>0</v>
      </c>
      <c r="O754">
        <v>177.68</v>
      </c>
      <c r="P754" t="s">
        <v>1487</v>
      </c>
      <c r="Q754" t="s">
        <v>1081</v>
      </c>
      <c r="R754" t="s">
        <v>1199</v>
      </c>
      <c r="S754" t="s">
        <v>947</v>
      </c>
      <c r="T754" t="s">
        <v>1082</v>
      </c>
      <c r="U754" t="s">
        <v>1488</v>
      </c>
      <c r="V754" t="s">
        <v>1165</v>
      </c>
      <c r="W754">
        <v>1</v>
      </c>
      <c r="X754">
        <v>177.68</v>
      </c>
      <c r="Y754" t="s">
        <v>1166</v>
      </c>
      <c r="Z754" t="s">
        <v>1193</v>
      </c>
      <c r="AA754" t="s">
        <v>1489</v>
      </c>
    </row>
    <row r="755" spans="1:27" x14ac:dyDescent="0.3">
      <c r="A755" t="s">
        <v>1670</v>
      </c>
      <c r="B755" t="s">
        <v>1582</v>
      </c>
      <c r="C755" t="s">
        <v>974</v>
      </c>
      <c r="D755" t="s">
        <v>1373</v>
      </c>
      <c r="E755" t="s">
        <v>552</v>
      </c>
      <c r="F755">
        <v>46112</v>
      </c>
      <c r="G755" t="s">
        <v>496</v>
      </c>
      <c r="H755" t="s">
        <v>1159</v>
      </c>
      <c r="I755">
        <v>51956001</v>
      </c>
      <c r="J755" t="s">
        <v>1485</v>
      </c>
      <c r="K755" t="s">
        <v>1507</v>
      </c>
      <c r="L755">
        <v>248</v>
      </c>
      <c r="M755">
        <v>0</v>
      </c>
      <c r="N755">
        <v>0</v>
      </c>
      <c r="O755">
        <v>248</v>
      </c>
      <c r="P755" t="s">
        <v>1487</v>
      </c>
      <c r="Q755" t="s">
        <v>1081</v>
      </c>
      <c r="R755" t="s">
        <v>1199</v>
      </c>
      <c r="S755" t="s">
        <v>947</v>
      </c>
      <c r="T755" t="s">
        <v>1082</v>
      </c>
      <c r="U755" t="s">
        <v>1488</v>
      </c>
      <c r="V755" t="s">
        <v>1165</v>
      </c>
      <c r="W755">
        <v>1</v>
      </c>
      <c r="X755">
        <v>248</v>
      </c>
      <c r="Y755" t="s">
        <v>1166</v>
      </c>
      <c r="Z755" t="s">
        <v>1193</v>
      </c>
      <c r="AA755" t="s">
        <v>1489</v>
      </c>
    </row>
    <row r="756" spans="1:27" x14ac:dyDescent="0.3">
      <c r="A756" t="s">
        <v>1670</v>
      </c>
      <c r="B756" t="s">
        <v>1484</v>
      </c>
      <c r="C756" t="s">
        <v>974</v>
      </c>
      <c r="D756" t="s">
        <v>1373</v>
      </c>
      <c r="E756" t="s">
        <v>552</v>
      </c>
      <c r="F756">
        <v>46112</v>
      </c>
      <c r="G756" t="s">
        <v>496</v>
      </c>
      <c r="H756" t="s">
        <v>1159</v>
      </c>
      <c r="I756">
        <v>51956001</v>
      </c>
      <c r="J756" t="s">
        <v>1485</v>
      </c>
      <c r="K756" t="s">
        <v>1509</v>
      </c>
      <c r="L756">
        <v>30.09</v>
      </c>
      <c r="M756">
        <v>0</v>
      </c>
      <c r="N756">
        <v>0</v>
      </c>
      <c r="O756">
        <v>30.09</v>
      </c>
      <c r="P756" t="s">
        <v>1487</v>
      </c>
      <c r="Q756" t="s">
        <v>1081</v>
      </c>
      <c r="R756" t="s">
        <v>1199</v>
      </c>
      <c r="S756" t="s">
        <v>947</v>
      </c>
      <c r="T756" t="s">
        <v>1082</v>
      </c>
      <c r="U756" t="s">
        <v>1488</v>
      </c>
      <c r="V756" t="s">
        <v>1165</v>
      </c>
      <c r="W756">
        <v>1</v>
      </c>
      <c r="X756">
        <v>30.09</v>
      </c>
      <c r="Y756" t="s">
        <v>1166</v>
      </c>
      <c r="Z756" t="s">
        <v>1193</v>
      </c>
      <c r="AA756" t="s">
        <v>1489</v>
      </c>
    </row>
    <row r="757" spans="1:27" x14ac:dyDescent="0.3">
      <c r="A757" t="s">
        <v>1670</v>
      </c>
      <c r="B757" t="s">
        <v>1490</v>
      </c>
      <c r="C757" t="s">
        <v>974</v>
      </c>
      <c r="D757" t="s">
        <v>1373</v>
      </c>
      <c r="E757" t="s">
        <v>552</v>
      </c>
      <c r="F757">
        <v>46112</v>
      </c>
      <c r="G757" t="s">
        <v>496</v>
      </c>
      <c r="H757" t="s">
        <v>1159</v>
      </c>
      <c r="I757">
        <v>51956001</v>
      </c>
      <c r="J757" t="s">
        <v>1485</v>
      </c>
      <c r="K757" t="s">
        <v>1513</v>
      </c>
      <c r="L757">
        <v>0</v>
      </c>
      <c r="M757">
        <v>7.03</v>
      </c>
      <c r="N757">
        <v>0</v>
      </c>
      <c r="O757">
        <v>7.03</v>
      </c>
      <c r="P757" t="s">
        <v>1487</v>
      </c>
      <c r="Q757" t="s">
        <v>1081</v>
      </c>
      <c r="R757" t="s">
        <v>1199</v>
      </c>
      <c r="S757" t="s">
        <v>947</v>
      </c>
      <c r="T757" t="s">
        <v>1082</v>
      </c>
      <c r="U757" t="s">
        <v>1488</v>
      </c>
      <c r="V757" t="s">
        <v>1165</v>
      </c>
      <c r="W757">
        <v>1</v>
      </c>
      <c r="X757">
        <v>7.03</v>
      </c>
      <c r="Y757" t="s">
        <v>1166</v>
      </c>
      <c r="Z757" t="s">
        <v>1193</v>
      </c>
      <c r="AA757" t="s">
        <v>1489</v>
      </c>
    </row>
    <row r="758" spans="1:27" x14ac:dyDescent="0.3">
      <c r="A758" t="s">
        <v>1670</v>
      </c>
      <c r="B758" t="s">
        <v>1492</v>
      </c>
      <c r="C758" t="s">
        <v>974</v>
      </c>
      <c r="D758" t="s">
        <v>1373</v>
      </c>
      <c r="E758" t="s">
        <v>552</v>
      </c>
      <c r="F758">
        <v>46112</v>
      </c>
      <c r="G758" t="s">
        <v>496</v>
      </c>
      <c r="H758" t="s">
        <v>1159</v>
      </c>
      <c r="I758">
        <v>51956001</v>
      </c>
      <c r="J758" t="s">
        <v>1485</v>
      </c>
      <c r="K758" t="s">
        <v>1519</v>
      </c>
      <c r="L758">
        <v>0</v>
      </c>
      <c r="M758">
        <v>72.540000000000006</v>
      </c>
      <c r="N758">
        <v>0</v>
      </c>
      <c r="O758">
        <v>72.540000000000006</v>
      </c>
      <c r="P758" t="s">
        <v>1487</v>
      </c>
      <c r="Q758" t="s">
        <v>1081</v>
      </c>
      <c r="R758" t="s">
        <v>1199</v>
      </c>
      <c r="S758" t="s">
        <v>947</v>
      </c>
      <c r="T758" t="s">
        <v>1082</v>
      </c>
      <c r="U758" t="s">
        <v>1488</v>
      </c>
      <c r="V758" t="s">
        <v>1165</v>
      </c>
      <c r="W758">
        <v>1</v>
      </c>
      <c r="X758">
        <v>72.540000000000006</v>
      </c>
      <c r="Y758" t="s">
        <v>1166</v>
      </c>
      <c r="Z758" t="s">
        <v>1193</v>
      </c>
      <c r="AA758" t="s">
        <v>1489</v>
      </c>
    </row>
    <row r="759" spans="1:27" x14ac:dyDescent="0.3">
      <c r="A759" t="s">
        <v>1670</v>
      </c>
      <c r="B759" t="s">
        <v>1498</v>
      </c>
      <c r="C759" t="s">
        <v>974</v>
      </c>
      <c r="D759" t="s">
        <v>1373</v>
      </c>
      <c r="E759" t="s">
        <v>552</v>
      </c>
      <c r="F759">
        <v>46112</v>
      </c>
      <c r="G759" t="s">
        <v>496</v>
      </c>
      <c r="H759" t="s">
        <v>1159</v>
      </c>
      <c r="I759">
        <v>52100503</v>
      </c>
      <c r="J759" t="s">
        <v>1528</v>
      </c>
      <c r="K759" t="s">
        <v>1529</v>
      </c>
      <c r="L759">
        <v>0</v>
      </c>
      <c r="M759">
        <v>2557.46</v>
      </c>
      <c r="N759">
        <v>0</v>
      </c>
      <c r="O759">
        <v>2557.46</v>
      </c>
      <c r="P759" t="s">
        <v>1530</v>
      </c>
      <c r="Q759" t="s">
        <v>1062</v>
      </c>
      <c r="R759" t="s">
        <v>1199</v>
      </c>
      <c r="S759" t="s">
        <v>947</v>
      </c>
      <c r="T759" t="s">
        <v>1063</v>
      </c>
      <c r="U759" t="s">
        <v>1531</v>
      </c>
      <c r="V759" t="s">
        <v>1165</v>
      </c>
      <c r="W759">
        <v>1</v>
      </c>
      <c r="X759">
        <v>2557.46</v>
      </c>
      <c r="Y759" t="s">
        <v>1166</v>
      </c>
      <c r="Z759" t="s">
        <v>1167</v>
      </c>
      <c r="AA759" t="s">
        <v>1532</v>
      </c>
    </row>
    <row r="760" spans="1:27" x14ac:dyDescent="0.3">
      <c r="A760" t="s">
        <v>1670</v>
      </c>
      <c r="B760" t="s">
        <v>1500</v>
      </c>
      <c r="C760" t="s">
        <v>974</v>
      </c>
      <c r="D760" t="s">
        <v>1373</v>
      </c>
      <c r="E760" t="s">
        <v>552</v>
      </c>
      <c r="F760">
        <v>46112</v>
      </c>
      <c r="G760" t="s">
        <v>496</v>
      </c>
      <c r="H760" t="s">
        <v>1159</v>
      </c>
      <c r="I760">
        <v>52100503</v>
      </c>
      <c r="J760" t="s">
        <v>1528</v>
      </c>
      <c r="K760" t="s">
        <v>1529</v>
      </c>
      <c r="L760">
        <v>1500</v>
      </c>
      <c r="M760">
        <v>0</v>
      </c>
      <c r="N760">
        <v>0</v>
      </c>
      <c r="O760">
        <v>1500</v>
      </c>
      <c r="P760" t="s">
        <v>1530</v>
      </c>
      <c r="Q760" t="s">
        <v>1062</v>
      </c>
      <c r="R760" t="s">
        <v>1199</v>
      </c>
      <c r="S760" t="s">
        <v>947</v>
      </c>
      <c r="T760" t="s">
        <v>1063</v>
      </c>
      <c r="U760" t="s">
        <v>1531</v>
      </c>
      <c r="V760" t="s">
        <v>1165</v>
      </c>
      <c r="W760">
        <v>1</v>
      </c>
      <c r="X760">
        <v>1500</v>
      </c>
      <c r="Y760" t="s">
        <v>1166</v>
      </c>
      <c r="Z760" t="s">
        <v>1167</v>
      </c>
      <c r="AA760" t="s">
        <v>1532</v>
      </c>
    </row>
    <row r="761" spans="1:27" x14ac:dyDescent="0.3">
      <c r="A761" t="s">
        <v>1670</v>
      </c>
      <c r="B761" t="s">
        <v>1506</v>
      </c>
      <c r="C761" t="s">
        <v>974</v>
      </c>
      <c r="D761" t="s">
        <v>1373</v>
      </c>
      <c r="E761" t="s">
        <v>552</v>
      </c>
      <c r="F761">
        <v>46112</v>
      </c>
      <c r="G761" t="s">
        <v>496</v>
      </c>
      <c r="H761" t="s">
        <v>1159</v>
      </c>
      <c r="I761">
        <v>52356001</v>
      </c>
      <c r="J761" t="s">
        <v>1338</v>
      </c>
      <c r="K761" t="s">
        <v>1535</v>
      </c>
      <c r="L761">
        <v>0</v>
      </c>
      <c r="M761">
        <v>400</v>
      </c>
      <c r="N761">
        <v>0</v>
      </c>
      <c r="O761">
        <v>400</v>
      </c>
      <c r="P761" t="s">
        <v>1339</v>
      </c>
      <c r="Q761" t="s">
        <v>1097</v>
      </c>
      <c r="R761" t="s">
        <v>1199</v>
      </c>
      <c r="S761" t="s">
        <v>948</v>
      </c>
      <c r="T761" t="s">
        <v>1098</v>
      </c>
      <c r="U761" t="s">
        <v>1340</v>
      </c>
      <c r="V761" t="s">
        <v>1165</v>
      </c>
      <c r="W761">
        <v>1</v>
      </c>
      <c r="X761">
        <v>400</v>
      </c>
      <c r="Y761" t="s">
        <v>1166</v>
      </c>
      <c r="Z761" t="s">
        <v>1167</v>
      </c>
      <c r="AA761" t="s">
        <v>1341</v>
      </c>
    </row>
    <row r="762" spans="1:27" x14ac:dyDescent="0.3">
      <c r="A762" t="s">
        <v>1670</v>
      </c>
      <c r="B762" t="s">
        <v>1510</v>
      </c>
      <c r="C762" t="s">
        <v>974</v>
      </c>
      <c r="D762" t="s">
        <v>1373</v>
      </c>
      <c r="E762" t="s">
        <v>552</v>
      </c>
      <c r="F762">
        <v>46112</v>
      </c>
      <c r="G762" t="s">
        <v>496</v>
      </c>
      <c r="H762" t="s">
        <v>1159</v>
      </c>
      <c r="I762">
        <v>52359502</v>
      </c>
      <c r="J762" t="s">
        <v>1232</v>
      </c>
      <c r="K762" t="s">
        <v>1537</v>
      </c>
      <c r="L762">
        <v>648</v>
      </c>
      <c r="M762">
        <v>0</v>
      </c>
      <c r="N762">
        <v>0</v>
      </c>
      <c r="O762">
        <v>648</v>
      </c>
      <c r="P762" t="s">
        <v>1538</v>
      </c>
      <c r="Q762" t="s">
        <v>1099</v>
      </c>
      <c r="R762" t="s">
        <v>1199</v>
      </c>
      <c r="S762" t="s">
        <v>948</v>
      </c>
      <c r="T762" t="s">
        <v>1100</v>
      </c>
      <c r="U762" t="s">
        <v>576</v>
      </c>
      <c r="V762" t="s">
        <v>1165</v>
      </c>
      <c r="W762">
        <v>1</v>
      </c>
      <c r="X762">
        <v>648</v>
      </c>
      <c r="Y762" t="s">
        <v>1192</v>
      </c>
      <c r="Z762" t="s">
        <v>1193</v>
      </c>
      <c r="AA762" t="s">
        <v>1539</v>
      </c>
    </row>
    <row r="763" spans="1:27" x14ac:dyDescent="0.3">
      <c r="A763" t="s">
        <v>1670</v>
      </c>
      <c r="B763" t="s">
        <v>1518</v>
      </c>
      <c r="C763" t="s">
        <v>974</v>
      </c>
      <c r="D763" t="s">
        <v>1373</v>
      </c>
      <c r="E763" t="s">
        <v>552</v>
      </c>
      <c r="F763">
        <v>46112</v>
      </c>
      <c r="G763" t="s">
        <v>496</v>
      </c>
      <c r="H763" t="s">
        <v>1159</v>
      </c>
      <c r="I763">
        <v>53051501</v>
      </c>
      <c r="J763" t="s">
        <v>1544</v>
      </c>
      <c r="K763" t="s">
        <v>1545</v>
      </c>
      <c r="L763">
        <v>5.22</v>
      </c>
      <c r="M763">
        <v>5.22</v>
      </c>
      <c r="N763">
        <v>0</v>
      </c>
      <c r="O763">
        <v>10.44</v>
      </c>
      <c r="P763" t="s">
        <v>1546</v>
      </c>
      <c r="Q763" t="s">
        <v>1123</v>
      </c>
      <c r="R763" t="s">
        <v>1199</v>
      </c>
      <c r="S763" t="s">
        <v>717</v>
      </c>
      <c r="T763" t="s">
        <v>717</v>
      </c>
      <c r="U763" t="s">
        <v>1547</v>
      </c>
      <c r="V763" t="s">
        <v>1165</v>
      </c>
      <c r="W763">
        <v>1</v>
      </c>
      <c r="X763">
        <v>10.44</v>
      </c>
      <c r="Y763" t="s">
        <v>1166</v>
      </c>
      <c r="Z763" t="s">
        <v>1167</v>
      </c>
      <c r="AA763" t="s">
        <v>1548</v>
      </c>
    </row>
    <row r="764" spans="1:27" x14ac:dyDescent="0.3">
      <c r="A764" t="s">
        <v>1670</v>
      </c>
      <c r="B764" t="s">
        <v>1624</v>
      </c>
      <c r="C764" t="s">
        <v>974</v>
      </c>
      <c r="D764" t="s">
        <v>1373</v>
      </c>
      <c r="E764" t="s">
        <v>552</v>
      </c>
      <c r="F764">
        <v>46112</v>
      </c>
      <c r="G764" t="s">
        <v>496</v>
      </c>
      <c r="H764" t="s">
        <v>1159</v>
      </c>
      <c r="I764">
        <v>53051501</v>
      </c>
      <c r="J764" t="s">
        <v>1544</v>
      </c>
      <c r="K764" t="s">
        <v>1382</v>
      </c>
      <c r="L764">
        <v>0</v>
      </c>
      <c r="M764">
        <v>3.11</v>
      </c>
      <c r="N764">
        <v>0</v>
      </c>
      <c r="O764">
        <v>3.11</v>
      </c>
      <c r="P764" t="s">
        <v>1546</v>
      </c>
      <c r="Q764" t="s">
        <v>1123</v>
      </c>
      <c r="R764" t="s">
        <v>1199</v>
      </c>
      <c r="S764" t="s">
        <v>717</v>
      </c>
      <c r="T764" t="s">
        <v>717</v>
      </c>
      <c r="U764" t="s">
        <v>1547</v>
      </c>
      <c r="V764" t="s">
        <v>1165</v>
      </c>
      <c r="W764">
        <v>1</v>
      </c>
      <c r="X764">
        <v>3.11</v>
      </c>
      <c r="Y764" t="s">
        <v>1166</v>
      </c>
      <c r="Z764" t="s">
        <v>1167</v>
      </c>
      <c r="AA764" t="s">
        <v>1548</v>
      </c>
    </row>
    <row r="765" spans="1:27" x14ac:dyDescent="0.3">
      <c r="A765" t="s">
        <v>1670</v>
      </c>
      <c r="B765" t="s">
        <v>1520</v>
      </c>
      <c r="C765" t="s">
        <v>974</v>
      </c>
      <c r="D765" t="s">
        <v>1373</v>
      </c>
      <c r="E765" t="s">
        <v>552</v>
      </c>
      <c r="F765">
        <v>46112</v>
      </c>
      <c r="G765" t="s">
        <v>496</v>
      </c>
      <c r="H765" t="s">
        <v>1159</v>
      </c>
      <c r="I765">
        <v>53051501</v>
      </c>
      <c r="J765" t="s">
        <v>1544</v>
      </c>
      <c r="K765" t="s">
        <v>1551</v>
      </c>
      <c r="L765">
        <v>152.85</v>
      </c>
      <c r="M765">
        <v>0</v>
      </c>
      <c r="N765">
        <v>0</v>
      </c>
      <c r="O765">
        <v>152.85</v>
      </c>
      <c r="P765" t="s">
        <v>1546</v>
      </c>
      <c r="Q765" t="s">
        <v>1123</v>
      </c>
      <c r="R765" t="s">
        <v>1199</v>
      </c>
      <c r="S765" t="s">
        <v>717</v>
      </c>
      <c r="T765" t="s">
        <v>717</v>
      </c>
      <c r="U765" t="s">
        <v>1547</v>
      </c>
      <c r="V765" t="s">
        <v>1165</v>
      </c>
      <c r="W765">
        <v>1</v>
      </c>
      <c r="X765">
        <v>152.85</v>
      </c>
      <c r="Y765" t="s">
        <v>1166</v>
      </c>
      <c r="Z765" t="s">
        <v>1167</v>
      </c>
      <c r="AA765" t="s">
        <v>1548</v>
      </c>
    </row>
    <row r="766" spans="1:27" x14ac:dyDescent="0.3">
      <c r="A766" t="s">
        <v>1670</v>
      </c>
      <c r="B766" t="s">
        <v>1525</v>
      </c>
      <c r="C766" t="s">
        <v>974</v>
      </c>
      <c r="D766" t="s">
        <v>1373</v>
      </c>
      <c r="E766" t="s">
        <v>552</v>
      </c>
      <c r="F766">
        <v>46112</v>
      </c>
      <c r="G766" t="s">
        <v>496</v>
      </c>
      <c r="H766" t="s">
        <v>1159</v>
      </c>
      <c r="I766">
        <v>53051501</v>
      </c>
      <c r="J766" t="s">
        <v>1544</v>
      </c>
      <c r="K766" t="s">
        <v>1406</v>
      </c>
      <c r="L766">
        <v>0.9</v>
      </c>
      <c r="M766">
        <v>0</v>
      </c>
      <c r="N766">
        <v>0</v>
      </c>
      <c r="O766">
        <v>0.9</v>
      </c>
      <c r="P766" t="s">
        <v>1546</v>
      </c>
      <c r="Q766" t="s">
        <v>1123</v>
      </c>
      <c r="R766" t="s">
        <v>1199</v>
      </c>
      <c r="S766" t="s">
        <v>717</v>
      </c>
      <c r="T766" t="s">
        <v>717</v>
      </c>
      <c r="U766" t="s">
        <v>1547</v>
      </c>
      <c r="V766" t="s">
        <v>1165</v>
      </c>
      <c r="W766">
        <v>1</v>
      </c>
      <c r="X766">
        <v>0.9</v>
      </c>
      <c r="Y766" t="s">
        <v>1166</v>
      </c>
      <c r="Z766" t="s">
        <v>1167</v>
      </c>
      <c r="AA766" t="s">
        <v>1548</v>
      </c>
    </row>
    <row r="767" spans="1:27" x14ac:dyDescent="0.3">
      <c r="A767" t="s">
        <v>1671</v>
      </c>
      <c r="B767" t="s">
        <v>1158</v>
      </c>
      <c r="C767" t="s">
        <v>976</v>
      </c>
      <c r="D767" t="s">
        <v>658</v>
      </c>
      <c r="E767" t="s">
        <v>554</v>
      </c>
      <c r="F767">
        <v>46173</v>
      </c>
      <c r="G767" t="s">
        <v>496</v>
      </c>
      <c r="H767" t="s">
        <v>1159</v>
      </c>
      <c r="I767">
        <v>11100501</v>
      </c>
      <c r="J767" t="s">
        <v>1160</v>
      </c>
      <c r="L767">
        <v>-64.069999999999993</v>
      </c>
      <c r="M767">
        <v>1520</v>
      </c>
      <c r="N767">
        <v>1393.8</v>
      </c>
      <c r="O767">
        <v>62.13</v>
      </c>
      <c r="P767" t="s">
        <v>1161</v>
      </c>
      <c r="Q767" t="s">
        <v>980</v>
      </c>
      <c r="R767" t="s">
        <v>1162</v>
      </c>
      <c r="S767" t="s">
        <v>1163</v>
      </c>
      <c r="T767" t="s">
        <v>926</v>
      </c>
      <c r="U767" t="s">
        <v>1164</v>
      </c>
      <c r="V767" t="s">
        <v>1165</v>
      </c>
      <c r="W767">
        <v>1</v>
      </c>
      <c r="X767">
        <v>62.13</v>
      </c>
      <c r="Y767" t="s">
        <v>1166</v>
      </c>
      <c r="Z767" t="s">
        <v>1167</v>
      </c>
      <c r="AA767" t="s">
        <v>1168</v>
      </c>
    </row>
    <row r="768" spans="1:27" x14ac:dyDescent="0.3">
      <c r="A768" t="s">
        <v>1671</v>
      </c>
      <c r="B768" t="s">
        <v>1169</v>
      </c>
      <c r="C768" t="s">
        <v>976</v>
      </c>
      <c r="D768" t="s">
        <v>658</v>
      </c>
      <c r="E768" t="s">
        <v>554</v>
      </c>
      <c r="F768">
        <v>46173</v>
      </c>
      <c r="G768" t="s">
        <v>496</v>
      </c>
      <c r="H768" t="s">
        <v>1159</v>
      </c>
      <c r="I768">
        <v>23050102</v>
      </c>
      <c r="J768" t="s">
        <v>1170</v>
      </c>
      <c r="K768" t="s">
        <v>1171</v>
      </c>
      <c r="L768">
        <v>-92</v>
      </c>
      <c r="M768">
        <v>0</v>
      </c>
      <c r="N768">
        <v>0</v>
      </c>
      <c r="O768">
        <v>-92</v>
      </c>
      <c r="P768" t="s">
        <v>1172</v>
      </c>
      <c r="Q768" t="s">
        <v>1010</v>
      </c>
      <c r="R768" t="s">
        <v>1162</v>
      </c>
      <c r="S768" t="s">
        <v>1173</v>
      </c>
      <c r="T768" t="s">
        <v>1011</v>
      </c>
      <c r="U768" t="s">
        <v>1174</v>
      </c>
      <c r="V768" t="s">
        <v>1175</v>
      </c>
      <c r="W768">
        <v>-1</v>
      </c>
      <c r="X768">
        <v>92</v>
      </c>
      <c r="Y768" t="s">
        <v>1166</v>
      </c>
      <c r="Z768" t="s">
        <v>1167</v>
      </c>
      <c r="AA768" t="s">
        <v>1176</v>
      </c>
    </row>
    <row r="769" spans="1:27" x14ac:dyDescent="0.3">
      <c r="A769" t="s">
        <v>1671</v>
      </c>
      <c r="B769" t="s">
        <v>1177</v>
      </c>
      <c r="C769" t="s">
        <v>976</v>
      </c>
      <c r="D769" t="s">
        <v>658</v>
      </c>
      <c r="E769" t="s">
        <v>554</v>
      </c>
      <c r="F769">
        <v>46173</v>
      </c>
      <c r="G769" t="s">
        <v>496</v>
      </c>
      <c r="H769" t="s">
        <v>1159</v>
      </c>
      <c r="I769">
        <v>31050502</v>
      </c>
      <c r="J769" t="s">
        <v>1178</v>
      </c>
      <c r="K769" t="s">
        <v>1179</v>
      </c>
      <c r="L769">
        <v>-6882.83</v>
      </c>
      <c r="M769">
        <v>0</v>
      </c>
      <c r="N769">
        <v>0</v>
      </c>
      <c r="O769">
        <v>-6882.83</v>
      </c>
      <c r="P769" t="s">
        <v>1180</v>
      </c>
      <c r="Q769" t="s">
        <v>1028</v>
      </c>
      <c r="R769" t="s">
        <v>1162</v>
      </c>
      <c r="S769" t="s">
        <v>1181</v>
      </c>
      <c r="T769" t="s">
        <v>1029</v>
      </c>
      <c r="U769" t="s">
        <v>1182</v>
      </c>
      <c r="V769" t="s">
        <v>1175</v>
      </c>
      <c r="W769">
        <v>-1</v>
      </c>
      <c r="X769">
        <v>6882.83</v>
      </c>
      <c r="Y769" t="s">
        <v>1166</v>
      </c>
      <c r="Z769" t="s">
        <v>1167</v>
      </c>
      <c r="AA769" t="s">
        <v>1029</v>
      </c>
    </row>
    <row r="770" spans="1:27" x14ac:dyDescent="0.3">
      <c r="A770" t="s">
        <v>1671</v>
      </c>
      <c r="B770" t="s">
        <v>1183</v>
      </c>
      <c r="C770" t="s">
        <v>976</v>
      </c>
      <c r="D770" t="s">
        <v>658</v>
      </c>
      <c r="E770" t="s">
        <v>554</v>
      </c>
      <c r="F770">
        <v>46173</v>
      </c>
      <c r="G770" t="s">
        <v>496</v>
      </c>
      <c r="H770" t="s">
        <v>1159</v>
      </c>
      <c r="I770">
        <v>31150502</v>
      </c>
      <c r="J770" t="s">
        <v>1184</v>
      </c>
      <c r="L770">
        <v>-33567.96</v>
      </c>
      <c r="M770">
        <v>0</v>
      </c>
      <c r="N770">
        <v>1520</v>
      </c>
      <c r="O770">
        <v>-35087.96</v>
      </c>
      <c r="P770" t="s">
        <v>1185</v>
      </c>
      <c r="Q770" t="s">
        <v>1028</v>
      </c>
      <c r="R770" t="s">
        <v>1162</v>
      </c>
      <c r="S770" t="s">
        <v>1181</v>
      </c>
      <c r="T770" t="s">
        <v>1029</v>
      </c>
      <c r="U770" t="s">
        <v>1186</v>
      </c>
      <c r="V770" t="s">
        <v>1175</v>
      </c>
      <c r="W770">
        <v>-1</v>
      </c>
      <c r="X770">
        <v>35087.96</v>
      </c>
      <c r="Y770" t="s">
        <v>1166</v>
      </c>
      <c r="Z770" t="s">
        <v>1167</v>
      </c>
      <c r="AA770" t="s">
        <v>1187</v>
      </c>
    </row>
    <row r="771" spans="1:27" x14ac:dyDescent="0.3">
      <c r="A771" t="s">
        <v>1671</v>
      </c>
      <c r="B771" t="s">
        <v>1188</v>
      </c>
      <c r="C771" t="s">
        <v>976</v>
      </c>
      <c r="D771" t="s">
        <v>658</v>
      </c>
      <c r="E771" t="s">
        <v>554</v>
      </c>
      <c r="F771">
        <v>46173</v>
      </c>
      <c r="G771" t="s">
        <v>496</v>
      </c>
      <c r="H771" t="s">
        <v>1159</v>
      </c>
      <c r="I771">
        <v>36100102</v>
      </c>
      <c r="J771" t="s">
        <v>1189</v>
      </c>
      <c r="L771">
        <v>22674.27</v>
      </c>
      <c r="M771">
        <v>0</v>
      </c>
      <c r="N771">
        <v>0</v>
      </c>
      <c r="O771">
        <v>22674.27</v>
      </c>
      <c r="P771" t="s">
        <v>1190</v>
      </c>
      <c r="Q771" t="s">
        <v>1033</v>
      </c>
      <c r="R771" t="s">
        <v>1162</v>
      </c>
      <c r="S771" t="s">
        <v>1181</v>
      </c>
      <c r="T771" t="s">
        <v>1034</v>
      </c>
      <c r="U771" t="s">
        <v>1191</v>
      </c>
      <c r="V771" t="s">
        <v>1175</v>
      </c>
      <c r="W771">
        <v>-1</v>
      </c>
      <c r="X771">
        <v>-22674.27</v>
      </c>
      <c r="Y771" t="s">
        <v>1192</v>
      </c>
      <c r="Z771" t="s">
        <v>1193</v>
      </c>
      <c r="AA771" t="s">
        <v>1194</v>
      </c>
    </row>
    <row r="772" spans="1:27" x14ac:dyDescent="0.3">
      <c r="A772" t="s">
        <v>1671</v>
      </c>
      <c r="B772" t="s">
        <v>1195</v>
      </c>
      <c r="C772" t="s">
        <v>976</v>
      </c>
      <c r="D772" t="s">
        <v>658</v>
      </c>
      <c r="E772" t="s">
        <v>554</v>
      </c>
      <c r="F772">
        <v>46173</v>
      </c>
      <c r="G772" t="s">
        <v>496</v>
      </c>
      <c r="H772" t="s">
        <v>1159</v>
      </c>
      <c r="I772">
        <v>51050601</v>
      </c>
      <c r="J772" t="s">
        <v>1196</v>
      </c>
      <c r="K772" t="s">
        <v>1197</v>
      </c>
      <c r="L772">
        <v>4800</v>
      </c>
      <c r="M772">
        <v>600</v>
      </c>
      <c r="N772">
        <v>0</v>
      </c>
      <c r="O772">
        <v>5400</v>
      </c>
      <c r="P772" t="s">
        <v>1198</v>
      </c>
      <c r="Q772" t="s">
        <v>1060</v>
      </c>
      <c r="R772" t="s">
        <v>1199</v>
      </c>
      <c r="S772" t="s">
        <v>947</v>
      </c>
      <c r="T772" t="s">
        <v>1061</v>
      </c>
      <c r="U772" t="s">
        <v>1200</v>
      </c>
      <c r="V772" t="s">
        <v>1165</v>
      </c>
      <c r="W772">
        <v>1</v>
      </c>
      <c r="X772">
        <v>5400</v>
      </c>
      <c r="Y772" t="s">
        <v>1166</v>
      </c>
      <c r="Z772" t="s">
        <v>1167</v>
      </c>
      <c r="AA772" t="s">
        <v>1201</v>
      </c>
    </row>
    <row r="773" spans="1:27" x14ac:dyDescent="0.3">
      <c r="A773" t="s">
        <v>1671</v>
      </c>
      <c r="B773" t="s">
        <v>1202</v>
      </c>
      <c r="C773" t="s">
        <v>976</v>
      </c>
      <c r="D773" t="s">
        <v>658</v>
      </c>
      <c r="E773" t="s">
        <v>554</v>
      </c>
      <c r="F773">
        <v>46173</v>
      </c>
      <c r="G773" t="s">
        <v>496</v>
      </c>
      <c r="H773" t="s">
        <v>1159</v>
      </c>
      <c r="I773">
        <v>51052105</v>
      </c>
      <c r="J773" t="s">
        <v>1203</v>
      </c>
      <c r="L773">
        <v>1200</v>
      </c>
      <c r="M773">
        <v>300</v>
      </c>
      <c r="N773">
        <v>0</v>
      </c>
      <c r="O773">
        <v>1500</v>
      </c>
      <c r="P773" t="s">
        <v>1204</v>
      </c>
      <c r="Q773" t="s">
        <v>1075</v>
      </c>
      <c r="R773" t="s">
        <v>1199</v>
      </c>
      <c r="S773" t="s">
        <v>947</v>
      </c>
      <c r="T773" t="s">
        <v>1076</v>
      </c>
      <c r="U773" t="s">
        <v>1205</v>
      </c>
      <c r="V773" t="s">
        <v>1165</v>
      </c>
      <c r="W773">
        <v>1</v>
      </c>
      <c r="X773">
        <v>1500</v>
      </c>
      <c r="Y773" t="s">
        <v>1166</v>
      </c>
      <c r="Z773" t="s">
        <v>1167</v>
      </c>
      <c r="AA773" t="s">
        <v>1206</v>
      </c>
    </row>
    <row r="774" spans="1:27" x14ac:dyDescent="0.3">
      <c r="A774" t="s">
        <v>1671</v>
      </c>
      <c r="B774" t="s">
        <v>1207</v>
      </c>
      <c r="C774" t="s">
        <v>976</v>
      </c>
      <c r="D774" t="s">
        <v>658</v>
      </c>
      <c r="E774" t="s">
        <v>554</v>
      </c>
      <c r="F774">
        <v>46173</v>
      </c>
      <c r="G774" t="s">
        <v>496</v>
      </c>
      <c r="H774" t="s">
        <v>1159</v>
      </c>
      <c r="I774">
        <v>51053101</v>
      </c>
      <c r="J774" t="s">
        <v>1208</v>
      </c>
      <c r="K774" t="s">
        <v>1197</v>
      </c>
      <c r="L774">
        <v>1612.37</v>
      </c>
      <c r="M774">
        <v>400</v>
      </c>
      <c r="N774">
        <v>0</v>
      </c>
      <c r="O774">
        <v>2012.37</v>
      </c>
      <c r="P774" t="s">
        <v>1209</v>
      </c>
      <c r="Q774" t="s">
        <v>1060</v>
      </c>
      <c r="R774" t="s">
        <v>1199</v>
      </c>
      <c r="S774" t="s">
        <v>947</v>
      </c>
      <c r="T774" t="s">
        <v>1061</v>
      </c>
      <c r="U774" t="s">
        <v>1210</v>
      </c>
      <c r="V774" t="s">
        <v>1165</v>
      </c>
      <c r="W774">
        <v>1</v>
      </c>
      <c r="X774">
        <v>2012.37</v>
      </c>
      <c r="Y774" t="s">
        <v>1166</v>
      </c>
      <c r="Z774" t="s">
        <v>1167</v>
      </c>
      <c r="AA774" t="s">
        <v>1211</v>
      </c>
    </row>
    <row r="775" spans="1:27" x14ac:dyDescent="0.3">
      <c r="A775" t="s">
        <v>1671</v>
      </c>
      <c r="B775" t="s">
        <v>1212</v>
      </c>
      <c r="C775" t="s">
        <v>976</v>
      </c>
      <c r="D775" t="s">
        <v>658</v>
      </c>
      <c r="E775" t="s">
        <v>554</v>
      </c>
      <c r="F775">
        <v>46173</v>
      </c>
      <c r="G775" t="s">
        <v>496</v>
      </c>
      <c r="H775" t="s">
        <v>1159</v>
      </c>
      <c r="I775">
        <v>51102501</v>
      </c>
      <c r="J775" t="s">
        <v>1213</v>
      </c>
      <c r="K775" t="s">
        <v>1214</v>
      </c>
      <c r="L775">
        <v>270.35000000000002</v>
      </c>
      <c r="M775">
        <v>0</v>
      </c>
      <c r="N775">
        <v>0</v>
      </c>
      <c r="O775">
        <v>270.35000000000002</v>
      </c>
      <c r="P775" t="s">
        <v>1215</v>
      </c>
      <c r="Q775" t="s">
        <v>1062</v>
      </c>
      <c r="R775" t="s">
        <v>1199</v>
      </c>
      <c r="S775" t="s">
        <v>947</v>
      </c>
      <c r="T775" t="s">
        <v>1063</v>
      </c>
      <c r="U775" t="s">
        <v>1216</v>
      </c>
      <c r="V775" t="s">
        <v>1165</v>
      </c>
      <c r="W775">
        <v>1</v>
      </c>
      <c r="X775">
        <v>270.35000000000002</v>
      </c>
      <c r="Y775" t="s">
        <v>1166</v>
      </c>
      <c r="Z775" t="s">
        <v>1167</v>
      </c>
      <c r="AA775" t="s">
        <v>1217</v>
      </c>
    </row>
    <row r="776" spans="1:27" x14ac:dyDescent="0.3">
      <c r="A776" t="s">
        <v>1671</v>
      </c>
      <c r="B776" t="s">
        <v>1218</v>
      </c>
      <c r="C776" t="s">
        <v>976</v>
      </c>
      <c r="D776" t="s">
        <v>658</v>
      </c>
      <c r="E776" t="s">
        <v>554</v>
      </c>
      <c r="F776">
        <v>46173</v>
      </c>
      <c r="G776" t="s">
        <v>496</v>
      </c>
      <c r="H776" t="s">
        <v>1159</v>
      </c>
      <c r="I776">
        <v>51150501</v>
      </c>
      <c r="J776" t="s">
        <v>1219</v>
      </c>
      <c r="K776" t="s">
        <v>1220</v>
      </c>
      <c r="L776">
        <v>252.73</v>
      </c>
      <c r="M776">
        <v>0</v>
      </c>
      <c r="N776">
        <v>0</v>
      </c>
      <c r="O776">
        <v>252.73</v>
      </c>
      <c r="P776" t="s">
        <v>1221</v>
      </c>
      <c r="Q776" t="s">
        <v>1064</v>
      </c>
      <c r="R776" t="s">
        <v>1199</v>
      </c>
      <c r="S776" t="s">
        <v>947</v>
      </c>
      <c r="T776" t="s">
        <v>1065</v>
      </c>
      <c r="U776" t="s">
        <v>1222</v>
      </c>
      <c r="V776" t="s">
        <v>1165</v>
      </c>
      <c r="W776">
        <v>1</v>
      </c>
      <c r="X776">
        <v>252.73</v>
      </c>
      <c r="Y776" t="s">
        <v>1166</v>
      </c>
      <c r="Z776" t="s">
        <v>1167</v>
      </c>
      <c r="AA776" t="s">
        <v>1223</v>
      </c>
    </row>
    <row r="777" spans="1:27" x14ac:dyDescent="0.3">
      <c r="A777" t="s">
        <v>1671</v>
      </c>
      <c r="B777" t="s">
        <v>1224</v>
      </c>
      <c r="C777" t="s">
        <v>976</v>
      </c>
      <c r="D777" t="s">
        <v>658</v>
      </c>
      <c r="E777" t="s">
        <v>554</v>
      </c>
      <c r="F777">
        <v>46173</v>
      </c>
      <c r="G777" t="s">
        <v>496</v>
      </c>
      <c r="H777" t="s">
        <v>1159</v>
      </c>
      <c r="I777">
        <v>51150502</v>
      </c>
      <c r="J777" t="s">
        <v>1219</v>
      </c>
      <c r="K777" t="s">
        <v>1220</v>
      </c>
      <c r="L777">
        <v>142.19</v>
      </c>
      <c r="M777">
        <v>0</v>
      </c>
      <c r="N777">
        <v>0</v>
      </c>
      <c r="O777">
        <v>142.19</v>
      </c>
      <c r="P777" t="s">
        <v>1221</v>
      </c>
      <c r="Q777" t="s">
        <v>1064</v>
      </c>
      <c r="R777" t="s">
        <v>1199</v>
      </c>
      <c r="S777" t="s">
        <v>947</v>
      </c>
      <c r="T777" t="s">
        <v>1065</v>
      </c>
      <c r="U777" t="s">
        <v>1222</v>
      </c>
      <c r="V777" t="s">
        <v>1165</v>
      </c>
      <c r="W777">
        <v>1</v>
      </c>
      <c r="X777">
        <v>142.19</v>
      </c>
      <c r="Y777" t="s">
        <v>1166</v>
      </c>
      <c r="Z777" t="s">
        <v>1167</v>
      </c>
      <c r="AA777" t="s">
        <v>1223</v>
      </c>
    </row>
    <row r="778" spans="1:27" x14ac:dyDescent="0.3">
      <c r="A778" t="s">
        <v>1671</v>
      </c>
      <c r="B778" t="s">
        <v>1225</v>
      </c>
      <c r="C778" t="s">
        <v>976</v>
      </c>
      <c r="D778" t="s">
        <v>658</v>
      </c>
      <c r="E778" t="s">
        <v>554</v>
      </c>
      <c r="F778">
        <v>46173</v>
      </c>
      <c r="G778" t="s">
        <v>496</v>
      </c>
      <c r="H778" t="s">
        <v>1159</v>
      </c>
      <c r="I778">
        <v>51250501</v>
      </c>
      <c r="J778" t="s">
        <v>1226</v>
      </c>
      <c r="K778" t="s">
        <v>1227</v>
      </c>
      <c r="L778">
        <v>64.790000000000006</v>
      </c>
      <c r="M778">
        <v>0</v>
      </c>
      <c r="N778">
        <v>0</v>
      </c>
      <c r="O778">
        <v>64.790000000000006</v>
      </c>
      <c r="P778" t="s">
        <v>1228</v>
      </c>
      <c r="Q778" t="s">
        <v>1064</v>
      </c>
      <c r="R778" t="s">
        <v>1199</v>
      </c>
      <c r="S778" t="s">
        <v>947</v>
      </c>
      <c r="T778" t="s">
        <v>1065</v>
      </c>
      <c r="U778" t="s">
        <v>1229</v>
      </c>
      <c r="V778" t="s">
        <v>1165</v>
      </c>
      <c r="W778">
        <v>1</v>
      </c>
      <c r="X778">
        <v>64.790000000000006</v>
      </c>
      <c r="Y778" t="s">
        <v>1166</v>
      </c>
      <c r="Z778" t="s">
        <v>1167</v>
      </c>
      <c r="AA778" t="s">
        <v>1230</v>
      </c>
    </row>
    <row r="779" spans="1:27" x14ac:dyDescent="0.3">
      <c r="A779" t="s">
        <v>1671</v>
      </c>
      <c r="B779" t="s">
        <v>1231</v>
      </c>
      <c r="C779" t="s">
        <v>976</v>
      </c>
      <c r="D779" t="s">
        <v>658</v>
      </c>
      <c r="E779" t="s">
        <v>554</v>
      </c>
      <c r="F779">
        <v>46173</v>
      </c>
      <c r="G779" t="s">
        <v>496</v>
      </c>
      <c r="H779" t="s">
        <v>1159</v>
      </c>
      <c r="I779">
        <v>51309501</v>
      </c>
      <c r="J779" t="s">
        <v>1232</v>
      </c>
      <c r="K779" t="s">
        <v>1233</v>
      </c>
      <c r="L779">
        <v>9205.7199999999993</v>
      </c>
      <c r="M779">
        <v>0</v>
      </c>
      <c r="N779">
        <v>0</v>
      </c>
      <c r="O779">
        <v>9205.7199999999993</v>
      </c>
      <c r="P779" t="s">
        <v>1234</v>
      </c>
      <c r="Q779" t="s">
        <v>1068</v>
      </c>
      <c r="R779" t="s">
        <v>1199</v>
      </c>
      <c r="S779" t="s">
        <v>947</v>
      </c>
      <c r="T779" t="s">
        <v>568</v>
      </c>
      <c r="U779" t="s">
        <v>1235</v>
      </c>
      <c r="V779" t="s">
        <v>1165</v>
      </c>
      <c r="W779">
        <v>1</v>
      </c>
      <c r="X779">
        <v>9205.7199999999993</v>
      </c>
      <c r="Y779" t="s">
        <v>1192</v>
      </c>
      <c r="Z779" t="s">
        <v>1193</v>
      </c>
      <c r="AA779" t="s">
        <v>1236</v>
      </c>
    </row>
    <row r="780" spans="1:27" x14ac:dyDescent="0.3">
      <c r="A780" t="s">
        <v>1671</v>
      </c>
      <c r="B780" t="s">
        <v>1237</v>
      </c>
      <c r="C780" t="s">
        <v>976</v>
      </c>
      <c r="D780" t="s">
        <v>658</v>
      </c>
      <c r="E780" t="s">
        <v>554</v>
      </c>
      <c r="F780">
        <v>46173</v>
      </c>
      <c r="G780" t="s">
        <v>496</v>
      </c>
      <c r="H780" t="s">
        <v>1159</v>
      </c>
      <c r="I780">
        <v>51309501</v>
      </c>
      <c r="J780" t="s">
        <v>1232</v>
      </c>
      <c r="K780" t="s">
        <v>1238</v>
      </c>
      <c r="L780">
        <v>70.81</v>
      </c>
      <c r="M780">
        <v>0</v>
      </c>
      <c r="N780">
        <v>0</v>
      </c>
      <c r="O780">
        <v>70.81</v>
      </c>
      <c r="P780" t="s">
        <v>1234</v>
      </c>
      <c r="Q780" t="s">
        <v>1068</v>
      </c>
      <c r="R780" t="s">
        <v>1199</v>
      </c>
      <c r="S780" t="s">
        <v>947</v>
      </c>
      <c r="T780" t="s">
        <v>568</v>
      </c>
      <c r="U780" t="s">
        <v>1235</v>
      </c>
      <c r="V780" t="s">
        <v>1165</v>
      </c>
      <c r="W780">
        <v>1</v>
      </c>
      <c r="X780">
        <v>70.81</v>
      </c>
      <c r="Y780" t="s">
        <v>1192</v>
      </c>
      <c r="Z780" t="s">
        <v>1193</v>
      </c>
      <c r="AA780" t="s">
        <v>1236</v>
      </c>
    </row>
    <row r="781" spans="1:27" x14ac:dyDescent="0.3">
      <c r="A781" t="s">
        <v>1671</v>
      </c>
      <c r="B781" t="s">
        <v>1239</v>
      </c>
      <c r="C781" t="s">
        <v>976</v>
      </c>
      <c r="D781" t="s">
        <v>658</v>
      </c>
      <c r="E781" t="s">
        <v>554</v>
      </c>
      <c r="F781">
        <v>46173</v>
      </c>
      <c r="G781" t="s">
        <v>496</v>
      </c>
      <c r="H781" t="s">
        <v>1159</v>
      </c>
      <c r="I781">
        <v>51352001</v>
      </c>
      <c r="J781" t="s">
        <v>1240</v>
      </c>
      <c r="K781" t="s">
        <v>1241</v>
      </c>
      <c r="L781">
        <v>57.71</v>
      </c>
      <c r="M781">
        <v>57.8</v>
      </c>
      <c r="N781">
        <v>0</v>
      </c>
      <c r="O781">
        <v>115.51</v>
      </c>
      <c r="P781" t="s">
        <v>1242</v>
      </c>
      <c r="Q781" t="s">
        <v>1069</v>
      </c>
      <c r="R781" t="s">
        <v>1199</v>
      </c>
      <c r="S781" t="s">
        <v>947</v>
      </c>
      <c r="T781" t="s">
        <v>1070</v>
      </c>
      <c r="U781" t="s">
        <v>1243</v>
      </c>
      <c r="V781" t="s">
        <v>1165</v>
      </c>
      <c r="W781">
        <v>1</v>
      </c>
      <c r="X781">
        <v>115.51</v>
      </c>
      <c r="Y781" t="s">
        <v>1166</v>
      </c>
      <c r="Z781" t="s">
        <v>1193</v>
      </c>
      <c r="AA781" t="s">
        <v>1244</v>
      </c>
    </row>
    <row r="782" spans="1:27" x14ac:dyDescent="0.3">
      <c r="A782" t="s">
        <v>1671</v>
      </c>
      <c r="B782" t="s">
        <v>1245</v>
      </c>
      <c r="C782" t="s">
        <v>976</v>
      </c>
      <c r="D782" t="s">
        <v>658</v>
      </c>
      <c r="E782" t="s">
        <v>554</v>
      </c>
      <c r="F782">
        <v>46173</v>
      </c>
      <c r="G782" t="s">
        <v>496</v>
      </c>
      <c r="H782" t="s">
        <v>1159</v>
      </c>
      <c r="I782">
        <v>51953001</v>
      </c>
      <c r="J782" t="s">
        <v>1246</v>
      </c>
      <c r="K782" t="s">
        <v>1247</v>
      </c>
      <c r="L782">
        <v>39.61</v>
      </c>
      <c r="M782">
        <v>0</v>
      </c>
      <c r="N782">
        <v>0</v>
      </c>
      <c r="O782">
        <v>39.61</v>
      </c>
      <c r="P782" t="s">
        <v>1248</v>
      </c>
      <c r="Q782" t="s">
        <v>1079</v>
      </c>
      <c r="R782" t="s">
        <v>1199</v>
      </c>
      <c r="S782" t="s">
        <v>947</v>
      </c>
      <c r="T782" t="s">
        <v>1080</v>
      </c>
      <c r="U782" t="s">
        <v>1249</v>
      </c>
      <c r="V782" t="s">
        <v>1165</v>
      </c>
      <c r="W782">
        <v>1</v>
      </c>
      <c r="X782">
        <v>39.61</v>
      </c>
      <c r="Y782" t="s">
        <v>1166</v>
      </c>
      <c r="Z782" t="s">
        <v>1167</v>
      </c>
      <c r="AA782" t="s">
        <v>1250</v>
      </c>
    </row>
    <row r="783" spans="1:27" x14ac:dyDescent="0.3">
      <c r="A783" t="s">
        <v>1671</v>
      </c>
      <c r="B783" t="s">
        <v>1251</v>
      </c>
      <c r="C783" t="s">
        <v>976</v>
      </c>
      <c r="D783" t="s">
        <v>658</v>
      </c>
      <c r="E783" t="s">
        <v>554</v>
      </c>
      <c r="F783">
        <v>46173</v>
      </c>
      <c r="G783" t="s">
        <v>496</v>
      </c>
      <c r="H783" t="s">
        <v>1159</v>
      </c>
      <c r="I783">
        <v>51953001</v>
      </c>
      <c r="J783" t="s">
        <v>1246</v>
      </c>
      <c r="K783" t="s">
        <v>1252</v>
      </c>
      <c r="L783">
        <v>74.31</v>
      </c>
      <c r="M783">
        <v>0</v>
      </c>
      <c r="N783">
        <v>0</v>
      </c>
      <c r="O783">
        <v>74.31</v>
      </c>
      <c r="P783" t="s">
        <v>1248</v>
      </c>
      <c r="Q783" t="s">
        <v>1079</v>
      </c>
      <c r="R783" t="s">
        <v>1199</v>
      </c>
      <c r="S783" t="s">
        <v>947</v>
      </c>
      <c r="T783" t="s">
        <v>1080</v>
      </c>
      <c r="U783" t="s">
        <v>1249</v>
      </c>
      <c r="V783" t="s">
        <v>1165</v>
      </c>
      <c r="W783">
        <v>1</v>
      </c>
      <c r="X783">
        <v>74.31</v>
      </c>
      <c r="Y783" t="s">
        <v>1166</v>
      </c>
      <c r="Z783" t="s">
        <v>1167</v>
      </c>
      <c r="AA783" t="s">
        <v>1250</v>
      </c>
    </row>
    <row r="784" spans="1:27" x14ac:dyDescent="0.3">
      <c r="A784" t="s">
        <v>1671</v>
      </c>
      <c r="B784" t="s">
        <v>1253</v>
      </c>
      <c r="C784" t="s">
        <v>976</v>
      </c>
      <c r="D784" t="s">
        <v>658</v>
      </c>
      <c r="E784" t="s">
        <v>554</v>
      </c>
      <c r="F784">
        <v>46173</v>
      </c>
      <c r="G784" t="s">
        <v>496</v>
      </c>
      <c r="H784" t="s">
        <v>1159</v>
      </c>
      <c r="I784">
        <v>51953001</v>
      </c>
      <c r="J784" t="s">
        <v>1246</v>
      </c>
      <c r="K784" t="s">
        <v>1254</v>
      </c>
      <c r="L784">
        <v>15</v>
      </c>
      <c r="M784">
        <v>0</v>
      </c>
      <c r="N784">
        <v>0</v>
      </c>
      <c r="O784">
        <v>15</v>
      </c>
      <c r="P784" t="s">
        <v>1248</v>
      </c>
      <c r="Q784" t="s">
        <v>1079</v>
      </c>
      <c r="R784" t="s">
        <v>1199</v>
      </c>
      <c r="S784" t="s">
        <v>947</v>
      </c>
      <c r="T784" t="s">
        <v>1080</v>
      </c>
      <c r="U784" t="s">
        <v>1249</v>
      </c>
      <c r="V784" t="s">
        <v>1165</v>
      </c>
      <c r="W784">
        <v>1</v>
      </c>
      <c r="X784">
        <v>15</v>
      </c>
      <c r="Y784" t="s">
        <v>1166</v>
      </c>
      <c r="Z784" t="s">
        <v>1167</v>
      </c>
      <c r="AA784" t="s">
        <v>1250</v>
      </c>
    </row>
    <row r="785" spans="1:27" x14ac:dyDescent="0.3">
      <c r="A785" t="s">
        <v>1671</v>
      </c>
      <c r="B785" t="s">
        <v>1255</v>
      </c>
      <c r="C785" t="s">
        <v>976</v>
      </c>
      <c r="D785" t="s">
        <v>658</v>
      </c>
      <c r="E785" t="s">
        <v>554</v>
      </c>
      <c r="F785">
        <v>46173</v>
      </c>
      <c r="G785" t="s">
        <v>496</v>
      </c>
      <c r="H785" t="s">
        <v>1159</v>
      </c>
      <c r="I785">
        <v>51953001</v>
      </c>
      <c r="J785" t="s">
        <v>1246</v>
      </c>
      <c r="K785" t="s">
        <v>1256</v>
      </c>
      <c r="L785">
        <v>7</v>
      </c>
      <c r="M785">
        <v>0</v>
      </c>
      <c r="N785">
        <v>0</v>
      </c>
      <c r="O785">
        <v>7</v>
      </c>
      <c r="P785" t="s">
        <v>1248</v>
      </c>
      <c r="Q785" t="s">
        <v>1079</v>
      </c>
      <c r="R785" t="s">
        <v>1199</v>
      </c>
      <c r="S785" t="s">
        <v>947</v>
      </c>
      <c r="T785" t="s">
        <v>1080</v>
      </c>
      <c r="U785" t="s">
        <v>1249</v>
      </c>
      <c r="V785" t="s">
        <v>1165</v>
      </c>
      <c r="W785">
        <v>1</v>
      </c>
      <c r="X785">
        <v>7</v>
      </c>
      <c r="Y785" t="s">
        <v>1166</v>
      </c>
      <c r="Z785" t="s">
        <v>1167</v>
      </c>
      <c r="AA785" t="s">
        <v>1250</v>
      </c>
    </row>
    <row r="786" spans="1:27" x14ac:dyDescent="0.3">
      <c r="A786" t="s">
        <v>1671</v>
      </c>
      <c r="B786" t="s">
        <v>1257</v>
      </c>
      <c r="C786" t="s">
        <v>976</v>
      </c>
      <c r="D786" t="s">
        <v>658</v>
      </c>
      <c r="E786" t="s">
        <v>554</v>
      </c>
      <c r="F786">
        <v>46173</v>
      </c>
      <c r="G786" t="s">
        <v>496</v>
      </c>
      <c r="H786" t="s">
        <v>1159</v>
      </c>
      <c r="I786">
        <v>53050501</v>
      </c>
      <c r="J786" t="s">
        <v>1258</v>
      </c>
      <c r="K786" t="s">
        <v>1259</v>
      </c>
      <c r="L786">
        <v>120</v>
      </c>
      <c r="M786">
        <v>30</v>
      </c>
      <c r="N786">
        <v>0</v>
      </c>
      <c r="O786">
        <v>150</v>
      </c>
      <c r="P786" t="s">
        <v>1260</v>
      </c>
      <c r="Q786" t="s">
        <v>1123</v>
      </c>
      <c r="R786" t="s">
        <v>1199</v>
      </c>
      <c r="S786" t="s">
        <v>717</v>
      </c>
      <c r="T786" t="s">
        <v>717</v>
      </c>
      <c r="U786" t="s">
        <v>1261</v>
      </c>
      <c r="V786" t="s">
        <v>1165</v>
      </c>
      <c r="W786">
        <v>1</v>
      </c>
      <c r="X786">
        <v>150</v>
      </c>
      <c r="Y786" t="s">
        <v>1166</v>
      </c>
      <c r="Z786" t="s">
        <v>1167</v>
      </c>
      <c r="AA786" t="s">
        <v>1262</v>
      </c>
    </row>
    <row r="787" spans="1:27" x14ac:dyDescent="0.3">
      <c r="A787" t="s">
        <v>1671</v>
      </c>
      <c r="B787" t="s">
        <v>1342</v>
      </c>
      <c r="C787" t="s">
        <v>976</v>
      </c>
      <c r="D787" t="s">
        <v>658</v>
      </c>
      <c r="E787" t="s">
        <v>554</v>
      </c>
      <c r="F787">
        <v>46173</v>
      </c>
      <c r="G787" t="s">
        <v>496</v>
      </c>
      <c r="H787" t="s">
        <v>1159</v>
      </c>
      <c r="I787">
        <v>53050504</v>
      </c>
      <c r="J787" t="s">
        <v>1258</v>
      </c>
      <c r="K787" t="s">
        <v>1259</v>
      </c>
      <c r="L787">
        <v>0</v>
      </c>
      <c r="M787">
        <v>6</v>
      </c>
      <c r="N787">
        <v>0</v>
      </c>
      <c r="O787">
        <v>6</v>
      </c>
      <c r="P787" t="s">
        <v>1260</v>
      </c>
      <c r="Q787" t="s">
        <v>1123</v>
      </c>
      <c r="R787" t="s">
        <v>1199</v>
      </c>
      <c r="S787" t="s">
        <v>717</v>
      </c>
      <c r="T787" t="s">
        <v>717</v>
      </c>
      <c r="U787" t="s">
        <v>1261</v>
      </c>
      <c r="V787" t="s">
        <v>1165</v>
      </c>
      <c r="W787">
        <v>1</v>
      </c>
      <c r="X787">
        <v>6</v>
      </c>
      <c r="Y787" t="s">
        <v>1166</v>
      </c>
      <c r="Z787" t="s">
        <v>1167</v>
      </c>
      <c r="AA787" t="s">
        <v>1262</v>
      </c>
    </row>
    <row r="788" spans="1:27" x14ac:dyDescent="0.3">
      <c r="A788" t="s">
        <v>1672</v>
      </c>
      <c r="B788" t="s">
        <v>1264</v>
      </c>
      <c r="C788" t="s">
        <v>975</v>
      </c>
      <c r="D788" t="s">
        <v>1265</v>
      </c>
      <c r="E788" t="s">
        <v>554</v>
      </c>
      <c r="F788">
        <v>46173</v>
      </c>
      <c r="G788" t="s">
        <v>686</v>
      </c>
      <c r="H788" t="s">
        <v>1159</v>
      </c>
      <c r="I788">
        <v>11100501</v>
      </c>
      <c r="J788" t="s">
        <v>1160</v>
      </c>
      <c r="K788" t="s">
        <v>1266</v>
      </c>
      <c r="L788">
        <v>72193.69</v>
      </c>
      <c r="M788">
        <v>0</v>
      </c>
      <c r="N788">
        <v>26036.43</v>
      </c>
      <c r="O788">
        <v>46157.26</v>
      </c>
      <c r="P788" t="s">
        <v>1161</v>
      </c>
      <c r="Q788" t="s">
        <v>980</v>
      </c>
      <c r="R788" t="s">
        <v>1162</v>
      </c>
      <c r="S788" t="s">
        <v>1163</v>
      </c>
      <c r="T788" t="s">
        <v>926</v>
      </c>
      <c r="U788" t="s">
        <v>1164</v>
      </c>
      <c r="V788" t="s">
        <v>1165</v>
      </c>
      <c r="W788">
        <v>1</v>
      </c>
      <c r="X788">
        <v>46157.26</v>
      </c>
      <c r="Y788" t="s">
        <v>1166</v>
      </c>
      <c r="Z788" t="s">
        <v>1167</v>
      </c>
      <c r="AA788" t="s">
        <v>1168</v>
      </c>
    </row>
    <row r="789" spans="1:27" x14ac:dyDescent="0.3">
      <c r="A789" t="s">
        <v>1672</v>
      </c>
      <c r="B789" t="s">
        <v>1267</v>
      </c>
      <c r="C789" t="s">
        <v>975</v>
      </c>
      <c r="D789" t="s">
        <v>1265</v>
      </c>
      <c r="E789" t="s">
        <v>554</v>
      </c>
      <c r="F789">
        <v>46173</v>
      </c>
      <c r="G789" t="s">
        <v>686</v>
      </c>
      <c r="H789" t="s">
        <v>1159</v>
      </c>
      <c r="I789">
        <v>11200501</v>
      </c>
      <c r="J789" t="s">
        <v>1268</v>
      </c>
      <c r="K789" t="s">
        <v>1269</v>
      </c>
      <c r="L789">
        <v>20034.82</v>
      </c>
      <c r="M789">
        <v>0</v>
      </c>
      <c r="N789">
        <v>15423.72</v>
      </c>
      <c r="O789">
        <v>4611.1000000000004</v>
      </c>
      <c r="P789" t="s">
        <v>1270</v>
      </c>
      <c r="Q789" t="s">
        <v>980</v>
      </c>
      <c r="R789" t="s">
        <v>1162</v>
      </c>
      <c r="S789" t="s">
        <v>1163</v>
      </c>
      <c r="T789" t="s">
        <v>926</v>
      </c>
      <c r="U789" t="s">
        <v>1271</v>
      </c>
      <c r="V789" t="s">
        <v>1165</v>
      </c>
      <c r="W789">
        <v>1</v>
      </c>
      <c r="X789">
        <v>4611.1000000000004</v>
      </c>
      <c r="Y789" t="s">
        <v>1166</v>
      </c>
      <c r="Z789" t="s">
        <v>1167</v>
      </c>
      <c r="AA789" t="s">
        <v>1272</v>
      </c>
    </row>
    <row r="790" spans="1:27" x14ac:dyDescent="0.3">
      <c r="A790" t="s">
        <v>1672</v>
      </c>
      <c r="B790" t="s">
        <v>1169</v>
      </c>
      <c r="C790" t="s">
        <v>975</v>
      </c>
      <c r="D790" t="s">
        <v>1265</v>
      </c>
      <c r="E790" t="s">
        <v>554</v>
      </c>
      <c r="F790">
        <v>46173</v>
      </c>
      <c r="G790" t="s">
        <v>686</v>
      </c>
      <c r="H790" t="s">
        <v>1159</v>
      </c>
      <c r="I790">
        <v>13050501</v>
      </c>
      <c r="J790" t="s">
        <v>1273</v>
      </c>
      <c r="K790" t="s">
        <v>1274</v>
      </c>
      <c r="L790">
        <v>10879.1</v>
      </c>
      <c r="M790">
        <v>3320.5</v>
      </c>
      <c r="N790">
        <v>0</v>
      </c>
      <c r="O790">
        <v>14199.6</v>
      </c>
      <c r="P790" t="s">
        <v>1275</v>
      </c>
      <c r="Q790" t="s">
        <v>983</v>
      </c>
      <c r="R790" t="s">
        <v>1162</v>
      </c>
      <c r="S790" t="s">
        <v>1163</v>
      </c>
      <c r="T790" t="s">
        <v>984</v>
      </c>
      <c r="U790" t="s">
        <v>1276</v>
      </c>
      <c r="V790" t="s">
        <v>1165</v>
      </c>
      <c r="W790">
        <v>1</v>
      </c>
      <c r="X790">
        <v>14199.6</v>
      </c>
      <c r="Y790" t="s">
        <v>1166</v>
      </c>
      <c r="Z790" t="s">
        <v>1167</v>
      </c>
      <c r="AA790" t="s">
        <v>1277</v>
      </c>
    </row>
    <row r="791" spans="1:27" x14ac:dyDescent="0.3">
      <c r="A791" t="s">
        <v>1672</v>
      </c>
      <c r="B791" t="s">
        <v>1278</v>
      </c>
      <c r="C791" t="s">
        <v>975</v>
      </c>
      <c r="D791" t="s">
        <v>1265</v>
      </c>
      <c r="E791" t="s">
        <v>554</v>
      </c>
      <c r="F791">
        <v>46173</v>
      </c>
      <c r="G791" t="s">
        <v>686</v>
      </c>
      <c r="H791" t="s">
        <v>1159</v>
      </c>
      <c r="I791">
        <v>13551510</v>
      </c>
      <c r="J791" t="s">
        <v>1279</v>
      </c>
      <c r="K791" t="s">
        <v>1280</v>
      </c>
      <c r="L791">
        <v>1053.7</v>
      </c>
      <c r="M791">
        <v>0</v>
      </c>
      <c r="N791">
        <v>0</v>
      </c>
      <c r="O791">
        <v>1053.7</v>
      </c>
      <c r="P791" t="s">
        <v>1281</v>
      </c>
      <c r="Q791" t="s">
        <v>987</v>
      </c>
      <c r="R791" t="s">
        <v>1162</v>
      </c>
      <c r="S791" t="s">
        <v>1163</v>
      </c>
      <c r="T791" t="s">
        <v>988</v>
      </c>
      <c r="U791" t="s">
        <v>1282</v>
      </c>
      <c r="V791" t="s">
        <v>1165</v>
      </c>
      <c r="W791">
        <v>1</v>
      </c>
      <c r="X791">
        <v>1053.7</v>
      </c>
      <c r="Y791" t="s">
        <v>1166</v>
      </c>
      <c r="Z791" t="s">
        <v>1167</v>
      </c>
      <c r="AA791" t="s">
        <v>1283</v>
      </c>
    </row>
    <row r="792" spans="1:27" x14ac:dyDescent="0.3">
      <c r="A792" t="s">
        <v>1672</v>
      </c>
      <c r="B792" t="s">
        <v>1284</v>
      </c>
      <c r="C792" t="s">
        <v>975</v>
      </c>
      <c r="D792" t="s">
        <v>1265</v>
      </c>
      <c r="E792" t="s">
        <v>554</v>
      </c>
      <c r="F792">
        <v>46173</v>
      </c>
      <c r="G792" t="s">
        <v>686</v>
      </c>
      <c r="H792" t="s">
        <v>1159</v>
      </c>
      <c r="I792">
        <v>15280501</v>
      </c>
      <c r="J792" t="s">
        <v>1285</v>
      </c>
      <c r="K792" t="s">
        <v>1286</v>
      </c>
      <c r="L792">
        <v>8811.86</v>
      </c>
      <c r="M792">
        <v>0</v>
      </c>
      <c r="N792">
        <v>0</v>
      </c>
      <c r="O792">
        <v>8811.86</v>
      </c>
      <c r="P792" t="s">
        <v>1287</v>
      </c>
      <c r="Q792" t="s">
        <v>995</v>
      </c>
      <c r="R792" t="s">
        <v>1162</v>
      </c>
      <c r="S792" t="s">
        <v>957</v>
      </c>
      <c r="T792" t="s">
        <v>996</v>
      </c>
      <c r="U792" t="s">
        <v>1288</v>
      </c>
      <c r="V792" t="s">
        <v>1165</v>
      </c>
      <c r="W792">
        <v>1</v>
      </c>
      <c r="X792">
        <v>8811.86</v>
      </c>
      <c r="Y792" t="s">
        <v>1166</v>
      </c>
      <c r="Z792" t="s">
        <v>1167</v>
      </c>
      <c r="AA792" t="s">
        <v>1289</v>
      </c>
    </row>
    <row r="793" spans="1:27" x14ac:dyDescent="0.3">
      <c r="A793" t="s">
        <v>1672</v>
      </c>
      <c r="B793" t="s">
        <v>1290</v>
      </c>
      <c r="C793" t="s">
        <v>975</v>
      </c>
      <c r="D793" t="s">
        <v>1265</v>
      </c>
      <c r="E793" t="s">
        <v>554</v>
      </c>
      <c r="F793">
        <v>46173</v>
      </c>
      <c r="G793" t="s">
        <v>686</v>
      </c>
      <c r="H793" t="s">
        <v>1159</v>
      </c>
      <c r="I793">
        <v>22050501</v>
      </c>
      <c r="J793" t="s">
        <v>1273</v>
      </c>
      <c r="K793" t="s">
        <v>1291</v>
      </c>
      <c r="L793">
        <v>-3940.73</v>
      </c>
      <c r="M793">
        <v>3940.73</v>
      </c>
      <c r="N793">
        <v>1450.63</v>
      </c>
      <c r="O793">
        <v>-1450.63</v>
      </c>
      <c r="P793" t="s">
        <v>1292</v>
      </c>
      <c r="Q793" t="s">
        <v>1008</v>
      </c>
      <c r="R793" t="s">
        <v>1162</v>
      </c>
      <c r="S793" t="s">
        <v>1173</v>
      </c>
      <c r="T793" t="s">
        <v>1009</v>
      </c>
      <c r="U793" t="s">
        <v>563</v>
      </c>
      <c r="V793" t="s">
        <v>1175</v>
      </c>
      <c r="W793">
        <v>-1</v>
      </c>
      <c r="X793">
        <v>1450.63</v>
      </c>
      <c r="Y793" t="s">
        <v>1166</v>
      </c>
      <c r="Z793" t="s">
        <v>1167</v>
      </c>
      <c r="AA793" t="s">
        <v>1293</v>
      </c>
    </row>
    <row r="794" spans="1:27" x14ac:dyDescent="0.3">
      <c r="A794" t="s">
        <v>1672</v>
      </c>
      <c r="B794" t="s">
        <v>1294</v>
      </c>
      <c r="C794" t="s">
        <v>975</v>
      </c>
      <c r="D794" t="s">
        <v>1265</v>
      </c>
      <c r="E794" t="s">
        <v>554</v>
      </c>
      <c r="F794">
        <v>46173</v>
      </c>
      <c r="G794" t="s">
        <v>686</v>
      </c>
      <c r="H794" t="s">
        <v>1159</v>
      </c>
      <c r="I794">
        <v>22050501</v>
      </c>
      <c r="J794" t="s">
        <v>1273</v>
      </c>
      <c r="K794" t="s">
        <v>1291</v>
      </c>
      <c r="L794">
        <v>-1706.19</v>
      </c>
      <c r="M794">
        <v>1706.19</v>
      </c>
      <c r="N794">
        <v>0</v>
      </c>
      <c r="O794">
        <v>0</v>
      </c>
      <c r="P794" t="s">
        <v>1292</v>
      </c>
      <c r="Q794" t="s">
        <v>1008</v>
      </c>
      <c r="R794" t="s">
        <v>1162</v>
      </c>
      <c r="S794" t="s">
        <v>1173</v>
      </c>
      <c r="T794" t="s">
        <v>1009</v>
      </c>
      <c r="U794" t="s">
        <v>563</v>
      </c>
      <c r="V794" t="s">
        <v>1175</v>
      </c>
      <c r="W794">
        <v>-1</v>
      </c>
      <c r="Y794" t="s">
        <v>1166</v>
      </c>
      <c r="Z794" t="s">
        <v>1167</v>
      </c>
      <c r="AA794" t="s">
        <v>1293</v>
      </c>
    </row>
    <row r="795" spans="1:27" x14ac:dyDescent="0.3">
      <c r="A795" t="s">
        <v>1672</v>
      </c>
      <c r="B795" t="s">
        <v>1560</v>
      </c>
      <c r="C795" t="s">
        <v>975</v>
      </c>
      <c r="D795" t="s">
        <v>1265</v>
      </c>
      <c r="E795" t="s">
        <v>554</v>
      </c>
      <c r="F795">
        <v>46173</v>
      </c>
      <c r="G795" t="s">
        <v>686</v>
      </c>
      <c r="H795" t="s">
        <v>1159</v>
      </c>
      <c r="I795">
        <v>24080103</v>
      </c>
      <c r="J795" t="s">
        <v>1296</v>
      </c>
      <c r="K795" t="s">
        <v>1297</v>
      </c>
      <c r="L795">
        <v>-1852.44</v>
      </c>
      <c r="M795">
        <v>0</v>
      </c>
      <c r="N795">
        <v>506.52</v>
      </c>
      <c r="O795">
        <v>-2358.96</v>
      </c>
      <c r="P795" t="s">
        <v>1298</v>
      </c>
      <c r="Q795" t="s">
        <v>1012</v>
      </c>
      <c r="R795" t="s">
        <v>1162</v>
      </c>
      <c r="S795" t="s">
        <v>1173</v>
      </c>
      <c r="T795" t="s">
        <v>1013</v>
      </c>
      <c r="U795" t="s">
        <v>1299</v>
      </c>
      <c r="V795" t="s">
        <v>1175</v>
      </c>
      <c r="W795">
        <v>-1</v>
      </c>
      <c r="X795">
        <v>2358.96</v>
      </c>
      <c r="Y795" t="s">
        <v>1166</v>
      </c>
      <c r="Z795" t="s">
        <v>1167</v>
      </c>
      <c r="AA795" t="s">
        <v>1300</v>
      </c>
    </row>
    <row r="796" spans="1:27" x14ac:dyDescent="0.3">
      <c r="A796" t="s">
        <v>1672</v>
      </c>
      <c r="B796" t="s">
        <v>1557</v>
      </c>
      <c r="C796" t="s">
        <v>975</v>
      </c>
      <c r="D796" t="s">
        <v>1265</v>
      </c>
      <c r="E796" t="s">
        <v>554</v>
      </c>
      <c r="F796">
        <v>46173</v>
      </c>
      <c r="G796" t="s">
        <v>686</v>
      </c>
      <c r="H796" t="s">
        <v>1159</v>
      </c>
      <c r="I796">
        <v>24080201</v>
      </c>
      <c r="J796" t="s">
        <v>1301</v>
      </c>
      <c r="K796" t="s">
        <v>1302</v>
      </c>
      <c r="L796">
        <v>1586.14</v>
      </c>
      <c r="M796">
        <v>0</v>
      </c>
      <c r="N796">
        <v>0</v>
      </c>
      <c r="O796">
        <v>1586.14</v>
      </c>
      <c r="P796" t="s">
        <v>1303</v>
      </c>
      <c r="Q796" t="s">
        <v>987</v>
      </c>
      <c r="R796" t="s">
        <v>1162</v>
      </c>
      <c r="S796" t="s">
        <v>1163</v>
      </c>
      <c r="T796" t="s">
        <v>988</v>
      </c>
      <c r="U796" t="s">
        <v>1304</v>
      </c>
      <c r="V796" t="s">
        <v>1165</v>
      </c>
      <c r="W796">
        <v>1</v>
      </c>
      <c r="X796">
        <v>1586.14</v>
      </c>
      <c r="Y796" t="s">
        <v>1166</v>
      </c>
      <c r="Z796" t="s">
        <v>1167</v>
      </c>
      <c r="AA796" t="s">
        <v>1305</v>
      </c>
    </row>
    <row r="797" spans="1:27" x14ac:dyDescent="0.3">
      <c r="A797" t="s">
        <v>1672</v>
      </c>
      <c r="B797" t="s">
        <v>1195</v>
      </c>
      <c r="C797" t="s">
        <v>975</v>
      </c>
      <c r="D797" t="s">
        <v>1265</v>
      </c>
      <c r="E797" t="s">
        <v>554</v>
      </c>
      <c r="F797">
        <v>46173</v>
      </c>
      <c r="G797" t="s">
        <v>686</v>
      </c>
      <c r="H797" t="s">
        <v>1159</v>
      </c>
      <c r="I797">
        <v>24080201</v>
      </c>
      <c r="J797" t="s">
        <v>1301</v>
      </c>
      <c r="K797" t="s">
        <v>1302</v>
      </c>
      <c r="L797">
        <v>601.13</v>
      </c>
      <c r="M797">
        <v>221.28</v>
      </c>
      <c r="N797">
        <v>0</v>
      </c>
      <c r="O797">
        <v>822.41</v>
      </c>
      <c r="P797" t="s">
        <v>1303</v>
      </c>
      <c r="Q797" t="s">
        <v>987</v>
      </c>
      <c r="R797" t="s">
        <v>1162</v>
      </c>
      <c r="S797" t="s">
        <v>1163</v>
      </c>
      <c r="T797" t="s">
        <v>988</v>
      </c>
      <c r="U797" t="s">
        <v>1304</v>
      </c>
      <c r="V797" t="s">
        <v>1165</v>
      </c>
      <c r="W797">
        <v>1</v>
      </c>
      <c r="X797">
        <v>822.41</v>
      </c>
      <c r="Y797" t="s">
        <v>1166</v>
      </c>
      <c r="Z797" t="s">
        <v>1167</v>
      </c>
      <c r="AA797" t="s">
        <v>1305</v>
      </c>
    </row>
    <row r="798" spans="1:27" x14ac:dyDescent="0.3">
      <c r="A798" t="s">
        <v>1672</v>
      </c>
      <c r="B798" t="s">
        <v>1306</v>
      </c>
      <c r="C798" t="s">
        <v>975</v>
      </c>
      <c r="D798" t="s">
        <v>1265</v>
      </c>
      <c r="E798" t="s">
        <v>554</v>
      </c>
      <c r="F798">
        <v>46173</v>
      </c>
      <c r="G798" t="s">
        <v>686</v>
      </c>
      <c r="H798" t="s">
        <v>1159</v>
      </c>
      <c r="I798">
        <v>24080201</v>
      </c>
      <c r="J798" t="s">
        <v>1301</v>
      </c>
      <c r="K798" t="s">
        <v>1302</v>
      </c>
      <c r="L798">
        <v>-984.16</v>
      </c>
      <c r="M798">
        <v>0</v>
      </c>
      <c r="N798">
        <v>0</v>
      </c>
      <c r="O798">
        <v>-984.16</v>
      </c>
      <c r="P798" t="s">
        <v>1303</v>
      </c>
      <c r="Q798" t="s">
        <v>987</v>
      </c>
      <c r="R798" t="s">
        <v>1162</v>
      </c>
      <c r="S798" t="s">
        <v>1163</v>
      </c>
      <c r="T798" t="s">
        <v>988</v>
      </c>
      <c r="U798" t="s">
        <v>1304</v>
      </c>
      <c r="V798" t="s">
        <v>1165</v>
      </c>
      <c r="W798">
        <v>1</v>
      </c>
      <c r="X798">
        <v>-984.16</v>
      </c>
      <c r="Y798" t="s">
        <v>1166</v>
      </c>
      <c r="Z798" t="s">
        <v>1167</v>
      </c>
      <c r="AA798" t="s">
        <v>1305</v>
      </c>
    </row>
    <row r="799" spans="1:27" x14ac:dyDescent="0.3">
      <c r="A799" t="s">
        <v>1672</v>
      </c>
      <c r="B799" t="s">
        <v>1561</v>
      </c>
      <c r="C799" t="s">
        <v>975</v>
      </c>
      <c r="D799" t="s">
        <v>1265</v>
      </c>
      <c r="E799" t="s">
        <v>554</v>
      </c>
      <c r="F799">
        <v>46173</v>
      </c>
      <c r="G799" t="s">
        <v>686</v>
      </c>
      <c r="H799" t="s">
        <v>1159</v>
      </c>
      <c r="I799">
        <v>31050501</v>
      </c>
      <c r="J799" t="s">
        <v>1178</v>
      </c>
      <c r="K799" t="s">
        <v>1308</v>
      </c>
      <c r="L799">
        <v>-14208.08</v>
      </c>
      <c r="M799">
        <v>0</v>
      </c>
      <c r="N799">
        <v>0</v>
      </c>
      <c r="O799">
        <v>-14208.08</v>
      </c>
      <c r="P799" t="s">
        <v>1180</v>
      </c>
      <c r="Q799" t="s">
        <v>1028</v>
      </c>
      <c r="R799" t="s">
        <v>1162</v>
      </c>
      <c r="S799" t="s">
        <v>1181</v>
      </c>
      <c r="T799" t="s">
        <v>1029</v>
      </c>
      <c r="U799" t="s">
        <v>1182</v>
      </c>
      <c r="V799" t="s">
        <v>1175</v>
      </c>
      <c r="W799">
        <v>-1</v>
      </c>
      <c r="X799">
        <v>14208.08</v>
      </c>
      <c r="Y799" t="s">
        <v>1166</v>
      </c>
      <c r="Z799" t="s">
        <v>1167</v>
      </c>
      <c r="AA799" t="s">
        <v>1029</v>
      </c>
    </row>
    <row r="800" spans="1:27" x14ac:dyDescent="0.3">
      <c r="A800" t="s">
        <v>1672</v>
      </c>
      <c r="B800" t="s">
        <v>1398</v>
      </c>
      <c r="C800" t="s">
        <v>975</v>
      </c>
      <c r="D800" t="s">
        <v>1265</v>
      </c>
      <c r="E800" t="s">
        <v>554</v>
      </c>
      <c r="F800">
        <v>46173</v>
      </c>
      <c r="G800" t="s">
        <v>686</v>
      </c>
      <c r="H800" t="s">
        <v>1159</v>
      </c>
      <c r="I800">
        <v>37050501</v>
      </c>
      <c r="J800" t="s">
        <v>1310</v>
      </c>
      <c r="K800" t="s">
        <v>1311</v>
      </c>
      <c r="L800">
        <v>-26659.66</v>
      </c>
      <c r="M800">
        <v>0</v>
      </c>
      <c r="N800">
        <v>0</v>
      </c>
      <c r="O800">
        <v>-26659.66</v>
      </c>
      <c r="P800" t="s">
        <v>1312</v>
      </c>
      <c r="Q800" t="s">
        <v>1031</v>
      </c>
      <c r="R800" t="s">
        <v>1162</v>
      </c>
      <c r="S800" t="s">
        <v>1181</v>
      </c>
      <c r="T800" t="s">
        <v>1032</v>
      </c>
      <c r="U800" t="s">
        <v>938</v>
      </c>
      <c r="V800" t="s">
        <v>1175</v>
      </c>
      <c r="W800">
        <v>-1</v>
      </c>
      <c r="X800">
        <v>26659.66</v>
      </c>
      <c r="Y800" t="s">
        <v>1166</v>
      </c>
      <c r="Z800" t="s">
        <v>1167</v>
      </c>
      <c r="AA800" t="s">
        <v>1313</v>
      </c>
    </row>
    <row r="801" spans="1:27" x14ac:dyDescent="0.3">
      <c r="A801" t="s">
        <v>1672</v>
      </c>
      <c r="B801" t="s">
        <v>1562</v>
      </c>
      <c r="C801" t="s">
        <v>975</v>
      </c>
      <c r="D801" t="s">
        <v>1265</v>
      </c>
      <c r="E801" t="s">
        <v>554</v>
      </c>
      <c r="F801">
        <v>46173</v>
      </c>
      <c r="G801" t="s">
        <v>686</v>
      </c>
      <c r="H801" t="s">
        <v>1159</v>
      </c>
      <c r="I801">
        <v>41700103</v>
      </c>
      <c r="J801" t="s">
        <v>1315</v>
      </c>
      <c r="K801" t="s">
        <v>1316</v>
      </c>
      <c r="L801">
        <v>-1808.92</v>
      </c>
      <c r="M801">
        <v>0</v>
      </c>
      <c r="N801">
        <v>0</v>
      </c>
      <c r="O801">
        <v>-1808.92</v>
      </c>
      <c r="P801" t="s">
        <v>1317</v>
      </c>
      <c r="Q801" t="s">
        <v>1048</v>
      </c>
      <c r="R801" t="s">
        <v>1199</v>
      </c>
      <c r="S801" t="s">
        <v>1318</v>
      </c>
      <c r="T801" t="s">
        <v>1049</v>
      </c>
      <c r="U801" t="s">
        <v>1319</v>
      </c>
      <c r="V801" t="s">
        <v>1175</v>
      </c>
      <c r="W801">
        <v>-1</v>
      </c>
      <c r="X801">
        <v>1808.92</v>
      </c>
      <c r="Y801" t="s">
        <v>1166</v>
      </c>
      <c r="Z801" t="s">
        <v>1167</v>
      </c>
      <c r="AA801" t="s">
        <v>1320</v>
      </c>
    </row>
    <row r="802" spans="1:27" x14ac:dyDescent="0.3">
      <c r="A802" t="s">
        <v>1672</v>
      </c>
      <c r="B802" t="s">
        <v>1314</v>
      </c>
      <c r="C802" t="s">
        <v>975</v>
      </c>
      <c r="D802" t="s">
        <v>1265</v>
      </c>
      <c r="E802" t="s">
        <v>554</v>
      </c>
      <c r="F802">
        <v>46173</v>
      </c>
      <c r="G802" t="s">
        <v>686</v>
      </c>
      <c r="H802" t="s">
        <v>1159</v>
      </c>
      <c r="I802">
        <v>41700124</v>
      </c>
      <c r="J802" t="s">
        <v>1315</v>
      </c>
      <c r="K802" t="s">
        <v>1321</v>
      </c>
      <c r="L802">
        <v>-8482.11</v>
      </c>
      <c r="M802">
        <v>0</v>
      </c>
      <c r="N802">
        <v>2813.98</v>
      </c>
      <c r="O802">
        <v>-11296.09</v>
      </c>
      <c r="P802" t="s">
        <v>1317</v>
      </c>
      <c r="Q802" t="s">
        <v>1048</v>
      </c>
      <c r="R802" t="s">
        <v>1199</v>
      </c>
      <c r="S802" t="s">
        <v>1318</v>
      </c>
      <c r="T802" t="s">
        <v>1049</v>
      </c>
      <c r="U802" t="s">
        <v>1319</v>
      </c>
      <c r="V802" t="s">
        <v>1175</v>
      </c>
      <c r="W802">
        <v>-1</v>
      </c>
      <c r="X802">
        <v>11296.09</v>
      </c>
      <c r="Y802" t="s">
        <v>1166</v>
      </c>
      <c r="Z802" t="s">
        <v>1167</v>
      </c>
      <c r="AA802" t="s">
        <v>1320</v>
      </c>
    </row>
    <row r="803" spans="1:27" x14ac:dyDescent="0.3">
      <c r="A803" t="s">
        <v>1672</v>
      </c>
      <c r="B803" t="s">
        <v>1584</v>
      </c>
      <c r="C803" t="s">
        <v>975</v>
      </c>
      <c r="D803" t="s">
        <v>1265</v>
      </c>
      <c r="E803" t="s">
        <v>554</v>
      </c>
      <c r="F803">
        <v>46173</v>
      </c>
      <c r="G803" t="s">
        <v>686</v>
      </c>
      <c r="H803" t="s">
        <v>1159</v>
      </c>
      <c r="I803">
        <v>42958810</v>
      </c>
      <c r="J803" t="s">
        <v>1322</v>
      </c>
      <c r="K803" t="s">
        <v>1322</v>
      </c>
      <c r="L803">
        <v>-64960.94</v>
      </c>
      <c r="M803">
        <v>0</v>
      </c>
      <c r="N803">
        <v>0</v>
      </c>
      <c r="O803">
        <v>-64960.94</v>
      </c>
      <c r="P803" t="s">
        <v>1323</v>
      </c>
      <c r="Q803" t="s">
        <v>1120</v>
      </c>
      <c r="R803" t="s">
        <v>1199</v>
      </c>
      <c r="S803" t="s">
        <v>1324</v>
      </c>
      <c r="T803" t="s">
        <v>811</v>
      </c>
      <c r="U803" t="s">
        <v>811</v>
      </c>
      <c r="V803" t="s">
        <v>1175</v>
      </c>
      <c r="W803">
        <v>-1</v>
      </c>
      <c r="X803">
        <v>64960.94</v>
      </c>
      <c r="Y803" t="s">
        <v>1192</v>
      </c>
      <c r="Z803" t="s">
        <v>1193</v>
      </c>
      <c r="AA803" t="s">
        <v>1325</v>
      </c>
    </row>
    <row r="804" spans="1:27" x14ac:dyDescent="0.3">
      <c r="A804" t="s">
        <v>1672</v>
      </c>
      <c r="B804" t="s">
        <v>1574</v>
      </c>
      <c r="C804" t="s">
        <v>975</v>
      </c>
      <c r="D804" t="s">
        <v>1265</v>
      </c>
      <c r="E804" t="s">
        <v>554</v>
      </c>
      <c r="F804">
        <v>46173</v>
      </c>
      <c r="G804" t="s">
        <v>686</v>
      </c>
      <c r="H804" t="s">
        <v>1159</v>
      </c>
      <c r="I804">
        <v>51102503</v>
      </c>
      <c r="J804" t="s">
        <v>1213</v>
      </c>
      <c r="K804" t="s">
        <v>1326</v>
      </c>
      <c r="L804">
        <v>1539.6</v>
      </c>
      <c r="M804">
        <v>529.35</v>
      </c>
      <c r="N804">
        <v>0</v>
      </c>
      <c r="O804">
        <v>2068.9499999999998</v>
      </c>
      <c r="P804" t="s">
        <v>1215</v>
      </c>
      <c r="Q804" t="s">
        <v>1062</v>
      </c>
      <c r="R804" t="s">
        <v>1199</v>
      </c>
      <c r="S804" t="s">
        <v>947</v>
      </c>
      <c r="T804" t="s">
        <v>1063</v>
      </c>
      <c r="U804" t="s">
        <v>1216</v>
      </c>
      <c r="V804" t="s">
        <v>1165</v>
      </c>
      <c r="W804">
        <v>1</v>
      </c>
      <c r="X804">
        <v>2068.9499999999998</v>
      </c>
      <c r="Y804" t="s">
        <v>1166</v>
      </c>
      <c r="Z804" t="s">
        <v>1167</v>
      </c>
      <c r="AA804" t="s">
        <v>1217</v>
      </c>
    </row>
    <row r="805" spans="1:27" x14ac:dyDescent="0.3">
      <c r="A805" t="s">
        <v>1672</v>
      </c>
      <c r="B805" t="s">
        <v>1575</v>
      </c>
      <c r="C805" t="s">
        <v>975</v>
      </c>
      <c r="D805" t="s">
        <v>1265</v>
      </c>
      <c r="E805" t="s">
        <v>554</v>
      </c>
      <c r="F805">
        <v>46173</v>
      </c>
      <c r="G805" t="s">
        <v>686</v>
      </c>
      <c r="H805" t="s">
        <v>1159</v>
      </c>
      <c r="I805">
        <v>51103001</v>
      </c>
      <c r="J805" t="s">
        <v>1328</v>
      </c>
      <c r="K805" t="s">
        <v>1329</v>
      </c>
      <c r="L805">
        <v>1800</v>
      </c>
      <c r="M805">
        <v>700</v>
      </c>
      <c r="N805">
        <v>0</v>
      </c>
      <c r="O805">
        <v>2500</v>
      </c>
      <c r="P805" t="s">
        <v>1330</v>
      </c>
      <c r="Q805" t="s">
        <v>1062</v>
      </c>
      <c r="R805" t="s">
        <v>1199</v>
      </c>
      <c r="S805" t="s">
        <v>947</v>
      </c>
      <c r="T805" t="s">
        <v>1063</v>
      </c>
      <c r="U805" t="s">
        <v>1331</v>
      </c>
      <c r="V805" t="s">
        <v>1165</v>
      </c>
      <c r="W805">
        <v>1</v>
      </c>
      <c r="X805">
        <v>2500</v>
      </c>
      <c r="Y805" t="s">
        <v>1166</v>
      </c>
      <c r="Z805" t="s">
        <v>1167</v>
      </c>
      <c r="AA805" t="s">
        <v>1332</v>
      </c>
    </row>
    <row r="806" spans="1:27" x14ac:dyDescent="0.3">
      <c r="A806" t="s">
        <v>1672</v>
      </c>
      <c r="B806" t="s">
        <v>1251</v>
      </c>
      <c r="C806" t="s">
        <v>975</v>
      </c>
      <c r="D806" t="s">
        <v>1265</v>
      </c>
      <c r="E806" t="s">
        <v>554</v>
      </c>
      <c r="F806">
        <v>46173</v>
      </c>
      <c r="G806" t="s">
        <v>686</v>
      </c>
      <c r="H806" t="s">
        <v>1159</v>
      </c>
      <c r="I806">
        <v>52103501</v>
      </c>
      <c r="J806" t="s">
        <v>1585</v>
      </c>
      <c r="K806" t="s">
        <v>1586</v>
      </c>
      <c r="L806">
        <v>0</v>
      </c>
      <c r="M806">
        <v>7400.3</v>
      </c>
      <c r="N806">
        <v>0</v>
      </c>
      <c r="O806">
        <v>7400.3</v>
      </c>
      <c r="P806" t="s">
        <v>1587</v>
      </c>
      <c r="Q806" t="s">
        <v>1095</v>
      </c>
      <c r="R806" t="s">
        <v>1199</v>
      </c>
      <c r="S806" t="s">
        <v>948</v>
      </c>
      <c r="T806" t="s">
        <v>1096</v>
      </c>
      <c r="U806" t="s">
        <v>1588</v>
      </c>
      <c r="V806" t="s">
        <v>1165</v>
      </c>
      <c r="W806">
        <v>1</v>
      </c>
      <c r="X806">
        <v>7400.3</v>
      </c>
      <c r="Y806" t="s">
        <v>1192</v>
      </c>
      <c r="Z806" t="s">
        <v>1193</v>
      </c>
      <c r="AA806" t="s">
        <v>1589</v>
      </c>
    </row>
    <row r="807" spans="1:27" x14ac:dyDescent="0.3">
      <c r="A807" t="s">
        <v>1672</v>
      </c>
      <c r="B807" t="s">
        <v>1253</v>
      </c>
      <c r="C807" t="s">
        <v>975</v>
      </c>
      <c r="D807" t="s">
        <v>1265</v>
      </c>
      <c r="E807" t="s">
        <v>554</v>
      </c>
      <c r="F807">
        <v>46173</v>
      </c>
      <c r="G807" t="s">
        <v>686</v>
      </c>
      <c r="H807" t="s">
        <v>1159</v>
      </c>
      <c r="I807">
        <v>52103501</v>
      </c>
      <c r="J807" t="s">
        <v>1585</v>
      </c>
      <c r="K807" t="s">
        <v>1586</v>
      </c>
      <c r="L807">
        <v>0</v>
      </c>
      <c r="M807">
        <v>15383.22</v>
      </c>
      <c r="N807">
        <v>0</v>
      </c>
      <c r="O807">
        <v>15383.22</v>
      </c>
      <c r="P807" t="s">
        <v>1587</v>
      </c>
      <c r="Q807" t="s">
        <v>1095</v>
      </c>
      <c r="R807" t="s">
        <v>1199</v>
      </c>
      <c r="S807" t="s">
        <v>948</v>
      </c>
      <c r="T807" t="s">
        <v>1096</v>
      </c>
      <c r="U807" t="s">
        <v>1588</v>
      </c>
      <c r="V807" t="s">
        <v>1165</v>
      </c>
      <c r="W807">
        <v>1</v>
      </c>
      <c r="X807">
        <v>15383.22</v>
      </c>
      <c r="Y807" t="s">
        <v>1192</v>
      </c>
      <c r="Z807" t="s">
        <v>1193</v>
      </c>
      <c r="AA807" t="s">
        <v>1589</v>
      </c>
    </row>
    <row r="808" spans="1:27" x14ac:dyDescent="0.3">
      <c r="A808" t="s">
        <v>1672</v>
      </c>
      <c r="B808" t="s">
        <v>1255</v>
      </c>
      <c r="C808" t="s">
        <v>975</v>
      </c>
      <c r="D808" t="s">
        <v>1265</v>
      </c>
      <c r="E808" t="s">
        <v>554</v>
      </c>
      <c r="F808">
        <v>46173</v>
      </c>
      <c r="G808" t="s">
        <v>686</v>
      </c>
      <c r="H808" t="s">
        <v>1159</v>
      </c>
      <c r="I808">
        <v>52103501</v>
      </c>
      <c r="J808" t="s">
        <v>1585</v>
      </c>
      <c r="K808" t="s">
        <v>1586</v>
      </c>
      <c r="L808">
        <v>0</v>
      </c>
      <c r="M808">
        <v>7400.3</v>
      </c>
      <c r="N808">
        <v>0</v>
      </c>
      <c r="O808">
        <v>7400.3</v>
      </c>
      <c r="P808" t="s">
        <v>1587</v>
      </c>
      <c r="Q808" t="s">
        <v>1095</v>
      </c>
      <c r="R808" t="s">
        <v>1199</v>
      </c>
      <c r="S808" t="s">
        <v>948</v>
      </c>
      <c r="T808" t="s">
        <v>1096</v>
      </c>
      <c r="U808" t="s">
        <v>1588</v>
      </c>
      <c r="V808" t="s">
        <v>1165</v>
      </c>
      <c r="W808">
        <v>1</v>
      </c>
      <c r="X808">
        <v>7400.3</v>
      </c>
      <c r="Y808" t="s">
        <v>1192</v>
      </c>
      <c r="Z808" t="s">
        <v>1193</v>
      </c>
      <c r="AA808" t="s">
        <v>1589</v>
      </c>
    </row>
    <row r="809" spans="1:27" x14ac:dyDescent="0.3">
      <c r="A809" t="s">
        <v>1672</v>
      </c>
      <c r="B809" t="s">
        <v>1337</v>
      </c>
      <c r="C809" t="s">
        <v>975</v>
      </c>
      <c r="D809" t="s">
        <v>1265</v>
      </c>
      <c r="E809" t="s">
        <v>554</v>
      </c>
      <c r="F809">
        <v>46173</v>
      </c>
      <c r="G809" t="s">
        <v>686</v>
      </c>
      <c r="H809" t="s">
        <v>1159</v>
      </c>
      <c r="I809">
        <v>52109501</v>
      </c>
      <c r="J809" t="s">
        <v>1232</v>
      </c>
      <c r="K809" t="s">
        <v>1333</v>
      </c>
      <c r="L809">
        <v>2127</v>
      </c>
      <c r="M809">
        <v>0</v>
      </c>
      <c r="N809">
        <v>0</v>
      </c>
      <c r="O809">
        <v>2127</v>
      </c>
      <c r="P809" t="s">
        <v>1334</v>
      </c>
      <c r="Q809" t="s">
        <v>1095</v>
      </c>
      <c r="R809" t="s">
        <v>1199</v>
      </c>
      <c r="S809" t="s">
        <v>948</v>
      </c>
      <c r="T809" t="s">
        <v>1096</v>
      </c>
      <c r="U809" t="s">
        <v>1335</v>
      </c>
      <c r="V809" t="s">
        <v>1165</v>
      </c>
      <c r="W809">
        <v>1</v>
      </c>
      <c r="X809">
        <v>2127</v>
      </c>
      <c r="Y809" t="s">
        <v>1192</v>
      </c>
      <c r="Z809" t="s">
        <v>1193</v>
      </c>
      <c r="AA809" t="s">
        <v>1336</v>
      </c>
    </row>
    <row r="810" spans="1:27" x14ac:dyDescent="0.3">
      <c r="A810" t="s">
        <v>1672</v>
      </c>
      <c r="B810" t="s">
        <v>1342</v>
      </c>
      <c r="C810" t="s">
        <v>975</v>
      </c>
      <c r="D810" t="s">
        <v>1265</v>
      </c>
      <c r="E810" t="s">
        <v>554</v>
      </c>
      <c r="F810">
        <v>46173</v>
      </c>
      <c r="G810" t="s">
        <v>686</v>
      </c>
      <c r="H810" t="s">
        <v>1159</v>
      </c>
      <c r="I810">
        <v>52356001</v>
      </c>
      <c r="J810" t="s">
        <v>1338</v>
      </c>
      <c r="K810" t="s">
        <v>1338</v>
      </c>
      <c r="L810">
        <v>1706.19</v>
      </c>
      <c r="M810">
        <v>0</v>
      </c>
      <c r="N810">
        <v>0</v>
      </c>
      <c r="O810">
        <v>1706.19</v>
      </c>
      <c r="P810" t="s">
        <v>1339</v>
      </c>
      <c r="Q810" t="s">
        <v>1097</v>
      </c>
      <c r="R810" t="s">
        <v>1199</v>
      </c>
      <c r="S810" t="s">
        <v>948</v>
      </c>
      <c r="T810" t="s">
        <v>1098</v>
      </c>
      <c r="U810" t="s">
        <v>1340</v>
      </c>
      <c r="V810" t="s">
        <v>1165</v>
      </c>
      <c r="W810">
        <v>1</v>
      </c>
      <c r="X810">
        <v>1706.19</v>
      </c>
      <c r="Y810" t="s">
        <v>1166</v>
      </c>
      <c r="Z810" t="s">
        <v>1167</v>
      </c>
      <c r="AA810" t="s">
        <v>1341</v>
      </c>
    </row>
    <row r="811" spans="1:27" x14ac:dyDescent="0.3">
      <c r="A811" t="s">
        <v>1672</v>
      </c>
      <c r="B811" t="s">
        <v>1351</v>
      </c>
      <c r="C811" t="s">
        <v>975</v>
      </c>
      <c r="D811" t="s">
        <v>1265</v>
      </c>
      <c r="E811" t="s">
        <v>554</v>
      </c>
      <c r="F811">
        <v>46173</v>
      </c>
      <c r="G811" t="s">
        <v>686</v>
      </c>
      <c r="H811" t="s">
        <v>1159</v>
      </c>
      <c r="I811">
        <v>52550501</v>
      </c>
      <c r="J811" t="s">
        <v>1343</v>
      </c>
      <c r="K811" t="s">
        <v>1344</v>
      </c>
      <c r="L811">
        <v>267.26</v>
      </c>
      <c r="M811">
        <v>0</v>
      </c>
      <c r="N811">
        <v>0</v>
      </c>
      <c r="O811">
        <v>267.26</v>
      </c>
      <c r="P811" t="s">
        <v>1345</v>
      </c>
      <c r="Q811" t="s">
        <v>1101</v>
      </c>
      <c r="R811" t="s">
        <v>1199</v>
      </c>
      <c r="S811" t="s">
        <v>948</v>
      </c>
      <c r="T811" t="s">
        <v>1102</v>
      </c>
      <c r="U811" t="s">
        <v>1346</v>
      </c>
      <c r="V811" t="s">
        <v>1165</v>
      </c>
      <c r="W811">
        <v>1</v>
      </c>
      <c r="X811">
        <v>267.26</v>
      </c>
      <c r="Y811" t="s">
        <v>1166</v>
      </c>
      <c r="Z811" t="s">
        <v>1167</v>
      </c>
      <c r="AA811" t="s">
        <v>1347</v>
      </c>
    </row>
    <row r="812" spans="1:27" x14ac:dyDescent="0.3">
      <c r="A812" t="s">
        <v>1672</v>
      </c>
      <c r="B812" t="s">
        <v>1352</v>
      </c>
      <c r="C812" t="s">
        <v>975</v>
      </c>
      <c r="D812" t="s">
        <v>1265</v>
      </c>
      <c r="E812" t="s">
        <v>554</v>
      </c>
      <c r="F812">
        <v>46173</v>
      </c>
      <c r="G812" t="s">
        <v>686</v>
      </c>
      <c r="H812" t="s">
        <v>1159</v>
      </c>
      <c r="I812">
        <v>52550502</v>
      </c>
      <c r="J812" t="s">
        <v>1343</v>
      </c>
      <c r="K812" t="s">
        <v>1349</v>
      </c>
      <c r="L812">
        <v>80.8</v>
      </c>
      <c r="M812">
        <v>0</v>
      </c>
      <c r="N812">
        <v>0</v>
      </c>
      <c r="O812">
        <v>80.8</v>
      </c>
      <c r="P812" t="s">
        <v>1345</v>
      </c>
      <c r="Q812" t="s">
        <v>1101</v>
      </c>
      <c r="R812" t="s">
        <v>1199</v>
      </c>
      <c r="S812" t="s">
        <v>948</v>
      </c>
      <c r="T812" t="s">
        <v>1102</v>
      </c>
      <c r="U812" t="s">
        <v>1346</v>
      </c>
      <c r="V812" t="s">
        <v>1165</v>
      </c>
      <c r="W812">
        <v>1</v>
      </c>
      <c r="X812">
        <v>80.8</v>
      </c>
      <c r="Y812" t="s">
        <v>1166</v>
      </c>
      <c r="Z812" t="s">
        <v>1167</v>
      </c>
      <c r="AA812" t="s">
        <v>1347</v>
      </c>
    </row>
    <row r="813" spans="1:27" x14ac:dyDescent="0.3">
      <c r="A813" t="s">
        <v>1672</v>
      </c>
      <c r="B813" t="s">
        <v>1353</v>
      </c>
      <c r="C813" t="s">
        <v>975</v>
      </c>
      <c r="D813" t="s">
        <v>1265</v>
      </c>
      <c r="E813" t="s">
        <v>554</v>
      </c>
      <c r="F813">
        <v>46173</v>
      </c>
      <c r="G813" t="s">
        <v>686</v>
      </c>
      <c r="H813" t="s">
        <v>1159</v>
      </c>
      <c r="I813">
        <v>52550502</v>
      </c>
      <c r="J813" t="s">
        <v>1343</v>
      </c>
      <c r="K813" t="s">
        <v>1349</v>
      </c>
      <c r="L813">
        <v>20.68</v>
      </c>
      <c r="M813">
        <v>0</v>
      </c>
      <c r="N813">
        <v>0</v>
      </c>
      <c r="O813">
        <v>20.68</v>
      </c>
      <c r="P813" t="s">
        <v>1345</v>
      </c>
      <c r="Q813" t="s">
        <v>1101</v>
      </c>
      <c r="R813" t="s">
        <v>1199</v>
      </c>
      <c r="S813" t="s">
        <v>948</v>
      </c>
      <c r="T813" t="s">
        <v>1102</v>
      </c>
      <c r="U813" t="s">
        <v>1346</v>
      </c>
      <c r="V813" t="s">
        <v>1165</v>
      </c>
      <c r="W813">
        <v>1</v>
      </c>
      <c r="X813">
        <v>20.68</v>
      </c>
      <c r="Y813" t="s">
        <v>1166</v>
      </c>
      <c r="Z813" t="s">
        <v>1167</v>
      </c>
      <c r="AA813" t="s">
        <v>1347</v>
      </c>
    </row>
    <row r="814" spans="1:27" x14ac:dyDescent="0.3">
      <c r="A814" t="s">
        <v>1672</v>
      </c>
      <c r="B814" t="s">
        <v>1354</v>
      </c>
      <c r="C814" t="s">
        <v>975</v>
      </c>
      <c r="D814" t="s">
        <v>1265</v>
      </c>
      <c r="E814" t="s">
        <v>554</v>
      </c>
      <c r="F814">
        <v>46173</v>
      </c>
      <c r="G814" t="s">
        <v>686</v>
      </c>
      <c r="H814" t="s">
        <v>1159</v>
      </c>
      <c r="I814">
        <v>52550502</v>
      </c>
      <c r="J814" t="s">
        <v>1343</v>
      </c>
      <c r="K814" t="s">
        <v>1349</v>
      </c>
      <c r="L814">
        <v>114</v>
      </c>
      <c r="M814">
        <v>0</v>
      </c>
      <c r="N814">
        <v>0</v>
      </c>
      <c r="O814">
        <v>114</v>
      </c>
      <c r="P814" t="s">
        <v>1345</v>
      </c>
      <c r="Q814" t="s">
        <v>1101</v>
      </c>
      <c r="R814" t="s">
        <v>1199</v>
      </c>
      <c r="S814" t="s">
        <v>948</v>
      </c>
      <c r="T814" t="s">
        <v>1102</v>
      </c>
      <c r="U814" t="s">
        <v>1346</v>
      </c>
      <c r="V814" t="s">
        <v>1165</v>
      </c>
      <c r="W814">
        <v>1</v>
      </c>
      <c r="X814">
        <v>114</v>
      </c>
      <c r="Y814" t="s">
        <v>1166</v>
      </c>
      <c r="Z814" t="s">
        <v>1167</v>
      </c>
      <c r="AA814" t="s">
        <v>1347</v>
      </c>
    </row>
    <row r="815" spans="1:27" x14ac:dyDescent="0.3">
      <c r="A815" t="s">
        <v>1672</v>
      </c>
      <c r="B815" t="s">
        <v>1355</v>
      </c>
      <c r="C815" t="s">
        <v>975</v>
      </c>
      <c r="D815" t="s">
        <v>1265</v>
      </c>
      <c r="E815" t="s">
        <v>554</v>
      </c>
      <c r="F815">
        <v>46173</v>
      </c>
      <c r="G815" t="s">
        <v>686</v>
      </c>
      <c r="H815" t="s">
        <v>1159</v>
      </c>
      <c r="I815">
        <v>52550502</v>
      </c>
      <c r="J815" t="s">
        <v>1343</v>
      </c>
      <c r="K815" t="s">
        <v>1349</v>
      </c>
      <c r="L815">
        <v>520</v>
      </c>
      <c r="M815">
        <v>0</v>
      </c>
      <c r="N815">
        <v>0</v>
      </c>
      <c r="O815">
        <v>520</v>
      </c>
      <c r="P815" t="s">
        <v>1345</v>
      </c>
      <c r="Q815" t="s">
        <v>1101</v>
      </c>
      <c r="R815" t="s">
        <v>1199</v>
      </c>
      <c r="S815" t="s">
        <v>948</v>
      </c>
      <c r="T815" t="s">
        <v>1102</v>
      </c>
      <c r="U815" t="s">
        <v>1346</v>
      </c>
      <c r="V815" t="s">
        <v>1165</v>
      </c>
      <c r="W815">
        <v>1</v>
      </c>
      <c r="X815">
        <v>520</v>
      </c>
      <c r="Y815" t="s">
        <v>1166</v>
      </c>
      <c r="Z815" t="s">
        <v>1167</v>
      </c>
      <c r="AA815" t="s">
        <v>1347</v>
      </c>
    </row>
    <row r="816" spans="1:27" x14ac:dyDescent="0.3">
      <c r="A816" t="s">
        <v>1672</v>
      </c>
      <c r="B816" t="s">
        <v>1356</v>
      </c>
      <c r="C816" t="s">
        <v>975</v>
      </c>
      <c r="D816" t="s">
        <v>1265</v>
      </c>
      <c r="E816" t="s">
        <v>554</v>
      </c>
      <c r="F816">
        <v>46173</v>
      </c>
      <c r="G816" t="s">
        <v>686</v>
      </c>
      <c r="H816" t="s">
        <v>1159</v>
      </c>
      <c r="I816">
        <v>52550502</v>
      </c>
      <c r="J816" t="s">
        <v>1343</v>
      </c>
      <c r="K816" t="s">
        <v>1349</v>
      </c>
      <c r="L816">
        <v>6</v>
      </c>
      <c r="M816">
        <v>0</v>
      </c>
      <c r="N816">
        <v>0</v>
      </c>
      <c r="O816">
        <v>6</v>
      </c>
      <c r="P816" t="s">
        <v>1345</v>
      </c>
      <c r="Q816" t="s">
        <v>1101</v>
      </c>
      <c r="R816" t="s">
        <v>1199</v>
      </c>
      <c r="S816" t="s">
        <v>948</v>
      </c>
      <c r="T816" t="s">
        <v>1102</v>
      </c>
      <c r="U816" t="s">
        <v>1346</v>
      </c>
      <c r="V816" t="s">
        <v>1165</v>
      </c>
      <c r="W816">
        <v>1</v>
      </c>
      <c r="X816">
        <v>6</v>
      </c>
      <c r="Y816" t="s">
        <v>1166</v>
      </c>
      <c r="Z816" t="s">
        <v>1167</v>
      </c>
      <c r="AA816" t="s">
        <v>1347</v>
      </c>
    </row>
    <row r="817" spans="1:27" x14ac:dyDescent="0.3">
      <c r="A817" t="s">
        <v>1672</v>
      </c>
      <c r="B817" t="s">
        <v>1357</v>
      </c>
      <c r="C817" t="s">
        <v>975</v>
      </c>
      <c r="D817" t="s">
        <v>1265</v>
      </c>
      <c r="E817" t="s">
        <v>554</v>
      </c>
      <c r="F817">
        <v>46173</v>
      </c>
      <c r="G817" t="s">
        <v>686</v>
      </c>
      <c r="H817" t="s">
        <v>1159</v>
      </c>
      <c r="I817">
        <v>52550502</v>
      </c>
      <c r="J817" t="s">
        <v>1343</v>
      </c>
      <c r="K817" t="s">
        <v>1349</v>
      </c>
      <c r="L817">
        <v>226.33</v>
      </c>
      <c r="M817">
        <v>0</v>
      </c>
      <c r="N817">
        <v>0</v>
      </c>
      <c r="O817">
        <v>226.33</v>
      </c>
      <c r="P817" t="s">
        <v>1345</v>
      </c>
      <c r="Q817" t="s">
        <v>1101</v>
      </c>
      <c r="R817" t="s">
        <v>1199</v>
      </c>
      <c r="S817" t="s">
        <v>948</v>
      </c>
      <c r="T817" t="s">
        <v>1102</v>
      </c>
      <c r="U817" t="s">
        <v>1346</v>
      </c>
      <c r="V817" t="s">
        <v>1165</v>
      </c>
      <c r="W817">
        <v>1</v>
      </c>
      <c r="X817">
        <v>226.33</v>
      </c>
      <c r="Y817" t="s">
        <v>1166</v>
      </c>
      <c r="Z817" t="s">
        <v>1167</v>
      </c>
      <c r="AA817" t="s">
        <v>1347</v>
      </c>
    </row>
    <row r="818" spans="1:27" x14ac:dyDescent="0.3">
      <c r="A818" t="s">
        <v>1672</v>
      </c>
      <c r="B818" t="s">
        <v>1358</v>
      </c>
      <c r="C818" t="s">
        <v>975</v>
      </c>
      <c r="D818" t="s">
        <v>1265</v>
      </c>
      <c r="E818" t="s">
        <v>554</v>
      </c>
      <c r="F818">
        <v>46173</v>
      </c>
      <c r="G818" t="s">
        <v>686</v>
      </c>
      <c r="H818" t="s">
        <v>1159</v>
      </c>
      <c r="I818">
        <v>52550502</v>
      </c>
      <c r="J818" t="s">
        <v>1343</v>
      </c>
      <c r="K818" t="s">
        <v>1349</v>
      </c>
      <c r="L818">
        <v>386.7</v>
      </c>
      <c r="M818">
        <v>0</v>
      </c>
      <c r="N818">
        <v>0</v>
      </c>
      <c r="O818">
        <v>386.7</v>
      </c>
      <c r="P818" t="s">
        <v>1345</v>
      </c>
      <c r="Q818" t="s">
        <v>1101</v>
      </c>
      <c r="R818" t="s">
        <v>1199</v>
      </c>
      <c r="S818" t="s">
        <v>948</v>
      </c>
      <c r="T818" t="s">
        <v>1102</v>
      </c>
      <c r="U818" t="s">
        <v>1346</v>
      </c>
      <c r="V818" t="s">
        <v>1165</v>
      </c>
      <c r="W818">
        <v>1</v>
      </c>
      <c r="X818">
        <v>386.7</v>
      </c>
      <c r="Y818" t="s">
        <v>1166</v>
      </c>
      <c r="Z818" t="s">
        <v>1167</v>
      </c>
      <c r="AA818" t="s">
        <v>1347</v>
      </c>
    </row>
    <row r="819" spans="1:27" x14ac:dyDescent="0.3">
      <c r="A819" t="s">
        <v>1672</v>
      </c>
      <c r="B819" t="s">
        <v>1565</v>
      </c>
      <c r="C819" t="s">
        <v>975</v>
      </c>
      <c r="D819" t="s">
        <v>1265</v>
      </c>
      <c r="E819" t="s">
        <v>554</v>
      </c>
      <c r="F819">
        <v>46173</v>
      </c>
      <c r="G819" t="s">
        <v>686</v>
      </c>
      <c r="H819" t="s">
        <v>1159</v>
      </c>
      <c r="I819">
        <v>52550502</v>
      </c>
      <c r="J819" t="s">
        <v>1343</v>
      </c>
      <c r="K819" t="s">
        <v>1349</v>
      </c>
      <c r="L819">
        <v>150.72</v>
      </c>
      <c r="M819">
        <v>0</v>
      </c>
      <c r="N819">
        <v>0</v>
      </c>
      <c r="O819">
        <v>150.72</v>
      </c>
      <c r="P819" t="s">
        <v>1345</v>
      </c>
      <c r="Q819" t="s">
        <v>1101</v>
      </c>
      <c r="R819" t="s">
        <v>1199</v>
      </c>
      <c r="S819" t="s">
        <v>948</v>
      </c>
      <c r="T819" t="s">
        <v>1102</v>
      </c>
      <c r="U819" t="s">
        <v>1346</v>
      </c>
      <c r="V819" t="s">
        <v>1165</v>
      </c>
      <c r="W819">
        <v>1</v>
      </c>
      <c r="X819">
        <v>150.72</v>
      </c>
      <c r="Y819" t="s">
        <v>1166</v>
      </c>
      <c r="Z819" t="s">
        <v>1167</v>
      </c>
      <c r="AA819" t="s">
        <v>1347</v>
      </c>
    </row>
    <row r="820" spans="1:27" x14ac:dyDescent="0.3">
      <c r="A820" t="s">
        <v>1672</v>
      </c>
      <c r="B820" t="s">
        <v>1566</v>
      </c>
      <c r="C820" t="s">
        <v>975</v>
      </c>
      <c r="D820" t="s">
        <v>1265</v>
      </c>
      <c r="E820" t="s">
        <v>554</v>
      </c>
      <c r="F820">
        <v>46173</v>
      </c>
      <c r="G820" t="s">
        <v>686</v>
      </c>
      <c r="H820" t="s">
        <v>1159</v>
      </c>
      <c r="I820">
        <v>52550502</v>
      </c>
      <c r="J820" t="s">
        <v>1343</v>
      </c>
      <c r="K820" t="s">
        <v>1349</v>
      </c>
      <c r="L820">
        <v>24</v>
      </c>
      <c r="M820">
        <v>0</v>
      </c>
      <c r="N820">
        <v>0</v>
      </c>
      <c r="O820">
        <v>24</v>
      </c>
      <c r="P820" t="s">
        <v>1345</v>
      </c>
      <c r="Q820" t="s">
        <v>1101</v>
      </c>
      <c r="R820" t="s">
        <v>1199</v>
      </c>
      <c r="S820" t="s">
        <v>948</v>
      </c>
      <c r="T820" t="s">
        <v>1102</v>
      </c>
      <c r="U820" t="s">
        <v>1346</v>
      </c>
      <c r="V820" t="s">
        <v>1165</v>
      </c>
      <c r="W820">
        <v>1</v>
      </c>
      <c r="X820">
        <v>24</v>
      </c>
      <c r="Y820" t="s">
        <v>1166</v>
      </c>
      <c r="Z820" t="s">
        <v>1167</v>
      </c>
      <c r="AA820" t="s">
        <v>1347</v>
      </c>
    </row>
    <row r="821" spans="1:27" x14ac:dyDescent="0.3">
      <c r="A821" t="s">
        <v>1672</v>
      </c>
      <c r="B821" t="s">
        <v>1359</v>
      </c>
      <c r="C821" t="s">
        <v>975</v>
      </c>
      <c r="D821" t="s">
        <v>1265</v>
      </c>
      <c r="E821" t="s">
        <v>554</v>
      </c>
      <c r="F821">
        <v>46173</v>
      </c>
      <c r="G821" t="s">
        <v>686</v>
      </c>
      <c r="H821" t="s">
        <v>1159</v>
      </c>
      <c r="I821">
        <v>52550502</v>
      </c>
      <c r="J821" t="s">
        <v>1343</v>
      </c>
      <c r="K821" t="s">
        <v>1349</v>
      </c>
      <c r="L821">
        <v>24</v>
      </c>
      <c r="M821">
        <v>0</v>
      </c>
      <c r="N821">
        <v>0</v>
      </c>
      <c r="O821">
        <v>24</v>
      </c>
      <c r="P821" t="s">
        <v>1345</v>
      </c>
      <c r="Q821" t="s">
        <v>1101</v>
      </c>
      <c r="R821" t="s">
        <v>1199</v>
      </c>
      <c r="S821" t="s">
        <v>948</v>
      </c>
      <c r="T821" t="s">
        <v>1102</v>
      </c>
      <c r="U821" t="s">
        <v>1346</v>
      </c>
      <c r="V821" t="s">
        <v>1165</v>
      </c>
      <c r="W821">
        <v>1</v>
      </c>
      <c r="X821">
        <v>24</v>
      </c>
      <c r="Y821" t="s">
        <v>1166</v>
      </c>
      <c r="Z821" t="s">
        <v>1167</v>
      </c>
      <c r="AA821" t="s">
        <v>1347</v>
      </c>
    </row>
    <row r="822" spans="1:27" x14ac:dyDescent="0.3">
      <c r="A822" t="s">
        <v>1672</v>
      </c>
      <c r="B822" t="s">
        <v>1364</v>
      </c>
      <c r="C822" t="s">
        <v>975</v>
      </c>
      <c r="D822" t="s">
        <v>1265</v>
      </c>
      <c r="E822" t="s">
        <v>554</v>
      </c>
      <c r="F822">
        <v>46173</v>
      </c>
      <c r="G822" t="s">
        <v>686</v>
      </c>
      <c r="H822" t="s">
        <v>1159</v>
      </c>
      <c r="I822">
        <v>52551501</v>
      </c>
      <c r="J822" t="s">
        <v>1591</v>
      </c>
      <c r="K822" t="s">
        <v>1592</v>
      </c>
      <c r="L822">
        <v>0</v>
      </c>
      <c r="M822">
        <v>5146.2</v>
      </c>
      <c r="N822">
        <v>0</v>
      </c>
      <c r="O822">
        <v>5146.2</v>
      </c>
      <c r="P822" t="s">
        <v>1593</v>
      </c>
      <c r="Q822" t="s">
        <v>1101</v>
      </c>
      <c r="R822" t="s">
        <v>1199</v>
      </c>
      <c r="S822" t="s">
        <v>948</v>
      </c>
      <c r="T822" t="s">
        <v>1102</v>
      </c>
      <c r="U822" t="s">
        <v>1594</v>
      </c>
      <c r="V822" t="s">
        <v>1165</v>
      </c>
      <c r="W822">
        <v>1</v>
      </c>
      <c r="X822">
        <v>5146.2</v>
      </c>
      <c r="Y822" t="s">
        <v>1166</v>
      </c>
      <c r="Z822" t="s">
        <v>1167</v>
      </c>
      <c r="AA822" t="s">
        <v>1102</v>
      </c>
    </row>
    <row r="823" spans="1:27" x14ac:dyDescent="0.3">
      <c r="A823" t="s">
        <v>1672</v>
      </c>
      <c r="B823" t="s">
        <v>1368</v>
      </c>
      <c r="C823" t="s">
        <v>975</v>
      </c>
      <c r="D823" t="s">
        <v>1265</v>
      </c>
      <c r="E823" t="s">
        <v>554</v>
      </c>
      <c r="F823">
        <v>46173</v>
      </c>
      <c r="G823" t="s">
        <v>686</v>
      </c>
      <c r="H823" t="s">
        <v>1159</v>
      </c>
      <c r="I823">
        <v>52954501</v>
      </c>
      <c r="J823" t="s">
        <v>1360</v>
      </c>
      <c r="K823" t="s">
        <v>1360</v>
      </c>
      <c r="L823">
        <v>78</v>
      </c>
      <c r="M823">
        <v>0</v>
      </c>
      <c r="N823">
        <v>0</v>
      </c>
      <c r="O823">
        <v>78</v>
      </c>
      <c r="P823" t="s">
        <v>1361</v>
      </c>
      <c r="Q823" t="s">
        <v>1103</v>
      </c>
      <c r="R823" t="s">
        <v>1199</v>
      </c>
      <c r="S823" t="s">
        <v>948</v>
      </c>
      <c r="T823" t="s">
        <v>1104</v>
      </c>
      <c r="U823" t="s">
        <v>1362</v>
      </c>
      <c r="V823" t="s">
        <v>1165</v>
      </c>
      <c r="W823">
        <v>1</v>
      </c>
      <c r="X823">
        <v>78</v>
      </c>
      <c r="Y823" t="s">
        <v>1166</v>
      </c>
      <c r="Z823" t="s">
        <v>1167</v>
      </c>
      <c r="AA823" t="s">
        <v>1363</v>
      </c>
    </row>
    <row r="824" spans="1:27" x14ac:dyDescent="0.3">
      <c r="A824" t="s">
        <v>1672</v>
      </c>
      <c r="B824" t="s">
        <v>1370</v>
      </c>
      <c r="C824" t="s">
        <v>975</v>
      </c>
      <c r="D824" t="s">
        <v>1265</v>
      </c>
      <c r="E824" t="s">
        <v>554</v>
      </c>
      <c r="F824">
        <v>46173</v>
      </c>
      <c r="G824" t="s">
        <v>686</v>
      </c>
      <c r="H824" t="s">
        <v>1159</v>
      </c>
      <c r="I824">
        <v>52959505</v>
      </c>
      <c r="J824" t="s">
        <v>1232</v>
      </c>
      <c r="K824" t="s">
        <v>1365</v>
      </c>
      <c r="L824">
        <v>1.9</v>
      </c>
      <c r="M824">
        <v>0</v>
      </c>
      <c r="N824">
        <v>0</v>
      </c>
      <c r="O824">
        <v>1.9</v>
      </c>
      <c r="P824" t="s">
        <v>1366</v>
      </c>
      <c r="Q824" t="s">
        <v>1105</v>
      </c>
      <c r="R824" t="s">
        <v>1199</v>
      </c>
      <c r="S824" t="s">
        <v>948</v>
      </c>
      <c r="T824" t="s">
        <v>1106</v>
      </c>
      <c r="U824" t="s">
        <v>576</v>
      </c>
      <c r="V824" t="s">
        <v>1165</v>
      </c>
      <c r="W824">
        <v>1</v>
      </c>
      <c r="X824">
        <v>1.9</v>
      </c>
      <c r="Y824" t="s">
        <v>1192</v>
      </c>
      <c r="Z824" t="s">
        <v>1193</v>
      </c>
      <c r="AA824" t="s">
        <v>1367</v>
      </c>
    </row>
    <row r="825" spans="1:27" x14ac:dyDescent="0.3">
      <c r="A825" t="s">
        <v>1672</v>
      </c>
      <c r="B825" t="s">
        <v>1432</v>
      </c>
      <c r="C825" t="s">
        <v>975</v>
      </c>
      <c r="D825" t="s">
        <v>1265</v>
      </c>
      <c r="E825" t="s">
        <v>554</v>
      </c>
      <c r="F825">
        <v>46173</v>
      </c>
      <c r="G825" t="s">
        <v>686</v>
      </c>
      <c r="H825" t="s">
        <v>1159</v>
      </c>
      <c r="I825">
        <v>53050501</v>
      </c>
      <c r="J825" t="s">
        <v>1258</v>
      </c>
      <c r="K825" t="s">
        <v>1258</v>
      </c>
      <c r="L825">
        <v>44.06</v>
      </c>
      <c r="M825">
        <v>183.1</v>
      </c>
      <c r="N825">
        <v>0</v>
      </c>
      <c r="O825">
        <v>227.16</v>
      </c>
      <c r="P825" t="s">
        <v>1260</v>
      </c>
      <c r="Q825" t="s">
        <v>1123</v>
      </c>
      <c r="R825" t="s">
        <v>1199</v>
      </c>
      <c r="S825" t="s">
        <v>717</v>
      </c>
      <c r="T825" t="s">
        <v>717</v>
      </c>
      <c r="U825" t="s">
        <v>1261</v>
      </c>
      <c r="V825" t="s">
        <v>1165</v>
      </c>
      <c r="W825">
        <v>1</v>
      </c>
      <c r="X825">
        <v>227.16</v>
      </c>
      <c r="Y825" t="s">
        <v>1166</v>
      </c>
      <c r="Z825" t="s">
        <v>1167</v>
      </c>
      <c r="AA825" t="s">
        <v>1262</v>
      </c>
    </row>
    <row r="826" spans="1:27" x14ac:dyDescent="0.3">
      <c r="A826" t="s">
        <v>1672</v>
      </c>
      <c r="B826" t="s">
        <v>1438</v>
      </c>
      <c r="C826" t="s">
        <v>975</v>
      </c>
      <c r="D826" t="s">
        <v>1265</v>
      </c>
      <c r="E826" t="s">
        <v>554</v>
      </c>
      <c r="F826">
        <v>46173</v>
      </c>
      <c r="G826" t="s">
        <v>686</v>
      </c>
      <c r="H826" t="s">
        <v>1159</v>
      </c>
      <c r="I826">
        <v>53050501</v>
      </c>
      <c r="J826" t="s">
        <v>1258</v>
      </c>
      <c r="K826" t="s">
        <v>1258</v>
      </c>
      <c r="L826">
        <v>0</v>
      </c>
      <c r="M826">
        <v>4.29</v>
      </c>
      <c r="N826">
        <v>0</v>
      </c>
      <c r="O826">
        <v>4.29</v>
      </c>
      <c r="P826" t="s">
        <v>1260</v>
      </c>
      <c r="Q826" t="s">
        <v>1123</v>
      </c>
      <c r="R826" t="s">
        <v>1199</v>
      </c>
      <c r="S826" t="s">
        <v>717</v>
      </c>
      <c r="T826" t="s">
        <v>717</v>
      </c>
      <c r="U826" t="s">
        <v>1261</v>
      </c>
      <c r="V826" t="s">
        <v>1165</v>
      </c>
      <c r="W826">
        <v>1</v>
      </c>
      <c r="X826">
        <v>4.29</v>
      </c>
      <c r="Y826" t="s">
        <v>1166</v>
      </c>
      <c r="Z826" t="s">
        <v>1167</v>
      </c>
      <c r="AA826" t="s">
        <v>1262</v>
      </c>
    </row>
    <row r="827" spans="1:27" x14ac:dyDescent="0.3">
      <c r="A827" t="s">
        <v>1672</v>
      </c>
      <c r="B827" t="s">
        <v>1439</v>
      </c>
      <c r="C827" t="s">
        <v>975</v>
      </c>
      <c r="D827" t="s">
        <v>1265</v>
      </c>
      <c r="E827" t="s">
        <v>554</v>
      </c>
      <c r="F827">
        <v>46173</v>
      </c>
      <c r="G827" t="s">
        <v>686</v>
      </c>
      <c r="H827" t="s">
        <v>1159</v>
      </c>
      <c r="I827">
        <v>53050501</v>
      </c>
      <c r="J827" t="s">
        <v>1258</v>
      </c>
      <c r="K827" t="s">
        <v>1258</v>
      </c>
      <c r="L827">
        <v>0</v>
      </c>
      <c r="M827">
        <v>172.1</v>
      </c>
      <c r="N827">
        <v>0</v>
      </c>
      <c r="O827">
        <v>172.1</v>
      </c>
      <c r="P827" t="s">
        <v>1260</v>
      </c>
      <c r="Q827" t="s">
        <v>1123</v>
      </c>
      <c r="R827" t="s">
        <v>1199</v>
      </c>
      <c r="S827" t="s">
        <v>717</v>
      </c>
      <c r="T827" t="s">
        <v>717</v>
      </c>
      <c r="U827" t="s">
        <v>1261</v>
      </c>
      <c r="V827" t="s">
        <v>1165</v>
      </c>
      <c r="W827">
        <v>1</v>
      </c>
      <c r="X827">
        <v>172.1</v>
      </c>
      <c r="Y827" t="s">
        <v>1166</v>
      </c>
      <c r="Z827" t="s">
        <v>1167</v>
      </c>
      <c r="AA827" t="s">
        <v>1262</v>
      </c>
    </row>
    <row r="828" spans="1:27" x14ac:dyDescent="0.3">
      <c r="A828" t="s">
        <v>1672</v>
      </c>
      <c r="B828" t="s">
        <v>1441</v>
      </c>
      <c r="C828" t="s">
        <v>975</v>
      </c>
      <c r="D828" t="s">
        <v>1265</v>
      </c>
      <c r="E828" t="s">
        <v>554</v>
      </c>
      <c r="F828">
        <v>46173</v>
      </c>
      <c r="G828" t="s">
        <v>686</v>
      </c>
      <c r="H828" t="s">
        <v>1159</v>
      </c>
      <c r="I828">
        <v>53050503</v>
      </c>
      <c r="J828" t="s">
        <v>1258</v>
      </c>
      <c r="K828" t="s">
        <v>573</v>
      </c>
      <c r="L828">
        <v>5.55</v>
      </c>
      <c r="M828">
        <v>1.85</v>
      </c>
      <c r="N828">
        <v>0</v>
      </c>
      <c r="O828">
        <v>7.4</v>
      </c>
      <c r="P828" t="s">
        <v>1260</v>
      </c>
      <c r="Q828" t="s">
        <v>1123</v>
      </c>
      <c r="R828" t="s">
        <v>1199</v>
      </c>
      <c r="S828" t="s">
        <v>717</v>
      </c>
      <c r="T828" t="s">
        <v>717</v>
      </c>
      <c r="U828" t="s">
        <v>1261</v>
      </c>
      <c r="V828" t="s">
        <v>1165</v>
      </c>
      <c r="W828">
        <v>1</v>
      </c>
      <c r="X828">
        <v>7.4</v>
      </c>
      <c r="Y828" t="s">
        <v>1166</v>
      </c>
      <c r="Z828" t="s">
        <v>1167</v>
      </c>
      <c r="AA828" t="s">
        <v>1262</v>
      </c>
    </row>
    <row r="829" spans="1:27" x14ac:dyDescent="0.3">
      <c r="A829" t="s">
        <v>1672</v>
      </c>
      <c r="B829" t="s">
        <v>1567</v>
      </c>
      <c r="C829" t="s">
        <v>975</v>
      </c>
      <c r="D829" t="s">
        <v>1265</v>
      </c>
      <c r="E829" t="s">
        <v>554</v>
      </c>
      <c r="F829">
        <v>46173</v>
      </c>
      <c r="G829" t="s">
        <v>686</v>
      </c>
      <c r="H829" t="s">
        <v>1159</v>
      </c>
      <c r="I829">
        <v>53050504</v>
      </c>
      <c r="J829" t="s">
        <v>1258</v>
      </c>
      <c r="K829" t="s">
        <v>1371</v>
      </c>
      <c r="L829">
        <v>320</v>
      </c>
      <c r="M829">
        <v>121.87</v>
      </c>
      <c r="N829">
        <v>0</v>
      </c>
      <c r="O829">
        <v>441.87</v>
      </c>
      <c r="P829" t="s">
        <v>1260</v>
      </c>
      <c r="Q829" t="s">
        <v>1123</v>
      </c>
      <c r="R829" t="s">
        <v>1199</v>
      </c>
      <c r="S829" t="s">
        <v>717</v>
      </c>
      <c r="T829" t="s">
        <v>717</v>
      </c>
      <c r="U829" t="s">
        <v>1261</v>
      </c>
      <c r="V829" t="s">
        <v>1165</v>
      </c>
      <c r="W829">
        <v>1</v>
      </c>
      <c r="X829">
        <v>441.87</v>
      </c>
      <c r="Y829" t="s">
        <v>1166</v>
      </c>
      <c r="Z829" t="s">
        <v>1167</v>
      </c>
      <c r="AA829" t="s">
        <v>1262</v>
      </c>
    </row>
    <row r="830" spans="1:27" x14ac:dyDescent="0.3">
      <c r="A830" t="s">
        <v>1672</v>
      </c>
      <c r="B830" t="s">
        <v>1568</v>
      </c>
      <c r="C830" t="s">
        <v>975</v>
      </c>
      <c r="D830" t="s">
        <v>1265</v>
      </c>
      <c r="E830" t="s">
        <v>554</v>
      </c>
      <c r="F830">
        <v>46173</v>
      </c>
      <c r="G830" t="s">
        <v>686</v>
      </c>
      <c r="H830" t="s">
        <v>1159</v>
      </c>
      <c r="I830">
        <v>53051501</v>
      </c>
      <c r="J830" t="s">
        <v>1544</v>
      </c>
      <c r="K830" t="s">
        <v>1602</v>
      </c>
      <c r="L830">
        <v>0</v>
      </c>
      <c r="M830">
        <v>4.29</v>
      </c>
      <c r="N830">
        <v>0</v>
      </c>
      <c r="O830">
        <v>4.29</v>
      </c>
      <c r="P830" t="s">
        <v>1546</v>
      </c>
      <c r="Q830" t="s">
        <v>1123</v>
      </c>
      <c r="R830" t="s">
        <v>1199</v>
      </c>
      <c r="S830" t="s">
        <v>717</v>
      </c>
      <c r="T830" t="s">
        <v>717</v>
      </c>
      <c r="U830" t="s">
        <v>1547</v>
      </c>
      <c r="V830" t="s">
        <v>1165</v>
      </c>
      <c r="W830">
        <v>1</v>
      </c>
      <c r="X830">
        <v>4.29</v>
      </c>
      <c r="Y830" t="s">
        <v>1166</v>
      </c>
      <c r="Z830" t="s">
        <v>1167</v>
      </c>
      <c r="AA830" t="s">
        <v>1548</v>
      </c>
    </row>
    <row r="831" spans="1:27" x14ac:dyDescent="0.3">
      <c r="A831" t="s">
        <v>1672</v>
      </c>
      <c r="B831" t="s">
        <v>1449</v>
      </c>
      <c r="C831" t="s">
        <v>975</v>
      </c>
      <c r="D831" t="s">
        <v>1265</v>
      </c>
      <c r="E831" t="s">
        <v>554</v>
      </c>
      <c r="F831">
        <v>46173</v>
      </c>
      <c r="G831" t="s">
        <v>686</v>
      </c>
      <c r="H831" t="s">
        <v>1159</v>
      </c>
      <c r="I831">
        <v>53051501</v>
      </c>
      <c r="J831" t="s">
        <v>1544</v>
      </c>
      <c r="K831" t="s">
        <v>1602</v>
      </c>
      <c r="L831">
        <v>0</v>
      </c>
      <c r="M831">
        <v>0</v>
      </c>
      <c r="N831">
        <v>4.29</v>
      </c>
      <c r="O831">
        <v>-4.29</v>
      </c>
      <c r="P831" t="s">
        <v>1546</v>
      </c>
      <c r="Q831" t="s">
        <v>1123</v>
      </c>
      <c r="R831" t="s">
        <v>1199</v>
      </c>
      <c r="S831" t="s">
        <v>717</v>
      </c>
      <c r="T831" t="s">
        <v>717</v>
      </c>
      <c r="U831" t="s">
        <v>1547</v>
      </c>
      <c r="V831" t="s">
        <v>1165</v>
      </c>
      <c r="W831">
        <v>1</v>
      </c>
      <c r="X831">
        <v>-4.29</v>
      </c>
      <c r="Y831" t="s">
        <v>1166</v>
      </c>
      <c r="Z831" t="s">
        <v>1167</v>
      </c>
      <c r="AA831" t="s">
        <v>1548</v>
      </c>
    </row>
    <row r="832" spans="1:27" x14ac:dyDescent="0.3">
      <c r="A832" t="s">
        <v>1673</v>
      </c>
      <c r="B832" t="s">
        <v>1158</v>
      </c>
      <c r="C832" t="s">
        <v>974</v>
      </c>
      <c r="D832" t="s">
        <v>1373</v>
      </c>
      <c r="E832" t="s">
        <v>554</v>
      </c>
      <c r="F832">
        <v>46173</v>
      </c>
      <c r="G832" t="s">
        <v>496</v>
      </c>
      <c r="H832" t="s">
        <v>1159</v>
      </c>
      <c r="I832">
        <v>11100501</v>
      </c>
      <c r="J832" t="s">
        <v>1160</v>
      </c>
      <c r="L832">
        <v>247393.09</v>
      </c>
      <c r="M832">
        <v>13336.12</v>
      </c>
      <c r="N832">
        <v>3950</v>
      </c>
      <c r="O832">
        <v>256779.21</v>
      </c>
      <c r="P832" t="s">
        <v>1161</v>
      </c>
      <c r="Q832" t="s">
        <v>980</v>
      </c>
      <c r="R832" t="s">
        <v>1162</v>
      </c>
      <c r="S832" t="s">
        <v>1163</v>
      </c>
      <c r="T832" t="s">
        <v>926</v>
      </c>
      <c r="U832" t="s">
        <v>1164</v>
      </c>
      <c r="V832" t="s">
        <v>1165</v>
      </c>
      <c r="W832">
        <v>1</v>
      </c>
      <c r="X832">
        <v>256779.21</v>
      </c>
      <c r="Y832" t="s">
        <v>1166</v>
      </c>
      <c r="Z832" t="s">
        <v>1167</v>
      </c>
      <c r="AA832" t="s">
        <v>1168</v>
      </c>
    </row>
    <row r="833" spans="1:27" x14ac:dyDescent="0.3">
      <c r="A833" t="s">
        <v>1673</v>
      </c>
      <c r="B833" t="s">
        <v>1374</v>
      </c>
      <c r="C833" t="s">
        <v>974</v>
      </c>
      <c r="D833" t="s">
        <v>1373</v>
      </c>
      <c r="E833" t="s">
        <v>554</v>
      </c>
      <c r="F833">
        <v>46173</v>
      </c>
      <c r="G833" t="s">
        <v>496</v>
      </c>
      <c r="H833" t="s">
        <v>1159</v>
      </c>
      <c r="I833">
        <v>11100502</v>
      </c>
      <c r="J833" t="s">
        <v>1160</v>
      </c>
      <c r="L833">
        <v>58303.51</v>
      </c>
      <c r="M833">
        <v>330.85</v>
      </c>
      <c r="N833">
        <v>21716.43</v>
      </c>
      <c r="O833">
        <v>36917.93</v>
      </c>
      <c r="P833" t="s">
        <v>1161</v>
      </c>
      <c r="Q833" t="s">
        <v>980</v>
      </c>
      <c r="R833" t="s">
        <v>1162</v>
      </c>
      <c r="S833" t="s">
        <v>1163</v>
      </c>
      <c r="T833" t="s">
        <v>926</v>
      </c>
      <c r="U833" t="s">
        <v>1164</v>
      </c>
      <c r="V833" t="s">
        <v>1165</v>
      </c>
      <c r="W833">
        <v>1</v>
      </c>
      <c r="X833">
        <v>36917.93</v>
      </c>
      <c r="Y833" t="s">
        <v>1166</v>
      </c>
      <c r="Z833" t="s">
        <v>1167</v>
      </c>
      <c r="AA833" t="s">
        <v>1168</v>
      </c>
    </row>
    <row r="834" spans="1:27" x14ac:dyDescent="0.3">
      <c r="A834" t="s">
        <v>1673</v>
      </c>
      <c r="B834" t="s">
        <v>1267</v>
      </c>
      <c r="C834" t="s">
        <v>974</v>
      </c>
      <c r="D834" t="s">
        <v>1373</v>
      </c>
      <c r="E834" t="s">
        <v>554</v>
      </c>
      <c r="F834">
        <v>46173</v>
      </c>
      <c r="G834" t="s">
        <v>496</v>
      </c>
      <c r="H834" t="s">
        <v>1159</v>
      </c>
      <c r="I834">
        <v>11100503</v>
      </c>
      <c r="J834" t="s">
        <v>1160</v>
      </c>
      <c r="L834">
        <v>36808.269999999997</v>
      </c>
      <c r="M834">
        <v>0.03</v>
      </c>
      <c r="N834">
        <v>0</v>
      </c>
      <c r="O834">
        <v>36808.300000000003</v>
      </c>
      <c r="P834" t="s">
        <v>1161</v>
      </c>
      <c r="Q834" t="s">
        <v>980</v>
      </c>
      <c r="R834" t="s">
        <v>1162</v>
      </c>
      <c r="S834" t="s">
        <v>1163</v>
      </c>
      <c r="T834" t="s">
        <v>926</v>
      </c>
      <c r="U834" t="s">
        <v>1164</v>
      </c>
      <c r="V834" t="s">
        <v>1165</v>
      </c>
      <c r="W834">
        <v>1</v>
      </c>
      <c r="X834">
        <v>36808.300000000003</v>
      </c>
      <c r="Y834" t="s">
        <v>1166</v>
      </c>
      <c r="Z834" t="s">
        <v>1167</v>
      </c>
      <c r="AA834" t="s">
        <v>1168</v>
      </c>
    </row>
    <row r="835" spans="1:27" x14ac:dyDescent="0.3">
      <c r="A835" t="s">
        <v>1673</v>
      </c>
      <c r="B835" t="s">
        <v>1375</v>
      </c>
      <c r="C835" t="s">
        <v>974</v>
      </c>
      <c r="D835" t="s">
        <v>1373</v>
      </c>
      <c r="E835" t="s">
        <v>554</v>
      </c>
      <c r="F835">
        <v>46173</v>
      </c>
      <c r="G835" t="s">
        <v>496</v>
      </c>
      <c r="H835" t="s">
        <v>1159</v>
      </c>
      <c r="I835">
        <v>13050501</v>
      </c>
      <c r="J835" t="s">
        <v>1273</v>
      </c>
      <c r="K835" t="s">
        <v>1376</v>
      </c>
      <c r="L835">
        <v>5541.35</v>
      </c>
      <c r="M835">
        <v>5255</v>
      </c>
      <c r="N835">
        <v>5541</v>
      </c>
      <c r="O835">
        <v>5255.35</v>
      </c>
      <c r="P835" t="s">
        <v>1275</v>
      </c>
      <c r="Q835" t="s">
        <v>983</v>
      </c>
      <c r="R835" t="s">
        <v>1162</v>
      </c>
      <c r="S835" t="s">
        <v>1163</v>
      </c>
      <c r="T835" t="s">
        <v>984</v>
      </c>
      <c r="U835" t="s">
        <v>1276</v>
      </c>
      <c r="V835" t="s">
        <v>1165</v>
      </c>
      <c r="W835">
        <v>1</v>
      </c>
      <c r="X835">
        <v>5255.35</v>
      </c>
      <c r="Y835" t="s">
        <v>1166</v>
      </c>
      <c r="Z835" t="s">
        <v>1167</v>
      </c>
      <c r="AA835" t="s">
        <v>1277</v>
      </c>
    </row>
    <row r="836" spans="1:27" x14ac:dyDescent="0.3">
      <c r="A836" t="s">
        <v>1673</v>
      </c>
      <c r="B836" t="s">
        <v>1377</v>
      </c>
      <c r="C836" t="s">
        <v>974</v>
      </c>
      <c r="D836" t="s">
        <v>1373</v>
      </c>
      <c r="E836" t="s">
        <v>554</v>
      </c>
      <c r="F836">
        <v>46173</v>
      </c>
      <c r="G836" t="s">
        <v>496</v>
      </c>
      <c r="H836" t="s">
        <v>1159</v>
      </c>
      <c r="I836">
        <v>13050501</v>
      </c>
      <c r="J836" t="s">
        <v>1273</v>
      </c>
      <c r="K836" t="s">
        <v>1378</v>
      </c>
      <c r="L836">
        <v>-217</v>
      </c>
      <c r="M836">
        <v>300</v>
      </c>
      <c r="N836">
        <v>0</v>
      </c>
      <c r="O836">
        <v>83</v>
      </c>
      <c r="P836" t="s">
        <v>1275</v>
      </c>
      <c r="Q836" t="s">
        <v>983</v>
      </c>
      <c r="R836" t="s">
        <v>1162</v>
      </c>
      <c r="S836" t="s">
        <v>1163</v>
      </c>
      <c r="T836" t="s">
        <v>984</v>
      </c>
      <c r="U836" t="s">
        <v>1276</v>
      </c>
      <c r="V836" t="s">
        <v>1165</v>
      </c>
      <c r="W836">
        <v>1</v>
      </c>
      <c r="X836">
        <v>83</v>
      </c>
      <c r="Y836" t="s">
        <v>1166</v>
      </c>
      <c r="Z836" t="s">
        <v>1167</v>
      </c>
      <c r="AA836" t="s">
        <v>1277</v>
      </c>
    </row>
    <row r="837" spans="1:27" x14ac:dyDescent="0.3">
      <c r="A837" t="s">
        <v>1673</v>
      </c>
      <c r="B837" t="s">
        <v>1278</v>
      </c>
      <c r="C837" t="s">
        <v>974</v>
      </c>
      <c r="D837" t="s">
        <v>1373</v>
      </c>
      <c r="E837" t="s">
        <v>554</v>
      </c>
      <c r="F837">
        <v>46173</v>
      </c>
      <c r="G837" t="s">
        <v>496</v>
      </c>
      <c r="H837" t="s">
        <v>1159</v>
      </c>
      <c r="I837">
        <v>13050501</v>
      </c>
      <c r="J837" t="s">
        <v>1273</v>
      </c>
      <c r="K837" t="s">
        <v>1387</v>
      </c>
      <c r="L837">
        <v>0</v>
      </c>
      <c r="M837">
        <v>4010</v>
      </c>
      <c r="N837">
        <v>0</v>
      </c>
      <c r="O837">
        <v>4010</v>
      </c>
      <c r="P837" t="s">
        <v>1275</v>
      </c>
      <c r="Q837" t="s">
        <v>983</v>
      </c>
      <c r="R837" t="s">
        <v>1162</v>
      </c>
      <c r="S837" t="s">
        <v>1163</v>
      </c>
      <c r="T837" t="s">
        <v>984</v>
      </c>
      <c r="U837" t="s">
        <v>1276</v>
      </c>
      <c r="V837" t="s">
        <v>1165</v>
      </c>
      <c r="W837">
        <v>1</v>
      </c>
      <c r="X837">
        <v>4010</v>
      </c>
      <c r="Y837" t="s">
        <v>1166</v>
      </c>
      <c r="Z837" t="s">
        <v>1167</v>
      </c>
      <c r="AA837" t="s">
        <v>1277</v>
      </c>
    </row>
    <row r="838" spans="1:27" x14ac:dyDescent="0.3">
      <c r="A838" t="s">
        <v>1673</v>
      </c>
      <c r="B838" t="s">
        <v>1380</v>
      </c>
      <c r="C838" t="s">
        <v>974</v>
      </c>
      <c r="D838" t="s">
        <v>1373</v>
      </c>
      <c r="E838" t="s">
        <v>554</v>
      </c>
      <c r="F838">
        <v>46173</v>
      </c>
      <c r="G838" t="s">
        <v>496</v>
      </c>
      <c r="H838" t="s">
        <v>1159</v>
      </c>
      <c r="I838">
        <v>13050501</v>
      </c>
      <c r="J838" t="s">
        <v>1273</v>
      </c>
      <c r="K838" t="s">
        <v>1379</v>
      </c>
      <c r="L838">
        <v>217</v>
      </c>
      <c r="M838">
        <v>0</v>
      </c>
      <c r="N838">
        <v>0</v>
      </c>
      <c r="O838">
        <v>217</v>
      </c>
      <c r="P838" t="s">
        <v>1275</v>
      </c>
      <c r="Q838" t="s">
        <v>983</v>
      </c>
      <c r="R838" t="s">
        <v>1162</v>
      </c>
      <c r="S838" t="s">
        <v>1163</v>
      </c>
      <c r="T838" t="s">
        <v>984</v>
      </c>
      <c r="U838" t="s">
        <v>1276</v>
      </c>
      <c r="V838" t="s">
        <v>1165</v>
      </c>
      <c r="W838">
        <v>1</v>
      </c>
      <c r="X838">
        <v>217</v>
      </c>
      <c r="Y838" t="s">
        <v>1166</v>
      </c>
      <c r="Z838" t="s">
        <v>1167</v>
      </c>
      <c r="AA838" t="s">
        <v>1277</v>
      </c>
    </row>
    <row r="839" spans="1:27" x14ac:dyDescent="0.3">
      <c r="A839" t="s">
        <v>1673</v>
      </c>
      <c r="B839" t="s">
        <v>1177</v>
      </c>
      <c r="C839" t="s">
        <v>974</v>
      </c>
      <c r="D839" t="s">
        <v>1373</v>
      </c>
      <c r="E839" t="s">
        <v>554</v>
      </c>
      <c r="F839">
        <v>46173</v>
      </c>
      <c r="G839" t="s">
        <v>496</v>
      </c>
      <c r="H839" t="s">
        <v>1159</v>
      </c>
      <c r="I839">
        <v>13050501</v>
      </c>
      <c r="J839" t="s">
        <v>1273</v>
      </c>
      <c r="K839" t="s">
        <v>1381</v>
      </c>
      <c r="L839">
        <v>96.45</v>
      </c>
      <c r="M839">
        <v>96.45</v>
      </c>
      <c r="N839">
        <v>96.45</v>
      </c>
      <c r="O839">
        <v>96.45</v>
      </c>
      <c r="P839" t="s">
        <v>1275</v>
      </c>
      <c r="Q839" t="s">
        <v>983</v>
      </c>
      <c r="R839" t="s">
        <v>1162</v>
      </c>
      <c r="S839" t="s">
        <v>1163</v>
      </c>
      <c r="T839" t="s">
        <v>984</v>
      </c>
      <c r="U839" t="s">
        <v>1276</v>
      </c>
      <c r="V839" t="s">
        <v>1165</v>
      </c>
      <c r="W839">
        <v>1</v>
      </c>
      <c r="X839">
        <v>96.45</v>
      </c>
      <c r="Y839" t="s">
        <v>1166</v>
      </c>
      <c r="Z839" t="s">
        <v>1167</v>
      </c>
      <c r="AA839" t="s">
        <v>1277</v>
      </c>
    </row>
    <row r="840" spans="1:27" x14ac:dyDescent="0.3">
      <c r="A840" t="s">
        <v>1673</v>
      </c>
      <c r="B840" t="s">
        <v>1284</v>
      </c>
      <c r="C840" t="s">
        <v>974</v>
      </c>
      <c r="D840" t="s">
        <v>1373</v>
      </c>
      <c r="E840" t="s">
        <v>554</v>
      </c>
      <c r="F840">
        <v>46173</v>
      </c>
      <c r="G840" t="s">
        <v>496</v>
      </c>
      <c r="H840" t="s">
        <v>1159</v>
      </c>
      <c r="I840">
        <v>13050501</v>
      </c>
      <c r="J840" t="s">
        <v>1273</v>
      </c>
      <c r="K840" t="s">
        <v>1382</v>
      </c>
      <c r="L840">
        <v>110</v>
      </c>
      <c r="M840">
        <v>55</v>
      </c>
      <c r="N840">
        <v>55</v>
      </c>
      <c r="O840">
        <v>110</v>
      </c>
      <c r="P840" t="s">
        <v>1275</v>
      </c>
      <c r="Q840" t="s">
        <v>983</v>
      </c>
      <c r="R840" t="s">
        <v>1162</v>
      </c>
      <c r="S840" t="s">
        <v>1163</v>
      </c>
      <c r="T840" t="s">
        <v>984</v>
      </c>
      <c r="U840" t="s">
        <v>1276</v>
      </c>
      <c r="V840" t="s">
        <v>1165</v>
      </c>
      <c r="W840">
        <v>1</v>
      </c>
      <c r="X840">
        <v>110</v>
      </c>
      <c r="Y840" t="s">
        <v>1166</v>
      </c>
      <c r="Z840" t="s">
        <v>1167</v>
      </c>
      <c r="AA840" t="s">
        <v>1277</v>
      </c>
    </row>
    <row r="841" spans="1:27" x14ac:dyDescent="0.3">
      <c r="A841" t="s">
        <v>1673</v>
      </c>
      <c r="B841" t="s">
        <v>1559</v>
      </c>
      <c r="C841" t="s">
        <v>974</v>
      </c>
      <c r="D841" t="s">
        <v>1373</v>
      </c>
      <c r="E841" t="s">
        <v>554</v>
      </c>
      <c r="F841">
        <v>46173</v>
      </c>
      <c r="G841" t="s">
        <v>496</v>
      </c>
      <c r="H841" t="s">
        <v>1159</v>
      </c>
      <c r="I841">
        <v>13309501</v>
      </c>
      <c r="J841" t="s">
        <v>1232</v>
      </c>
      <c r="K841" t="s">
        <v>1378</v>
      </c>
      <c r="L841">
        <v>-300</v>
      </c>
      <c r="M841">
        <v>0</v>
      </c>
      <c r="N841">
        <v>0</v>
      </c>
      <c r="O841">
        <v>-300</v>
      </c>
      <c r="P841" t="s">
        <v>1383</v>
      </c>
      <c r="Q841" t="s">
        <v>985</v>
      </c>
      <c r="R841" t="s">
        <v>1162</v>
      </c>
      <c r="S841" t="s">
        <v>1163</v>
      </c>
      <c r="T841" t="s">
        <v>986</v>
      </c>
      <c r="U841" t="s">
        <v>1384</v>
      </c>
      <c r="V841" t="s">
        <v>1165</v>
      </c>
      <c r="W841">
        <v>1</v>
      </c>
      <c r="X841">
        <v>-300</v>
      </c>
      <c r="Y841" t="s">
        <v>1192</v>
      </c>
      <c r="Z841" t="s">
        <v>1193</v>
      </c>
      <c r="AA841" t="s">
        <v>1385</v>
      </c>
    </row>
    <row r="842" spans="1:27" x14ac:dyDescent="0.3">
      <c r="A842" t="s">
        <v>1673</v>
      </c>
      <c r="B842" t="s">
        <v>1188</v>
      </c>
      <c r="C842" t="s">
        <v>974</v>
      </c>
      <c r="D842" t="s">
        <v>1373</v>
      </c>
      <c r="E842" t="s">
        <v>554</v>
      </c>
      <c r="F842">
        <v>46173</v>
      </c>
      <c r="G842" t="s">
        <v>496</v>
      </c>
      <c r="H842" t="s">
        <v>1159</v>
      </c>
      <c r="I842">
        <v>13802001</v>
      </c>
      <c r="J842" t="s">
        <v>1386</v>
      </c>
      <c r="K842" t="s">
        <v>1387</v>
      </c>
      <c r="L842">
        <v>4300</v>
      </c>
      <c r="M842">
        <v>0</v>
      </c>
      <c r="N842">
        <v>0</v>
      </c>
      <c r="O842">
        <v>4300</v>
      </c>
      <c r="P842" t="s">
        <v>1388</v>
      </c>
      <c r="Q842" t="s">
        <v>989</v>
      </c>
      <c r="R842" t="s">
        <v>1162</v>
      </c>
      <c r="S842" t="s">
        <v>1163</v>
      </c>
      <c r="T842" t="s">
        <v>990</v>
      </c>
      <c r="U842" t="s">
        <v>1389</v>
      </c>
      <c r="V842" t="s">
        <v>1165</v>
      </c>
      <c r="W842">
        <v>1</v>
      </c>
      <c r="X842">
        <v>4300</v>
      </c>
      <c r="Y842" t="s">
        <v>1166</v>
      </c>
      <c r="Z842" t="s">
        <v>1193</v>
      </c>
      <c r="AA842" t="s">
        <v>1390</v>
      </c>
    </row>
    <row r="843" spans="1:27" x14ac:dyDescent="0.3">
      <c r="A843" t="s">
        <v>1673</v>
      </c>
      <c r="B843" t="s">
        <v>1391</v>
      </c>
      <c r="C843" t="s">
        <v>974</v>
      </c>
      <c r="D843" t="s">
        <v>1373</v>
      </c>
      <c r="E843" t="s">
        <v>554</v>
      </c>
      <c r="F843">
        <v>46173</v>
      </c>
      <c r="G843" t="s">
        <v>496</v>
      </c>
      <c r="H843" t="s">
        <v>1159</v>
      </c>
      <c r="I843">
        <v>13802001</v>
      </c>
      <c r="J843" t="s">
        <v>1386</v>
      </c>
      <c r="K843" t="s">
        <v>1179</v>
      </c>
      <c r="L843">
        <v>30559.96</v>
      </c>
      <c r="M843">
        <v>1540</v>
      </c>
      <c r="N843">
        <v>0</v>
      </c>
      <c r="O843">
        <v>32099.96</v>
      </c>
      <c r="P843" t="s">
        <v>1388</v>
      </c>
      <c r="Q843" t="s">
        <v>989</v>
      </c>
      <c r="R843" t="s">
        <v>1162</v>
      </c>
      <c r="S843" t="s">
        <v>1163</v>
      </c>
      <c r="T843" t="s">
        <v>990</v>
      </c>
      <c r="U843" t="s">
        <v>1389</v>
      </c>
      <c r="V843" t="s">
        <v>1165</v>
      </c>
      <c r="W843">
        <v>1</v>
      </c>
      <c r="X843">
        <v>32099.96</v>
      </c>
      <c r="Y843" t="s">
        <v>1166</v>
      </c>
      <c r="Z843" t="s">
        <v>1193</v>
      </c>
      <c r="AA843" t="s">
        <v>1390</v>
      </c>
    </row>
    <row r="844" spans="1:27" x14ac:dyDescent="0.3">
      <c r="A844" t="s">
        <v>1673</v>
      </c>
      <c r="B844" t="s">
        <v>1560</v>
      </c>
      <c r="C844" t="s">
        <v>974</v>
      </c>
      <c r="D844" t="s">
        <v>1373</v>
      </c>
      <c r="E844" t="s">
        <v>554</v>
      </c>
      <c r="F844">
        <v>46173</v>
      </c>
      <c r="G844" t="s">
        <v>496</v>
      </c>
      <c r="H844" t="s">
        <v>1159</v>
      </c>
      <c r="I844">
        <v>13802001</v>
      </c>
      <c r="J844" t="s">
        <v>1386</v>
      </c>
      <c r="K844" t="s">
        <v>1421</v>
      </c>
      <c r="L844">
        <v>0</v>
      </c>
      <c r="M844">
        <v>3950</v>
      </c>
      <c r="N844">
        <v>7795.12</v>
      </c>
      <c r="O844">
        <v>-3845.12</v>
      </c>
      <c r="P844" t="s">
        <v>1388</v>
      </c>
      <c r="Q844" t="s">
        <v>989</v>
      </c>
      <c r="R844" t="s">
        <v>1162</v>
      </c>
      <c r="S844" t="s">
        <v>1163</v>
      </c>
      <c r="T844" t="s">
        <v>990</v>
      </c>
      <c r="U844" t="s">
        <v>1389</v>
      </c>
      <c r="V844" t="s">
        <v>1165</v>
      </c>
      <c r="W844">
        <v>1</v>
      </c>
      <c r="X844">
        <v>-3845.12</v>
      </c>
      <c r="Y844" t="s">
        <v>1166</v>
      </c>
      <c r="Z844" t="s">
        <v>1193</v>
      </c>
      <c r="AA844" t="s">
        <v>1390</v>
      </c>
    </row>
    <row r="845" spans="1:27" x14ac:dyDescent="0.3">
      <c r="A845" t="s">
        <v>1673</v>
      </c>
      <c r="B845" t="s">
        <v>1295</v>
      </c>
      <c r="C845" t="s">
        <v>974</v>
      </c>
      <c r="D845" t="s">
        <v>1373</v>
      </c>
      <c r="E845" t="s">
        <v>554</v>
      </c>
      <c r="F845">
        <v>46173</v>
      </c>
      <c r="G845" t="s">
        <v>496</v>
      </c>
      <c r="H845" t="s">
        <v>1159</v>
      </c>
      <c r="I845">
        <v>13802001</v>
      </c>
      <c r="J845" t="s">
        <v>1386</v>
      </c>
      <c r="K845" t="s">
        <v>1392</v>
      </c>
      <c r="L845">
        <v>571891.71</v>
      </c>
      <c r="M845">
        <v>0</v>
      </c>
      <c r="N845">
        <v>0</v>
      </c>
      <c r="O845">
        <v>571891.71</v>
      </c>
      <c r="P845" t="s">
        <v>1388</v>
      </c>
      <c r="Q845" t="s">
        <v>989</v>
      </c>
      <c r="R845" t="s">
        <v>1162</v>
      </c>
      <c r="S845" t="s">
        <v>1163</v>
      </c>
      <c r="T845" t="s">
        <v>990</v>
      </c>
      <c r="U845" t="s">
        <v>1389</v>
      </c>
      <c r="V845" t="s">
        <v>1165</v>
      </c>
      <c r="W845">
        <v>1</v>
      </c>
      <c r="X845">
        <v>571891.71</v>
      </c>
      <c r="Y845" t="s">
        <v>1166</v>
      </c>
      <c r="Z845" t="s">
        <v>1193</v>
      </c>
      <c r="AA845" t="s">
        <v>1390</v>
      </c>
    </row>
    <row r="846" spans="1:27" x14ac:dyDescent="0.3">
      <c r="A846" t="s">
        <v>1673</v>
      </c>
      <c r="B846" t="s">
        <v>1202</v>
      </c>
      <c r="C846" t="s">
        <v>974</v>
      </c>
      <c r="D846" t="s">
        <v>1373</v>
      </c>
      <c r="E846" t="s">
        <v>554</v>
      </c>
      <c r="F846">
        <v>46173</v>
      </c>
      <c r="G846" t="s">
        <v>496</v>
      </c>
      <c r="H846" t="s">
        <v>1159</v>
      </c>
      <c r="I846">
        <v>15280501</v>
      </c>
      <c r="J846" t="s">
        <v>1285</v>
      </c>
      <c r="L846">
        <v>8817.2199999999993</v>
      </c>
      <c r="M846">
        <v>0</v>
      </c>
      <c r="N846">
        <v>0</v>
      </c>
      <c r="O846">
        <v>8817.2199999999993</v>
      </c>
      <c r="P846" t="s">
        <v>1287</v>
      </c>
      <c r="Q846" t="s">
        <v>995</v>
      </c>
      <c r="R846" t="s">
        <v>1162</v>
      </c>
      <c r="S846" t="s">
        <v>957</v>
      </c>
      <c r="T846" t="s">
        <v>996</v>
      </c>
      <c r="U846" t="s">
        <v>1288</v>
      </c>
      <c r="V846" t="s">
        <v>1165</v>
      </c>
      <c r="W846">
        <v>1</v>
      </c>
      <c r="X846">
        <v>8817.2199999999993</v>
      </c>
      <c r="Y846" t="s">
        <v>1166</v>
      </c>
      <c r="Z846" t="s">
        <v>1167</v>
      </c>
      <c r="AA846" t="s">
        <v>1289</v>
      </c>
    </row>
    <row r="847" spans="1:27" x14ac:dyDescent="0.3">
      <c r="A847" t="s">
        <v>1673</v>
      </c>
      <c r="B847" t="s">
        <v>1561</v>
      </c>
      <c r="C847" t="s">
        <v>974</v>
      </c>
      <c r="D847" t="s">
        <v>1373</v>
      </c>
      <c r="E847" t="s">
        <v>554</v>
      </c>
      <c r="F847">
        <v>46173</v>
      </c>
      <c r="G847" t="s">
        <v>496</v>
      </c>
      <c r="H847" t="s">
        <v>1159</v>
      </c>
      <c r="I847">
        <v>15922001</v>
      </c>
      <c r="J847" t="s">
        <v>1394</v>
      </c>
      <c r="L847">
        <v>-4924</v>
      </c>
      <c r="M847">
        <v>0</v>
      </c>
      <c r="N847">
        <v>0</v>
      </c>
      <c r="O847">
        <v>-4924</v>
      </c>
      <c r="P847" t="s">
        <v>1395</v>
      </c>
      <c r="Q847" t="s">
        <v>997</v>
      </c>
      <c r="R847" t="s">
        <v>1162</v>
      </c>
      <c r="S847" t="s">
        <v>957</v>
      </c>
      <c r="T847" t="s">
        <v>998</v>
      </c>
      <c r="U847" t="s">
        <v>1288</v>
      </c>
      <c r="V847" t="s">
        <v>1396</v>
      </c>
      <c r="W847">
        <v>1</v>
      </c>
      <c r="X847">
        <v>-4924</v>
      </c>
      <c r="Y847" t="s">
        <v>1166</v>
      </c>
      <c r="Z847" t="s">
        <v>1167</v>
      </c>
      <c r="AA847" t="s">
        <v>1397</v>
      </c>
    </row>
    <row r="848" spans="1:27" x14ac:dyDescent="0.3">
      <c r="A848" t="s">
        <v>1673</v>
      </c>
      <c r="B848" t="s">
        <v>1218</v>
      </c>
      <c r="C848" t="s">
        <v>974</v>
      </c>
      <c r="D848" t="s">
        <v>1373</v>
      </c>
      <c r="E848" t="s">
        <v>554</v>
      </c>
      <c r="F848">
        <v>46173</v>
      </c>
      <c r="G848" t="s">
        <v>496</v>
      </c>
      <c r="H848" t="s">
        <v>1159</v>
      </c>
      <c r="I848">
        <v>21051001</v>
      </c>
      <c r="J848" t="s">
        <v>1399</v>
      </c>
      <c r="K848" t="s">
        <v>1406</v>
      </c>
      <c r="L848">
        <v>-540.91999999999996</v>
      </c>
      <c r="M848">
        <v>13623.27</v>
      </c>
      <c r="N848">
        <v>13082.35</v>
      </c>
      <c r="O848">
        <v>0</v>
      </c>
      <c r="P848" t="s">
        <v>1401</v>
      </c>
      <c r="Q848" t="s">
        <v>1006</v>
      </c>
      <c r="R848" t="s">
        <v>1162</v>
      </c>
      <c r="S848" t="s">
        <v>1402</v>
      </c>
      <c r="T848" t="s">
        <v>1007</v>
      </c>
      <c r="U848" t="s">
        <v>1403</v>
      </c>
      <c r="V848" t="s">
        <v>1175</v>
      </c>
      <c r="W848">
        <v>-1</v>
      </c>
      <c r="Y848" t="s">
        <v>1192</v>
      </c>
      <c r="Z848" t="s">
        <v>1193</v>
      </c>
      <c r="AA848" t="s">
        <v>1404</v>
      </c>
    </row>
    <row r="849" spans="1:27" x14ac:dyDescent="0.3">
      <c r="A849" t="s">
        <v>1673</v>
      </c>
      <c r="B849" t="s">
        <v>1225</v>
      </c>
      <c r="C849" t="s">
        <v>974</v>
      </c>
      <c r="D849" t="s">
        <v>1373</v>
      </c>
      <c r="E849" t="s">
        <v>554</v>
      </c>
      <c r="F849">
        <v>46173</v>
      </c>
      <c r="G849" t="s">
        <v>496</v>
      </c>
      <c r="H849" t="s">
        <v>1159</v>
      </c>
      <c r="I849">
        <v>28050501</v>
      </c>
      <c r="J849" t="s">
        <v>1407</v>
      </c>
      <c r="K849" t="s">
        <v>1408</v>
      </c>
      <c r="L849">
        <v>-580342.75</v>
      </c>
      <c r="M849">
        <v>0</v>
      </c>
      <c r="N849">
        <v>0</v>
      </c>
      <c r="O849">
        <v>-580342.75</v>
      </c>
      <c r="P849" t="s">
        <v>1409</v>
      </c>
      <c r="Q849" t="s">
        <v>1016</v>
      </c>
      <c r="R849" t="s">
        <v>1162</v>
      </c>
      <c r="S849" t="s">
        <v>1173</v>
      </c>
      <c r="T849" t="s">
        <v>1017</v>
      </c>
      <c r="U849" t="s">
        <v>1410</v>
      </c>
      <c r="V849" t="s">
        <v>1175</v>
      </c>
      <c r="W849">
        <v>-1</v>
      </c>
      <c r="X849">
        <v>580342.75</v>
      </c>
      <c r="Y849" t="s">
        <v>1166</v>
      </c>
      <c r="Z849" t="s">
        <v>1167</v>
      </c>
      <c r="AA849" t="s">
        <v>1411</v>
      </c>
    </row>
    <row r="850" spans="1:27" x14ac:dyDescent="0.3">
      <c r="A850" t="s">
        <v>1673</v>
      </c>
      <c r="B850" t="s">
        <v>1412</v>
      </c>
      <c r="C850" t="s">
        <v>974</v>
      </c>
      <c r="D850" t="s">
        <v>1373</v>
      </c>
      <c r="E850" t="s">
        <v>554</v>
      </c>
      <c r="F850">
        <v>46173</v>
      </c>
      <c r="G850" t="s">
        <v>496</v>
      </c>
      <c r="H850" t="s">
        <v>1159</v>
      </c>
      <c r="I850">
        <v>31050501</v>
      </c>
      <c r="J850" t="s">
        <v>1178</v>
      </c>
      <c r="L850">
        <v>-383868</v>
      </c>
      <c r="M850">
        <v>0</v>
      </c>
      <c r="N850">
        <v>0</v>
      </c>
      <c r="O850">
        <v>-383868</v>
      </c>
      <c r="P850" t="s">
        <v>1180</v>
      </c>
      <c r="Q850" t="s">
        <v>1028</v>
      </c>
      <c r="R850" t="s">
        <v>1162</v>
      </c>
      <c r="S850" t="s">
        <v>1181</v>
      </c>
      <c r="T850" t="s">
        <v>1029</v>
      </c>
      <c r="U850" t="s">
        <v>1182</v>
      </c>
      <c r="V850" t="s">
        <v>1175</v>
      </c>
      <c r="W850">
        <v>-1</v>
      </c>
      <c r="X850">
        <v>383868</v>
      </c>
      <c r="Y850" t="s">
        <v>1166</v>
      </c>
      <c r="Z850" t="s">
        <v>1167</v>
      </c>
      <c r="AA850" t="s">
        <v>1029</v>
      </c>
    </row>
    <row r="851" spans="1:27" x14ac:dyDescent="0.3">
      <c r="A851" t="s">
        <v>1673</v>
      </c>
      <c r="B851" t="s">
        <v>1327</v>
      </c>
      <c r="C851" t="s">
        <v>974</v>
      </c>
      <c r="D851" t="s">
        <v>1373</v>
      </c>
      <c r="E851" t="s">
        <v>554</v>
      </c>
      <c r="F851">
        <v>46173</v>
      </c>
      <c r="G851" t="s">
        <v>496</v>
      </c>
      <c r="H851" t="s">
        <v>1159</v>
      </c>
      <c r="I851">
        <v>36050501</v>
      </c>
      <c r="J851" t="s">
        <v>876</v>
      </c>
      <c r="L851">
        <v>1033.5</v>
      </c>
      <c r="M851">
        <v>0</v>
      </c>
      <c r="N851">
        <v>0</v>
      </c>
      <c r="O851">
        <v>1033.5</v>
      </c>
      <c r="P851" t="s">
        <v>1413</v>
      </c>
      <c r="Q851" t="s">
        <v>1033</v>
      </c>
      <c r="R851" t="s">
        <v>1162</v>
      </c>
      <c r="S851" t="s">
        <v>1181</v>
      </c>
      <c r="T851" t="s">
        <v>1034</v>
      </c>
      <c r="U851" t="s">
        <v>1414</v>
      </c>
      <c r="V851" t="s">
        <v>1175</v>
      </c>
      <c r="W851">
        <v>-1</v>
      </c>
      <c r="X851">
        <v>-1033.5</v>
      </c>
      <c r="Y851" t="s">
        <v>1192</v>
      </c>
      <c r="Z851" t="s">
        <v>1193</v>
      </c>
      <c r="AA851" t="s">
        <v>1415</v>
      </c>
    </row>
    <row r="852" spans="1:27" x14ac:dyDescent="0.3">
      <c r="A852" t="s">
        <v>1673</v>
      </c>
      <c r="B852" t="s">
        <v>1253</v>
      </c>
      <c r="C852" t="s">
        <v>974</v>
      </c>
      <c r="D852" t="s">
        <v>1373</v>
      </c>
      <c r="E852" t="s">
        <v>554</v>
      </c>
      <c r="F852">
        <v>46173</v>
      </c>
      <c r="G852" t="s">
        <v>496</v>
      </c>
      <c r="H852" t="s">
        <v>1159</v>
      </c>
      <c r="I852">
        <v>36100101</v>
      </c>
      <c r="J852" t="s">
        <v>1189</v>
      </c>
      <c r="L852">
        <v>-14076</v>
      </c>
      <c r="M852">
        <v>0</v>
      </c>
      <c r="N852">
        <v>0</v>
      </c>
      <c r="O852">
        <v>-14076</v>
      </c>
      <c r="P852" t="s">
        <v>1190</v>
      </c>
      <c r="Q852" t="s">
        <v>1033</v>
      </c>
      <c r="R852" t="s">
        <v>1162</v>
      </c>
      <c r="S852" t="s">
        <v>1181</v>
      </c>
      <c r="T852" t="s">
        <v>1034</v>
      </c>
      <c r="U852" t="s">
        <v>1191</v>
      </c>
      <c r="V852" t="s">
        <v>1175</v>
      </c>
      <c r="W852">
        <v>-1</v>
      </c>
      <c r="X852">
        <v>14076</v>
      </c>
      <c r="Y852" t="s">
        <v>1192</v>
      </c>
      <c r="Z852" t="s">
        <v>1193</v>
      </c>
      <c r="AA852" t="s">
        <v>1194</v>
      </c>
    </row>
    <row r="853" spans="1:27" x14ac:dyDescent="0.3">
      <c r="A853" t="s">
        <v>1673</v>
      </c>
      <c r="B853" t="s">
        <v>1257</v>
      </c>
      <c r="C853" t="s">
        <v>974</v>
      </c>
      <c r="D853" t="s">
        <v>1373</v>
      </c>
      <c r="E853" t="s">
        <v>554</v>
      </c>
      <c r="F853">
        <v>46173</v>
      </c>
      <c r="G853" t="s">
        <v>496</v>
      </c>
      <c r="H853" t="s">
        <v>1159</v>
      </c>
      <c r="I853">
        <v>41700101</v>
      </c>
      <c r="J853" t="s">
        <v>1315</v>
      </c>
      <c r="K853" t="s">
        <v>1376</v>
      </c>
      <c r="L853">
        <v>-15893.35</v>
      </c>
      <c r="M853">
        <v>0</v>
      </c>
      <c r="N853">
        <v>5255</v>
      </c>
      <c r="O853">
        <v>-21148.35</v>
      </c>
      <c r="P853" t="s">
        <v>1317</v>
      </c>
      <c r="Q853" t="s">
        <v>1048</v>
      </c>
      <c r="R853" t="s">
        <v>1199</v>
      </c>
      <c r="S853" t="s">
        <v>1318</v>
      </c>
      <c r="T853" t="s">
        <v>1049</v>
      </c>
      <c r="U853" t="s">
        <v>1319</v>
      </c>
      <c r="V853" t="s">
        <v>1175</v>
      </c>
      <c r="W853">
        <v>-1</v>
      </c>
      <c r="X853">
        <v>21148.35</v>
      </c>
      <c r="Y853" t="s">
        <v>1166</v>
      </c>
      <c r="Z853" t="s">
        <v>1167</v>
      </c>
      <c r="AA853" t="s">
        <v>1320</v>
      </c>
    </row>
    <row r="854" spans="1:27" x14ac:dyDescent="0.3">
      <c r="A854" t="s">
        <v>1673</v>
      </c>
      <c r="B854" t="s">
        <v>1342</v>
      </c>
      <c r="C854" t="s">
        <v>974</v>
      </c>
      <c r="D854" t="s">
        <v>1373</v>
      </c>
      <c r="E854" t="s">
        <v>554</v>
      </c>
      <c r="F854">
        <v>46173</v>
      </c>
      <c r="G854" t="s">
        <v>496</v>
      </c>
      <c r="H854" t="s">
        <v>1159</v>
      </c>
      <c r="I854">
        <v>41700101</v>
      </c>
      <c r="J854" t="s">
        <v>1315</v>
      </c>
      <c r="K854" t="s">
        <v>1378</v>
      </c>
      <c r="L854">
        <v>-900</v>
      </c>
      <c r="M854">
        <v>0</v>
      </c>
      <c r="N854">
        <v>300</v>
      </c>
      <c r="O854">
        <v>-1200</v>
      </c>
      <c r="P854" t="s">
        <v>1317</v>
      </c>
      <c r="Q854" t="s">
        <v>1048</v>
      </c>
      <c r="R854" t="s">
        <v>1199</v>
      </c>
      <c r="S854" t="s">
        <v>1318</v>
      </c>
      <c r="T854" t="s">
        <v>1049</v>
      </c>
      <c r="U854" t="s">
        <v>1319</v>
      </c>
      <c r="V854" t="s">
        <v>1175</v>
      </c>
      <c r="W854">
        <v>-1</v>
      </c>
      <c r="X854">
        <v>1200</v>
      </c>
      <c r="Y854" t="s">
        <v>1166</v>
      </c>
      <c r="Z854" t="s">
        <v>1167</v>
      </c>
      <c r="AA854" t="s">
        <v>1320</v>
      </c>
    </row>
    <row r="855" spans="1:27" x14ac:dyDescent="0.3">
      <c r="A855" t="s">
        <v>1673</v>
      </c>
      <c r="B855" t="s">
        <v>1348</v>
      </c>
      <c r="C855" t="s">
        <v>974</v>
      </c>
      <c r="D855" t="s">
        <v>1373</v>
      </c>
      <c r="E855" t="s">
        <v>554</v>
      </c>
      <c r="F855">
        <v>46173</v>
      </c>
      <c r="G855" t="s">
        <v>496</v>
      </c>
      <c r="H855" t="s">
        <v>1159</v>
      </c>
      <c r="I855">
        <v>41700101</v>
      </c>
      <c r="J855" t="s">
        <v>1315</v>
      </c>
      <c r="K855" t="s">
        <v>1387</v>
      </c>
      <c r="L855">
        <v>0</v>
      </c>
      <c r="M855">
        <v>0</v>
      </c>
      <c r="N855">
        <v>4010</v>
      </c>
      <c r="O855">
        <v>-4010</v>
      </c>
      <c r="P855" t="s">
        <v>1317</v>
      </c>
      <c r="Q855" t="s">
        <v>1048</v>
      </c>
      <c r="R855" t="s">
        <v>1199</v>
      </c>
      <c r="S855" t="s">
        <v>1318</v>
      </c>
      <c r="T855" t="s">
        <v>1049</v>
      </c>
      <c r="U855" t="s">
        <v>1319</v>
      </c>
      <c r="V855" t="s">
        <v>1175</v>
      </c>
      <c r="W855">
        <v>-1</v>
      </c>
      <c r="X855">
        <v>4010</v>
      </c>
      <c r="Y855" t="s">
        <v>1166</v>
      </c>
      <c r="Z855" t="s">
        <v>1167</v>
      </c>
      <c r="AA855" t="s">
        <v>1320</v>
      </c>
    </row>
    <row r="856" spans="1:27" x14ac:dyDescent="0.3">
      <c r="A856" t="s">
        <v>1673</v>
      </c>
      <c r="B856" t="s">
        <v>1350</v>
      </c>
      <c r="C856" t="s">
        <v>974</v>
      </c>
      <c r="D856" t="s">
        <v>1373</v>
      </c>
      <c r="E856" t="s">
        <v>554</v>
      </c>
      <c r="F856">
        <v>46173</v>
      </c>
      <c r="G856" t="s">
        <v>496</v>
      </c>
      <c r="H856" t="s">
        <v>1159</v>
      </c>
      <c r="I856">
        <v>41700101</v>
      </c>
      <c r="J856" t="s">
        <v>1315</v>
      </c>
      <c r="K856" t="s">
        <v>1379</v>
      </c>
      <c r="L856">
        <v>-217</v>
      </c>
      <c r="M856">
        <v>0</v>
      </c>
      <c r="N856">
        <v>0</v>
      </c>
      <c r="O856">
        <v>-217</v>
      </c>
      <c r="P856" t="s">
        <v>1317</v>
      </c>
      <c r="Q856" t="s">
        <v>1048</v>
      </c>
      <c r="R856" t="s">
        <v>1199</v>
      </c>
      <c r="S856" t="s">
        <v>1318</v>
      </c>
      <c r="T856" t="s">
        <v>1049</v>
      </c>
      <c r="U856" t="s">
        <v>1319</v>
      </c>
      <c r="V856" t="s">
        <v>1175</v>
      </c>
      <c r="W856">
        <v>-1</v>
      </c>
      <c r="X856">
        <v>217</v>
      </c>
      <c r="Y856" t="s">
        <v>1166</v>
      </c>
      <c r="Z856" t="s">
        <v>1167</v>
      </c>
      <c r="AA856" t="s">
        <v>1320</v>
      </c>
    </row>
    <row r="857" spans="1:27" x14ac:dyDescent="0.3">
      <c r="A857" t="s">
        <v>1673</v>
      </c>
      <c r="B857" t="s">
        <v>1351</v>
      </c>
      <c r="C857" t="s">
        <v>974</v>
      </c>
      <c r="D857" t="s">
        <v>1373</v>
      </c>
      <c r="E857" t="s">
        <v>554</v>
      </c>
      <c r="F857">
        <v>46173</v>
      </c>
      <c r="G857" t="s">
        <v>496</v>
      </c>
      <c r="H857" t="s">
        <v>1159</v>
      </c>
      <c r="I857">
        <v>41700101</v>
      </c>
      <c r="J857" t="s">
        <v>1315</v>
      </c>
      <c r="K857" t="s">
        <v>1381</v>
      </c>
      <c r="L857">
        <v>-385.8</v>
      </c>
      <c r="M857">
        <v>0</v>
      </c>
      <c r="N857">
        <v>96.45</v>
      </c>
      <c r="O857">
        <v>-482.25</v>
      </c>
      <c r="P857" t="s">
        <v>1317</v>
      </c>
      <c r="Q857" t="s">
        <v>1048</v>
      </c>
      <c r="R857" t="s">
        <v>1199</v>
      </c>
      <c r="S857" t="s">
        <v>1318</v>
      </c>
      <c r="T857" t="s">
        <v>1049</v>
      </c>
      <c r="U857" t="s">
        <v>1319</v>
      </c>
      <c r="V857" t="s">
        <v>1175</v>
      </c>
      <c r="W857">
        <v>-1</v>
      </c>
      <c r="X857">
        <v>482.25</v>
      </c>
      <c r="Y857" t="s">
        <v>1166</v>
      </c>
      <c r="Z857" t="s">
        <v>1167</v>
      </c>
      <c r="AA857" t="s">
        <v>1320</v>
      </c>
    </row>
    <row r="858" spans="1:27" x14ac:dyDescent="0.3">
      <c r="A858" t="s">
        <v>1673</v>
      </c>
      <c r="B858" t="s">
        <v>1352</v>
      </c>
      <c r="C858" t="s">
        <v>974</v>
      </c>
      <c r="D858" t="s">
        <v>1373</v>
      </c>
      <c r="E858" t="s">
        <v>554</v>
      </c>
      <c r="F858">
        <v>46173</v>
      </c>
      <c r="G858" t="s">
        <v>496</v>
      </c>
      <c r="H858" t="s">
        <v>1159</v>
      </c>
      <c r="I858">
        <v>41700101</v>
      </c>
      <c r="J858" t="s">
        <v>1315</v>
      </c>
      <c r="K858" t="s">
        <v>1382</v>
      </c>
      <c r="L858">
        <v>-220</v>
      </c>
      <c r="M858">
        <v>0</v>
      </c>
      <c r="N858">
        <v>55</v>
      </c>
      <c r="O858">
        <v>-275</v>
      </c>
      <c r="P858" t="s">
        <v>1317</v>
      </c>
      <c r="Q858" t="s">
        <v>1048</v>
      </c>
      <c r="R858" t="s">
        <v>1199</v>
      </c>
      <c r="S858" t="s">
        <v>1318</v>
      </c>
      <c r="T858" t="s">
        <v>1049</v>
      </c>
      <c r="U858" t="s">
        <v>1319</v>
      </c>
      <c r="V858" t="s">
        <v>1175</v>
      </c>
      <c r="W858">
        <v>-1</v>
      </c>
      <c r="X858">
        <v>275</v>
      </c>
      <c r="Y858" t="s">
        <v>1166</v>
      </c>
      <c r="Z858" t="s">
        <v>1167</v>
      </c>
      <c r="AA858" t="s">
        <v>1320</v>
      </c>
    </row>
    <row r="859" spans="1:27" x14ac:dyDescent="0.3">
      <c r="A859" t="s">
        <v>1673</v>
      </c>
      <c r="B859" t="s">
        <v>1356</v>
      </c>
      <c r="C859" t="s">
        <v>974</v>
      </c>
      <c r="D859" t="s">
        <v>1373</v>
      </c>
      <c r="E859" t="s">
        <v>554</v>
      </c>
      <c r="F859">
        <v>46173</v>
      </c>
      <c r="G859" t="s">
        <v>496</v>
      </c>
      <c r="H859" t="s">
        <v>1159</v>
      </c>
      <c r="I859">
        <v>42100502</v>
      </c>
      <c r="J859" t="s">
        <v>1416</v>
      </c>
      <c r="K859" t="s">
        <v>1376</v>
      </c>
      <c r="L859">
        <v>-0.35</v>
      </c>
      <c r="M859">
        <v>0</v>
      </c>
      <c r="N859">
        <v>0</v>
      </c>
      <c r="O859">
        <v>-0.35</v>
      </c>
      <c r="P859" t="s">
        <v>1417</v>
      </c>
      <c r="Q859" t="s">
        <v>1118</v>
      </c>
      <c r="R859" t="s">
        <v>1199</v>
      </c>
      <c r="S859" t="s">
        <v>1324</v>
      </c>
      <c r="T859" t="s">
        <v>1119</v>
      </c>
      <c r="U859" t="s">
        <v>1418</v>
      </c>
      <c r="V859" t="s">
        <v>1175</v>
      </c>
      <c r="W859">
        <v>-1</v>
      </c>
      <c r="X859">
        <v>0.35</v>
      </c>
      <c r="Y859" t="s">
        <v>1166</v>
      </c>
      <c r="Z859" t="s">
        <v>1167</v>
      </c>
      <c r="AA859" t="s">
        <v>1419</v>
      </c>
    </row>
    <row r="860" spans="1:27" x14ac:dyDescent="0.3">
      <c r="A860" t="s">
        <v>1673</v>
      </c>
      <c r="B860" t="s">
        <v>1357</v>
      </c>
      <c r="C860" t="s">
        <v>974</v>
      </c>
      <c r="D860" t="s">
        <v>1373</v>
      </c>
      <c r="E860" t="s">
        <v>554</v>
      </c>
      <c r="F860">
        <v>46173</v>
      </c>
      <c r="G860" t="s">
        <v>496</v>
      </c>
      <c r="H860" t="s">
        <v>1159</v>
      </c>
      <c r="I860">
        <v>42100502</v>
      </c>
      <c r="J860" t="s">
        <v>1416</v>
      </c>
      <c r="K860" t="s">
        <v>1378</v>
      </c>
      <c r="L860">
        <v>-83</v>
      </c>
      <c r="M860">
        <v>0</v>
      </c>
      <c r="N860">
        <v>0</v>
      </c>
      <c r="O860">
        <v>-83</v>
      </c>
      <c r="P860" t="s">
        <v>1417</v>
      </c>
      <c r="Q860" t="s">
        <v>1118</v>
      </c>
      <c r="R860" t="s">
        <v>1199</v>
      </c>
      <c r="S860" t="s">
        <v>1324</v>
      </c>
      <c r="T860" t="s">
        <v>1119</v>
      </c>
      <c r="U860" t="s">
        <v>1418</v>
      </c>
      <c r="V860" t="s">
        <v>1175</v>
      </c>
      <c r="W860">
        <v>-1</v>
      </c>
      <c r="X860">
        <v>83</v>
      </c>
      <c r="Y860" t="s">
        <v>1166</v>
      </c>
      <c r="Z860" t="s">
        <v>1167</v>
      </c>
      <c r="AA860" t="s">
        <v>1419</v>
      </c>
    </row>
    <row r="861" spans="1:27" x14ac:dyDescent="0.3">
      <c r="A861" t="s">
        <v>1673</v>
      </c>
      <c r="B861" t="s">
        <v>1358</v>
      </c>
      <c r="C861" t="s">
        <v>974</v>
      </c>
      <c r="D861" t="s">
        <v>1373</v>
      </c>
      <c r="E861" t="s">
        <v>554</v>
      </c>
      <c r="F861">
        <v>46173</v>
      </c>
      <c r="G861" t="s">
        <v>496</v>
      </c>
      <c r="H861" t="s">
        <v>1159</v>
      </c>
      <c r="I861">
        <v>42100502</v>
      </c>
      <c r="J861" t="s">
        <v>1416</v>
      </c>
      <c r="K861" t="s">
        <v>1406</v>
      </c>
      <c r="L861">
        <v>-128.77000000000001</v>
      </c>
      <c r="M861">
        <v>0</v>
      </c>
      <c r="N861">
        <v>188.15</v>
      </c>
      <c r="O861">
        <v>-316.92</v>
      </c>
      <c r="P861" t="s">
        <v>1417</v>
      </c>
      <c r="Q861" t="s">
        <v>1118</v>
      </c>
      <c r="R861" t="s">
        <v>1199</v>
      </c>
      <c r="S861" t="s">
        <v>1324</v>
      </c>
      <c r="T861" t="s">
        <v>1119</v>
      </c>
      <c r="U861" t="s">
        <v>1418</v>
      </c>
      <c r="V861" t="s">
        <v>1175</v>
      </c>
      <c r="W861">
        <v>-1</v>
      </c>
      <c r="X861">
        <v>316.92</v>
      </c>
      <c r="Y861" t="s">
        <v>1166</v>
      </c>
      <c r="Z861" t="s">
        <v>1167</v>
      </c>
      <c r="AA861" t="s">
        <v>1419</v>
      </c>
    </row>
    <row r="862" spans="1:27" x14ac:dyDescent="0.3">
      <c r="A862" t="s">
        <v>1673</v>
      </c>
      <c r="B862" t="s">
        <v>1364</v>
      </c>
      <c r="C862" t="s">
        <v>974</v>
      </c>
      <c r="D862" t="s">
        <v>1373</v>
      </c>
      <c r="E862" t="s">
        <v>554</v>
      </c>
      <c r="F862">
        <v>46173</v>
      </c>
      <c r="G862" t="s">
        <v>496</v>
      </c>
      <c r="H862" t="s">
        <v>1159</v>
      </c>
      <c r="I862">
        <v>51050601</v>
      </c>
      <c r="J862" t="s">
        <v>1196</v>
      </c>
      <c r="K862" t="s">
        <v>1421</v>
      </c>
      <c r="L862">
        <v>10368.68</v>
      </c>
      <c r="M862">
        <v>2592.17</v>
      </c>
      <c r="N862">
        <v>0</v>
      </c>
      <c r="O862">
        <v>12960.85</v>
      </c>
      <c r="P862" t="s">
        <v>1198</v>
      </c>
      <c r="Q862" t="s">
        <v>1060</v>
      </c>
      <c r="R862" t="s">
        <v>1199</v>
      </c>
      <c r="S862" t="s">
        <v>947</v>
      </c>
      <c r="T862" t="s">
        <v>1061</v>
      </c>
      <c r="U862" t="s">
        <v>1200</v>
      </c>
      <c r="V862" t="s">
        <v>1165</v>
      </c>
      <c r="W862">
        <v>1</v>
      </c>
      <c r="X862">
        <v>12960.85</v>
      </c>
      <c r="Y862" t="s">
        <v>1166</v>
      </c>
      <c r="Z862" t="s">
        <v>1167</v>
      </c>
      <c r="AA862" t="s">
        <v>1201</v>
      </c>
    </row>
    <row r="863" spans="1:27" x14ac:dyDescent="0.3">
      <c r="A863" t="s">
        <v>1673</v>
      </c>
      <c r="B863" t="s">
        <v>1424</v>
      </c>
      <c r="C863" t="s">
        <v>974</v>
      </c>
      <c r="D863" t="s">
        <v>1373</v>
      </c>
      <c r="E863" t="s">
        <v>554</v>
      </c>
      <c r="F863">
        <v>46173</v>
      </c>
      <c r="G863" t="s">
        <v>496</v>
      </c>
      <c r="H863" t="s">
        <v>1159</v>
      </c>
      <c r="I863">
        <v>51052105</v>
      </c>
      <c r="J863" t="s">
        <v>1203</v>
      </c>
      <c r="K863" t="s">
        <v>1607</v>
      </c>
      <c r="L863">
        <v>0</v>
      </c>
      <c r="M863">
        <v>78.430000000000007</v>
      </c>
      <c r="N863">
        <v>0</v>
      </c>
      <c r="O863">
        <v>78.430000000000007</v>
      </c>
      <c r="P863" t="s">
        <v>1204</v>
      </c>
      <c r="Q863" t="s">
        <v>1075</v>
      </c>
      <c r="R863" t="s">
        <v>1199</v>
      </c>
      <c r="S863" t="s">
        <v>947</v>
      </c>
      <c r="T863" t="s">
        <v>1076</v>
      </c>
      <c r="U863" t="s">
        <v>1205</v>
      </c>
      <c r="V863" t="s">
        <v>1165</v>
      </c>
      <c r="W863">
        <v>1</v>
      </c>
      <c r="X863">
        <v>78.430000000000007</v>
      </c>
      <c r="Y863" t="s">
        <v>1166</v>
      </c>
      <c r="Z863" t="s">
        <v>1167</v>
      </c>
      <c r="AA863" t="s">
        <v>1206</v>
      </c>
    </row>
    <row r="864" spans="1:27" x14ac:dyDescent="0.3">
      <c r="A864" t="s">
        <v>1673</v>
      </c>
      <c r="B864" t="s">
        <v>1368</v>
      </c>
      <c r="C864" t="s">
        <v>974</v>
      </c>
      <c r="D864" t="s">
        <v>1373</v>
      </c>
      <c r="E864" t="s">
        <v>554</v>
      </c>
      <c r="F864">
        <v>46173</v>
      </c>
      <c r="G864" t="s">
        <v>496</v>
      </c>
      <c r="H864" t="s">
        <v>1159</v>
      </c>
      <c r="I864">
        <v>51052105</v>
      </c>
      <c r="J864" t="s">
        <v>1203</v>
      </c>
      <c r="K864" t="s">
        <v>1423</v>
      </c>
      <c r="L864">
        <v>64.790000000000006</v>
      </c>
      <c r="M864">
        <v>0</v>
      </c>
      <c r="N864">
        <v>0</v>
      </c>
      <c r="O864">
        <v>64.790000000000006</v>
      </c>
      <c r="P864" t="s">
        <v>1204</v>
      </c>
      <c r="Q864" t="s">
        <v>1075</v>
      </c>
      <c r="R864" t="s">
        <v>1199</v>
      </c>
      <c r="S864" t="s">
        <v>947</v>
      </c>
      <c r="T864" t="s">
        <v>1076</v>
      </c>
      <c r="U864" t="s">
        <v>1205</v>
      </c>
      <c r="V864" t="s">
        <v>1165</v>
      </c>
      <c r="W864">
        <v>1</v>
      </c>
      <c r="X864">
        <v>64.790000000000006</v>
      </c>
      <c r="Y864" t="s">
        <v>1166</v>
      </c>
      <c r="Z864" t="s">
        <v>1167</v>
      </c>
      <c r="AA864" t="s">
        <v>1206</v>
      </c>
    </row>
    <row r="865" spans="1:27" x14ac:dyDescent="0.3">
      <c r="A865" t="s">
        <v>1673</v>
      </c>
      <c r="B865" t="s">
        <v>1369</v>
      </c>
      <c r="C865" t="s">
        <v>974</v>
      </c>
      <c r="D865" t="s">
        <v>1373</v>
      </c>
      <c r="E865" t="s">
        <v>554</v>
      </c>
      <c r="F865">
        <v>46173</v>
      </c>
      <c r="G865" t="s">
        <v>496</v>
      </c>
      <c r="H865" t="s">
        <v>1159</v>
      </c>
      <c r="I865">
        <v>51052105</v>
      </c>
      <c r="J865" t="s">
        <v>1203</v>
      </c>
      <c r="K865" t="s">
        <v>1425</v>
      </c>
      <c r="L865">
        <v>35.04</v>
      </c>
      <c r="M865">
        <v>0</v>
      </c>
      <c r="N865">
        <v>0</v>
      </c>
      <c r="O865">
        <v>35.04</v>
      </c>
      <c r="P865" t="s">
        <v>1204</v>
      </c>
      <c r="Q865" t="s">
        <v>1075</v>
      </c>
      <c r="R865" t="s">
        <v>1199</v>
      </c>
      <c r="S865" t="s">
        <v>947</v>
      </c>
      <c r="T865" t="s">
        <v>1076</v>
      </c>
      <c r="U865" t="s">
        <v>1205</v>
      </c>
      <c r="V865" t="s">
        <v>1165</v>
      </c>
      <c r="W865">
        <v>1</v>
      </c>
      <c r="X865">
        <v>35.04</v>
      </c>
      <c r="Y865" t="s">
        <v>1166</v>
      </c>
      <c r="Z865" t="s">
        <v>1167</v>
      </c>
      <c r="AA865" t="s">
        <v>1206</v>
      </c>
    </row>
    <row r="866" spans="1:27" x14ac:dyDescent="0.3">
      <c r="A866" t="s">
        <v>1673</v>
      </c>
      <c r="B866" t="s">
        <v>1370</v>
      </c>
      <c r="C866" t="s">
        <v>974</v>
      </c>
      <c r="D866" t="s">
        <v>1373</v>
      </c>
      <c r="E866" t="s">
        <v>554</v>
      </c>
      <c r="F866">
        <v>46173</v>
      </c>
      <c r="G866" t="s">
        <v>496</v>
      </c>
      <c r="H866" t="s">
        <v>1159</v>
      </c>
      <c r="I866">
        <v>51052105</v>
      </c>
      <c r="J866" t="s">
        <v>1203</v>
      </c>
      <c r="K866" t="s">
        <v>1400</v>
      </c>
      <c r="L866">
        <v>22.14</v>
      </c>
      <c r="M866">
        <v>0</v>
      </c>
      <c r="N866">
        <v>0</v>
      </c>
      <c r="O866">
        <v>22.14</v>
      </c>
      <c r="P866" t="s">
        <v>1204</v>
      </c>
      <c r="Q866" t="s">
        <v>1075</v>
      </c>
      <c r="R866" t="s">
        <v>1199</v>
      </c>
      <c r="S866" t="s">
        <v>947</v>
      </c>
      <c r="T866" t="s">
        <v>1076</v>
      </c>
      <c r="U866" t="s">
        <v>1205</v>
      </c>
      <c r="V866" t="s">
        <v>1165</v>
      </c>
      <c r="W866">
        <v>1</v>
      </c>
      <c r="X866">
        <v>22.14</v>
      </c>
      <c r="Y866" t="s">
        <v>1166</v>
      </c>
      <c r="Z866" t="s">
        <v>1167</v>
      </c>
      <c r="AA866" t="s">
        <v>1206</v>
      </c>
    </row>
    <row r="867" spans="1:27" x14ac:dyDescent="0.3">
      <c r="A867" t="s">
        <v>1673</v>
      </c>
      <c r="B867" t="s">
        <v>1426</v>
      </c>
      <c r="C867" t="s">
        <v>974</v>
      </c>
      <c r="D867" t="s">
        <v>1373</v>
      </c>
      <c r="E867" t="s">
        <v>554</v>
      </c>
      <c r="F867">
        <v>46173</v>
      </c>
      <c r="G867" t="s">
        <v>496</v>
      </c>
      <c r="H867" t="s">
        <v>1159</v>
      </c>
      <c r="I867">
        <v>51052105</v>
      </c>
      <c r="J867" t="s">
        <v>1203</v>
      </c>
      <c r="K867" t="s">
        <v>1425</v>
      </c>
      <c r="L867">
        <v>13.54</v>
      </c>
      <c r="M867">
        <v>0</v>
      </c>
      <c r="N867">
        <v>0</v>
      </c>
      <c r="O867">
        <v>13.54</v>
      </c>
      <c r="P867" t="s">
        <v>1204</v>
      </c>
      <c r="Q867" t="s">
        <v>1075</v>
      </c>
      <c r="R867" t="s">
        <v>1199</v>
      </c>
      <c r="S867" t="s">
        <v>947</v>
      </c>
      <c r="T867" t="s">
        <v>1076</v>
      </c>
      <c r="U867" t="s">
        <v>1205</v>
      </c>
      <c r="V867" t="s">
        <v>1165</v>
      </c>
      <c r="W867">
        <v>1</v>
      </c>
      <c r="X867">
        <v>13.54</v>
      </c>
      <c r="Y867" t="s">
        <v>1166</v>
      </c>
      <c r="Z867" t="s">
        <v>1167</v>
      </c>
      <c r="AA867" t="s">
        <v>1206</v>
      </c>
    </row>
    <row r="868" spans="1:27" x14ac:dyDescent="0.3">
      <c r="A868" t="s">
        <v>1673</v>
      </c>
      <c r="B868" t="s">
        <v>1432</v>
      </c>
      <c r="C868" t="s">
        <v>974</v>
      </c>
      <c r="D868" t="s">
        <v>1373</v>
      </c>
      <c r="E868" t="s">
        <v>554</v>
      </c>
      <c r="F868">
        <v>46173</v>
      </c>
      <c r="G868" t="s">
        <v>496</v>
      </c>
      <c r="H868" t="s">
        <v>1159</v>
      </c>
      <c r="I868">
        <v>51054503</v>
      </c>
      <c r="J868" t="s">
        <v>1427</v>
      </c>
      <c r="K868" t="s">
        <v>1428</v>
      </c>
      <c r="L868">
        <v>7600</v>
      </c>
      <c r="M868">
        <v>0</v>
      </c>
      <c r="N868">
        <v>0</v>
      </c>
      <c r="O868">
        <v>7600</v>
      </c>
      <c r="P868" t="s">
        <v>1429</v>
      </c>
      <c r="Q868" t="s">
        <v>1060</v>
      </c>
      <c r="R868" t="s">
        <v>1199</v>
      </c>
      <c r="S868" t="s">
        <v>947</v>
      </c>
      <c r="T868" t="s">
        <v>1061</v>
      </c>
      <c r="U868" t="s">
        <v>1430</v>
      </c>
      <c r="V868" t="s">
        <v>1165</v>
      </c>
      <c r="W868">
        <v>1</v>
      </c>
      <c r="X868">
        <v>7600</v>
      </c>
      <c r="Y868" t="s">
        <v>1192</v>
      </c>
      <c r="Z868" t="s">
        <v>1193</v>
      </c>
      <c r="AA868" t="s">
        <v>1431</v>
      </c>
    </row>
    <row r="869" spans="1:27" x14ac:dyDescent="0.3">
      <c r="A869" t="s">
        <v>1673</v>
      </c>
      <c r="B869" t="s">
        <v>1439</v>
      </c>
      <c r="C869" t="s">
        <v>974</v>
      </c>
      <c r="D869" t="s">
        <v>1373</v>
      </c>
      <c r="E869" t="s">
        <v>554</v>
      </c>
      <c r="F869">
        <v>46173</v>
      </c>
      <c r="G869" t="s">
        <v>496</v>
      </c>
      <c r="H869" t="s">
        <v>1159</v>
      </c>
      <c r="I869">
        <v>51055101</v>
      </c>
      <c r="J869" t="s">
        <v>1433</v>
      </c>
      <c r="K869" t="s">
        <v>1434</v>
      </c>
      <c r="L869">
        <v>276.06</v>
      </c>
      <c r="M869">
        <v>0</v>
      </c>
      <c r="N869">
        <v>0</v>
      </c>
      <c r="O869">
        <v>276.06</v>
      </c>
      <c r="P869" t="s">
        <v>1435</v>
      </c>
      <c r="Q869" t="s">
        <v>1060</v>
      </c>
      <c r="R869" t="s">
        <v>1199</v>
      </c>
      <c r="S869" t="s">
        <v>947</v>
      </c>
      <c r="T869" t="s">
        <v>1061</v>
      </c>
      <c r="U869" t="s">
        <v>1436</v>
      </c>
      <c r="V869" t="s">
        <v>1165</v>
      </c>
      <c r="W869">
        <v>1</v>
      </c>
      <c r="X869">
        <v>276.06</v>
      </c>
      <c r="Y869" t="s">
        <v>1166</v>
      </c>
      <c r="Z869" t="s">
        <v>1167</v>
      </c>
      <c r="AA869" t="s">
        <v>1437</v>
      </c>
    </row>
    <row r="870" spans="1:27" x14ac:dyDescent="0.3">
      <c r="A870" t="s">
        <v>1673</v>
      </c>
      <c r="B870" t="s">
        <v>1441</v>
      </c>
      <c r="C870" t="s">
        <v>974</v>
      </c>
      <c r="D870" t="s">
        <v>1373</v>
      </c>
      <c r="E870" t="s">
        <v>554</v>
      </c>
      <c r="F870">
        <v>46173</v>
      </c>
      <c r="G870" t="s">
        <v>496</v>
      </c>
      <c r="H870" t="s">
        <v>1159</v>
      </c>
      <c r="I870">
        <v>51055101</v>
      </c>
      <c r="J870" t="s">
        <v>1433</v>
      </c>
      <c r="K870" t="s">
        <v>1405</v>
      </c>
      <c r="L870">
        <v>13.9</v>
      </c>
      <c r="M870">
        <v>0</v>
      </c>
      <c r="N870">
        <v>0</v>
      </c>
      <c r="O870">
        <v>13.9</v>
      </c>
      <c r="P870" t="s">
        <v>1435</v>
      </c>
      <c r="Q870" t="s">
        <v>1060</v>
      </c>
      <c r="R870" t="s">
        <v>1199</v>
      </c>
      <c r="S870" t="s">
        <v>947</v>
      </c>
      <c r="T870" t="s">
        <v>1061</v>
      </c>
      <c r="U870" t="s">
        <v>1436</v>
      </c>
      <c r="V870" t="s">
        <v>1165</v>
      </c>
      <c r="W870">
        <v>1</v>
      </c>
      <c r="X870">
        <v>13.9</v>
      </c>
      <c r="Y870" t="s">
        <v>1166</v>
      </c>
      <c r="Z870" t="s">
        <v>1167</v>
      </c>
      <c r="AA870" t="s">
        <v>1437</v>
      </c>
    </row>
    <row r="871" spans="1:27" x14ac:dyDescent="0.3">
      <c r="A871" t="s">
        <v>1673</v>
      </c>
      <c r="B871" t="s">
        <v>1567</v>
      </c>
      <c r="C871" t="s">
        <v>974</v>
      </c>
      <c r="D871" t="s">
        <v>1373</v>
      </c>
      <c r="E871" t="s">
        <v>554</v>
      </c>
      <c r="F871">
        <v>46173</v>
      </c>
      <c r="G871" t="s">
        <v>496</v>
      </c>
      <c r="H871" t="s">
        <v>1159</v>
      </c>
      <c r="I871">
        <v>51055101</v>
      </c>
      <c r="J871" t="s">
        <v>1433</v>
      </c>
      <c r="K871" t="s">
        <v>1440</v>
      </c>
      <c r="L871">
        <v>15.3</v>
      </c>
      <c r="M871">
        <v>0</v>
      </c>
      <c r="N871">
        <v>0</v>
      </c>
      <c r="O871">
        <v>15.3</v>
      </c>
      <c r="P871" t="s">
        <v>1435</v>
      </c>
      <c r="Q871" t="s">
        <v>1060</v>
      </c>
      <c r="R871" t="s">
        <v>1199</v>
      </c>
      <c r="S871" t="s">
        <v>947</v>
      </c>
      <c r="T871" t="s">
        <v>1061</v>
      </c>
      <c r="U871" t="s">
        <v>1436</v>
      </c>
      <c r="V871" t="s">
        <v>1165</v>
      </c>
      <c r="W871">
        <v>1</v>
      </c>
      <c r="X871">
        <v>15.3</v>
      </c>
      <c r="Y871" t="s">
        <v>1166</v>
      </c>
      <c r="Z871" t="s">
        <v>1167</v>
      </c>
      <c r="AA871" t="s">
        <v>1437</v>
      </c>
    </row>
    <row r="872" spans="1:27" x14ac:dyDescent="0.3">
      <c r="A872" t="s">
        <v>1673</v>
      </c>
      <c r="B872" t="s">
        <v>1443</v>
      </c>
      <c r="C872" t="s">
        <v>974</v>
      </c>
      <c r="D872" t="s">
        <v>1373</v>
      </c>
      <c r="E872" t="s">
        <v>554</v>
      </c>
      <c r="F872">
        <v>46173</v>
      </c>
      <c r="G872" t="s">
        <v>496</v>
      </c>
      <c r="H872" t="s">
        <v>1159</v>
      </c>
      <c r="I872">
        <v>51055101</v>
      </c>
      <c r="J872" t="s">
        <v>1433</v>
      </c>
      <c r="K872" t="s">
        <v>1442</v>
      </c>
      <c r="L872">
        <v>1507.28</v>
      </c>
      <c r="M872">
        <v>846.65</v>
      </c>
      <c r="N872">
        <v>540.91999999999996</v>
      </c>
      <c r="O872">
        <v>1813.01</v>
      </c>
      <c r="P872" t="s">
        <v>1435</v>
      </c>
      <c r="Q872" t="s">
        <v>1060</v>
      </c>
      <c r="R872" t="s">
        <v>1199</v>
      </c>
      <c r="S872" t="s">
        <v>947</v>
      </c>
      <c r="T872" t="s">
        <v>1061</v>
      </c>
      <c r="U872" t="s">
        <v>1436</v>
      </c>
      <c r="V872" t="s">
        <v>1165</v>
      </c>
      <c r="W872">
        <v>1</v>
      </c>
      <c r="X872">
        <v>1813.01</v>
      </c>
      <c r="Y872" t="s">
        <v>1166</v>
      </c>
      <c r="Z872" t="s">
        <v>1167</v>
      </c>
      <c r="AA872" t="s">
        <v>1437</v>
      </c>
    </row>
    <row r="873" spans="1:27" x14ac:dyDescent="0.3">
      <c r="A873" t="s">
        <v>1673</v>
      </c>
      <c r="B873" t="s">
        <v>1568</v>
      </c>
      <c r="C873" t="s">
        <v>974</v>
      </c>
      <c r="D873" t="s">
        <v>1373</v>
      </c>
      <c r="E873" t="s">
        <v>554</v>
      </c>
      <c r="F873">
        <v>46173</v>
      </c>
      <c r="G873" t="s">
        <v>496</v>
      </c>
      <c r="H873" t="s">
        <v>1159</v>
      </c>
      <c r="I873">
        <v>51055101</v>
      </c>
      <c r="J873" t="s">
        <v>1433</v>
      </c>
      <c r="K873" t="s">
        <v>1608</v>
      </c>
      <c r="L873">
        <v>0</v>
      </c>
      <c r="M873">
        <v>139.1</v>
      </c>
      <c r="N873">
        <v>0</v>
      </c>
      <c r="O873">
        <v>139.1</v>
      </c>
      <c r="P873" t="s">
        <v>1435</v>
      </c>
      <c r="Q873" t="s">
        <v>1060</v>
      </c>
      <c r="R873" t="s">
        <v>1199</v>
      </c>
      <c r="S873" t="s">
        <v>947</v>
      </c>
      <c r="T873" t="s">
        <v>1061</v>
      </c>
      <c r="U873" t="s">
        <v>1436</v>
      </c>
      <c r="V873" t="s">
        <v>1165</v>
      </c>
      <c r="W873">
        <v>1</v>
      </c>
      <c r="X873">
        <v>139.1</v>
      </c>
      <c r="Y873" t="s">
        <v>1166</v>
      </c>
      <c r="Z873" t="s">
        <v>1167</v>
      </c>
      <c r="AA873" t="s">
        <v>1437</v>
      </c>
    </row>
    <row r="874" spans="1:27" x14ac:dyDescent="0.3">
      <c r="A874" t="s">
        <v>1673</v>
      </c>
      <c r="B874" t="s">
        <v>1449</v>
      </c>
      <c r="C874" t="s">
        <v>974</v>
      </c>
      <c r="D874" t="s">
        <v>1373</v>
      </c>
      <c r="E874" t="s">
        <v>554</v>
      </c>
      <c r="F874">
        <v>46173</v>
      </c>
      <c r="G874" t="s">
        <v>496</v>
      </c>
      <c r="H874" t="s">
        <v>1159</v>
      </c>
      <c r="I874">
        <v>51055101</v>
      </c>
      <c r="J874" t="s">
        <v>1433</v>
      </c>
      <c r="K874" t="s">
        <v>1406</v>
      </c>
      <c r="L874">
        <v>0</v>
      </c>
      <c r="M874">
        <v>0</v>
      </c>
      <c r="N874">
        <v>540.91999999999996</v>
      </c>
      <c r="O874">
        <v>-540.91999999999996</v>
      </c>
      <c r="P874" t="s">
        <v>1435</v>
      </c>
      <c r="Q874" t="s">
        <v>1060</v>
      </c>
      <c r="R874" t="s">
        <v>1199</v>
      </c>
      <c r="S874" t="s">
        <v>947</v>
      </c>
      <c r="T874" t="s">
        <v>1061</v>
      </c>
      <c r="U874" t="s">
        <v>1436</v>
      </c>
      <c r="V874" t="s">
        <v>1165</v>
      </c>
      <c r="W874">
        <v>1</v>
      </c>
      <c r="X874">
        <v>-540.91999999999996</v>
      </c>
      <c r="Y874" t="s">
        <v>1166</v>
      </c>
      <c r="Z874" t="s">
        <v>1167</v>
      </c>
      <c r="AA874" t="s">
        <v>1437</v>
      </c>
    </row>
    <row r="875" spans="1:27" x14ac:dyDescent="0.3">
      <c r="A875" t="s">
        <v>1673</v>
      </c>
      <c r="B875" t="s">
        <v>1569</v>
      </c>
      <c r="C875" t="s">
        <v>974</v>
      </c>
      <c r="D875" t="s">
        <v>1373</v>
      </c>
      <c r="E875" t="s">
        <v>554</v>
      </c>
      <c r="F875">
        <v>46173</v>
      </c>
      <c r="G875" t="s">
        <v>496</v>
      </c>
      <c r="H875" t="s">
        <v>1159</v>
      </c>
      <c r="I875">
        <v>51058401</v>
      </c>
      <c r="J875" t="s">
        <v>1444</v>
      </c>
      <c r="K875" t="s">
        <v>1445</v>
      </c>
      <c r="L875">
        <v>122.93</v>
      </c>
      <c r="M875">
        <v>0</v>
      </c>
      <c r="N875">
        <v>0</v>
      </c>
      <c r="O875">
        <v>122.93</v>
      </c>
      <c r="P875" t="s">
        <v>1446</v>
      </c>
      <c r="Q875" t="s">
        <v>1060</v>
      </c>
      <c r="R875" t="s">
        <v>1199</v>
      </c>
      <c r="S875" t="s">
        <v>947</v>
      </c>
      <c r="T875" t="s">
        <v>1061</v>
      </c>
      <c r="U875" t="s">
        <v>1447</v>
      </c>
      <c r="V875" t="s">
        <v>1165</v>
      </c>
      <c r="W875">
        <v>1</v>
      </c>
      <c r="X875">
        <v>122.93</v>
      </c>
      <c r="Y875" t="s">
        <v>1166</v>
      </c>
      <c r="Z875" t="s">
        <v>1167</v>
      </c>
      <c r="AA875" t="s">
        <v>1448</v>
      </c>
    </row>
    <row r="876" spans="1:27" x14ac:dyDescent="0.3">
      <c r="A876" t="s">
        <v>1673</v>
      </c>
      <c r="B876" t="s">
        <v>1453</v>
      </c>
      <c r="C876" t="s">
        <v>974</v>
      </c>
      <c r="D876" t="s">
        <v>1373</v>
      </c>
      <c r="E876" t="s">
        <v>554</v>
      </c>
      <c r="F876">
        <v>46173</v>
      </c>
      <c r="G876" t="s">
        <v>496</v>
      </c>
      <c r="H876" t="s">
        <v>1159</v>
      </c>
      <c r="I876">
        <v>51058401</v>
      </c>
      <c r="J876" t="s">
        <v>1444</v>
      </c>
      <c r="K876" t="s">
        <v>1442</v>
      </c>
      <c r="L876">
        <v>0</v>
      </c>
      <c r="M876">
        <v>56.7</v>
      </c>
      <c r="N876">
        <v>0</v>
      </c>
      <c r="O876">
        <v>56.7</v>
      </c>
      <c r="P876" t="s">
        <v>1446</v>
      </c>
      <c r="Q876" t="s">
        <v>1060</v>
      </c>
      <c r="R876" t="s">
        <v>1199</v>
      </c>
      <c r="S876" t="s">
        <v>947</v>
      </c>
      <c r="T876" t="s">
        <v>1061</v>
      </c>
      <c r="U876" t="s">
        <v>1447</v>
      </c>
      <c r="V876" t="s">
        <v>1165</v>
      </c>
      <c r="W876">
        <v>1</v>
      </c>
      <c r="X876">
        <v>56.7</v>
      </c>
      <c r="Y876" t="s">
        <v>1166</v>
      </c>
      <c r="Z876" t="s">
        <v>1167</v>
      </c>
      <c r="AA876" t="s">
        <v>1448</v>
      </c>
    </row>
    <row r="877" spans="1:27" x14ac:dyDescent="0.3">
      <c r="A877" t="s">
        <v>1673</v>
      </c>
      <c r="B877" t="s">
        <v>1571</v>
      </c>
      <c r="C877" t="s">
        <v>974</v>
      </c>
      <c r="D877" t="s">
        <v>1373</v>
      </c>
      <c r="E877" t="s">
        <v>554</v>
      </c>
      <c r="F877">
        <v>46173</v>
      </c>
      <c r="G877" t="s">
        <v>496</v>
      </c>
      <c r="H877" t="s">
        <v>1159</v>
      </c>
      <c r="I877">
        <v>51059501</v>
      </c>
      <c r="J877" t="s">
        <v>1232</v>
      </c>
      <c r="K877" t="s">
        <v>1421</v>
      </c>
      <c r="L877">
        <v>2879.32</v>
      </c>
      <c r="M877">
        <v>637.33000000000004</v>
      </c>
      <c r="N877">
        <v>0</v>
      </c>
      <c r="O877">
        <v>3516.65</v>
      </c>
      <c r="P877" t="s">
        <v>1450</v>
      </c>
      <c r="Q877" t="s">
        <v>1060</v>
      </c>
      <c r="R877" t="s">
        <v>1199</v>
      </c>
      <c r="S877" t="s">
        <v>947</v>
      </c>
      <c r="T877" t="s">
        <v>1061</v>
      </c>
      <c r="U877" t="s">
        <v>1451</v>
      </c>
      <c r="V877" t="s">
        <v>1165</v>
      </c>
      <c r="W877">
        <v>1</v>
      </c>
      <c r="X877">
        <v>3516.65</v>
      </c>
      <c r="Y877" t="s">
        <v>1192</v>
      </c>
      <c r="Z877" t="s">
        <v>1193</v>
      </c>
      <c r="AA877" t="s">
        <v>1452</v>
      </c>
    </row>
    <row r="878" spans="1:27" x14ac:dyDescent="0.3">
      <c r="A878" t="s">
        <v>1673</v>
      </c>
      <c r="B878" t="s">
        <v>1580</v>
      </c>
      <c r="C878" t="s">
        <v>974</v>
      </c>
      <c r="D878" t="s">
        <v>1373</v>
      </c>
      <c r="E878" t="s">
        <v>554</v>
      </c>
      <c r="F878">
        <v>46173</v>
      </c>
      <c r="G878" t="s">
        <v>496</v>
      </c>
      <c r="H878" t="s">
        <v>1159</v>
      </c>
      <c r="I878">
        <v>51103001</v>
      </c>
      <c r="J878" t="s">
        <v>1328</v>
      </c>
      <c r="K878" t="s">
        <v>1454</v>
      </c>
      <c r="L878">
        <v>445</v>
      </c>
      <c r="M878">
        <v>0</v>
      </c>
      <c r="N878">
        <v>0</v>
      </c>
      <c r="O878">
        <v>445</v>
      </c>
      <c r="P878" t="s">
        <v>1330</v>
      </c>
      <c r="Q878" t="s">
        <v>1062</v>
      </c>
      <c r="R878" t="s">
        <v>1199</v>
      </c>
      <c r="S878" t="s">
        <v>947</v>
      </c>
      <c r="T878" t="s">
        <v>1063</v>
      </c>
      <c r="U878" t="s">
        <v>1331</v>
      </c>
      <c r="V878" t="s">
        <v>1165</v>
      </c>
      <c r="W878">
        <v>1</v>
      </c>
      <c r="X878">
        <v>445</v>
      </c>
      <c r="Y878" t="s">
        <v>1166</v>
      </c>
      <c r="Z878" t="s">
        <v>1167</v>
      </c>
      <c r="AA878" t="s">
        <v>1332</v>
      </c>
    </row>
    <row r="879" spans="1:27" x14ac:dyDescent="0.3">
      <c r="A879" t="s">
        <v>1673</v>
      </c>
      <c r="B879" t="s">
        <v>1461</v>
      </c>
      <c r="C879" t="s">
        <v>974</v>
      </c>
      <c r="D879" t="s">
        <v>1373</v>
      </c>
      <c r="E879" t="s">
        <v>554</v>
      </c>
      <c r="F879">
        <v>46173</v>
      </c>
      <c r="G879" t="s">
        <v>496</v>
      </c>
      <c r="H879" t="s">
        <v>1159</v>
      </c>
      <c r="I879">
        <v>51150501</v>
      </c>
      <c r="J879" t="s">
        <v>1219</v>
      </c>
      <c r="K879" t="s">
        <v>1456</v>
      </c>
      <c r="L879">
        <v>4024.05</v>
      </c>
      <c r="M879">
        <v>0</v>
      </c>
      <c r="N879">
        <v>0</v>
      </c>
      <c r="O879">
        <v>4024.05</v>
      </c>
      <c r="P879" t="s">
        <v>1221</v>
      </c>
      <c r="Q879" t="s">
        <v>1064</v>
      </c>
      <c r="R879" t="s">
        <v>1199</v>
      </c>
      <c r="S879" t="s">
        <v>947</v>
      </c>
      <c r="T879" t="s">
        <v>1065</v>
      </c>
      <c r="U879" t="s">
        <v>1222</v>
      </c>
      <c r="V879" t="s">
        <v>1165</v>
      </c>
      <c r="W879">
        <v>1</v>
      </c>
      <c r="X879">
        <v>4024.05</v>
      </c>
      <c r="Y879" t="s">
        <v>1166</v>
      </c>
      <c r="Z879" t="s">
        <v>1167</v>
      </c>
      <c r="AA879" t="s">
        <v>1223</v>
      </c>
    </row>
    <row r="880" spans="1:27" x14ac:dyDescent="0.3">
      <c r="A880" t="s">
        <v>1673</v>
      </c>
      <c r="B880" t="s">
        <v>1581</v>
      </c>
      <c r="C880" t="s">
        <v>974</v>
      </c>
      <c r="D880" t="s">
        <v>1373</v>
      </c>
      <c r="E880" t="s">
        <v>554</v>
      </c>
      <c r="F880">
        <v>46173</v>
      </c>
      <c r="G880" t="s">
        <v>496</v>
      </c>
      <c r="H880" t="s">
        <v>1159</v>
      </c>
      <c r="I880">
        <v>51352001</v>
      </c>
      <c r="J880" t="s">
        <v>1240</v>
      </c>
      <c r="K880" t="s">
        <v>1458</v>
      </c>
      <c r="L880">
        <v>225.35</v>
      </c>
      <c r="M880">
        <v>0</v>
      </c>
      <c r="N880">
        <v>0</v>
      </c>
      <c r="O880">
        <v>225.35</v>
      </c>
      <c r="P880" t="s">
        <v>1242</v>
      </c>
      <c r="Q880" t="s">
        <v>1069</v>
      </c>
      <c r="R880" t="s">
        <v>1199</v>
      </c>
      <c r="S880" t="s">
        <v>947</v>
      </c>
      <c r="T880" t="s">
        <v>1070</v>
      </c>
      <c r="U880" t="s">
        <v>1243</v>
      </c>
      <c r="V880" t="s">
        <v>1165</v>
      </c>
      <c r="W880">
        <v>1</v>
      </c>
      <c r="X880">
        <v>225.35</v>
      </c>
      <c r="Y880" t="s">
        <v>1166</v>
      </c>
      <c r="Z880" t="s">
        <v>1193</v>
      </c>
      <c r="AA880" t="s">
        <v>1244</v>
      </c>
    </row>
    <row r="881" spans="1:27" x14ac:dyDescent="0.3">
      <c r="A881" t="s">
        <v>1673</v>
      </c>
      <c r="B881" t="s">
        <v>1467</v>
      </c>
      <c r="C881" t="s">
        <v>974</v>
      </c>
      <c r="D881" t="s">
        <v>1373</v>
      </c>
      <c r="E881" t="s">
        <v>554</v>
      </c>
      <c r="F881">
        <v>46173</v>
      </c>
      <c r="G881" t="s">
        <v>496</v>
      </c>
      <c r="H881" t="s">
        <v>1159</v>
      </c>
      <c r="I881">
        <v>51352001</v>
      </c>
      <c r="J881" t="s">
        <v>1240</v>
      </c>
      <c r="K881" t="s">
        <v>1460</v>
      </c>
      <c r="L881">
        <v>191.4</v>
      </c>
      <c r="M881">
        <v>0</v>
      </c>
      <c r="N881">
        <v>0</v>
      </c>
      <c r="O881">
        <v>191.4</v>
      </c>
      <c r="P881" t="s">
        <v>1242</v>
      </c>
      <c r="Q881" t="s">
        <v>1069</v>
      </c>
      <c r="R881" t="s">
        <v>1199</v>
      </c>
      <c r="S881" t="s">
        <v>947</v>
      </c>
      <c r="T881" t="s">
        <v>1070</v>
      </c>
      <c r="U881" t="s">
        <v>1243</v>
      </c>
      <c r="V881" t="s">
        <v>1165</v>
      </c>
      <c r="W881">
        <v>1</v>
      </c>
      <c r="X881">
        <v>191.4</v>
      </c>
      <c r="Y881" t="s">
        <v>1166</v>
      </c>
      <c r="Z881" t="s">
        <v>1193</v>
      </c>
      <c r="AA881" t="s">
        <v>1244</v>
      </c>
    </row>
    <row r="882" spans="1:27" x14ac:dyDescent="0.3">
      <c r="A882" t="s">
        <v>1673</v>
      </c>
      <c r="B882" t="s">
        <v>1613</v>
      </c>
      <c r="C882" t="s">
        <v>974</v>
      </c>
      <c r="D882" t="s">
        <v>1373</v>
      </c>
      <c r="E882" t="s">
        <v>554</v>
      </c>
      <c r="F882">
        <v>46173</v>
      </c>
      <c r="G882" t="s">
        <v>496</v>
      </c>
      <c r="H882" t="s">
        <v>1159</v>
      </c>
      <c r="I882">
        <v>51352001</v>
      </c>
      <c r="J882" t="s">
        <v>1240</v>
      </c>
      <c r="K882" t="s">
        <v>1462</v>
      </c>
      <c r="L882">
        <v>32.1</v>
      </c>
      <c r="M882">
        <v>0</v>
      </c>
      <c r="N882">
        <v>0</v>
      </c>
      <c r="O882">
        <v>32.1</v>
      </c>
      <c r="P882" t="s">
        <v>1242</v>
      </c>
      <c r="Q882" t="s">
        <v>1069</v>
      </c>
      <c r="R882" t="s">
        <v>1199</v>
      </c>
      <c r="S882" t="s">
        <v>947</v>
      </c>
      <c r="T882" t="s">
        <v>1070</v>
      </c>
      <c r="U882" t="s">
        <v>1243</v>
      </c>
      <c r="V882" t="s">
        <v>1165</v>
      </c>
      <c r="W882">
        <v>1</v>
      </c>
      <c r="X882">
        <v>32.1</v>
      </c>
      <c r="Y882" t="s">
        <v>1166</v>
      </c>
      <c r="Z882" t="s">
        <v>1193</v>
      </c>
      <c r="AA882" t="s">
        <v>1244</v>
      </c>
    </row>
    <row r="883" spans="1:27" x14ac:dyDescent="0.3">
      <c r="A883" t="s">
        <v>1673</v>
      </c>
      <c r="B883" t="s">
        <v>1473</v>
      </c>
      <c r="C883" t="s">
        <v>974</v>
      </c>
      <c r="D883" t="s">
        <v>1373</v>
      </c>
      <c r="E883" t="s">
        <v>554</v>
      </c>
      <c r="F883">
        <v>46173</v>
      </c>
      <c r="G883" t="s">
        <v>496</v>
      </c>
      <c r="H883" t="s">
        <v>1159</v>
      </c>
      <c r="I883">
        <v>51352001</v>
      </c>
      <c r="J883" t="s">
        <v>1240</v>
      </c>
      <c r="K883" t="s">
        <v>1464</v>
      </c>
      <c r="L883">
        <v>80</v>
      </c>
      <c r="M883">
        <v>0</v>
      </c>
      <c r="N883">
        <v>0</v>
      </c>
      <c r="O883">
        <v>80</v>
      </c>
      <c r="P883" t="s">
        <v>1242</v>
      </c>
      <c r="Q883" t="s">
        <v>1069</v>
      </c>
      <c r="R883" t="s">
        <v>1199</v>
      </c>
      <c r="S883" t="s">
        <v>947</v>
      </c>
      <c r="T883" t="s">
        <v>1070</v>
      </c>
      <c r="U883" t="s">
        <v>1243</v>
      </c>
      <c r="V883" t="s">
        <v>1165</v>
      </c>
      <c r="W883">
        <v>1</v>
      </c>
      <c r="X883">
        <v>80</v>
      </c>
      <c r="Y883" t="s">
        <v>1166</v>
      </c>
      <c r="Z883" t="s">
        <v>1193</v>
      </c>
      <c r="AA883" t="s">
        <v>1244</v>
      </c>
    </row>
    <row r="884" spans="1:27" x14ac:dyDescent="0.3">
      <c r="A884" t="s">
        <v>1673</v>
      </c>
      <c r="B884" t="s">
        <v>1572</v>
      </c>
      <c r="C884" t="s">
        <v>974</v>
      </c>
      <c r="D884" t="s">
        <v>1373</v>
      </c>
      <c r="E884" t="s">
        <v>554</v>
      </c>
      <c r="F884">
        <v>46173</v>
      </c>
      <c r="G884" t="s">
        <v>496</v>
      </c>
      <c r="H884" t="s">
        <v>1159</v>
      </c>
      <c r="I884">
        <v>51352001</v>
      </c>
      <c r="J884" t="s">
        <v>1240</v>
      </c>
      <c r="K884" t="s">
        <v>1619</v>
      </c>
      <c r="L884">
        <v>0</v>
      </c>
      <c r="M884">
        <v>7500</v>
      </c>
      <c r="N884">
        <v>0</v>
      </c>
      <c r="O884">
        <v>7500</v>
      </c>
      <c r="P884" t="s">
        <v>1242</v>
      </c>
      <c r="Q884" t="s">
        <v>1069</v>
      </c>
      <c r="R884" t="s">
        <v>1199</v>
      </c>
      <c r="S884" t="s">
        <v>947</v>
      </c>
      <c r="T884" t="s">
        <v>1070</v>
      </c>
      <c r="U884" t="s">
        <v>1243</v>
      </c>
      <c r="V884" t="s">
        <v>1165</v>
      </c>
      <c r="W884">
        <v>1</v>
      </c>
      <c r="X884">
        <v>7500</v>
      </c>
      <c r="Y884" t="s">
        <v>1166</v>
      </c>
      <c r="Z884" t="s">
        <v>1193</v>
      </c>
      <c r="AA884" t="s">
        <v>1244</v>
      </c>
    </row>
    <row r="885" spans="1:27" x14ac:dyDescent="0.3">
      <c r="A885" t="s">
        <v>1673</v>
      </c>
      <c r="B885" t="s">
        <v>1614</v>
      </c>
      <c r="C885" t="s">
        <v>974</v>
      </c>
      <c r="D885" t="s">
        <v>1373</v>
      </c>
      <c r="E885" t="s">
        <v>554</v>
      </c>
      <c r="F885">
        <v>46173</v>
      </c>
      <c r="G885" t="s">
        <v>496</v>
      </c>
      <c r="H885" t="s">
        <v>1159</v>
      </c>
      <c r="I885">
        <v>51352001</v>
      </c>
      <c r="J885" t="s">
        <v>1240</v>
      </c>
      <c r="K885" t="s">
        <v>1466</v>
      </c>
      <c r="L885">
        <v>957.65</v>
      </c>
      <c r="M885">
        <v>69.55</v>
      </c>
      <c r="N885">
        <v>0</v>
      </c>
      <c r="O885">
        <v>1027.2</v>
      </c>
      <c r="P885" t="s">
        <v>1242</v>
      </c>
      <c r="Q885" t="s">
        <v>1069</v>
      </c>
      <c r="R885" t="s">
        <v>1199</v>
      </c>
      <c r="S885" t="s">
        <v>947</v>
      </c>
      <c r="T885" t="s">
        <v>1070</v>
      </c>
      <c r="U885" t="s">
        <v>1243</v>
      </c>
      <c r="V885" t="s">
        <v>1165</v>
      </c>
      <c r="W885">
        <v>1</v>
      </c>
      <c r="X885">
        <v>1027.2</v>
      </c>
      <c r="Y885" t="s">
        <v>1166</v>
      </c>
      <c r="Z885" t="s">
        <v>1193</v>
      </c>
      <c r="AA885" t="s">
        <v>1244</v>
      </c>
    </row>
    <row r="886" spans="1:27" x14ac:dyDescent="0.3">
      <c r="A886" t="s">
        <v>1673</v>
      </c>
      <c r="B886" t="s">
        <v>1477</v>
      </c>
      <c r="C886" t="s">
        <v>974</v>
      </c>
      <c r="D886" t="s">
        <v>1373</v>
      </c>
      <c r="E886" t="s">
        <v>554</v>
      </c>
      <c r="F886">
        <v>46173</v>
      </c>
      <c r="G886" t="s">
        <v>496</v>
      </c>
      <c r="H886" t="s">
        <v>1159</v>
      </c>
      <c r="I886">
        <v>51352001</v>
      </c>
      <c r="J886" t="s">
        <v>1240</v>
      </c>
      <c r="K886" t="s">
        <v>1563</v>
      </c>
      <c r="L886">
        <v>0</v>
      </c>
      <c r="M886">
        <v>191.53</v>
      </c>
      <c r="N886">
        <v>0</v>
      </c>
      <c r="O886">
        <v>191.53</v>
      </c>
      <c r="P886" t="s">
        <v>1242</v>
      </c>
      <c r="Q886" t="s">
        <v>1069</v>
      </c>
      <c r="R886" t="s">
        <v>1199</v>
      </c>
      <c r="S886" t="s">
        <v>947</v>
      </c>
      <c r="T886" t="s">
        <v>1070</v>
      </c>
      <c r="U886" t="s">
        <v>1243</v>
      </c>
      <c r="V886" t="s">
        <v>1165</v>
      </c>
      <c r="W886">
        <v>1</v>
      </c>
      <c r="X886">
        <v>191.53</v>
      </c>
      <c r="Y886" t="s">
        <v>1166</v>
      </c>
      <c r="Z886" t="s">
        <v>1193</v>
      </c>
      <c r="AA886" t="s">
        <v>1244</v>
      </c>
    </row>
    <row r="887" spans="1:27" x14ac:dyDescent="0.3">
      <c r="A887" t="s">
        <v>1673</v>
      </c>
      <c r="B887" t="s">
        <v>1582</v>
      </c>
      <c r="C887" t="s">
        <v>974</v>
      </c>
      <c r="D887" t="s">
        <v>1373</v>
      </c>
      <c r="E887" t="s">
        <v>554</v>
      </c>
      <c r="F887">
        <v>46173</v>
      </c>
      <c r="G887" t="s">
        <v>496</v>
      </c>
      <c r="H887" t="s">
        <v>1159</v>
      </c>
      <c r="I887">
        <v>51353503</v>
      </c>
      <c r="J887" t="s">
        <v>1620</v>
      </c>
      <c r="K887" t="s">
        <v>1462</v>
      </c>
      <c r="L887">
        <v>0</v>
      </c>
      <c r="M887">
        <v>153.6</v>
      </c>
      <c r="N887">
        <v>0</v>
      </c>
      <c r="O887">
        <v>153.6</v>
      </c>
      <c r="P887" t="s">
        <v>1621</v>
      </c>
      <c r="Q887" t="s">
        <v>1071</v>
      </c>
      <c r="R887" t="s">
        <v>1199</v>
      </c>
      <c r="S887" t="s">
        <v>947</v>
      </c>
      <c r="T887" t="s">
        <v>1072</v>
      </c>
      <c r="U887" t="s">
        <v>1622</v>
      </c>
      <c r="V887" t="s">
        <v>1165</v>
      </c>
      <c r="W887">
        <v>1</v>
      </c>
      <c r="X887">
        <v>153.6</v>
      </c>
      <c r="Y887" t="s">
        <v>1166</v>
      </c>
      <c r="Z887" t="s">
        <v>1167</v>
      </c>
      <c r="AA887" t="s">
        <v>1623</v>
      </c>
    </row>
    <row r="888" spans="1:27" x14ac:dyDescent="0.3">
      <c r="A888" t="s">
        <v>1673</v>
      </c>
      <c r="B888" t="s">
        <v>1490</v>
      </c>
      <c r="C888" t="s">
        <v>974</v>
      </c>
      <c r="D888" t="s">
        <v>1373</v>
      </c>
      <c r="E888" t="s">
        <v>554</v>
      </c>
      <c r="F888">
        <v>46173</v>
      </c>
      <c r="G888" t="s">
        <v>496</v>
      </c>
      <c r="H888" t="s">
        <v>1159</v>
      </c>
      <c r="I888">
        <v>51354001</v>
      </c>
      <c r="J888" t="s">
        <v>1468</v>
      </c>
      <c r="K888" t="s">
        <v>1469</v>
      </c>
      <c r="L888">
        <v>45.83</v>
      </c>
      <c r="M888">
        <v>11.49</v>
      </c>
      <c r="N888">
        <v>0</v>
      </c>
      <c r="O888">
        <v>57.32</v>
      </c>
      <c r="P888" t="s">
        <v>1470</v>
      </c>
      <c r="Q888" t="s">
        <v>1073</v>
      </c>
      <c r="R888" t="s">
        <v>1199</v>
      </c>
      <c r="S888" t="s">
        <v>947</v>
      </c>
      <c r="T888" t="s">
        <v>1074</v>
      </c>
      <c r="U888" t="s">
        <v>1471</v>
      </c>
      <c r="V888" t="s">
        <v>1165</v>
      </c>
      <c r="W888">
        <v>1</v>
      </c>
      <c r="X888">
        <v>57.32</v>
      </c>
      <c r="Y888" t="s">
        <v>1166</v>
      </c>
      <c r="Z888" t="s">
        <v>1167</v>
      </c>
      <c r="AA888" t="s">
        <v>1472</v>
      </c>
    </row>
    <row r="889" spans="1:27" x14ac:dyDescent="0.3">
      <c r="A889" t="s">
        <v>1673</v>
      </c>
      <c r="B889" t="s">
        <v>1493</v>
      </c>
      <c r="C889" t="s">
        <v>974</v>
      </c>
      <c r="D889" t="s">
        <v>1373</v>
      </c>
      <c r="E889" t="s">
        <v>554</v>
      </c>
      <c r="F889">
        <v>46173</v>
      </c>
      <c r="G889" t="s">
        <v>496</v>
      </c>
      <c r="H889" t="s">
        <v>1159</v>
      </c>
      <c r="I889">
        <v>51359501</v>
      </c>
      <c r="J889" t="s">
        <v>1232</v>
      </c>
      <c r="K889" t="s">
        <v>1474</v>
      </c>
      <c r="L889">
        <v>759.94</v>
      </c>
      <c r="M889">
        <v>14.05</v>
      </c>
      <c r="N889">
        <v>0</v>
      </c>
      <c r="O889">
        <v>773.99</v>
      </c>
      <c r="P889" t="s">
        <v>1475</v>
      </c>
      <c r="Q889" t="s">
        <v>1077</v>
      </c>
      <c r="R889" t="s">
        <v>1199</v>
      </c>
      <c r="S889" t="s">
        <v>947</v>
      </c>
      <c r="T889" t="s">
        <v>1078</v>
      </c>
      <c r="U889" t="s">
        <v>576</v>
      </c>
      <c r="V889" t="s">
        <v>1165</v>
      </c>
      <c r="W889">
        <v>1</v>
      </c>
      <c r="X889">
        <v>773.99</v>
      </c>
      <c r="Y889" t="s">
        <v>1192</v>
      </c>
      <c r="Z889" t="s">
        <v>1193</v>
      </c>
      <c r="AA889" t="s">
        <v>1476</v>
      </c>
    </row>
    <row r="890" spans="1:27" x14ac:dyDescent="0.3">
      <c r="A890" t="s">
        <v>1673</v>
      </c>
      <c r="B890" t="s">
        <v>1498</v>
      </c>
      <c r="C890" t="s">
        <v>974</v>
      </c>
      <c r="D890" t="s">
        <v>1373</v>
      </c>
      <c r="E890" t="s">
        <v>554</v>
      </c>
      <c r="F890">
        <v>46173</v>
      </c>
      <c r="G890" t="s">
        <v>496</v>
      </c>
      <c r="H890" t="s">
        <v>1159</v>
      </c>
      <c r="I890">
        <v>51952502</v>
      </c>
      <c r="J890" t="s">
        <v>1478</v>
      </c>
      <c r="K890" t="s">
        <v>1425</v>
      </c>
      <c r="L890">
        <v>35.1</v>
      </c>
      <c r="M890">
        <v>0</v>
      </c>
      <c r="N890">
        <v>0</v>
      </c>
      <c r="O890">
        <v>35.1</v>
      </c>
      <c r="P890" t="s">
        <v>1479</v>
      </c>
      <c r="Q890" t="s">
        <v>1079</v>
      </c>
      <c r="R890" t="s">
        <v>1199</v>
      </c>
      <c r="S890" t="s">
        <v>947</v>
      </c>
      <c r="T890" t="s">
        <v>1080</v>
      </c>
      <c r="U890" t="s">
        <v>1480</v>
      </c>
      <c r="V890" t="s">
        <v>1165</v>
      </c>
      <c r="W890">
        <v>1</v>
      </c>
      <c r="X890">
        <v>35.1</v>
      </c>
      <c r="Y890" t="s">
        <v>1166</v>
      </c>
      <c r="Z890" t="s">
        <v>1193</v>
      </c>
      <c r="AA890" t="s">
        <v>1481</v>
      </c>
    </row>
    <row r="891" spans="1:27" x14ac:dyDescent="0.3">
      <c r="A891" t="s">
        <v>1673</v>
      </c>
      <c r="B891" t="s">
        <v>1500</v>
      </c>
      <c r="C891" t="s">
        <v>974</v>
      </c>
      <c r="D891" t="s">
        <v>1373</v>
      </c>
      <c r="E891" t="s">
        <v>554</v>
      </c>
      <c r="F891">
        <v>46173</v>
      </c>
      <c r="G891" t="s">
        <v>496</v>
      </c>
      <c r="H891" t="s">
        <v>1159</v>
      </c>
      <c r="I891">
        <v>51952502</v>
      </c>
      <c r="J891" t="s">
        <v>1478</v>
      </c>
      <c r="K891" t="s">
        <v>1483</v>
      </c>
      <c r="L891">
        <v>82.58</v>
      </c>
      <c r="M891">
        <v>0</v>
      </c>
      <c r="N891">
        <v>0</v>
      </c>
      <c r="O891">
        <v>82.58</v>
      </c>
      <c r="P891" t="s">
        <v>1479</v>
      </c>
      <c r="Q891" t="s">
        <v>1079</v>
      </c>
      <c r="R891" t="s">
        <v>1199</v>
      </c>
      <c r="S891" t="s">
        <v>947</v>
      </c>
      <c r="T891" t="s">
        <v>1080</v>
      </c>
      <c r="U891" t="s">
        <v>1480</v>
      </c>
      <c r="V891" t="s">
        <v>1165</v>
      </c>
      <c r="W891">
        <v>1</v>
      </c>
      <c r="X891">
        <v>82.58</v>
      </c>
      <c r="Y891" t="s">
        <v>1166</v>
      </c>
      <c r="Z891" t="s">
        <v>1193</v>
      </c>
      <c r="AA891" t="s">
        <v>1481</v>
      </c>
    </row>
    <row r="892" spans="1:27" x14ac:dyDescent="0.3">
      <c r="A892" t="s">
        <v>1673</v>
      </c>
      <c r="B892" t="s">
        <v>1504</v>
      </c>
      <c r="C892" t="s">
        <v>974</v>
      </c>
      <c r="D892" t="s">
        <v>1373</v>
      </c>
      <c r="E892" t="s">
        <v>554</v>
      </c>
      <c r="F892">
        <v>46173</v>
      </c>
      <c r="G892" t="s">
        <v>496</v>
      </c>
      <c r="H892" t="s">
        <v>1159</v>
      </c>
      <c r="I892">
        <v>51956001</v>
      </c>
      <c r="J892" t="s">
        <v>1485</v>
      </c>
      <c r="K892" t="s">
        <v>1486</v>
      </c>
      <c r="L892">
        <v>254.29</v>
      </c>
      <c r="M892">
        <v>0</v>
      </c>
      <c r="N892">
        <v>0</v>
      </c>
      <c r="O892">
        <v>254.29</v>
      </c>
      <c r="P892" t="s">
        <v>1487</v>
      </c>
      <c r="Q892" t="s">
        <v>1081</v>
      </c>
      <c r="R892" t="s">
        <v>1199</v>
      </c>
      <c r="S892" t="s">
        <v>947</v>
      </c>
      <c r="T892" t="s">
        <v>1082</v>
      </c>
      <c r="U892" t="s">
        <v>1488</v>
      </c>
      <c r="V892" t="s">
        <v>1165</v>
      </c>
      <c r="W892">
        <v>1</v>
      </c>
      <c r="X892">
        <v>254.29</v>
      </c>
      <c r="Y892" t="s">
        <v>1166</v>
      </c>
      <c r="Z892" t="s">
        <v>1193</v>
      </c>
      <c r="AA892" t="s">
        <v>1489</v>
      </c>
    </row>
    <row r="893" spans="1:27" x14ac:dyDescent="0.3">
      <c r="A893" t="s">
        <v>1673</v>
      </c>
      <c r="B893" t="s">
        <v>1506</v>
      </c>
      <c r="C893" t="s">
        <v>974</v>
      </c>
      <c r="D893" t="s">
        <v>1373</v>
      </c>
      <c r="E893" t="s">
        <v>554</v>
      </c>
      <c r="F893">
        <v>46173</v>
      </c>
      <c r="G893" t="s">
        <v>496</v>
      </c>
      <c r="H893" t="s">
        <v>1159</v>
      </c>
      <c r="I893">
        <v>51956001</v>
      </c>
      <c r="J893" t="s">
        <v>1485</v>
      </c>
      <c r="K893" t="s">
        <v>1491</v>
      </c>
      <c r="L893">
        <v>63.15</v>
      </c>
      <c r="M893">
        <v>0</v>
      </c>
      <c r="N893">
        <v>0</v>
      </c>
      <c r="O893">
        <v>63.15</v>
      </c>
      <c r="P893" t="s">
        <v>1487</v>
      </c>
      <c r="Q893" t="s">
        <v>1081</v>
      </c>
      <c r="R893" t="s">
        <v>1199</v>
      </c>
      <c r="S893" t="s">
        <v>947</v>
      </c>
      <c r="T893" t="s">
        <v>1082</v>
      </c>
      <c r="U893" t="s">
        <v>1488</v>
      </c>
      <c r="V893" t="s">
        <v>1165</v>
      </c>
      <c r="W893">
        <v>1</v>
      </c>
      <c r="X893">
        <v>63.15</v>
      </c>
      <c r="Y893" t="s">
        <v>1166</v>
      </c>
      <c r="Z893" t="s">
        <v>1193</v>
      </c>
      <c r="AA893" t="s">
        <v>1489</v>
      </c>
    </row>
    <row r="894" spans="1:27" x14ac:dyDescent="0.3">
      <c r="A894" t="s">
        <v>1673</v>
      </c>
      <c r="B894" t="s">
        <v>1508</v>
      </c>
      <c r="C894" t="s">
        <v>974</v>
      </c>
      <c r="D894" t="s">
        <v>1373</v>
      </c>
      <c r="E894" t="s">
        <v>554</v>
      </c>
      <c r="F894">
        <v>46173</v>
      </c>
      <c r="G894" t="s">
        <v>496</v>
      </c>
      <c r="H894" t="s">
        <v>1159</v>
      </c>
      <c r="I894">
        <v>51956001</v>
      </c>
      <c r="J894" t="s">
        <v>1485</v>
      </c>
      <c r="K894" t="s">
        <v>1491</v>
      </c>
      <c r="L894">
        <v>55.93</v>
      </c>
      <c r="M894">
        <v>0</v>
      </c>
      <c r="N894">
        <v>0</v>
      </c>
      <c r="O894">
        <v>55.93</v>
      </c>
      <c r="P894" t="s">
        <v>1487</v>
      </c>
      <c r="Q894" t="s">
        <v>1081</v>
      </c>
      <c r="R894" t="s">
        <v>1199</v>
      </c>
      <c r="S894" t="s">
        <v>947</v>
      </c>
      <c r="T894" t="s">
        <v>1082</v>
      </c>
      <c r="U894" t="s">
        <v>1488</v>
      </c>
      <c r="V894" t="s">
        <v>1165</v>
      </c>
      <c r="W894">
        <v>1</v>
      </c>
      <c r="X894">
        <v>55.93</v>
      </c>
      <c r="Y894" t="s">
        <v>1166</v>
      </c>
      <c r="Z894" t="s">
        <v>1193</v>
      </c>
      <c r="AA894" t="s">
        <v>1489</v>
      </c>
    </row>
    <row r="895" spans="1:27" x14ac:dyDescent="0.3">
      <c r="A895" t="s">
        <v>1673</v>
      </c>
      <c r="B895" t="s">
        <v>1510</v>
      </c>
      <c r="C895" t="s">
        <v>974</v>
      </c>
      <c r="D895" t="s">
        <v>1373</v>
      </c>
      <c r="E895" t="s">
        <v>554</v>
      </c>
      <c r="F895">
        <v>46173</v>
      </c>
      <c r="G895" t="s">
        <v>496</v>
      </c>
      <c r="H895" t="s">
        <v>1159</v>
      </c>
      <c r="I895">
        <v>51956001</v>
      </c>
      <c r="J895" t="s">
        <v>1485</v>
      </c>
      <c r="K895" t="s">
        <v>1405</v>
      </c>
      <c r="L895">
        <v>145.96</v>
      </c>
      <c r="M895">
        <v>0</v>
      </c>
      <c r="N895">
        <v>0</v>
      </c>
      <c r="O895">
        <v>145.96</v>
      </c>
      <c r="P895" t="s">
        <v>1487</v>
      </c>
      <c r="Q895" t="s">
        <v>1081</v>
      </c>
      <c r="R895" t="s">
        <v>1199</v>
      </c>
      <c r="S895" t="s">
        <v>947</v>
      </c>
      <c r="T895" t="s">
        <v>1082</v>
      </c>
      <c r="U895" t="s">
        <v>1488</v>
      </c>
      <c r="V895" t="s">
        <v>1165</v>
      </c>
      <c r="W895">
        <v>1</v>
      </c>
      <c r="X895">
        <v>145.96</v>
      </c>
      <c r="Y895" t="s">
        <v>1166</v>
      </c>
      <c r="Z895" t="s">
        <v>1193</v>
      </c>
      <c r="AA895" t="s">
        <v>1489</v>
      </c>
    </row>
    <row r="896" spans="1:27" x14ac:dyDescent="0.3">
      <c r="A896" t="s">
        <v>1673</v>
      </c>
      <c r="B896" t="s">
        <v>1512</v>
      </c>
      <c r="C896" t="s">
        <v>974</v>
      </c>
      <c r="D896" t="s">
        <v>1373</v>
      </c>
      <c r="E896" t="s">
        <v>554</v>
      </c>
      <c r="F896">
        <v>46173</v>
      </c>
      <c r="G896" t="s">
        <v>496</v>
      </c>
      <c r="H896" t="s">
        <v>1159</v>
      </c>
      <c r="I896">
        <v>51956001</v>
      </c>
      <c r="J896" t="s">
        <v>1485</v>
      </c>
      <c r="K896" t="s">
        <v>1495</v>
      </c>
      <c r="L896">
        <v>92.97</v>
      </c>
      <c r="M896">
        <v>0</v>
      </c>
      <c r="N896">
        <v>0</v>
      </c>
      <c r="O896">
        <v>92.97</v>
      </c>
      <c r="P896" t="s">
        <v>1487</v>
      </c>
      <c r="Q896" t="s">
        <v>1081</v>
      </c>
      <c r="R896" t="s">
        <v>1199</v>
      </c>
      <c r="S896" t="s">
        <v>947</v>
      </c>
      <c r="T896" t="s">
        <v>1082</v>
      </c>
      <c r="U896" t="s">
        <v>1488</v>
      </c>
      <c r="V896" t="s">
        <v>1165</v>
      </c>
      <c r="W896">
        <v>1</v>
      </c>
      <c r="X896">
        <v>92.97</v>
      </c>
      <c r="Y896" t="s">
        <v>1166</v>
      </c>
      <c r="Z896" t="s">
        <v>1193</v>
      </c>
      <c r="AA896" t="s">
        <v>1489</v>
      </c>
    </row>
    <row r="897" spans="1:27" x14ac:dyDescent="0.3">
      <c r="A897" t="s">
        <v>1673</v>
      </c>
      <c r="B897" t="s">
        <v>1514</v>
      </c>
      <c r="C897" t="s">
        <v>974</v>
      </c>
      <c r="D897" t="s">
        <v>1373</v>
      </c>
      <c r="E897" t="s">
        <v>554</v>
      </c>
      <c r="F897">
        <v>46173</v>
      </c>
      <c r="G897" t="s">
        <v>496</v>
      </c>
      <c r="H897" t="s">
        <v>1159</v>
      </c>
      <c r="I897">
        <v>51956001</v>
      </c>
      <c r="J897" t="s">
        <v>1485</v>
      </c>
      <c r="K897" t="s">
        <v>1497</v>
      </c>
      <c r="L897">
        <v>122.49</v>
      </c>
      <c r="M897">
        <v>0</v>
      </c>
      <c r="N897">
        <v>0</v>
      </c>
      <c r="O897">
        <v>122.49</v>
      </c>
      <c r="P897" t="s">
        <v>1487</v>
      </c>
      <c r="Q897" t="s">
        <v>1081</v>
      </c>
      <c r="R897" t="s">
        <v>1199</v>
      </c>
      <c r="S897" t="s">
        <v>947</v>
      </c>
      <c r="T897" t="s">
        <v>1082</v>
      </c>
      <c r="U897" t="s">
        <v>1488</v>
      </c>
      <c r="V897" t="s">
        <v>1165</v>
      </c>
      <c r="W897">
        <v>1</v>
      </c>
      <c r="X897">
        <v>122.49</v>
      </c>
      <c r="Y897" t="s">
        <v>1166</v>
      </c>
      <c r="Z897" t="s">
        <v>1193</v>
      </c>
      <c r="AA897" t="s">
        <v>1489</v>
      </c>
    </row>
    <row r="898" spans="1:27" x14ac:dyDescent="0.3">
      <c r="A898" t="s">
        <v>1673</v>
      </c>
      <c r="B898" t="s">
        <v>1516</v>
      </c>
      <c r="C898" t="s">
        <v>974</v>
      </c>
      <c r="D898" t="s">
        <v>1373</v>
      </c>
      <c r="E898" t="s">
        <v>554</v>
      </c>
      <c r="F898">
        <v>46173</v>
      </c>
      <c r="G898" t="s">
        <v>496</v>
      </c>
      <c r="H898" t="s">
        <v>1159</v>
      </c>
      <c r="I898">
        <v>51956001</v>
      </c>
      <c r="J898" t="s">
        <v>1485</v>
      </c>
      <c r="K898" t="s">
        <v>1499</v>
      </c>
      <c r="L898">
        <v>184.6</v>
      </c>
      <c r="M898">
        <v>0</v>
      </c>
      <c r="N898">
        <v>0</v>
      </c>
      <c r="O898">
        <v>184.6</v>
      </c>
      <c r="P898" t="s">
        <v>1487</v>
      </c>
      <c r="Q898" t="s">
        <v>1081</v>
      </c>
      <c r="R898" t="s">
        <v>1199</v>
      </c>
      <c r="S898" t="s">
        <v>947</v>
      </c>
      <c r="T898" t="s">
        <v>1082</v>
      </c>
      <c r="U898" t="s">
        <v>1488</v>
      </c>
      <c r="V898" t="s">
        <v>1165</v>
      </c>
      <c r="W898">
        <v>1</v>
      </c>
      <c r="X898">
        <v>184.6</v>
      </c>
      <c r="Y898" t="s">
        <v>1166</v>
      </c>
      <c r="Z898" t="s">
        <v>1193</v>
      </c>
      <c r="AA898" t="s">
        <v>1489</v>
      </c>
    </row>
    <row r="899" spans="1:27" x14ac:dyDescent="0.3">
      <c r="A899" t="s">
        <v>1673</v>
      </c>
      <c r="B899" t="s">
        <v>1518</v>
      </c>
      <c r="C899" t="s">
        <v>974</v>
      </c>
      <c r="D899" t="s">
        <v>1373</v>
      </c>
      <c r="E899" t="s">
        <v>554</v>
      </c>
      <c r="F899">
        <v>46173</v>
      </c>
      <c r="G899" t="s">
        <v>496</v>
      </c>
      <c r="H899" t="s">
        <v>1159</v>
      </c>
      <c r="I899">
        <v>51956001</v>
      </c>
      <c r="J899" t="s">
        <v>1485</v>
      </c>
      <c r="K899" t="s">
        <v>1501</v>
      </c>
      <c r="L899">
        <v>80.39</v>
      </c>
      <c r="M899">
        <v>0</v>
      </c>
      <c r="N899">
        <v>0</v>
      </c>
      <c r="O899">
        <v>80.39</v>
      </c>
      <c r="P899" t="s">
        <v>1487</v>
      </c>
      <c r="Q899" t="s">
        <v>1081</v>
      </c>
      <c r="R899" t="s">
        <v>1199</v>
      </c>
      <c r="S899" t="s">
        <v>947</v>
      </c>
      <c r="T899" t="s">
        <v>1082</v>
      </c>
      <c r="U899" t="s">
        <v>1488</v>
      </c>
      <c r="V899" t="s">
        <v>1165</v>
      </c>
      <c r="W899">
        <v>1</v>
      </c>
      <c r="X899">
        <v>80.39</v>
      </c>
      <c r="Y899" t="s">
        <v>1166</v>
      </c>
      <c r="Z899" t="s">
        <v>1193</v>
      </c>
      <c r="AA899" t="s">
        <v>1489</v>
      </c>
    </row>
    <row r="900" spans="1:27" x14ac:dyDescent="0.3">
      <c r="A900" t="s">
        <v>1673</v>
      </c>
      <c r="B900" t="s">
        <v>1624</v>
      </c>
      <c r="C900" t="s">
        <v>974</v>
      </c>
      <c r="D900" t="s">
        <v>1373</v>
      </c>
      <c r="E900" t="s">
        <v>554</v>
      </c>
      <c r="F900">
        <v>46173</v>
      </c>
      <c r="G900" t="s">
        <v>496</v>
      </c>
      <c r="H900" t="s">
        <v>1159</v>
      </c>
      <c r="I900">
        <v>51956001</v>
      </c>
      <c r="J900" t="s">
        <v>1485</v>
      </c>
      <c r="K900" t="s">
        <v>1503</v>
      </c>
      <c r="L900">
        <v>34.92</v>
      </c>
      <c r="M900">
        <v>179.4</v>
      </c>
      <c r="N900">
        <v>0</v>
      </c>
      <c r="O900">
        <v>214.32</v>
      </c>
      <c r="P900" t="s">
        <v>1487</v>
      </c>
      <c r="Q900" t="s">
        <v>1081</v>
      </c>
      <c r="R900" t="s">
        <v>1199</v>
      </c>
      <c r="S900" t="s">
        <v>947</v>
      </c>
      <c r="T900" t="s">
        <v>1082</v>
      </c>
      <c r="U900" t="s">
        <v>1488</v>
      </c>
      <c r="V900" t="s">
        <v>1165</v>
      </c>
      <c r="W900">
        <v>1</v>
      </c>
      <c r="X900">
        <v>214.32</v>
      </c>
      <c r="Y900" t="s">
        <v>1166</v>
      </c>
      <c r="Z900" t="s">
        <v>1193</v>
      </c>
      <c r="AA900" t="s">
        <v>1489</v>
      </c>
    </row>
    <row r="901" spans="1:27" x14ac:dyDescent="0.3">
      <c r="A901" t="s">
        <v>1673</v>
      </c>
      <c r="B901" t="s">
        <v>1520</v>
      </c>
      <c r="C901" t="s">
        <v>974</v>
      </c>
      <c r="D901" t="s">
        <v>1373</v>
      </c>
      <c r="E901" t="s">
        <v>554</v>
      </c>
      <c r="F901">
        <v>46173</v>
      </c>
      <c r="G901" t="s">
        <v>496</v>
      </c>
      <c r="H901" t="s">
        <v>1159</v>
      </c>
      <c r="I901">
        <v>51956001</v>
      </c>
      <c r="J901" t="s">
        <v>1485</v>
      </c>
      <c r="K901" t="s">
        <v>1505</v>
      </c>
      <c r="L901">
        <v>177.68</v>
      </c>
      <c r="M901">
        <v>0</v>
      </c>
      <c r="N901">
        <v>0</v>
      </c>
      <c r="O901">
        <v>177.68</v>
      </c>
      <c r="P901" t="s">
        <v>1487</v>
      </c>
      <c r="Q901" t="s">
        <v>1081</v>
      </c>
      <c r="R901" t="s">
        <v>1199</v>
      </c>
      <c r="S901" t="s">
        <v>947</v>
      </c>
      <c r="T901" t="s">
        <v>1082</v>
      </c>
      <c r="U901" t="s">
        <v>1488</v>
      </c>
      <c r="V901" t="s">
        <v>1165</v>
      </c>
      <c r="W901">
        <v>1</v>
      </c>
      <c r="X901">
        <v>177.68</v>
      </c>
      <c r="Y901" t="s">
        <v>1166</v>
      </c>
      <c r="Z901" t="s">
        <v>1193</v>
      </c>
      <c r="AA901" t="s">
        <v>1489</v>
      </c>
    </row>
    <row r="902" spans="1:27" x14ac:dyDescent="0.3">
      <c r="A902" t="s">
        <v>1673</v>
      </c>
      <c r="B902" t="s">
        <v>1525</v>
      </c>
      <c r="C902" t="s">
        <v>974</v>
      </c>
      <c r="D902" t="s">
        <v>1373</v>
      </c>
      <c r="E902" t="s">
        <v>554</v>
      </c>
      <c r="F902">
        <v>46173</v>
      </c>
      <c r="G902" t="s">
        <v>496</v>
      </c>
      <c r="H902" t="s">
        <v>1159</v>
      </c>
      <c r="I902">
        <v>51956001</v>
      </c>
      <c r="J902" t="s">
        <v>1485</v>
      </c>
      <c r="K902" t="s">
        <v>1507</v>
      </c>
      <c r="L902">
        <v>248</v>
      </c>
      <c r="M902">
        <v>0</v>
      </c>
      <c r="N902">
        <v>0</v>
      </c>
      <c r="O902">
        <v>248</v>
      </c>
      <c r="P902" t="s">
        <v>1487</v>
      </c>
      <c r="Q902" t="s">
        <v>1081</v>
      </c>
      <c r="R902" t="s">
        <v>1199</v>
      </c>
      <c r="S902" t="s">
        <v>947</v>
      </c>
      <c r="T902" t="s">
        <v>1082</v>
      </c>
      <c r="U902" t="s">
        <v>1488</v>
      </c>
      <c r="V902" t="s">
        <v>1165</v>
      </c>
      <c r="W902">
        <v>1</v>
      </c>
      <c r="X902">
        <v>248</v>
      </c>
      <c r="Y902" t="s">
        <v>1166</v>
      </c>
      <c r="Z902" t="s">
        <v>1193</v>
      </c>
      <c r="AA902" t="s">
        <v>1489</v>
      </c>
    </row>
    <row r="903" spans="1:27" x14ac:dyDescent="0.3">
      <c r="A903" t="s">
        <v>1673</v>
      </c>
      <c r="B903" t="s">
        <v>1625</v>
      </c>
      <c r="C903" t="s">
        <v>974</v>
      </c>
      <c r="D903" t="s">
        <v>1373</v>
      </c>
      <c r="E903" t="s">
        <v>554</v>
      </c>
      <c r="F903">
        <v>46173</v>
      </c>
      <c r="G903" t="s">
        <v>496</v>
      </c>
      <c r="H903" t="s">
        <v>1159</v>
      </c>
      <c r="I903">
        <v>51956001</v>
      </c>
      <c r="J903" t="s">
        <v>1485</v>
      </c>
      <c r="K903" t="s">
        <v>1509</v>
      </c>
      <c r="L903">
        <v>30.09</v>
      </c>
      <c r="M903">
        <v>0</v>
      </c>
      <c r="N903">
        <v>0</v>
      </c>
      <c r="O903">
        <v>30.09</v>
      </c>
      <c r="P903" t="s">
        <v>1487</v>
      </c>
      <c r="Q903" t="s">
        <v>1081</v>
      </c>
      <c r="R903" t="s">
        <v>1199</v>
      </c>
      <c r="S903" t="s">
        <v>947</v>
      </c>
      <c r="T903" t="s">
        <v>1082</v>
      </c>
      <c r="U903" t="s">
        <v>1488</v>
      </c>
      <c r="V903" t="s">
        <v>1165</v>
      </c>
      <c r="W903">
        <v>1</v>
      </c>
      <c r="X903">
        <v>30.09</v>
      </c>
      <c r="Y903" t="s">
        <v>1166</v>
      </c>
      <c r="Z903" t="s">
        <v>1193</v>
      </c>
      <c r="AA903" t="s">
        <v>1489</v>
      </c>
    </row>
    <row r="904" spans="1:27" x14ac:dyDescent="0.3">
      <c r="A904" t="s">
        <v>1673</v>
      </c>
      <c r="B904" t="s">
        <v>1626</v>
      </c>
      <c r="C904" t="s">
        <v>974</v>
      </c>
      <c r="D904" t="s">
        <v>1373</v>
      </c>
      <c r="E904" t="s">
        <v>554</v>
      </c>
      <c r="F904">
        <v>46173</v>
      </c>
      <c r="G904" t="s">
        <v>496</v>
      </c>
      <c r="H904" t="s">
        <v>1159</v>
      </c>
      <c r="I904">
        <v>51956001</v>
      </c>
      <c r="J904" t="s">
        <v>1485</v>
      </c>
      <c r="K904" t="s">
        <v>1511</v>
      </c>
      <c r="L904">
        <v>182.88</v>
      </c>
      <c r="M904">
        <v>0</v>
      </c>
      <c r="N904">
        <v>0</v>
      </c>
      <c r="O904">
        <v>182.88</v>
      </c>
      <c r="P904" t="s">
        <v>1487</v>
      </c>
      <c r="Q904" t="s">
        <v>1081</v>
      </c>
      <c r="R904" t="s">
        <v>1199</v>
      </c>
      <c r="S904" t="s">
        <v>947</v>
      </c>
      <c r="T904" t="s">
        <v>1082</v>
      </c>
      <c r="U904" t="s">
        <v>1488</v>
      </c>
      <c r="V904" t="s">
        <v>1165</v>
      </c>
      <c r="W904">
        <v>1</v>
      </c>
      <c r="X904">
        <v>182.88</v>
      </c>
      <c r="Y904" t="s">
        <v>1166</v>
      </c>
      <c r="Z904" t="s">
        <v>1193</v>
      </c>
      <c r="AA904" t="s">
        <v>1489</v>
      </c>
    </row>
    <row r="905" spans="1:27" x14ac:dyDescent="0.3">
      <c r="A905" t="s">
        <v>1673</v>
      </c>
      <c r="B905" t="s">
        <v>1627</v>
      </c>
      <c r="C905" t="s">
        <v>974</v>
      </c>
      <c r="D905" t="s">
        <v>1373</v>
      </c>
      <c r="E905" t="s">
        <v>554</v>
      </c>
      <c r="F905">
        <v>46173</v>
      </c>
      <c r="G905" t="s">
        <v>496</v>
      </c>
      <c r="H905" t="s">
        <v>1159</v>
      </c>
      <c r="I905">
        <v>51956001</v>
      </c>
      <c r="J905" t="s">
        <v>1485</v>
      </c>
      <c r="K905" t="s">
        <v>1513</v>
      </c>
      <c r="L905">
        <v>7.03</v>
      </c>
      <c r="M905">
        <v>0</v>
      </c>
      <c r="N905">
        <v>0</v>
      </c>
      <c r="O905">
        <v>7.03</v>
      </c>
      <c r="P905" t="s">
        <v>1487</v>
      </c>
      <c r="Q905" t="s">
        <v>1081</v>
      </c>
      <c r="R905" t="s">
        <v>1199</v>
      </c>
      <c r="S905" t="s">
        <v>947</v>
      </c>
      <c r="T905" t="s">
        <v>1082</v>
      </c>
      <c r="U905" t="s">
        <v>1488</v>
      </c>
      <c r="V905" t="s">
        <v>1165</v>
      </c>
      <c r="W905">
        <v>1</v>
      </c>
      <c r="X905">
        <v>7.03</v>
      </c>
      <c r="Y905" t="s">
        <v>1166</v>
      </c>
      <c r="Z905" t="s">
        <v>1193</v>
      </c>
      <c r="AA905" t="s">
        <v>1489</v>
      </c>
    </row>
    <row r="906" spans="1:27" x14ac:dyDescent="0.3">
      <c r="A906" t="s">
        <v>1673</v>
      </c>
      <c r="B906" t="s">
        <v>1527</v>
      </c>
      <c r="C906" t="s">
        <v>974</v>
      </c>
      <c r="D906" t="s">
        <v>1373</v>
      </c>
      <c r="E906" t="s">
        <v>554</v>
      </c>
      <c r="F906">
        <v>46173</v>
      </c>
      <c r="G906" t="s">
        <v>496</v>
      </c>
      <c r="H906" t="s">
        <v>1159</v>
      </c>
      <c r="I906">
        <v>51956001</v>
      </c>
      <c r="J906" t="s">
        <v>1485</v>
      </c>
      <c r="K906" t="s">
        <v>1515</v>
      </c>
      <c r="L906">
        <v>127.26</v>
      </c>
      <c r="M906">
        <v>0</v>
      </c>
      <c r="N906">
        <v>0</v>
      </c>
      <c r="O906">
        <v>127.26</v>
      </c>
      <c r="P906" t="s">
        <v>1487</v>
      </c>
      <c r="Q906" t="s">
        <v>1081</v>
      </c>
      <c r="R906" t="s">
        <v>1199</v>
      </c>
      <c r="S906" t="s">
        <v>947</v>
      </c>
      <c r="T906" t="s">
        <v>1082</v>
      </c>
      <c r="U906" t="s">
        <v>1488</v>
      </c>
      <c r="V906" t="s">
        <v>1165</v>
      </c>
      <c r="W906">
        <v>1</v>
      </c>
      <c r="X906">
        <v>127.26</v>
      </c>
      <c r="Y906" t="s">
        <v>1166</v>
      </c>
      <c r="Z906" t="s">
        <v>1193</v>
      </c>
      <c r="AA906" t="s">
        <v>1489</v>
      </c>
    </row>
    <row r="907" spans="1:27" x14ac:dyDescent="0.3">
      <c r="A907" t="s">
        <v>1673</v>
      </c>
      <c r="B907" t="s">
        <v>1533</v>
      </c>
      <c r="C907" t="s">
        <v>974</v>
      </c>
      <c r="D907" t="s">
        <v>1373</v>
      </c>
      <c r="E907" t="s">
        <v>554</v>
      </c>
      <c r="F907">
        <v>46173</v>
      </c>
      <c r="G907" t="s">
        <v>496</v>
      </c>
      <c r="H907" t="s">
        <v>1159</v>
      </c>
      <c r="I907">
        <v>51956001</v>
      </c>
      <c r="J907" t="s">
        <v>1485</v>
      </c>
      <c r="K907" t="s">
        <v>1517</v>
      </c>
      <c r="L907">
        <v>27.93</v>
      </c>
      <c r="M907">
        <v>0</v>
      </c>
      <c r="N907">
        <v>0</v>
      </c>
      <c r="O907">
        <v>27.93</v>
      </c>
      <c r="P907" t="s">
        <v>1487</v>
      </c>
      <c r="Q907" t="s">
        <v>1081</v>
      </c>
      <c r="R907" t="s">
        <v>1199</v>
      </c>
      <c r="S907" t="s">
        <v>947</v>
      </c>
      <c r="T907" t="s">
        <v>1082</v>
      </c>
      <c r="U907" t="s">
        <v>1488</v>
      </c>
      <c r="V907" t="s">
        <v>1165</v>
      </c>
      <c r="W907">
        <v>1</v>
      </c>
      <c r="X907">
        <v>27.93</v>
      </c>
      <c r="Y907" t="s">
        <v>1166</v>
      </c>
      <c r="Z907" t="s">
        <v>1193</v>
      </c>
      <c r="AA907" t="s">
        <v>1489</v>
      </c>
    </row>
    <row r="908" spans="1:27" x14ac:dyDescent="0.3">
      <c r="A908" t="s">
        <v>1673</v>
      </c>
      <c r="B908" t="s">
        <v>1628</v>
      </c>
      <c r="C908" t="s">
        <v>974</v>
      </c>
      <c r="D908" t="s">
        <v>1373</v>
      </c>
      <c r="E908" t="s">
        <v>554</v>
      </c>
      <c r="F908">
        <v>46173</v>
      </c>
      <c r="G908" t="s">
        <v>496</v>
      </c>
      <c r="H908" t="s">
        <v>1159</v>
      </c>
      <c r="I908">
        <v>51956001</v>
      </c>
      <c r="J908" t="s">
        <v>1485</v>
      </c>
      <c r="K908" t="s">
        <v>1519</v>
      </c>
      <c r="L908">
        <v>72.540000000000006</v>
      </c>
      <c r="M908">
        <v>0</v>
      </c>
      <c r="N908">
        <v>0</v>
      </c>
      <c r="O908">
        <v>72.540000000000006</v>
      </c>
      <c r="P908" t="s">
        <v>1487</v>
      </c>
      <c r="Q908" t="s">
        <v>1081</v>
      </c>
      <c r="R908" t="s">
        <v>1199</v>
      </c>
      <c r="S908" t="s">
        <v>947</v>
      </c>
      <c r="T908" t="s">
        <v>1082</v>
      </c>
      <c r="U908" t="s">
        <v>1488</v>
      </c>
      <c r="V908" t="s">
        <v>1165</v>
      </c>
      <c r="W908">
        <v>1</v>
      </c>
      <c r="X908">
        <v>72.540000000000006</v>
      </c>
      <c r="Y908" t="s">
        <v>1166</v>
      </c>
      <c r="Z908" t="s">
        <v>1193</v>
      </c>
      <c r="AA908" t="s">
        <v>1489</v>
      </c>
    </row>
    <row r="909" spans="1:27" x14ac:dyDescent="0.3">
      <c r="A909" t="s">
        <v>1673</v>
      </c>
      <c r="B909" t="s">
        <v>1629</v>
      </c>
      <c r="C909" t="s">
        <v>974</v>
      </c>
      <c r="D909" t="s">
        <v>1373</v>
      </c>
      <c r="E909" t="s">
        <v>554</v>
      </c>
      <c r="F909">
        <v>46173</v>
      </c>
      <c r="G909" t="s">
        <v>496</v>
      </c>
      <c r="H909" t="s">
        <v>1159</v>
      </c>
      <c r="I909">
        <v>51956001</v>
      </c>
      <c r="J909" t="s">
        <v>1485</v>
      </c>
      <c r="K909" t="s">
        <v>1636</v>
      </c>
      <c r="L909">
        <v>0</v>
      </c>
      <c r="M909">
        <v>236.25</v>
      </c>
      <c r="N909">
        <v>0</v>
      </c>
      <c r="O909">
        <v>236.25</v>
      </c>
      <c r="P909" t="s">
        <v>1487</v>
      </c>
      <c r="Q909" t="s">
        <v>1081</v>
      </c>
      <c r="R909" t="s">
        <v>1199</v>
      </c>
      <c r="S909" t="s">
        <v>947</v>
      </c>
      <c r="T909" t="s">
        <v>1082</v>
      </c>
      <c r="U909" t="s">
        <v>1488</v>
      </c>
      <c r="V909" t="s">
        <v>1165</v>
      </c>
      <c r="W909">
        <v>1</v>
      </c>
      <c r="X909">
        <v>236.25</v>
      </c>
      <c r="Y909" t="s">
        <v>1166</v>
      </c>
      <c r="Z909" t="s">
        <v>1193</v>
      </c>
      <c r="AA909" t="s">
        <v>1489</v>
      </c>
    </row>
    <row r="910" spans="1:27" x14ac:dyDescent="0.3">
      <c r="A910" t="s">
        <v>1673</v>
      </c>
      <c r="B910" t="s">
        <v>1534</v>
      </c>
      <c r="C910" t="s">
        <v>974</v>
      </c>
      <c r="D910" t="s">
        <v>1373</v>
      </c>
      <c r="E910" t="s">
        <v>554</v>
      </c>
      <c r="F910">
        <v>46173</v>
      </c>
      <c r="G910" t="s">
        <v>496</v>
      </c>
      <c r="H910" t="s">
        <v>1159</v>
      </c>
      <c r="I910">
        <v>51956001</v>
      </c>
      <c r="J910" t="s">
        <v>1485</v>
      </c>
      <c r="K910" t="s">
        <v>1637</v>
      </c>
      <c r="L910">
        <v>0</v>
      </c>
      <c r="M910">
        <v>259.2</v>
      </c>
      <c r="N910">
        <v>0</v>
      </c>
      <c r="O910">
        <v>259.2</v>
      </c>
      <c r="P910" t="s">
        <v>1487</v>
      </c>
      <c r="Q910" t="s">
        <v>1081</v>
      </c>
      <c r="R910" t="s">
        <v>1199</v>
      </c>
      <c r="S910" t="s">
        <v>947</v>
      </c>
      <c r="T910" t="s">
        <v>1082</v>
      </c>
      <c r="U910" t="s">
        <v>1488</v>
      </c>
      <c r="V910" t="s">
        <v>1165</v>
      </c>
      <c r="W910">
        <v>1</v>
      </c>
      <c r="X910">
        <v>259.2</v>
      </c>
      <c r="Y910" t="s">
        <v>1166</v>
      </c>
      <c r="Z910" t="s">
        <v>1193</v>
      </c>
      <c r="AA910" t="s">
        <v>1489</v>
      </c>
    </row>
    <row r="911" spans="1:27" x14ac:dyDescent="0.3">
      <c r="A911" t="s">
        <v>1673</v>
      </c>
      <c r="B911" t="s">
        <v>1536</v>
      </c>
      <c r="C911" t="s">
        <v>974</v>
      </c>
      <c r="D911" t="s">
        <v>1373</v>
      </c>
      <c r="E911" t="s">
        <v>554</v>
      </c>
      <c r="F911">
        <v>46173</v>
      </c>
      <c r="G911" t="s">
        <v>496</v>
      </c>
      <c r="H911" t="s">
        <v>1159</v>
      </c>
      <c r="I911">
        <v>51956501</v>
      </c>
      <c r="J911" t="s">
        <v>1521</v>
      </c>
      <c r="K911" t="s">
        <v>1522</v>
      </c>
      <c r="L911">
        <v>10</v>
      </c>
      <c r="M911">
        <v>0</v>
      </c>
      <c r="N911">
        <v>0</v>
      </c>
      <c r="O911">
        <v>10</v>
      </c>
      <c r="P911" t="s">
        <v>1523</v>
      </c>
      <c r="Q911" t="s">
        <v>1083</v>
      </c>
      <c r="R911" t="s">
        <v>1199</v>
      </c>
      <c r="S911" t="s">
        <v>947</v>
      </c>
      <c r="T911" t="s">
        <v>1084</v>
      </c>
      <c r="U911" t="s">
        <v>1524</v>
      </c>
      <c r="V911" t="s">
        <v>1165</v>
      </c>
      <c r="W911">
        <v>1</v>
      </c>
      <c r="X911">
        <v>10</v>
      </c>
      <c r="Y911" t="s">
        <v>1166</v>
      </c>
      <c r="Z911" t="s">
        <v>1167</v>
      </c>
      <c r="AA911" t="s">
        <v>1524</v>
      </c>
    </row>
    <row r="912" spans="1:27" x14ac:dyDescent="0.3">
      <c r="A912" t="s">
        <v>1673</v>
      </c>
      <c r="B912" t="s">
        <v>1631</v>
      </c>
      <c r="C912" t="s">
        <v>974</v>
      </c>
      <c r="D912" t="s">
        <v>1373</v>
      </c>
      <c r="E912" t="s">
        <v>554</v>
      </c>
      <c r="F912">
        <v>46173</v>
      </c>
      <c r="G912" t="s">
        <v>496</v>
      </c>
      <c r="H912" t="s">
        <v>1159</v>
      </c>
      <c r="I912">
        <v>51956501</v>
      </c>
      <c r="J912" t="s">
        <v>1521</v>
      </c>
      <c r="K912" t="s">
        <v>1526</v>
      </c>
      <c r="L912">
        <v>12.75</v>
      </c>
      <c r="M912">
        <v>0</v>
      </c>
      <c r="N912">
        <v>0</v>
      </c>
      <c r="O912">
        <v>12.75</v>
      </c>
      <c r="P912" t="s">
        <v>1523</v>
      </c>
      <c r="Q912" t="s">
        <v>1083</v>
      </c>
      <c r="R912" t="s">
        <v>1199</v>
      </c>
      <c r="S912" t="s">
        <v>947</v>
      </c>
      <c r="T912" t="s">
        <v>1084</v>
      </c>
      <c r="U912" t="s">
        <v>1524</v>
      </c>
      <c r="V912" t="s">
        <v>1165</v>
      </c>
      <c r="W912">
        <v>1</v>
      </c>
      <c r="X912">
        <v>12.75</v>
      </c>
      <c r="Y912" t="s">
        <v>1166</v>
      </c>
      <c r="Z912" t="s">
        <v>1167</v>
      </c>
      <c r="AA912" t="s">
        <v>1524</v>
      </c>
    </row>
    <row r="913" spans="1:27" x14ac:dyDescent="0.3">
      <c r="A913" t="s">
        <v>1673</v>
      </c>
      <c r="B913" t="s">
        <v>1542</v>
      </c>
      <c r="C913" t="s">
        <v>974</v>
      </c>
      <c r="D913" t="s">
        <v>1373</v>
      </c>
      <c r="E913" t="s">
        <v>554</v>
      </c>
      <c r="F913">
        <v>46173</v>
      </c>
      <c r="G913" t="s">
        <v>496</v>
      </c>
      <c r="H913" t="s">
        <v>1159</v>
      </c>
      <c r="I913">
        <v>52100502</v>
      </c>
      <c r="J913" t="s">
        <v>1528</v>
      </c>
      <c r="K913" t="s">
        <v>1529</v>
      </c>
      <c r="L913">
        <v>0</v>
      </c>
      <c r="M913">
        <v>2333.33</v>
      </c>
      <c r="N913">
        <v>0</v>
      </c>
      <c r="O913">
        <v>2333.33</v>
      </c>
      <c r="P913" t="s">
        <v>1530</v>
      </c>
      <c r="Q913" t="s">
        <v>1062</v>
      </c>
      <c r="R913" t="s">
        <v>1199</v>
      </c>
      <c r="S913" t="s">
        <v>947</v>
      </c>
      <c r="T913" t="s">
        <v>1063</v>
      </c>
      <c r="U913" t="s">
        <v>1531</v>
      </c>
      <c r="V913" t="s">
        <v>1165</v>
      </c>
      <c r="W913">
        <v>1</v>
      </c>
      <c r="X913">
        <v>2333.33</v>
      </c>
      <c r="Y913" t="s">
        <v>1166</v>
      </c>
      <c r="Z913" t="s">
        <v>1167</v>
      </c>
      <c r="AA913" t="s">
        <v>1532</v>
      </c>
    </row>
    <row r="914" spans="1:27" x14ac:dyDescent="0.3">
      <c r="A914" t="s">
        <v>1673</v>
      </c>
      <c r="B914" t="s">
        <v>1635</v>
      </c>
      <c r="C914" t="s">
        <v>974</v>
      </c>
      <c r="D914" t="s">
        <v>1373</v>
      </c>
      <c r="E914" t="s">
        <v>554</v>
      </c>
      <c r="F914">
        <v>46173</v>
      </c>
      <c r="G914" t="s">
        <v>496</v>
      </c>
      <c r="H914" t="s">
        <v>1159</v>
      </c>
      <c r="I914">
        <v>52100503</v>
      </c>
      <c r="J914" t="s">
        <v>1528</v>
      </c>
      <c r="K914" t="s">
        <v>1529</v>
      </c>
      <c r="L914">
        <v>2557.46</v>
      </c>
      <c r="M914">
        <v>0</v>
      </c>
      <c r="N914">
        <v>0</v>
      </c>
      <c r="O914">
        <v>2557.46</v>
      </c>
      <c r="P914" t="s">
        <v>1530</v>
      </c>
      <c r="Q914" t="s">
        <v>1062</v>
      </c>
      <c r="R914" t="s">
        <v>1199</v>
      </c>
      <c r="S914" t="s">
        <v>947</v>
      </c>
      <c r="T914" t="s">
        <v>1063</v>
      </c>
      <c r="U914" t="s">
        <v>1531</v>
      </c>
      <c r="V914" t="s">
        <v>1165</v>
      </c>
      <c r="W914">
        <v>1</v>
      </c>
      <c r="X914">
        <v>2557.46</v>
      </c>
      <c r="Y914" t="s">
        <v>1166</v>
      </c>
      <c r="Z914" t="s">
        <v>1167</v>
      </c>
      <c r="AA914" t="s">
        <v>1532</v>
      </c>
    </row>
    <row r="915" spans="1:27" x14ac:dyDescent="0.3">
      <c r="A915" t="s">
        <v>1673</v>
      </c>
      <c r="B915" t="s">
        <v>1543</v>
      </c>
      <c r="C915" t="s">
        <v>974</v>
      </c>
      <c r="D915" t="s">
        <v>1373</v>
      </c>
      <c r="E915" t="s">
        <v>554</v>
      </c>
      <c r="F915">
        <v>46173</v>
      </c>
      <c r="G915" t="s">
        <v>496</v>
      </c>
      <c r="H915" t="s">
        <v>1159</v>
      </c>
      <c r="I915">
        <v>52100503</v>
      </c>
      <c r="J915" t="s">
        <v>1528</v>
      </c>
      <c r="K915" t="s">
        <v>1529</v>
      </c>
      <c r="L915">
        <v>1500</v>
      </c>
      <c r="M915">
        <v>1666.67</v>
      </c>
      <c r="N915">
        <v>0</v>
      </c>
      <c r="O915">
        <v>3166.67</v>
      </c>
      <c r="P915" t="s">
        <v>1530</v>
      </c>
      <c r="Q915" t="s">
        <v>1062</v>
      </c>
      <c r="R915" t="s">
        <v>1199</v>
      </c>
      <c r="S915" t="s">
        <v>947</v>
      </c>
      <c r="T915" t="s">
        <v>1063</v>
      </c>
      <c r="U915" t="s">
        <v>1531</v>
      </c>
      <c r="V915" t="s">
        <v>1165</v>
      </c>
      <c r="W915">
        <v>1</v>
      </c>
      <c r="X915">
        <v>3166.67</v>
      </c>
      <c r="Y915" t="s">
        <v>1166</v>
      </c>
      <c r="Z915" t="s">
        <v>1167</v>
      </c>
      <c r="AA915" t="s">
        <v>1532</v>
      </c>
    </row>
    <row r="916" spans="1:27" x14ac:dyDescent="0.3">
      <c r="A916" t="s">
        <v>1673</v>
      </c>
      <c r="B916" t="s">
        <v>1552</v>
      </c>
      <c r="C916" t="s">
        <v>974</v>
      </c>
      <c r="D916" t="s">
        <v>1373</v>
      </c>
      <c r="E916" t="s">
        <v>554</v>
      </c>
      <c r="F916">
        <v>46173</v>
      </c>
      <c r="G916" t="s">
        <v>496</v>
      </c>
      <c r="H916" t="s">
        <v>1159</v>
      </c>
      <c r="I916">
        <v>52356001</v>
      </c>
      <c r="J916" t="s">
        <v>1338</v>
      </c>
      <c r="K916" t="s">
        <v>1535</v>
      </c>
      <c r="L916">
        <v>400</v>
      </c>
      <c r="M916">
        <v>0</v>
      </c>
      <c r="N916">
        <v>0</v>
      </c>
      <c r="O916">
        <v>400</v>
      </c>
      <c r="P916" t="s">
        <v>1339</v>
      </c>
      <c r="Q916" t="s">
        <v>1097</v>
      </c>
      <c r="R916" t="s">
        <v>1199</v>
      </c>
      <c r="S916" t="s">
        <v>948</v>
      </c>
      <c r="T916" t="s">
        <v>1098</v>
      </c>
      <c r="U916" t="s">
        <v>1340</v>
      </c>
      <c r="V916" t="s">
        <v>1165</v>
      </c>
      <c r="W916">
        <v>1</v>
      </c>
      <c r="X916">
        <v>400</v>
      </c>
      <c r="Y916" t="s">
        <v>1166</v>
      </c>
      <c r="Z916" t="s">
        <v>1167</v>
      </c>
      <c r="AA916" t="s">
        <v>1341</v>
      </c>
    </row>
    <row r="917" spans="1:27" x14ac:dyDescent="0.3">
      <c r="A917" t="s">
        <v>1673</v>
      </c>
      <c r="B917" t="s">
        <v>1640</v>
      </c>
      <c r="C917" t="s">
        <v>974</v>
      </c>
      <c r="D917" t="s">
        <v>1373</v>
      </c>
      <c r="E917" t="s">
        <v>554</v>
      </c>
      <c r="F917">
        <v>46173</v>
      </c>
      <c r="G917" t="s">
        <v>496</v>
      </c>
      <c r="H917" t="s">
        <v>1159</v>
      </c>
      <c r="I917">
        <v>52359502</v>
      </c>
      <c r="J917" t="s">
        <v>1232</v>
      </c>
      <c r="K917" t="s">
        <v>1648</v>
      </c>
      <c r="L917">
        <v>0</v>
      </c>
      <c r="M917">
        <v>3500</v>
      </c>
      <c r="N917">
        <v>0</v>
      </c>
      <c r="O917">
        <v>3500</v>
      </c>
      <c r="P917" t="s">
        <v>1538</v>
      </c>
      <c r="Q917" t="s">
        <v>1099</v>
      </c>
      <c r="R917" t="s">
        <v>1199</v>
      </c>
      <c r="S917" t="s">
        <v>948</v>
      </c>
      <c r="T917" t="s">
        <v>1100</v>
      </c>
      <c r="U917" t="s">
        <v>576</v>
      </c>
      <c r="V917" t="s">
        <v>1165</v>
      </c>
      <c r="W917">
        <v>1</v>
      </c>
      <c r="X917">
        <v>3500</v>
      </c>
      <c r="Y917" t="s">
        <v>1192</v>
      </c>
      <c r="Z917" t="s">
        <v>1193</v>
      </c>
      <c r="AA917" t="s">
        <v>1539</v>
      </c>
    </row>
    <row r="918" spans="1:27" x14ac:dyDescent="0.3">
      <c r="A918" t="s">
        <v>1673</v>
      </c>
      <c r="B918" t="s">
        <v>1641</v>
      </c>
      <c r="C918" t="s">
        <v>974</v>
      </c>
      <c r="D918" t="s">
        <v>1373</v>
      </c>
      <c r="E918" t="s">
        <v>554</v>
      </c>
      <c r="F918">
        <v>46173</v>
      </c>
      <c r="G918" t="s">
        <v>496</v>
      </c>
      <c r="H918" t="s">
        <v>1159</v>
      </c>
      <c r="I918">
        <v>52359502</v>
      </c>
      <c r="J918" t="s">
        <v>1232</v>
      </c>
      <c r="K918" t="s">
        <v>1537</v>
      </c>
      <c r="L918">
        <v>648</v>
      </c>
      <c r="M918">
        <v>0</v>
      </c>
      <c r="N918">
        <v>0</v>
      </c>
      <c r="O918">
        <v>648</v>
      </c>
      <c r="P918" t="s">
        <v>1538</v>
      </c>
      <c r="Q918" t="s">
        <v>1099</v>
      </c>
      <c r="R918" t="s">
        <v>1199</v>
      </c>
      <c r="S918" t="s">
        <v>948</v>
      </c>
      <c r="T918" t="s">
        <v>1100</v>
      </c>
      <c r="U918" t="s">
        <v>576</v>
      </c>
      <c r="V918" t="s">
        <v>1165</v>
      </c>
      <c r="W918">
        <v>1</v>
      </c>
      <c r="X918">
        <v>648</v>
      </c>
      <c r="Y918" t="s">
        <v>1192</v>
      </c>
      <c r="Z918" t="s">
        <v>1193</v>
      </c>
      <c r="AA918" t="s">
        <v>1539</v>
      </c>
    </row>
    <row r="919" spans="1:27" x14ac:dyDescent="0.3">
      <c r="A919" t="s">
        <v>1673</v>
      </c>
      <c r="B919" t="s">
        <v>1643</v>
      </c>
      <c r="C919" t="s">
        <v>974</v>
      </c>
      <c r="D919" t="s">
        <v>1373</v>
      </c>
      <c r="E919" t="s">
        <v>554</v>
      </c>
      <c r="F919">
        <v>46173</v>
      </c>
      <c r="G919" t="s">
        <v>496</v>
      </c>
      <c r="H919" t="s">
        <v>1159</v>
      </c>
      <c r="I919">
        <v>53050501</v>
      </c>
      <c r="J919" t="s">
        <v>1258</v>
      </c>
      <c r="K919" t="s">
        <v>1541</v>
      </c>
      <c r="L919">
        <v>0.34</v>
      </c>
      <c r="M919">
        <v>0</v>
      </c>
      <c r="N919">
        <v>0</v>
      </c>
      <c r="O919">
        <v>0.34</v>
      </c>
      <c r="P919" t="s">
        <v>1260</v>
      </c>
      <c r="Q919" t="s">
        <v>1123</v>
      </c>
      <c r="R919" t="s">
        <v>1199</v>
      </c>
      <c r="S919" t="s">
        <v>717</v>
      </c>
      <c r="T919" t="s">
        <v>717</v>
      </c>
      <c r="U919" t="s">
        <v>1261</v>
      </c>
      <c r="V919" t="s">
        <v>1165</v>
      </c>
      <c r="W919">
        <v>1</v>
      </c>
      <c r="X919">
        <v>0.34</v>
      </c>
      <c r="Y919" t="s">
        <v>1166</v>
      </c>
      <c r="Z919" t="s">
        <v>1167</v>
      </c>
      <c r="AA919" t="s">
        <v>1262</v>
      </c>
    </row>
    <row r="920" spans="1:27" x14ac:dyDescent="0.3">
      <c r="A920" t="s">
        <v>1673</v>
      </c>
      <c r="B920" t="s">
        <v>1644</v>
      </c>
      <c r="C920" t="s">
        <v>974</v>
      </c>
      <c r="D920" t="s">
        <v>1373</v>
      </c>
      <c r="E920" t="s">
        <v>554</v>
      </c>
      <c r="F920">
        <v>46173</v>
      </c>
      <c r="G920" t="s">
        <v>496</v>
      </c>
      <c r="H920" t="s">
        <v>1159</v>
      </c>
      <c r="I920">
        <v>53050501</v>
      </c>
      <c r="J920" t="s">
        <v>1258</v>
      </c>
      <c r="K920" t="s">
        <v>1406</v>
      </c>
      <c r="L920">
        <v>15</v>
      </c>
      <c r="M920">
        <v>0</v>
      </c>
      <c r="N920">
        <v>0</v>
      </c>
      <c r="O920">
        <v>15</v>
      </c>
      <c r="P920" t="s">
        <v>1260</v>
      </c>
      <c r="Q920" t="s">
        <v>1123</v>
      </c>
      <c r="R920" t="s">
        <v>1199</v>
      </c>
      <c r="S920" t="s">
        <v>717</v>
      </c>
      <c r="T920" t="s">
        <v>717</v>
      </c>
      <c r="U920" t="s">
        <v>1261</v>
      </c>
      <c r="V920" t="s">
        <v>1165</v>
      </c>
      <c r="W920">
        <v>1</v>
      </c>
      <c r="X920">
        <v>15</v>
      </c>
      <c r="Y920" t="s">
        <v>1166</v>
      </c>
      <c r="Z920" t="s">
        <v>1167</v>
      </c>
      <c r="AA920" t="s">
        <v>1262</v>
      </c>
    </row>
    <row r="921" spans="1:27" x14ac:dyDescent="0.3">
      <c r="A921" t="s">
        <v>1673</v>
      </c>
      <c r="B921" t="s">
        <v>1663</v>
      </c>
      <c r="C921" t="s">
        <v>974</v>
      </c>
      <c r="D921" t="s">
        <v>1373</v>
      </c>
      <c r="E921" t="s">
        <v>554</v>
      </c>
      <c r="F921">
        <v>46173</v>
      </c>
      <c r="G921" t="s">
        <v>496</v>
      </c>
      <c r="H921" t="s">
        <v>1159</v>
      </c>
      <c r="I921">
        <v>53051501</v>
      </c>
      <c r="J921" t="s">
        <v>1544</v>
      </c>
      <c r="K921" t="s">
        <v>1545</v>
      </c>
      <c r="L921">
        <v>18.38</v>
      </c>
      <c r="M921">
        <v>8.7200000000000006</v>
      </c>
      <c r="N921">
        <v>0</v>
      </c>
      <c r="O921">
        <v>27.1</v>
      </c>
      <c r="P921" t="s">
        <v>1546</v>
      </c>
      <c r="Q921" t="s">
        <v>1123</v>
      </c>
      <c r="R921" t="s">
        <v>1199</v>
      </c>
      <c r="S921" t="s">
        <v>717</v>
      </c>
      <c r="T921" t="s">
        <v>717</v>
      </c>
      <c r="U921" t="s">
        <v>1547</v>
      </c>
      <c r="V921" t="s">
        <v>1165</v>
      </c>
      <c r="W921">
        <v>1</v>
      </c>
      <c r="X921">
        <v>27.1</v>
      </c>
      <c r="Y921" t="s">
        <v>1166</v>
      </c>
      <c r="Z921" t="s">
        <v>1167</v>
      </c>
      <c r="AA921" t="s">
        <v>1548</v>
      </c>
    </row>
    <row r="922" spans="1:27" x14ac:dyDescent="0.3">
      <c r="A922" t="s">
        <v>1673</v>
      </c>
      <c r="B922" t="s">
        <v>1664</v>
      </c>
      <c r="C922" t="s">
        <v>974</v>
      </c>
      <c r="D922" t="s">
        <v>1373</v>
      </c>
      <c r="E922" t="s">
        <v>554</v>
      </c>
      <c r="F922">
        <v>46173</v>
      </c>
      <c r="G922" t="s">
        <v>496</v>
      </c>
      <c r="H922" t="s">
        <v>1159</v>
      </c>
      <c r="I922">
        <v>53051501</v>
      </c>
      <c r="J922" t="s">
        <v>1544</v>
      </c>
      <c r="K922" t="s">
        <v>1382</v>
      </c>
      <c r="L922">
        <v>3.11</v>
      </c>
      <c r="M922">
        <v>0</v>
      </c>
      <c r="N922">
        <v>0</v>
      </c>
      <c r="O922">
        <v>3.11</v>
      </c>
      <c r="P922" t="s">
        <v>1546</v>
      </c>
      <c r="Q922" t="s">
        <v>1123</v>
      </c>
      <c r="R922" t="s">
        <v>1199</v>
      </c>
      <c r="S922" t="s">
        <v>717</v>
      </c>
      <c r="T922" t="s">
        <v>717</v>
      </c>
      <c r="U922" t="s">
        <v>1547</v>
      </c>
      <c r="V922" t="s">
        <v>1165</v>
      </c>
      <c r="W922">
        <v>1</v>
      </c>
      <c r="X922">
        <v>3.11</v>
      </c>
      <c r="Y922" t="s">
        <v>1166</v>
      </c>
      <c r="Z922" t="s">
        <v>1167</v>
      </c>
      <c r="AA922" t="s">
        <v>1548</v>
      </c>
    </row>
    <row r="923" spans="1:27" x14ac:dyDescent="0.3">
      <c r="A923" t="s">
        <v>1673</v>
      </c>
      <c r="B923" t="s">
        <v>1646</v>
      </c>
      <c r="C923" t="s">
        <v>974</v>
      </c>
      <c r="D923" t="s">
        <v>1373</v>
      </c>
      <c r="E923" t="s">
        <v>554</v>
      </c>
      <c r="F923">
        <v>46173</v>
      </c>
      <c r="G923" t="s">
        <v>496</v>
      </c>
      <c r="H923" t="s">
        <v>1159</v>
      </c>
      <c r="I923">
        <v>53051501</v>
      </c>
      <c r="J923" t="s">
        <v>1544</v>
      </c>
      <c r="K923" t="s">
        <v>1551</v>
      </c>
      <c r="L923">
        <v>152.85</v>
      </c>
      <c r="M923">
        <v>251.9</v>
      </c>
      <c r="N923">
        <v>0</v>
      </c>
      <c r="O923">
        <v>404.75</v>
      </c>
      <c r="P923" t="s">
        <v>1546</v>
      </c>
      <c r="Q923" t="s">
        <v>1123</v>
      </c>
      <c r="R923" t="s">
        <v>1199</v>
      </c>
      <c r="S923" t="s">
        <v>717</v>
      </c>
      <c r="T923" t="s">
        <v>717</v>
      </c>
      <c r="U923" t="s">
        <v>1547</v>
      </c>
      <c r="V923" t="s">
        <v>1165</v>
      </c>
      <c r="W923">
        <v>1</v>
      </c>
      <c r="X923">
        <v>404.75</v>
      </c>
      <c r="Y923" t="s">
        <v>1166</v>
      </c>
      <c r="Z923" t="s">
        <v>1167</v>
      </c>
      <c r="AA923" t="s">
        <v>1548</v>
      </c>
    </row>
    <row r="924" spans="1:27" x14ac:dyDescent="0.3">
      <c r="A924" t="s">
        <v>1673</v>
      </c>
      <c r="B924" t="s">
        <v>1674</v>
      </c>
      <c r="C924" t="s">
        <v>974</v>
      </c>
      <c r="D924" t="s">
        <v>1373</v>
      </c>
      <c r="E924" t="s">
        <v>554</v>
      </c>
      <c r="F924">
        <v>46173</v>
      </c>
      <c r="G924" t="s">
        <v>496</v>
      </c>
      <c r="H924" t="s">
        <v>1159</v>
      </c>
      <c r="I924">
        <v>53051501</v>
      </c>
      <c r="J924" t="s">
        <v>1544</v>
      </c>
      <c r="K924" t="s">
        <v>1406</v>
      </c>
      <c r="L924">
        <v>0.9</v>
      </c>
      <c r="M924">
        <v>0</v>
      </c>
      <c r="N924">
        <v>0</v>
      </c>
      <c r="O924">
        <v>0.9</v>
      </c>
      <c r="P924" t="s">
        <v>1546</v>
      </c>
      <c r="Q924" t="s">
        <v>1123</v>
      </c>
      <c r="R924" t="s">
        <v>1199</v>
      </c>
      <c r="S924" t="s">
        <v>717</v>
      </c>
      <c r="T924" t="s">
        <v>717</v>
      </c>
      <c r="U924" t="s">
        <v>1547</v>
      </c>
      <c r="V924" t="s">
        <v>1165</v>
      </c>
      <c r="W924">
        <v>1</v>
      </c>
      <c r="X924">
        <v>0.9</v>
      </c>
      <c r="Y924" t="s">
        <v>1166</v>
      </c>
      <c r="Z924" t="s">
        <v>1167</v>
      </c>
      <c r="AA924" t="s">
        <v>1548</v>
      </c>
    </row>
    <row r="925" spans="1:27" x14ac:dyDescent="0.3">
      <c r="A925" t="s">
        <v>865</v>
      </c>
      <c r="B925" t="s">
        <v>1675</v>
      </c>
      <c r="C925" t="s">
        <v>25</v>
      </c>
      <c r="D925" t="s">
        <v>522</v>
      </c>
      <c r="E925" t="s">
        <v>624</v>
      </c>
      <c r="F925">
        <v>46234</v>
      </c>
      <c r="G925" t="s">
        <v>451</v>
      </c>
      <c r="H925" t="s">
        <v>1676</v>
      </c>
      <c r="I925" t="s">
        <v>1677</v>
      </c>
      <c r="J925" t="s">
        <v>1678</v>
      </c>
      <c r="K925" t="s">
        <v>1678</v>
      </c>
      <c r="O925">
        <v>741932</v>
      </c>
      <c r="P925" t="s">
        <v>1679</v>
      </c>
      <c r="Q925" t="s">
        <v>980</v>
      </c>
      <c r="R925" t="s">
        <v>1162</v>
      </c>
      <c r="S925" t="s">
        <v>1163</v>
      </c>
      <c r="T925" t="s">
        <v>926</v>
      </c>
      <c r="U925" t="s">
        <v>1680</v>
      </c>
      <c r="V925" t="s">
        <v>1165</v>
      </c>
      <c r="W925">
        <v>1</v>
      </c>
      <c r="X925">
        <v>741932</v>
      </c>
      <c r="Y925" t="s">
        <v>1166</v>
      </c>
      <c r="Z925" t="s">
        <v>1167</v>
      </c>
      <c r="AA925" t="s">
        <v>1681</v>
      </c>
    </row>
    <row r="926" spans="1:27" x14ac:dyDescent="0.3">
      <c r="A926" t="s">
        <v>865</v>
      </c>
      <c r="B926" t="s">
        <v>1675</v>
      </c>
      <c r="C926" t="s">
        <v>25</v>
      </c>
      <c r="D926" t="s">
        <v>522</v>
      </c>
      <c r="E926" t="s">
        <v>624</v>
      </c>
      <c r="F926">
        <v>46234</v>
      </c>
      <c r="G926" t="s">
        <v>451</v>
      </c>
      <c r="H926" t="s">
        <v>1676</v>
      </c>
      <c r="I926" t="s">
        <v>1677</v>
      </c>
      <c r="J926" t="s">
        <v>1682</v>
      </c>
      <c r="K926" t="s">
        <v>1682</v>
      </c>
      <c r="O926">
        <v>173520635</v>
      </c>
      <c r="P926" t="s">
        <v>1679</v>
      </c>
      <c r="Q926" t="s">
        <v>980</v>
      </c>
      <c r="R926" t="s">
        <v>1162</v>
      </c>
      <c r="S926" t="s">
        <v>1163</v>
      </c>
      <c r="T926" t="s">
        <v>926</v>
      </c>
      <c r="U926" t="s">
        <v>1680</v>
      </c>
      <c r="V926" t="s">
        <v>1165</v>
      </c>
      <c r="W926">
        <v>1</v>
      </c>
      <c r="X926">
        <v>173520635</v>
      </c>
      <c r="Y926" t="s">
        <v>1166</v>
      </c>
      <c r="Z926" t="s">
        <v>1167</v>
      </c>
      <c r="AA926" t="s">
        <v>1681</v>
      </c>
    </row>
    <row r="927" spans="1:27" x14ac:dyDescent="0.3">
      <c r="A927" t="s">
        <v>865</v>
      </c>
      <c r="B927" t="s">
        <v>1675</v>
      </c>
      <c r="C927" t="s">
        <v>25</v>
      </c>
      <c r="D927" t="s">
        <v>522</v>
      </c>
      <c r="E927" t="s">
        <v>624</v>
      </c>
      <c r="F927">
        <v>46234</v>
      </c>
      <c r="G927" t="s">
        <v>451</v>
      </c>
      <c r="H927" t="s">
        <v>1676</v>
      </c>
      <c r="I927" t="s">
        <v>1677</v>
      </c>
      <c r="J927" t="s">
        <v>1683</v>
      </c>
      <c r="K927" t="s">
        <v>1683</v>
      </c>
      <c r="O927">
        <v>4359</v>
      </c>
      <c r="P927" t="s">
        <v>1679</v>
      </c>
      <c r="Q927" t="s">
        <v>980</v>
      </c>
      <c r="R927" t="s">
        <v>1162</v>
      </c>
      <c r="S927" t="s">
        <v>1163</v>
      </c>
      <c r="T927" t="s">
        <v>926</v>
      </c>
      <c r="U927" t="s">
        <v>1680</v>
      </c>
      <c r="V927" t="s">
        <v>1165</v>
      </c>
      <c r="W927">
        <v>1</v>
      </c>
      <c r="X927">
        <v>4359</v>
      </c>
      <c r="Y927" t="s">
        <v>1166</v>
      </c>
      <c r="Z927" t="s">
        <v>1167</v>
      </c>
      <c r="AA927" t="s">
        <v>1681</v>
      </c>
    </row>
    <row r="928" spans="1:27" x14ac:dyDescent="0.3">
      <c r="A928" t="s">
        <v>865</v>
      </c>
      <c r="B928" t="s">
        <v>1684</v>
      </c>
      <c r="C928" t="s">
        <v>25</v>
      </c>
      <c r="D928" t="s">
        <v>522</v>
      </c>
      <c r="E928" t="s">
        <v>624</v>
      </c>
      <c r="F928">
        <v>46234</v>
      </c>
      <c r="G928" t="s">
        <v>451</v>
      </c>
      <c r="H928" t="s">
        <v>1676</v>
      </c>
      <c r="I928" t="s">
        <v>1685</v>
      </c>
      <c r="J928" t="s">
        <v>1686</v>
      </c>
      <c r="K928" t="s">
        <v>1686</v>
      </c>
      <c r="O928">
        <v>78270032</v>
      </c>
      <c r="P928" t="s">
        <v>1687</v>
      </c>
      <c r="Q928" t="s">
        <v>981</v>
      </c>
      <c r="R928" t="s">
        <v>1162</v>
      </c>
      <c r="S928" t="s">
        <v>1163</v>
      </c>
      <c r="T928" t="s">
        <v>982</v>
      </c>
      <c r="U928" t="s">
        <v>1688</v>
      </c>
      <c r="V928" t="s">
        <v>1165</v>
      </c>
      <c r="W928">
        <v>1</v>
      </c>
      <c r="X928">
        <v>78270032</v>
      </c>
      <c r="Y928" t="s">
        <v>1166</v>
      </c>
      <c r="Z928" t="s">
        <v>1167</v>
      </c>
      <c r="AA928" t="s">
        <v>1689</v>
      </c>
    </row>
    <row r="929" spans="1:27" x14ac:dyDescent="0.3">
      <c r="A929" t="s">
        <v>865</v>
      </c>
      <c r="B929" t="s">
        <v>1690</v>
      </c>
      <c r="C929" t="s">
        <v>25</v>
      </c>
      <c r="D929" t="s">
        <v>522</v>
      </c>
      <c r="E929" t="s">
        <v>624</v>
      </c>
      <c r="F929">
        <v>46234</v>
      </c>
      <c r="G929" t="s">
        <v>451</v>
      </c>
      <c r="H929" t="s">
        <v>1676</v>
      </c>
      <c r="I929" t="s">
        <v>1691</v>
      </c>
      <c r="J929" t="s">
        <v>1276</v>
      </c>
      <c r="K929" t="s">
        <v>1276</v>
      </c>
      <c r="O929">
        <v>1688457915</v>
      </c>
      <c r="P929" t="s">
        <v>1692</v>
      </c>
      <c r="Q929" t="s">
        <v>983</v>
      </c>
      <c r="R929" t="s">
        <v>1162</v>
      </c>
      <c r="S929" t="s">
        <v>1163</v>
      </c>
      <c r="T929" t="s">
        <v>984</v>
      </c>
      <c r="U929" t="s">
        <v>1276</v>
      </c>
      <c r="V929" t="s">
        <v>1165</v>
      </c>
      <c r="W929">
        <v>1</v>
      </c>
      <c r="X929">
        <v>1688457915</v>
      </c>
      <c r="Y929" t="s">
        <v>1166</v>
      </c>
      <c r="Z929" t="s">
        <v>1167</v>
      </c>
      <c r="AA929" t="s">
        <v>1693</v>
      </c>
    </row>
    <row r="930" spans="1:27" x14ac:dyDescent="0.3">
      <c r="A930" t="s">
        <v>865</v>
      </c>
      <c r="B930" t="s">
        <v>1690</v>
      </c>
      <c r="C930" t="s">
        <v>25</v>
      </c>
      <c r="D930" t="s">
        <v>522</v>
      </c>
      <c r="E930" t="s">
        <v>624</v>
      </c>
      <c r="F930">
        <v>46234</v>
      </c>
      <c r="G930" t="s">
        <v>451</v>
      </c>
      <c r="H930" t="s">
        <v>1676</v>
      </c>
      <c r="I930" t="s">
        <v>1694</v>
      </c>
      <c r="J930" t="s">
        <v>1695</v>
      </c>
      <c r="K930" t="s">
        <v>1695</v>
      </c>
      <c r="O930">
        <v>242950000</v>
      </c>
      <c r="P930" t="s">
        <v>1696</v>
      </c>
      <c r="Q930" t="s">
        <v>985</v>
      </c>
      <c r="R930" t="s">
        <v>1162</v>
      </c>
      <c r="S930" t="s">
        <v>1163</v>
      </c>
      <c r="T930" t="s">
        <v>986</v>
      </c>
      <c r="U930" t="s">
        <v>1697</v>
      </c>
      <c r="V930" t="s">
        <v>1165</v>
      </c>
      <c r="W930">
        <v>1</v>
      </c>
      <c r="X930">
        <v>242950000</v>
      </c>
      <c r="Y930" t="s">
        <v>1166</v>
      </c>
      <c r="Z930" t="s">
        <v>1167</v>
      </c>
      <c r="AA930" t="s">
        <v>1693</v>
      </c>
    </row>
    <row r="931" spans="1:27" x14ac:dyDescent="0.3">
      <c r="A931" t="s">
        <v>865</v>
      </c>
      <c r="B931" t="s">
        <v>1690</v>
      </c>
      <c r="C931" t="s">
        <v>25</v>
      </c>
      <c r="D931" t="s">
        <v>522</v>
      </c>
      <c r="E931" t="s">
        <v>624</v>
      </c>
      <c r="F931">
        <v>46234</v>
      </c>
      <c r="G931" t="s">
        <v>451</v>
      </c>
      <c r="H931" t="s">
        <v>1676</v>
      </c>
      <c r="I931" t="s">
        <v>1694</v>
      </c>
      <c r="J931" t="s">
        <v>1698</v>
      </c>
      <c r="K931" t="s">
        <v>1698</v>
      </c>
      <c r="O931">
        <v>31353229</v>
      </c>
      <c r="P931" t="s">
        <v>1696</v>
      </c>
      <c r="Q931" t="s">
        <v>985</v>
      </c>
      <c r="R931" t="s">
        <v>1162</v>
      </c>
      <c r="S931" t="s">
        <v>1163</v>
      </c>
      <c r="T931" t="s">
        <v>986</v>
      </c>
      <c r="U931" t="s">
        <v>1697</v>
      </c>
      <c r="V931" t="s">
        <v>1165</v>
      </c>
      <c r="W931">
        <v>1</v>
      </c>
      <c r="X931">
        <v>31353229</v>
      </c>
      <c r="Y931" t="s">
        <v>1166</v>
      </c>
      <c r="Z931" t="s">
        <v>1167</v>
      </c>
      <c r="AA931" t="s">
        <v>1693</v>
      </c>
    </row>
    <row r="932" spans="1:27" x14ac:dyDescent="0.3">
      <c r="A932" t="s">
        <v>865</v>
      </c>
      <c r="B932" t="s">
        <v>1690</v>
      </c>
      <c r="C932" t="s">
        <v>25</v>
      </c>
      <c r="D932" t="s">
        <v>522</v>
      </c>
      <c r="E932" t="s">
        <v>624</v>
      </c>
      <c r="F932">
        <v>46234</v>
      </c>
      <c r="G932" t="s">
        <v>451</v>
      </c>
      <c r="H932" t="s">
        <v>1676</v>
      </c>
      <c r="I932" t="s">
        <v>1699</v>
      </c>
      <c r="J932" t="s">
        <v>1700</v>
      </c>
      <c r="K932" t="s">
        <v>1700</v>
      </c>
      <c r="O932">
        <v>2189636620</v>
      </c>
      <c r="P932" t="s">
        <v>1701</v>
      </c>
      <c r="Q932" t="s">
        <v>989</v>
      </c>
      <c r="R932" t="s">
        <v>1162</v>
      </c>
      <c r="S932" t="s">
        <v>1163</v>
      </c>
      <c r="T932" t="s">
        <v>990</v>
      </c>
      <c r="U932" t="s">
        <v>1702</v>
      </c>
      <c r="V932" t="s">
        <v>1165</v>
      </c>
      <c r="W932">
        <v>1</v>
      </c>
      <c r="X932">
        <v>2189636620</v>
      </c>
      <c r="Y932" t="s">
        <v>1192</v>
      </c>
      <c r="Z932" t="s">
        <v>1193</v>
      </c>
      <c r="AA932" t="s">
        <v>1703</v>
      </c>
    </row>
    <row r="933" spans="1:27" x14ac:dyDescent="0.3">
      <c r="A933" t="s">
        <v>865</v>
      </c>
      <c r="B933" t="s">
        <v>1690</v>
      </c>
      <c r="C933" t="s">
        <v>25</v>
      </c>
      <c r="D933" t="s">
        <v>522</v>
      </c>
      <c r="E933" t="s">
        <v>624</v>
      </c>
      <c r="F933">
        <v>46234</v>
      </c>
      <c r="G933" t="s">
        <v>451</v>
      </c>
      <c r="H933" t="s">
        <v>1676</v>
      </c>
      <c r="I933" t="s">
        <v>1704</v>
      </c>
      <c r="J933" t="s">
        <v>1705</v>
      </c>
      <c r="K933" t="s">
        <v>1705</v>
      </c>
      <c r="O933">
        <v>866147225</v>
      </c>
      <c r="P933" t="s">
        <v>1706</v>
      </c>
      <c r="Q933" t="s">
        <v>987</v>
      </c>
      <c r="R933" t="s">
        <v>1162</v>
      </c>
      <c r="S933" t="s">
        <v>1163</v>
      </c>
      <c r="T933" t="s">
        <v>988</v>
      </c>
      <c r="U933" t="s">
        <v>1707</v>
      </c>
      <c r="V933" t="s">
        <v>1165</v>
      </c>
      <c r="W933">
        <v>1</v>
      </c>
      <c r="X933">
        <v>866147225</v>
      </c>
      <c r="Y933" t="s">
        <v>1166</v>
      </c>
      <c r="Z933" t="s">
        <v>1167</v>
      </c>
      <c r="AA933" t="s">
        <v>1693</v>
      </c>
    </row>
    <row r="934" spans="1:27" x14ac:dyDescent="0.3">
      <c r="A934" t="s">
        <v>865</v>
      </c>
      <c r="B934" t="s">
        <v>1690</v>
      </c>
      <c r="C934" t="s">
        <v>25</v>
      </c>
      <c r="D934" t="s">
        <v>522</v>
      </c>
      <c r="E934" t="s">
        <v>624</v>
      </c>
      <c r="F934">
        <v>46234</v>
      </c>
      <c r="G934" t="s">
        <v>451</v>
      </c>
      <c r="H934" t="s">
        <v>1676</v>
      </c>
      <c r="I934" t="s">
        <v>1699</v>
      </c>
      <c r="J934" t="s">
        <v>1708</v>
      </c>
      <c r="K934" t="s">
        <v>1708</v>
      </c>
      <c r="O934">
        <v>199609971</v>
      </c>
      <c r="P934" t="s">
        <v>1701</v>
      </c>
      <c r="Q934" t="s">
        <v>989</v>
      </c>
      <c r="R934" t="s">
        <v>1162</v>
      </c>
      <c r="S934" t="s">
        <v>1163</v>
      </c>
      <c r="T934" t="s">
        <v>990</v>
      </c>
      <c r="U934" t="s">
        <v>1702</v>
      </c>
      <c r="V934" t="s">
        <v>1165</v>
      </c>
      <c r="W934">
        <v>1</v>
      </c>
      <c r="X934">
        <v>199609971</v>
      </c>
      <c r="Y934" t="s">
        <v>1192</v>
      </c>
      <c r="Z934" t="s">
        <v>1193</v>
      </c>
      <c r="AA934" t="s">
        <v>1703</v>
      </c>
    </row>
    <row r="935" spans="1:27" x14ac:dyDescent="0.3">
      <c r="A935" t="s">
        <v>865</v>
      </c>
      <c r="B935" t="s">
        <v>1709</v>
      </c>
      <c r="C935" t="s">
        <v>25</v>
      </c>
      <c r="D935" t="s">
        <v>522</v>
      </c>
      <c r="E935" t="s">
        <v>624</v>
      </c>
      <c r="F935">
        <v>46234</v>
      </c>
      <c r="G935" t="s">
        <v>451</v>
      </c>
      <c r="H935" t="s">
        <v>1676</v>
      </c>
      <c r="I935" t="s">
        <v>1710</v>
      </c>
      <c r="J935" t="s">
        <v>1711</v>
      </c>
      <c r="K935" t="s">
        <v>1711</v>
      </c>
      <c r="O935">
        <v>50000000</v>
      </c>
      <c r="P935" t="s">
        <v>1712</v>
      </c>
      <c r="Q935" t="s">
        <v>995</v>
      </c>
      <c r="R935" t="s">
        <v>1162</v>
      </c>
      <c r="S935" t="s">
        <v>957</v>
      </c>
      <c r="T935" t="s">
        <v>996</v>
      </c>
      <c r="U935" t="s">
        <v>996</v>
      </c>
      <c r="V935" t="s">
        <v>1165</v>
      </c>
      <c r="W935">
        <v>1</v>
      </c>
      <c r="X935">
        <v>50000000</v>
      </c>
      <c r="Y935" t="s">
        <v>1166</v>
      </c>
      <c r="Z935" t="s">
        <v>1167</v>
      </c>
      <c r="AA935" t="s">
        <v>1713</v>
      </c>
    </row>
    <row r="936" spans="1:27" x14ac:dyDescent="0.3">
      <c r="A936" t="s">
        <v>865</v>
      </c>
      <c r="B936" t="s">
        <v>1709</v>
      </c>
      <c r="C936" t="s">
        <v>25</v>
      </c>
      <c r="D936" t="s">
        <v>522</v>
      </c>
      <c r="E936" t="s">
        <v>624</v>
      </c>
      <c r="F936">
        <v>46234</v>
      </c>
      <c r="G936" t="s">
        <v>451</v>
      </c>
      <c r="H936" t="s">
        <v>1676</v>
      </c>
      <c r="I936" t="s">
        <v>1710</v>
      </c>
      <c r="J936" t="s">
        <v>1714</v>
      </c>
      <c r="K936" t="s">
        <v>1714</v>
      </c>
      <c r="O936">
        <v>43274339</v>
      </c>
      <c r="P936" t="s">
        <v>1712</v>
      </c>
      <c r="Q936" t="s">
        <v>995</v>
      </c>
      <c r="R936" t="s">
        <v>1162</v>
      </c>
      <c r="S936" t="s">
        <v>957</v>
      </c>
      <c r="T936" t="s">
        <v>996</v>
      </c>
      <c r="U936" t="s">
        <v>996</v>
      </c>
      <c r="V936" t="s">
        <v>1165</v>
      </c>
      <c r="W936">
        <v>1</v>
      </c>
      <c r="X936">
        <v>43274339</v>
      </c>
      <c r="Y936" t="s">
        <v>1166</v>
      </c>
      <c r="Z936" t="s">
        <v>1167</v>
      </c>
      <c r="AA936" t="s">
        <v>1713</v>
      </c>
    </row>
    <row r="937" spans="1:27" x14ac:dyDescent="0.3">
      <c r="A937" t="s">
        <v>865</v>
      </c>
      <c r="B937" t="s">
        <v>1709</v>
      </c>
      <c r="C937" t="s">
        <v>25</v>
      </c>
      <c r="D937" t="s">
        <v>522</v>
      </c>
      <c r="E937" t="s">
        <v>624</v>
      </c>
      <c r="F937">
        <v>46234</v>
      </c>
      <c r="G937" t="s">
        <v>451</v>
      </c>
      <c r="H937" t="s">
        <v>1676</v>
      </c>
      <c r="I937" t="s">
        <v>1710</v>
      </c>
      <c r="J937" t="s">
        <v>1715</v>
      </c>
      <c r="K937" t="s">
        <v>1715</v>
      </c>
      <c r="O937">
        <v>182019186</v>
      </c>
      <c r="P937" t="s">
        <v>1712</v>
      </c>
      <c r="Q937" t="s">
        <v>995</v>
      </c>
      <c r="R937" t="s">
        <v>1162</v>
      </c>
      <c r="S937" t="s">
        <v>957</v>
      </c>
      <c r="T937" t="s">
        <v>996</v>
      </c>
      <c r="U937" t="s">
        <v>996</v>
      </c>
      <c r="V937" t="s">
        <v>1165</v>
      </c>
      <c r="W937">
        <v>1</v>
      </c>
      <c r="X937">
        <v>182019186</v>
      </c>
      <c r="Y937" t="s">
        <v>1166</v>
      </c>
      <c r="Z937" t="s">
        <v>1167</v>
      </c>
      <c r="AA937" t="s">
        <v>1713</v>
      </c>
    </row>
    <row r="938" spans="1:27" x14ac:dyDescent="0.3">
      <c r="A938" t="s">
        <v>865</v>
      </c>
      <c r="B938" t="s">
        <v>1709</v>
      </c>
      <c r="C938" t="s">
        <v>25</v>
      </c>
      <c r="D938" t="s">
        <v>522</v>
      </c>
      <c r="E938" t="s">
        <v>624</v>
      </c>
      <c r="F938">
        <v>46234</v>
      </c>
      <c r="G938" t="s">
        <v>451</v>
      </c>
      <c r="H938" t="s">
        <v>1676</v>
      </c>
      <c r="I938" t="s">
        <v>1716</v>
      </c>
      <c r="J938" t="s">
        <v>998</v>
      </c>
      <c r="K938" t="s">
        <v>998</v>
      </c>
      <c r="O938">
        <v>-49318012</v>
      </c>
      <c r="P938" t="s">
        <v>1717</v>
      </c>
      <c r="Q938" t="s">
        <v>997</v>
      </c>
      <c r="R938" t="s">
        <v>1162</v>
      </c>
      <c r="S938" t="s">
        <v>957</v>
      </c>
      <c r="T938" t="s">
        <v>998</v>
      </c>
      <c r="U938" t="s">
        <v>998</v>
      </c>
      <c r="V938" t="s">
        <v>1396</v>
      </c>
      <c r="W938">
        <v>1</v>
      </c>
      <c r="X938">
        <v>-49318012</v>
      </c>
      <c r="Y938" t="s">
        <v>1166</v>
      </c>
      <c r="Z938" t="s">
        <v>1167</v>
      </c>
      <c r="AA938" t="s">
        <v>1713</v>
      </c>
    </row>
    <row r="939" spans="1:27" x14ac:dyDescent="0.3">
      <c r="A939" t="s">
        <v>865</v>
      </c>
      <c r="B939" t="s">
        <v>1709</v>
      </c>
      <c r="C939" t="s">
        <v>25</v>
      </c>
      <c r="D939" t="s">
        <v>522</v>
      </c>
      <c r="E939" t="s">
        <v>624</v>
      </c>
      <c r="F939">
        <v>46234</v>
      </c>
      <c r="G939" t="s">
        <v>451</v>
      </c>
      <c r="H939" t="s">
        <v>1676</v>
      </c>
      <c r="I939" t="s">
        <v>1718</v>
      </c>
      <c r="J939" t="s">
        <v>1719</v>
      </c>
      <c r="K939" t="s">
        <v>1719</v>
      </c>
      <c r="O939">
        <v>410000000</v>
      </c>
      <c r="P939" t="s">
        <v>1720</v>
      </c>
      <c r="Q939" t="s">
        <v>999</v>
      </c>
      <c r="R939" t="s">
        <v>1162</v>
      </c>
      <c r="S939" t="s">
        <v>957</v>
      </c>
      <c r="T939" t="s">
        <v>1000</v>
      </c>
      <c r="U939" t="s">
        <v>1721</v>
      </c>
      <c r="V939" t="s">
        <v>1165</v>
      </c>
      <c r="W939">
        <v>1</v>
      </c>
      <c r="X939">
        <v>410000000</v>
      </c>
      <c r="Y939" t="s">
        <v>1166</v>
      </c>
      <c r="Z939" t="s">
        <v>1167</v>
      </c>
      <c r="AA939" t="s">
        <v>1713</v>
      </c>
    </row>
    <row r="940" spans="1:27" x14ac:dyDescent="0.3">
      <c r="A940" t="s">
        <v>865</v>
      </c>
      <c r="B940" t="s">
        <v>1722</v>
      </c>
      <c r="C940" t="s">
        <v>25</v>
      </c>
      <c r="D940" t="s">
        <v>522</v>
      </c>
      <c r="E940" t="s">
        <v>624</v>
      </c>
      <c r="F940">
        <v>46234</v>
      </c>
      <c r="G940" t="s">
        <v>451</v>
      </c>
      <c r="H940" t="s">
        <v>1676</v>
      </c>
      <c r="I940" t="s">
        <v>1723</v>
      </c>
      <c r="J940" t="s">
        <v>1724</v>
      </c>
      <c r="K940" t="s">
        <v>1724</v>
      </c>
      <c r="O940">
        <v>1</v>
      </c>
      <c r="P940" t="s">
        <v>1725</v>
      </c>
      <c r="Q940" t="s">
        <v>1001</v>
      </c>
      <c r="R940" t="s">
        <v>1162</v>
      </c>
      <c r="S940" t="s">
        <v>957</v>
      </c>
      <c r="T940" t="s">
        <v>1002</v>
      </c>
      <c r="U940" t="s">
        <v>1726</v>
      </c>
      <c r="V940" t="s">
        <v>1727</v>
      </c>
      <c r="W940">
        <v>1</v>
      </c>
      <c r="X940">
        <v>1</v>
      </c>
      <c r="Y940" t="s">
        <v>1166</v>
      </c>
      <c r="Z940" t="s">
        <v>1167</v>
      </c>
      <c r="AA940" t="s">
        <v>1728</v>
      </c>
    </row>
    <row r="941" spans="1:27" x14ac:dyDescent="0.3">
      <c r="A941" t="s">
        <v>865</v>
      </c>
      <c r="B941" t="s">
        <v>1729</v>
      </c>
      <c r="C941" t="s">
        <v>25</v>
      </c>
      <c r="D941" t="s">
        <v>522</v>
      </c>
      <c r="E941" t="s">
        <v>624</v>
      </c>
      <c r="F941">
        <v>46234</v>
      </c>
      <c r="G941" t="s">
        <v>451</v>
      </c>
      <c r="H941" t="s">
        <v>1730</v>
      </c>
      <c r="I941" t="s">
        <v>1731</v>
      </c>
      <c r="J941" t="s">
        <v>1732</v>
      </c>
      <c r="K941" t="s">
        <v>1732</v>
      </c>
      <c r="O941">
        <v>104555195</v>
      </c>
      <c r="P941" t="s">
        <v>1733</v>
      </c>
      <c r="Q941" t="s">
        <v>1006</v>
      </c>
      <c r="R941" t="s">
        <v>1162</v>
      </c>
      <c r="S941" t="s">
        <v>1173</v>
      </c>
      <c r="T941" t="s">
        <v>1007</v>
      </c>
      <c r="U941" t="s">
        <v>1734</v>
      </c>
      <c r="V941" t="s">
        <v>1175</v>
      </c>
      <c r="W941">
        <v>1</v>
      </c>
      <c r="X941">
        <v>104555195</v>
      </c>
      <c r="Y941" t="s">
        <v>1166</v>
      </c>
      <c r="Z941" t="s">
        <v>1167</v>
      </c>
      <c r="AA941" t="s">
        <v>1735</v>
      </c>
    </row>
    <row r="942" spans="1:27" x14ac:dyDescent="0.3">
      <c r="A942" t="s">
        <v>865</v>
      </c>
      <c r="B942" t="s">
        <v>1729</v>
      </c>
      <c r="C942" t="s">
        <v>25</v>
      </c>
      <c r="D942" t="s">
        <v>522</v>
      </c>
      <c r="E942" t="s">
        <v>624</v>
      </c>
      <c r="F942">
        <v>46234</v>
      </c>
      <c r="G942" t="s">
        <v>451</v>
      </c>
      <c r="H942" t="s">
        <v>1676</v>
      </c>
      <c r="I942" t="s">
        <v>1736</v>
      </c>
      <c r="J942" t="s">
        <v>1737</v>
      </c>
      <c r="K942" t="s">
        <v>1737</v>
      </c>
      <c r="O942">
        <v>19229474</v>
      </c>
      <c r="P942" t="s">
        <v>1738</v>
      </c>
      <c r="Q942" t="s">
        <v>1012</v>
      </c>
      <c r="R942" t="s">
        <v>1162</v>
      </c>
      <c r="S942" t="s">
        <v>1173</v>
      </c>
      <c r="T942" t="s">
        <v>1013</v>
      </c>
      <c r="U942" t="s">
        <v>1737</v>
      </c>
      <c r="V942" t="s">
        <v>1175</v>
      </c>
      <c r="W942">
        <v>1</v>
      </c>
      <c r="X942">
        <v>19229474</v>
      </c>
      <c r="Y942" t="s">
        <v>1166</v>
      </c>
      <c r="Z942" t="s">
        <v>1167</v>
      </c>
      <c r="AA942" t="s">
        <v>1735</v>
      </c>
    </row>
    <row r="943" spans="1:27" x14ac:dyDescent="0.3">
      <c r="A943" t="s">
        <v>865</v>
      </c>
      <c r="B943" t="s">
        <v>1729</v>
      </c>
      <c r="C943" t="s">
        <v>25</v>
      </c>
      <c r="D943" t="s">
        <v>522</v>
      </c>
      <c r="E943" t="s">
        <v>624</v>
      </c>
      <c r="F943">
        <v>46234</v>
      </c>
      <c r="G943" t="s">
        <v>451</v>
      </c>
      <c r="H943" t="s">
        <v>1676</v>
      </c>
      <c r="I943" t="s">
        <v>1739</v>
      </c>
      <c r="J943" t="s">
        <v>1015</v>
      </c>
      <c r="K943" t="s">
        <v>1015</v>
      </c>
      <c r="O943">
        <v>265675229</v>
      </c>
      <c r="P943" t="s">
        <v>1740</v>
      </c>
      <c r="Q943" t="s">
        <v>1014</v>
      </c>
      <c r="R943" t="s">
        <v>1162</v>
      </c>
      <c r="S943" t="s">
        <v>1173</v>
      </c>
      <c r="T943" t="s">
        <v>1015</v>
      </c>
      <c r="U943" t="s">
        <v>1741</v>
      </c>
      <c r="V943" t="s">
        <v>1175</v>
      </c>
      <c r="W943">
        <v>1</v>
      </c>
      <c r="X943">
        <v>265675229</v>
      </c>
      <c r="Y943" t="s">
        <v>1166</v>
      </c>
      <c r="Z943" t="s">
        <v>1167</v>
      </c>
      <c r="AA943" t="s">
        <v>1735</v>
      </c>
    </row>
    <row r="944" spans="1:27" x14ac:dyDescent="0.3">
      <c r="A944" t="s">
        <v>865</v>
      </c>
      <c r="B944" t="s">
        <v>1729</v>
      </c>
      <c r="C944" t="s">
        <v>25</v>
      </c>
      <c r="D944" t="s">
        <v>522</v>
      </c>
      <c r="E944" t="s">
        <v>624</v>
      </c>
      <c r="F944">
        <v>46234</v>
      </c>
      <c r="G944" t="s">
        <v>451</v>
      </c>
      <c r="H944" t="s">
        <v>1676</v>
      </c>
      <c r="I944" t="s">
        <v>1742</v>
      </c>
      <c r="J944" t="s">
        <v>1743</v>
      </c>
      <c r="K944" t="s">
        <v>1743</v>
      </c>
      <c r="O944">
        <v>2641787281</v>
      </c>
      <c r="P944" t="s">
        <v>1744</v>
      </c>
      <c r="Q944" t="s">
        <v>1022</v>
      </c>
      <c r="R944" t="s">
        <v>1162</v>
      </c>
      <c r="S944" t="s">
        <v>1745</v>
      </c>
      <c r="T944" t="s">
        <v>1023</v>
      </c>
      <c r="U944" t="s">
        <v>1746</v>
      </c>
      <c r="V944" t="s">
        <v>1175</v>
      </c>
      <c r="W944">
        <v>1</v>
      </c>
      <c r="X944">
        <v>2641787281</v>
      </c>
      <c r="Y944" t="s">
        <v>1192</v>
      </c>
      <c r="Z944" t="s">
        <v>1193</v>
      </c>
      <c r="AA944" t="s">
        <v>1747</v>
      </c>
    </row>
    <row r="945" spans="1:27" x14ac:dyDescent="0.3">
      <c r="A945" t="s">
        <v>865</v>
      </c>
      <c r="B945" t="s">
        <v>1729</v>
      </c>
      <c r="C945" t="s">
        <v>25</v>
      </c>
      <c r="D945" t="s">
        <v>522</v>
      </c>
      <c r="E945" t="s">
        <v>624</v>
      </c>
      <c r="F945">
        <v>46234</v>
      </c>
      <c r="G945" t="s">
        <v>451</v>
      </c>
      <c r="H945" t="s">
        <v>1676</v>
      </c>
      <c r="I945" t="s">
        <v>1748</v>
      </c>
      <c r="J945" t="s">
        <v>563</v>
      </c>
      <c r="K945" t="s">
        <v>563</v>
      </c>
      <c r="O945">
        <v>384931931</v>
      </c>
      <c r="P945" t="s">
        <v>1749</v>
      </c>
      <c r="Q945" t="s">
        <v>1008</v>
      </c>
      <c r="R945" t="s">
        <v>1162</v>
      </c>
      <c r="S945" t="s">
        <v>1173</v>
      </c>
      <c r="T945" t="s">
        <v>1009</v>
      </c>
      <c r="U945" t="s">
        <v>563</v>
      </c>
      <c r="V945" t="s">
        <v>1175</v>
      </c>
      <c r="W945">
        <v>1</v>
      </c>
      <c r="X945">
        <v>384931931</v>
      </c>
      <c r="Y945" t="s">
        <v>1166</v>
      </c>
      <c r="Z945" t="s">
        <v>1167</v>
      </c>
      <c r="AA945" t="s">
        <v>1735</v>
      </c>
    </row>
    <row r="946" spans="1:27" x14ac:dyDescent="0.3">
      <c r="A946" t="s">
        <v>865</v>
      </c>
      <c r="B946" t="s">
        <v>1729</v>
      </c>
      <c r="C946" t="s">
        <v>25</v>
      </c>
      <c r="D946" t="s">
        <v>522</v>
      </c>
      <c r="E946" t="s">
        <v>624</v>
      </c>
      <c r="F946">
        <v>46234</v>
      </c>
      <c r="G946" t="s">
        <v>451</v>
      </c>
      <c r="H946" t="s">
        <v>1676</v>
      </c>
      <c r="I946" t="s">
        <v>1750</v>
      </c>
      <c r="J946" t="s">
        <v>1751</v>
      </c>
      <c r="K946" t="s">
        <v>1751</v>
      </c>
      <c r="O946">
        <v>18828373</v>
      </c>
      <c r="P946" t="s">
        <v>1752</v>
      </c>
      <c r="Q946" t="s">
        <v>1010</v>
      </c>
      <c r="R946" t="s">
        <v>1162</v>
      </c>
      <c r="S946" t="s">
        <v>1173</v>
      </c>
      <c r="T946" t="s">
        <v>1011</v>
      </c>
      <c r="U946" t="s">
        <v>1702</v>
      </c>
      <c r="V946" t="s">
        <v>1175</v>
      </c>
      <c r="W946">
        <v>1</v>
      </c>
      <c r="X946">
        <v>18828373</v>
      </c>
      <c r="Y946" t="s">
        <v>1166</v>
      </c>
      <c r="Z946" t="s">
        <v>1167</v>
      </c>
      <c r="AA946" t="s">
        <v>1735</v>
      </c>
    </row>
    <row r="947" spans="1:27" x14ac:dyDescent="0.3">
      <c r="A947" t="s">
        <v>865</v>
      </c>
      <c r="B947" t="s">
        <v>1722</v>
      </c>
      <c r="C947" t="s">
        <v>25</v>
      </c>
      <c r="D947" t="s">
        <v>522</v>
      </c>
      <c r="E947" t="s">
        <v>624</v>
      </c>
      <c r="F947">
        <v>46234</v>
      </c>
      <c r="G947" t="s">
        <v>451</v>
      </c>
      <c r="H947" t="s">
        <v>1676</v>
      </c>
      <c r="I947" t="s">
        <v>1753</v>
      </c>
      <c r="J947" t="s">
        <v>1754</v>
      </c>
      <c r="K947" t="s">
        <v>1754</v>
      </c>
      <c r="O947">
        <v>1</v>
      </c>
      <c r="P947" t="s">
        <v>1755</v>
      </c>
      <c r="Q947" t="s">
        <v>1018</v>
      </c>
      <c r="R947" t="s">
        <v>1162</v>
      </c>
      <c r="S947" t="s">
        <v>1173</v>
      </c>
      <c r="T947" t="s">
        <v>1002</v>
      </c>
      <c r="U947" t="s">
        <v>1726</v>
      </c>
      <c r="V947" t="s">
        <v>1727</v>
      </c>
      <c r="W947">
        <v>1</v>
      </c>
      <c r="X947">
        <v>1</v>
      </c>
      <c r="Y947" t="s">
        <v>1166</v>
      </c>
      <c r="Z947" t="s">
        <v>1167</v>
      </c>
      <c r="AA947" t="s">
        <v>1728</v>
      </c>
    </row>
    <row r="948" spans="1:27" x14ac:dyDescent="0.3">
      <c r="A948" t="s">
        <v>865</v>
      </c>
      <c r="B948" t="s">
        <v>1756</v>
      </c>
      <c r="C948" t="s">
        <v>25</v>
      </c>
      <c r="D948" t="s">
        <v>522</v>
      </c>
      <c r="E948" t="s">
        <v>624</v>
      </c>
      <c r="F948">
        <v>46234</v>
      </c>
      <c r="G948" t="s">
        <v>451</v>
      </c>
      <c r="H948" t="s">
        <v>1676</v>
      </c>
      <c r="I948" t="s">
        <v>1757</v>
      </c>
      <c r="J948" t="s">
        <v>936</v>
      </c>
      <c r="K948" t="s">
        <v>936</v>
      </c>
      <c r="O948">
        <v>830909000</v>
      </c>
      <c r="P948" t="s">
        <v>1758</v>
      </c>
      <c r="Q948" t="s">
        <v>1028</v>
      </c>
      <c r="R948" t="s">
        <v>1162</v>
      </c>
      <c r="S948" t="s">
        <v>1181</v>
      </c>
      <c r="T948" t="s">
        <v>1029</v>
      </c>
      <c r="U948" t="s">
        <v>1759</v>
      </c>
      <c r="V948" t="s">
        <v>1175</v>
      </c>
      <c r="W948">
        <v>1</v>
      </c>
      <c r="X948">
        <v>830909000</v>
      </c>
      <c r="Y948" t="s">
        <v>1166</v>
      </c>
      <c r="Z948" t="s">
        <v>1167</v>
      </c>
      <c r="AA948" t="s">
        <v>1760</v>
      </c>
    </row>
    <row r="949" spans="1:27" x14ac:dyDescent="0.3">
      <c r="A949" t="s">
        <v>865</v>
      </c>
      <c r="B949" t="s">
        <v>1756</v>
      </c>
      <c r="C949" t="s">
        <v>25</v>
      </c>
      <c r="D949" t="s">
        <v>522</v>
      </c>
      <c r="E949" t="s">
        <v>624</v>
      </c>
      <c r="F949">
        <v>46234</v>
      </c>
      <c r="G949" t="s">
        <v>451</v>
      </c>
      <c r="H949" t="s">
        <v>1676</v>
      </c>
      <c r="I949" t="s">
        <v>1761</v>
      </c>
      <c r="J949" t="s">
        <v>937</v>
      </c>
      <c r="K949" t="s">
        <v>937</v>
      </c>
      <c r="O949">
        <v>379430000</v>
      </c>
      <c r="P949" t="s">
        <v>1762</v>
      </c>
      <c r="Q949" t="s">
        <v>1030</v>
      </c>
      <c r="R949" t="s">
        <v>1162</v>
      </c>
      <c r="S949" t="s">
        <v>1181</v>
      </c>
      <c r="T949" t="s">
        <v>937</v>
      </c>
      <c r="U949" t="s">
        <v>1763</v>
      </c>
      <c r="V949" t="s">
        <v>1175</v>
      </c>
      <c r="W949">
        <v>1</v>
      </c>
      <c r="X949">
        <v>379430000</v>
      </c>
      <c r="Y949" t="s">
        <v>1166</v>
      </c>
      <c r="Z949" t="s">
        <v>1167</v>
      </c>
      <c r="AA949" t="s">
        <v>1760</v>
      </c>
    </row>
    <row r="950" spans="1:27" x14ac:dyDescent="0.3">
      <c r="A950" t="s">
        <v>865</v>
      </c>
      <c r="B950" t="s">
        <v>1756</v>
      </c>
      <c r="C950" t="s">
        <v>25</v>
      </c>
      <c r="D950" t="s">
        <v>522</v>
      </c>
      <c r="E950" t="s">
        <v>624</v>
      </c>
      <c r="F950">
        <v>46234</v>
      </c>
      <c r="G950" t="s">
        <v>451</v>
      </c>
      <c r="H950" t="s">
        <v>1676</v>
      </c>
      <c r="I950" t="s">
        <v>1764</v>
      </c>
      <c r="J950" t="s">
        <v>938</v>
      </c>
      <c r="K950" t="s">
        <v>938</v>
      </c>
      <c r="O950">
        <v>1214592672</v>
      </c>
      <c r="P950" t="s">
        <v>1765</v>
      </c>
      <c r="Q950" t="s">
        <v>1031</v>
      </c>
      <c r="R950" t="s">
        <v>1162</v>
      </c>
      <c r="S950" t="s">
        <v>1181</v>
      </c>
      <c r="T950" t="s">
        <v>1032</v>
      </c>
      <c r="U950" t="s">
        <v>938</v>
      </c>
      <c r="V950" t="s">
        <v>1175</v>
      </c>
      <c r="W950">
        <v>1</v>
      </c>
      <c r="X950">
        <v>1214592672</v>
      </c>
      <c r="Y950" t="s">
        <v>1166</v>
      </c>
      <c r="Z950" t="s">
        <v>1167</v>
      </c>
      <c r="AA950" t="s">
        <v>1760</v>
      </c>
    </row>
    <row r="951" spans="1:27" x14ac:dyDescent="0.3">
      <c r="A951" t="s">
        <v>865</v>
      </c>
      <c r="B951" t="s">
        <v>1756</v>
      </c>
      <c r="C951" t="s">
        <v>25</v>
      </c>
      <c r="D951" t="s">
        <v>522</v>
      </c>
      <c r="E951" t="s">
        <v>624</v>
      </c>
      <c r="F951">
        <v>46234</v>
      </c>
      <c r="G951" t="s">
        <v>451</v>
      </c>
      <c r="H951" t="s">
        <v>1676</v>
      </c>
      <c r="I951" t="s">
        <v>1766</v>
      </c>
      <c r="J951" t="s">
        <v>939</v>
      </c>
      <c r="K951" t="s">
        <v>939</v>
      </c>
      <c r="O951">
        <v>246728277</v>
      </c>
      <c r="P951" t="s">
        <v>1767</v>
      </c>
      <c r="Q951" t="s">
        <v>1035</v>
      </c>
      <c r="R951" t="s">
        <v>1162</v>
      </c>
      <c r="S951" t="s">
        <v>1181</v>
      </c>
      <c r="T951" t="s">
        <v>1768</v>
      </c>
      <c r="U951" t="s">
        <v>939</v>
      </c>
      <c r="V951" t="s">
        <v>1175</v>
      </c>
      <c r="W951">
        <v>1</v>
      </c>
      <c r="X951">
        <v>246728277</v>
      </c>
      <c r="Y951" t="s">
        <v>1166</v>
      </c>
      <c r="Z951" t="s">
        <v>1167</v>
      </c>
      <c r="AA951" t="s">
        <v>1760</v>
      </c>
    </row>
    <row r="952" spans="1:27" x14ac:dyDescent="0.3">
      <c r="A952" t="s">
        <v>865</v>
      </c>
      <c r="B952" t="s">
        <v>1722</v>
      </c>
      <c r="C952" t="s">
        <v>25</v>
      </c>
      <c r="D952" t="s">
        <v>522</v>
      </c>
      <c r="E952" t="s">
        <v>624</v>
      </c>
      <c r="F952">
        <v>46234</v>
      </c>
      <c r="G952" t="s">
        <v>451</v>
      </c>
      <c r="H952" t="s">
        <v>1676</v>
      </c>
      <c r="I952" t="s">
        <v>1769</v>
      </c>
      <c r="J952" t="s">
        <v>1770</v>
      </c>
      <c r="K952" t="s">
        <v>1770</v>
      </c>
      <c r="O952">
        <v>-1</v>
      </c>
      <c r="P952" t="s">
        <v>1771</v>
      </c>
      <c r="Q952" t="s">
        <v>1040</v>
      </c>
      <c r="R952" t="s">
        <v>1162</v>
      </c>
      <c r="S952" t="s">
        <v>1772</v>
      </c>
      <c r="T952" t="s">
        <v>1773</v>
      </c>
      <c r="U952" t="s">
        <v>1774</v>
      </c>
      <c r="V952" t="s">
        <v>1727</v>
      </c>
      <c r="W952">
        <v>1</v>
      </c>
      <c r="X952">
        <v>-1</v>
      </c>
      <c r="Y952" t="s">
        <v>1166</v>
      </c>
      <c r="Z952" t="s">
        <v>1167</v>
      </c>
      <c r="AA952" t="s">
        <v>1775</v>
      </c>
    </row>
    <row r="953" spans="1:27" x14ac:dyDescent="0.3">
      <c r="A953" t="s">
        <v>865</v>
      </c>
      <c r="B953" t="s">
        <v>1776</v>
      </c>
      <c r="C953" t="s">
        <v>25</v>
      </c>
      <c r="D953" t="s">
        <v>522</v>
      </c>
      <c r="E953" t="s">
        <v>624</v>
      </c>
      <c r="F953">
        <v>46234</v>
      </c>
      <c r="G953" t="s">
        <v>451</v>
      </c>
      <c r="H953" t="s">
        <v>1730</v>
      </c>
      <c r="I953" t="s">
        <v>1777</v>
      </c>
      <c r="J953" t="s">
        <v>943</v>
      </c>
      <c r="K953" t="s">
        <v>943</v>
      </c>
      <c r="O953">
        <v>5615511389</v>
      </c>
      <c r="P953" t="s">
        <v>1778</v>
      </c>
      <c r="Q953" t="s">
        <v>1048</v>
      </c>
      <c r="R953" t="s">
        <v>1199</v>
      </c>
      <c r="S953" t="s">
        <v>1318</v>
      </c>
      <c r="T953" t="s">
        <v>1049</v>
      </c>
      <c r="U953" t="s">
        <v>1779</v>
      </c>
      <c r="V953" t="s">
        <v>1175</v>
      </c>
      <c r="W953">
        <v>1</v>
      </c>
      <c r="X953">
        <v>5615511389</v>
      </c>
      <c r="Y953" t="s">
        <v>1166</v>
      </c>
      <c r="Z953" t="s">
        <v>1167</v>
      </c>
      <c r="AA953" t="s">
        <v>1780</v>
      </c>
    </row>
    <row r="954" spans="1:27" x14ac:dyDescent="0.3">
      <c r="A954" t="s">
        <v>865</v>
      </c>
      <c r="B954" t="s">
        <v>1776</v>
      </c>
      <c r="C954" t="s">
        <v>25</v>
      </c>
      <c r="D954" t="s">
        <v>522</v>
      </c>
      <c r="E954" t="s">
        <v>624</v>
      </c>
      <c r="F954">
        <v>46234</v>
      </c>
      <c r="G954" t="s">
        <v>451</v>
      </c>
      <c r="H954" t="s">
        <v>1730</v>
      </c>
      <c r="I954" t="s">
        <v>1781</v>
      </c>
      <c r="J954" t="s">
        <v>944</v>
      </c>
      <c r="K954" t="s">
        <v>944</v>
      </c>
      <c r="O954">
        <v>-463278090</v>
      </c>
      <c r="P954" t="s">
        <v>1782</v>
      </c>
      <c r="Q954" t="s">
        <v>1050</v>
      </c>
      <c r="R954" t="s">
        <v>1199</v>
      </c>
      <c r="S954" t="s">
        <v>1783</v>
      </c>
      <c r="T954" t="s">
        <v>944</v>
      </c>
      <c r="U954" t="s">
        <v>944</v>
      </c>
      <c r="V954" t="s">
        <v>1784</v>
      </c>
      <c r="W954">
        <v>1</v>
      </c>
      <c r="X954">
        <v>-463278090</v>
      </c>
      <c r="Y954" t="s">
        <v>1166</v>
      </c>
      <c r="Z954" t="s">
        <v>1167</v>
      </c>
      <c r="AA954" t="s">
        <v>1780</v>
      </c>
    </row>
    <row r="955" spans="1:27" x14ac:dyDescent="0.3">
      <c r="A955" t="s">
        <v>865</v>
      </c>
      <c r="B955" t="s">
        <v>1785</v>
      </c>
      <c r="C955" t="s">
        <v>25</v>
      </c>
      <c r="D955" t="s">
        <v>522</v>
      </c>
      <c r="E955" t="s">
        <v>624</v>
      </c>
      <c r="F955">
        <v>46234</v>
      </c>
      <c r="G955" t="s">
        <v>451</v>
      </c>
      <c r="H955" t="s">
        <v>1730</v>
      </c>
      <c r="I955" t="s">
        <v>1786</v>
      </c>
      <c r="J955" t="s">
        <v>1787</v>
      </c>
      <c r="K955" t="s">
        <v>1787</v>
      </c>
      <c r="O955">
        <v>2442623347</v>
      </c>
      <c r="P955" t="s">
        <v>1788</v>
      </c>
      <c r="Q955" t="s">
        <v>1054</v>
      </c>
      <c r="R955" t="s">
        <v>1199</v>
      </c>
      <c r="S955" t="s">
        <v>945</v>
      </c>
      <c r="T955" t="s">
        <v>945</v>
      </c>
      <c r="U955" t="s">
        <v>1789</v>
      </c>
      <c r="V955" t="s">
        <v>1165</v>
      </c>
      <c r="W955">
        <v>1</v>
      </c>
      <c r="X955">
        <v>2442623347</v>
      </c>
      <c r="Y955" t="s">
        <v>1166</v>
      </c>
      <c r="Z955" t="s">
        <v>1167</v>
      </c>
      <c r="AA955" t="s">
        <v>1790</v>
      </c>
    </row>
    <row r="956" spans="1:27" x14ac:dyDescent="0.3">
      <c r="A956" t="s">
        <v>865</v>
      </c>
      <c r="B956" t="s">
        <v>1791</v>
      </c>
      <c r="C956" t="s">
        <v>25</v>
      </c>
      <c r="D956" t="s">
        <v>522</v>
      </c>
      <c r="E956" t="s">
        <v>624</v>
      </c>
      <c r="F956">
        <v>46234</v>
      </c>
      <c r="G956" t="s">
        <v>451</v>
      </c>
      <c r="H956" t="s">
        <v>1730</v>
      </c>
      <c r="I956" t="s">
        <v>1792</v>
      </c>
      <c r="J956" t="s">
        <v>1793</v>
      </c>
      <c r="K956" t="s">
        <v>1793</v>
      </c>
      <c r="O956">
        <v>-1</v>
      </c>
      <c r="P956" t="s">
        <v>1794</v>
      </c>
      <c r="Q956" t="s">
        <v>1056</v>
      </c>
      <c r="R956" t="s">
        <v>1199</v>
      </c>
      <c r="S956" t="s">
        <v>1795</v>
      </c>
      <c r="T956" t="s">
        <v>1796</v>
      </c>
      <c r="U956" t="s">
        <v>1797</v>
      </c>
      <c r="V956" t="s">
        <v>1727</v>
      </c>
      <c r="W956">
        <v>1</v>
      </c>
      <c r="X956">
        <v>-1</v>
      </c>
      <c r="Y956" t="s">
        <v>1166</v>
      </c>
      <c r="Z956" t="s">
        <v>1167</v>
      </c>
      <c r="AA956" t="s">
        <v>1798</v>
      </c>
    </row>
    <row r="957" spans="1:27" x14ac:dyDescent="0.3">
      <c r="A957" t="s">
        <v>865</v>
      </c>
      <c r="B957" t="s">
        <v>1799</v>
      </c>
      <c r="C957" t="s">
        <v>25</v>
      </c>
      <c r="D957" t="s">
        <v>522</v>
      </c>
      <c r="E957" t="s">
        <v>624</v>
      </c>
      <c r="F957">
        <v>46234</v>
      </c>
      <c r="G957" t="s">
        <v>451</v>
      </c>
      <c r="H957" t="s">
        <v>1730</v>
      </c>
      <c r="I957" t="s">
        <v>1800</v>
      </c>
      <c r="J957" t="s">
        <v>947</v>
      </c>
      <c r="K957" t="s">
        <v>947</v>
      </c>
      <c r="O957">
        <v>797478918</v>
      </c>
      <c r="P957" t="s">
        <v>1801</v>
      </c>
      <c r="Q957" t="s">
        <v>1085</v>
      </c>
      <c r="R957" t="s">
        <v>1199</v>
      </c>
      <c r="S957" t="s">
        <v>947</v>
      </c>
      <c r="T957" t="s">
        <v>1086</v>
      </c>
      <c r="U957" t="s">
        <v>1802</v>
      </c>
      <c r="V957" t="s">
        <v>1165</v>
      </c>
      <c r="W957">
        <v>1</v>
      </c>
      <c r="X957">
        <v>797478918</v>
      </c>
      <c r="Y957" t="s">
        <v>1166</v>
      </c>
      <c r="Z957" t="s">
        <v>1167</v>
      </c>
      <c r="AA957" t="s">
        <v>1803</v>
      </c>
    </row>
    <row r="958" spans="1:27" x14ac:dyDescent="0.3">
      <c r="A958" t="s">
        <v>865</v>
      </c>
      <c r="B958" t="s">
        <v>1799</v>
      </c>
      <c r="C958" t="s">
        <v>25</v>
      </c>
      <c r="D958" t="s">
        <v>522</v>
      </c>
      <c r="E958" t="s">
        <v>624</v>
      </c>
      <c r="F958">
        <v>46234</v>
      </c>
      <c r="G958" t="s">
        <v>451</v>
      </c>
      <c r="H958" t="s">
        <v>1730</v>
      </c>
      <c r="I958" t="s">
        <v>1804</v>
      </c>
      <c r="J958" t="s">
        <v>948</v>
      </c>
      <c r="K958" t="s">
        <v>948</v>
      </c>
      <c r="O958">
        <v>959736563</v>
      </c>
      <c r="P958" t="s">
        <v>1805</v>
      </c>
      <c r="Q958" t="s">
        <v>1107</v>
      </c>
      <c r="R958" t="s">
        <v>1199</v>
      </c>
      <c r="S958" t="s">
        <v>948</v>
      </c>
      <c r="T958" t="s">
        <v>1108</v>
      </c>
      <c r="U958" t="s">
        <v>1806</v>
      </c>
      <c r="V958" t="s">
        <v>1165</v>
      </c>
      <c r="W958">
        <v>1</v>
      </c>
      <c r="X958">
        <v>959736563</v>
      </c>
      <c r="Y958" t="s">
        <v>1166</v>
      </c>
      <c r="Z958" t="s">
        <v>1167</v>
      </c>
      <c r="AA958" t="s">
        <v>1803</v>
      </c>
    </row>
    <row r="959" spans="1:27" x14ac:dyDescent="0.3">
      <c r="A959" t="s">
        <v>865</v>
      </c>
      <c r="B959" t="s">
        <v>1799</v>
      </c>
      <c r="C959" t="s">
        <v>25</v>
      </c>
      <c r="D959" t="s">
        <v>522</v>
      </c>
      <c r="E959" t="s">
        <v>624</v>
      </c>
      <c r="F959">
        <v>46234</v>
      </c>
      <c r="G959" t="s">
        <v>451</v>
      </c>
      <c r="H959" t="s">
        <v>1730</v>
      </c>
      <c r="I959" t="s">
        <v>1807</v>
      </c>
      <c r="J959" t="s">
        <v>949</v>
      </c>
      <c r="K959" t="s">
        <v>949</v>
      </c>
      <c r="O959">
        <v>676358287</v>
      </c>
      <c r="P959" t="s">
        <v>1808</v>
      </c>
      <c r="Q959" t="s">
        <v>1090</v>
      </c>
      <c r="R959" t="s">
        <v>1199</v>
      </c>
      <c r="S959" t="s">
        <v>1809</v>
      </c>
      <c r="T959" t="s">
        <v>1091</v>
      </c>
      <c r="U959" t="s">
        <v>1810</v>
      </c>
      <c r="V959" t="s">
        <v>1165</v>
      </c>
      <c r="W959">
        <v>1</v>
      </c>
      <c r="X959">
        <v>676358287</v>
      </c>
      <c r="Y959" t="s">
        <v>1166</v>
      </c>
      <c r="Z959" t="s">
        <v>1167</v>
      </c>
      <c r="AA959" t="s">
        <v>1803</v>
      </c>
    </row>
    <row r="960" spans="1:27" x14ac:dyDescent="0.3">
      <c r="A960" t="s">
        <v>865</v>
      </c>
      <c r="B960" t="s">
        <v>1791</v>
      </c>
      <c r="C960" t="s">
        <v>25</v>
      </c>
      <c r="D960" t="s">
        <v>522</v>
      </c>
      <c r="E960" t="s">
        <v>624</v>
      </c>
      <c r="F960">
        <v>46234</v>
      </c>
      <c r="G960" t="s">
        <v>451</v>
      </c>
      <c r="H960" t="s">
        <v>1730</v>
      </c>
      <c r="I960" t="s">
        <v>1811</v>
      </c>
      <c r="J960" t="s">
        <v>1812</v>
      </c>
      <c r="K960" t="s">
        <v>1812</v>
      </c>
      <c r="O960">
        <v>1</v>
      </c>
      <c r="P960" t="s">
        <v>1813</v>
      </c>
      <c r="Q960" t="s">
        <v>1111</v>
      </c>
      <c r="R960" t="s">
        <v>1199</v>
      </c>
      <c r="S960" t="s">
        <v>1795</v>
      </c>
      <c r="T960" t="s">
        <v>1814</v>
      </c>
      <c r="U960" t="s">
        <v>1797</v>
      </c>
      <c r="V960" t="s">
        <v>1727</v>
      </c>
      <c r="W960">
        <v>1</v>
      </c>
      <c r="X960">
        <v>1</v>
      </c>
      <c r="Y960" t="s">
        <v>1166</v>
      </c>
      <c r="Z960" t="s">
        <v>1167</v>
      </c>
      <c r="AA960" t="s">
        <v>1815</v>
      </c>
    </row>
    <row r="961" spans="1:27" x14ac:dyDescent="0.3">
      <c r="A961" t="s">
        <v>865</v>
      </c>
      <c r="B961" t="s">
        <v>1816</v>
      </c>
      <c r="C961" t="s">
        <v>25</v>
      </c>
      <c r="D961" t="s">
        <v>522</v>
      </c>
      <c r="E961" t="s">
        <v>624</v>
      </c>
      <c r="F961">
        <v>46234</v>
      </c>
      <c r="G961" t="s">
        <v>451</v>
      </c>
      <c r="H961" t="s">
        <v>1730</v>
      </c>
      <c r="I961" t="s">
        <v>1817</v>
      </c>
      <c r="J961" t="s">
        <v>1818</v>
      </c>
      <c r="K961" t="s">
        <v>1818</v>
      </c>
      <c r="O961">
        <v>10800447</v>
      </c>
      <c r="P961" t="s">
        <v>1819</v>
      </c>
      <c r="Q961" t="s">
        <v>1118</v>
      </c>
      <c r="R961" t="s">
        <v>1199</v>
      </c>
      <c r="S961" t="s">
        <v>1324</v>
      </c>
      <c r="T961" t="s">
        <v>1119</v>
      </c>
      <c r="U961" t="s">
        <v>561</v>
      </c>
      <c r="V961" t="s">
        <v>1175</v>
      </c>
      <c r="W961">
        <v>1</v>
      </c>
      <c r="X961">
        <v>10800447</v>
      </c>
      <c r="Y961" t="s">
        <v>1166</v>
      </c>
      <c r="Z961" t="s">
        <v>1167</v>
      </c>
      <c r="AA961" t="s">
        <v>1820</v>
      </c>
    </row>
    <row r="962" spans="1:27" x14ac:dyDescent="0.3">
      <c r="A962" t="s">
        <v>865</v>
      </c>
      <c r="B962" t="s">
        <v>1821</v>
      </c>
      <c r="C962" t="s">
        <v>25</v>
      </c>
      <c r="D962" t="s">
        <v>522</v>
      </c>
      <c r="E962" t="s">
        <v>624</v>
      </c>
      <c r="F962">
        <v>46234</v>
      </c>
      <c r="G962" t="s">
        <v>451</v>
      </c>
      <c r="H962" t="s">
        <v>1730</v>
      </c>
      <c r="I962" t="s">
        <v>1822</v>
      </c>
      <c r="J962" t="s">
        <v>1823</v>
      </c>
      <c r="K962" t="s">
        <v>1823</v>
      </c>
      <c r="O962">
        <v>40108353</v>
      </c>
      <c r="P962" t="s">
        <v>1824</v>
      </c>
      <c r="Q962" t="s">
        <v>1123</v>
      </c>
      <c r="R962" t="s">
        <v>1199</v>
      </c>
      <c r="S962" t="s">
        <v>717</v>
      </c>
      <c r="T962" t="s">
        <v>717</v>
      </c>
      <c r="U962" t="s">
        <v>1825</v>
      </c>
      <c r="V962" t="s">
        <v>1165</v>
      </c>
      <c r="W962">
        <v>1</v>
      </c>
      <c r="X962">
        <v>40108353</v>
      </c>
      <c r="Y962" t="s">
        <v>1166</v>
      </c>
      <c r="Z962" t="s">
        <v>1193</v>
      </c>
      <c r="AA962" t="s">
        <v>1826</v>
      </c>
    </row>
    <row r="963" spans="1:27" x14ac:dyDescent="0.3">
      <c r="A963" t="s">
        <v>865</v>
      </c>
      <c r="B963" t="s">
        <v>964</v>
      </c>
      <c r="C963" t="s">
        <v>25</v>
      </c>
      <c r="D963" t="s">
        <v>522</v>
      </c>
      <c r="E963" t="s">
        <v>624</v>
      </c>
      <c r="F963">
        <v>46234</v>
      </c>
      <c r="G963" t="s">
        <v>451</v>
      </c>
      <c r="H963" t="s">
        <v>1730</v>
      </c>
      <c r="I963" t="s">
        <v>1827</v>
      </c>
      <c r="J963" t="s">
        <v>1125</v>
      </c>
      <c r="K963" t="s">
        <v>1125</v>
      </c>
      <c r="O963">
        <v>0</v>
      </c>
      <c r="P963" t="s">
        <v>1828</v>
      </c>
      <c r="Q963" t="s">
        <v>1124</v>
      </c>
      <c r="R963" t="s">
        <v>1199</v>
      </c>
      <c r="S963" t="s">
        <v>1829</v>
      </c>
      <c r="T963" t="s">
        <v>1125</v>
      </c>
      <c r="U963" t="s">
        <v>1125</v>
      </c>
      <c r="V963" t="s">
        <v>1165</v>
      </c>
      <c r="W963">
        <v>1</v>
      </c>
      <c r="Y963" t="s">
        <v>1166</v>
      </c>
      <c r="Z963" t="s">
        <v>1167</v>
      </c>
      <c r="AA963" t="s">
        <v>1830</v>
      </c>
    </row>
    <row r="964" spans="1:27" x14ac:dyDescent="0.3">
      <c r="A964" t="s">
        <v>865</v>
      </c>
      <c r="B964" t="s">
        <v>1791</v>
      </c>
      <c r="C964" t="s">
        <v>25</v>
      </c>
      <c r="D964" t="s">
        <v>522</v>
      </c>
      <c r="E964" t="s">
        <v>624</v>
      </c>
      <c r="F964">
        <v>46234</v>
      </c>
      <c r="G964" t="s">
        <v>451</v>
      </c>
      <c r="H964" t="s">
        <v>1730</v>
      </c>
      <c r="I964" t="s">
        <v>1831</v>
      </c>
      <c r="J964" t="s">
        <v>1832</v>
      </c>
      <c r="K964" t="s">
        <v>1832</v>
      </c>
      <c r="O964">
        <v>1</v>
      </c>
      <c r="P964" t="s">
        <v>1833</v>
      </c>
      <c r="Q964" t="s">
        <v>1128</v>
      </c>
      <c r="R964" t="s">
        <v>1199</v>
      </c>
      <c r="S964" t="s">
        <v>1795</v>
      </c>
      <c r="T964" t="s">
        <v>1834</v>
      </c>
      <c r="U964" t="s">
        <v>1774</v>
      </c>
      <c r="V964" t="s">
        <v>1727</v>
      </c>
      <c r="W964">
        <v>1</v>
      </c>
      <c r="X964">
        <v>1</v>
      </c>
      <c r="Y964" t="s">
        <v>1166</v>
      </c>
      <c r="Z964" t="s">
        <v>1167</v>
      </c>
      <c r="AA964" t="s">
        <v>1835</v>
      </c>
    </row>
    <row r="965" spans="1:27" x14ac:dyDescent="0.3">
      <c r="A965" t="s">
        <v>1836</v>
      </c>
      <c r="B965" t="s">
        <v>1158</v>
      </c>
      <c r="C965" t="s">
        <v>976</v>
      </c>
      <c r="D965" t="s">
        <v>658</v>
      </c>
      <c r="E965" t="s">
        <v>624</v>
      </c>
      <c r="F965">
        <v>46234</v>
      </c>
      <c r="G965" t="s">
        <v>496</v>
      </c>
      <c r="H965" t="s">
        <v>1159</v>
      </c>
      <c r="I965">
        <v>11100501</v>
      </c>
      <c r="J965" t="s">
        <v>1160</v>
      </c>
      <c r="L965">
        <v>621.14</v>
      </c>
      <c r="M965">
        <v>2900</v>
      </c>
      <c r="N965">
        <v>3076.94</v>
      </c>
      <c r="O965">
        <v>444.2</v>
      </c>
      <c r="P965" t="s">
        <v>1161</v>
      </c>
      <c r="Q965" t="s">
        <v>980</v>
      </c>
      <c r="R965" t="s">
        <v>1162</v>
      </c>
      <c r="S965" t="s">
        <v>1163</v>
      </c>
      <c r="T965" t="s">
        <v>926</v>
      </c>
      <c r="U965" t="s">
        <v>1164</v>
      </c>
      <c r="V965" t="s">
        <v>1165</v>
      </c>
      <c r="W965">
        <v>1</v>
      </c>
      <c r="X965">
        <v>444.2</v>
      </c>
      <c r="Y965" t="s">
        <v>1166</v>
      </c>
      <c r="Z965" t="s">
        <v>1167</v>
      </c>
      <c r="AA965" t="s">
        <v>1168</v>
      </c>
    </row>
    <row r="966" spans="1:27" x14ac:dyDescent="0.3">
      <c r="A966" t="s">
        <v>1836</v>
      </c>
      <c r="B966" t="s">
        <v>1837</v>
      </c>
      <c r="C966" t="s">
        <v>976</v>
      </c>
      <c r="D966" t="s">
        <v>658</v>
      </c>
      <c r="E966" t="s">
        <v>624</v>
      </c>
      <c r="F966">
        <v>46234</v>
      </c>
      <c r="G966" t="s">
        <v>496</v>
      </c>
      <c r="H966" t="s">
        <v>1159</v>
      </c>
      <c r="I966">
        <v>13050501</v>
      </c>
      <c r="J966" t="s">
        <v>1273</v>
      </c>
      <c r="K966" t="s">
        <v>1241</v>
      </c>
      <c r="L966">
        <v>0</v>
      </c>
      <c r="M966">
        <v>134104</v>
      </c>
      <c r="N966">
        <v>0</v>
      </c>
      <c r="O966">
        <v>134104</v>
      </c>
      <c r="P966" t="s">
        <v>1275</v>
      </c>
      <c r="Q966" t="s">
        <v>983</v>
      </c>
      <c r="R966" t="s">
        <v>1162</v>
      </c>
      <c r="S966" t="s">
        <v>1163</v>
      </c>
      <c r="T966" t="s">
        <v>984</v>
      </c>
      <c r="U966" t="s">
        <v>1276</v>
      </c>
      <c r="V966" t="s">
        <v>1165</v>
      </c>
      <c r="W966">
        <v>1</v>
      </c>
      <c r="X966">
        <v>134104</v>
      </c>
      <c r="Y966" t="s">
        <v>1166</v>
      </c>
      <c r="Z966" t="s">
        <v>1167</v>
      </c>
      <c r="AA966" t="s">
        <v>1277</v>
      </c>
    </row>
    <row r="967" spans="1:27" x14ac:dyDescent="0.3">
      <c r="A967" t="s">
        <v>1836</v>
      </c>
      <c r="B967" t="s">
        <v>1380</v>
      </c>
      <c r="C967" t="s">
        <v>976</v>
      </c>
      <c r="D967" t="s">
        <v>658</v>
      </c>
      <c r="E967" t="s">
        <v>624</v>
      </c>
      <c r="F967">
        <v>46234</v>
      </c>
      <c r="G967" t="s">
        <v>496</v>
      </c>
      <c r="H967" t="s">
        <v>1159</v>
      </c>
      <c r="I967">
        <v>23050102</v>
      </c>
      <c r="J967" t="s">
        <v>1170</v>
      </c>
      <c r="K967" t="s">
        <v>1171</v>
      </c>
      <c r="L967">
        <v>-92</v>
      </c>
      <c r="M967">
        <v>0</v>
      </c>
      <c r="N967">
        <v>0</v>
      </c>
      <c r="O967">
        <v>-92</v>
      </c>
      <c r="P967" t="s">
        <v>1172</v>
      </c>
      <c r="Q967" t="s">
        <v>1010</v>
      </c>
      <c r="R967" t="s">
        <v>1162</v>
      </c>
      <c r="S967" t="s">
        <v>1173</v>
      </c>
      <c r="T967" t="s">
        <v>1011</v>
      </c>
      <c r="U967" t="s">
        <v>1174</v>
      </c>
      <c r="V967" t="s">
        <v>1175</v>
      </c>
      <c r="W967">
        <v>-1</v>
      </c>
      <c r="X967">
        <v>92</v>
      </c>
      <c r="Y967" t="s">
        <v>1166</v>
      </c>
      <c r="Z967" t="s">
        <v>1167</v>
      </c>
      <c r="AA967" t="s">
        <v>1176</v>
      </c>
    </row>
    <row r="968" spans="1:27" x14ac:dyDescent="0.3">
      <c r="A968" t="s">
        <v>1836</v>
      </c>
      <c r="B968" t="s">
        <v>1559</v>
      </c>
      <c r="C968" t="s">
        <v>976</v>
      </c>
      <c r="D968" t="s">
        <v>658</v>
      </c>
      <c r="E968" t="s">
        <v>624</v>
      </c>
      <c r="F968">
        <v>46234</v>
      </c>
      <c r="G968" t="s">
        <v>496</v>
      </c>
      <c r="H968" t="s">
        <v>1159</v>
      </c>
      <c r="I968">
        <v>31050502</v>
      </c>
      <c r="J968" t="s">
        <v>1178</v>
      </c>
      <c r="K968" t="s">
        <v>1179</v>
      </c>
      <c r="L968">
        <v>-6882.83</v>
      </c>
      <c r="M968">
        <v>0</v>
      </c>
      <c r="N968">
        <v>0</v>
      </c>
      <c r="O968">
        <v>-6882.83</v>
      </c>
      <c r="P968" t="s">
        <v>1180</v>
      </c>
      <c r="Q968" t="s">
        <v>1028</v>
      </c>
      <c r="R968" t="s">
        <v>1162</v>
      </c>
      <c r="S968" t="s">
        <v>1181</v>
      </c>
      <c r="T968" t="s">
        <v>1029</v>
      </c>
      <c r="U968" t="s">
        <v>1182</v>
      </c>
      <c r="V968" t="s">
        <v>1175</v>
      </c>
      <c r="W968">
        <v>-1</v>
      </c>
      <c r="X968">
        <v>6882.83</v>
      </c>
      <c r="Y968" t="s">
        <v>1166</v>
      </c>
      <c r="Z968" t="s">
        <v>1167</v>
      </c>
      <c r="AA968" t="s">
        <v>1029</v>
      </c>
    </row>
    <row r="969" spans="1:27" x14ac:dyDescent="0.3">
      <c r="A969" t="s">
        <v>1836</v>
      </c>
      <c r="B969" t="s">
        <v>1188</v>
      </c>
      <c r="C969" t="s">
        <v>976</v>
      </c>
      <c r="D969" t="s">
        <v>658</v>
      </c>
      <c r="E969" t="s">
        <v>624</v>
      </c>
      <c r="F969">
        <v>46234</v>
      </c>
      <c r="G969" t="s">
        <v>496</v>
      </c>
      <c r="H969" t="s">
        <v>1159</v>
      </c>
      <c r="I969">
        <v>31150502</v>
      </c>
      <c r="J969" t="s">
        <v>1184</v>
      </c>
      <c r="L969">
        <v>-38318.959999999999</v>
      </c>
      <c r="M969">
        <v>0</v>
      </c>
      <c r="N969">
        <v>2900</v>
      </c>
      <c r="O969">
        <v>-41218.959999999999</v>
      </c>
      <c r="P969" t="s">
        <v>1185</v>
      </c>
      <c r="Q969" t="s">
        <v>1028</v>
      </c>
      <c r="R969" t="s">
        <v>1162</v>
      </c>
      <c r="S969" t="s">
        <v>1181</v>
      </c>
      <c r="T969" t="s">
        <v>1029</v>
      </c>
      <c r="U969" t="s">
        <v>1186</v>
      </c>
      <c r="V969" t="s">
        <v>1175</v>
      </c>
      <c r="W969">
        <v>-1</v>
      </c>
      <c r="X969">
        <v>41218.959999999999</v>
      </c>
      <c r="Y969" t="s">
        <v>1166</v>
      </c>
      <c r="Z969" t="s">
        <v>1167</v>
      </c>
      <c r="AA969" t="s">
        <v>1187</v>
      </c>
    </row>
    <row r="970" spans="1:27" x14ac:dyDescent="0.3">
      <c r="A970" t="s">
        <v>1836</v>
      </c>
      <c r="B970" t="s">
        <v>1557</v>
      </c>
      <c r="C970" t="s">
        <v>976</v>
      </c>
      <c r="D970" t="s">
        <v>658</v>
      </c>
      <c r="E970" t="s">
        <v>624</v>
      </c>
      <c r="F970">
        <v>46234</v>
      </c>
      <c r="G970" t="s">
        <v>496</v>
      </c>
      <c r="H970" t="s">
        <v>1159</v>
      </c>
      <c r="I970">
        <v>36100102</v>
      </c>
      <c r="J970" t="s">
        <v>1189</v>
      </c>
      <c r="L970">
        <v>22674.27</v>
      </c>
      <c r="M970">
        <v>0</v>
      </c>
      <c r="N970">
        <v>0</v>
      </c>
      <c r="O970">
        <v>22674.27</v>
      </c>
      <c r="P970" t="s">
        <v>1190</v>
      </c>
      <c r="Q970" t="s">
        <v>1033</v>
      </c>
      <c r="R970" t="s">
        <v>1162</v>
      </c>
      <c r="S970" t="s">
        <v>1181</v>
      </c>
      <c r="T970" t="s">
        <v>1034</v>
      </c>
      <c r="U970" t="s">
        <v>1191</v>
      </c>
      <c r="V970" t="s">
        <v>1175</v>
      </c>
      <c r="W970">
        <v>-1</v>
      </c>
      <c r="X970">
        <v>-22674.27</v>
      </c>
      <c r="Y970" t="s">
        <v>1192</v>
      </c>
      <c r="Z970" t="s">
        <v>1193</v>
      </c>
      <c r="AA970" t="s">
        <v>1194</v>
      </c>
    </row>
    <row r="971" spans="1:27" x14ac:dyDescent="0.3">
      <c r="A971" t="s">
        <v>1836</v>
      </c>
      <c r="B971" t="s">
        <v>1207</v>
      </c>
      <c r="C971" t="s">
        <v>976</v>
      </c>
      <c r="D971" t="s">
        <v>658</v>
      </c>
      <c r="E971" t="s">
        <v>624</v>
      </c>
      <c r="F971">
        <v>46234</v>
      </c>
      <c r="G971" t="s">
        <v>496</v>
      </c>
      <c r="H971" t="s">
        <v>1159</v>
      </c>
      <c r="I971">
        <v>41700101</v>
      </c>
      <c r="J971" t="s">
        <v>1315</v>
      </c>
      <c r="K971" t="s">
        <v>1241</v>
      </c>
      <c r="L971">
        <v>0</v>
      </c>
      <c r="M971">
        <v>0</v>
      </c>
      <c r="N971">
        <v>134104</v>
      </c>
      <c r="O971">
        <v>-134104</v>
      </c>
      <c r="P971" t="s">
        <v>1317</v>
      </c>
      <c r="Q971" t="s">
        <v>1048</v>
      </c>
      <c r="R971" t="s">
        <v>1199</v>
      </c>
      <c r="S971" t="s">
        <v>1318</v>
      </c>
      <c r="T971" t="s">
        <v>1049</v>
      </c>
      <c r="U971" t="s">
        <v>1319</v>
      </c>
      <c r="V971" t="s">
        <v>1175</v>
      </c>
      <c r="W971">
        <v>-1</v>
      </c>
      <c r="X971">
        <v>134104</v>
      </c>
      <c r="Y971" t="s">
        <v>1166</v>
      </c>
      <c r="Z971" t="s">
        <v>1167</v>
      </c>
      <c r="AA971" t="s">
        <v>1320</v>
      </c>
    </row>
    <row r="972" spans="1:27" x14ac:dyDescent="0.3">
      <c r="A972" t="s">
        <v>1836</v>
      </c>
      <c r="B972" t="s">
        <v>1309</v>
      </c>
      <c r="C972" t="s">
        <v>976</v>
      </c>
      <c r="D972" t="s">
        <v>658</v>
      </c>
      <c r="E972" t="s">
        <v>624</v>
      </c>
      <c r="F972">
        <v>46234</v>
      </c>
      <c r="G972" t="s">
        <v>496</v>
      </c>
      <c r="H972" t="s">
        <v>1159</v>
      </c>
      <c r="I972">
        <v>51050601</v>
      </c>
      <c r="J972" t="s">
        <v>1196</v>
      </c>
      <c r="K972" t="s">
        <v>1197</v>
      </c>
      <c r="L972">
        <v>7250</v>
      </c>
      <c r="M972">
        <v>2230</v>
      </c>
      <c r="N972">
        <v>0</v>
      </c>
      <c r="O972">
        <v>9480</v>
      </c>
      <c r="P972" t="s">
        <v>1198</v>
      </c>
      <c r="Q972" t="s">
        <v>1060</v>
      </c>
      <c r="R972" t="s">
        <v>1199</v>
      </c>
      <c r="S972" t="s">
        <v>947</v>
      </c>
      <c r="T972" t="s">
        <v>1061</v>
      </c>
      <c r="U972" t="s">
        <v>1200</v>
      </c>
      <c r="V972" t="s">
        <v>1165</v>
      </c>
      <c r="W972">
        <v>1</v>
      </c>
      <c r="X972">
        <v>9480</v>
      </c>
      <c r="Y972" t="s">
        <v>1166</v>
      </c>
      <c r="Z972" t="s">
        <v>1167</v>
      </c>
      <c r="AA972" t="s">
        <v>1201</v>
      </c>
    </row>
    <row r="973" spans="1:27" x14ac:dyDescent="0.3">
      <c r="A973" t="s">
        <v>1836</v>
      </c>
      <c r="B973" t="s">
        <v>1224</v>
      </c>
      <c r="C973" t="s">
        <v>976</v>
      </c>
      <c r="D973" t="s">
        <v>658</v>
      </c>
      <c r="E973" t="s">
        <v>624</v>
      </c>
      <c r="F973">
        <v>46234</v>
      </c>
      <c r="G973" t="s">
        <v>496</v>
      </c>
      <c r="H973" t="s">
        <v>1159</v>
      </c>
      <c r="I973">
        <v>51052105</v>
      </c>
      <c r="J973" t="s">
        <v>1203</v>
      </c>
      <c r="L973">
        <v>1800</v>
      </c>
      <c r="M973">
        <v>300</v>
      </c>
      <c r="N973">
        <v>0</v>
      </c>
      <c r="O973">
        <v>2100</v>
      </c>
      <c r="P973" t="s">
        <v>1204</v>
      </c>
      <c r="Q973" t="s">
        <v>1075</v>
      </c>
      <c r="R973" t="s">
        <v>1199</v>
      </c>
      <c r="S973" t="s">
        <v>947</v>
      </c>
      <c r="T973" t="s">
        <v>1076</v>
      </c>
      <c r="U973" t="s">
        <v>1205</v>
      </c>
      <c r="V973" t="s">
        <v>1165</v>
      </c>
      <c r="W973">
        <v>1</v>
      </c>
      <c r="X973">
        <v>2100</v>
      </c>
      <c r="Y973" t="s">
        <v>1166</v>
      </c>
      <c r="Z973" t="s">
        <v>1167</v>
      </c>
      <c r="AA973" t="s">
        <v>1206</v>
      </c>
    </row>
    <row r="974" spans="1:27" x14ac:dyDescent="0.3">
      <c r="A974" t="s">
        <v>1836</v>
      </c>
      <c r="B974" t="s">
        <v>1314</v>
      </c>
      <c r="C974" t="s">
        <v>976</v>
      </c>
      <c r="D974" t="s">
        <v>658</v>
      </c>
      <c r="E974" t="s">
        <v>624</v>
      </c>
      <c r="F974">
        <v>46234</v>
      </c>
      <c r="G974" t="s">
        <v>496</v>
      </c>
      <c r="H974" t="s">
        <v>1159</v>
      </c>
      <c r="I974">
        <v>51053101</v>
      </c>
      <c r="J974" t="s">
        <v>1208</v>
      </c>
      <c r="K974" t="s">
        <v>1197</v>
      </c>
      <c r="L974">
        <v>2412.37</v>
      </c>
      <c r="M974">
        <v>400</v>
      </c>
      <c r="N974">
        <v>0</v>
      </c>
      <c r="O974">
        <v>2812.37</v>
      </c>
      <c r="P974" t="s">
        <v>1209</v>
      </c>
      <c r="Q974" t="s">
        <v>1060</v>
      </c>
      <c r="R974" t="s">
        <v>1199</v>
      </c>
      <c r="S974" t="s">
        <v>947</v>
      </c>
      <c r="T974" t="s">
        <v>1061</v>
      </c>
      <c r="U974" t="s">
        <v>1210</v>
      </c>
      <c r="V974" t="s">
        <v>1165</v>
      </c>
      <c r="W974">
        <v>1</v>
      </c>
      <c r="X974">
        <v>2812.37</v>
      </c>
      <c r="Y974" t="s">
        <v>1166</v>
      </c>
      <c r="Z974" t="s">
        <v>1167</v>
      </c>
      <c r="AA974" t="s">
        <v>1211</v>
      </c>
    </row>
    <row r="975" spans="1:27" x14ac:dyDescent="0.3">
      <c r="A975" t="s">
        <v>1836</v>
      </c>
      <c r="B975" t="s">
        <v>1584</v>
      </c>
      <c r="C975" t="s">
        <v>976</v>
      </c>
      <c r="D975" t="s">
        <v>658</v>
      </c>
      <c r="E975" t="s">
        <v>624</v>
      </c>
      <c r="F975">
        <v>46234</v>
      </c>
      <c r="G975" t="s">
        <v>496</v>
      </c>
      <c r="H975" t="s">
        <v>1159</v>
      </c>
      <c r="I975">
        <v>51102501</v>
      </c>
      <c r="J975" t="s">
        <v>1213</v>
      </c>
      <c r="K975" t="s">
        <v>1214</v>
      </c>
      <c r="L975">
        <v>270.35000000000002</v>
      </c>
      <c r="M975">
        <v>0</v>
      </c>
      <c r="N975">
        <v>0</v>
      </c>
      <c r="O975">
        <v>270.35000000000002</v>
      </c>
      <c r="P975" t="s">
        <v>1215</v>
      </c>
      <c r="Q975" t="s">
        <v>1062</v>
      </c>
      <c r="R975" t="s">
        <v>1199</v>
      </c>
      <c r="S975" t="s">
        <v>947</v>
      </c>
      <c r="T975" t="s">
        <v>1063</v>
      </c>
      <c r="U975" t="s">
        <v>1216</v>
      </c>
      <c r="V975" t="s">
        <v>1165</v>
      </c>
      <c r="W975">
        <v>1</v>
      </c>
      <c r="X975">
        <v>270.35000000000002</v>
      </c>
      <c r="Y975" t="s">
        <v>1166</v>
      </c>
      <c r="Z975" t="s">
        <v>1167</v>
      </c>
      <c r="AA975" t="s">
        <v>1217</v>
      </c>
    </row>
    <row r="976" spans="1:27" x14ac:dyDescent="0.3">
      <c r="A976" t="s">
        <v>1836</v>
      </c>
      <c r="B976" t="s">
        <v>1412</v>
      </c>
      <c r="C976" t="s">
        <v>976</v>
      </c>
      <c r="D976" t="s">
        <v>658</v>
      </c>
      <c r="E976" t="s">
        <v>624</v>
      </c>
      <c r="F976">
        <v>46234</v>
      </c>
      <c r="G976" t="s">
        <v>496</v>
      </c>
      <c r="H976" t="s">
        <v>1159</v>
      </c>
      <c r="I976">
        <v>51150501</v>
      </c>
      <c r="J976" t="s">
        <v>1219</v>
      </c>
      <c r="K976" t="s">
        <v>1220</v>
      </c>
      <c r="L976">
        <v>252.73</v>
      </c>
      <c r="M976">
        <v>0</v>
      </c>
      <c r="N976">
        <v>0</v>
      </c>
      <c r="O976">
        <v>252.73</v>
      </c>
      <c r="P976" t="s">
        <v>1221</v>
      </c>
      <c r="Q976" t="s">
        <v>1064</v>
      </c>
      <c r="R976" t="s">
        <v>1199</v>
      </c>
      <c r="S976" t="s">
        <v>947</v>
      </c>
      <c r="T976" t="s">
        <v>1065</v>
      </c>
      <c r="U976" t="s">
        <v>1222</v>
      </c>
      <c r="V976" t="s">
        <v>1165</v>
      </c>
      <c r="W976">
        <v>1</v>
      </c>
      <c r="X976">
        <v>252.73</v>
      </c>
      <c r="Y976" t="s">
        <v>1166</v>
      </c>
      <c r="Z976" t="s">
        <v>1167</v>
      </c>
      <c r="AA976" t="s">
        <v>1223</v>
      </c>
    </row>
    <row r="977" spans="1:27" x14ac:dyDescent="0.3">
      <c r="A977" t="s">
        <v>1836</v>
      </c>
      <c r="B977" t="s">
        <v>1574</v>
      </c>
      <c r="C977" t="s">
        <v>976</v>
      </c>
      <c r="D977" t="s">
        <v>658</v>
      </c>
      <c r="E977" t="s">
        <v>624</v>
      </c>
      <c r="F977">
        <v>46234</v>
      </c>
      <c r="G977" t="s">
        <v>496</v>
      </c>
      <c r="H977" t="s">
        <v>1159</v>
      </c>
      <c r="I977">
        <v>51150502</v>
      </c>
      <c r="J977" t="s">
        <v>1219</v>
      </c>
      <c r="K977" t="s">
        <v>1220</v>
      </c>
      <c r="L977">
        <v>142.19</v>
      </c>
      <c r="M977">
        <v>116.94</v>
      </c>
      <c r="N977">
        <v>0</v>
      </c>
      <c r="O977">
        <v>259.13</v>
      </c>
      <c r="P977" t="s">
        <v>1221</v>
      </c>
      <c r="Q977" t="s">
        <v>1064</v>
      </c>
      <c r="R977" t="s">
        <v>1199</v>
      </c>
      <c r="S977" t="s">
        <v>947</v>
      </c>
      <c r="T977" t="s">
        <v>1065</v>
      </c>
      <c r="U977" t="s">
        <v>1222</v>
      </c>
      <c r="V977" t="s">
        <v>1165</v>
      </c>
      <c r="W977">
        <v>1</v>
      </c>
      <c r="X977">
        <v>259.13</v>
      </c>
      <c r="Y977" t="s">
        <v>1166</v>
      </c>
      <c r="Z977" t="s">
        <v>1167</v>
      </c>
      <c r="AA977" t="s">
        <v>1223</v>
      </c>
    </row>
    <row r="978" spans="1:27" x14ac:dyDescent="0.3">
      <c r="A978" t="s">
        <v>1836</v>
      </c>
      <c r="B978" t="s">
        <v>1327</v>
      </c>
      <c r="C978" t="s">
        <v>976</v>
      </c>
      <c r="D978" t="s">
        <v>658</v>
      </c>
      <c r="E978" t="s">
        <v>624</v>
      </c>
      <c r="F978">
        <v>46234</v>
      </c>
      <c r="G978" t="s">
        <v>496</v>
      </c>
      <c r="H978" t="s">
        <v>1159</v>
      </c>
      <c r="I978">
        <v>51250501</v>
      </c>
      <c r="J978" t="s">
        <v>1226</v>
      </c>
      <c r="K978" t="s">
        <v>1227</v>
      </c>
      <c r="L978">
        <v>64.790000000000006</v>
      </c>
      <c r="M978">
        <v>0</v>
      </c>
      <c r="N978">
        <v>0</v>
      </c>
      <c r="O978">
        <v>64.790000000000006</v>
      </c>
      <c r="P978" t="s">
        <v>1228</v>
      </c>
      <c r="Q978" t="s">
        <v>1064</v>
      </c>
      <c r="R978" t="s">
        <v>1199</v>
      </c>
      <c r="S978" t="s">
        <v>947</v>
      </c>
      <c r="T978" t="s">
        <v>1065</v>
      </c>
      <c r="U978" t="s">
        <v>1229</v>
      </c>
      <c r="V978" t="s">
        <v>1165</v>
      </c>
      <c r="W978">
        <v>1</v>
      </c>
      <c r="X978">
        <v>64.790000000000006</v>
      </c>
      <c r="Y978" t="s">
        <v>1166</v>
      </c>
      <c r="Z978" t="s">
        <v>1167</v>
      </c>
      <c r="AA978" t="s">
        <v>1230</v>
      </c>
    </row>
    <row r="979" spans="1:27" x14ac:dyDescent="0.3">
      <c r="A979" t="s">
        <v>1836</v>
      </c>
      <c r="B979" t="s">
        <v>1253</v>
      </c>
      <c r="C979" t="s">
        <v>976</v>
      </c>
      <c r="D979" t="s">
        <v>658</v>
      </c>
      <c r="E979" t="s">
        <v>624</v>
      </c>
      <c r="F979">
        <v>46234</v>
      </c>
      <c r="G979" t="s">
        <v>496</v>
      </c>
      <c r="H979" t="s">
        <v>1159</v>
      </c>
      <c r="I979">
        <v>51309501</v>
      </c>
      <c r="J979" t="s">
        <v>1232</v>
      </c>
      <c r="K979" t="s">
        <v>1233</v>
      </c>
      <c r="L979">
        <v>9205.7199999999993</v>
      </c>
      <c r="M979">
        <v>0</v>
      </c>
      <c r="N979">
        <v>0</v>
      </c>
      <c r="O979">
        <v>9205.7199999999993</v>
      </c>
      <c r="P979" t="s">
        <v>1234</v>
      </c>
      <c r="Q979" t="s">
        <v>1068</v>
      </c>
      <c r="R979" t="s">
        <v>1199</v>
      </c>
      <c r="S979" t="s">
        <v>947</v>
      </c>
      <c r="T979" t="s">
        <v>568</v>
      </c>
      <c r="U979" t="s">
        <v>1235</v>
      </c>
      <c r="V979" t="s">
        <v>1165</v>
      </c>
      <c r="W979">
        <v>1</v>
      </c>
      <c r="X979">
        <v>9205.7199999999993</v>
      </c>
      <c r="Y979" t="s">
        <v>1192</v>
      </c>
      <c r="Z979" t="s">
        <v>1193</v>
      </c>
      <c r="AA979" t="s">
        <v>1236</v>
      </c>
    </row>
    <row r="980" spans="1:27" x14ac:dyDescent="0.3">
      <c r="A980" t="s">
        <v>1836</v>
      </c>
      <c r="B980" t="s">
        <v>1255</v>
      </c>
      <c r="C980" t="s">
        <v>976</v>
      </c>
      <c r="D980" t="s">
        <v>658</v>
      </c>
      <c r="E980" t="s">
        <v>624</v>
      </c>
      <c r="F980">
        <v>46234</v>
      </c>
      <c r="G980" t="s">
        <v>496</v>
      </c>
      <c r="H980" t="s">
        <v>1159</v>
      </c>
      <c r="I980">
        <v>51309501</v>
      </c>
      <c r="J980" t="s">
        <v>1232</v>
      </c>
      <c r="K980" t="s">
        <v>1238</v>
      </c>
      <c r="L980">
        <v>70.81</v>
      </c>
      <c r="M980">
        <v>0</v>
      </c>
      <c r="N980">
        <v>0</v>
      </c>
      <c r="O980">
        <v>70.81</v>
      </c>
      <c r="P980" t="s">
        <v>1234</v>
      </c>
      <c r="Q980" t="s">
        <v>1068</v>
      </c>
      <c r="R980" t="s">
        <v>1199</v>
      </c>
      <c r="S980" t="s">
        <v>947</v>
      </c>
      <c r="T980" t="s">
        <v>568</v>
      </c>
      <c r="U980" t="s">
        <v>1235</v>
      </c>
      <c r="V980" t="s">
        <v>1165</v>
      </c>
      <c r="W980">
        <v>1</v>
      </c>
      <c r="X980">
        <v>70.81</v>
      </c>
      <c r="Y980" t="s">
        <v>1192</v>
      </c>
      <c r="Z980" t="s">
        <v>1193</v>
      </c>
      <c r="AA980" t="s">
        <v>1236</v>
      </c>
    </row>
    <row r="981" spans="1:27" x14ac:dyDescent="0.3">
      <c r="A981" t="s">
        <v>1836</v>
      </c>
      <c r="B981" t="s">
        <v>1564</v>
      </c>
      <c r="C981" t="s">
        <v>976</v>
      </c>
      <c r="D981" t="s">
        <v>658</v>
      </c>
      <c r="E981" t="s">
        <v>624</v>
      </c>
      <c r="F981">
        <v>46234</v>
      </c>
      <c r="G981" t="s">
        <v>496</v>
      </c>
      <c r="H981" t="s">
        <v>1159</v>
      </c>
      <c r="I981">
        <v>51352001</v>
      </c>
      <c r="J981" t="s">
        <v>1240</v>
      </c>
      <c r="K981" t="s">
        <v>1241</v>
      </c>
      <c r="L981">
        <v>115.51</v>
      </c>
      <c r="M981">
        <v>0</v>
      </c>
      <c r="N981">
        <v>0</v>
      </c>
      <c r="O981">
        <v>115.51</v>
      </c>
      <c r="P981" t="s">
        <v>1242</v>
      </c>
      <c r="Q981" t="s">
        <v>1069</v>
      </c>
      <c r="R981" t="s">
        <v>1199</v>
      </c>
      <c r="S981" t="s">
        <v>947</v>
      </c>
      <c r="T981" t="s">
        <v>1070</v>
      </c>
      <c r="U981" t="s">
        <v>1243</v>
      </c>
      <c r="V981" t="s">
        <v>1165</v>
      </c>
      <c r="W981">
        <v>1</v>
      </c>
      <c r="X981">
        <v>115.51</v>
      </c>
      <c r="Y981" t="s">
        <v>1166</v>
      </c>
      <c r="Z981" t="s">
        <v>1193</v>
      </c>
      <c r="AA981" t="s">
        <v>1244</v>
      </c>
    </row>
    <row r="982" spans="1:27" x14ac:dyDescent="0.3">
      <c r="A982" t="s">
        <v>1836</v>
      </c>
      <c r="B982" t="s">
        <v>1257</v>
      </c>
      <c r="C982" t="s">
        <v>976</v>
      </c>
      <c r="D982" t="s">
        <v>658</v>
      </c>
      <c r="E982" t="s">
        <v>624</v>
      </c>
      <c r="F982">
        <v>46234</v>
      </c>
      <c r="G982" t="s">
        <v>496</v>
      </c>
      <c r="H982" t="s">
        <v>1159</v>
      </c>
      <c r="I982">
        <v>51352001</v>
      </c>
      <c r="J982" t="s">
        <v>1240</v>
      </c>
      <c r="K982" t="s">
        <v>1657</v>
      </c>
      <c r="L982">
        <v>34.299999999999997</v>
      </c>
      <c r="M982">
        <v>0</v>
      </c>
      <c r="N982">
        <v>0</v>
      </c>
      <c r="O982">
        <v>34.299999999999997</v>
      </c>
      <c r="P982" t="s">
        <v>1242</v>
      </c>
      <c r="Q982" t="s">
        <v>1069</v>
      </c>
      <c r="R982" t="s">
        <v>1199</v>
      </c>
      <c r="S982" t="s">
        <v>947</v>
      </c>
      <c r="T982" t="s">
        <v>1070</v>
      </c>
      <c r="U982" t="s">
        <v>1243</v>
      </c>
      <c r="V982" t="s">
        <v>1165</v>
      </c>
      <c r="W982">
        <v>1</v>
      </c>
      <c r="X982">
        <v>34.299999999999997</v>
      </c>
      <c r="Y982" t="s">
        <v>1166</v>
      </c>
      <c r="Z982" t="s">
        <v>1193</v>
      </c>
      <c r="AA982" t="s">
        <v>1244</v>
      </c>
    </row>
    <row r="983" spans="1:27" x14ac:dyDescent="0.3">
      <c r="A983" t="s">
        <v>1836</v>
      </c>
      <c r="B983" t="s">
        <v>1350</v>
      </c>
      <c r="C983" t="s">
        <v>976</v>
      </c>
      <c r="D983" t="s">
        <v>658</v>
      </c>
      <c r="E983" t="s">
        <v>624</v>
      </c>
      <c r="F983">
        <v>46234</v>
      </c>
      <c r="G983" t="s">
        <v>496</v>
      </c>
      <c r="H983" t="s">
        <v>1159</v>
      </c>
      <c r="I983">
        <v>51953001</v>
      </c>
      <c r="J983" t="s">
        <v>1246</v>
      </c>
      <c r="K983" t="s">
        <v>1658</v>
      </c>
      <c r="L983">
        <v>37.69</v>
      </c>
      <c r="M983">
        <v>0</v>
      </c>
      <c r="N983">
        <v>0</v>
      </c>
      <c r="O983">
        <v>37.69</v>
      </c>
      <c r="P983" t="s">
        <v>1248</v>
      </c>
      <c r="Q983" t="s">
        <v>1079</v>
      </c>
      <c r="R983" t="s">
        <v>1199</v>
      </c>
      <c r="S983" t="s">
        <v>947</v>
      </c>
      <c r="T983" t="s">
        <v>1080</v>
      </c>
      <c r="U983" t="s">
        <v>1249</v>
      </c>
      <c r="V983" t="s">
        <v>1165</v>
      </c>
      <c r="W983">
        <v>1</v>
      </c>
      <c r="X983">
        <v>37.69</v>
      </c>
      <c r="Y983" t="s">
        <v>1166</v>
      </c>
      <c r="Z983" t="s">
        <v>1167</v>
      </c>
      <c r="AA983" t="s">
        <v>1250</v>
      </c>
    </row>
    <row r="984" spans="1:27" x14ac:dyDescent="0.3">
      <c r="A984" t="s">
        <v>1836</v>
      </c>
      <c r="B984" t="s">
        <v>1351</v>
      </c>
      <c r="C984" t="s">
        <v>976</v>
      </c>
      <c r="D984" t="s">
        <v>658</v>
      </c>
      <c r="E984" t="s">
        <v>624</v>
      </c>
      <c r="F984">
        <v>46234</v>
      </c>
      <c r="G984" t="s">
        <v>496</v>
      </c>
      <c r="H984" t="s">
        <v>1159</v>
      </c>
      <c r="I984">
        <v>51953001</v>
      </c>
      <c r="J984" t="s">
        <v>1246</v>
      </c>
      <c r="K984" t="s">
        <v>1247</v>
      </c>
      <c r="L984">
        <v>39.61</v>
      </c>
      <c r="M984">
        <v>0</v>
      </c>
      <c r="N984">
        <v>0</v>
      </c>
      <c r="O984">
        <v>39.61</v>
      </c>
      <c r="P984" t="s">
        <v>1248</v>
      </c>
      <c r="Q984" t="s">
        <v>1079</v>
      </c>
      <c r="R984" t="s">
        <v>1199</v>
      </c>
      <c r="S984" t="s">
        <v>947</v>
      </c>
      <c r="T984" t="s">
        <v>1080</v>
      </c>
      <c r="U984" t="s">
        <v>1249</v>
      </c>
      <c r="V984" t="s">
        <v>1165</v>
      </c>
      <c r="W984">
        <v>1</v>
      </c>
      <c r="X984">
        <v>39.61</v>
      </c>
      <c r="Y984" t="s">
        <v>1166</v>
      </c>
      <c r="Z984" t="s">
        <v>1167</v>
      </c>
      <c r="AA984" t="s">
        <v>1250</v>
      </c>
    </row>
    <row r="985" spans="1:27" x14ac:dyDescent="0.3">
      <c r="A985" t="s">
        <v>1836</v>
      </c>
      <c r="B985" t="s">
        <v>1352</v>
      </c>
      <c r="C985" t="s">
        <v>976</v>
      </c>
      <c r="D985" t="s">
        <v>658</v>
      </c>
      <c r="E985" t="s">
        <v>624</v>
      </c>
      <c r="F985">
        <v>46234</v>
      </c>
      <c r="G985" t="s">
        <v>496</v>
      </c>
      <c r="H985" t="s">
        <v>1159</v>
      </c>
      <c r="I985">
        <v>51953001</v>
      </c>
      <c r="J985" t="s">
        <v>1246</v>
      </c>
      <c r="K985" t="s">
        <v>1252</v>
      </c>
      <c r="L985">
        <v>74.31</v>
      </c>
      <c r="M985">
        <v>0</v>
      </c>
      <c r="N985">
        <v>0</v>
      </c>
      <c r="O985">
        <v>74.31</v>
      </c>
      <c r="P985" t="s">
        <v>1248</v>
      </c>
      <c r="Q985" t="s">
        <v>1079</v>
      </c>
      <c r="R985" t="s">
        <v>1199</v>
      </c>
      <c r="S985" t="s">
        <v>947</v>
      </c>
      <c r="T985" t="s">
        <v>1080</v>
      </c>
      <c r="U985" t="s">
        <v>1249</v>
      </c>
      <c r="V985" t="s">
        <v>1165</v>
      </c>
      <c r="W985">
        <v>1</v>
      </c>
      <c r="X985">
        <v>74.31</v>
      </c>
      <c r="Y985" t="s">
        <v>1166</v>
      </c>
      <c r="Z985" t="s">
        <v>1167</v>
      </c>
      <c r="AA985" t="s">
        <v>1250</v>
      </c>
    </row>
    <row r="986" spans="1:27" x14ac:dyDescent="0.3">
      <c r="A986" t="s">
        <v>1836</v>
      </c>
      <c r="B986" t="s">
        <v>1353</v>
      </c>
      <c r="C986" t="s">
        <v>976</v>
      </c>
      <c r="D986" t="s">
        <v>658</v>
      </c>
      <c r="E986" t="s">
        <v>624</v>
      </c>
      <c r="F986">
        <v>46234</v>
      </c>
      <c r="G986" t="s">
        <v>496</v>
      </c>
      <c r="H986" t="s">
        <v>1159</v>
      </c>
      <c r="I986">
        <v>51953001</v>
      </c>
      <c r="J986" t="s">
        <v>1246</v>
      </c>
      <c r="K986" t="s">
        <v>1254</v>
      </c>
      <c r="L986">
        <v>15</v>
      </c>
      <c r="M986">
        <v>0</v>
      </c>
      <c r="N986">
        <v>0</v>
      </c>
      <c r="O986">
        <v>15</v>
      </c>
      <c r="P986" t="s">
        <v>1248</v>
      </c>
      <c r="Q986" t="s">
        <v>1079</v>
      </c>
      <c r="R986" t="s">
        <v>1199</v>
      </c>
      <c r="S986" t="s">
        <v>947</v>
      </c>
      <c r="T986" t="s">
        <v>1080</v>
      </c>
      <c r="U986" t="s">
        <v>1249</v>
      </c>
      <c r="V986" t="s">
        <v>1165</v>
      </c>
      <c r="W986">
        <v>1</v>
      </c>
      <c r="X986">
        <v>15</v>
      </c>
      <c r="Y986" t="s">
        <v>1166</v>
      </c>
      <c r="Z986" t="s">
        <v>1167</v>
      </c>
      <c r="AA986" t="s">
        <v>1250</v>
      </c>
    </row>
    <row r="987" spans="1:27" x14ac:dyDescent="0.3">
      <c r="A987" t="s">
        <v>1836</v>
      </c>
      <c r="B987" t="s">
        <v>1354</v>
      </c>
      <c r="C987" t="s">
        <v>976</v>
      </c>
      <c r="D987" t="s">
        <v>658</v>
      </c>
      <c r="E987" t="s">
        <v>624</v>
      </c>
      <c r="F987">
        <v>46234</v>
      </c>
      <c r="G987" t="s">
        <v>496</v>
      </c>
      <c r="H987" t="s">
        <v>1159</v>
      </c>
      <c r="I987">
        <v>51953001</v>
      </c>
      <c r="J987" t="s">
        <v>1246</v>
      </c>
      <c r="K987" t="s">
        <v>1256</v>
      </c>
      <c r="L987">
        <v>7</v>
      </c>
      <c r="M987">
        <v>0</v>
      </c>
      <c r="N987">
        <v>0</v>
      </c>
      <c r="O987">
        <v>7</v>
      </c>
      <c r="P987" t="s">
        <v>1248</v>
      </c>
      <c r="Q987" t="s">
        <v>1079</v>
      </c>
      <c r="R987" t="s">
        <v>1199</v>
      </c>
      <c r="S987" t="s">
        <v>947</v>
      </c>
      <c r="T987" t="s">
        <v>1080</v>
      </c>
      <c r="U987" t="s">
        <v>1249</v>
      </c>
      <c r="V987" t="s">
        <v>1165</v>
      </c>
      <c r="W987">
        <v>1</v>
      </c>
      <c r="X987">
        <v>7</v>
      </c>
      <c r="Y987" t="s">
        <v>1166</v>
      </c>
      <c r="Z987" t="s">
        <v>1167</v>
      </c>
      <c r="AA987" t="s">
        <v>1250</v>
      </c>
    </row>
    <row r="988" spans="1:27" x14ac:dyDescent="0.3">
      <c r="A988" t="s">
        <v>1836</v>
      </c>
      <c r="B988" t="s">
        <v>1358</v>
      </c>
      <c r="C988" t="s">
        <v>976</v>
      </c>
      <c r="D988" t="s">
        <v>658</v>
      </c>
      <c r="E988" t="s">
        <v>624</v>
      </c>
      <c r="F988">
        <v>46234</v>
      </c>
      <c r="G988" t="s">
        <v>496</v>
      </c>
      <c r="H988" t="s">
        <v>1159</v>
      </c>
      <c r="I988">
        <v>53050501</v>
      </c>
      <c r="J988" t="s">
        <v>1258</v>
      </c>
      <c r="K988" t="s">
        <v>1259</v>
      </c>
      <c r="L988">
        <v>200</v>
      </c>
      <c r="M988">
        <v>30</v>
      </c>
      <c r="N988">
        <v>0</v>
      </c>
      <c r="O988">
        <v>230</v>
      </c>
      <c r="P988" t="s">
        <v>1260</v>
      </c>
      <c r="Q988" t="s">
        <v>1123</v>
      </c>
      <c r="R988" t="s">
        <v>1199</v>
      </c>
      <c r="S988" t="s">
        <v>717</v>
      </c>
      <c r="T988" t="s">
        <v>717</v>
      </c>
      <c r="U988" t="s">
        <v>1261</v>
      </c>
      <c r="V988" t="s">
        <v>1165</v>
      </c>
      <c r="W988">
        <v>1</v>
      </c>
      <c r="X988">
        <v>230</v>
      </c>
      <c r="Y988" t="s">
        <v>1166</v>
      </c>
      <c r="Z988" t="s">
        <v>1167</v>
      </c>
      <c r="AA988" t="s">
        <v>1262</v>
      </c>
    </row>
    <row r="989" spans="1:27" x14ac:dyDescent="0.3">
      <c r="A989" t="s">
        <v>1836</v>
      </c>
      <c r="B989" t="s">
        <v>1565</v>
      </c>
      <c r="C989" t="s">
        <v>976</v>
      </c>
      <c r="D989" t="s">
        <v>658</v>
      </c>
      <c r="E989" t="s">
        <v>624</v>
      </c>
      <c r="F989">
        <v>46234</v>
      </c>
      <c r="G989" t="s">
        <v>496</v>
      </c>
      <c r="H989" t="s">
        <v>1159</v>
      </c>
      <c r="I989">
        <v>53050504</v>
      </c>
      <c r="J989" t="s">
        <v>1258</v>
      </c>
      <c r="K989" t="s">
        <v>1259</v>
      </c>
      <c r="L989">
        <v>6</v>
      </c>
      <c r="M989">
        <v>0</v>
      </c>
      <c r="N989">
        <v>0</v>
      </c>
      <c r="O989">
        <v>6</v>
      </c>
      <c r="P989" t="s">
        <v>1260</v>
      </c>
      <c r="Q989" t="s">
        <v>1123</v>
      </c>
      <c r="R989" t="s">
        <v>1199</v>
      </c>
      <c r="S989" t="s">
        <v>717</v>
      </c>
      <c r="T989" t="s">
        <v>717</v>
      </c>
      <c r="U989" t="s">
        <v>1261</v>
      </c>
      <c r="V989" t="s">
        <v>1165</v>
      </c>
      <c r="W989">
        <v>1</v>
      </c>
      <c r="X989">
        <v>6</v>
      </c>
      <c r="Y989" t="s">
        <v>1166</v>
      </c>
      <c r="Z989" t="s">
        <v>1167</v>
      </c>
      <c r="AA989" t="s">
        <v>1262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93"/>
  <sheetViews>
    <sheetView workbookViewId="0"/>
  </sheetViews>
  <sheetFormatPr defaultRowHeight="14.4" x14ac:dyDescent="0.3"/>
  <cols>
    <col min="1" max="15" width="16" customWidth="1"/>
  </cols>
  <sheetData>
    <row r="1" spans="1:15" ht="18" x14ac:dyDescent="0.35">
      <c r="A1" s="49" t="s">
        <v>1838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</row>
    <row r="2" spans="1:15" x14ac:dyDescent="0.3">
      <c r="A2" t="s">
        <v>1839</v>
      </c>
    </row>
    <row r="3" spans="1:15" x14ac:dyDescent="0.3">
      <c r="A3" t="s">
        <v>1149</v>
      </c>
      <c r="B3" t="s">
        <v>1145</v>
      </c>
      <c r="C3" t="s">
        <v>1146</v>
      </c>
      <c r="D3" t="s">
        <v>13</v>
      </c>
      <c r="E3" t="s">
        <v>1134</v>
      </c>
      <c r="F3" t="s">
        <v>925</v>
      </c>
      <c r="G3" t="s">
        <v>3</v>
      </c>
      <c r="H3" t="s">
        <v>978</v>
      </c>
      <c r="I3" t="s">
        <v>1151</v>
      </c>
      <c r="J3" t="s">
        <v>1152</v>
      </c>
      <c r="K3" t="s">
        <v>1153</v>
      </c>
      <c r="L3" t="s">
        <v>1154</v>
      </c>
      <c r="M3" t="s">
        <v>1155</v>
      </c>
      <c r="N3" t="s">
        <v>1156</v>
      </c>
      <c r="O3" t="s">
        <v>1840</v>
      </c>
    </row>
    <row r="4" spans="1:15" x14ac:dyDescent="0.3">
      <c r="A4" t="s">
        <v>1161</v>
      </c>
      <c r="B4">
        <v>111005</v>
      </c>
      <c r="C4" t="s">
        <v>1160</v>
      </c>
      <c r="D4" t="s">
        <v>1841</v>
      </c>
      <c r="E4" t="s">
        <v>980</v>
      </c>
      <c r="F4" t="s">
        <v>1162</v>
      </c>
      <c r="G4" t="s">
        <v>1163</v>
      </c>
      <c r="H4" t="s">
        <v>926</v>
      </c>
      <c r="I4" t="s">
        <v>1164</v>
      </c>
      <c r="J4" t="s">
        <v>1165</v>
      </c>
      <c r="K4">
        <v>1</v>
      </c>
      <c r="L4" t="s">
        <v>1166</v>
      </c>
      <c r="M4" t="s">
        <v>1167</v>
      </c>
      <c r="N4" t="s">
        <v>1168</v>
      </c>
      <c r="O4">
        <v>10</v>
      </c>
    </row>
    <row r="5" spans="1:15" x14ac:dyDescent="0.3">
      <c r="A5" t="s">
        <v>1270</v>
      </c>
      <c r="B5">
        <v>112005</v>
      </c>
      <c r="C5" t="s">
        <v>1268</v>
      </c>
      <c r="D5" t="s">
        <v>1841</v>
      </c>
      <c r="E5" t="s">
        <v>980</v>
      </c>
      <c r="F5" t="s">
        <v>1162</v>
      </c>
      <c r="G5" t="s">
        <v>1163</v>
      </c>
      <c r="H5" t="s">
        <v>926</v>
      </c>
      <c r="I5" t="s">
        <v>1271</v>
      </c>
      <c r="J5" t="s">
        <v>1165</v>
      </c>
      <c r="K5">
        <v>1</v>
      </c>
      <c r="L5" t="s">
        <v>1166</v>
      </c>
      <c r="M5" t="s">
        <v>1167</v>
      </c>
      <c r="N5" t="s">
        <v>1272</v>
      </c>
      <c r="O5">
        <v>10</v>
      </c>
    </row>
    <row r="6" spans="1:15" x14ac:dyDescent="0.3">
      <c r="A6" t="s">
        <v>1275</v>
      </c>
      <c r="B6">
        <v>130505</v>
      </c>
      <c r="C6" t="s">
        <v>1273</v>
      </c>
      <c r="D6" t="s">
        <v>1841</v>
      </c>
      <c r="E6" t="s">
        <v>983</v>
      </c>
      <c r="F6" t="s">
        <v>1162</v>
      </c>
      <c r="G6" t="s">
        <v>1163</v>
      </c>
      <c r="H6" t="s">
        <v>984</v>
      </c>
      <c r="I6" t="s">
        <v>1276</v>
      </c>
      <c r="J6" t="s">
        <v>1165</v>
      </c>
      <c r="K6">
        <v>1</v>
      </c>
      <c r="L6" t="s">
        <v>1166</v>
      </c>
      <c r="M6" t="s">
        <v>1167</v>
      </c>
      <c r="N6" t="s">
        <v>1277</v>
      </c>
      <c r="O6">
        <v>30</v>
      </c>
    </row>
    <row r="7" spans="1:15" x14ac:dyDescent="0.3">
      <c r="A7" t="s">
        <v>1383</v>
      </c>
      <c r="B7">
        <v>133095</v>
      </c>
      <c r="C7" t="s">
        <v>1232</v>
      </c>
      <c r="D7" t="s">
        <v>1841</v>
      </c>
      <c r="E7" t="s">
        <v>985</v>
      </c>
      <c r="F7" t="s">
        <v>1162</v>
      </c>
      <c r="G7" t="s">
        <v>1163</v>
      </c>
      <c r="H7" t="s">
        <v>986</v>
      </c>
      <c r="I7" t="s">
        <v>1384</v>
      </c>
      <c r="J7" t="s">
        <v>1165</v>
      </c>
      <c r="K7">
        <v>1</v>
      </c>
      <c r="L7" t="s">
        <v>1192</v>
      </c>
      <c r="M7" t="s">
        <v>1193</v>
      </c>
      <c r="N7" t="s">
        <v>1385</v>
      </c>
      <c r="O7">
        <v>40</v>
      </c>
    </row>
    <row r="8" spans="1:15" x14ac:dyDescent="0.3">
      <c r="A8" t="s">
        <v>1281</v>
      </c>
      <c r="B8">
        <v>135515</v>
      </c>
      <c r="C8" t="s">
        <v>1279</v>
      </c>
      <c r="D8" t="s">
        <v>1841</v>
      </c>
      <c r="E8" t="s">
        <v>987</v>
      </c>
      <c r="F8" t="s">
        <v>1162</v>
      </c>
      <c r="G8" t="s">
        <v>1163</v>
      </c>
      <c r="H8" t="s">
        <v>988</v>
      </c>
      <c r="I8" t="s">
        <v>1282</v>
      </c>
      <c r="J8" t="s">
        <v>1165</v>
      </c>
      <c r="K8">
        <v>1</v>
      </c>
      <c r="L8" t="s">
        <v>1166</v>
      </c>
      <c r="M8" t="s">
        <v>1167</v>
      </c>
      <c r="N8" t="s">
        <v>1283</v>
      </c>
      <c r="O8">
        <v>50</v>
      </c>
    </row>
    <row r="9" spans="1:15" x14ac:dyDescent="0.3">
      <c r="A9" t="s">
        <v>1388</v>
      </c>
      <c r="B9">
        <v>138020</v>
      </c>
      <c r="C9" t="s">
        <v>1386</v>
      </c>
      <c r="D9" t="s">
        <v>1841</v>
      </c>
      <c r="E9" t="s">
        <v>989</v>
      </c>
      <c r="F9" t="s">
        <v>1162</v>
      </c>
      <c r="G9" t="s">
        <v>1163</v>
      </c>
      <c r="H9" t="s">
        <v>990</v>
      </c>
      <c r="I9" t="s">
        <v>1389</v>
      </c>
      <c r="J9" t="s">
        <v>1165</v>
      </c>
      <c r="K9">
        <v>1</v>
      </c>
      <c r="L9" t="s">
        <v>1166</v>
      </c>
      <c r="M9" t="s">
        <v>1193</v>
      </c>
      <c r="N9" t="s">
        <v>1390</v>
      </c>
      <c r="O9">
        <v>60</v>
      </c>
    </row>
    <row r="10" spans="1:15" x14ac:dyDescent="0.3">
      <c r="A10" t="s">
        <v>1287</v>
      </c>
      <c r="B10">
        <v>152805</v>
      </c>
      <c r="C10" t="s">
        <v>1285</v>
      </c>
      <c r="D10" t="s">
        <v>1841</v>
      </c>
      <c r="E10" t="s">
        <v>995</v>
      </c>
      <c r="F10" t="s">
        <v>1162</v>
      </c>
      <c r="G10" t="s">
        <v>957</v>
      </c>
      <c r="H10" t="s">
        <v>996</v>
      </c>
      <c r="I10" t="s">
        <v>1288</v>
      </c>
      <c r="J10" t="s">
        <v>1165</v>
      </c>
      <c r="K10">
        <v>1</v>
      </c>
      <c r="L10" t="s">
        <v>1166</v>
      </c>
      <c r="M10" t="s">
        <v>1167</v>
      </c>
      <c r="N10" t="s">
        <v>1289</v>
      </c>
      <c r="O10">
        <v>110</v>
      </c>
    </row>
    <row r="11" spans="1:15" x14ac:dyDescent="0.3">
      <c r="A11" t="s">
        <v>1395</v>
      </c>
      <c r="B11">
        <v>159220</v>
      </c>
      <c r="C11" t="s">
        <v>1394</v>
      </c>
      <c r="D11" t="s">
        <v>1841</v>
      </c>
      <c r="E11" t="s">
        <v>997</v>
      </c>
      <c r="F11" t="s">
        <v>1162</v>
      </c>
      <c r="G11" t="s">
        <v>957</v>
      </c>
      <c r="H11" t="s">
        <v>998</v>
      </c>
      <c r="I11" t="s">
        <v>1288</v>
      </c>
      <c r="J11" t="s">
        <v>1396</v>
      </c>
      <c r="K11">
        <v>1</v>
      </c>
      <c r="L11" t="s">
        <v>1166</v>
      </c>
      <c r="M11" t="s">
        <v>1167</v>
      </c>
      <c r="N11" t="s">
        <v>1397</v>
      </c>
      <c r="O11">
        <v>120</v>
      </c>
    </row>
    <row r="12" spans="1:15" x14ac:dyDescent="0.3">
      <c r="A12" t="s">
        <v>1401</v>
      </c>
      <c r="B12">
        <v>210510</v>
      </c>
      <c r="C12" t="s">
        <v>1399</v>
      </c>
      <c r="D12" t="s">
        <v>1841</v>
      </c>
      <c r="E12" t="s">
        <v>1006</v>
      </c>
      <c r="F12" t="s">
        <v>1162</v>
      </c>
      <c r="G12" t="s">
        <v>1402</v>
      </c>
      <c r="H12" t="s">
        <v>1007</v>
      </c>
      <c r="I12" t="s">
        <v>1403</v>
      </c>
      <c r="J12" t="s">
        <v>1175</v>
      </c>
      <c r="K12">
        <v>-1</v>
      </c>
      <c r="L12" t="s">
        <v>1192</v>
      </c>
      <c r="M12" t="s">
        <v>1193</v>
      </c>
      <c r="N12" t="s">
        <v>1404</v>
      </c>
      <c r="O12">
        <v>210</v>
      </c>
    </row>
    <row r="13" spans="1:15" x14ac:dyDescent="0.3">
      <c r="A13" t="s">
        <v>1292</v>
      </c>
      <c r="B13">
        <v>220505</v>
      </c>
      <c r="C13" t="s">
        <v>1273</v>
      </c>
      <c r="D13" t="s">
        <v>1841</v>
      </c>
      <c r="E13" t="s">
        <v>1008</v>
      </c>
      <c r="F13" t="s">
        <v>1162</v>
      </c>
      <c r="G13" t="s">
        <v>1173</v>
      </c>
      <c r="H13" t="s">
        <v>1009</v>
      </c>
      <c r="I13" t="s">
        <v>563</v>
      </c>
      <c r="J13" t="s">
        <v>1175</v>
      </c>
      <c r="K13">
        <v>-1</v>
      </c>
      <c r="L13" t="s">
        <v>1166</v>
      </c>
      <c r="M13" t="s">
        <v>1167</v>
      </c>
      <c r="N13" t="s">
        <v>1293</v>
      </c>
      <c r="O13">
        <v>220</v>
      </c>
    </row>
    <row r="14" spans="1:15" x14ac:dyDescent="0.3">
      <c r="A14" t="s">
        <v>1172</v>
      </c>
      <c r="B14">
        <v>230505</v>
      </c>
      <c r="C14" t="s">
        <v>1170</v>
      </c>
      <c r="D14" t="s">
        <v>1841</v>
      </c>
      <c r="E14" t="s">
        <v>1010</v>
      </c>
      <c r="F14" t="s">
        <v>1162</v>
      </c>
      <c r="G14" t="s">
        <v>1173</v>
      </c>
      <c r="H14" t="s">
        <v>1011</v>
      </c>
      <c r="I14" t="s">
        <v>1174</v>
      </c>
      <c r="J14" t="s">
        <v>1175</v>
      </c>
      <c r="K14">
        <v>-1</v>
      </c>
      <c r="L14" t="s">
        <v>1166</v>
      </c>
      <c r="M14" t="s">
        <v>1167</v>
      </c>
      <c r="N14" t="s">
        <v>1176</v>
      </c>
      <c r="O14">
        <v>230</v>
      </c>
    </row>
    <row r="15" spans="1:15" x14ac:dyDescent="0.3">
      <c r="A15" t="s">
        <v>1298</v>
      </c>
      <c r="B15">
        <v>240801</v>
      </c>
      <c r="C15" t="s">
        <v>1296</v>
      </c>
      <c r="D15" t="s">
        <v>1841</v>
      </c>
      <c r="E15" t="s">
        <v>1012</v>
      </c>
      <c r="F15" t="s">
        <v>1162</v>
      </c>
      <c r="G15" t="s">
        <v>1173</v>
      </c>
      <c r="H15" t="s">
        <v>1013</v>
      </c>
      <c r="I15" t="s">
        <v>1299</v>
      </c>
      <c r="J15" t="s">
        <v>1175</v>
      </c>
      <c r="K15">
        <v>-1</v>
      </c>
      <c r="L15" t="s">
        <v>1166</v>
      </c>
      <c r="M15" t="s">
        <v>1167</v>
      </c>
      <c r="N15" t="s">
        <v>1300</v>
      </c>
      <c r="O15">
        <v>240</v>
      </c>
    </row>
    <row r="16" spans="1:15" x14ac:dyDescent="0.3">
      <c r="A16" t="s">
        <v>1303</v>
      </c>
      <c r="B16">
        <v>240802</v>
      </c>
      <c r="C16" t="s">
        <v>1301</v>
      </c>
      <c r="D16" t="s">
        <v>1841</v>
      </c>
      <c r="E16" t="s">
        <v>987</v>
      </c>
      <c r="F16" t="s">
        <v>1162</v>
      </c>
      <c r="G16" t="s">
        <v>1163</v>
      </c>
      <c r="H16" t="s">
        <v>988</v>
      </c>
      <c r="I16" t="s">
        <v>1304</v>
      </c>
      <c r="J16" t="s">
        <v>1165</v>
      </c>
      <c r="K16">
        <v>1</v>
      </c>
      <c r="L16" t="s">
        <v>1166</v>
      </c>
      <c r="M16" t="s">
        <v>1167</v>
      </c>
      <c r="N16" t="s">
        <v>1305</v>
      </c>
      <c r="O16">
        <v>50</v>
      </c>
    </row>
    <row r="17" spans="1:15" x14ac:dyDescent="0.3">
      <c r="A17" t="s">
        <v>1409</v>
      </c>
      <c r="B17">
        <v>280505</v>
      </c>
      <c r="C17" t="s">
        <v>1407</v>
      </c>
      <c r="D17" t="s">
        <v>1841</v>
      </c>
      <c r="E17" t="s">
        <v>1016</v>
      </c>
      <c r="F17" t="s">
        <v>1162</v>
      </c>
      <c r="G17" t="s">
        <v>1173</v>
      </c>
      <c r="H17" t="s">
        <v>1017</v>
      </c>
      <c r="I17" t="s">
        <v>1410</v>
      </c>
      <c r="J17" t="s">
        <v>1175</v>
      </c>
      <c r="K17">
        <v>-1</v>
      </c>
      <c r="L17" t="s">
        <v>1166</v>
      </c>
      <c r="M17" t="s">
        <v>1167</v>
      </c>
      <c r="N17" t="s">
        <v>1411</v>
      </c>
      <c r="O17">
        <v>260</v>
      </c>
    </row>
    <row r="18" spans="1:15" x14ac:dyDescent="0.3">
      <c r="A18" t="s">
        <v>1180</v>
      </c>
      <c r="B18">
        <v>310505</v>
      </c>
      <c r="C18" t="s">
        <v>1178</v>
      </c>
      <c r="D18" t="s">
        <v>1841</v>
      </c>
      <c r="E18" t="s">
        <v>1028</v>
      </c>
      <c r="F18" t="s">
        <v>1162</v>
      </c>
      <c r="G18" t="s">
        <v>1181</v>
      </c>
      <c r="H18" t="s">
        <v>1029</v>
      </c>
      <c r="I18" t="s">
        <v>1182</v>
      </c>
      <c r="J18" t="s">
        <v>1175</v>
      </c>
      <c r="K18">
        <v>-1</v>
      </c>
      <c r="L18" t="s">
        <v>1166</v>
      </c>
      <c r="M18" t="s">
        <v>1167</v>
      </c>
      <c r="N18" t="s">
        <v>1029</v>
      </c>
      <c r="O18">
        <v>310</v>
      </c>
    </row>
    <row r="19" spans="1:15" x14ac:dyDescent="0.3">
      <c r="A19" t="s">
        <v>1185</v>
      </c>
      <c r="B19">
        <v>311505</v>
      </c>
      <c r="C19" t="s">
        <v>1184</v>
      </c>
      <c r="D19" t="s">
        <v>1841</v>
      </c>
      <c r="E19" t="s">
        <v>1028</v>
      </c>
      <c r="F19" t="s">
        <v>1162</v>
      </c>
      <c r="G19" t="s">
        <v>1181</v>
      </c>
      <c r="H19" t="s">
        <v>1029</v>
      </c>
      <c r="I19" t="s">
        <v>1186</v>
      </c>
      <c r="J19" t="s">
        <v>1175</v>
      </c>
      <c r="K19">
        <v>-1</v>
      </c>
      <c r="L19" t="s">
        <v>1166</v>
      </c>
      <c r="M19" t="s">
        <v>1167</v>
      </c>
      <c r="N19" t="s">
        <v>1187</v>
      </c>
      <c r="O19">
        <v>310</v>
      </c>
    </row>
    <row r="20" spans="1:15" x14ac:dyDescent="0.3">
      <c r="A20" t="s">
        <v>1413</v>
      </c>
      <c r="B20">
        <v>360505</v>
      </c>
      <c r="C20" t="s">
        <v>876</v>
      </c>
      <c r="D20" t="s">
        <v>1841</v>
      </c>
      <c r="E20" t="s">
        <v>1033</v>
      </c>
      <c r="F20" t="s">
        <v>1162</v>
      </c>
      <c r="G20" t="s">
        <v>1181</v>
      </c>
      <c r="H20" t="s">
        <v>1034</v>
      </c>
      <c r="I20" t="s">
        <v>1414</v>
      </c>
      <c r="J20" t="s">
        <v>1175</v>
      </c>
      <c r="K20">
        <v>-1</v>
      </c>
      <c r="L20" t="s">
        <v>1192</v>
      </c>
      <c r="M20" t="s">
        <v>1193</v>
      </c>
      <c r="N20" t="s">
        <v>1415</v>
      </c>
      <c r="O20">
        <v>340</v>
      </c>
    </row>
    <row r="21" spans="1:15" x14ac:dyDescent="0.3">
      <c r="A21" t="s">
        <v>1190</v>
      </c>
      <c r="B21">
        <v>361005</v>
      </c>
      <c r="C21" t="s">
        <v>1189</v>
      </c>
      <c r="D21" t="s">
        <v>1841</v>
      </c>
      <c r="E21" t="s">
        <v>1033</v>
      </c>
      <c r="F21" t="s">
        <v>1162</v>
      </c>
      <c r="G21" t="s">
        <v>1181</v>
      </c>
      <c r="H21" t="s">
        <v>1034</v>
      </c>
      <c r="I21" t="s">
        <v>1191</v>
      </c>
      <c r="J21" t="s">
        <v>1175</v>
      </c>
      <c r="K21">
        <v>-1</v>
      </c>
      <c r="L21" t="s">
        <v>1192</v>
      </c>
      <c r="M21" t="s">
        <v>1193</v>
      </c>
      <c r="N21" t="s">
        <v>1194</v>
      </c>
      <c r="O21">
        <v>340</v>
      </c>
    </row>
    <row r="22" spans="1:15" x14ac:dyDescent="0.3">
      <c r="A22" t="s">
        <v>1312</v>
      </c>
      <c r="B22">
        <v>370505</v>
      </c>
      <c r="C22" t="s">
        <v>1310</v>
      </c>
      <c r="D22" t="s">
        <v>1841</v>
      </c>
      <c r="E22" t="s">
        <v>1031</v>
      </c>
      <c r="F22" t="s">
        <v>1162</v>
      </c>
      <c r="G22" t="s">
        <v>1181</v>
      </c>
      <c r="H22" t="s">
        <v>1032</v>
      </c>
      <c r="I22" t="s">
        <v>938</v>
      </c>
      <c r="J22" t="s">
        <v>1175</v>
      </c>
      <c r="K22">
        <v>-1</v>
      </c>
      <c r="L22" t="s">
        <v>1166</v>
      </c>
      <c r="M22" t="s">
        <v>1167</v>
      </c>
      <c r="N22" t="s">
        <v>1313</v>
      </c>
      <c r="O22">
        <v>330</v>
      </c>
    </row>
    <row r="23" spans="1:15" x14ac:dyDescent="0.3">
      <c r="A23" t="s">
        <v>1317</v>
      </c>
      <c r="B23">
        <v>417001</v>
      </c>
      <c r="C23" t="s">
        <v>1315</v>
      </c>
      <c r="D23" t="s">
        <v>1841</v>
      </c>
      <c r="E23" t="s">
        <v>1048</v>
      </c>
      <c r="F23" t="s">
        <v>1199</v>
      </c>
      <c r="G23" t="s">
        <v>1318</v>
      </c>
      <c r="H23" t="s">
        <v>1049</v>
      </c>
      <c r="I23" t="s">
        <v>1319</v>
      </c>
      <c r="J23" t="s">
        <v>1175</v>
      </c>
      <c r="K23">
        <v>-1</v>
      </c>
      <c r="L23" t="s">
        <v>1166</v>
      </c>
      <c r="M23" t="s">
        <v>1167</v>
      </c>
      <c r="N23" t="s">
        <v>1320</v>
      </c>
      <c r="O23">
        <v>410</v>
      </c>
    </row>
    <row r="24" spans="1:15" x14ac:dyDescent="0.3">
      <c r="A24" t="s">
        <v>1417</v>
      </c>
      <c r="B24">
        <v>421005</v>
      </c>
      <c r="C24" t="s">
        <v>1416</v>
      </c>
      <c r="D24" t="s">
        <v>1841</v>
      </c>
      <c r="E24" t="s">
        <v>1118</v>
      </c>
      <c r="F24" t="s">
        <v>1199</v>
      </c>
      <c r="G24" t="s">
        <v>1324</v>
      </c>
      <c r="H24" t="s">
        <v>1119</v>
      </c>
      <c r="I24" t="s">
        <v>1418</v>
      </c>
      <c r="J24" t="s">
        <v>1175</v>
      </c>
      <c r="K24">
        <v>-1</v>
      </c>
      <c r="L24" t="s">
        <v>1166</v>
      </c>
      <c r="M24" t="s">
        <v>1167</v>
      </c>
      <c r="N24" t="s">
        <v>1419</v>
      </c>
      <c r="O24">
        <v>470</v>
      </c>
    </row>
    <row r="25" spans="1:15" x14ac:dyDescent="0.3">
      <c r="A25" t="s">
        <v>1323</v>
      </c>
      <c r="B25">
        <v>429588</v>
      </c>
      <c r="C25" t="s">
        <v>1322</v>
      </c>
      <c r="D25" t="s">
        <v>1841</v>
      </c>
      <c r="E25" t="s">
        <v>1120</v>
      </c>
      <c r="F25" t="s">
        <v>1199</v>
      </c>
      <c r="G25" t="s">
        <v>1324</v>
      </c>
      <c r="H25" t="s">
        <v>811</v>
      </c>
      <c r="I25" t="s">
        <v>811</v>
      </c>
      <c r="J25" t="s">
        <v>1175</v>
      </c>
      <c r="K25">
        <v>-1</v>
      </c>
      <c r="L25" t="s">
        <v>1192</v>
      </c>
      <c r="M25" t="s">
        <v>1193</v>
      </c>
      <c r="N25" t="s">
        <v>1325</v>
      </c>
      <c r="O25">
        <v>480</v>
      </c>
    </row>
    <row r="26" spans="1:15" x14ac:dyDescent="0.3">
      <c r="A26" t="s">
        <v>1198</v>
      </c>
      <c r="B26">
        <v>510506</v>
      </c>
      <c r="C26" t="s">
        <v>1196</v>
      </c>
      <c r="D26" t="s">
        <v>1841</v>
      </c>
      <c r="E26" t="s">
        <v>1060</v>
      </c>
      <c r="F26" t="s">
        <v>1199</v>
      </c>
      <c r="G26" t="s">
        <v>947</v>
      </c>
      <c r="H26" t="s">
        <v>1061</v>
      </c>
      <c r="I26" t="s">
        <v>1200</v>
      </c>
      <c r="J26" t="s">
        <v>1165</v>
      </c>
      <c r="K26">
        <v>1</v>
      </c>
      <c r="L26" t="s">
        <v>1166</v>
      </c>
      <c r="M26" t="s">
        <v>1167</v>
      </c>
      <c r="N26" t="s">
        <v>1201</v>
      </c>
      <c r="O26">
        <v>510</v>
      </c>
    </row>
    <row r="27" spans="1:15" x14ac:dyDescent="0.3">
      <c r="A27" t="s">
        <v>1204</v>
      </c>
      <c r="B27">
        <v>510521</v>
      </c>
      <c r="C27" t="s">
        <v>1203</v>
      </c>
      <c r="D27" t="s">
        <v>1841</v>
      </c>
      <c r="E27" t="s">
        <v>1075</v>
      </c>
      <c r="F27" t="s">
        <v>1199</v>
      </c>
      <c r="G27" t="s">
        <v>947</v>
      </c>
      <c r="H27" t="s">
        <v>1076</v>
      </c>
      <c r="I27" t="s">
        <v>1205</v>
      </c>
      <c r="J27" t="s">
        <v>1165</v>
      </c>
      <c r="K27">
        <v>1</v>
      </c>
      <c r="L27" t="s">
        <v>1166</v>
      </c>
      <c r="M27" t="s">
        <v>1167</v>
      </c>
      <c r="N27" t="s">
        <v>1206</v>
      </c>
      <c r="O27">
        <v>590</v>
      </c>
    </row>
    <row r="28" spans="1:15" x14ac:dyDescent="0.3">
      <c r="A28" t="s">
        <v>1209</v>
      </c>
      <c r="B28">
        <v>510531</v>
      </c>
      <c r="C28" t="s">
        <v>1208</v>
      </c>
      <c r="D28" t="s">
        <v>1841</v>
      </c>
      <c r="E28" t="s">
        <v>1060</v>
      </c>
      <c r="F28" t="s">
        <v>1199</v>
      </c>
      <c r="G28" t="s">
        <v>947</v>
      </c>
      <c r="H28" t="s">
        <v>1061</v>
      </c>
      <c r="I28" t="s">
        <v>1210</v>
      </c>
      <c r="J28" t="s">
        <v>1165</v>
      </c>
      <c r="K28">
        <v>1</v>
      </c>
      <c r="L28" t="s">
        <v>1166</v>
      </c>
      <c r="M28" t="s">
        <v>1167</v>
      </c>
      <c r="N28" t="s">
        <v>1211</v>
      </c>
      <c r="O28">
        <v>510</v>
      </c>
    </row>
    <row r="29" spans="1:15" x14ac:dyDescent="0.3">
      <c r="A29" t="s">
        <v>1429</v>
      </c>
      <c r="B29">
        <v>510545</v>
      </c>
      <c r="C29" t="s">
        <v>1427</v>
      </c>
      <c r="D29" t="s">
        <v>1841</v>
      </c>
      <c r="E29" t="s">
        <v>1060</v>
      </c>
      <c r="F29" t="s">
        <v>1199</v>
      </c>
      <c r="G29" t="s">
        <v>947</v>
      </c>
      <c r="H29" t="s">
        <v>1061</v>
      </c>
      <c r="I29" t="s">
        <v>1430</v>
      </c>
      <c r="J29" t="s">
        <v>1165</v>
      </c>
      <c r="K29">
        <v>1</v>
      </c>
      <c r="L29" t="s">
        <v>1192</v>
      </c>
      <c r="M29" t="s">
        <v>1193</v>
      </c>
      <c r="N29" t="s">
        <v>1431</v>
      </c>
      <c r="O29">
        <v>510</v>
      </c>
    </row>
    <row r="30" spans="1:15" x14ac:dyDescent="0.3">
      <c r="A30" t="s">
        <v>1435</v>
      </c>
      <c r="B30">
        <v>510551</v>
      </c>
      <c r="C30" t="s">
        <v>1433</v>
      </c>
      <c r="D30" t="s">
        <v>1841</v>
      </c>
      <c r="E30" t="s">
        <v>1060</v>
      </c>
      <c r="F30" t="s">
        <v>1199</v>
      </c>
      <c r="G30" t="s">
        <v>947</v>
      </c>
      <c r="H30" t="s">
        <v>1061</v>
      </c>
      <c r="I30" t="s">
        <v>1436</v>
      </c>
      <c r="J30" t="s">
        <v>1165</v>
      </c>
      <c r="K30">
        <v>1</v>
      </c>
      <c r="L30" t="s">
        <v>1166</v>
      </c>
      <c r="M30" t="s">
        <v>1167</v>
      </c>
      <c r="N30" t="s">
        <v>1437</v>
      </c>
      <c r="O30">
        <v>510</v>
      </c>
    </row>
    <row r="31" spans="1:15" x14ac:dyDescent="0.3">
      <c r="A31" t="s">
        <v>1446</v>
      </c>
      <c r="B31">
        <v>510584</v>
      </c>
      <c r="C31" t="s">
        <v>1444</v>
      </c>
      <c r="D31" t="s">
        <v>1841</v>
      </c>
      <c r="E31" t="s">
        <v>1060</v>
      </c>
      <c r="F31" t="s">
        <v>1199</v>
      </c>
      <c r="G31" t="s">
        <v>947</v>
      </c>
      <c r="H31" t="s">
        <v>1061</v>
      </c>
      <c r="I31" t="s">
        <v>1447</v>
      </c>
      <c r="J31" t="s">
        <v>1165</v>
      </c>
      <c r="K31">
        <v>1</v>
      </c>
      <c r="L31" t="s">
        <v>1166</v>
      </c>
      <c r="M31" t="s">
        <v>1167</v>
      </c>
      <c r="N31" t="s">
        <v>1448</v>
      </c>
      <c r="O31">
        <v>510</v>
      </c>
    </row>
    <row r="32" spans="1:15" x14ac:dyDescent="0.3">
      <c r="A32" t="s">
        <v>1450</v>
      </c>
      <c r="B32">
        <v>510595</v>
      </c>
      <c r="C32" t="s">
        <v>1232</v>
      </c>
      <c r="D32" t="s">
        <v>1841</v>
      </c>
      <c r="E32" t="s">
        <v>1060</v>
      </c>
      <c r="F32" t="s">
        <v>1199</v>
      </c>
      <c r="G32" t="s">
        <v>947</v>
      </c>
      <c r="H32" t="s">
        <v>1061</v>
      </c>
      <c r="I32" t="s">
        <v>1451</v>
      </c>
      <c r="J32" t="s">
        <v>1165</v>
      </c>
      <c r="K32">
        <v>1</v>
      </c>
      <c r="L32" t="s">
        <v>1192</v>
      </c>
      <c r="M32" t="s">
        <v>1193</v>
      </c>
      <c r="N32" t="s">
        <v>1452</v>
      </c>
      <c r="O32">
        <v>510</v>
      </c>
    </row>
    <row r="33" spans="1:15" x14ac:dyDescent="0.3">
      <c r="A33" t="s">
        <v>1215</v>
      </c>
      <c r="B33">
        <v>511025</v>
      </c>
      <c r="C33" t="s">
        <v>1213</v>
      </c>
      <c r="D33" t="s">
        <v>1841</v>
      </c>
      <c r="E33" t="s">
        <v>1062</v>
      </c>
      <c r="F33" t="s">
        <v>1199</v>
      </c>
      <c r="G33" t="s">
        <v>947</v>
      </c>
      <c r="H33" t="s">
        <v>1063</v>
      </c>
      <c r="I33" t="s">
        <v>1216</v>
      </c>
      <c r="J33" t="s">
        <v>1165</v>
      </c>
      <c r="K33">
        <v>1</v>
      </c>
      <c r="L33" t="s">
        <v>1166</v>
      </c>
      <c r="M33" t="s">
        <v>1167</v>
      </c>
      <c r="N33" t="s">
        <v>1217</v>
      </c>
      <c r="O33">
        <v>520</v>
      </c>
    </row>
    <row r="34" spans="1:15" x14ac:dyDescent="0.3">
      <c r="A34" t="s">
        <v>1330</v>
      </c>
      <c r="B34">
        <v>511030</v>
      </c>
      <c r="C34" t="s">
        <v>1328</v>
      </c>
      <c r="D34" t="s">
        <v>1841</v>
      </c>
      <c r="E34" t="s">
        <v>1062</v>
      </c>
      <c r="F34" t="s">
        <v>1199</v>
      </c>
      <c r="G34" t="s">
        <v>947</v>
      </c>
      <c r="H34" t="s">
        <v>1063</v>
      </c>
      <c r="I34" t="s">
        <v>1331</v>
      </c>
      <c r="J34" t="s">
        <v>1165</v>
      </c>
      <c r="K34">
        <v>1</v>
      </c>
      <c r="L34" t="s">
        <v>1166</v>
      </c>
      <c r="M34" t="s">
        <v>1167</v>
      </c>
      <c r="N34" t="s">
        <v>1332</v>
      </c>
      <c r="O34">
        <v>520</v>
      </c>
    </row>
    <row r="35" spans="1:15" x14ac:dyDescent="0.3">
      <c r="A35" t="s">
        <v>1611</v>
      </c>
      <c r="B35">
        <v>511035</v>
      </c>
      <c r="C35" t="s">
        <v>1585</v>
      </c>
      <c r="D35" t="s">
        <v>1841</v>
      </c>
      <c r="E35" t="s">
        <v>1062</v>
      </c>
      <c r="F35" t="s">
        <v>1199</v>
      </c>
      <c r="G35" t="s">
        <v>947</v>
      </c>
      <c r="H35" t="s">
        <v>1063</v>
      </c>
      <c r="I35" t="s">
        <v>1588</v>
      </c>
      <c r="J35" t="s">
        <v>1165</v>
      </c>
      <c r="K35">
        <v>1</v>
      </c>
      <c r="L35" t="s">
        <v>1166</v>
      </c>
      <c r="M35" t="s">
        <v>1167</v>
      </c>
      <c r="N35" t="s">
        <v>1612</v>
      </c>
      <c r="O35">
        <v>520</v>
      </c>
    </row>
    <row r="36" spans="1:15" x14ac:dyDescent="0.3">
      <c r="A36" t="s">
        <v>1221</v>
      </c>
      <c r="B36">
        <v>511505</v>
      </c>
      <c r="C36" t="s">
        <v>1219</v>
      </c>
      <c r="D36" t="s">
        <v>1841</v>
      </c>
      <c r="E36" t="s">
        <v>1064</v>
      </c>
      <c r="F36" t="s">
        <v>1199</v>
      </c>
      <c r="G36" t="s">
        <v>947</v>
      </c>
      <c r="H36" t="s">
        <v>1065</v>
      </c>
      <c r="I36" t="s">
        <v>1222</v>
      </c>
      <c r="J36" t="s">
        <v>1165</v>
      </c>
      <c r="K36">
        <v>1</v>
      </c>
      <c r="L36" t="s">
        <v>1166</v>
      </c>
      <c r="M36" t="s">
        <v>1167</v>
      </c>
      <c r="N36" t="s">
        <v>1223</v>
      </c>
      <c r="O36">
        <v>530</v>
      </c>
    </row>
    <row r="37" spans="1:15" x14ac:dyDescent="0.3">
      <c r="A37" t="s">
        <v>1616</v>
      </c>
      <c r="B37">
        <v>512095</v>
      </c>
      <c r="C37" t="s">
        <v>1232</v>
      </c>
      <c r="D37" t="s">
        <v>1841</v>
      </c>
      <c r="E37" t="s">
        <v>1066</v>
      </c>
      <c r="F37" t="s">
        <v>1199</v>
      </c>
      <c r="G37" t="s">
        <v>947</v>
      </c>
      <c r="H37" t="s">
        <v>1067</v>
      </c>
      <c r="I37" t="s">
        <v>1617</v>
      </c>
      <c r="J37" t="s">
        <v>1165</v>
      </c>
      <c r="K37">
        <v>1</v>
      </c>
      <c r="L37" t="s">
        <v>1166</v>
      </c>
      <c r="M37" t="s">
        <v>1167</v>
      </c>
      <c r="N37" t="s">
        <v>1618</v>
      </c>
      <c r="O37">
        <v>540</v>
      </c>
    </row>
    <row r="38" spans="1:15" x14ac:dyDescent="0.3">
      <c r="A38" t="s">
        <v>1228</v>
      </c>
      <c r="B38">
        <v>512505</v>
      </c>
      <c r="C38" t="s">
        <v>1226</v>
      </c>
      <c r="D38" t="s">
        <v>1841</v>
      </c>
      <c r="E38" t="s">
        <v>1064</v>
      </c>
      <c r="F38" t="s">
        <v>1199</v>
      </c>
      <c r="G38" t="s">
        <v>947</v>
      </c>
      <c r="H38" t="s">
        <v>1065</v>
      </c>
      <c r="I38" t="s">
        <v>1229</v>
      </c>
      <c r="J38" t="s">
        <v>1165</v>
      </c>
      <c r="K38">
        <v>1</v>
      </c>
      <c r="L38" t="s">
        <v>1166</v>
      </c>
      <c r="M38" t="s">
        <v>1167</v>
      </c>
      <c r="N38" t="s">
        <v>1230</v>
      </c>
      <c r="O38">
        <v>530</v>
      </c>
    </row>
    <row r="39" spans="1:15" x14ac:dyDescent="0.3">
      <c r="A39" t="s">
        <v>1234</v>
      </c>
      <c r="B39">
        <v>513095</v>
      </c>
      <c r="C39" t="s">
        <v>1232</v>
      </c>
      <c r="D39" t="s">
        <v>1841</v>
      </c>
      <c r="E39" t="s">
        <v>1068</v>
      </c>
      <c r="F39" t="s">
        <v>1199</v>
      </c>
      <c r="G39" t="s">
        <v>947</v>
      </c>
      <c r="H39" t="s">
        <v>568</v>
      </c>
      <c r="I39" t="s">
        <v>1235</v>
      </c>
      <c r="J39" t="s">
        <v>1165</v>
      </c>
      <c r="K39">
        <v>1</v>
      </c>
      <c r="L39" t="s">
        <v>1192</v>
      </c>
      <c r="M39" t="s">
        <v>1193</v>
      </c>
      <c r="N39" t="s">
        <v>1236</v>
      </c>
      <c r="O39">
        <v>550</v>
      </c>
    </row>
    <row r="40" spans="1:15" x14ac:dyDescent="0.3">
      <c r="A40" t="s">
        <v>1242</v>
      </c>
      <c r="B40">
        <v>513520</v>
      </c>
      <c r="C40" t="s">
        <v>1240</v>
      </c>
      <c r="D40" t="s">
        <v>1841</v>
      </c>
      <c r="E40" t="s">
        <v>1069</v>
      </c>
      <c r="F40" t="s">
        <v>1199</v>
      </c>
      <c r="G40" t="s">
        <v>947</v>
      </c>
      <c r="H40" t="s">
        <v>1070</v>
      </c>
      <c r="I40" t="s">
        <v>1243</v>
      </c>
      <c r="J40" t="s">
        <v>1165</v>
      </c>
      <c r="K40">
        <v>1</v>
      </c>
      <c r="L40" t="s">
        <v>1166</v>
      </c>
      <c r="M40" t="s">
        <v>1193</v>
      </c>
      <c r="N40" t="s">
        <v>1244</v>
      </c>
      <c r="O40">
        <v>560</v>
      </c>
    </row>
    <row r="41" spans="1:15" x14ac:dyDescent="0.3">
      <c r="A41" t="s">
        <v>1621</v>
      </c>
      <c r="B41">
        <v>513535</v>
      </c>
      <c r="C41" t="s">
        <v>1620</v>
      </c>
      <c r="D41" t="s">
        <v>1841</v>
      </c>
      <c r="E41" t="s">
        <v>1071</v>
      </c>
      <c r="F41" t="s">
        <v>1199</v>
      </c>
      <c r="G41" t="s">
        <v>947</v>
      </c>
      <c r="H41" t="s">
        <v>1072</v>
      </c>
      <c r="I41" t="s">
        <v>1622</v>
      </c>
      <c r="J41" t="s">
        <v>1165</v>
      </c>
      <c r="K41">
        <v>1</v>
      </c>
      <c r="L41" t="s">
        <v>1166</v>
      </c>
      <c r="M41" t="s">
        <v>1167</v>
      </c>
      <c r="N41" t="s">
        <v>1623</v>
      </c>
      <c r="O41">
        <v>570</v>
      </c>
    </row>
    <row r="42" spans="1:15" x14ac:dyDescent="0.3">
      <c r="A42" t="s">
        <v>1470</v>
      </c>
      <c r="B42">
        <v>513540</v>
      </c>
      <c r="C42" t="s">
        <v>1468</v>
      </c>
      <c r="D42" t="s">
        <v>1841</v>
      </c>
      <c r="E42" t="s">
        <v>1073</v>
      </c>
      <c r="F42" t="s">
        <v>1199</v>
      </c>
      <c r="G42" t="s">
        <v>947</v>
      </c>
      <c r="H42" t="s">
        <v>1074</v>
      </c>
      <c r="I42" t="s">
        <v>1471</v>
      </c>
      <c r="J42" t="s">
        <v>1165</v>
      </c>
      <c r="K42">
        <v>1</v>
      </c>
      <c r="L42" t="s">
        <v>1166</v>
      </c>
      <c r="M42" t="s">
        <v>1167</v>
      </c>
      <c r="N42" t="s">
        <v>1472</v>
      </c>
      <c r="O42">
        <v>580</v>
      </c>
    </row>
    <row r="43" spans="1:15" x14ac:dyDescent="0.3">
      <c r="A43" t="s">
        <v>1475</v>
      </c>
      <c r="B43">
        <v>513595</v>
      </c>
      <c r="C43" t="s">
        <v>1232</v>
      </c>
      <c r="D43" t="s">
        <v>1841</v>
      </c>
      <c r="E43" t="s">
        <v>1077</v>
      </c>
      <c r="F43" t="s">
        <v>1199</v>
      </c>
      <c r="G43" t="s">
        <v>947</v>
      </c>
      <c r="H43" t="s">
        <v>1078</v>
      </c>
      <c r="I43" t="s">
        <v>576</v>
      </c>
      <c r="J43" t="s">
        <v>1165</v>
      </c>
      <c r="K43">
        <v>1</v>
      </c>
      <c r="L43" t="s">
        <v>1192</v>
      </c>
      <c r="M43" t="s">
        <v>1193</v>
      </c>
      <c r="N43" t="s">
        <v>1476</v>
      </c>
      <c r="O43">
        <v>600</v>
      </c>
    </row>
    <row r="44" spans="1:15" x14ac:dyDescent="0.3">
      <c r="A44" t="s">
        <v>1479</v>
      </c>
      <c r="B44">
        <v>519525</v>
      </c>
      <c r="C44" t="s">
        <v>1478</v>
      </c>
      <c r="D44" t="s">
        <v>1841</v>
      </c>
      <c r="E44" t="s">
        <v>1079</v>
      </c>
      <c r="F44" t="s">
        <v>1199</v>
      </c>
      <c r="G44" t="s">
        <v>947</v>
      </c>
      <c r="H44" t="s">
        <v>1080</v>
      </c>
      <c r="I44" t="s">
        <v>1480</v>
      </c>
      <c r="J44" t="s">
        <v>1165</v>
      </c>
      <c r="K44">
        <v>1</v>
      </c>
      <c r="L44" t="s">
        <v>1166</v>
      </c>
      <c r="M44" t="s">
        <v>1193</v>
      </c>
      <c r="N44" t="s">
        <v>1481</v>
      </c>
      <c r="O44">
        <v>610</v>
      </c>
    </row>
    <row r="45" spans="1:15" x14ac:dyDescent="0.3">
      <c r="A45" t="s">
        <v>1248</v>
      </c>
      <c r="B45">
        <v>519530</v>
      </c>
      <c r="C45" t="s">
        <v>1246</v>
      </c>
      <c r="D45" t="s">
        <v>1841</v>
      </c>
      <c r="E45" t="s">
        <v>1079</v>
      </c>
      <c r="F45" t="s">
        <v>1199</v>
      </c>
      <c r="G45" t="s">
        <v>947</v>
      </c>
      <c r="H45" t="s">
        <v>1080</v>
      </c>
      <c r="I45" t="s">
        <v>1249</v>
      </c>
      <c r="J45" t="s">
        <v>1165</v>
      </c>
      <c r="K45">
        <v>1</v>
      </c>
      <c r="L45" t="s">
        <v>1166</v>
      </c>
      <c r="M45" t="s">
        <v>1167</v>
      </c>
      <c r="N45" t="s">
        <v>1250</v>
      </c>
      <c r="O45">
        <v>610</v>
      </c>
    </row>
    <row r="46" spans="1:15" x14ac:dyDescent="0.3">
      <c r="A46" t="s">
        <v>1487</v>
      </c>
      <c r="B46">
        <v>519560</v>
      </c>
      <c r="C46" t="s">
        <v>1485</v>
      </c>
      <c r="D46" t="s">
        <v>1841</v>
      </c>
      <c r="E46" t="s">
        <v>1081</v>
      </c>
      <c r="F46" t="s">
        <v>1199</v>
      </c>
      <c r="G46" t="s">
        <v>947</v>
      </c>
      <c r="H46" t="s">
        <v>1082</v>
      </c>
      <c r="I46" t="s">
        <v>1488</v>
      </c>
      <c r="J46" t="s">
        <v>1165</v>
      </c>
      <c r="K46">
        <v>1</v>
      </c>
      <c r="L46" t="s">
        <v>1166</v>
      </c>
      <c r="M46" t="s">
        <v>1193</v>
      </c>
      <c r="N46" t="s">
        <v>1489</v>
      </c>
      <c r="O46">
        <v>620</v>
      </c>
    </row>
    <row r="47" spans="1:15" x14ac:dyDescent="0.3">
      <c r="A47" t="s">
        <v>1523</v>
      </c>
      <c r="B47">
        <v>519565</v>
      </c>
      <c r="C47" t="s">
        <v>1521</v>
      </c>
      <c r="D47" t="s">
        <v>1841</v>
      </c>
      <c r="E47" t="s">
        <v>1083</v>
      </c>
      <c r="F47" t="s">
        <v>1199</v>
      </c>
      <c r="G47" t="s">
        <v>947</v>
      </c>
      <c r="H47" t="s">
        <v>1084</v>
      </c>
      <c r="I47" t="s">
        <v>1524</v>
      </c>
      <c r="J47" t="s">
        <v>1165</v>
      </c>
      <c r="K47">
        <v>1</v>
      </c>
      <c r="L47" t="s">
        <v>1166</v>
      </c>
      <c r="M47" t="s">
        <v>1167</v>
      </c>
      <c r="N47" t="s">
        <v>1524</v>
      </c>
      <c r="O47">
        <v>630</v>
      </c>
    </row>
    <row r="48" spans="1:15" x14ac:dyDescent="0.3">
      <c r="A48" t="s">
        <v>1530</v>
      </c>
      <c r="B48">
        <v>521010</v>
      </c>
      <c r="C48" t="s">
        <v>1528</v>
      </c>
      <c r="D48" t="s">
        <v>1841</v>
      </c>
      <c r="E48" t="s">
        <v>1062</v>
      </c>
      <c r="F48" t="s">
        <v>1199</v>
      </c>
      <c r="G48" t="s">
        <v>947</v>
      </c>
      <c r="H48" t="s">
        <v>1063</v>
      </c>
      <c r="I48" t="s">
        <v>1531</v>
      </c>
      <c r="J48" t="s">
        <v>1165</v>
      </c>
      <c r="K48">
        <v>1</v>
      </c>
      <c r="L48" t="s">
        <v>1166</v>
      </c>
      <c r="M48" t="s">
        <v>1167</v>
      </c>
      <c r="N48" t="s">
        <v>1532</v>
      </c>
      <c r="O48">
        <v>520</v>
      </c>
    </row>
    <row r="49" spans="1:15" x14ac:dyDescent="0.3">
      <c r="A49" t="s">
        <v>1587</v>
      </c>
      <c r="B49">
        <v>521035</v>
      </c>
      <c r="C49" t="s">
        <v>1585</v>
      </c>
      <c r="D49" t="s">
        <v>1841</v>
      </c>
      <c r="E49" t="s">
        <v>1095</v>
      </c>
      <c r="F49" t="s">
        <v>1199</v>
      </c>
      <c r="G49" t="s">
        <v>948</v>
      </c>
      <c r="H49" t="s">
        <v>1096</v>
      </c>
      <c r="I49" t="s">
        <v>1588</v>
      </c>
      <c r="J49" t="s">
        <v>1165</v>
      </c>
      <c r="K49">
        <v>1</v>
      </c>
      <c r="L49" t="s">
        <v>1192</v>
      </c>
      <c r="M49" t="s">
        <v>1193</v>
      </c>
      <c r="N49" t="s">
        <v>1589</v>
      </c>
      <c r="O49">
        <v>710</v>
      </c>
    </row>
    <row r="50" spans="1:15" x14ac:dyDescent="0.3">
      <c r="A50" t="s">
        <v>1334</v>
      </c>
      <c r="B50">
        <v>521095</v>
      </c>
      <c r="C50" t="s">
        <v>1232</v>
      </c>
      <c r="D50" t="s">
        <v>1841</v>
      </c>
      <c r="E50" t="s">
        <v>1095</v>
      </c>
      <c r="F50" t="s">
        <v>1199</v>
      </c>
      <c r="G50" t="s">
        <v>948</v>
      </c>
      <c r="H50" t="s">
        <v>1096</v>
      </c>
      <c r="I50" t="s">
        <v>1335</v>
      </c>
      <c r="J50" t="s">
        <v>1165</v>
      </c>
      <c r="K50">
        <v>1</v>
      </c>
      <c r="L50" t="s">
        <v>1192</v>
      </c>
      <c r="M50" t="s">
        <v>1193</v>
      </c>
      <c r="N50" t="s">
        <v>1336</v>
      </c>
      <c r="O50">
        <v>710</v>
      </c>
    </row>
    <row r="51" spans="1:15" x14ac:dyDescent="0.3">
      <c r="A51" t="s">
        <v>1339</v>
      </c>
      <c r="B51">
        <v>523560</v>
      </c>
      <c r="C51" t="s">
        <v>1338</v>
      </c>
      <c r="D51" t="s">
        <v>1841</v>
      </c>
      <c r="E51" t="s">
        <v>1097</v>
      </c>
      <c r="F51" t="s">
        <v>1199</v>
      </c>
      <c r="G51" t="s">
        <v>948</v>
      </c>
      <c r="H51" t="s">
        <v>1098</v>
      </c>
      <c r="I51" t="s">
        <v>1340</v>
      </c>
      <c r="J51" t="s">
        <v>1165</v>
      </c>
      <c r="K51">
        <v>1</v>
      </c>
      <c r="L51" t="s">
        <v>1166</v>
      </c>
      <c r="M51" t="s">
        <v>1167</v>
      </c>
      <c r="N51" t="s">
        <v>1341</v>
      </c>
      <c r="O51">
        <v>720</v>
      </c>
    </row>
    <row r="52" spans="1:15" x14ac:dyDescent="0.3">
      <c r="A52" t="s">
        <v>1538</v>
      </c>
      <c r="B52">
        <v>523595</v>
      </c>
      <c r="C52" t="s">
        <v>1232</v>
      </c>
      <c r="D52" t="s">
        <v>1841</v>
      </c>
      <c r="E52" t="s">
        <v>1099</v>
      </c>
      <c r="F52" t="s">
        <v>1199</v>
      </c>
      <c r="G52" t="s">
        <v>948</v>
      </c>
      <c r="H52" t="s">
        <v>1100</v>
      </c>
      <c r="I52" t="s">
        <v>576</v>
      </c>
      <c r="J52" t="s">
        <v>1165</v>
      </c>
      <c r="K52">
        <v>1</v>
      </c>
      <c r="L52" t="s">
        <v>1192</v>
      </c>
      <c r="M52" t="s">
        <v>1193</v>
      </c>
      <c r="N52" t="s">
        <v>1539</v>
      </c>
      <c r="O52">
        <v>730</v>
      </c>
    </row>
    <row r="53" spans="1:15" x14ac:dyDescent="0.3">
      <c r="A53" t="s">
        <v>1345</v>
      </c>
      <c r="B53">
        <v>525505</v>
      </c>
      <c r="C53" t="s">
        <v>1343</v>
      </c>
      <c r="D53" t="s">
        <v>1841</v>
      </c>
      <c r="E53" t="s">
        <v>1101</v>
      </c>
      <c r="F53" t="s">
        <v>1199</v>
      </c>
      <c r="G53" t="s">
        <v>948</v>
      </c>
      <c r="H53" t="s">
        <v>1102</v>
      </c>
      <c r="I53" t="s">
        <v>1346</v>
      </c>
      <c r="J53" t="s">
        <v>1165</v>
      </c>
      <c r="K53">
        <v>1</v>
      </c>
      <c r="L53" t="s">
        <v>1166</v>
      </c>
      <c r="M53" t="s">
        <v>1167</v>
      </c>
      <c r="N53" t="s">
        <v>1347</v>
      </c>
      <c r="O53">
        <v>740</v>
      </c>
    </row>
    <row r="54" spans="1:15" x14ac:dyDescent="0.3">
      <c r="A54" t="s">
        <v>1593</v>
      </c>
      <c r="B54">
        <v>525515</v>
      </c>
      <c r="C54" t="s">
        <v>1591</v>
      </c>
      <c r="D54" t="s">
        <v>1841</v>
      </c>
      <c r="E54" t="s">
        <v>1101</v>
      </c>
      <c r="F54" t="s">
        <v>1199</v>
      </c>
      <c r="G54" t="s">
        <v>948</v>
      </c>
      <c r="H54" t="s">
        <v>1102</v>
      </c>
      <c r="I54" t="s">
        <v>1594</v>
      </c>
      <c r="J54" t="s">
        <v>1165</v>
      </c>
      <c r="K54">
        <v>1</v>
      </c>
      <c r="L54" t="s">
        <v>1166</v>
      </c>
      <c r="M54" t="s">
        <v>1167</v>
      </c>
      <c r="N54" t="s">
        <v>1102</v>
      </c>
      <c r="O54">
        <v>740</v>
      </c>
    </row>
    <row r="55" spans="1:15" x14ac:dyDescent="0.3">
      <c r="A55" t="s">
        <v>1596</v>
      </c>
      <c r="B55">
        <v>525595</v>
      </c>
      <c r="C55" t="s">
        <v>1232</v>
      </c>
      <c r="D55" t="s">
        <v>1841</v>
      </c>
      <c r="E55" t="s">
        <v>1101</v>
      </c>
      <c r="F55" t="s">
        <v>1199</v>
      </c>
      <c r="G55" t="s">
        <v>948</v>
      </c>
      <c r="H55" t="s">
        <v>1102</v>
      </c>
      <c r="I55" t="s">
        <v>1597</v>
      </c>
      <c r="J55" t="s">
        <v>1165</v>
      </c>
      <c r="K55">
        <v>1</v>
      </c>
      <c r="L55" t="s">
        <v>1192</v>
      </c>
      <c r="M55" t="s">
        <v>1193</v>
      </c>
      <c r="N55" t="s">
        <v>1598</v>
      </c>
      <c r="O55">
        <v>740</v>
      </c>
    </row>
    <row r="56" spans="1:15" x14ac:dyDescent="0.3">
      <c r="A56" t="s">
        <v>1361</v>
      </c>
      <c r="B56">
        <v>529545</v>
      </c>
      <c r="C56" t="s">
        <v>1360</v>
      </c>
      <c r="D56" t="s">
        <v>1841</v>
      </c>
      <c r="E56" t="s">
        <v>1103</v>
      </c>
      <c r="F56" t="s">
        <v>1199</v>
      </c>
      <c r="G56" t="s">
        <v>948</v>
      </c>
      <c r="H56" t="s">
        <v>1104</v>
      </c>
      <c r="I56" t="s">
        <v>1362</v>
      </c>
      <c r="J56" t="s">
        <v>1165</v>
      </c>
      <c r="K56">
        <v>1</v>
      </c>
      <c r="L56" t="s">
        <v>1166</v>
      </c>
      <c r="M56" t="s">
        <v>1167</v>
      </c>
      <c r="N56" t="s">
        <v>1363</v>
      </c>
      <c r="O56">
        <v>750</v>
      </c>
    </row>
    <row r="57" spans="1:15" x14ac:dyDescent="0.3">
      <c r="A57" t="s">
        <v>1366</v>
      </c>
      <c r="B57">
        <v>529595</v>
      </c>
      <c r="C57" t="s">
        <v>1232</v>
      </c>
      <c r="D57" t="s">
        <v>1841</v>
      </c>
      <c r="E57" t="s">
        <v>1105</v>
      </c>
      <c r="F57" t="s">
        <v>1199</v>
      </c>
      <c r="G57" t="s">
        <v>948</v>
      </c>
      <c r="H57" t="s">
        <v>1106</v>
      </c>
      <c r="I57" t="s">
        <v>576</v>
      </c>
      <c r="J57" t="s">
        <v>1165</v>
      </c>
      <c r="K57">
        <v>1</v>
      </c>
      <c r="L57" t="s">
        <v>1192</v>
      </c>
      <c r="M57" t="s">
        <v>1193</v>
      </c>
      <c r="N57" t="s">
        <v>1367</v>
      </c>
      <c r="O57">
        <v>760</v>
      </c>
    </row>
    <row r="58" spans="1:15" x14ac:dyDescent="0.3">
      <c r="A58" t="s">
        <v>1260</v>
      </c>
      <c r="B58">
        <v>530505</v>
      </c>
      <c r="C58" t="s">
        <v>1258</v>
      </c>
      <c r="D58" t="s">
        <v>1841</v>
      </c>
      <c r="E58" t="s">
        <v>1123</v>
      </c>
      <c r="F58" t="s">
        <v>1199</v>
      </c>
      <c r="G58" t="s">
        <v>717</v>
      </c>
      <c r="H58" t="s">
        <v>717</v>
      </c>
      <c r="I58" t="s">
        <v>1261</v>
      </c>
      <c r="J58" t="s">
        <v>1165</v>
      </c>
      <c r="K58">
        <v>1</v>
      </c>
      <c r="L58" t="s">
        <v>1166</v>
      </c>
      <c r="M58" t="s">
        <v>1167</v>
      </c>
      <c r="N58" t="s">
        <v>1262</v>
      </c>
      <c r="O58">
        <v>810</v>
      </c>
    </row>
    <row r="59" spans="1:15" x14ac:dyDescent="0.3">
      <c r="A59" t="s">
        <v>1546</v>
      </c>
      <c r="B59">
        <v>530515</v>
      </c>
      <c r="C59" t="s">
        <v>1544</v>
      </c>
      <c r="D59" t="s">
        <v>1841</v>
      </c>
      <c r="E59" t="s">
        <v>1123</v>
      </c>
      <c r="F59" t="s">
        <v>1199</v>
      </c>
      <c r="G59" t="s">
        <v>717</v>
      </c>
      <c r="H59" t="s">
        <v>717</v>
      </c>
      <c r="I59" t="s">
        <v>1547</v>
      </c>
      <c r="J59" t="s">
        <v>1165</v>
      </c>
      <c r="K59">
        <v>1</v>
      </c>
      <c r="L59" t="s">
        <v>1166</v>
      </c>
      <c r="M59" t="s">
        <v>1167</v>
      </c>
      <c r="N59" t="s">
        <v>1548</v>
      </c>
      <c r="O59">
        <v>810</v>
      </c>
    </row>
    <row r="60" spans="1:15" x14ac:dyDescent="0.3">
      <c r="A60" t="s">
        <v>1679</v>
      </c>
      <c r="B60" t="s">
        <v>1677</v>
      </c>
      <c r="C60" t="s">
        <v>1680</v>
      </c>
      <c r="D60" t="s">
        <v>1842</v>
      </c>
      <c r="E60" t="s">
        <v>980</v>
      </c>
      <c r="F60" t="s">
        <v>1162</v>
      </c>
      <c r="G60" t="s">
        <v>1163</v>
      </c>
      <c r="H60" t="s">
        <v>926</v>
      </c>
      <c r="I60" t="s">
        <v>1680</v>
      </c>
      <c r="J60" t="s">
        <v>1165</v>
      </c>
      <c r="K60">
        <v>1</v>
      </c>
      <c r="L60" t="s">
        <v>1166</v>
      </c>
      <c r="M60" t="s">
        <v>1167</v>
      </c>
      <c r="N60" t="s">
        <v>1681</v>
      </c>
      <c r="O60">
        <v>10</v>
      </c>
    </row>
    <row r="61" spans="1:15" x14ac:dyDescent="0.3">
      <c r="A61" t="s">
        <v>1687</v>
      </c>
      <c r="B61" t="s">
        <v>1685</v>
      </c>
      <c r="C61" t="s">
        <v>1688</v>
      </c>
      <c r="D61" t="s">
        <v>1842</v>
      </c>
      <c r="E61" t="s">
        <v>981</v>
      </c>
      <c r="F61" t="s">
        <v>1162</v>
      </c>
      <c r="G61" t="s">
        <v>1163</v>
      </c>
      <c r="H61" t="s">
        <v>982</v>
      </c>
      <c r="I61" t="s">
        <v>1688</v>
      </c>
      <c r="J61" t="s">
        <v>1165</v>
      </c>
      <c r="K61">
        <v>1</v>
      </c>
      <c r="L61" t="s">
        <v>1166</v>
      </c>
      <c r="M61" t="s">
        <v>1167</v>
      </c>
      <c r="N61" t="s">
        <v>1689</v>
      </c>
      <c r="O61">
        <v>20</v>
      </c>
    </row>
    <row r="62" spans="1:15" x14ac:dyDescent="0.3">
      <c r="A62" t="s">
        <v>1692</v>
      </c>
      <c r="B62" t="s">
        <v>1691</v>
      </c>
      <c r="C62" t="s">
        <v>1276</v>
      </c>
      <c r="D62" t="s">
        <v>1842</v>
      </c>
      <c r="E62" t="s">
        <v>983</v>
      </c>
      <c r="F62" t="s">
        <v>1162</v>
      </c>
      <c r="G62" t="s">
        <v>1163</v>
      </c>
      <c r="H62" t="s">
        <v>984</v>
      </c>
      <c r="I62" t="s">
        <v>1276</v>
      </c>
      <c r="J62" t="s">
        <v>1165</v>
      </c>
      <c r="K62">
        <v>1</v>
      </c>
      <c r="L62" t="s">
        <v>1166</v>
      </c>
      <c r="M62" t="s">
        <v>1167</v>
      </c>
      <c r="N62" t="s">
        <v>1693</v>
      </c>
      <c r="O62">
        <v>30</v>
      </c>
    </row>
    <row r="63" spans="1:15" x14ac:dyDescent="0.3">
      <c r="A63" t="s">
        <v>1696</v>
      </c>
      <c r="B63" t="s">
        <v>1694</v>
      </c>
      <c r="C63" t="s">
        <v>1697</v>
      </c>
      <c r="D63" t="s">
        <v>1842</v>
      </c>
      <c r="E63" t="s">
        <v>985</v>
      </c>
      <c r="F63" t="s">
        <v>1162</v>
      </c>
      <c r="G63" t="s">
        <v>1163</v>
      </c>
      <c r="H63" t="s">
        <v>986</v>
      </c>
      <c r="I63" t="s">
        <v>1697</v>
      </c>
      <c r="J63" t="s">
        <v>1165</v>
      </c>
      <c r="K63">
        <v>1</v>
      </c>
      <c r="L63" t="s">
        <v>1166</v>
      </c>
      <c r="M63" t="s">
        <v>1167</v>
      </c>
      <c r="N63" t="s">
        <v>1693</v>
      </c>
      <c r="O63">
        <v>40</v>
      </c>
    </row>
    <row r="64" spans="1:15" x14ac:dyDescent="0.3">
      <c r="A64" t="s">
        <v>1706</v>
      </c>
      <c r="B64" t="s">
        <v>1704</v>
      </c>
      <c r="C64" t="s">
        <v>1707</v>
      </c>
      <c r="D64" t="s">
        <v>1842</v>
      </c>
      <c r="E64" t="s">
        <v>987</v>
      </c>
      <c r="F64" t="s">
        <v>1162</v>
      </c>
      <c r="G64" t="s">
        <v>1163</v>
      </c>
      <c r="H64" t="s">
        <v>988</v>
      </c>
      <c r="I64" t="s">
        <v>1707</v>
      </c>
      <c r="J64" t="s">
        <v>1165</v>
      </c>
      <c r="K64">
        <v>1</v>
      </c>
      <c r="L64" t="s">
        <v>1166</v>
      </c>
      <c r="M64" t="s">
        <v>1167</v>
      </c>
      <c r="N64" t="s">
        <v>1693</v>
      </c>
      <c r="O64">
        <v>50</v>
      </c>
    </row>
    <row r="65" spans="1:15" x14ac:dyDescent="0.3">
      <c r="A65" t="s">
        <v>1701</v>
      </c>
      <c r="B65" t="s">
        <v>1699</v>
      </c>
      <c r="C65" t="s">
        <v>1702</v>
      </c>
      <c r="D65" t="s">
        <v>1842</v>
      </c>
      <c r="E65" t="s">
        <v>989</v>
      </c>
      <c r="F65" t="s">
        <v>1162</v>
      </c>
      <c r="G65" t="s">
        <v>1163</v>
      </c>
      <c r="H65" t="s">
        <v>990</v>
      </c>
      <c r="I65" t="s">
        <v>1702</v>
      </c>
      <c r="J65" t="s">
        <v>1165</v>
      </c>
      <c r="K65">
        <v>1</v>
      </c>
      <c r="L65" t="s">
        <v>1192</v>
      </c>
      <c r="M65" t="s">
        <v>1193</v>
      </c>
      <c r="N65" t="s">
        <v>1703</v>
      </c>
      <c r="O65">
        <v>60</v>
      </c>
    </row>
    <row r="66" spans="1:15" x14ac:dyDescent="0.3">
      <c r="A66" t="s">
        <v>1712</v>
      </c>
      <c r="B66" t="s">
        <v>1710</v>
      </c>
      <c r="C66" t="s">
        <v>996</v>
      </c>
      <c r="D66" t="s">
        <v>1842</v>
      </c>
      <c r="E66" t="s">
        <v>995</v>
      </c>
      <c r="F66" t="s">
        <v>1162</v>
      </c>
      <c r="G66" t="s">
        <v>957</v>
      </c>
      <c r="H66" t="s">
        <v>996</v>
      </c>
      <c r="I66" t="s">
        <v>996</v>
      </c>
      <c r="J66" t="s">
        <v>1165</v>
      </c>
      <c r="K66">
        <v>1</v>
      </c>
      <c r="L66" t="s">
        <v>1166</v>
      </c>
      <c r="M66" t="s">
        <v>1167</v>
      </c>
      <c r="N66" t="s">
        <v>1713</v>
      </c>
      <c r="O66">
        <v>110</v>
      </c>
    </row>
    <row r="67" spans="1:15" x14ac:dyDescent="0.3">
      <c r="A67" t="s">
        <v>1717</v>
      </c>
      <c r="B67" t="s">
        <v>1716</v>
      </c>
      <c r="C67" t="s">
        <v>998</v>
      </c>
      <c r="D67" t="s">
        <v>1842</v>
      </c>
      <c r="E67" t="s">
        <v>997</v>
      </c>
      <c r="F67" t="s">
        <v>1162</v>
      </c>
      <c r="G67" t="s">
        <v>957</v>
      </c>
      <c r="H67" t="s">
        <v>998</v>
      </c>
      <c r="I67" t="s">
        <v>998</v>
      </c>
      <c r="J67" t="s">
        <v>1396</v>
      </c>
      <c r="K67">
        <v>1</v>
      </c>
      <c r="L67" t="s">
        <v>1166</v>
      </c>
      <c r="M67" t="s">
        <v>1167</v>
      </c>
      <c r="N67" t="s">
        <v>1713</v>
      </c>
      <c r="O67">
        <v>120</v>
      </c>
    </row>
    <row r="68" spans="1:15" x14ac:dyDescent="0.3">
      <c r="A68" t="s">
        <v>1720</v>
      </c>
      <c r="B68" t="s">
        <v>1718</v>
      </c>
      <c r="C68" t="s">
        <v>1721</v>
      </c>
      <c r="D68" t="s">
        <v>1842</v>
      </c>
      <c r="E68" t="s">
        <v>999</v>
      </c>
      <c r="F68" t="s">
        <v>1162</v>
      </c>
      <c r="G68" t="s">
        <v>957</v>
      </c>
      <c r="H68" t="s">
        <v>1000</v>
      </c>
      <c r="I68" t="s">
        <v>1721</v>
      </c>
      <c r="J68" t="s">
        <v>1165</v>
      </c>
      <c r="K68">
        <v>1</v>
      </c>
      <c r="L68" t="s">
        <v>1166</v>
      </c>
      <c r="M68" t="s">
        <v>1167</v>
      </c>
      <c r="N68" t="s">
        <v>1713</v>
      </c>
      <c r="O68">
        <v>130</v>
      </c>
    </row>
    <row r="69" spans="1:15" x14ac:dyDescent="0.3">
      <c r="A69" t="s">
        <v>1725</v>
      </c>
      <c r="B69" t="s">
        <v>1723</v>
      </c>
      <c r="C69" t="s">
        <v>1726</v>
      </c>
      <c r="D69" t="s">
        <v>1842</v>
      </c>
      <c r="E69" t="s">
        <v>1001</v>
      </c>
      <c r="F69" t="s">
        <v>1162</v>
      </c>
      <c r="G69" t="s">
        <v>957</v>
      </c>
      <c r="H69" t="s">
        <v>1002</v>
      </c>
      <c r="I69" t="s">
        <v>1726</v>
      </c>
      <c r="J69" t="s">
        <v>1727</v>
      </c>
      <c r="K69">
        <v>1</v>
      </c>
      <c r="L69" t="s">
        <v>1166</v>
      </c>
      <c r="M69" t="s">
        <v>1167</v>
      </c>
      <c r="N69" t="s">
        <v>1728</v>
      </c>
      <c r="O69">
        <v>140</v>
      </c>
    </row>
    <row r="70" spans="1:15" x14ac:dyDescent="0.3">
      <c r="A70" t="s">
        <v>1733</v>
      </c>
      <c r="B70" t="s">
        <v>1731</v>
      </c>
      <c r="C70" t="s">
        <v>1734</v>
      </c>
      <c r="D70" t="s">
        <v>1842</v>
      </c>
      <c r="E70" t="s">
        <v>1006</v>
      </c>
      <c r="F70" t="s">
        <v>1162</v>
      </c>
      <c r="G70" t="s">
        <v>1173</v>
      </c>
      <c r="H70" t="s">
        <v>1007</v>
      </c>
      <c r="I70" t="s">
        <v>1734</v>
      </c>
      <c r="J70" t="s">
        <v>1175</v>
      </c>
      <c r="K70">
        <v>1</v>
      </c>
      <c r="L70" t="s">
        <v>1166</v>
      </c>
      <c r="M70" t="s">
        <v>1167</v>
      </c>
      <c r="N70" t="s">
        <v>1735</v>
      </c>
      <c r="O70">
        <v>210</v>
      </c>
    </row>
    <row r="71" spans="1:15" x14ac:dyDescent="0.3">
      <c r="A71" t="s">
        <v>1749</v>
      </c>
      <c r="B71" t="s">
        <v>1748</v>
      </c>
      <c r="C71" t="s">
        <v>563</v>
      </c>
      <c r="D71" t="s">
        <v>1842</v>
      </c>
      <c r="E71" t="s">
        <v>1008</v>
      </c>
      <c r="F71" t="s">
        <v>1162</v>
      </c>
      <c r="G71" t="s">
        <v>1173</v>
      </c>
      <c r="H71" t="s">
        <v>1009</v>
      </c>
      <c r="I71" t="s">
        <v>563</v>
      </c>
      <c r="J71" t="s">
        <v>1175</v>
      </c>
      <c r="K71">
        <v>1</v>
      </c>
      <c r="L71" t="s">
        <v>1166</v>
      </c>
      <c r="M71" t="s">
        <v>1167</v>
      </c>
      <c r="N71" t="s">
        <v>1735</v>
      </c>
      <c r="O71">
        <v>220</v>
      </c>
    </row>
    <row r="72" spans="1:15" x14ac:dyDescent="0.3">
      <c r="A72" t="s">
        <v>1752</v>
      </c>
      <c r="B72" t="s">
        <v>1750</v>
      </c>
      <c r="C72" t="s">
        <v>1702</v>
      </c>
      <c r="D72" t="s">
        <v>1842</v>
      </c>
      <c r="E72" t="s">
        <v>1010</v>
      </c>
      <c r="F72" t="s">
        <v>1162</v>
      </c>
      <c r="G72" t="s">
        <v>1173</v>
      </c>
      <c r="H72" t="s">
        <v>1011</v>
      </c>
      <c r="I72" t="s">
        <v>1702</v>
      </c>
      <c r="J72" t="s">
        <v>1175</v>
      </c>
      <c r="K72">
        <v>1</v>
      </c>
      <c r="L72" t="s">
        <v>1166</v>
      </c>
      <c r="M72" t="s">
        <v>1167</v>
      </c>
      <c r="N72" t="s">
        <v>1735</v>
      </c>
      <c r="O72">
        <v>230</v>
      </c>
    </row>
    <row r="73" spans="1:15" x14ac:dyDescent="0.3">
      <c r="A73" t="s">
        <v>1738</v>
      </c>
      <c r="B73" t="s">
        <v>1736</v>
      </c>
      <c r="C73" t="s">
        <v>1737</v>
      </c>
      <c r="D73" t="s">
        <v>1842</v>
      </c>
      <c r="E73" t="s">
        <v>1012</v>
      </c>
      <c r="F73" t="s">
        <v>1162</v>
      </c>
      <c r="G73" t="s">
        <v>1173</v>
      </c>
      <c r="H73" t="s">
        <v>1013</v>
      </c>
      <c r="I73" t="s">
        <v>1737</v>
      </c>
      <c r="J73" t="s">
        <v>1175</v>
      </c>
      <c r="K73">
        <v>1</v>
      </c>
      <c r="L73" t="s">
        <v>1166</v>
      </c>
      <c r="M73" t="s">
        <v>1167</v>
      </c>
      <c r="N73" t="s">
        <v>1735</v>
      </c>
      <c r="O73">
        <v>240</v>
      </c>
    </row>
    <row r="74" spans="1:15" x14ac:dyDescent="0.3">
      <c r="A74" t="s">
        <v>1740</v>
      </c>
      <c r="B74" t="s">
        <v>1739</v>
      </c>
      <c r="C74" t="s">
        <v>1741</v>
      </c>
      <c r="D74" t="s">
        <v>1842</v>
      </c>
      <c r="E74" t="s">
        <v>1014</v>
      </c>
      <c r="F74" t="s">
        <v>1162</v>
      </c>
      <c r="G74" t="s">
        <v>1173</v>
      </c>
      <c r="H74" t="s">
        <v>1015</v>
      </c>
      <c r="I74" t="s">
        <v>1741</v>
      </c>
      <c r="J74" t="s">
        <v>1175</v>
      </c>
      <c r="K74">
        <v>1</v>
      </c>
      <c r="L74" t="s">
        <v>1166</v>
      </c>
      <c r="M74" t="s">
        <v>1167</v>
      </c>
      <c r="N74" t="s">
        <v>1735</v>
      </c>
      <c r="O74">
        <v>250</v>
      </c>
    </row>
    <row r="75" spans="1:15" x14ac:dyDescent="0.3">
      <c r="A75" t="s">
        <v>1755</v>
      </c>
      <c r="B75" t="s">
        <v>1753</v>
      </c>
      <c r="C75" t="s">
        <v>1726</v>
      </c>
      <c r="D75" t="s">
        <v>1842</v>
      </c>
      <c r="E75" t="s">
        <v>1018</v>
      </c>
      <c r="F75" t="s">
        <v>1162</v>
      </c>
      <c r="G75" t="s">
        <v>1173</v>
      </c>
      <c r="H75" t="s">
        <v>1002</v>
      </c>
      <c r="I75" t="s">
        <v>1726</v>
      </c>
      <c r="J75" t="s">
        <v>1727</v>
      </c>
      <c r="K75">
        <v>1</v>
      </c>
      <c r="L75" t="s">
        <v>1166</v>
      </c>
      <c r="M75" t="s">
        <v>1167</v>
      </c>
      <c r="N75" t="s">
        <v>1728</v>
      </c>
      <c r="O75">
        <v>270</v>
      </c>
    </row>
    <row r="76" spans="1:15" x14ac:dyDescent="0.3">
      <c r="A76" t="s">
        <v>1744</v>
      </c>
      <c r="B76" t="s">
        <v>1742</v>
      </c>
      <c r="C76" t="s">
        <v>1746</v>
      </c>
      <c r="D76" t="s">
        <v>1842</v>
      </c>
      <c r="E76" t="s">
        <v>1022</v>
      </c>
      <c r="F76" t="s">
        <v>1162</v>
      </c>
      <c r="G76" t="s">
        <v>1745</v>
      </c>
      <c r="H76" t="s">
        <v>1023</v>
      </c>
      <c r="I76" t="s">
        <v>1746</v>
      </c>
      <c r="J76" t="s">
        <v>1175</v>
      </c>
      <c r="K76">
        <v>1</v>
      </c>
      <c r="L76" t="s">
        <v>1192</v>
      </c>
      <c r="M76" t="s">
        <v>1193</v>
      </c>
      <c r="N76" t="s">
        <v>1747</v>
      </c>
      <c r="O76">
        <v>290</v>
      </c>
    </row>
    <row r="77" spans="1:15" x14ac:dyDescent="0.3">
      <c r="A77" t="s">
        <v>1758</v>
      </c>
      <c r="B77" t="s">
        <v>1757</v>
      </c>
      <c r="C77" t="s">
        <v>1759</v>
      </c>
      <c r="D77" t="s">
        <v>1842</v>
      </c>
      <c r="E77" t="s">
        <v>1028</v>
      </c>
      <c r="F77" t="s">
        <v>1162</v>
      </c>
      <c r="G77" t="s">
        <v>1181</v>
      </c>
      <c r="H77" t="s">
        <v>1029</v>
      </c>
      <c r="I77" t="s">
        <v>1759</v>
      </c>
      <c r="J77" t="s">
        <v>1175</v>
      </c>
      <c r="K77">
        <v>1</v>
      </c>
      <c r="L77" t="s">
        <v>1166</v>
      </c>
      <c r="M77" t="s">
        <v>1167</v>
      </c>
      <c r="N77" t="s">
        <v>1760</v>
      </c>
      <c r="O77">
        <v>310</v>
      </c>
    </row>
    <row r="78" spans="1:15" x14ac:dyDescent="0.3">
      <c r="A78" t="s">
        <v>1762</v>
      </c>
      <c r="B78" t="s">
        <v>1761</v>
      </c>
      <c r="C78" t="s">
        <v>1763</v>
      </c>
      <c r="D78" t="s">
        <v>1842</v>
      </c>
      <c r="E78" t="s">
        <v>1030</v>
      </c>
      <c r="F78" t="s">
        <v>1162</v>
      </c>
      <c r="G78" t="s">
        <v>1181</v>
      </c>
      <c r="H78" t="s">
        <v>937</v>
      </c>
      <c r="I78" t="s">
        <v>1763</v>
      </c>
      <c r="J78" t="s">
        <v>1175</v>
      </c>
      <c r="K78">
        <v>1</v>
      </c>
      <c r="L78" t="s">
        <v>1166</v>
      </c>
      <c r="M78" t="s">
        <v>1167</v>
      </c>
      <c r="N78" t="s">
        <v>1760</v>
      </c>
      <c r="O78">
        <v>320</v>
      </c>
    </row>
    <row r="79" spans="1:15" x14ac:dyDescent="0.3">
      <c r="A79" t="s">
        <v>1765</v>
      </c>
      <c r="B79" t="s">
        <v>1764</v>
      </c>
      <c r="C79" t="s">
        <v>938</v>
      </c>
      <c r="D79" t="s">
        <v>1842</v>
      </c>
      <c r="E79" t="s">
        <v>1031</v>
      </c>
      <c r="F79" t="s">
        <v>1162</v>
      </c>
      <c r="G79" t="s">
        <v>1181</v>
      </c>
      <c r="H79" t="s">
        <v>1032</v>
      </c>
      <c r="I79" t="s">
        <v>938</v>
      </c>
      <c r="J79" t="s">
        <v>1175</v>
      </c>
      <c r="K79">
        <v>1</v>
      </c>
      <c r="L79" t="s">
        <v>1166</v>
      </c>
      <c r="M79" t="s">
        <v>1167</v>
      </c>
      <c r="N79" t="s">
        <v>1760</v>
      </c>
      <c r="O79">
        <v>330</v>
      </c>
    </row>
    <row r="80" spans="1:15" x14ac:dyDescent="0.3">
      <c r="A80" t="s">
        <v>1767</v>
      </c>
      <c r="B80" t="s">
        <v>1766</v>
      </c>
      <c r="C80" t="s">
        <v>939</v>
      </c>
      <c r="D80" t="s">
        <v>1842</v>
      </c>
      <c r="E80" t="s">
        <v>1035</v>
      </c>
      <c r="F80" t="s">
        <v>1162</v>
      </c>
      <c r="G80" t="s">
        <v>1181</v>
      </c>
      <c r="H80" t="s">
        <v>1768</v>
      </c>
      <c r="I80" t="s">
        <v>939</v>
      </c>
      <c r="J80" t="s">
        <v>1175</v>
      </c>
      <c r="K80">
        <v>1</v>
      </c>
      <c r="L80" t="s">
        <v>1166</v>
      </c>
      <c r="M80" t="s">
        <v>1167</v>
      </c>
      <c r="N80" t="s">
        <v>1760</v>
      </c>
      <c r="O80">
        <v>350</v>
      </c>
    </row>
    <row r="81" spans="1:15" x14ac:dyDescent="0.3">
      <c r="A81" t="s">
        <v>1771</v>
      </c>
      <c r="B81" t="s">
        <v>1769</v>
      </c>
      <c r="C81" t="s">
        <v>1774</v>
      </c>
      <c r="D81" t="s">
        <v>1842</v>
      </c>
      <c r="E81" t="s">
        <v>1040</v>
      </c>
      <c r="F81" t="s">
        <v>1162</v>
      </c>
      <c r="G81" t="s">
        <v>1772</v>
      </c>
      <c r="H81" t="s">
        <v>1773</v>
      </c>
      <c r="I81" t="s">
        <v>1774</v>
      </c>
      <c r="J81" t="s">
        <v>1727</v>
      </c>
      <c r="K81">
        <v>1</v>
      </c>
      <c r="L81" t="s">
        <v>1166</v>
      </c>
      <c r="M81" t="s">
        <v>1167</v>
      </c>
      <c r="N81" t="s">
        <v>1775</v>
      </c>
      <c r="O81">
        <v>390</v>
      </c>
    </row>
    <row r="82" spans="1:15" x14ac:dyDescent="0.3">
      <c r="A82" t="s">
        <v>1778</v>
      </c>
      <c r="B82" t="s">
        <v>1777</v>
      </c>
      <c r="C82" t="s">
        <v>1779</v>
      </c>
      <c r="D82" t="s">
        <v>1842</v>
      </c>
      <c r="E82" t="s">
        <v>1048</v>
      </c>
      <c r="F82" t="s">
        <v>1199</v>
      </c>
      <c r="G82" t="s">
        <v>1318</v>
      </c>
      <c r="H82" t="s">
        <v>1049</v>
      </c>
      <c r="I82" t="s">
        <v>1779</v>
      </c>
      <c r="J82" t="s">
        <v>1175</v>
      </c>
      <c r="K82">
        <v>1</v>
      </c>
      <c r="L82" t="s">
        <v>1166</v>
      </c>
      <c r="M82" t="s">
        <v>1167</v>
      </c>
      <c r="N82" t="s">
        <v>1780</v>
      </c>
      <c r="O82">
        <v>410</v>
      </c>
    </row>
    <row r="83" spans="1:15" x14ac:dyDescent="0.3">
      <c r="A83" t="s">
        <v>1782</v>
      </c>
      <c r="B83" t="s">
        <v>1781</v>
      </c>
      <c r="C83" t="s">
        <v>944</v>
      </c>
      <c r="D83" t="s">
        <v>1842</v>
      </c>
      <c r="E83" t="s">
        <v>1050</v>
      </c>
      <c r="F83" t="s">
        <v>1199</v>
      </c>
      <c r="G83" t="s">
        <v>1783</v>
      </c>
      <c r="H83" t="s">
        <v>944</v>
      </c>
      <c r="I83" t="s">
        <v>944</v>
      </c>
      <c r="J83" t="s">
        <v>1784</v>
      </c>
      <c r="K83">
        <v>1</v>
      </c>
      <c r="L83" t="s">
        <v>1166</v>
      </c>
      <c r="M83" t="s">
        <v>1167</v>
      </c>
      <c r="N83" t="s">
        <v>1780</v>
      </c>
      <c r="O83">
        <v>420</v>
      </c>
    </row>
    <row r="84" spans="1:15" x14ac:dyDescent="0.3">
      <c r="A84" t="s">
        <v>1788</v>
      </c>
      <c r="B84" t="s">
        <v>1786</v>
      </c>
      <c r="C84" t="s">
        <v>1789</v>
      </c>
      <c r="D84" t="s">
        <v>1842</v>
      </c>
      <c r="E84" t="s">
        <v>1054</v>
      </c>
      <c r="F84" t="s">
        <v>1199</v>
      </c>
      <c r="G84" t="s">
        <v>945</v>
      </c>
      <c r="H84" t="s">
        <v>945</v>
      </c>
      <c r="I84" t="s">
        <v>1789</v>
      </c>
      <c r="J84" t="s">
        <v>1165</v>
      </c>
      <c r="K84">
        <v>1</v>
      </c>
      <c r="L84" t="s">
        <v>1166</v>
      </c>
      <c r="M84" t="s">
        <v>1167</v>
      </c>
      <c r="N84" t="s">
        <v>1790</v>
      </c>
      <c r="O84">
        <v>430</v>
      </c>
    </row>
    <row r="85" spans="1:15" x14ac:dyDescent="0.3">
      <c r="A85" t="s">
        <v>1794</v>
      </c>
      <c r="B85" t="s">
        <v>1792</v>
      </c>
      <c r="C85" t="s">
        <v>1797</v>
      </c>
      <c r="D85" t="s">
        <v>1842</v>
      </c>
      <c r="E85" t="s">
        <v>1056</v>
      </c>
      <c r="F85" t="s">
        <v>1199</v>
      </c>
      <c r="G85" t="s">
        <v>1795</v>
      </c>
      <c r="H85" t="s">
        <v>1796</v>
      </c>
      <c r="I85" t="s">
        <v>1797</v>
      </c>
      <c r="J85" t="s">
        <v>1727</v>
      </c>
      <c r="K85">
        <v>1</v>
      </c>
      <c r="L85" t="s">
        <v>1166</v>
      </c>
      <c r="M85" t="s">
        <v>1167</v>
      </c>
      <c r="N85" t="s">
        <v>1798</v>
      </c>
      <c r="O85">
        <v>440</v>
      </c>
    </row>
    <row r="86" spans="1:15" x14ac:dyDescent="0.3">
      <c r="A86" t="s">
        <v>1801</v>
      </c>
      <c r="B86" t="s">
        <v>1800</v>
      </c>
      <c r="C86" t="s">
        <v>1802</v>
      </c>
      <c r="D86" t="s">
        <v>1842</v>
      </c>
      <c r="E86" t="s">
        <v>1085</v>
      </c>
      <c r="F86" t="s">
        <v>1199</v>
      </c>
      <c r="G86" t="s">
        <v>947</v>
      </c>
      <c r="H86" t="s">
        <v>1086</v>
      </c>
      <c r="I86" t="s">
        <v>1802</v>
      </c>
      <c r="J86" t="s">
        <v>1165</v>
      </c>
      <c r="K86">
        <v>1</v>
      </c>
      <c r="L86" t="s">
        <v>1166</v>
      </c>
      <c r="M86" t="s">
        <v>1167</v>
      </c>
      <c r="N86" t="s">
        <v>1803</v>
      </c>
      <c r="O86">
        <v>640</v>
      </c>
    </row>
    <row r="87" spans="1:15" x14ac:dyDescent="0.3">
      <c r="A87" t="s">
        <v>1805</v>
      </c>
      <c r="B87" t="s">
        <v>1804</v>
      </c>
      <c r="C87" t="s">
        <v>1806</v>
      </c>
      <c r="D87" t="s">
        <v>1842</v>
      </c>
      <c r="E87" t="s">
        <v>1107</v>
      </c>
      <c r="F87" t="s">
        <v>1199</v>
      </c>
      <c r="G87" t="s">
        <v>948</v>
      </c>
      <c r="H87" t="s">
        <v>1108</v>
      </c>
      <c r="I87" t="s">
        <v>1806</v>
      </c>
      <c r="J87" t="s">
        <v>1165</v>
      </c>
      <c r="K87">
        <v>1</v>
      </c>
      <c r="L87" t="s">
        <v>1166</v>
      </c>
      <c r="M87" t="s">
        <v>1167</v>
      </c>
      <c r="N87" t="s">
        <v>1803</v>
      </c>
      <c r="O87">
        <v>770</v>
      </c>
    </row>
    <row r="88" spans="1:15" x14ac:dyDescent="0.3">
      <c r="A88" t="s">
        <v>1808</v>
      </c>
      <c r="B88" t="s">
        <v>1807</v>
      </c>
      <c r="C88" t="s">
        <v>1810</v>
      </c>
      <c r="D88" t="s">
        <v>1842</v>
      </c>
      <c r="E88" t="s">
        <v>1090</v>
      </c>
      <c r="F88" t="s">
        <v>1199</v>
      </c>
      <c r="G88" t="s">
        <v>1809</v>
      </c>
      <c r="H88" t="s">
        <v>1091</v>
      </c>
      <c r="I88" t="s">
        <v>1810</v>
      </c>
      <c r="J88" t="s">
        <v>1165</v>
      </c>
      <c r="K88">
        <v>1</v>
      </c>
      <c r="L88" t="s">
        <v>1166</v>
      </c>
      <c r="M88" t="s">
        <v>1167</v>
      </c>
      <c r="N88" t="s">
        <v>1803</v>
      </c>
      <c r="O88">
        <v>650</v>
      </c>
    </row>
    <row r="89" spans="1:15" x14ac:dyDescent="0.3">
      <c r="A89" t="s">
        <v>1813</v>
      </c>
      <c r="B89" t="s">
        <v>1811</v>
      </c>
      <c r="C89" t="s">
        <v>1797</v>
      </c>
      <c r="D89" t="s">
        <v>1842</v>
      </c>
      <c r="E89" t="s">
        <v>1111</v>
      </c>
      <c r="F89" t="s">
        <v>1199</v>
      </c>
      <c r="G89" t="s">
        <v>1795</v>
      </c>
      <c r="H89" t="s">
        <v>1814</v>
      </c>
      <c r="I89" t="s">
        <v>1797</v>
      </c>
      <c r="J89" t="s">
        <v>1727</v>
      </c>
      <c r="K89">
        <v>1</v>
      </c>
      <c r="L89" t="s">
        <v>1166</v>
      </c>
      <c r="M89" t="s">
        <v>1167</v>
      </c>
      <c r="N89" t="s">
        <v>1815</v>
      </c>
      <c r="O89">
        <v>780</v>
      </c>
    </row>
    <row r="90" spans="1:15" x14ac:dyDescent="0.3">
      <c r="A90" t="s">
        <v>1819</v>
      </c>
      <c r="B90" t="s">
        <v>1817</v>
      </c>
      <c r="C90" t="s">
        <v>561</v>
      </c>
      <c r="D90" t="s">
        <v>1842</v>
      </c>
      <c r="E90" t="s">
        <v>1118</v>
      </c>
      <c r="F90" t="s">
        <v>1199</v>
      </c>
      <c r="G90" t="s">
        <v>1324</v>
      </c>
      <c r="H90" t="s">
        <v>1119</v>
      </c>
      <c r="I90" t="s">
        <v>561</v>
      </c>
      <c r="J90" t="s">
        <v>1175</v>
      </c>
      <c r="K90">
        <v>1</v>
      </c>
      <c r="L90" t="s">
        <v>1166</v>
      </c>
      <c r="M90" t="s">
        <v>1167</v>
      </c>
      <c r="N90" t="s">
        <v>1820</v>
      </c>
      <c r="O90">
        <v>470</v>
      </c>
    </row>
    <row r="91" spans="1:15" x14ac:dyDescent="0.3">
      <c r="A91" t="s">
        <v>1824</v>
      </c>
      <c r="B91" t="s">
        <v>1822</v>
      </c>
      <c r="C91" t="s">
        <v>1825</v>
      </c>
      <c r="D91" t="s">
        <v>1842</v>
      </c>
      <c r="E91" t="s">
        <v>1123</v>
      </c>
      <c r="F91" t="s">
        <v>1199</v>
      </c>
      <c r="G91" t="s">
        <v>717</v>
      </c>
      <c r="H91" t="s">
        <v>717</v>
      </c>
      <c r="I91" t="s">
        <v>1825</v>
      </c>
      <c r="J91" t="s">
        <v>1165</v>
      </c>
      <c r="K91">
        <v>1</v>
      </c>
      <c r="L91" t="s">
        <v>1166</v>
      </c>
      <c r="M91" t="s">
        <v>1193</v>
      </c>
      <c r="N91" t="s">
        <v>1826</v>
      </c>
      <c r="O91">
        <v>810</v>
      </c>
    </row>
    <row r="92" spans="1:15" x14ac:dyDescent="0.3">
      <c r="A92" t="s">
        <v>1828</v>
      </c>
      <c r="B92" t="s">
        <v>1827</v>
      </c>
      <c r="C92" t="s">
        <v>1125</v>
      </c>
      <c r="D92" t="s">
        <v>1842</v>
      </c>
      <c r="E92" t="s">
        <v>1124</v>
      </c>
      <c r="F92" t="s">
        <v>1199</v>
      </c>
      <c r="G92" t="s">
        <v>1829</v>
      </c>
      <c r="H92" t="s">
        <v>1125</v>
      </c>
      <c r="I92" t="s">
        <v>1125</v>
      </c>
      <c r="J92" t="s">
        <v>1165</v>
      </c>
      <c r="K92">
        <v>1</v>
      </c>
      <c r="L92" t="s">
        <v>1166</v>
      </c>
      <c r="M92" t="s">
        <v>1167</v>
      </c>
      <c r="N92" t="s">
        <v>1830</v>
      </c>
      <c r="O92">
        <v>820</v>
      </c>
    </row>
    <row r="93" spans="1:15" x14ac:dyDescent="0.3">
      <c r="A93" t="s">
        <v>1833</v>
      </c>
      <c r="B93" t="s">
        <v>1831</v>
      </c>
      <c r="C93" t="s">
        <v>1774</v>
      </c>
      <c r="D93" t="s">
        <v>1842</v>
      </c>
      <c r="E93" t="s">
        <v>1128</v>
      </c>
      <c r="F93" t="s">
        <v>1199</v>
      </c>
      <c r="G93" t="s">
        <v>1795</v>
      </c>
      <c r="H93" t="s">
        <v>1834</v>
      </c>
      <c r="I93" t="s">
        <v>1774</v>
      </c>
      <c r="J93" t="s">
        <v>1727</v>
      </c>
      <c r="K93">
        <v>1</v>
      </c>
      <c r="L93" t="s">
        <v>1166</v>
      </c>
      <c r="M93" t="s">
        <v>1167</v>
      </c>
      <c r="N93" t="s">
        <v>1835</v>
      </c>
      <c r="O93">
        <v>830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7"/>
  <sheetViews>
    <sheetView workbookViewId="0"/>
  </sheetViews>
  <sheetFormatPr defaultRowHeight="14.4" x14ac:dyDescent="0.3"/>
  <cols>
    <col min="1" max="13" width="16" customWidth="1"/>
  </cols>
  <sheetData>
    <row r="1" spans="1:13" ht="18" x14ac:dyDescent="0.35">
      <c r="A1" s="49" t="s">
        <v>1843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</row>
    <row r="2" spans="1:13" x14ac:dyDescent="0.3">
      <c r="A2" t="s">
        <v>1844</v>
      </c>
    </row>
    <row r="3" spans="1:13" x14ac:dyDescent="0.3">
      <c r="A3" s="48" t="s">
        <v>916</v>
      </c>
      <c r="B3" s="48" t="s">
        <v>1845</v>
      </c>
      <c r="C3" s="48" t="s">
        <v>18</v>
      </c>
      <c r="D3" s="48" t="s">
        <v>39</v>
      </c>
      <c r="E3" s="48" t="s">
        <v>1145</v>
      </c>
      <c r="F3" s="48" t="s">
        <v>1146</v>
      </c>
      <c r="G3" s="48" t="s">
        <v>1846</v>
      </c>
      <c r="H3" s="48" t="s">
        <v>1134</v>
      </c>
      <c r="I3" s="48" t="s">
        <v>1847</v>
      </c>
      <c r="J3" s="48" t="s">
        <v>1848</v>
      </c>
      <c r="K3" s="48" t="s">
        <v>1139</v>
      </c>
      <c r="L3" s="48" t="s">
        <v>925</v>
      </c>
      <c r="M3" s="48" t="s">
        <v>1849</v>
      </c>
    </row>
    <row r="4" spans="1:13" x14ac:dyDescent="0.3">
      <c r="A4" t="s">
        <v>974</v>
      </c>
      <c r="B4" t="s">
        <v>975</v>
      </c>
      <c r="C4" t="s">
        <v>624</v>
      </c>
      <c r="D4" t="s">
        <v>496</v>
      </c>
      <c r="E4">
        <v>13802001</v>
      </c>
      <c r="F4" t="s">
        <v>1386</v>
      </c>
      <c r="G4" t="s">
        <v>1387</v>
      </c>
      <c r="H4" t="s">
        <v>989</v>
      </c>
      <c r="I4" t="s">
        <v>990</v>
      </c>
      <c r="J4">
        <v>4300</v>
      </c>
      <c r="K4">
        <v>4300</v>
      </c>
      <c r="L4" t="s">
        <v>1850</v>
      </c>
      <c r="M4" t="s">
        <v>1851</v>
      </c>
    </row>
    <row r="5" spans="1:13" x14ac:dyDescent="0.3">
      <c r="A5" t="s">
        <v>974</v>
      </c>
      <c r="B5" t="s">
        <v>976</v>
      </c>
      <c r="C5" t="s">
        <v>624</v>
      </c>
      <c r="D5" t="s">
        <v>496</v>
      </c>
      <c r="E5">
        <v>13802001</v>
      </c>
      <c r="F5" t="s">
        <v>1386</v>
      </c>
      <c r="G5" t="s">
        <v>1179</v>
      </c>
      <c r="H5" t="s">
        <v>989</v>
      </c>
      <c r="I5" t="s">
        <v>990</v>
      </c>
      <c r="J5">
        <v>37219.96</v>
      </c>
      <c r="K5">
        <v>37219.96</v>
      </c>
      <c r="L5" t="s">
        <v>1850</v>
      </c>
      <c r="M5" t="s">
        <v>1851</v>
      </c>
    </row>
    <row r="6" spans="1:13" x14ac:dyDescent="0.3">
      <c r="A6" t="s">
        <v>974</v>
      </c>
      <c r="B6" t="s">
        <v>25</v>
      </c>
      <c r="C6" t="s">
        <v>624</v>
      </c>
      <c r="D6" t="s">
        <v>496</v>
      </c>
      <c r="E6">
        <v>13802001</v>
      </c>
      <c r="F6" t="s">
        <v>1386</v>
      </c>
      <c r="G6" t="s">
        <v>1392</v>
      </c>
      <c r="H6" t="s">
        <v>989</v>
      </c>
      <c r="I6" t="s">
        <v>990</v>
      </c>
      <c r="J6">
        <v>571891.71</v>
      </c>
      <c r="K6">
        <v>571891.71</v>
      </c>
      <c r="L6" t="s">
        <v>1850</v>
      </c>
      <c r="M6" t="s">
        <v>1851</v>
      </c>
    </row>
    <row r="7" spans="1:13" x14ac:dyDescent="0.3">
      <c r="A7" t="s">
        <v>974</v>
      </c>
      <c r="B7" t="s">
        <v>975</v>
      </c>
      <c r="C7" t="s">
        <v>624</v>
      </c>
      <c r="D7" t="s">
        <v>496</v>
      </c>
      <c r="E7">
        <v>41700101</v>
      </c>
      <c r="F7" t="s">
        <v>1315</v>
      </c>
      <c r="G7" t="s">
        <v>1387</v>
      </c>
      <c r="H7" t="s">
        <v>1048</v>
      </c>
      <c r="I7" t="s">
        <v>1049</v>
      </c>
      <c r="J7">
        <v>-4010</v>
      </c>
      <c r="K7">
        <v>4010</v>
      </c>
      <c r="L7" t="s">
        <v>1850</v>
      </c>
      <c r="M7" t="s">
        <v>1851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26"/>
  <sheetViews>
    <sheetView workbookViewId="0"/>
  </sheetViews>
  <sheetFormatPr defaultRowHeight="14.4" x14ac:dyDescent="0.3"/>
  <cols>
    <col min="1" max="6" width="16" customWidth="1"/>
  </cols>
  <sheetData>
    <row r="1" spans="1:6" ht="18" x14ac:dyDescent="0.35">
      <c r="A1" s="49" t="s">
        <v>1852</v>
      </c>
      <c r="B1" s="49"/>
      <c r="C1" s="49"/>
      <c r="D1" s="49"/>
      <c r="E1" s="49"/>
      <c r="F1" s="49"/>
    </row>
    <row r="2" spans="1:6" x14ac:dyDescent="0.3">
      <c r="A2" t="s">
        <v>1853</v>
      </c>
    </row>
    <row r="3" spans="1:6" x14ac:dyDescent="0.3">
      <c r="A3" s="48" t="s">
        <v>1854</v>
      </c>
      <c r="B3" s="48" t="s">
        <v>6</v>
      </c>
      <c r="C3" s="48" t="s">
        <v>916</v>
      </c>
      <c r="D3" s="48" t="s">
        <v>1855</v>
      </c>
      <c r="E3" s="48" t="s">
        <v>1856</v>
      </c>
      <c r="F3" s="48" t="s">
        <v>1857</v>
      </c>
    </row>
    <row r="4" spans="1:6" x14ac:dyDescent="0.3">
      <c r="A4" t="s">
        <v>1166</v>
      </c>
      <c r="B4" t="s">
        <v>1858</v>
      </c>
      <c r="C4" t="s">
        <v>883</v>
      </c>
      <c r="D4" t="s">
        <v>1859</v>
      </c>
      <c r="E4" t="s">
        <v>1860</v>
      </c>
      <c r="F4" t="s">
        <v>1861</v>
      </c>
    </row>
    <row r="5" spans="1:6" x14ac:dyDescent="0.3">
      <c r="A5" t="s">
        <v>1166</v>
      </c>
      <c r="B5" t="s">
        <v>1858</v>
      </c>
      <c r="C5" t="s">
        <v>883</v>
      </c>
      <c r="D5" t="s">
        <v>1862</v>
      </c>
      <c r="E5" t="s">
        <v>1863</v>
      </c>
      <c r="F5" t="s">
        <v>1864</v>
      </c>
    </row>
    <row r="6" spans="1:6" x14ac:dyDescent="0.3">
      <c r="A6" t="s">
        <v>1166</v>
      </c>
      <c r="B6" t="s">
        <v>867</v>
      </c>
      <c r="C6" t="s">
        <v>976</v>
      </c>
      <c r="D6" t="s">
        <v>1865</v>
      </c>
      <c r="E6" t="s">
        <v>1866</v>
      </c>
      <c r="F6" t="s">
        <v>1867</v>
      </c>
    </row>
    <row r="7" spans="1:6" x14ac:dyDescent="0.3">
      <c r="A7" t="s">
        <v>1192</v>
      </c>
      <c r="B7" t="s">
        <v>1868</v>
      </c>
      <c r="C7" t="s">
        <v>25</v>
      </c>
      <c r="D7" t="s">
        <v>1869</v>
      </c>
      <c r="E7" t="s">
        <v>1870</v>
      </c>
      <c r="F7" t="s">
        <v>1871</v>
      </c>
    </row>
    <row r="8" spans="1:6" x14ac:dyDescent="0.3">
      <c r="A8" t="s">
        <v>1192</v>
      </c>
      <c r="B8" t="s">
        <v>1872</v>
      </c>
      <c r="C8" t="s">
        <v>975</v>
      </c>
      <c r="D8" t="s">
        <v>1873</v>
      </c>
      <c r="E8" t="s">
        <v>1874</v>
      </c>
      <c r="F8" t="s">
        <v>1875</v>
      </c>
    </row>
    <row r="9" spans="1:6" x14ac:dyDescent="0.3">
      <c r="A9" t="s">
        <v>1192</v>
      </c>
      <c r="B9" t="s">
        <v>1872</v>
      </c>
      <c r="C9" t="s">
        <v>975</v>
      </c>
      <c r="D9" t="s">
        <v>1876</v>
      </c>
      <c r="E9" t="s">
        <v>1874</v>
      </c>
      <c r="F9" t="s">
        <v>1877</v>
      </c>
    </row>
    <row r="10" spans="1:6" x14ac:dyDescent="0.3">
      <c r="A10" t="s">
        <v>1192</v>
      </c>
      <c r="B10" t="s">
        <v>1872</v>
      </c>
      <c r="C10" t="s">
        <v>974</v>
      </c>
      <c r="D10" t="s">
        <v>1878</v>
      </c>
      <c r="E10" t="s">
        <v>1874</v>
      </c>
      <c r="F10" t="s">
        <v>1879</v>
      </c>
    </row>
    <row r="11" spans="1:6" x14ac:dyDescent="0.3">
      <c r="A11" t="s">
        <v>1192</v>
      </c>
      <c r="B11" t="s">
        <v>1872</v>
      </c>
      <c r="C11" t="s">
        <v>974</v>
      </c>
      <c r="D11" t="s">
        <v>1880</v>
      </c>
      <c r="E11" t="s">
        <v>1874</v>
      </c>
      <c r="F11" t="s">
        <v>1881</v>
      </c>
    </row>
    <row r="12" spans="1:6" x14ac:dyDescent="0.3">
      <c r="A12" t="s">
        <v>1192</v>
      </c>
      <c r="B12" t="s">
        <v>1882</v>
      </c>
      <c r="C12" t="s">
        <v>974</v>
      </c>
      <c r="D12" t="s">
        <v>1883</v>
      </c>
      <c r="E12" t="s">
        <v>1884</v>
      </c>
      <c r="F12" t="s">
        <v>1885</v>
      </c>
    </row>
    <row r="13" spans="1:6" x14ac:dyDescent="0.3">
      <c r="A13" t="s">
        <v>1192</v>
      </c>
      <c r="B13" t="s">
        <v>1882</v>
      </c>
      <c r="C13" t="s">
        <v>974</v>
      </c>
      <c r="D13" t="s">
        <v>1886</v>
      </c>
      <c r="E13" t="s">
        <v>1884</v>
      </c>
      <c r="F13" t="s">
        <v>1887</v>
      </c>
    </row>
    <row r="14" spans="1:6" x14ac:dyDescent="0.3">
      <c r="A14" t="s">
        <v>1192</v>
      </c>
      <c r="B14" t="s">
        <v>1882</v>
      </c>
      <c r="C14" t="s">
        <v>974</v>
      </c>
      <c r="D14" t="s">
        <v>1888</v>
      </c>
      <c r="E14" t="s">
        <v>1884</v>
      </c>
      <c r="F14" t="s">
        <v>1889</v>
      </c>
    </row>
    <row r="15" spans="1:6" x14ac:dyDescent="0.3">
      <c r="A15" t="s">
        <v>1192</v>
      </c>
      <c r="B15" t="s">
        <v>1882</v>
      </c>
      <c r="C15" t="s">
        <v>974</v>
      </c>
      <c r="D15" t="s">
        <v>1890</v>
      </c>
      <c r="E15" t="s">
        <v>1884</v>
      </c>
      <c r="F15" t="s">
        <v>1891</v>
      </c>
    </row>
    <row r="16" spans="1:6" x14ac:dyDescent="0.3">
      <c r="A16" t="s">
        <v>1192</v>
      </c>
      <c r="B16" t="s">
        <v>1882</v>
      </c>
      <c r="C16" t="s">
        <v>974</v>
      </c>
      <c r="D16" t="s">
        <v>1892</v>
      </c>
      <c r="E16" t="s">
        <v>1884</v>
      </c>
      <c r="F16" t="s">
        <v>1893</v>
      </c>
    </row>
    <row r="17" spans="1:6" x14ac:dyDescent="0.3">
      <c r="A17" t="s">
        <v>1192</v>
      </c>
      <c r="B17" t="s">
        <v>1882</v>
      </c>
      <c r="C17" t="s">
        <v>974</v>
      </c>
      <c r="D17" t="s">
        <v>1894</v>
      </c>
      <c r="E17" t="s">
        <v>1884</v>
      </c>
      <c r="F17" t="s">
        <v>1895</v>
      </c>
    </row>
    <row r="18" spans="1:6" x14ac:dyDescent="0.3">
      <c r="A18" t="s">
        <v>1192</v>
      </c>
      <c r="B18" t="s">
        <v>1882</v>
      </c>
      <c r="C18" t="s">
        <v>975</v>
      </c>
      <c r="D18" t="s">
        <v>1896</v>
      </c>
      <c r="E18" t="s">
        <v>1897</v>
      </c>
      <c r="F18" t="s">
        <v>1898</v>
      </c>
    </row>
    <row r="19" spans="1:6" x14ac:dyDescent="0.3">
      <c r="A19" t="s">
        <v>1192</v>
      </c>
      <c r="B19" t="s">
        <v>1899</v>
      </c>
      <c r="C19" t="s">
        <v>975</v>
      </c>
      <c r="D19" t="s">
        <v>1900</v>
      </c>
      <c r="E19" t="s">
        <v>1901</v>
      </c>
      <c r="F19" t="s">
        <v>1902</v>
      </c>
    </row>
    <row r="20" spans="1:6" x14ac:dyDescent="0.3">
      <c r="A20" t="s">
        <v>1192</v>
      </c>
      <c r="B20" t="s">
        <v>1899</v>
      </c>
      <c r="C20" t="s">
        <v>975</v>
      </c>
      <c r="D20" t="s">
        <v>1903</v>
      </c>
      <c r="E20" t="s">
        <v>1901</v>
      </c>
      <c r="F20" t="s">
        <v>1902</v>
      </c>
    </row>
    <row r="21" spans="1:6" x14ac:dyDescent="0.3">
      <c r="A21" t="s">
        <v>1192</v>
      </c>
      <c r="B21" t="s">
        <v>1899</v>
      </c>
      <c r="C21" t="s">
        <v>975</v>
      </c>
      <c r="D21" t="s">
        <v>1904</v>
      </c>
      <c r="E21" t="s">
        <v>1901</v>
      </c>
      <c r="F21" t="s">
        <v>1902</v>
      </c>
    </row>
    <row r="22" spans="1:6" x14ac:dyDescent="0.3">
      <c r="A22" t="s">
        <v>1192</v>
      </c>
      <c r="B22" t="s">
        <v>1899</v>
      </c>
      <c r="C22" t="s">
        <v>976</v>
      </c>
      <c r="D22" t="s">
        <v>1905</v>
      </c>
      <c r="E22" t="s">
        <v>1901</v>
      </c>
      <c r="F22" t="s">
        <v>1902</v>
      </c>
    </row>
    <row r="23" spans="1:6" x14ac:dyDescent="0.3">
      <c r="A23" t="s">
        <v>1192</v>
      </c>
      <c r="B23" t="s">
        <v>1899</v>
      </c>
      <c r="C23" t="s">
        <v>976</v>
      </c>
      <c r="D23" t="s">
        <v>1906</v>
      </c>
      <c r="E23" t="s">
        <v>1901</v>
      </c>
      <c r="F23" t="s">
        <v>1902</v>
      </c>
    </row>
    <row r="24" spans="1:6" x14ac:dyDescent="0.3">
      <c r="A24" t="s">
        <v>1192</v>
      </c>
      <c r="B24" t="s">
        <v>1907</v>
      </c>
      <c r="C24" t="s">
        <v>974</v>
      </c>
      <c r="D24" t="s">
        <v>1908</v>
      </c>
      <c r="E24" t="s">
        <v>1909</v>
      </c>
      <c r="F24" t="s">
        <v>1910</v>
      </c>
    </row>
    <row r="25" spans="1:6" x14ac:dyDescent="0.3">
      <c r="A25" t="s">
        <v>1192</v>
      </c>
      <c r="B25" t="s">
        <v>1907</v>
      </c>
      <c r="C25" t="s">
        <v>975</v>
      </c>
      <c r="D25" t="s">
        <v>1911</v>
      </c>
      <c r="E25" t="s">
        <v>1909</v>
      </c>
      <c r="F25" t="s">
        <v>1910</v>
      </c>
    </row>
    <row r="26" spans="1:6" x14ac:dyDescent="0.3">
      <c r="A26" t="s">
        <v>1192</v>
      </c>
      <c r="B26" t="s">
        <v>1907</v>
      </c>
      <c r="C26" t="s">
        <v>976</v>
      </c>
      <c r="D26" t="s">
        <v>1912</v>
      </c>
      <c r="E26" t="s">
        <v>1909</v>
      </c>
      <c r="F26" t="s">
        <v>1913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133"/>
  <sheetViews>
    <sheetView workbookViewId="0"/>
  </sheetViews>
  <sheetFormatPr defaultRowHeight="14.4" x14ac:dyDescent="0.3"/>
  <cols>
    <col min="1" max="8" width="16" customWidth="1"/>
  </cols>
  <sheetData>
    <row r="1" spans="1:8" ht="18" x14ac:dyDescent="0.35">
      <c r="A1" s="49" t="s">
        <v>1914</v>
      </c>
      <c r="B1" s="49"/>
      <c r="C1" s="49"/>
      <c r="D1" s="49"/>
      <c r="E1" s="49"/>
      <c r="F1" s="49"/>
      <c r="G1" s="49"/>
      <c r="H1" s="49"/>
    </row>
    <row r="2" spans="1:8" x14ac:dyDescent="0.3">
      <c r="A2" t="s">
        <v>1915</v>
      </c>
    </row>
    <row r="3" spans="1:8" x14ac:dyDescent="0.3">
      <c r="A3" s="48" t="s">
        <v>2</v>
      </c>
      <c r="B3" s="48" t="s">
        <v>6</v>
      </c>
      <c r="C3" s="48" t="s">
        <v>916</v>
      </c>
      <c r="D3" s="48" t="s">
        <v>16</v>
      </c>
      <c r="E3" s="48" t="s">
        <v>924</v>
      </c>
      <c r="F3" s="48" t="s">
        <v>1916</v>
      </c>
      <c r="G3" s="48" t="s">
        <v>925</v>
      </c>
      <c r="H3" s="48" t="s">
        <v>1917</v>
      </c>
    </row>
    <row r="4" spans="1:8" x14ac:dyDescent="0.3">
      <c r="A4" t="s">
        <v>1918</v>
      </c>
      <c r="B4" t="s">
        <v>1919</v>
      </c>
      <c r="C4" t="s">
        <v>883</v>
      </c>
      <c r="D4" t="s">
        <v>1920</v>
      </c>
      <c r="E4">
        <v>0</v>
      </c>
      <c r="F4">
        <v>0</v>
      </c>
      <c r="G4" t="s">
        <v>927</v>
      </c>
      <c r="H4" t="s">
        <v>899</v>
      </c>
    </row>
    <row r="5" spans="1:8" x14ac:dyDescent="0.3">
      <c r="A5" t="s">
        <v>1921</v>
      </c>
      <c r="B5" t="s">
        <v>1868</v>
      </c>
      <c r="C5" t="s">
        <v>25</v>
      </c>
      <c r="D5" t="s">
        <v>1922</v>
      </c>
      <c r="E5">
        <v>0</v>
      </c>
      <c r="F5">
        <v>0</v>
      </c>
      <c r="G5" t="s">
        <v>927</v>
      </c>
      <c r="H5" t="s">
        <v>899</v>
      </c>
    </row>
    <row r="6" spans="1:8" x14ac:dyDescent="0.3">
      <c r="A6" t="s">
        <v>1923</v>
      </c>
      <c r="B6" t="s">
        <v>1924</v>
      </c>
      <c r="C6" t="s">
        <v>976</v>
      </c>
      <c r="D6" t="s">
        <v>1925</v>
      </c>
      <c r="E6">
        <v>0</v>
      </c>
      <c r="F6">
        <v>0.01</v>
      </c>
      <c r="G6" t="s">
        <v>927</v>
      </c>
      <c r="H6" t="s">
        <v>1157</v>
      </c>
    </row>
    <row r="7" spans="1:8" x14ac:dyDescent="0.3">
      <c r="A7" t="s">
        <v>1926</v>
      </c>
      <c r="B7" t="s">
        <v>1924</v>
      </c>
      <c r="C7" t="s">
        <v>976</v>
      </c>
      <c r="D7" t="s">
        <v>1927</v>
      </c>
      <c r="E7">
        <v>0</v>
      </c>
      <c r="F7">
        <v>0.01</v>
      </c>
      <c r="G7" t="s">
        <v>927</v>
      </c>
      <c r="H7" t="s">
        <v>1157</v>
      </c>
    </row>
    <row r="8" spans="1:8" x14ac:dyDescent="0.3">
      <c r="A8" t="s">
        <v>1928</v>
      </c>
      <c r="B8" t="s">
        <v>1924</v>
      </c>
      <c r="C8" t="s">
        <v>976</v>
      </c>
      <c r="D8" t="s">
        <v>1929</v>
      </c>
      <c r="E8">
        <v>0</v>
      </c>
      <c r="F8">
        <v>0.01</v>
      </c>
      <c r="G8" t="s">
        <v>927</v>
      </c>
      <c r="H8" t="s">
        <v>1157</v>
      </c>
    </row>
    <row r="9" spans="1:8" x14ac:dyDescent="0.3">
      <c r="A9" t="s">
        <v>1930</v>
      </c>
      <c r="B9" t="s">
        <v>1924</v>
      </c>
      <c r="C9" t="s">
        <v>976</v>
      </c>
      <c r="D9" t="s">
        <v>1931</v>
      </c>
      <c r="E9">
        <v>0</v>
      </c>
      <c r="F9">
        <v>0.01</v>
      </c>
      <c r="G9" t="s">
        <v>927</v>
      </c>
      <c r="H9" t="s">
        <v>1157</v>
      </c>
    </row>
    <row r="10" spans="1:8" x14ac:dyDescent="0.3">
      <c r="A10" t="s">
        <v>1932</v>
      </c>
      <c r="B10" t="s">
        <v>1933</v>
      </c>
      <c r="C10" t="s">
        <v>976</v>
      </c>
      <c r="D10" t="s">
        <v>1934</v>
      </c>
      <c r="E10">
        <v>0</v>
      </c>
      <c r="F10">
        <v>0.01</v>
      </c>
      <c r="G10" t="s">
        <v>927</v>
      </c>
      <c r="H10" t="s">
        <v>1157</v>
      </c>
    </row>
    <row r="11" spans="1:8" x14ac:dyDescent="0.3">
      <c r="A11" t="s">
        <v>1935</v>
      </c>
      <c r="B11" t="s">
        <v>1924</v>
      </c>
      <c r="C11" t="s">
        <v>975</v>
      </c>
      <c r="D11" t="s">
        <v>1936</v>
      </c>
      <c r="E11">
        <v>0</v>
      </c>
      <c r="F11">
        <v>0.01</v>
      </c>
      <c r="G11" t="s">
        <v>927</v>
      </c>
      <c r="H11" t="s">
        <v>1263</v>
      </c>
    </row>
    <row r="12" spans="1:8" x14ac:dyDescent="0.3">
      <c r="A12" t="s">
        <v>1937</v>
      </c>
      <c r="B12" t="s">
        <v>1924</v>
      </c>
      <c r="C12" t="s">
        <v>975</v>
      </c>
      <c r="D12" t="s">
        <v>1938</v>
      </c>
      <c r="E12">
        <v>0</v>
      </c>
      <c r="F12">
        <v>0.01</v>
      </c>
      <c r="G12" t="s">
        <v>927</v>
      </c>
      <c r="H12" t="s">
        <v>1263</v>
      </c>
    </row>
    <row r="13" spans="1:8" x14ac:dyDescent="0.3">
      <c r="A13" t="s">
        <v>1939</v>
      </c>
      <c r="B13" t="s">
        <v>1924</v>
      </c>
      <c r="C13" t="s">
        <v>975</v>
      </c>
      <c r="D13" t="s">
        <v>1940</v>
      </c>
      <c r="E13">
        <v>0</v>
      </c>
      <c r="F13">
        <v>0.01</v>
      </c>
      <c r="G13" t="s">
        <v>927</v>
      </c>
      <c r="H13" t="s">
        <v>1263</v>
      </c>
    </row>
    <row r="14" spans="1:8" x14ac:dyDescent="0.3">
      <c r="A14" t="s">
        <v>1941</v>
      </c>
      <c r="B14" t="s">
        <v>1924</v>
      </c>
      <c r="C14" t="s">
        <v>975</v>
      </c>
      <c r="D14" t="s">
        <v>1942</v>
      </c>
      <c r="E14">
        <v>0</v>
      </c>
      <c r="F14">
        <v>0.01</v>
      </c>
      <c r="G14" t="s">
        <v>927</v>
      </c>
      <c r="H14" t="s">
        <v>1263</v>
      </c>
    </row>
    <row r="15" spans="1:8" x14ac:dyDescent="0.3">
      <c r="A15" t="s">
        <v>1943</v>
      </c>
      <c r="B15" t="s">
        <v>1924</v>
      </c>
      <c r="C15" t="s">
        <v>975</v>
      </c>
      <c r="D15" t="s">
        <v>1944</v>
      </c>
      <c r="E15">
        <v>0</v>
      </c>
      <c r="F15">
        <v>0.01</v>
      </c>
      <c r="G15" t="s">
        <v>927</v>
      </c>
      <c r="H15" t="s">
        <v>1263</v>
      </c>
    </row>
    <row r="16" spans="1:8" x14ac:dyDescent="0.3">
      <c r="A16" t="s">
        <v>1945</v>
      </c>
      <c r="B16" t="s">
        <v>1933</v>
      </c>
      <c r="C16" t="s">
        <v>975</v>
      </c>
      <c r="D16" t="s">
        <v>1946</v>
      </c>
      <c r="E16">
        <v>0</v>
      </c>
      <c r="F16">
        <v>0.01</v>
      </c>
      <c r="G16" t="s">
        <v>927</v>
      </c>
      <c r="H16" t="s">
        <v>1263</v>
      </c>
    </row>
    <row r="17" spans="1:8" x14ac:dyDescent="0.3">
      <c r="A17" t="s">
        <v>1947</v>
      </c>
      <c r="B17" t="s">
        <v>1924</v>
      </c>
      <c r="C17" t="s">
        <v>974</v>
      </c>
      <c r="D17" t="s">
        <v>1948</v>
      </c>
      <c r="E17">
        <v>0</v>
      </c>
      <c r="F17">
        <v>0.01</v>
      </c>
      <c r="G17" t="s">
        <v>927</v>
      </c>
      <c r="H17" t="s">
        <v>1372</v>
      </c>
    </row>
    <row r="18" spans="1:8" x14ac:dyDescent="0.3">
      <c r="A18" t="s">
        <v>1949</v>
      </c>
      <c r="B18" t="s">
        <v>1924</v>
      </c>
      <c r="C18" t="s">
        <v>974</v>
      </c>
      <c r="D18" t="s">
        <v>1950</v>
      </c>
      <c r="E18">
        <v>0</v>
      </c>
      <c r="F18">
        <v>0.01</v>
      </c>
      <c r="G18" t="s">
        <v>927</v>
      </c>
      <c r="H18" t="s">
        <v>1372</v>
      </c>
    </row>
    <row r="19" spans="1:8" x14ac:dyDescent="0.3">
      <c r="A19" t="s">
        <v>1951</v>
      </c>
      <c r="B19" t="s">
        <v>1924</v>
      </c>
      <c r="C19" t="s">
        <v>974</v>
      </c>
      <c r="D19" t="s">
        <v>1952</v>
      </c>
      <c r="E19">
        <v>0</v>
      </c>
      <c r="F19">
        <v>0.01</v>
      </c>
      <c r="G19" t="s">
        <v>927</v>
      </c>
      <c r="H19" t="s">
        <v>1372</v>
      </c>
    </row>
    <row r="20" spans="1:8" x14ac:dyDescent="0.3">
      <c r="A20" t="s">
        <v>1953</v>
      </c>
      <c r="B20" t="s">
        <v>1924</v>
      </c>
      <c r="C20" t="s">
        <v>974</v>
      </c>
      <c r="D20" t="s">
        <v>1954</v>
      </c>
      <c r="E20">
        <v>0</v>
      </c>
      <c r="F20">
        <v>0.01</v>
      </c>
      <c r="G20" t="s">
        <v>927</v>
      </c>
      <c r="H20" t="s">
        <v>1372</v>
      </c>
    </row>
    <row r="21" spans="1:8" x14ac:dyDescent="0.3">
      <c r="A21" t="s">
        <v>1955</v>
      </c>
      <c r="B21" t="s">
        <v>1924</v>
      </c>
      <c r="C21" t="s">
        <v>974</v>
      </c>
      <c r="D21" t="s">
        <v>1956</v>
      </c>
      <c r="E21">
        <v>0</v>
      </c>
      <c r="F21">
        <v>0.01</v>
      </c>
      <c r="G21" t="s">
        <v>927</v>
      </c>
      <c r="H21" t="s">
        <v>1372</v>
      </c>
    </row>
    <row r="22" spans="1:8" x14ac:dyDescent="0.3">
      <c r="A22" t="s">
        <v>1957</v>
      </c>
      <c r="B22" t="s">
        <v>1933</v>
      </c>
      <c r="C22" t="s">
        <v>974</v>
      </c>
      <c r="D22" t="s">
        <v>1958</v>
      </c>
      <c r="E22">
        <v>0</v>
      </c>
      <c r="F22">
        <v>0.01</v>
      </c>
      <c r="G22" t="s">
        <v>927</v>
      </c>
      <c r="H22" t="s">
        <v>1372</v>
      </c>
    </row>
    <row r="23" spans="1:8" x14ac:dyDescent="0.3">
      <c r="A23" t="s">
        <v>1959</v>
      </c>
      <c r="B23" t="s">
        <v>1924</v>
      </c>
      <c r="C23" t="s">
        <v>976</v>
      </c>
      <c r="D23" t="s">
        <v>1960</v>
      </c>
      <c r="E23">
        <v>0</v>
      </c>
      <c r="F23">
        <v>0.01</v>
      </c>
      <c r="G23" t="s">
        <v>927</v>
      </c>
      <c r="H23" t="s">
        <v>1553</v>
      </c>
    </row>
    <row r="24" spans="1:8" x14ac:dyDescent="0.3">
      <c r="A24" t="s">
        <v>1961</v>
      </c>
      <c r="B24" t="s">
        <v>1924</v>
      </c>
      <c r="C24" t="s">
        <v>976</v>
      </c>
      <c r="D24" t="s">
        <v>1962</v>
      </c>
      <c r="E24">
        <v>0</v>
      </c>
      <c r="F24">
        <v>0.01</v>
      </c>
      <c r="G24" t="s">
        <v>927</v>
      </c>
      <c r="H24" t="s">
        <v>1553</v>
      </c>
    </row>
    <row r="25" spans="1:8" x14ac:dyDescent="0.3">
      <c r="A25" t="s">
        <v>1963</v>
      </c>
      <c r="B25" t="s">
        <v>1924</v>
      </c>
      <c r="C25" t="s">
        <v>976</v>
      </c>
      <c r="D25" t="s">
        <v>1964</v>
      </c>
      <c r="E25">
        <v>0</v>
      </c>
      <c r="F25">
        <v>0.01</v>
      </c>
      <c r="G25" t="s">
        <v>927</v>
      </c>
      <c r="H25" t="s">
        <v>1553</v>
      </c>
    </row>
    <row r="26" spans="1:8" x14ac:dyDescent="0.3">
      <c r="A26" t="s">
        <v>1965</v>
      </c>
      <c r="B26" t="s">
        <v>1924</v>
      </c>
      <c r="C26" t="s">
        <v>976</v>
      </c>
      <c r="D26" t="s">
        <v>1966</v>
      </c>
      <c r="E26">
        <v>0</v>
      </c>
      <c r="F26">
        <v>0.01</v>
      </c>
      <c r="G26" t="s">
        <v>927</v>
      </c>
      <c r="H26" t="s">
        <v>1553</v>
      </c>
    </row>
    <row r="27" spans="1:8" x14ac:dyDescent="0.3">
      <c r="A27" t="s">
        <v>1967</v>
      </c>
      <c r="B27" t="s">
        <v>1933</v>
      </c>
      <c r="C27" t="s">
        <v>976</v>
      </c>
      <c r="D27" t="s">
        <v>1968</v>
      </c>
      <c r="E27">
        <v>0</v>
      </c>
      <c r="F27">
        <v>0.01</v>
      </c>
      <c r="G27" t="s">
        <v>927</v>
      </c>
      <c r="H27" t="s">
        <v>1553</v>
      </c>
    </row>
    <row r="28" spans="1:8" x14ac:dyDescent="0.3">
      <c r="A28" t="s">
        <v>1969</v>
      </c>
      <c r="B28" t="s">
        <v>1924</v>
      </c>
      <c r="C28" t="s">
        <v>975</v>
      </c>
      <c r="D28" t="s">
        <v>1970</v>
      </c>
      <c r="E28">
        <v>0</v>
      </c>
      <c r="F28">
        <v>0.01</v>
      </c>
      <c r="G28" t="s">
        <v>927</v>
      </c>
      <c r="H28" t="s">
        <v>1555</v>
      </c>
    </row>
    <row r="29" spans="1:8" x14ac:dyDescent="0.3">
      <c r="A29" t="s">
        <v>1971</v>
      </c>
      <c r="B29" t="s">
        <v>1924</v>
      </c>
      <c r="C29" t="s">
        <v>975</v>
      </c>
      <c r="D29" t="s">
        <v>1972</v>
      </c>
      <c r="E29">
        <v>0</v>
      </c>
      <c r="F29">
        <v>0.01</v>
      </c>
      <c r="G29" t="s">
        <v>927</v>
      </c>
      <c r="H29" t="s">
        <v>1555</v>
      </c>
    </row>
    <row r="30" spans="1:8" x14ac:dyDescent="0.3">
      <c r="A30" t="s">
        <v>1973</v>
      </c>
      <c r="B30" t="s">
        <v>1924</v>
      </c>
      <c r="C30" t="s">
        <v>975</v>
      </c>
      <c r="D30" t="s">
        <v>1974</v>
      </c>
      <c r="E30">
        <v>0</v>
      </c>
      <c r="F30">
        <v>0.01</v>
      </c>
      <c r="G30" t="s">
        <v>927</v>
      </c>
      <c r="H30" t="s">
        <v>1555</v>
      </c>
    </row>
    <row r="31" spans="1:8" x14ac:dyDescent="0.3">
      <c r="A31" t="s">
        <v>1975</v>
      </c>
      <c r="B31" t="s">
        <v>1924</v>
      </c>
      <c r="C31" t="s">
        <v>975</v>
      </c>
      <c r="D31" t="s">
        <v>1976</v>
      </c>
      <c r="E31">
        <v>0</v>
      </c>
      <c r="F31">
        <v>0.01</v>
      </c>
      <c r="G31" t="s">
        <v>927</v>
      </c>
      <c r="H31" t="s">
        <v>1555</v>
      </c>
    </row>
    <row r="32" spans="1:8" x14ac:dyDescent="0.3">
      <c r="A32" t="s">
        <v>1977</v>
      </c>
      <c r="B32" t="s">
        <v>1933</v>
      </c>
      <c r="C32" t="s">
        <v>975</v>
      </c>
      <c r="D32" t="s">
        <v>1978</v>
      </c>
      <c r="E32">
        <v>0</v>
      </c>
      <c r="F32">
        <v>0.01</v>
      </c>
      <c r="G32" t="s">
        <v>927</v>
      </c>
      <c r="H32" t="s">
        <v>1555</v>
      </c>
    </row>
    <row r="33" spans="1:8" x14ac:dyDescent="0.3">
      <c r="A33" t="s">
        <v>1979</v>
      </c>
      <c r="B33" t="s">
        <v>1924</v>
      </c>
      <c r="C33" t="s">
        <v>974</v>
      </c>
      <c r="D33" t="s">
        <v>1980</v>
      </c>
      <c r="E33">
        <v>0</v>
      </c>
      <c r="F33">
        <v>0.01</v>
      </c>
      <c r="G33" t="s">
        <v>927</v>
      </c>
      <c r="H33" t="s">
        <v>1558</v>
      </c>
    </row>
    <row r="34" spans="1:8" x14ac:dyDescent="0.3">
      <c r="A34" t="s">
        <v>1981</v>
      </c>
      <c r="B34" t="s">
        <v>1924</v>
      </c>
      <c r="C34" t="s">
        <v>974</v>
      </c>
      <c r="D34" t="s">
        <v>1982</v>
      </c>
      <c r="E34">
        <v>0</v>
      </c>
      <c r="F34">
        <v>0.01</v>
      </c>
      <c r="G34" t="s">
        <v>927</v>
      </c>
      <c r="H34" t="s">
        <v>1558</v>
      </c>
    </row>
    <row r="35" spans="1:8" x14ac:dyDescent="0.3">
      <c r="A35" t="s">
        <v>1983</v>
      </c>
      <c r="B35" t="s">
        <v>1924</v>
      </c>
      <c r="C35" t="s">
        <v>974</v>
      </c>
      <c r="D35" t="s">
        <v>1984</v>
      </c>
      <c r="E35">
        <v>0</v>
      </c>
      <c r="F35">
        <v>0.01</v>
      </c>
      <c r="G35" t="s">
        <v>927</v>
      </c>
      <c r="H35" t="s">
        <v>1558</v>
      </c>
    </row>
    <row r="36" spans="1:8" x14ac:dyDescent="0.3">
      <c r="A36" t="s">
        <v>1985</v>
      </c>
      <c r="B36" t="s">
        <v>1924</v>
      </c>
      <c r="C36" t="s">
        <v>974</v>
      </c>
      <c r="D36" t="s">
        <v>1986</v>
      </c>
      <c r="E36">
        <v>0</v>
      </c>
      <c r="F36">
        <v>0.01</v>
      </c>
      <c r="G36" t="s">
        <v>927</v>
      </c>
      <c r="H36" t="s">
        <v>1558</v>
      </c>
    </row>
    <row r="37" spans="1:8" x14ac:dyDescent="0.3">
      <c r="A37" t="s">
        <v>1987</v>
      </c>
      <c r="B37" t="s">
        <v>1924</v>
      </c>
      <c r="C37" t="s">
        <v>974</v>
      </c>
      <c r="D37" t="s">
        <v>1988</v>
      </c>
      <c r="E37">
        <v>0</v>
      </c>
      <c r="F37">
        <v>0.01</v>
      </c>
      <c r="G37" t="s">
        <v>927</v>
      </c>
      <c r="H37" t="s">
        <v>1558</v>
      </c>
    </row>
    <row r="38" spans="1:8" x14ac:dyDescent="0.3">
      <c r="A38" t="s">
        <v>1989</v>
      </c>
      <c r="B38" t="s">
        <v>1933</v>
      </c>
      <c r="C38" t="s">
        <v>974</v>
      </c>
      <c r="D38" t="s">
        <v>1990</v>
      </c>
      <c r="E38">
        <v>0</v>
      </c>
      <c r="F38">
        <v>0.01</v>
      </c>
      <c r="G38" t="s">
        <v>927</v>
      </c>
      <c r="H38" t="s">
        <v>1558</v>
      </c>
    </row>
    <row r="39" spans="1:8" x14ac:dyDescent="0.3">
      <c r="A39" t="s">
        <v>1991</v>
      </c>
      <c r="B39" t="s">
        <v>1924</v>
      </c>
      <c r="C39" t="s">
        <v>976</v>
      </c>
      <c r="D39" t="s">
        <v>1992</v>
      </c>
      <c r="E39">
        <v>0</v>
      </c>
      <c r="F39">
        <v>0.01</v>
      </c>
      <c r="G39" t="s">
        <v>927</v>
      </c>
      <c r="H39" t="s">
        <v>1573</v>
      </c>
    </row>
    <row r="40" spans="1:8" x14ac:dyDescent="0.3">
      <c r="A40" t="s">
        <v>1993</v>
      </c>
      <c r="B40" t="s">
        <v>1924</v>
      </c>
      <c r="C40" t="s">
        <v>976</v>
      </c>
      <c r="D40" t="s">
        <v>1994</v>
      </c>
      <c r="E40">
        <v>0</v>
      </c>
      <c r="F40">
        <v>0.01</v>
      </c>
      <c r="G40" t="s">
        <v>927</v>
      </c>
      <c r="H40" t="s">
        <v>1573</v>
      </c>
    </row>
    <row r="41" spans="1:8" x14ac:dyDescent="0.3">
      <c r="A41" t="s">
        <v>1995</v>
      </c>
      <c r="B41" t="s">
        <v>1924</v>
      </c>
      <c r="C41" t="s">
        <v>976</v>
      </c>
      <c r="D41" t="s">
        <v>1996</v>
      </c>
      <c r="E41">
        <v>0</v>
      </c>
      <c r="F41">
        <v>0.01</v>
      </c>
      <c r="G41" t="s">
        <v>927</v>
      </c>
      <c r="H41" t="s">
        <v>1573</v>
      </c>
    </row>
    <row r="42" spans="1:8" x14ac:dyDescent="0.3">
      <c r="A42" t="s">
        <v>1997</v>
      </c>
      <c r="B42" t="s">
        <v>1924</v>
      </c>
      <c r="C42" t="s">
        <v>976</v>
      </c>
      <c r="D42" t="s">
        <v>1998</v>
      </c>
      <c r="E42">
        <v>0</v>
      </c>
      <c r="F42">
        <v>0.01</v>
      </c>
      <c r="G42" t="s">
        <v>927</v>
      </c>
      <c r="H42" t="s">
        <v>1573</v>
      </c>
    </row>
    <row r="43" spans="1:8" x14ac:dyDescent="0.3">
      <c r="A43" t="s">
        <v>1999</v>
      </c>
      <c r="B43" t="s">
        <v>1933</v>
      </c>
      <c r="C43" t="s">
        <v>976</v>
      </c>
      <c r="D43" t="s">
        <v>2000</v>
      </c>
      <c r="E43">
        <v>0</v>
      </c>
      <c r="F43">
        <v>0.01</v>
      </c>
      <c r="G43" t="s">
        <v>927</v>
      </c>
      <c r="H43" t="s">
        <v>1573</v>
      </c>
    </row>
    <row r="44" spans="1:8" x14ac:dyDescent="0.3">
      <c r="A44" t="s">
        <v>2001</v>
      </c>
      <c r="B44" t="s">
        <v>1924</v>
      </c>
      <c r="C44" t="s">
        <v>975</v>
      </c>
      <c r="D44" t="s">
        <v>2002</v>
      </c>
      <c r="E44">
        <v>0</v>
      </c>
      <c r="F44">
        <v>0.01</v>
      </c>
      <c r="G44" t="s">
        <v>927</v>
      </c>
      <c r="H44" t="s">
        <v>1576</v>
      </c>
    </row>
    <row r="45" spans="1:8" x14ac:dyDescent="0.3">
      <c r="A45" t="s">
        <v>2003</v>
      </c>
      <c r="B45" t="s">
        <v>1924</v>
      </c>
      <c r="C45" t="s">
        <v>975</v>
      </c>
      <c r="D45" t="s">
        <v>2004</v>
      </c>
      <c r="E45">
        <v>0</v>
      </c>
      <c r="F45">
        <v>0.01</v>
      </c>
      <c r="G45" t="s">
        <v>927</v>
      </c>
      <c r="H45" t="s">
        <v>1576</v>
      </c>
    </row>
    <row r="46" spans="1:8" x14ac:dyDescent="0.3">
      <c r="A46" t="s">
        <v>2005</v>
      </c>
      <c r="B46" t="s">
        <v>1924</v>
      </c>
      <c r="C46" t="s">
        <v>975</v>
      </c>
      <c r="D46" t="s">
        <v>2006</v>
      </c>
      <c r="E46">
        <v>0</v>
      </c>
      <c r="F46">
        <v>0.01</v>
      </c>
      <c r="G46" t="s">
        <v>927</v>
      </c>
      <c r="H46" t="s">
        <v>1576</v>
      </c>
    </row>
    <row r="47" spans="1:8" x14ac:dyDescent="0.3">
      <c r="A47" t="s">
        <v>2007</v>
      </c>
      <c r="B47" t="s">
        <v>1924</v>
      </c>
      <c r="C47" t="s">
        <v>975</v>
      </c>
      <c r="D47" t="s">
        <v>2008</v>
      </c>
      <c r="E47">
        <v>0</v>
      </c>
      <c r="F47">
        <v>0.01</v>
      </c>
      <c r="G47" t="s">
        <v>927</v>
      </c>
      <c r="H47" t="s">
        <v>1576</v>
      </c>
    </row>
    <row r="48" spans="1:8" x14ac:dyDescent="0.3">
      <c r="A48" t="s">
        <v>2009</v>
      </c>
      <c r="B48" t="s">
        <v>1924</v>
      </c>
      <c r="C48" t="s">
        <v>975</v>
      </c>
      <c r="D48" t="s">
        <v>2010</v>
      </c>
      <c r="E48">
        <v>0</v>
      </c>
      <c r="F48">
        <v>0.01</v>
      </c>
      <c r="G48" t="s">
        <v>927</v>
      </c>
      <c r="H48" t="s">
        <v>1576</v>
      </c>
    </row>
    <row r="49" spans="1:8" x14ac:dyDescent="0.3">
      <c r="A49" t="s">
        <v>2011</v>
      </c>
      <c r="B49" t="s">
        <v>1933</v>
      </c>
      <c r="C49" t="s">
        <v>975</v>
      </c>
      <c r="D49" t="s">
        <v>2012</v>
      </c>
      <c r="E49">
        <v>0</v>
      </c>
      <c r="F49">
        <v>0.01</v>
      </c>
      <c r="G49" t="s">
        <v>927</v>
      </c>
      <c r="H49" t="s">
        <v>1576</v>
      </c>
    </row>
    <row r="50" spans="1:8" x14ac:dyDescent="0.3">
      <c r="A50" t="s">
        <v>2013</v>
      </c>
      <c r="B50" t="s">
        <v>1924</v>
      </c>
      <c r="C50" t="s">
        <v>974</v>
      </c>
      <c r="D50" t="s">
        <v>2014</v>
      </c>
      <c r="E50">
        <v>0</v>
      </c>
      <c r="F50">
        <v>0.01</v>
      </c>
      <c r="G50" t="s">
        <v>927</v>
      </c>
      <c r="H50" t="s">
        <v>1578</v>
      </c>
    </row>
    <row r="51" spans="1:8" x14ac:dyDescent="0.3">
      <c r="A51" t="s">
        <v>2015</v>
      </c>
      <c r="B51" t="s">
        <v>1924</v>
      </c>
      <c r="C51" t="s">
        <v>974</v>
      </c>
      <c r="D51" t="s">
        <v>2016</v>
      </c>
      <c r="E51">
        <v>0</v>
      </c>
      <c r="F51">
        <v>0.01</v>
      </c>
      <c r="G51" t="s">
        <v>927</v>
      </c>
      <c r="H51" t="s">
        <v>1578</v>
      </c>
    </row>
    <row r="52" spans="1:8" x14ac:dyDescent="0.3">
      <c r="A52" t="s">
        <v>2017</v>
      </c>
      <c r="B52" t="s">
        <v>1924</v>
      </c>
      <c r="C52" t="s">
        <v>974</v>
      </c>
      <c r="D52" t="s">
        <v>2018</v>
      </c>
      <c r="E52">
        <v>0</v>
      </c>
      <c r="F52">
        <v>0.01</v>
      </c>
      <c r="G52" t="s">
        <v>927</v>
      </c>
      <c r="H52" t="s">
        <v>1578</v>
      </c>
    </row>
    <row r="53" spans="1:8" x14ac:dyDescent="0.3">
      <c r="A53" t="s">
        <v>2019</v>
      </c>
      <c r="B53" t="s">
        <v>1924</v>
      </c>
      <c r="C53" t="s">
        <v>974</v>
      </c>
      <c r="D53" t="s">
        <v>2020</v>
      </c>
      <c r="E53">
        <v>0</v>
      </c>
      <c r="F53">
        <v>0.01</v>
      </c>
      <c r="G53" t="s">
        <v>927</v>
      </c>
      <c r="H53" t="s">
        <v>1578</v>
      </c>
    </row>
    <row r="54" spans="1:8" x14ac:dyDescent="0.3">
      <c r="A54" t="s">
        <v>2021</v>
      </c>
      <c r="B54" t="s">
        <v>1924</v>
      </c>
      <c r="C54" t="s">
        <v>974</v>
      </c>
      <c r="D54" t="s">
        <v>2022</v>
      </c>
      <c r="E54">
        <v>0</v>
      </c>
      <c r="F54">
        <v>0.01</v>
      </c>
      <c r="G54" t="s">
        <v>927</v>
      </c>
      <c r="H54" t="s">
        <v>1578</v>
      </c>
    </row>
    <row r="55" spans="1:8" x14ac:dyDescent="0.3">
      <c r="A55" t="s">
        <v>2023</v>
      </c>
      <c r="B55" t="s">
        <v>1933</v>
      </c>
      <c r="C55" t="s">
        <v>974</v>
      </c>
      <c r="D55" t="s">
        <v>2024</v>
      </c>
      <c r="E55">
        <v>0</v>
      </c>
      <c r="F55">
        <v>0.01</v>
      </c>
      <c r="G55" t="s">
        <v>927</v>
      </c>
      <c r="H55" t="s">
        <v>1578</v>
      </c>
    </row>
    <row r="56" spans="1:8" x14ac:dyDescent="0.3">
      <c r="A56" t="s">
        <v>2025</v>
      </c>
      <c r="B56" t="s">
        <v>1924</v>
      </c>
      <c r="C56" t="s">
        <v>975</v>
      </c>
      <c r="D56" t="s">
        <v>2026</v>
      </c>
      <c r="E56">
        <v>0</v>
      </c>
      <c r="F56">
        <v>0.01</v>
      </c>
      <c r="G56" t="s">
        <v>927</v>
      </c>
      <c r="H56" t="s">
        <v>1583</v>
      </c>
    </row>
    <row r="57" spans="1:8" x14ac:dyDescent="0.3">
      <c r="A57" t="s">
        <v>2027</v>
      </c>
      <c r="B57" t="s">
        <v>1924</v>
      </c>
      <c r="C57" t="s">
        <v>975</v>
      </c>
      <c r="D57" t="s">
        <v>2028</v>
      </c>
      <c r="E57">
        <v>0</v>
      </c>
      <c r="F57">
        <v>0.01</v>
      </c>
      <c r="G57" t="s">
        <v>927</v>
      </c>
      <c r="H57" t="s">
        <v>1583</v>
      </c>
    </row>
    <row r="58" spans="1:8" x14ac:dyDescent="0.3">
      <c r="A58" t="s">
        <v>2029</v>
      </c>
      <c r="B58" t="s">
        <v>1924</v>
      </c>
      <c r="C58" t="s">
        <v>975</v>
      </c>
      <c r="D58" t="s">
        <v>2030</v>
      </c>
      <c r="E58">
        <v>0</v>
      </c>
      <c r="F58">
        <v>0.01</v>
      </c>
      <c r="G58" t="s">
        <v>927</v>
      </c>
      <c r="H58" t="s">
        <v>1583</v>
      </c>
    </row>
    <row r="59" spans="1:8" x14ac:dyDescent="0.3">
      <c r="A59" t="s">
        <v>2031</v>
      </c>
      <c r="B59" t="s">
        <v>1924</v>
      </c>
      <c r="C59" t="s">
        <v>975</v>
      </c>
      <c r="D59" t="s">
        <v>2032</v>
      </c>
      <c r="E59">
        <v>0</v>
      </c>
      <c r="F59">
        <v>0.01</v>
      </c>
      <c r="G59" t="s">
        <v>927</v>
      </c>
      <c r="H59" t="s">
        <v>1583</v>
      </c>
    </row>
    <row r="60" spans="1:8" x14ac:dyDescent="0.3">
      <c r="A60" t="s">
        <v>2033</v>
      </c>
      <c r="B60" t="s">
        <v>1924</v>
      </c>
      <c r="C60" t="s">
        <v>975</v>
      </c>
      <c r="D60" t="s">
        <v>2034</v>
      </c>
      <c r="E60">
        <v>0</v>
      </c>
      <c r="F60">
        <v>0.01</v>
      </c>
      <c r="G60" t="s">
        <v>927</v>
      </c>
      <c r="H60" t="s">
        <v>1583</v>
      </c>
    </row>
    <row r="61" spans="1:8" x14ac:dyDescent="0.3">
      <c r="A61" t="s">
        <v>2035</v>
      </c>
      <c r="B61" t="s">
        <v>1933</v>
      </c>
      <c r="C61" t="s">
        <v>975</v>
      </c>
      <c r="D61" t="s">
        <v>2036</v>
      </c>
      <c r="E61">
        <v>0</v>
      </c>
      <c r="F61">
        <v>0.01</v>
      </c>
      <c r="G61" t="s">
        <v>927</v>
      </c>
      <c r="H61" t="s">
        <v>1583</v>
      </c>
    </row>
    <row r="62" spans="1:8" x14ac:dyDescent="0.3">
      <c r="A62" t="s">
        <v>2037</v>
      </c>
      <c r="B62" t="s">
        <v>1924</v>
      </c>
      <c r="C62" t="s">
        <v>974</v>
      </c>
      <c r="D62" t="s">
        <v>2038</v>
      </c>
      <c r="E62">
        <v>0</v>
      </c>
      <c r="F62">
        <v>0.01</v>
      </c>
      <c r="G62" t="s">
        <v>927</v>
      </c>
      <c r="H62" t="s">
        <v>1603</v>
      </c>
    </row>
    <row r="63" spans="1:8" x14ac:dyDescent="0.3">
      <c r="A63" t="s">
        <v>2039</v>
      </c>
      <c r="B63" t="s">
        <v>1924</v>
      </c>
      <c r="C63" t="s">
        <v>974</v>
      </c>
      <c r="D63" t="s">
        <v>2040</v>
      </c>
      <c r="E63">
        <v>0</v>
      </c>
      <c r="F63">
        <v>0.01</v>
      </c>
      <c r="G63" t="s">
        <v>927</v>
      </c>
      <c r="H63" t="s">
        <v>1603</v>
      </c>
    </row>
    <row r="64" spans="1:8" x14ac:dyDescent="0.3">
      <c r="A64" t="s">
        <v>2041</v>
      </c>
      <c r="B64" t="s">
        <v>1924</v>
      </c>
      <c r="C64" t="s">
        <v>974</v>
      </c>
      <c r="D64" t="s">
        <v>2042</v>
      </c>
      <c r="E64">
        <v>0</v>
      </c>
      <c r="F64">
        <v>0.01</v>
      </c>
      <c r="G64" t="s">
        <v>927</v>
      </c>
      <c r="H64" t="s">
        <v>1603</v>
      </c>
    </row>
    <row r="65" spans="1:8" x14ac:dyDescent="0.3">
      <c r="A65" t="s">
        <v>2043</v>
      </c>
      <c r="B65" t="s">
        <v>1924</v>
      </c>
      <c r="C65" t="s">
        <v>974</v>
      </c>
      <c r="D65" t="s">
        <v>2044</v>
      </c>
      <c r="E65">
        <v>0</v>
      </c>
      <c r="F65">
        <v>0.01</v>
      </c>
      <c r="G65" t="s">
        <v>927</v>
      </c>
      <c r="H65" t="s">
        <v>1603</v>
      </c>
    </row>
    <row r="66" spans="1:8" x14ac:dyDescent="0.3">
      <c r="A66" t="s">
        <v>2045</v>
      </c>
      <c r="B66" t="s">
        <v>1924</v>
      </c>
      <c r="C66" t="s">
        <v>974</v>
      </c>
      <c r="D66" t="s">
        <v>2046</v>
      </c>
      <c r="E66">
        <v>0</v>
      </c>
      <c r="F66">
        <v>0.01</v>
      </c>
      <c r="G66" t="s">
        <v>927</v>
      </c>
      <c r="H66" t="s">
        <v>1603</v>
      </c>
    </row>
    <row r="67" spans="1:8" x14ac:dyDescent="0.3">
      <c r="A67" t="s">
        <v>2047</v>
      </c>
      <c r="B67" t="s">
        <v>1933</v>
      </c>
      <c r="C67" t="s">
        <v>974</v>
      </c>
      <c r="D67" t="s">
        <v>2048</v>
      </c>
      <c r="E67">
        <v>0</v>
      </c>
      <c r="F67">
        <v>0.01</v>
      </c>
      <c r="G67" t="s">
        <v>927</v>
      </c>
      <c r="H67" t="s">
        <v>1603</v>
      </c>
    </row>
    <row r="68" spans="1:8" x14ac:dyDescent="0.3">
      <c r="A68" t="s">
        <v>2049</v>
      </c>
      <c r="B68" t="s">
        <v>1924</v>
      </c>
      <c r="C68" t="s">
        <v>976</v>
      </c>
      <c r="D68" t="s">
        <v>2050</v>
      </c>
      <c r="E68">
        <v>0</v>
      </c>
      <c r="F68">
        <v>0.01</v>
      </c>
      <c r="G68" t="s">
        <v>927</v>
      </c>
      <c r="H68" t="s">
        <v>1656</v>
      </c>
    </row>
    <row r="69" spans="1:8" x14ac:dyDescent="0.3">
      <c r="A69" t="s">
        <v>2051</v>
      </c>
      <c r="B69" t="s">
        <v>1924</v>
      </c>
      <c r="C69" t="s">
        <v>976</v>
      </c>
      <c r="D69" t="s">
        <v>2052</v>
      </c>
      <c r="E69">
        <v>0</v>
      </c>
      <c r="F69">
        <v>0.01</v>
      </c>
      <c r="G69" t="s">
        <v>927</v>
      </c>
      <c r="H69" t="s">
        <v>1656</v>
      </c>
    </row>
    <row r="70" spans="1:8" x14ac:dyDescent="0.3">
      <c r="A70" t="s">
        <v>2053</v>
      </c>
      <c r="B70" t="s">
        <v>1924</v>
      </c>
      <c r="C70" t="s">
        <v>976</v>
      </c>
      <c r="D70" t="s">
        <v>2054</v>
      </c>
      <c r="E70">
        <v>0</v>
      </c>
      <c r="F70">
        <v>0.01</v>
      </c>
      <c r="G70" t="s">
        <v>927</v>
      </c>
      <c r="H70" t="s">
        <v>1656</v>
      </c>
    </row>
    <row r="71" spans="1:8" x14ac:dyDescent="0.3">
      <c r="A71" t="s">
        <v>2055</v>
      </c>
      <c r="B71" t="s">
        <v>1924</v>
      </c>
      <c r="C71" t="s">
        <v>976</v>
      </c>
      <c r="D71" t="s">
        <v>2056</v>
      </c>
      <c r="E71">
        <v>0</v>
      </c>
      <c r="F71">
        <v>0.01</v>
      </c>
      <c r="G71" t="s">
        <v>927</v>
      </c>
      <c r="H71" t="s">
        <v>1656</v>
      </c>
    </row>
    <row r="72" spans="1:8" x14ac:dyDescent="0.3">
      <c r="A72" t="s">
        <v>2057</v>
      </c>
      <c r="B72" t="s">
        <v>1933</v>
      </c>
      <c r="C72" t="s">
        <v>976</v>
      </c>
      <c r="D72" t="s">
        <v>2058</v>
      </c>
      <c r="E72">
        <v>0</v>
      </c>
      <c r="F72">
        <v>0.01</v>
      </c>
      <c r="G72" t="s">
        <v>927</v>
      </c>
      <c r="H72" t="s">
        <v>1656</v>
      </c>
    </row>
    <row r="73" spans="1:8" x14ac:dyDescent="0.3">
      <c r="A73" t="s">
        <v>2059</v>
      </c>
      <c r="B73" t="s">
        <v>1924</v>
      </c>
      <c r="C73" t="s">
        <v>975</v>
      </c>
      <c r="D73" t="s">
        <v>2060</v>
      </c>
      <c r="E73">
        <v>0</v>
      </c>
      <c r="F73">
        <v>0.01</v>
      </c>
      <c r="G73" t="s">
        <v>927</v>
      </c>
      <c r="H73" t="s">
        <v>1659</v>
      </c>
    </row>
    <row r="74" spans="1:8" x14ac:dyDescent="0.3">
      <c r="A74" t="s">
        <v>2061</v>
      </c>
      <c r="B74" t="s">
        <v>1924</v>
      </c>
      <c r="C74" t="s">
        <v>975</v>
      </c>
      <c r="D74" t="s">
        <v>2062</v>
      </c>
      <c r="E74">
        <v>0</v>
      </c>
      <c r="F74">
        <v>0.01</v>
      </c>
      <c r="G74" t="s">
        <v>927</v>
      </c>
      <c r="H74" t="s">
        <v>1659</v>
      </c>
    </row>
    <row r="75" spans="1:8" x14ac:dyDescent="0.3">
      <c r="A75" t="s">
        <v>2063</v>
      </c>
      <c r="B75" t="s">
        <v>1924</v>
      </c>
      <c r="C75" t="s">
        <v>975</v>
      </c>
      <c r="D75" t="s">
        <v>2064</v>
      </c>
      <c r="E75">
        <v>0</v>
      </c>
      <c r="F75">
        <v>0.01</v>
      </c>
      <c r="G75" t="s">
        <v>927</v>
      </c>
      <c r="H75" t="s">
        <v>1659</v>
      </c>
    </row>
    <row r="76" spans="1:8" x14ac:dyDescent="0.3">
      <c r="A76" t="s">
        <v>2065</v>
      </c>
      <c r="B76" t="s">
        <v>1924</v>
      </c>
      <c r="C76" t="s">
        <v>975</v>
      </c>
      <c r="D76" t="s">
        <v>2066</v>
      </c>
      <c r="E76">
        <v>0</v>
      </c>
      <c r="F76">
        <v>0.01</v>
      </c>
      <c r="G76" t="s">
        <v>927</v>
      </c>
      <c r="H76" t="s">
        <v>1659</v>
      </c>
    </row>
    <row r="77" spans="1:8" x14ac:dyDescent="0.3">
      <c r="A77" t="s">
        <v>2067</v>
      </c>
      <c r="B77" t="s">
        <v>1924</v>
      </c>
      <c r="C77" t="s">
        <v>975</v>
      </c>
      <c r="D77" t="s">
        <v>2068</v>
      </c>
      <c r="E77">
        <v>0</v>
      </c>
      <c r="F77">
        <v>0.01</v>
      </c>
      <c r="G77" t="s">
        <v>927</v>
      </c>
      <c r="H77" t="s">
        <v>1659</v>
      </c>
    </row>
    <row r="78" spans="1:8" x14ac:dyDescent="0.3">
      <c r="A78" t="s">
        <v>2069</v>
      </c>
      <c r="B78" t="s">
        <v>1933</v>
      </c>
      <c r="C78" t="s">
        <v>975</v>
      </c>
      <c r="D78" t="s">
        <v>2070</v>
      </c>
      <c r="E78">
        <v>0</v>
      </c>
      <c r="F78">
        <v>0.01</v>
      </c>
      <c r="G78" t="s">
        <v>927</v>
      </c>
      <c r="H78" t="s">
        <v>1659</v>
      </c>
    </row>
    <row r="79" spans="1:8" x14ac:dyDescent="0.3">
      <c r="A79" t="s">
        <v>2071</v>
      </c>
      <c r="B79" t="s">
        <v>1924</v>
      </c>
      <c r="C79" t="s">
        <v>974</v>
      </c>
      <c r="D79" t="s">
        <v>2072</v>
      </c>
      <c r="E79">
        <v>0</v>
      </c>
      <c r="F79">
        <v>0.01</v>
      </c>
      <c r="G79" t="s">
        <v>927</v>
      </c>
      <c r="H79" t="s">
        <v>1660</v>
      </c>
    </row>
    <row r="80" spans="1:8" x14ac:dyDescent="0.3">
      <c r="A80" t="s">
        <v>2073</v>
      </c>
      <c r="B80" t="s">
        <v>1924</v>
      </c>
      <c r="C80" t="s">
        <v>974</v>
      </c>
      <c r="D80" t="s">
        <v>2074</v>
      </c>
      <c r="E80">
        <v>0</v>
      </c>
      <c r="F80">
        <v>0.01</v>
      </c>
      <c r="G80" t="s">
        <v>927</v>
      </c>
      <c r="H80" t="s">
        <v>1660</v>
      </c>
    </row>
    <row r="81" spans="1:8" x14ac:dyDescent="0.3">
      <c r="A81" t="s">
        <v>2075</v>
      </c>
      <c r="B81" t="s">
        <v>1924</v>
      </c>
      <c r="C81" t="s">
        <v>974</v>
      </c>
      <c r="D81" t="s">
        <v>2076</v>
      </c>
      <c r="E81">
        <v>0</v>
      </c>
      <c r="F81">
        <v>0.01</v>
      </c>
      <c r="G81" t="s">
        <v>927</v>
      </c>
      <c r="H81" t="s">
        <v>1660</v>
      </c>
    </row>
    <row r="82" spans="1:8" x14ac:dyDescent="0.3">
      <c r="A82" t="s">
        <v>2077</v>
      </c>
      <c r="B82" t="s">
        <v>1924</v>
      </c>
      <c r="C82" t="s">
        <v>974</v>
      </c>
      <c r="D82" t="s">
        <v>2078</v>
      </c>
      <c r="E82">
        <v>0</v>
      </c>
      <c r="F82">
        <v>0.01</v>
      </c>
      <c r="G82" t="s">
        <v>927</v>
      </c>
      <c r="H82" t="s">
        <v>1660</v>
      </c>
    </row>
    <row r="83" spans="1:8" x14ac:dyDescent="0.3">
      <c r="A83" t="s">
        <v>2079</v>
      </c>
      <c r="B83" t="s">
        <v>1924</v>
      </c>
      <c r="C83" t="s">
        <v>974</v>
      </c>
      <c r="D83" t="s">
        <v>2080</v>
      </c>
      <c r="E83">
        <v>0</v>
      </c>
      <c r="F83">
        <v>0.01</v>
      </c>
      <c r="G83" t="s">
        <v>927</v>
      </c>
      <c r="H83" t="s">
        <v>1660</v>
      </c>
    </row>
    <row r="84" spans="1:8" x14ac:dyDescent="0.3">
      <c r="A84" t="s">
        <v>2081</v>
      </c>
      <c r="B84" t="s">
        <v>1933</v>
      </c>
      <c r="C84" t="s">
        <v>974</v>
      </c>
      <c r="D84" t="s">
        <v>2082</v>
      </c>
      <c r="E84">
        <v>0</v>
      </c>
      <c r="F84">
        <v>0.01</v>
      </c>
      <c r="G84" t="s">
        <v>927</v>
      </c>
      <c r="H84" t="s">
        <v>1660</v>
      </c>
    </row>
    <row r="85" spans="1:8" x14ac:dyDescent="0.3">
      <c r="A85" t="s">
        <v>2083</v>
      </c>
      <c r="B85" t="s">
        <v>1924</v>
      </c>
      <c r="C85" t="s">
        <v>976</v>
      </c>
      <c r="D85" t="s">
        <v>2084</v>
      </c>
      <c r="E85">
        <v>0</v>
      </c>
      <c r="F85">
        <v>0.01</v>
      </c>
      <c r="G85" t="s">
        <v>927</v>
      </c>
      <c r="H85" t="s">
        <v>1668</v>
      </c>
    </row>
    <row r="86" spans="1:8" x14ac:dyDescent="0.3">
      <c r="A86" t="s">
        <v>2085</v>
      </c>
      <c r="B86" t="s">
        <v>1924</v>
      </c>
      <c r="C86" t="s">
        <v>976</v>
      </c>
      <c r="D86" t="s">
        <v>2086</v>
      </c>
      <c r="E86">
        <v>0</v>
      </c>
      <c r="F86">
        <v>0.01</v>
      </c>
      <c r="G86" t="s">
        <v>927</v>
      </c>
      <c r="H86" t="s">
        <v>1668</v>
      </c>
    </row>
    <row r="87" spans="1:8" x14ac:dyDescent="0.3">
      <c r="A87" t="s">
        <v>2087</v>
      </c>
      <c r="B87" t="s">
        <v>1924</v>
      </c>
      <c r="C87" t="s">
        <v>976</v>
      </c>
      <c r="D87" t="s">
        <v>2088</v>
      </c>
      <c r="E87">
        <v>0</v>
      </c>
      <c r="F87">
        <v>0.01</v>
      </c>
      <c r="G87" t="s">
        <v>927</v>
      </c>
      <c r="H87" t="s">
        <v>1668</v>
      </c>
    </row>
    <row r="88" spans="1:8" x14ac:dyDescent="0.3">
      <c r="A88" t="s">
        <v>2089</v>
      </c>
      <c r="B88" t="s">
        <v>1924</v>
      </c>
      <c r="C88" t="s">
        <v>976</v>
      </c>
      <c r="D88" t="s">
        <v>2090</v>
      </c>
      <c r="E88">
        <v>0</v>
      </c>
      <c r="F88">
        <v>0.01</v>
      </c>
      <c r="G88" t="s">
        <v>927</v>
      </c>
      <c r="H88" t="s">
        <v>1668</v>
      </c>
    </row>
    <row r="89" spans="1:8" x14ac:dyDescent="0.3">
      <c r="A89" t="s">
        <v>2091</v>
      </c>
      <c r="B89" t="s">
        <v>1933</v>
      </c>
      <c r="C89" t="s">
        <v>976</v>
      </c>
      <c r="D89" t="s">
        <v>2092</v>
      </c>
      <c r="E89">
        <v>0</v>
      </c>
      <c r="F89">
        <v>0.01</v>
      </c>
      <c r="G89" t="s">
        <v>927</v>
      </c>
      <c r="H89" t="s">
        <v>1668</v>
      </c>
    </row>
    <row r="90" spans="1:8" x14ac:dyDescent="0.3">
      <c r="A90" t="s">
        <v>2093</v>
      </c>
      <c r="B90" t="s">
        <v>1924</v>
      </c>
      <c r="C90" t="s">
        <v>975</v>
      </c>
      <c r="D90" t="s">
        <v>2094</v>
      </c>
      <c r="E90">
        <v>0</v>
      </c>
      <c r="F90">
        <v>0.01</v>
      </c>
      <c r="G90" t="s">
        <v>927</v>
      </c>
      <c r="H90" t="s">
        <v>1669</v>
      </c>
    </row>
    <row r="91" spans="1:8" x14ac:dyDescent="0.3">
      <c r="A91" t="s">
        <v>2095</v>
      </c>
      <c r="B91" t="s">
        <v>1924</v>
      </c>
      <c r="C91" t="s">
        <v>975</v>
      </c>
      <c r="D91" t="s">
        <v>2096</v>
      </c>
      <c r="E91">
        <v>0</v>
      </c>
      <c r="F91">
        <v>0.01</v>
      </c>
      <c r="G91" t="s">
        <v>927</v>
      </c>
      <c r="H91" t="s">
        <v>1669</v>
      </c>
    </row>
    <row r="92" spans="1:8" x14ac:dyDescent="0.3">
      <c r="A92" t="s">
        <v>2097</v>
      </c>
      <c r="B92" t="s">
        <v>1924</v>
      </c>
      <c r="C92" t="s">
        <v>975</v>
      </c>
      <c r="D92" t="s">
        <v>2098</v>
      </c>
      <c r="E92">
        <v>0</v>
      </c>
      <c r="F92">
        <v>0.01</v>
      </c>
      <c r="G92" t="s">
        <v>927</v>
      </c>
      <c r="H92" t="s">
        <v>1669</v>
      </c>
    </row>
    <row r="93" spans="1:8" x14ac:dyDescent="0.3">
      <c r="A93" t="s">
        <v>2099</v>
      </c>
      <c r="B93" t="s">
        <v>1924</v>
      </c>
      <c r="C93" t="s">
        <v>975</v>
      </c>
      <c r="D93" t="s">
        <v>2100</v>
      </c>
      <c r="E93">
        <v>0</v>
      </c>
      <c r="F93">
        <v>0.01</v>
      </c>
      <c r="G93" t="s">
        <v>927</v>
      </c>
      <c r="H93" t="s">
        <v>1669</v>
      </c>
    </row>
    <row r="94" spans="1:8" x14ac:dyDescent="0.3">
      <c r="A94" t="s">
        <v>2101</v>
      </c>
      <c r="B94" t="s">
        <v>1924</v>
      </c>
      <c r="C94" t="s">
        <v>975</v>
      </c>
      <c r="D94" t="s">
        <v>2102</v>
      </c>
      <c r="E94">
        <v>0</v>
      </c>
      <c r="F94">
        <v>0.01</v>
      </c>
      <c r="G94" t="s">
        <v>927</v>
      </c>
      <c r="H94" t="s">
        <v>1669</v>
      </c>
    </row>
    <row r="95" spans="1:8" x14ac:dyDescent="0.3">
      <c r="A95" t="s">
        <v>2103</v>
      </c>
      <c r="B95" t="s">
        <v>1933</v>
      </c>
      <c r="C95" t="s">
        <v>975</v>
      </c>
      <c r="D95" t="s">
        <v>2104</v>
      </c>
      <c r="E95">
        <v>0</v>
      </c>
      <c r="F95">
        <v>0.01</v>
      </c>
      <c r="G95" t="s">
        <v>927</v>
      </c>
      <c r="H95" t="s">
        <v>1669</v>
      </c>
    </row>
    <row r="96" spans="1:8" x14ac:dyDescent="0.3">
      <c r="A96" t="s">
        <v>2105</v>
      </c>
      <c r="B96" t="s">
        <v>1924</v>
      </c>
      <c r="C96" t="s">
        <v>974</v>
      </c>
      <c r="D96" t="s">
        <v>2106</v>
      </c>
      <c r="E96">
        <v>0</v>
      </c>
      <c r="F96">
        <v>0.01</v>
      </c>
      <c r="G96" t="s">
        <v>927</v>
      </c>
      <c r="H96" t="s">
        <v>1670</v>
      </c>
    </row>
    <row r="97" spans="1:8" x14ac:dyDescent="0.3">
      <c r="A97" t="s">
        <v>2107</v>
      </c>
      <c r="B97" t="s">
        <v>1924</v>
      </c>
      <c r="C97" t="s">
        <v>974</v>
      </c>
      <c r="D97" t="s">
        <v>2108</v>
      </c>
      <c r="E97">
        <v>0</v>
      </c>
      <c r="F97">
        <v>0.01</v>
      </c>
      <c r="G97" t="s">
        <v>927</v>
      </c>
      <c r="H97" t="s">
        <v>1670</v>
      </c>
    </row>
    <row r="98" spans="1:8" x14ac:dyDescent="0.3">
      <c r="A98" t="s">
        <v>2109</v>
      </c>
      <c r="B98" t="s">
        <v>1924</v>
      </c>
      <c r="C98" t="s">
        <v>974</v>
      </c>
      <c r="D98" t="s">
        <v>2110</v>
      </c>
      <c r="E98">
        <v>0</v>
      </c>
      <c r="F98">
        <v>0.01</v>
      </c>
      <c r="G98" t="s">
        <v>927</v>
      </c>
      <c r="H98" t="s">
        <v>1670</v>
      </c>
    </row>
    <row r="99" spans="1:8" x14ac:dyDescent="0.3">
      <c r="A99" t="s">
        <v>2111</v>
      </c>
      <c r="B99" t="s">
        <v>1924</v>
      </c>
      <c r="C99" t="s">
        <v>974</v>
      </c>
      <c r="D99" t="s">
        <v>2112</v>
      </c>
      <c r="E99">
        <v>0</v>
      </c>
      <c r="F99">
        <v>0.01</v>
      </c>
      <c r="G99" t="s">
        <v>927</v>
      </c>
      <c r="H99" t="s">
        <v>1670</v>
      </c>
    </row>
    <row r="100" spans="1:8" x14ac:dyDescent="0.3">
      <c r="A100" t="s">
        <v>2113</v>
      </c>
      <c r="B100" t="s">
        <v>1924</v>
      </c>
      <c r="C100" t="s">
        <v>974</v>
      </c>
      <c r="D100" t="s">
        <v>2114</v>
      </c>
      <c r="E100">
        <v>0</v>
      </c>
      <c r="F100">
        <v>0.01</v>
      </c>
      <c r="G100" t="s">
        <v>927</v>
      </c>
      <c r="H100" t="s">
        <v>1670</v>
      </c>
    </row>
    <row r="101" spans="1:8" x14ac:dyDescent="0.3">
      <c r="A101" t="s">
        <v>2115</v>
      </c>
      <c r="B101" t="s">
        <v>1933</v>
      </c>
      <c r="C101" t="s">
        <v>974</v>
      </c>
      <c r="D101" t="s">
        <v>2116</v>
      </c>
      <c r="E101">
        <v>0</v>
      </c>
      <c r="F101">
        <v>0.01</v>
      </c>
      <c r="G101" t="s">
        <v>927</v>
      </c>
      <c r="H101" t="s">
        <v>1670</v>
      </c>
    </row>
    <row r="102" spans="1:8" x14ac:dyDescent="0.3">
      <c r="A102" t="s">
        <v>2117</v>
      </c>
      <c r="B102" t="s">
        <v>1924</v>
      </c>
      <c r="C102" t="s">
        <v>976</v>
      </c>
      <c r="D102" t="s">
        <v>2118</v>
      </c>
      <c r="E102">
        <v>0</v>
      </c>
      <c r="F102">
        <v>0.01</v>
      </c>
      <c r="G102" t="s">
        <v>927</v>
      </c>
      <c r="H102" t="s">
        <v>1671</v>
      </c>
    </row>
    <row r="103" spans="1:8" x14ac:dyDescent="0.3">
      <c r="A103" t="s">
        <v>2119</v>
      </c>
      <c r="B103" t="s">
        <v>1924</v>
      </c>
      <c r="C103" t="s">
        <v>976</v>
      </c>
      <c r="D103" t="s">
        <v>2120</v>
      </c>
      <c r="E103">
        <v>0</v>
      </c>
      <c r="F103">
        <v>0.01</v>
      </c>
      <c r="G103" t="s">
        <v>927</v>
      </c>
      <c r="H103" t="s">
        <v>1671</v>
      </c>
    </row>
    <row r="104" spans="1:8" x14ac:dyDescent="0.3">
      <c r="A104" t="s">
        <v>2121</v>
      </c>
      <c r="B104" t="s">
        <v>1924</v>
      </c>
      <c r="C104" t="s">
        <v>976</v>
      </c>
      <c r="D104" t="s">
        <v>2122</v>
      </c>
      <c r="E104">
        <v>0</v>
      </c>
      <c r="F104">
        <v>0.01</v>
      </c>
      <c r="G104" t="s">
        <v>927</v>
      </c>
      <c r="H104" t="s">
        <v>1671</v>
      </c>
    </row>
    <row r="105" spans="1:8" x14ac:dyDescent="0.3">
      <c r="A105" t="s">
        <v>2123</v>
      </c>
      <c r="B105" t="s">
        <v>1924</v>
      </c>
      <c r="C105" t="s">
        <v>976</v>
      </c>
      <c r="D105" t="s">
        <v>2124</v>
      </c>
      <c r="E105">
        <v>0</v>
      </c>
      <c r="F105">
        <v>0.01</v>
      </c>
      <c r="G105" t="s">
        <v>927</v>
      </c>
      <c r="H105" t="s">
        <v>1671</v>
      </c>
    </row>
    <row r="106" spans="1:8" x14ac:dyDescent="0.3">
      <c r="A106" t="s">
        <v>2125</v>
      </c>
      <c r="B106" t="s">
        <v>1933</v>
      </c>
      <c r="C106" t="s">
        <v>976</v>
      </c>
      <c r="D106" t="s">
        <v>2126</v>
      </c>
      <c r="E106">
        <v>0</v>
      </c>
      <c r="F106">
        <v>0.01</v>
      </c>
      <c r="G106" t="s">
        <v>927</v>
      </c>
      <c r="H106" t="s">
        <v>1671</v>
      </c>
    </row>
    <row r="107" spans="1:8" x14ac:dyDescent="0.3">
      <c r="A107" t="s">
        <v>2127</v>
      </c>
      <c r="B107" t="s">
        <v>1924</v>
      </c>
      <c r="C107" t="s">
        <v>975</v>
      </c>
      <c r="D107" t="s">
        <v>2128</v>
      </c>
      <c r="E107">
        <v>0</v>
      </c>
      <c r="F107">
        <v>0.01</v>
      </c>
      <c r="G107" t="s">
        <v>927</v>
      </c>
      <c r="H107" t="s">
        <v>1672</v>
      </c>
    </row>
    <row r="108" spans="1:8" x14ac:dyDescent="0.3">
      <c r="A108" t="s">
        <v>2129</v>
      </c>
      <c r="B108" t="s">
        <v>1924</v>
      </c>
      <c r="C108" t="s">
        <v>975</v>
      </c>
      <c r="D108" t="s">
        <v>2130</v>
      </c>
      <c r="E108">
        <v>0</v>
      </c>
      <c r="F108">
        <v>0.01</v>
      </c>
      <c r="G108" t="s">
        <v>927</v>
      </c>
      <c r="H108" t="s">
        <v>1672</v>
      </c>
    </row>
    <row r="109" spans="1:8" x14ac:dyDescent="0.3">
      <c r="A109" t="s">
        <v>2131</v>
      </c>
      <c r="B109" t="s">
        <v>1924</v>
      </c>
      <c r="C109" t="s">
        <v>975</v>
      </c>
      <c r="D109" t="s">
        <v>2132</v>
      </c>
      <c r="E109">
        <v>0</v>
      </c>
      <c r="F109">
        <v>0.01</v>
      </c>
      <c r="G109" t="s">
        <v>927</v>
      </c>
      <c r="H109" t="s">
        <v>1672</v>
      </c>
    </row>
    <row r="110" spans="1:8" x14ac:dyDescent="0.3">
      <c r="A110" t="s">
        <v>2133</v>
      </c>
      <c r="B110" t="s">
        <v>1924</v>
      </c>
      <c r="C110" t="s">
        <v>975</v>
      </c>
      <c r="D110" t="s">
        <v>2134</v>
      </c>
      <c r="E110">
        <v>0</v>
      </c>
      <c r="F110">
        <v>0.01</v>
      </c>
      <c r="G110" t="s">
        <v>927</v>
      </c>
      <c r="H110" t="s">
        <v>1672</v>
      </c>
    </row>
    <row r="111" spans="1:8" x14ac:dyDescent="0.3">
      <c r="A111" t="s">
        <v>2135</v>
      </c>
      <c r="B111" t="s">
        <v>1924</v>
      </c>
      <c r="C111" t="s">
        <v>975</v>
      </c>
      <c r="D111" t="s">
        <v>2136</v>
      </c>
      <c r="E111">
        <v>0</v>
      </c>
      <c r="F111">
        <v>0.01</v>
      </c>
      <c r="G111" t="s">
        <v>927</v>
      </c>
      <c r="H111" t="s">
        <v>1672</v>
      </c>
    </row>
    <row r="112" spans="1:8" x14ac:dyDescent="0.3">
      <c r="A112" t="s">
        <v>2137</v>
      </c>
      <c r="B112" t="s">
        <v>1933</v>
      </c>
      <c r="C112" t="s">
        <v>975</v>
      </c>
      <c r="D112" t="s">
        <v>2138</v>
      </c>
      <c r="E112">
        <v>0</v>
      </c>
      <c r="F112">
        <v>0.01</v>
      </c>
      <c r="G112" t="s">
        <v>927</v>
      </c>
      <c r="H112" t="s">
        <v>1672</v>
      </c>
    </row>
    <row r="113" spans="1:8" x14ac:dyDescent="0.3">
      <c r="A113" t="s">
        <v>2139</v>
      </c>
      <c r="B113" t="s">
        <v>1924</v>
      </c>
      <c r="C113" t="s">
        <v>974</v>
      </c>
      <c r="D113" t="s">
        <v>2140</v>
      </c>
      <c r="E113">
        <v>0</v>
      </c>
      <c r="F113">
        <v>0.01</v>
      </c>
      <c r="G113" t="s">
        <v>927</v>
      </c>
      <c r="H113" t="s">
        <v>1673</v>
      </c>
    </row>
    <row r="114" spans="1:8" x14ac:dyDescent="0.3">
      <c r="A114" t="s">
        <v>2141</v>
      </c>
      <c r="B114" t="s">
        <v>1924</v>
      </c>
      <c r="C114" t="s">
        <v>974</v>
      </c>
      <c r="D114" t="s">
        <v>2142</v>
      </c>
      <c r="E114">
        <v>0</v>
      </c>
      <c r="F114">
        <v>0.01</v>
      </c>
      <c r="G114" t="s">
        <v>927</v>
      </c>
      <c r="H114" t="s">
        <v>1673</v>
      </c>
    </row>
    <row r="115" spans="1:8" x14ac:dyDescent="0.3">
      <c r="A115" t="s">
        <v>2143</v>
      </c>
      <c r="B115" t="s">
        <v>1924</v>
      </c>
      <c r="C115" t="s">
        <v>974</v>
      </c>
      <c r="D115" t="s">
        <v>2144</v>
      </c>
      <c r="E115">
        <v>0</v>
      </c>
      <c r="F115">
        <v>0.01</v>
      </c>
      <c r="G115" t="s">
        <v>927</v>
      </c>
      <c r="H115" t="s">
        <v>1673</v>
      </c>
    </row>
    <row r="116" spans="1:8" x14ac:dyDescent="0.3">
      <c r="A116" t="s">
        <v>2145</v>
      </c>
      <c r="B116" t="s">
        <v>1924</v>
      </c>
      <c r="C116" t="s">
        <v>974</v>
      </c>
      <c r="D116" t="s">
        <v>2146</v>
      </c>
      <c r="E116">
        <v>0</v>
      </c>
      <c r="F116">
        <v>0.01</v>
      </c>
      <c r="G116" t="s">
        <v>927</v>
      </c>
      <c r="H116" t="s">
        <v>1673</v>
      </c>
    </row>
    <row r="117" spans="1:8" x14ac:dyDescent="0.3">
      <c r="A117" t="s">
        <v>2147</v>
      </c>
      <c r="B117" t="s">
        <v>1924</v>
      </c>
      <c r="C117" t="s">
        <v>974</v>
      </c>
      <c r="D117" t="s">
        <v>2148</v>
      </c>
      <c r="E117">
        <v>0</v>
      </c>
      <c r="F117">
        <v>0.01</v>
      </c>
      <c r="G117" t="s">
        <v>927</v>
      </c>
      <c r="H117" t="s">
        <v>1673</v>
      </c>
    </row>
    <row r="118" spans="1:8" x14ac:dyDescent="0.3">
      <c r="A118" t="s">
        <v>2149</v>
      </c>
      <c r="B118" t="s">
        <v>1933</v>
      </c>
      <c r="C118" t="s">
        <v>974</v>
      </c>
      <c r="D118" t="s">
        <v>2150</v>
      </c>
      <c r="E118">
        <v>0</v>
      </c>
      <c r="F118">
        <v>0.01</v>
      </c>
      <c r="G118" t="s">
        <v>927</v>
      </c>
      <c r="H118" t="s">
        <v>1673</v>
      </c>
    </row>
    <row r="119" spans="1:8" x14ac:dyDescent="0.3">
      <c r="A119" t="s">
        <v>2151</v>
      </c>
      <c r="B119" t="s">
        <v>1868</v>
      </c>
      <c r="C119" t="s">
        <v>25</v>
      </c>
      <c r="D119" t="s">
        <v>2152</v>
      </c>
      <c r="E119">
        <v>0</v>
      </c>
      <c r="F119">
        <v>0</v>
      </c>
      <c r="G119" t="s">
        <v>927</v>
      </c>
      <c r="H119" t="s">
        <v>888</v>
      </c>
    </row>
    <row r="120" spans="1:8" x14ac:dyDescent="0.3">
      <c r="A120" t="s">
        <v>2153</v>
      </c>
      <c r="B120" t="s">
        <v>1868</v>
      </c>
      <c r="C120" t="s">
        <v>25</v>
      </c>
      <c r="D120" t="s">
        <v>2154</v>
      </c>
      <c r="E120">
        <v>0</v>
      </c>
      <c r="F120">
        <v>0</v>
      </c>
      <c r="G120" t="s">
        <v>927</v>
      </c>
      <c r="H120" t="s">
        <v>888</v>
      </c>
    </row>
    <row r="121" spans="1:8" x14ac:dyDescent="0.3">
      <c r="A121" t="s">
        <v>2155</v>
      </c>
      <c r="B121" t="s">
        <v>1868</v>
      </c>
      <c r="C121" t="s">
        <v>25</v>
      </c>
      <c r="D121" t="s">
        <v>2156</v>
      </c>
      <c r="E121">
        <v>0</v>
      </c>
      <c r="F121">
        <v>0</v>
      </c>
      <c r="G121" t="s">
        <v>927</v>
      </c>
      <c r="H121" t="s">
        <v>888</v>
      </c>
    </row>
    <row r="122" spans="1:8" x14ac:dyDescent="0.3">
      <c r="A122" t="s">
        <v>2157</v>
      </c>
      <c r="B122" t="s">
        <v>1868</v>
      </c>
      <c r="C122" t="s">
        <v>25</v>
      </c>
      <c r="D122" t="s">
        <v>2158</v>
      </c>
      <c r="E122">
        <v>0</v>
      </c>
      <c r="F122">
        <v>0</v>
      </c>
      <c r="G122" t="s">
        <v>927</v>
      </c>
      <c r="H122" t="s">
        <v>888</v>
      </c>
    </row>
    <row r="123" spans="1:8" x14ac:dyDescent="0.3">
      <c r="A123" t="s">
        <v>2159</v>
      </c>
      <c r="B123" t="s">
        <v>1868</v>
      </c>
      <c r="C123" t="s">
        <v>25</v>
      </c>
      <c r="D123" t="s">
        <v>2160</v>
      </c>
      <c r="E123">
        <v>0</v>
      </c>
      <c r="F123">
        <v>0</v>
      </c>
      <c r="G123" t="s">
        <v>927</v>
      </c>
      <c r="H123" t="s">
        <v>888</v>
      </c>
    </row>
    <row r="124" spans="1:8" x14ac:dyDescent="0.3">
      <c r="A124" t="s">
        <v>2161</v>
      </c>
      <c r="B124" t="s">
        <v>1868</v>
      </c>
      <c r="C124" t="s">
        <v>25</v>
      </c>
      <c r="D124" t="s">
        <v>2162</v>
      </c>
      <c r="E124">
        <v>0</v>
      </c>
      <c r="F124">
        <v>0</v>
      </c>
      <c r="G124" t="s">
        <v>927</v>
      </c>
      <c r="H124" t="s">
        <v>888</v>
      </c>
    </row>
    <row r="125" spans="1:8" x14ac:dyDescent="0.3">
      <c r="A125" t="s">
        <v>2163</v>
      </c>
      <c r="B125" t="s">
        <v>1868</v>
      </c>
      <c r="C125" t="s">
        <v>25</v>
      </c>
      <c r="D125" t="s">
        <v>2164</v>
      </c>
      <c r="E125">
        <v>0</v>
      </c>
      <c r="F125">
        <v>0</v>
      </c>
      <c r="G125" t="s">
        <v>927</v>
      </c>
      <c r="H125" t="s">
        <v>888</v>
      </c>
    </row>
    <row r="126" spans="1:8" x14ac:dyDescent="0.3">
      <c r="A126" t="s">
        <v>2165</v>
      </c>
      <c r="B126" t="s">
        <v>1868</v>
      </c>
      <c r="C126" t="s">
        <v>25</v>
      </c>
      <c r="D126" t="s">
        <v>2166</v>
      </c>
      <c r="E126">
        <v>0</v>
      </c>
      <c r="F126">
        <v>0</v>
      </c>
      <c r="G126" t="s">
        <v>927</v>
      </c>
      <c r="H126" t="s">
        <v>888</v>
      </c>
    </row>
    <row r="127" spans="1:8" x14ac:dyDescent="0.3">
      <c r="A127" t="s">
        <v>2167</v>
      </c>
      <c r="B127" t="s">
        <v>1162</v>
      </c>
      <c r="C127" t="s">
        <v>25</v>
      </c>
      <c r="D127" t="s">
        <v>2168</v>
      </c>
      <c r="E127">
        <v>0</v>
      </c>
      <c r="F127">
        <v>0.01</v>
      </c>
      <c r="G127" t="s">
        <v>927</v>
      </c>
      <c r="H127" t="s">
        <v>891</v>
      </c>
    </row>
    <row r="128" spans="1:8" x14ac:dyDescent="0.3">
      <c r="A128" t="s">
        <v>2169</v>
      </c>
      <c r="B128" t="s">
        <v>1162</v>
      </c>
      <c r="C128" t="s">
        <v>974</v>
      </c>
      <c r="D128" t="s">
        <v>2168</v>
      </c>
      <c r="E128">
        <v>0</v>
      </c>
      <c r="F128">
        <v>0.01</v>
      </c>
      <c r="G128" t="s">
        <v>927</v>
      </c>
      <c r="H128" t="s">
        <v>891</v>
      </c>
    </row>
    <row r="129" spans="1:8" x14ac:dyDescent="0.3">
      <c r="A129" t="s">
        <v>2170</v>
      </c>
      <c r="B129" t="s">
        <v>1162</v>
      </c>
      <c r="C129" t="s">
        <v>975</v>
      </c>
      <c r="D129" t="s">
        <v>2168</v>
      </c>
      <c r="E129">
        <v>0</v>
      </c>
      <c r="F129">
        <v>0.01</v>
      </c>
      <c r="G129" t="s">
        <v>927</v>
      </c>
      <c r="H129" t="s">
        <v>891</v>
      </c>
    </row>
    <row r="130" spans="1:8" x14ac:dyDescent="0.3">
      <c r="A130" t="s">
        <v>2171</v>
      </c>
      <c r="B130" t="s">
        <v>1162</v>
      </c>
      <c r="C130" t="s">
        <v>976</v>
      </c>
      <c r="D130" t="s">
        <v>2168</v>
      </c>
      <c r="E130">
        <v>0</v>
      </c>
      <c r="F130">
        <v>0.01</v>
      </c>
      <c r="G130" t="s">
        <v>927</v>
      </c>
      <c r="H130" t="s">
        <v>891</v>
      </c>
    </row>
    <row r="131" spans="1:8" x14ac:dyDescent="0.3">
      <c r="A131" t="s">
        <v>2172</v>
      </c>
      <c r="B131" t="s">
        <v>864</v>
      </c>
      <c r="C131" t="s">
        <v>976</v>
      </c>
      <c r="D131" t="s">
        <v>2173</v>
      </c>
      <c r="E131">
        <v>0</v>
      </c>
      <c r="F131">
        <v>0</v>
      </c>
      <c r="G131" t="s">
        <v>927</v>
      </c>
      <c r="H131" t="s">
        <v>2174</v>
      </c>
    </row>
    <row r="132" spans="1:8" x14ac:dyDescent="0.3">
      <c r="A132" t="s">
        <v>2175</v>
      </c>
      <c r="B132" t="s">
        <v>1933</v>
      </c>
      <c r="C132" t="s">
        <v>976</v>
      </c>
      <c r="D132" t="s">
        <v>2176</v>
      </c>
      <c r="E132">
        <v>0</v>
      </c>
      <c r="F132">
        <v>0.01</v>
      </c>
      <c r="G132" t="s">
        <v>927</v>
      </c>
      <c r="H132" t="s">
        <v>2177</v>
      </c>
    </row>
    <row r="133" spans="1:8" x14ac:dyDescent="0.3">
      <c r="A133" t="s">
        <v>2178</v>
      </c>
      <c r="B133" t="s">
        <v>2179</v>
      </c>
      <c r="C133" t="s">
        <v>976</v>
      </c>
      <c r="D133" t="s">
        <v>2180</v>
      </c>
      <c r="E133">
        <v>0</v>
      </c>
      <c r="F133">
        <v>0.01</v>
      </c>
      <c r="G133" t="s">
        <v>927</v>
      </c>
      <c r="H133" t="s">
        <v>2181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43"/>
  <sheetViews>
    <sheetView workbookViewId="0"/>
  </sheetViews>
  <sheetFormatPr defaultRowHeight="14.4" x14ac:dyDescent="0.3"/>
  <cols>
    <col min="1" max="8" width="16" customWidth="1"/>
  </cols>
  <sheetData>
    <row r="1" spans="1:8" ht="18" x14ac:dyDescent="0.35">
      <c r="A1" s="49" t="s">
        <v>2182</v>
      </c>
      <c r="B1" s="49"/>
      <c r="C1" s="49"/>
      <c r="D1" s="49"/>
      <c r="E1" s="49"/>
      <c r="F1" s="49"/>
      <c r="G1" s="49"/>
      <c r="H1" s="49"/>
    </row>
    <row r="2" spans="1:8" x14ac:dyDescent="0.3">
      <c r="A2" t="s">
        <v>2183</v>
      </c>
    </row>
    <row r="3" spans="1:8" x14ac:dyDescent="0.3">
      <c r="A3" t="s">
        <v>956</v>
      </c>
      <c r="B3" t="s">
        <v>2184</v>
      </c>
      <c r="C3" t="s">
        <v>2185</v>
      </c>
      <c r="D3" t="s">
        <v>1149</v>
      </c>
      <c r="E3" t="s">
        <v>1134</v>
      </c>
      <c r="F3" t="s">
        <v>978</v>
      </c>
      <c r="G3" t="s">
        <v>1154</v>
      </c>
      <c r="H3" t="s">
        <v>2186</v>
      </c>
    </row>
    <row r="4" spans="1:8" x14ac:dyDescent="0.3">
      <c r="A4" t="s">
        <v>1675</v>
      </c>
      <c r="B4" t="s">
        <v>1678</v>
      </c>
      <c r="C4">
        <v>741932</v>
      </c>
      <c r="D4" t="s">
        <v>1679</v>
      </c>
      <c r="E4" t="s">
        <v>980</v>
      </c>
      <c r="F4" t="s">
        <v>926</v>
      </c>
      <c r="G4" t="s">
        <v>1166</v>
      </c>
      <c r="H4" t="s">
        <v>1681</v>
      </c>
    </row>
    <row r="5" spans="1:8" x14ac:dyDescent="0.3">
      <c r="A5" t="s">
        <v>1675</v>
      </c>
      <c r="B5" t="s">
        <v>1682</v>
      </c>
      <c r="C5">
        <v>173520635</v>
      </c>
      <c r="D5" t="s">
        <v>1679</v>
      </c>
      <c r="E5" t="s">
        <v>980</v>
      </c>
      <c r="F5" t="s">
        <v>926</v>
      </c>
      <c r="G5" t="s">
        <v>1166</v>
      </c>
      <c r="H5" t="s">
        <v>1681</v>
      </c>
    </row>
    <row r="6" spans="1:8" x14ac:dyDescent="0.3">
      <c r="A6" t="s">
        <v>1675</v>
      </c>
      <c r="B6" t="s">
        <v>1683</v>
      </c>
      <c r="C6">
        <v>4359</v>
      </c>
      <c r="D6" t="s">
        <v>1679</v>
      </c>
      <c r="E6" t="s">
        <v>980</v>
      </c>
      <c r="F6" t="s">
        <v>926</v>
      </c>
      <c r="G6" t="s">
        <v>1166</v>
      </c>
      <c r="H6" t="s">
        <v>1681</v>
      </c>
    </row>
    <row r="7" spans="1:8" x14ac:dyDescent="0.3">
      <c r="A7" t="s">
        <v>1684</v>
      </c>
      <c r="B7" t="s">
        <v>1686</v>
      </c>
      <c r="C7">
        <v>78270032</v>
      </c>
      <c r="D7" t="s">
        <v>1687</v>
      </c>
      <c r="E7" t="s">
        <v>981</v>
      </c>
      <c r="F7" t="s">
        <v>982</v>
      </c>
      <c r="G7" t="s">
        <v>1166</v>
      </c>
      <c r="H7" t="s">
        <v>1689</v>
      </c>
    </row>
    <row r="8" spans="1:8" x14ac:dyDescent="0.3">
      <c r="A8" t="s">
        <v>1690</v>
      </c>
      <c r="B8" t="s">
        <v>1276</v>
      </c>
      <c r="C8">
        <v>1688457915</v>
      </c>
      <c r="D8" t="s">
        <v>1692</v>
      </c>
      <c r="E8" t="s">
        <v>983</v>
      </c>
      <c r="F8" t="s">
        <v>984</v>
      </c>
      <c r="G8" t="s">
        <v>1166</v>
      </c>
      <c r="H8" t="s">
        <v>1693</v>
      </c>
    </row>
    <row r="9" spans="1:8" x14ac:dyDescent="0.3">
      <c r="A9" t="s">
        <v>1690</v>
      </c>
      <c r="B9" t="s">
        <v>1695</v>
      </c>
      <c r="C9">
        <v>242950000</v>
      </c>
      <c r="D9" t="s">
        <v>1696</v>
      </c>
      <c r="E9" t="s">
        <v>985</v>
      </c>
      <c r="F9" t="s">
        <v>986</v>
      </c>
      <c r="G9" t="s">
        <v>1166</v>
      </c>
      <c r="H9" t="s">
        <v>1693</v>
      </c>
    </row>
    <row r="10" spans="1:8" x14ac:dyDescent="0.3">
      <c r="A10" t="s">
        <v>1690</v>
      </c>
      <c r="B10" t="s">
        <v>1698</v>
      </c>
      <c r="C10">
        <v>31353229</v>
      </c>
      <c r="D10" t="s">
        <v>1696</v>
      </c>
      <c r="E10" t="s">
        <v>985</v>
      </c>
      <c r="F10" t="s">
        <v>986</v>
      </c>
      <c r="G10" t="s">
        <v>1166</v>
      </c>
      <c r="H10" t="s">
        <v>1693</v>
      </c>
    </row>
    <row r="11" spans="1:8" x14ac:dyDescent="0.3">
      <c r="A11" t="s">
        <v>1690</v>
      </c>
      <c r="B11" t="s">
        <v>1700</v>
      </c>
      <c r="C11">
        <v>2189636620</v>
      </c>
      <c r="D11" t="s">
        <v>1701</v>
      </c>
      <c r="E11" t="s">
        <v>989</v>
      </c>
      <c r="F11" t="s">
        <v>990</v>
      </c>
      <c r="G11" t="s">
        <v>1192</v>
      </c>
      <c r="H11" t="s">
        <v>1703</v>
      </c>
    </row>
    <row r="12" spans="1:8" x14ac:dyDescent="0.3">
      <c r="A12" t="s">
        <v>1690</v>
      </c>
      <c r="B12" t="s">
        <v>1705</v>
      </c>
      <c r="C12">
        <v>866147225</v>
      </c>
      <c r="D12" t="s">
        <v>1706</v>
      </c>
      <c r="E12" t="s">
        <v>987</v>
      </c>
      <c r="F12" t="s">
        <v>988</v>
      </c>
      <c r="G12" t="s">
        <v>1166</v>
      </c>
      <c r="H12" t="s">
        <v>1693</v>
      </c>
    </row>
    <row r="13" spans="1:8" x14ac:dyDescent="0.3">
      <c r="A13" t="s">
        <v>1690</v>
      </c>
      <c r="B13" t="s">
        <v>1708</v>
      </c>
      <c r="C13">
        <v>199609971</v>
      </c>
      <c r="D13" t="s">
        <v>1701</v>
      </c>
      <c r="E13" t="s">
        <v>989</v>
      </c>
      <c r="F13" t="s">
        <v>990</v>
      </c>
      <c r="G13" t="s">
        <v>1192</v>
      </c>
      <c r="H13" t="s">
        <v>1703</v>
      </c>
    </row>
    <row r="14" spans="1:8" x14ac:dyDescent="0.3">
      <c r="A14" t="s">
        <v>1709</v>
      </c>
      <c r="B14" t="s">
        <v>1711</v>
      </c>
      <c r="C14">
        <v>50000000</v>
      </c>
      <c r="D14" t="s">
        <v>1712</v>
      </c>
      <c r="E14" t="s">
        <v>995</v>
      </c>
      <c r="F14" t="s">
        <v>996</v>
      </c>
      <c r="G14" t="s">
        <v>1166</v>
      </c>
      <c r="H14" t="s">
        <v>1713</v>
      </c>
    </row>
    <row r="15" spans="1:8" x14ac:dyDescent="0.3">
      <c r="A15" t="s">
        <v>1709</v>
      </c>
      <c r="B15" t="s">
        <v>1714</v>
      </c>
      <c r="C15">
        <v>43274339</v>
      </c>
      <c r="D15" t="s">
        <v>1712</v>
      </c>
      <c r="E15" t="s">
        <v>995</v>
      </c>
      <c r="F15" t="s">
        <v>996</v>
      </c>
      <c r="G15" t="s">
        <v>1166</v>
      </c>
      <c r="H15" t="s">
        <v>1713</v>
      </c>
    </row>
    <row r="16" spans="1:8" x14ac:dyDescent="0.3">
      <c r="A16" t="s">
        <v>1709</v>
      </c>
      <c r="B16" t="s">
        <v>1715</v>
      </c>
      <c r="C16">
        <v>182019186</v>
      </c>
      <c r="D16" t="s">
        <v>1712</v>
      </c>
      <c r="E16" t="s">
        <v>995</v>
      </c>
      <c r="F16" t="s">
        <v>996</v>
      </c>
      <c r="G16" t="s">
        <v>1166</v>
      </c>
      <c r="H16" t="s">
        <v>1713</v>
      </c>
    </row>
    <row r="17" spans="1:8" x14ac:dyDescent="0.3">
      <c r="A17" t="s">
        <v>1709</v>
      </c>
      <c r="B17" t="s">
        <v>998</v>
      </c>
      <c r="C17">
        <v>-49318012</v>
      </c>
      <c r="D17" t="s">
        <v>1717</v>
      </c>
      <c r="E17" t="s">
        <v>997</v>
      </c>
      <c r="F17" t="s">
        <v>998</v>
      </c>
      <c r="G17" t="s">
        <v>1166</v>
      </c>
      <c r="H17" t="s">
        <v>1713</v>
      </c>
    </row>
    <row r="18" spans="1:8" x14ac:dyDescent="0.3">
      <c r="A18" t="s">
        <v>1709</v>
      </c>
      <c r="B18" t="s">
        <v>1719</v>
      </c>
      <c r="C18">
        <v>410000000</v>
      </c>
      <c r="D18" t="s">
        <v>1720</v>
      </c>
      <c r="E18" t="s">
        <v>999</v>
      </c>
      <c r="F18" t="s">
        <v>1000</v>
      </c>
      <c r="G18" t="s">
        <v>1166</v>
      </c>
      <c r="H18" t="s">
        <v>1713</v>
      </c>
    </row>
    <row r="19" spans="1:8" x14ac:dyDescent="0.3">
      <c r="A19" t="s">
        <v>1722</v>
      </c>
      <c r="B19" t="s">
        <v>1724</v>
      </c>
      <c r="C19">
        <v>1</v>
      </c>
      <c r="D19" t="s">
        <v>1725</v>
      </c>
      <c r="E19" t="s">
        <v>1001</v>
      </c>
      <c r="F19" t="s">
        <v>1002</v>
      </c>
      <c r="G19" t="s">
        <v>1166</v>
      </c>
      <c r="H19" t="s">
        <v>1728</v>
      </c>
    </row>
    <row r="20" spans="1:8" x14ac:dyDescent="0.3">
      <c r="A20" t="s">
        <v>1729</v>
      </c>
      <c r="B20" t="s">
        <v>1732</v>
      </c>
      <c r="C20">
        <v>104555195</v>
      </c>
      <c r="D20" t="s">
        <v>1733</v>
      </c>
      <c r="E20" t="s">
        <v>1006</v>
      </c>
      <c r="F20" t="s">
        <v>1007</v>
      </c>
      <c r="G20" t="s">
        <v>1166</v>
      </c>
      <c r="H20" t="s">
        <v>1735</v>
      </c>
    </row>
    <row r="21" spans="1:8" x14ac:dyDescent="0.3">
      <c r="A21" t="s">
        <v>1729</v>
      </c>
      <c r="B21" t="s">
        <v>1737</v>
      </c>
      <c r="C21">
        <v>19229474</v>
      </c>
      <c r="D21" t="s">
        <v>1738</v>
      </c>
      <c r="E21" t="s">
        <v>1012</v>
      </c>
      <c r="F21" t="s">
        <v>1013</v>
      </c>
      <c r="G21" t="s">
        <v>1166</v>
      </c>
      <c r="H21" t="s">
        <v>1735</v>
      </c>
    </row>
    <row r="22" spans="1:8" x14ac:dyDescent="0.3">
      <c r="A22" t="s">
        <v>1729</v>
      </c>
      <c r="B22" t="s">
        <v>1015</v>
      </c>
      <c r="C22">
        <v>265675229</v>
      </c>
      <c r="D22" t="s">
        <v>1740</v>
      </c>
      <c r="E22" t="s">
        <v>1014</v>
      </c>
      <c r="F22" t="s">
        <v>1015</v>
      </c>
      <c r="G22" t="s">
        <v>1166</v>
      </c>
      <c r="H22" t="s">
        <v>1735</v>
      </c>
    </row>
    <row r="23" spans="1:8" x14ac:dyDescent="0.3">
      <c r="A23" t="s">
        <v>1729</v>
      </c>
      <c r="B23" t="s">
        <v>1743</v>
      </c>
      <c r="C23">
        <v>2641787281</v>
      </c>
      <c r="D23" t="s">
        <v>1744</v>
      </c>
      <c r="E23" t="s">
        <v>1022</v>
      </c>
      <c r="F23" t="s">
        <v>1023</v>
      </c>
      <c r="G23" t="s">
        <v>1192</v>
      </c>
      <c r="H23" t="s">
        <v>1747</v>
      </c>
    </row>
    <row r="24" spans="1:8" x14ac:dyDescent="0.3">
      <c r="A24" t="s">
        <v>1729</v>
      </c>
      <c r="B24" t="s">
        <v>563</v>
      </c>
      <c r="C24">
        <v>384931931</v>
      </c>
      <c r="D24" t="s">
        <v>1749</v>
      </c>
      <c r="E24" t="s">
        <v>1008</v>
      </c>
      <c r="F24" t="s">
        <v>1009</v>
      </c>
      <c r="G24" t="s">
        <v>1166</v>
      </c>
      <c r="H24" t="s">
        <v>1735</v>
      </c>
    </row>
    <row r="25" spans="1:8" x14ac:dyDescent="0.3">
      <c r="A25" t="s">
        <v>1729</v>
      </c>
      <c r="B25" t="s">
        <v>1751</v>
      </c>
      <c r="C25">
        <v>18828373</v>
      </c>
      <c r="D25" t="s">
        <v>1752</v>
      </c>
      <c r="E25" t="s">
        <v>1010</v>
      </c>
      <c r="F25" t="s">
        <v>1011</v>
      </c>
      <c r="G25" t="s">
        <v>1166</v>
      </c>
      <c r="H25" t="s">
        <v>1735</v>
      </c>
    </row>
    <row r="26" spans="1:8" x14ac:dyDescent="0.3">
      <c r="A26" t="s">
        <v>1722</v>
      </c>
      <c r="B26" t="s">
        <v>1754</v>
      </c>
      <c r="C26">
        <v>1</v>
      </c>
      <c r="D26" t="s">
        <v>1755</v>
      </c>
      <c r="E26" t="s">
        <v>1018</v>
      </c>
      <c r="F26" t="s">
        <v>1002</v>
      </c>
      <c r="G26" t="s">
        <v>1166</v>
      </c>
      <c r="H26" t="s">
        <v>1728</v>
      </c>
    </row>
    <row r="27" spans="1:8" x14ac:dyDescent="0.3">
      <c r="A27" t="s">
        <v>1756</v>
      </c>
      <c r="B27" t="s">
        <v>936</v>
      </c>
      <c r="C27">
        <v>830909000</v>
      </c>
      <c r="D27" t="s">
        <v>1758</v>
      </c>
      <c r="E27" t="s">
        <v>1028</v>
      </c>
      <c r="F27" t="s">
        <v>1029</v>
      </c>
      <c r="G27" t="s">
        <v>1166</v>
      </c>
      <c r="H27" t="s">
        <v>1760</v>
      </c>
    </row>
    <row r="28" spans="1:8" x14ac:dyDescent="0.3">
      <c r="A28" t="s">
        <v>1756</v>
      </c>
      <c r="B28" t="s">
        <v>937</v>
      </c>
      <c r="C28">
        <v>379430000</v>
      </c>
      <c r="D28" t="s">
        <v>1762</v>
      </c>
      <c r="E28" t="s">
        <v>1030</v>
      </c>
      <c r="F28" t="s">
        <v>937</v>
      </c>
      <c r="G28" t="s">
        <v>1166</v>
      </c>
      <c r="H28" t="s">
        <v>1760</v>
      </c>
    </row>
    <row r="29" spans="1:8" x14ac:dyDescent="0.3">
      <c r="A29" t="s">
        <v>1756</v>
      </c>
      <c r="B29" t="s">
        <v>938</v>
      </c>
      <c r="C29">
        <v>1214592672</v>
      </c>
      <c r="D29" t="s">
        <v>1765</v>
      </c>
      <c r="E29" t="s">
        <v>1031</v>
      </c>
      <c r="F29" t="s">
        <v>1032</v>
      </c>
      <c r="G29" t="s">
        <v>1166</v>
      </c>
      <c r="H29" t="s">
        <v>1760</v>
      </c>
    </row>
    <row r="30" spans="1:8" x14ac:dyDescent="0.3">
      <c r="A30" t="s">
        <v>1756</v>
      </c>
      <c r="B30" t="s">
        <v>939</v>
      </c>
      <c r="C30">
        <v>246728277</v>
      </c>
      <c r="D30" t="s">
        <v>1767</v>
      </c>
      <c r="E30" t="s">
        <v>1035</v>
      </c>
      <c r="F30" t="s">
        <v>1768</v>
      </c>
      <c r="G30" t="s">
        <v>1166</v>
      </c>
      <c r="H30" t="s">
        <v>1760</v>
      </c>
    </row>
    <row r="31" spans="1:8" x14ac:dyDescent="0.3">
      <c r="A31" t="s">
        <v>1722</v>
      </c>
      <c r="B31" t="s">
        <v>1770</v>
      </c>
      <c r="C31">
        <v>-1</v>
      </c>
      <c r="D31" t="s">
        <v>1771</v>
      </c>
      <c r="E31" t="s">
        <v>1040</v>
      </c>
      <c r="F31" t="s">
        <v>1773</v>
      </c>
      <c r="G31" t="s">
        <v>1166</v>
      </c>
      <c r="H31" t="s">
        <v>1775</v>
      </c>
    </row>
    <row r="32" spans="1:8" x14ac:dyDescent="0.3">
      <c r="A32" t="s">
        <v>1776</v>
      </c>
      <c r="B32" t="s">
        <v>943</v>
      </c>
      <c r="C32">
        <v>5615511389</v>
      </c>
      <c r="D32" t="s">
        <v>1778</v>
      </c>
      <c r="E32" t="s">
        <v>1048</v>
      </c>
      <c r="F32" t="s">
        <v>1049</v>
      </c>
      <c r="G32" t="s">
        <v>1166</v>
      </c>
      <c r="H32" t="s">
        <v>1780</v>
      </c>
    </row>
    <row r="33" spans="1:8" x14ac:dyDescent="0.3">
      <c r="A33" t="s">
        <v>1776</v>
      </c>
      <c r="B33" t="s">
        <v>944</v>
      </c>
      <c r="C33">
        <v>-463278090</v>
      </c>
      <c r="D33" t="s">
        <v>1782</v>
      </c>
      <c r="E33" t="s">
        <v>1050</v>
      </c>
      <c r="F33" t="s">
        <v>944</v>
      </c>
      <c r="G33" t="s">
        <v>1166</v>
      </c>
      <c r="H33" t="s">
        <v>1780</v>
      </c>
    </row>
    <row r="34" spans="1:8" x14ac:dyDescent="0.3">
      <c r="A34" t="s">
        <v>1785</v>
      </c>
      <c r="B34" t="s">
        <v>1787</v>
      </c>
      <c r="C34">
        <v>2442623347</v>
      </c>
      <c r="D34" t="s">
        <v>1788</v>
      </c>
      <c r="E34" t="s">
        <v>1054</v>
      </c>
      <c r="F34" t="s">
        <v>945</v>
      </c>
      <c r="G34" t="s">
        <v>1166</v>
      </c>
      <c r="H34" t="s">
        <v>1790</v>
      </c>
    </row>
    <row r="35" spans="1:8" x14ac:dyDescent="0.3">
      <c r="A35" t="s">
        <v>1791</v>
      </c>
      <c r="B35" t="s">
        <v>1793</v>
      </c>
      <c r="C35">
        <v>-1</v>
      </c>
      <c r="D35" t="s">
        <v>1794</v>
      </c>
      <c r="E35" t="s">
        <v>1056</v>
      </c>
      <c r="F35" t="s">
        <v>1796</v>
      </c>
      <c r="G35" t="s">
        <v>1166</v>
      </c>
      <c r="H35" t="s">
        <v>1798</v>
      </c>
    </row>
    <row r="36" spans="1:8" x14ac:dyDescent="0.3">
      <c r="A36" t="s">
        <v>1799</v>
      </c>
      <c r="B36" t="s">
        <v>947</v>
      </c>
      <c r="C36">
        <v>797478918</v>
      </c>
      <c r="D36" t="s">
        <v>1801</v>
      </c>
      <c r="E36" t="s">
        <v>1085</v>
      </c>
      <c r="F36" t="s">
        <v>1086</v>
      </c>
      <c r="G36" t="s">
        <v>1166</v>
      </c>
      <c r="H36" t="s">
        <v>1803</v>
      </c>
    </row>
    <row r="37" spans="1:8" x14ac:dyDescent="0.3">
      <c r="A37" t="s">
        <v>1799</v>
      </c>
      <c r="B37" t="s">
        <v>948</v>
      </c>
      <c r="C37">
        <v>959736563</v>
      </c>
      <c r="D37" t="s">
        <v>1805</v>
      </c>
      <c r="E37" t="s">
        <v>1107</v>
      </c>
      <c r="F37" t="s">
        <v>1108</v>
      </c>
      <c r="G37" t="s">
        <v>1166</v>
      </c>
      <c r="H37" t="s">
        <v>1803</v>
      </c>
    </row>
    <row r="38" spans="1:8" x14ac:dyDescent="0.3">
      <c r="A38" t="s">
        <v>1799</v>
      </c>
      <c r="B38" t="s">
        <v>949</v>
      </c>
      <c r="C38">
        <v>676358287</v>
      </c>
      <c r="D38" t="s">
        <v>1808</v>
      </c>
      <c r="E38" t="s">
        <v>1090</v>
      </c>
      <c r="F38" t="s">
        <v>1091</v>
      </c>
      <c r="G38" t="s">
        <v>1166</v>
      </c>
      <c r="H38" t="s">
        <v>1803</v>
      </c>
    </row>
    <row r="39" spans="1:8" x14ac:dyDescent="0.3">
      <c r="A39" t="s">
        <v>1791</v>
      </c>
      <c r="B39" t="s">
        <v>1812</v>
      </c>
      <c r="C39">
        <v>1</v>
      </c>
      <c r="D39" t="s">
        <v>1813</v>
      </c>
      <c r="E39" t="s">
        <v>1111</v>
      </c>
      <c r="F39" t="s">
        <v>1814</v>
      </c>
      <c r="G39" t="s">
        <v>1166</v>
      </c>
      <c r="H39" t="s">
        <v>1815</v>
      </c>
    </row>
    <row r="40" spans="1:8" x14ac:dyDescent="0.3">
      <c r="A40" t="s">
        <v>1816</v>
      </c>
      <c r="B40" t="s">
        <v>1818</v>
      </c>
      <c r="C40">
        <v>10800447</v>
      </c>
      <c r="D40" t="s">
        <v>1819</v>
      </c>
      <c r="E40" t="s">
        <v>1118</v>
      </c>
      <c r="F40" t="s">
        <v>1119</v>
      </c>
      <c r="G40" t="s">
        <v>1166</v>
      </c>
      <c r="H40" t="s">
        <v>1820</v>
      </c>
    </row>
    <row r="41" spans="1:8" x14ac:dyDescent="0.3">
      <c r="A41" t="s">
        <v>1821</v>
      </c>
      <c r="B41" t="s">
        <v>1823</v>
      </c>
      <c r="C41">
        <v>40108353</v>
      </c>
      <c r="D41" t="s">
        <v>1824</v>
      </c>
      <c r="E41" t="s">
        <v>1123</v>
      </c>
      <c r="F41" t="s">
        <v>717</v>
      </c>
      <c r="G41" t="s">
        <v>1166</v>
      </c>
      <c r="H41" t="s">
        <v>1826</v>
      </c>
    </row>
    <row r="42" spans="1:8" x14ac:dyDescent="0.3">
      <c r="A42" t="s">
        <v>964</v>
      </c>
      <c r="B42" t="s">
        <v>1125</v>
      </c>
      <c r="C42">
        <v>0</v>
      </c>
      <c r="D42" t="s">
        <v>1828</v>
      </c>
      <c r="E42" t="s">
        <v>1124</v>
      </c>
      <c r="F42" t="s">
        <v>1125</v>
      </c>
      <c r="G42" t="s">
        <v>1166</v>
      </c>
      <c r="H42" t="s">
        <v>1830</v>
      </c>
    </row>
    <row r="43" spans="1:8" x14ac:dyDescent="0.3">
      <c r="A43" t="s">
        <v>1791</v>
      </c>
      <c r="B43" t="s">
        <v>1832</v>
      </c>
      <c r="C43">
        <v>1</v>
      </c>
      <c r="D43" t="s">
        <v>1833</v>
      </c>
      <c r="E43" t="s">
        <v>1128</v>
      </c>
      <c r="F43" t="s">
        <v>1834</v>
      </c>
      <c r="G43" t="s">
        <v>1166</v>
      </c>
      <c r="H43" t="s">
        <v>1835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25"/>
  <sheetViews>
    <sheetView workbookViewId="0"/>
  </sheetViews>
  <sheetFormatPr defaultRowHeight="14.4" x14ac:dyDescent="0.3"/>
  <cols>
    <col min="1" max="8" width="16" customWidth="1"/>
  </cols>
  <sheetData>
    <row r="1" spans="1:8" ht="18" x14ac:dyDescent="0.35">
      <c r="A1" s="49" t="s">
        <v>2187</v>
      </c>
      <c r="B1" s="49"/>
      <c r="C1" s="49"/>
      <c r="D1" s="49"/>
      <c r="E1" s="49"/>
      <c r="F1" s="49"/>
      <c r="G1" s="49"/>
      <c r="H1" s="49"/>
    </row>
    <row r="2" spans="1:8" x14ac:dyDescent="0.3">
      <c r="A2" t="s">
        <v>2188</v>
      </c>
    </row>
    <row r="3" spans="1:8" x14ac:dyDescent="0.3">
      <c r="A3" s="48" t="s">
        <v>2189</v>
      </c>
      <c r="B3" s="48" t="s">
        <v>916</v>
      </c>
      <c r="C3" s="48" t="s">
        <v>28</v>
      </c>
      <c r="D3" s="48" t="s">
        <v>18</v>
      </c>
      <c r="E3" s="48" t="s">
        <v>39</v>
      </c>
      <c r="F3" s="48" t="s">
        <v>6</v>
      </c>
      <c r="G3" s="48" t="s">
        <v>2190</v>
      </c>
      <c r="H3" s="48" t="s">
        <v>925</v>
      </c>
    </row>
    <row r="4" spans="1:8" x14ac:dyDescent="0.3">
      <c r="A4" t="s">
        <v>1157</v>
      </c>
      <c r="B4" t="s">
        <v>976</v>
      </c>
      <c r="C4" t="s">
        <v>658</v>
      </c>
      <c r="D4" t="s">
        <v>553</v>
      </c>
      <c r="E4" t="s">
        <v>496</v>
      </c>
      <c r="F4" t="s">
        <v>2191</v>
      </c>
      <c r="G4">
        <v>58</v>
      </c>
      <c r="H4" t="s">
        <v>2192</v>
      </c>
    </row>
    <row r="5" spans="1:8" x14ac:dyDescent="0.3">
      <c r="A5" t="s">
        <v>1263</v>
      </c>
      <c r="B5" t="s">
        <v>975</v>
      </c>
      <c r="C5" t="s">
        <v>656</v>
      </c>
      <c r="D5" t="s">
        <v>553</v>
      </c>
      <c r="E5" t="s">
        <v>686</v>
      </c>
      <c r="F5" t="s">
        <v>2191</v>
      </c>
      <c r="G5">
        <v>79</v>
      </c>
      <c r="H5" t="s">
        <v>2192</v>
      </c>
    </row>
    <row r="6" spans="1:8" x14ac:dyDescent="0.3">
      <c r="A6" t="s">
        <v>1372</v>
      </c>
      <c r="B6" t="s">
        <v>974</v>
      </c>
      <c r="C6" t="s">
        <v>1373</v>
      </c>
      <c r="D6" t="s">
        <v>553</v>
      </c>
      <c r="E6" t="s">
        <v>496</v>
      </c>
      <c r="F6" t="s">
        <v>2191</v>
      </c>
      <c r="G6">
        <v>151</v>
      </c>
      <c r="H6" t="s">
        <v>2192</v>
      </c>
    </row>
    <row r="7" spans="1:8" x14ac:dyDescent="0.3">
      <c r="A7" t="s">
        <v>1553</v>
      </c>
      <c r="B7" t="s">
        <v>976</v>
      </c>
      <c r="C7" t="s">
        <v>658</v>
      </c>
      <c r="D7" t="s">
        <v>549</v>
      </c>
      <c r="E7" t="s">
        <v>496</v>
      </c>
      <c r="F7" t="s">
        <v>2191</v>
      </c>
      <c r="G7">
        <v>42</v>
      </c>
      <c r="H7" t="s">
        <v>2192</v>
      </c>
    </row>
    <row r="8" spans="1:8" x14ac:dyDescent="0.3">
      <c r="A8" t="s">
        <v>1555</v>
      </c>
      <c r="B8" t="s">
        <v>975</v>
      </c>
      <c r="C8" t="s">
        <v>656</v>
      </c>
      <c r="D8" t="s">
        <v>549</v>
      </c>
      <c r="E8" t="s">
        <v>686</v>
      </c>
      <c r="F8" t="s">
        <v>2191</v>
      </c>
      <c r="G8">
        <v>38</v>
      </c>
      <c r="H8" t="s">
        <v>2192</v>
      </c>
    </row>
    <row r="9" spans="1:8" x14ac:dyDescent="0.3">
      <c r="A9" t="s">
        <v>1558</v>
      </c>
      <c r="B9" t="s">
        <v>974</v>
      </c>
      <c r="C9" t="s">
        <v>1373</v>
      </c>
      <c r="D9" t="s">
        <v>549</v>
      </c>
      <c r="E9" t="s">
        <v>496</v>
      </c>
      <c r="F9" t="s">
        <v>2191</v>
      </c>
      <c r="G9">
        <v>107</v>
      </c>
      <c r="H9" t="s">
        <v>2192</v>
      </c>
    </row>
    <row r="10" spans="1:8" x14ac:dyDescent="0.3">
      <c r="A10" t="s">
        <v>1573</v>
      </c>
      <c r="B10" t="s">
        <v>976</v>
      </c>
      <c r="C10" t="s">
        <v>658</v>
      </c>
      <c r="D10" t="s">
        <v>551</v>
      </c>
      <c r="E10" t="s">
        <v>496</v>
      </c>
      <c r="F10" t="s">
        <v>2193</v>
      </c>
      <c r="G10">
        <v>54</v>
      </c>
      <c r="H10" t="s">
        <v>2192</v>
      </c>
    </row>
    <row r="11" spans="1:8" x14ac:dyDescent="0.3">
      <c r="A11" t="s">
        <v>1576</v>
      </c>
      <c r="B11" t="s">
        <v>975</v>
      </c>
      <c r="C11" t="s">
        <v>656</v>
      </c>
      <c r="D11" t="s">
        <v>551</v>
      </c>
      <c r="E11" t="s">
        <v>686</v>
      </c>
      <c r="F11" t="s">
        <v>2191</v>
      </c>
      <c r="G11">
        <v>56</v>
      </c>
      <c r="H11" t="s">
        <v>2192</v>
      </c>
    </row>
    <row r="12" spans="1:8" x14ac:dyDescent="0.3">
      <c r="A12" t="s">
        <v>1578</v>
      </c>
      <c r="B12" t="s">
        <v>974</v>
      </c>
      <c r="C12" t="s">
        <v>1373</v>
      </c>
      <c r="D12" t="s">
        <v>551</v>
      </c>
      <c r="E12" t="s">
        <v>496</v>
      </c>
      <c r="F12" t="s">
        <v>2191</v>
      </c>
      <c r="G12">
        <v>112</v>
      </c>
      <c r="H12" t="s">
        <v>2192</v>
      </c>
    </row>
    <row r="13" spans="1:8" x14ac:dyDescent="0.3">
      <c r="A13" t="s">
        <v>1583</v>
      </c>
      <c r="B13" t="s">
        <v>975</v>
      </c>
      <c r="C13" t="s">
        <v>656</v>
      </c>
      <c r="D13" t="s">
        <v>624</v>
      </c>
      <c r="E13" t="s">
        <v>686</v>
      </c>
      <c r="F13" t="s">
        <v>2191</v>
      </c>
      <c r="G13">
        <v>107</v>
      </c>
      <c r="H13" t="s">
        <v>2192</v>
      </c>
    </row>
    <row r="14" spans="1:8" x14ac:dyDescent="0.3">
      <c r="A14" t="s">
        <v>1603</v>
      </c>
      <c r="B14" t="s">
        <v>974</v>
      </c>
      <c r="C14" t="s">
        <v>1373</v>
      </c>
      <c r="D14" t="s">
        <v>624</v>
      </c>
      <c r="E14" t="s">
        <v>496</v>
      </c>
      <c r="F14" t="s">
        <v>2191</v>
      </c>
      <c r="G14">
        <v>176</v>
      </c>
      <c r="H14" t="s">
        <v>2192</v>
      </c>
    </row>
    <row r="15" spans="1:8" x14ac:dyDescent="0.3">
      <c r="A15" t="s">
        <v>1656</v>
      </c>
      <c r="B15" t="s">
        <v>976</v>
      </c>
      <c r="C15" t="s">
        <v>658</v>
      </c>
      <c r="D15" t="s">
        <v>603</v>
      </c>
      <c r="E15" t="s">
        <v>496</v>
      </c>
      <c r="F15" t="s">
        <v>2191</v>
      </c>
      <c r="G15">
        <v>61</v>
      </c>
      <c r="H15" t="s">
        <v>2192</v>
      </c>
    </row>
    <row r="16" spans="1:8" x14ac:dyDescent="0.3">
      <c r="A16" t="s">
        <v>1659</v>
      </c>
      <c r="B16" t="s">
        <v>975</v>
      </c>
      <c r="C16" t="s">
        <v>656</v>
      </c>
      <c r="D16" t="s">
        <v>603</v>
      </c>
      <c r="E16" t="s">
        <v>686</v>
      </c>
      <c r="F16" t="s">
        <v>2191</v>
      </c>
      <c r="G16">
        <v>107</v>
      </c>
      <c r="H16" t="s">
        <v>2192</v>
      </c>
    </row>
    <row r="17" spans="1:8" x14ac:dyDescent="0.3">
      <c r="A17" t="s">
        <v>1660</v>
      </c>
      <c r="B17" t="s">
        <v>974</v>
      </c>
      <c r="C17" t="s">
        <v>1373</v>
      </c>
      <c r="D17" t="s">
        <v>603</v>
      </c>
      <c r="E17" t="s">
        <v>496</v>
      </c>
      <c r="F17" t="s">
        <v>2191</v>
      </c>
      <c r="G17">
        <v>172</v>
      </c>
      <c r="H17" t="s">
        <v>2192</v>
      </c>
    </row>
    <row r="18" spans="1:8" x14ac:dyDescent="0.3">
      <c r="A18" t="s">
        <v>1668</v>
      </c>
      <c r="B18" t="s">
        <v>976</v>
      </c>
      <c r="C18" t="s">
        <v>658</v>
      </c>
      <c r="D18" t="s">
        <v>552</v>
      </c>
      <c r="E18" t="s">
        <v>496</v>
      </c>
      <c r="F18" t="s">
        <v>2191</v>
      </c>
      <c r="G18">
        <v>54</v>
      </c>
      <c r="H18" t="s">
        <v>2192</v>
      </c>
    </row>
    <row r="19" spans="1:8" x14ac:dyDescent="0.3">
      <c r="A19" t="s">
        <v>1669</v>
      </c>
      <c r="B19" t="s">
        <v>975</v>
      </c>
      <c r="C19" t="s">
        <v>656</v>
      </c>
      <c r="D19" t="s">
        <v>552</v>
      </c>
      <c r="E19" t="s">
        <v>686</v>
      </c>
      <c r="F19" t="s">
        <v>2193</v>
      </c>
      <c r="G19">
        <v>79</v>
      </c>
      <c r="H19" t="s">
        <v>2192</v>
      </c>
    </row>
    <row r="20" spans="1:8" x14ac:dyDescent="0.3">
      <c r="A20" t="s">
        <v>1670</v>
      </c>
      <c r="B20" t="s">
        <v>974</v>
      </c>
      <c r="C20" t="s">
        <v>1373</v>
      </c>
      <c r="D20" t="s">
        <v>552</v>
      </c>
      <c r="E20" t="s">
        <v>496</v>
      </c>
      <c r="F20" t="s">
        <v>2191</v>
      </c>
      <c r="G20">
        <v>131</v>
      </c>
      <c r="H20" t="s">
        <v>2192</v>
      </c>
    </row>
    <row r="21" spans="1:8" x14ac:dyDescent="0.3">
      <c r="A21" t="s">
        <v>1671</v>
      </c>
      <c r="B21" t="s">
        <v>976</v>
      </c>
      <c r="C21" t="s">
        <v>658</v>
      </c>
      <c r="D21" t="s">
        <v>554</v>
      </c>
      <c r="E21" t="s">
        <v>496</v>
      </c>
      <c r="F21" t="s">
        <v>2191</v>
      </c>
      <c r="G21">
        <v>59</v>
      </c>
      <c r="H21" t="s">
        <v>2192</v>
      </c>
    </row>
    <row r="22" spans="1:8" x14ac:dyDescent="0.3">
      <c r="A22" t="s">
        <v>1672</v>
      </c>
      <c r="B22" t="s">
        <v>975</v>
      </c>
      <c r="C22" t="s">
        <v>656</v>
      </c>
      <c r="D22" t="s">
        <v>554</v>
      </c>
      <c r="E22" t="s">
        <v>686</v>
      </c>
      <c r="F22" t="s">
        <v>2191</v>
      </c>
      <c r="G22">
        <v>89</v>
      </c>
      <c r="H22" t="s">
        <v>2192</v>
      </c>
    </row>
    <row r="23" spans="1:8" x14ac:dyDescent="0.3">
      <c r="A23" t="s">
        <v>1673</v>
      </c>
      <c r="B23" t="s">
        <v>974</v>
      </c>
      <c r="C23" t="s">
        <v>1373</v>
      </c>
      <c r="D23" t="s">
        <v>554</v>
      </c>
      <c r="E23" t="s">
        <v>496</v>
      </c>
      <c r="F23" t="s">
        <v>2191</v>
      </c>
      <c r="G23">
        <v>164</v>
      </c>
      <c r="H23" t="s">
        <v>2192</v>
      </c>
    </row>
    <row r="24" spans="1:8" x14ac:dyDescent="0.3">
      <c r="A24" t="s">
        <v>865</v>
      </c>
      <c r="B24" t="s">
        <v>25</v>
      </c>
      <c r="C24" t="s">
        <v>522</v>
      </c>
      <c r="D24" t="s">
        <v>624</v>
      </c>
      <c r="E24" t="s">
        <v>451</v>
      </c>
      <c r="F24" t="s">
        <v>1842</v>
      </c>
      <c r="G24">
        <v>40</v>
      </c>
      <c r="H24" t="s">
        <v>2194</v>
      </c>
    </row>
    <row r="25" spans="1:8" x14ac:dyDescent="0.3">
      <c r="A25" t="s">
        <v>1836</v>
      </c>
      <c r="B25" t="s">
        <v>976</v>
      </c>
      <c r="C25" t="s">
        <v>658</v>
      </c>
      <c r="D25" t="s">
        <v>624</v>
      </c>
      <c r="E25" t="s">
        <v>496</v>
      </c>
      <c r="F25" t="s">
        <v>2191</v>
      </c>
      <c r="G25">
        <v>25</v>
      </c>
      <c r="H25" t="s">
        <v>2192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10"/>
  <sheetViews>
    <sheetView workbookViewId="0"/>
  </sheetViews>
  <sheetFormatPr defaultRowHeight="14.4" x14ac:dyDescent="0.3"/>
  <cols>
    <col min="1" max="1" width="37" customWidth="1"/>
    <col min="2" max="2" width="38" customWidth="1"/>
  </cols>
  <sheetData>
    <row r="1" spans="1:2" x14ac:dyDescent="0.3">
      <c r="A1" s="50" t="s">
        <v>2195</v>
      </c>
      <c r="B1" s="50" t="s">
        <v>2196</v>
      </c>
    </row>
    <row r="2" spans="1:2" x14ac:dyDescent="0.3">
      <c r="A2" t="s">
        <v>2197</v>
      </c>
      <c r="B2" t="s">
        <v>2198</v>
      </c>
    </row>
    <row r="3" spans="1:2" x14ac:dyDescent="0.3">
      <c r="A3" t="s">
        <v>2199</v>
      </c>
      <c r="B3" t="s">
        <v>2200</v>
      </c>
    </row>
    <row r="4" spans="1:2" x14ac:dyDescent="0.3">
      <c r="A4" t="s">
        <v>2201</v>
      </c>
      <c r="B4" t="s">
        <v>2202</v>
      </c>
    </row>
    <row r="5" spans="1:2" x14ac:dyDescent="0.3">
      <c r="A5" t="s">
        <v>2203</v>
      </c>
      <c r="B5" t="s">
        <v>2204</v>
      </c>
    </row>
    <row r="6" spans="1:2" x14ac:dyDescent="0.3">
      <c r="A6" t="s">
        <v>2205</v>
      </c>
      <c r="B6" t="s">
        <v>2206</v>
      </c>
    </row>
    <row r="7" spans="1:2" x14ac:dyDescent="0.3">
      <c r="A7" t="s">
        <v>2207</v>
      </c>
      <c r="B7" t="s">
        <v>2208</v>
      </c>
    </row>
    <row r="8" spans="1:2" x14ac:dyDescent="0.3">
      <c r="A8" t="s">
        <v>2209</v>
      </c>
      <c r="B8" t="s">
        <v>2210</v>
      </c>
    </row>
    <row r="9" spans="1:2" x14ac:dyDescent="0.3">
      <c r="A9" t="s">
        <v>2211</v>
      </c>
      <c r="B9" t="s">
        <v>2212</v>
      </c>
    </row>
    <row r="10" spans="1:2" x14ac:dyDescent="0.3">
      <c r="A10" t="s">
        <v>2213</v>
      </c>
      <c r="B10" t="s">
        <v>2214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21"/>
  <sheetViews>
    <sheetView workbookViewId="0"/>
  </sheetViews>
  <sheetFormatPr defaultRowHeight="14.4" x14ac:dyDescent="0.3"/>
  <cols>
    <col min="1" max="1" width="14" customWidth="1"/>
    <col min="2" max="2" width="38" customWidth="1"/>
    <col min="3" max="3" width="26" customWidth="1"/>
    <col min="4" max="4" width="21" customWidth="1"/>
    <col min="5" max="5" width="19" customWidth="1"/>
    <col min="6" max="6" width="16" customWidth="1"/>
    <col min="7" max="7" width="17" customWidth="1"/>
    <col min="8" max="8" width="38" customWidth="1"/>
    <col min="9" max="9" width="14" customWidth="1"/>
  </cols>
  <sheetData>
    <row r="1" spans="1:9" x14ac:dyDescent="0.3">
      <c r="A1" s="50" t="s">
        <v>2215</v>
      </c>
      <c r="B1" s="50" t="s">
        <v>2216</v>
      </c>
      <c r="C1" s="50" t="s">
        <v>2217</v>
      </c>
      <c r="D1" s="50" t="s">
        <v>2218</v>
      </c>
      <c r="E1" s="50" t="s">
        <v>2219</v>
      </c>
      <c r="F1" s="50" t="s">
        <v>2220</v>
      </c>
      <c r="G1" s="50" t="s">
        <v>2221</v>
      </c>
      <c r="H1" s="50" t="s">
        <v>2222</v>
      </c>
      <c r="I1" s="50" t="s">
        <v>2223</v>
      </c>
    </row>
    <row r="2" spans="1:9" x14ac:dyDescent="0.3">
      <c r="A2" t="s">
        <v>1060</v>
      </c>
      <c r="B2" t="s">
        <v>1061</v>
      </c>
      <c r="C2" t="s">
        <v>2224</v>
      </c>
      <c r="D2" t="s">
        <v>309</v>
      </c>
      <c r="E2" t="s">
        <v>565</v>
      </c>
      <c r="F2" t="s">
        <v>2225</v>
      </c>
      <c r="G2" t="s">
        <v>1193</v>
      </c>
      <c r="H2" t="s">
        <v>2226</v>
      </c>
      <c r="I2" t="s">
        <v>2227</v>
      </c>
    </row>
    <row r="3" spans="1:9" x14ac:dyDescent="0.3">
      <c r="A3" t="s">
        <v>1062</v>
      </c>
      <c r="B3" t="s">
        <v>1063</v>
      </c>
      <c r="C3" t="s">
        <v>2224</v>
      </c>
      <c r="D3" t="s">
        <v>309</v>
      </c>
      <c r="E3" t="s">
        <v>566</v>
      </c>
      <c r="F3" t="s">
        <v>2225</v>
      </c>
      <c r="G3" t="s">
        <v>1193</v>
      </c>
      <c r="H3" t="s">
        <v>2228</v>
      </c>
      <c r="I3" t="s">
        <v>2227</v>
      </c>
    </row>
    <row r="4" spans="1:9" x14ac:dyDescent="0.3">
      <c r="A4" t="s">
        <v>1064</v>
      </c>
      <c r="B4" t="s">
        <v>1065</v>
      </c>
      <c r="C4" t="s">
        <v>2224</v>
      </c>
      <c r="D4" t="s">
        <v>309</v>
      </c>
      <c r="E4" t="s">
        <v>571</v>
      </c>
      <c r="F4" t="s">
        <v>2225</v>
      </c>
      <c r="G4" t="s">
        <v>1193</v>
      </c>
      <c r="H4" t="s">
        <v>2229</v>
      </c>
      <c r="I4" t="s">
        <v>2227</v>
      </c>
    </row>
    <row r="5" spans="1:9" x14ac:dyDescent="0.3">
      <c r="A5" t="s">
        <v>1066</v>
      </c>
      <c r="B5" t="s">
        <v>1067</v>
      </c>
      <c r="C5" t="s">
        <v>2224</v>
      </c>
      <c r="D5" t="s">
        <v>309</v>
      </c>
      <c r="E5" t="s">
        <v>567</v>
      </c>
      <c r="F5" t="s">
        <v>2225</v>
      </c>
      <c r="G5" t="s">
        <v>1193</v>
      </c>
      <c r="H5" t="s">
        <v>2230</v>
      </c>
      <c r="I5" t="s">
        <v>2227</v>
      </c>
    </row>
    <row r="6" spans="1:9" x14ac:dyDescent="0.3">
      <c r="A6" t="s">
        <v>1068</v>
      </c>
      <c r="B6" t="s">
        <v>568</v>
      </c>
      <c r="C6" t="s">
        <v>2224</v>
      </c>
      <c r="D6" t="s">
        <v>309</v>
      </c>
      <c r="E6" t="s">
        <v>568</v>
      </c>
      <c r="F6" t="s">
        <v>2225</v>
      </c>
      <c r="G6" t="s">
        <v>1193</v>
      </c>
      <c r="H6" t="s">
        <v>2231</v>
      </c>
      <c r="I6" t="s">
        <v>2227</v>
      </c>
    </row>
    <row r="7" spans="1:9" x14ac:dyDescent="0.3">
      <c r="A7" t="s">
        <v>1069</v>
      </c>
      <c r="B7" t="s">
        <v>2232</v>
      </c>
      <c r="C7" t="s">
        <v>2224</v>
      </c>
      <c r="D7" t="s">
        <v>309</v>
      </c>
      <c r="E7" t="s">
        <v>569</v>
      </c>
      <c r="F7" t="s">
        <v>2225</v>
      </c>
      <c r="G7" t="s">
        <v>1193</v>
      </c>
      <c r="H7" t="s">
        <v>2233</v>
      </c>
      <c r="I7" t="s">
        <v>2227</v>
      </c>
    </row>
    <row r="8" spans="1:9" x14ac:dyDescent="0.3">
      <c r="A8" t="s">
        <v>1071</v>
      </c>
      <c r="B8" t="s">
        <v>1072</v>
      </c>
      <c r="C8" t="s">
        <v>2224</v>
      </c>
      <c r="D8" t="s">
        <v>309</v>
      </c>
      <c r="E8" t="s">
        <v>569</v>
      </c>
      <c r="F8" t="s">
        <v>2225</v>
      </c>
      <c r="G8" t="s">
        <v>1193</v>
      </c>
      <c r="H8" t="s">
        <v>2234</v>
      </c>
      <c r="I8" t="s">
        <v>2227</v>
      </c>
    </row>
    <row r="9" spans="1:9" x14ac:dyDescent="0.3">
      <c r="A9" t="s">
        <v>1073</v>
      </c>
      <c r="B9" t="s">
        <v>2235</v>
      </c>
      <c r="C9" t="s">
        <v>2224</v>
      </c>
      <c r="D9" t="s">
        <v>309</v>
      </c>
      <c r="E9" t="s">
        <v>569</v>
      </c>
      <c r="F9" t="s">
        <v>2225</v>
      </c>
      <c r="G9" t="s">
        <v>1193</v>
      </c>
      <c r="H9" t="s">
        <v>2236</v>
      </c>
      <c r="I9" t="s">
        <v>2227</v>
      </c>
    </row>
    <row r="10" spans="1:9" x14ac:dyDescent="0.3">
      <c r="A10" t="s">
        <v>1075</v>
      </c>
      <c r="B10" t="s">
        <v>2237</v>
      </c>
      <c r="C10" t="s">
        <v>2224</v>
      </c>
      <c r="D10" t="s">
        <v>309</v>
      </c>
      <c r="E10" t="s">
        <v>570</v>
      </c>
      <c r="F10" t="s">
        <v>2225</v>
      </c>
      <c r="G10" t="s">
        <v>1193</v>
      </c>
      <c r="H10" t="s">
        <v>2237</v>
      </c>
      <c r="I10" t="s">
        <v>2227</v>
      </c>
    </row>
    <row r="11" spans="1:9" x14ac:dyDescent="0.3">
      <c r="A11" t="s">
        <v>1077</v>
      </c>
      <c r="B11" t="s">
        <v>1078</v>
      </c>
      <c r="C11" t="s">
        <v>2224</v>
      </c>
      <c r="D11" t="s">
        <v>309</v>
      </c>
      <c r="E11" t="s">
        <v>569</v>
      </c>
      <c r="F11" t="s">
        <v>2225</v>
      </c>
      <c r="G11" t="s">
        <v>1193</v>
      </c>
      <c r="H11" t="s">
        <v>2238</v>
      </c>
      <c r="I11" t="s">
        <v>1155</v>
      </c>
    </row>
    <row r="12" spans="1:9" x14ac:dyDescent="0.3">
      <c r="A12" t="s">
        <v>1079</v>
      </c>
      <c r="B12" t="s">
        <v>1080</v>
      </c>
      <c r="C12" t="s">
        <v>2224</v>
      </c>
      <c r="D12" t="s">
        <v>309</v>
      </c>
      <c r="E12" t="s">
        <v>571</v>
      </c>
      <c r="F12" t="s">
        <v>2225</v>
      </c>
      <c r="G12" t="s">
        <v>1193</v>
      </c>
      <c r="H12" t="s">
        <v>2239</v>
      </c>
      <c r="I12" t="s">
        <v>2227</v>
      </c>
    </row>
    <row r="13" spans="1:9" x14ac:dyDescent="0.3">
      <c r="A13" t="s">
        <v>1081</v>
      </c>
      <c r="B13" t="s">
        <v>2240</v>
      </c>
      <c r="C13" t="s">
        <v>2224</v>
      </c>
      <c r="D13" t="s">
        <v>309</v>
      </c>
      <c r="E13" t="s">
        <v>571</v>
      </c>
      <c r="F13" t="s">
        <v>2225</v>
      </c>
      <c r="G13" t="s">
        <v>1193</v>
      </c>
      <c r="H13" t="s">
        <v>2241</v>
      </c>
      <c r="I13" t="s">
        <v>1155</v>
      </c>
    </row>
    <row r="14" spans="1:9" x14ac:dyDescent="0.3">
      <c r="A14" t="s">
        <v>1083</v>
      </c>
      <c r="B14" t="s">
        <v>1084</v>
      </c>
      <c r="C14" t="s">
        <v>2224</v>
      </c>
      <c r="D14" t="s">
        <v>309</v>
      </c>
      <c r="E14" t="s">
        <v>570</v>
      </c>
      <c r="F14" t="s">
        <v>2225</v>
      </c>
      <c r="G14" t="s">
        <v>1193</v>
      </c>
      <c r="H14" t="s">
        <v>2242</v>
      </c>
      <c r="I14" t="s">
        <v>2227</v>
      </c>
    </row>
    <row r="15" spans="1:9" x14ac:dyDescent="0.3">
      <c r="A15" t="s">
        <v>1095</v>
      </c>
      <c r="B15" t="s">
        <v>2243</v>
      </c>
      <c r="C15" t="s">
        <v>948</v>
      </c>
      <c r="D15" t="s">
        <v>377</v>
      </c>
      <c r="E15" t="s">
        <v>566</v>
      </c>
      <c r="F15" t="s">
        <v>190</v>
      </c>
      <c r="G15" t="s">
        <v>1193</v>
      </c>
      <c r="H15" t="s">
        <v>2244</v>
      </c>
      <c r="I15" t="s">
        <v>2227</v>
      </c>
    </row>
    <row r="16" spans="1:9" x14ac:dyDescent="0.3">
      <c r="A16" t="s">
        <v>1097</v>
      </c>
      <c r="B16" t="s">
        <v>1098</v>
      </c>
      <c r="C16" t="s">
        <v>948</v>
      </c>
      <c r="D16" t="s">
        <v>377</v>
      </c>
      <c r="E16" t="s">
        <v>569</v>
      </c>
      <c r="F16" t="s">
        <v>190</v>
      </c>
      <c r="G16" t="s">
        <v>1193</v>
      </c>
      <c r="H16" t="s">
        <v>2245</v>
      </c>
      <c r="I16" t="s">
        <v>2227</v>
      </c>
    </row>
    <row r="17" spans="1:9" x14ac:dyDescent="0.3">
      <c r="A17" t="s">
        <v>1099</v>
      </c>
      <c r="B17" t="s">
        <v>1100</v>
      </c>
      <c r="C17" t="s">
        <v>948</v>
      </c>
      <c r="D17" t="s">
        <v>377</v>
      </c>
      <c r="E17" t="s">
        <v>569</v>
      </c>
      <c r="F17" t="s">
        <v>190</v>
      </c>
      <c r="G17" t="s">
        <v>1193</v>
      </c>
      <c r="H17" t="s">
        <v>2246</v>
      </c>
      <c r="I17" t="s">
        <v>1155</v>
      </c>
    </row>
    <row r="18" spans="1:9" x14ac:dyDescent="0.3">
      <c r="A18" t="s">
        <v>1101</v>
      </c>
      <c r="B18" t="s">
        <v>1102</v>
      </c>
      <c r="C18" t="s">
        <v>948</v>
      </c>
      <c r="D18" t="s">
        <v>377</v>
      </c>
      <c r="E18" t="s">
        <v>570</v>
      </c>
      <c r="F18" t="s">
        <v>190</v>
      </c>
      <c r="G18" t="s">
        <v>1193</v>
      </c>
      <c r="H18" t="s">
        <v>1102</v>
      </c>
      <c r="I18" t="s">
        <v>2227</v>
      </c>
    </row>
    <row r="19" spans="1:9" x14ac:dyDescent="0.3">
      <c r="A19" t="s">
        <v>1103</v>
      </c>
      <c r="B19" t="s">
        <v>1104</v>
      </c>
      <c r="C19" t="s">
        <v>948</v>
      </c>
      <c r="D19" t="s">
        <v>377</v>
      </c>
      <c r="E19" t="s">
        <v>570</v>
      </c>
      <c r="F19" t="s">
        <v>190</v>
      </c>
      <c r="G19" t="s">
        <v>1193</v>
      </c>
      <c r="H19" t="s">
        <v>1104</v>
      </c>
      <c r="I19" t="s">
        <v>2227</v>
      </c>
    </row>
    <row r="20" spans="1:9" x14ac:dyDescent="0.3">
      <c r="A20" t="s">
        <v>1105</v>
      </c>
      <c r="B20" t="s">
        <v>1106</v>
      </c>
      <c r="C20" t="s">
        <v>948</v>
      </c>
      <c r="D20" t="s">
        <v>377</v>
      </c>
      <c r="E20" t="s">
        <v>571</v>
      </c>
      <c r="F20" t="s">
        <v>190</v>
      </c>
      <c r="G20" t="s">
        <v>1193</v>
      </c>
      <c r="H20" t="s">
        <v>1106</v>
      </c>
      <c r="I20" t="s">
        <v>1155</v>
      </c>
    </row>
    <row r="21" spans="1:9" x14ac:dyDescent="0.3">
      <c r="A21" t="s">
        <v>1123</v>
      </c>
      <c r="B21" t="s">
        <v>717</v>
      </c>
      <c r="C21" t="s">
        <v>717</v>
      </c>
      <c r="D21" t="s">
        <v>304</v>
      </c>
      <c r="E21" t="s">
        <v>561</v>
      </c>
      <c r="F21" t="s">
        <v>561</v>
      </c>
      <c r="G21" t="s">
        <v>1193</v>
      </c>
      <c r="H21" t="s">
        <v>2247</v>
      </c>
      <c r="I21" t="s">
        <v>2227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327"/>
  <sheetViews>
    <sheetView workbookViewId="0"/>
  </sheetViews>
  <sheetFormatPr defaultRowHeight="14.4" x14ac:dyDescent="0.3"/>
  <cols>
    <col min="1" max="1" width="10" customWidth="1"/>
    <col min="2" max="2" width="13" customWidth="1"/>
    <col min="3" max="3" width="18" customWidth="1"/>
    <col min="4" max="4" width="10" customWidth="1"/>
    <col min="5" max="5" width="11" customWidth="1"/>
    <col min="6" max="6" width="31" customWidth="1"/>
    <col min="7" max="7" width="19" customWidth="1"/>
    <col min="8" max="8" width="12" customWidth="1"/>
    <col min="9" max="9" width="10" customWidth="1"/>
    <col min="10" max="10" width="16" customWidth="1"/>
    <col min="11" max="11" width="38" customWidth="1"/>
  </cols>
  <sheetData>
    <row r="1" spans="1:11" x14ac:dyDescent="0.3">
      <c r="A1" s="50" t="s">
        <v>17</v>
      </c>
      <c r="B1" s="50" t="s">
        <v>27</v>
      </c>
      <c r="C1" s="50" t="s">
        <v>32</v>
      </c>
      <c r="D1" s="50" t="s">
        <v>38</v>
      </c>
      <c r="E1" s="50" t="s">
        <v>44</v>
      </c>
      <c r="F1" s="50" t="s">
        <v>513</v>
      </c>
      <c r="G1" s="50" t="s">
        <v>514</v>
      </c>
      <c r="H1" s="50" t="s">
        <v>516</v>
      </c>
      <c r="I1" s="50" t="s">
        <v>517</v>
      </c>
      <c r="J1" s="50" t="s">
        <v>743</v>
      </c>
      <c r="K1" s="50" t="s">
        <v>518</v>
      </c>
    </row>
    <row r="2" spans="1:11" x14ac:dyDescent="0.3">
      <c r="A2" t="s">
        <v>549</v>
      </c>
      <c r="B2" t="s">
        <v>522</v>
      </c>
      <c r="C2" t="s">
        <v>523</v>
      </c>
      <c r="D2" t="s">
        <v>451</v>
      </c>
      <c r="E2" t="s">
        <v>524</v>
      </c>
      <c r="F2" t="s">
        <v>442</v>
      </c>
      <c r="H2" s="41">
        <v>612247701</v>
      </c>
      <c r="I2" t="s">
        <v>451</v>
      </c>
      <c r="J2" t="s">
        <v>2248</v>
      </c>
      <c r="K2" t="s">
        <v>651</v>
      </c>
    </row>
    <row r="3" spans="1:11" x14ac:dyDescent="0.3">
      <c r="A3" t="s">
        <v>551</v>
      </c>
      <c r="B3" t="s">
        <v>522</v>
      </c>
      <c r="C3" t="s">
        <v>523</v>
      </c>
      <c r="D3" t="s">
        <v>451</v>
      </c>
      <c r="E3" t="s">
        <v>524</v>
      </c>
      <c r="F3" t="s">
        <v>442</v>
      </c>
      <c r="H3" s="41">
        <v>744218137</v>
      </c>
      <c r="I3" t="s">
        <v>451</v>
      </c>
      <c r="J3" t="s">
        <v>2248</v>
      </c>
      <c r="K3" t="s">
        <v>651</v>
      </c>
    </row>
    <row r="4" spans="1:11" x14ac:dyDescent="0.3">
      <c r="A4" t="s">
        <v>552</v>
      </c>
      <c r="B4" t="s">
        <v>522</v>
      </c>
      <c r="C4" t="s">
        <v>523</v>
      </c>
      <c r="D4" t="s">
        <v>451</v>
      </c>
      <c r="E4" t="s">
        <v>524</v>
      </c>
      <c r="F4" t="s">
        <v>442</v>
      </c>
      <c r="H4" s="41">
        <v>787041187</v>
      </c>
      <c r="I4" t="s">
        <v>451</v>
      </c>
      <c r="J4" t="s">
        <v>2248</v>
      </c>
      <c r="K4" t="s">
        <v>651</v>
      </c>
    </row>
    <row r="5" spans="1:11" x14ac:dyDescent="0.3">
      <c r="A5" t="s">
        <v>553</v>
      </c>
      <c r="B5" t="s">
        <v>522</v>
      </c>
      <c r="C5" t="s">
        <v>523</v>
      </c>
      <c r="D5" t="s">
        <v>451</v>
      </c>
      <c r="E5" t="s">
        <v>524</v>
      </c>
      <c r="F5" t="s">
        <v>442</v>
      </c>
      <c r="H5" s="41">
        <v>750867662</v>
      </c>
      <c r="I5" t="s">
        <v>451</v>
      </c>
      <c r="J5" t="s">
        <v>2248</v>
      </c>
      <c r="K5" t="s">
        <v>651</v>
      </c>
    </row>
    <row r="6" spans="1:11" x14ac:dyDescent="0.3">
      <c r="A6" t="s">
        <v>554</v>
      </c>
      <c r="B6" t="s">
        <v>522</v>
      </c>
      <c r="C6" t="s">
        <v>523</v>
      </c>
      <c r="D6" t="s">
        <v>451</v>
      </c>
      <c r="E6" t="s">
        <v>524</v>
      </c>
      <c r="F6" t="s">
        <v>442</v>
      </c>
      <c r="H6" s="41">
        <v>826514746</v>
      </c>
      <c r="I6" t="s">
        <v>451</v>
      </c>
      <c r="J6" t="s">
        <v>2248</v>
      </c>
      <c r="K6" t="s">
        <v>651</v>
      </c>
    </row>
    <row r="7" spans="1:11" x14ac:dyDescent="0.3">
      <c r="A7" t="s">
        <v>603</v>
      </c>
      <c r="B7" t="s">
        <v>522</v>
      </c>
      <c r="C7" t="s">
        <v>523</v>
      </c>
      <c r="D7" t="s">
        <v>451</v>
      </c>
      <c r="E7" t="s">
        <v>524</v>
      </c>
      <c r="F7" t="s">
        <v>442</v>
      </c>
      <c r="H7" s="41">
        <v>751453314</v>
      </c>
      <c r="I7" t="s">
        <v>451</v>
      </c>
      <c r="J7" t="s">
        <v>2248</v>
      </c>
      <c r="K7" t="s">
        <v>651</v>
      </c>
    </row>
    <row r="8" spans="1:11" x14ac:dyDescent="0.3">
      <c r="A8" t="s">
        <v>549</v>
      </c>
      <c r="B8" t="s">
        <v>522</v>
      </c>
      <c r="C8" t="s">
        <v>523</v>
      </c>
      <c r="D8" t="s">
        <v>451</v>
      </c>
      <c r="E8" t="s">
        <v>524</v>
      </c>
      <c r="F8" t="s">
        <v>448</v>
      </c>
      <c r="H8" s="41">
        <v>689690890</v>
      </c>
      <c r="I8" t="s">
        <v>451</v>
      </c>
      <c r="J8" t="s">
        <v>2248</v>
      </c>
      <c r="K8" t="s">
        <v>651</v>
      </c>
    </row>
    <row r="9" spans="1:11" x14ac:dyDescent="0.3">
      <c r="A9" t="s">
        <v>551</v>
      </c>
      <c r="B9" t="s">
        <v>522</v>
      </c>
      <c r="C9" t="s">
        <v>523</v>
      </c>
      <c r="D9" t="s">
        <v>451</v>
      </c>
      <c r="E9" t="s">
        <v>524</v>
      </c>
      <c r="F9" t="s">
        <v>448</v>
      </c>
      <c r="H9" s="41">
        <v>744218137</v>
      </c>
      <c r="I9" t="s">
        <v>451</v>
      </c>
      <c r="J9" t="s">
        <v>2248</v>
      </c>
      <c r="K9" t="s">
        <v>651</v>
      </c>
    </row>
    <row r="10" spans="1:11" x14ac:dyDescent="0.3">
      <c r="A10" t="s">
        <v>552</v>
      </c>
      <c r="B10" t="s">
        <v>522</v>
      </c>
      <c r="C10" t="s">
        <v>523</v>
      </c>
      <c r="D10" t="s">
        <v>451</v>
      </c>
      <c r="E10" t="s">
        <v>524</v>
      </c>
      <c r="F10" t="s">
        <v>448</v>
      </c>
      <c r="H10" s="41">
        <v>839105106</v>
      </c>
      <c r="I10" t="s">
        <v>451</v>
      </c>
      <c r="J10" t="s">
        <v>2248</v>
      </c>
      <c r="K10" t="s">
        <v>651</v>
      </c>
    </row>
    <row r="11" spans="1:11" x14ac:dyDescent="0.3">
      <c r="A11" t="s">
        <v>553</v>
      </c>
      <c r="B11" t="s">
        <v>522</v>
      </c>
      <c r="C11" t="s">
        <v>523</v>
      </c>
      <c r="D11" t="s">
        <v>451</v>
      </c>
      <c r="E11" t="s">
        <v>524</v>
      </c>
      <c r="F11" t="s">
        <v>448</v>
      </c>
      <c r="H11" s="41">
        <v>819197300</v>
      </c>
      <c r="I11" t="s">
        <v>451</v>
      </c>
      <c r="J11" t="s">
        <v>2248</v>
      </c>
      <c r="K11" t="s">
        <v>651</v>
      </c>
    </row>
    <row r="12" spans="1:11" x14ac:dyDescent="0.3">
      <c r="A12" t="s">
        <v>554</v>
      </c>
      <c r="B12" t="s">
        <v>522</v>
      </c>
      <c r="C12" t="s">
        <v>523</v>
      </c>
      <c r="D12" t="s">
        <v>451</v>
      </c>
      <c r="E12" t="s">
        <v>524</v>
      </c>
      <c r="F12" t="s">
        <v>448</v>
      </c>
      <c r="H12" s="41">
        <v>881948086</v>
      </c>
      <c r="I12" t="s">
        <v>451</v>
      </c>
      <c r="J12" t="s">
        <v>2248</v>
      </c>
      <c r="K12" t="s">
        <v>651</v>
      </c>
    </row>
    <row r="13" spans="1:11" x14ac:dyDescent="0.3">
      <c r="A13" t="s">
        <v>603</v>
      </c>
      <c r="B13" t="s">
        <v>522</v>
      </c>
      <c r="C13" t="s">
        <v>523</v>
      </c>
      <c r="D13" t="s">
        <v>451</v>
      </c>
      <c r="E13" t="s">
        <v>524</v>
      </c>
      <c r="F13" t="s">
        <v>448</v>
      </c>
      <c r="H13" s="41">
        <v>929451219</v>
      </c>
      <c r="I13" t="s">
        <v>451</v>
      </c>
      <c r="J13" t="s">
        <v>2248</v>
      </c>
      <c r="K13" t="s">
        <v>651</v>
      </c>
    </row>
    <row r="14" spans="1:11" x14ac:dyDescent="0.3">
      <c r="A14" t="s">
        <v>549</v>
      </c>
      <c r="B14" t="s">
        <v>522</v>
      </c>
      <c r="C14" t="s">
        <v>523</v>
      </c>
      <c r="D14" t="s">
        <v>451</v>
      </c>
      <c r="E14" t="s">
        <v>524</v>
      </c>
      <c r="F14" t="s">
        <v>453</v>
      </c>
      <c r="H14" s="41">
        <v>-77443189</v>
      </c>
      <c r="I14" t="s">
        <v>451</v>
      </c>
      <c r="J14" t="s">
        <v>2248</v>
      </c>
      <c r="K14" t="s">
        <v>651</v>
      </c>
    </row>
    <row r="15" spans="1:11" x14ac:dyDescent="0.3">
      <c r="A15" t="s">
        <v>551</v>
      </c>
      <c r="B15" t="s">
        <v>522</v>
      </c>
      <c r="C15" t="s">
        <v>523</v>
      </c>
      <c r="D15" t="s">
        <v>451</v>
      </c>
      <c r="E15" t="s">
        <v>524</v>
      </c>
      <c r="F15" t="s">
        <v>453</v>
      </c>
      <c r="H15" s="41">
        <v>0</v>
      </c>
      <c r="I15" t="s">
        <v>451</v>
      </c>
      <c r="J15" t="s">
        <v>2248</v>
      </c>
      <c r="K15" t="s">
        <v>651</v>
      </c>
    </row>
    <row r="16" spans="1:11" x14ac:dyDescent="0.3">
      <c r="A16" t="s">
        <v>552</v>
      </c>
      <c r="B16" t="s">
        <v>522</v>
      </c>
      <c r="C16" t="s">
        <v>523</v>
      </c>
      <c r="D16" t="s">
        <v>451</v>
      </c>
      <c r="E16" t="s">
        <v>524</v>
      </c>
      <c r="F16" t="s">
        <v>453</v>
      </c>
      <c r="H16" s="41">
        <v>-52063919</v>
      </c>
      <c r="I16" t="s">
        <v>451</v>
      </c>
      <c r="J16" t="s">
        <v>2248</v>
      </c>
      <c r="K16" t="s">
        <v>651</v>
      </c>
    </row>
    <row r="17" spans="1:11" x14ac:dyDescent="0.3">
      <c r="A17" t="s">
        <v>553</v>
      </c>
      <c r="B17" t="s">
        <v>522</v>
      </c>
      <c r="C17" t="s">
        <v>523</v>
      </c>
      <c r="D17" t="s">
        <v>451</v>
      </c>
      <c r="E17" t="s">
        <v>524</v>
      </c>
      <c r="F17" t="s">
        <v>453</v>
      </c>
      <c r="H17" s="41">
        <v>-68329638</v>
      </c>
      <c r="I17" t="s">
        <v>451</v>
      </c>
      <c r="J17" t="s">
        <v>2248</v>
      </c>
      <c r="K17" t="s">
        <v>651</v>
      </c>
    </row>
    <row r="18" spans="1:11" x14ac:dyDescent="0.3">
      <c r="A18" t="s">
        <v>554</v>
      </c>
      <c r="B18" t="s">
        <v>522</v>
      </c>
      <c r="C18" t="s">
        <v>523</v>
      </c>
      <c r="D18" t="s">
        <v>451</v>
      </c>
      <c r="E18" t="s">
        <v>524</v>
      </c>
      <c r="F18" t="s">
        <v>453</v>
      </c>
      <c r="H18" s="41">
        <v>-55433340</v>
      </c>
      <c r="I18" t="s">
        <v>451</v>
      </c>
      <c r="J18" t="s">
        <v>2248</v>
      </c>
      <c r="K18" t="s">
        <v>651</v>
      </c>
    </row>
    <row r="19" spans="1:11" x14ac:dyDescent="0.3">
      <c r="A19" t="s">
        <v>603</v>
      </c>
      <c r="B19" t="s">
        <v>522</v>
      </c>
      <c r="C19" t="s">
        <v>523</v>
      </c>
      <c r="D19" t="s">
        <v>451</v>
      </c>
      <c r="E19" t="s">
        <v>524</v>
      </c>
      <c r="F19" t="s">
        <v>453</v>
      </c>
      <c r="H19" s="41">
        <v>-177997905</v>
      </c>
      <c r="I19" t="s">
        <v>451</v>
      </c>
      <c r="J19" t="s">
        <v>2248</v>
      </c>
      <c r="K19" t="s">
        <v>651</v>
      </c>
    </row>
    <row r="20" spans="1:11" x14ac:dyDescent="0.3">
      <c r="A20" t="s">
        <v>549</v>
      </c>
      <c r="B20" t="s">
        <v>522</v>
      </c>
      <c r="C20" t="s">
        <v>523</v>
      </c>
      <c r="D20" t="s">
        <v>451</v>
      </c>
      <c r="E20" t="s">
        <v>524</v>
      </c>
      <c r="F20" t="s">
        <v>457</v>
      </c>
      <c r="H20" s="41">
        <v>238535794</v>
      </c>
      <c r="I20" t="s">
        <v>451</v>
      </c>
      <c r="J20" t="s">
        <v>2248</v>
      </c>
      <c r="K20" t="s">
        <v>651</v>
      </c>
    </row>
    <row r="21" spans="1:11" x14ac:dyDescent="0.3">
      <c r="A21" t="s">
        <v>551</v>
      </c>
      <c r="B21" t="s">
        <v>522</v>
      </c>
      <c r="C21" t="s">
        <v>523</v>
      </c>
      <c r="D21" t="s">
        <v>451</v>
      </c>
      <c r="E21" t="s">
        <v>524</v>
      </c>
      <c r="F21" t="s">
        <v>457</v>
      </c>
      <c r="H21" s="41">
        <v>343308791</v>
      </c>
      <c r="I21" t="s">
        <v>451</v>
      </c>
      <c r="J21" t="s">
        <v>2248</v>
      </c>
      <c r="K21" t="s">
        <v>651</v>
      </c>
    </row>
    <row r="22" spans="1:11" x14ac:dyDescent="0.3">
      <c r="A22" t="s">
        <v>552</v>
      </c>
      <c r="B22" t="s">
        <v>522</v>
      </c>
      <c r="C22" t="s">
        <v>523</v>
      </c>
      <c r="D22" t="s">
        <v>451</v>
      </c>
      <c r="E22" t="s">
        <v>524</v>
      </c>
      <c r="F22" t="s">
        <v>457</v>
      </c>
      <c r="H22" s="41">
        <v>455639201</v>
      </c>
      <c r="I22" t="s">
        <v>451</v>
      </c>
      <c r="J22" t="s">
        <v>2248</v>
      </c>
      <c r="K22" t="s">
        <v>651</v>
      </c>
    </row>
    <row r="23" spans="1:11" x14ac:dyDescent="0.3">
      <c r="A23" t="s">
        <v>553</v>
      </c>
      <c r="B23" t="s">
        <v>522</v>
      </c>
      <c r="C23" t="s">
        <v>523</v>
      </c>
      <c r="D23" t="s">
        <v>451</v>
      </c>
      <c r="E23" t="s">
        <v>524</v>
      </c>
      <c r="F23" t="s">
        <v>457</v>
      </c>
      <c r="H23" s="41">
        <v>379273594</v>
      </c>
      <c r="I23" t="s">
        <v>451</v>
      </c>
      <c r="J23" t="s">
        <v>2248</v>
      </c>
      <c r="K23" t="s">
        <v>651</v>
      </c>
    </row>
    <row r="24" spans="1:11" x14ac:dyDescent="0.3">
      <c r="A24" t="s">
        <v>554</v>
      </c>
      <c r="B24" t="s">
        <v>522</v>
      </c>
      <c r="C24" t="s">
        <v>523</v>
      </c>
      <c r="D24" t="s">
        <v>451</v>
      </c>
      <c r="E24" t="s">
        <v>524</v>
      </c>
      <c r="F24" t="s">
        <v>457</v>
      </c>
      <c r="H24" s="41">
        <v>355470523</v>
      </c>
      <c r="I24" t="s">
        <v>451</v>
      </c>
      <c r="J24" t="s">
        <v>2248</v>
      </c>
      <c r="K24" t="s">
        <v>651</v>
      </c>
    </row>
    <row r="25" spans="1:11" x14ac:dyDescent="0.3">
      <c r="A25" t="s">
        <v>603</v>
      </c>
      <c r="B25" t="s">
        <v>522</v>
      </c>
      <c r="C25" t="s">
        <v>523</v>
      </c>
      <c r="D25" t="s">
        <v>451</v>
      </c>
      <c r="E25" t="s">
        <v>524</v>
      </c>
      <c r="F25" t="s">
        <v>457</v>
      </c>
      <c r="H25" s="41">
        <v>348477606</v>
      </c>
      <c r="I25" t="s">
        <v>451</v>
      </c>
      <c r="J25" t="s">
        <v>2248</v>
      </c>
      <c r="K25" t="s">
        <v>651</v>
      </c>
    </row>
    <row r="26" spans="1:11" x14ac:dyDescent="0.3">
      <c r="A26" t="s">
        <v>549</v>
      </c>
      <c r="B26" t="s">
        <v>522</v>
      </c>
      <c r="C26" t="s">
        <v>523</v>
      </c>
      <c r="D26" t="s">
        <v>451</v>
      </c>
      <c r="E26" t="s">
        <v>524</v>
      </c>
      <c r="F26" t="s">
        <v>461</v>
      </c>
      <c r="H26" s="41">
        <v>373711907</v>
      </c>
      <c r="I26" t="s">
        <v>451</v>
      </c>
      <c r="J26" t="s">
        <v>2248</v>
      </c>
      <c r="K26" t="s">
        <v>651</v>
      </c>
    </row>
    <row r="27" spans="1:11" x14ac:dyDescent="0.3">
      <c r="A27" t="s">
        <v>551</v>
      </c>
      <c r="B27" t="s">
        <v>522</v>
      </c>
      <c r="C27" t="s">
        <v>523</v>
      </c>
      <c r="D27" t="s">
        <v>451</v>
      </c>
      <c r="E27" t="s">
        <v>524</v>
      </c>
      <c r="F27" t="s">
        <v>461</v>
      </c>
      <c r="H27" s="41">
        <v>400909346</v>
      </c>
      <c r="I27" t="s">
        <v>451</v>
      </c>
      <c r="J27" t="s">
        <v>2248</v>
      </c>
      <c r="K27" t="s">
        <v>651</v>
      </c>
    </row>
    <row r="28" spans="1:11" x14ac:dyDescent="0.3">
      <c r="A28" t="s">
        <v>552</v>
      </c>
      <c r="B28" t="s">
        <v>522</v>
      </c>
      <c r="C28" t="s">
        <v>523</v>
      </c>
      <c r="D28" t="s">
        <v>451</v>
      </c>
      <c r="E28" t="s">
        <v>524</v>
      </c>
      <c r="F28" t="s">
        <v>461</v>
      </c>
      <c r="H28" s="41">
        <v>331401986</v>
      </c>
      <c r="I28" t="s">
        <v>451</v>
      </c>
      <c r="J28" t="s">
        <v>2248</v>
      </c>
      <c r="K28" t="s">
        <v>651</v>
      </c>
    </row>
    <row r="29" spans="1:11" x14ac:dyDescent="0.3">
      <c r="A29" t="s">
        <v>553</v>
      </c>
      <c r="B29" t="s">
        <v>522</v>
      </c>
      <c r="C29" t="s">
        <v>523</v>
      </c>
      <c r="D29" t="s">
        <v>451</v>
      </c>
      <c r="E29" t="s">
        <v>524</v>
      </c>
      <c r="F29" t="s">
        <v>461</v>
      </c>
      <c r="H29" s="41">
        <v>371594068</v>
      </c>
      <c r="I29" t="s">
        <v>451</v>
      </c>
      <c r="J29" t="s">
        <v>2248</v>
      </c>
      <c r="K29" t="s">
        <v>651</v>
      </c>
    </row>
    <row r="30" spans="1:11" x14ac:dyDescent="0.3">
      <c r="A30" t="s">
        <v>554</v>
      </c>
      <c r="B30" t="s">
        <v>522</v>
      </c>
      <c r="C30" t="s">
        <v>523</v>
      </c>
      <c r="D30" t="s">
        <v>451</v>
      </c>
      <c r="E30" t="s">
        <v>524</v>
      </c>
      <c r="F30" t="s">
        <v>461</v>
      </c>
      <c r="H30" s="41">
        <v>471044223</v>
      </c>
      <c r="I30" t="s">
        <v>451</v>
      </c>
      <c r="J30" t="s">
        <v>2248</v>
      </c>
      <c r="K30" t="s">
        <v>651</v>
      </c>
    </row>
    <row r="31" spans="1:11" x14ac:dyDescent="0.3">
      <c r="A31" t="s">
        <v>603</v>
      </c>
      <c r="B31" t="s">
        <v>522</v>
      </c>
      <c r="C31" t="s">
        <v>523</v>
      </c>
      <c r="D31" t="s">
        <v>451</v>
      </c>
      <c r="E31" t="s">
        <v>524</v>
      </c>
      <c r="F31" t="s">
        <v>461</v>
      </c>
      <c r="H31" s="41">
        <v>402975708</v>
      </c>
      <c r="I31" t="s">
        <v>451</v>
      </c>
      <c r="J31" t="s">
        <v>2248</v>
      </c>
      <c r="K31" t="s">
        <v>651</v>
      </c>
    </row>
    <row r="32" spans="1:11" x14ac:dyDescent="0.3">
      <c r="A32" t="s">
        <v>549</v>
      </c>
      <c r="B32" t="s">
        <v>522</v>
      </c>
      <c r="C32" t="s">
        <v>523</v>
      </c>
      <c r="D32" t="s">
        <v>451</v>
      </c>
      <c r="E32" t="s">
        <v>524</v>
      </c>
      <c r="F32" t="s">
        <v>465</v>
      </c>
      <c r="H32" s="41">
        <v>98722435</v>
      </c>
      <c r="I32" t="s">
        <v>451</v>
      </c>
      <c r="J32" t="s">
        <v>2248</v>
      </c>
      <c r="K32" t="s">
        <v>651</v>
      </c>
    </row>
    <row r="33" spans="1:11" x14ac:dyDescent="0.3">
      <c r="A33" t="s">
        <v>551</v>
      </c>
      <c r="B33" t="s">
        <v>522</v>
      </c>
      <c r="C33" t="s">
        <v>523</v>
      </c>
      <c r="D33" t="s">
        <v>451</v>
      </c>
      <c r="E33" t="s">
        <v>524</v>
      </c>
      <c r="F33" t="s">
        <v>465</v>
      </c>
      <c r="H33" s="41">
        <v>105633472</v>
      </c>
      <c r="I33" t="s">
        <v>451</v>
      </c>
      <c r="J33" t="s">
        <v>2248</v>
      </c>
      <c r="K33" t="s">
        <v>651</v>
      </c>
    </row>
    <row r="34" spans="1:11" x14ac:dyDescent="0.3">
      <c r="A34" t="s">
        <v>552</v>
      </c>
      <c r="B34" t="s">
        <v>522</v>
      </c>
      <c r="C34" t="s">
        <v>523</v>
      </c>
      <c r="D34" t="s">
        <v>451</v>
      </c>
      <c r="E34" t="s">
        <v>524</v>
      </c>
      <c r="F34" t="s">
        <v>465</v>
      </c>
      <c r="H34" s="41">
        <v>141811865</v>
      </c>
      <c r="I34" t="s">
        <v>451</v>
      </c>
      <c r="J34" t="s">
        <v>2248</v>
      </c>
      <c r="K34" t="s">
        <v>651</v>
      </c>
    </row>
    <row r="35" spans="1:11" x14ac:dyDescent="0.3">
      <c r="A35" t="s">
        <v>553</v>
      </c>
      <c r="B35" t="s">
        <v>522</v>
      </c>
      <c r="C35" t="s">
        <v>523</v>
      </c>
      <c r="D35" t="s">
        <v>451</v>
      </c>
      <c r="E35" t="s">
        <v>524</v>
      </c>
      <c r="F35" t="s">
        <v>465</v>
      </c>
      <c r="H35" s="41">
        <v>114280887</v>
      </c>
      <c r="I35" t="s">
        <v>451</v>
      </c>
      <c r="J35" t="s">
        <v>2248</v>
      </c>
      <c r="K35" t="s">
        <v>651</v>
      </c>
    </row>
    <row r="36" spans="1:11" x14ac:dyDescent="0.3">
      <c r="A36" t="s">
        <v>554</v>
      </c>
      <c r="B36" t="s">
        <v>522</v>
      </c>
      <c r="C36" t="s">
        <v>523</v>
      </c>
      <c r="D36" t="s">
        <v>451</v>
      </c>
      <c r="E36" t="s">
        <v>524</v>
      </c>
      <c r="F36" t="s">
        <v>465</v>
      </c>
      <c r="H36" s="41">
        <v>116808824</v>
      </c>
      <c r="I36" t="s">
        <v>451</v>
      </c>
      <c r="J36" t="s">
        <v>2248</v>
      </c>
      <c r="K36" t="s">
        <v>651</v>
      </c>
    </row>
    <row r="37" spans="1:11" x14ac:dyDescent="0.3">
      <c r="A37" t="s">
        <v>603</v>
      </c>
      <c r="B37" t="s">
        <v>522</v>
      </c>
      <c r="C37" t="s">
        <v>523</v>
      </c>
      <c r="D37" t="s">
        <v>451</v>
      </c>
      <c r="E37" t="s">
        <v>524</v>
      </c>
      <c r="F37" t="s">
        <v>465</v>
      </c>
      <c r="H37" s="41">
        <v>112288693</v>
      </c>
      <c r="I37" t="s">
        <v>451</v>
      </c>
      <c r="J37" t="s">
        <v>2248</v>
      </c>
      <c r="K37" t="s">
        <v>651</v>
      </c>
    </row>
    <row r="38" spans="1:11" x14ac:dyDescent="0.3">
      <c r="A38" t="s">
        <v>549</v>
      </c>
      <c r="B38" t="s">
        <v>522</v>
      </c>
      <c r="C38" t="s">
        <v>523</v>
      </c>
      <c r="D38" t="s">
        <v>451</v>
      </c>
      <c r="E38" t="s">
        <v>524</v>
      </c>
      <c r="F38" t="s">
        <v>469</v>
      </c>
      <c r="H38" s="41">
        <v>73409852</v>
      </c>
      <c r="I38" t="s">
        <v>451</v>
      </c>
      <c r="J38" t="s">
        <v>2248</v>
      </c>
      <c r="K38" t="s">
        <v>651</v>
      </c>
    </row>
    <row r="39" spans="1:11" x14ac:dyDescent="0.3">
      <c r="A39" t="s">
        <v>551</v>
      </c>
      <c r="B39" t="s">
        <v>522</v>
      </c>
      <c r="C39" t="s">
        <v>523</v>
      </c>
      <c r="D39" t="s">
        <v>451</v>
      </c>
      <c r="E39" t="s">
        <v>524</v>
      </c>
      <c r="F39" t="s">
        <v>469</v>
      </c>
      <c r="H39" s="41">
        <v>75509638</v>
      </c>
      <c r="I39" t="s">
        <v>451</v>
      </c>
      <c r="J39" t="s">
        <v>2248</v>
      </c>
      <c r="K39" t="s">
        <v>651</v>
      </c>
    </row>
    <row r="40" spans="1:11" x14ac:dyDescent="0.3">
      <c r="A40" t="s">
        <v>552</v>
      </c>
      <c r="B40" t="s">
        <v>522</v>
      </c>
      <c r="C40" t="s">
        <v>523</v>
      </c>
      <c r="D40" t="s">
        <v>451</v>
      </c>
      <c r="E40" t="s">
        <v>524</v>
      </c>
      <c r="F40" t="s">
        <v>469</v>
      </c>
      <c r="H40" s="41">
        <v>72217138</v>
      </c>
      <c r="I40" t="s">
        <v>451</v>
      </c>
      <c r="J40" t="s">
        <v>2248</v>
      </c>
      <c r="K40" t="s">
        <v>651</v>
      </c>
    </row>
    <row r="41" spans="1:11" x14ac:dyDescent="0.3">
      <c r="A41" t="s">
        <v>553</v>
      </c>
      <c r="B41" t="s">
        <v>522</v>
      </c>
      <c r="C41" t="s">
        <v>523</v>
      </c>
      <c r="D41" t="s">
        <v>451</v>
      </c>
      <c r="E41" t="s">
        <v>524</v>
      </c>
      <c r="F41" t="s">
        <v>469</v>
      </c>
      <c r="H41" s="41">
        <v>122384514</v>
      </c>
      <c r="I41" t="s">
        <v>451</v>
      </c>
      <c r="J41" t="s">
        <v>2248</v>
      </c>
      <c r="K41" t="s">
        <v>651</v>
      </c>
    </row>
    <row r="42" spans="1:11" x14ac:dyDescent="0.3">
      <c r="A42" t="s">
        <v>554</v>
      </c>
      <c r="B42" t="s">
        <v>522</v>
      </c>
      <c r="C42" t="s">
        <v>523</v>
      </c>
      <c r="D42" t="s">
        <v>451</v>
      </c>
      <c r="E42" t="s">
        <v>524</v>
      </c>
      <c r="F42" t="s">
        <v>469</v>
      </c>
      <c r="H42" s="41">
        <v>120992711</v>
      </c>
      <c r="I42" t="s">
        <v>451</v>
      </c>
      <c r="J42" t="s">
        <v>2248</v>
      </c>
      <c r="K42" t="s">
        <v>651</v>
      </c>
    </row>
    <row r="43" spans="1:11" x14ac:dyDescent="0.3">
      <c r="A43" t="s">
        <v>603</v>
      </c>
      <c r="B43" t="s">
        <v>522</v>
      </c>
      <c r="C43" t="s">
        <v>523</v>
      </c>
      <c r="D43" t="s">
        <v>451</v>
      </c>
      <c r="E43" t="s">
        <v>524</v>
      </c>
      <c r="F43" t="s">
        <v>469</v>
      </c>
      <c r="H43" s="41">
        <v>108908060</v>
      </c>
      <c r="I43" t="s">
        <v>451</v>
      </c>
      <c r="J43" t="s">
        <v>2248</v>
      </c>
      <c r="K43" t="s">
        <v>651</v>
      </c>
    </row>
    <row r="44" spans="1:11" x14ac:dyDescent="0.3">
      <c r="A44" t="s">
        <v>549</v>
      </c>
      <c r="B44" t="s">
        <v>522</v>
      </c>
      <c r="C44" t="s">
        <v>523</v>
      </c>
      <c r="D44" t="s">
        <v>451</v>
      </c>
      <c r="E44" t="s">
        <v>524</v>
      </c>
      <c r="F44" t="s">
        <v>472</v>
      </c>
      <c r="H44" s="41">
        <v>131600259</v>
      </c>
      <c r="I44" t="s">
        <v>451</v>
      </c>
      <c r="J44" t="s">
        <v>2248</v>
      </c>
      <c r="K44" t="s">
        <v>651</v>
      </c>
    </row>
    <row r="45" spans="1:11" x14ac:dyDescent="0.3">
      <c r="A45" t="s">
        <v>551</v>
      </c>
      <c r="B45" t="s">
        <v>522</v>
      </c>
      <c r="C45" t="s">
        <v>523</v>
      </c>
      <c r="D45" t="s">
        <v>451</v>
      </c>
      <c r="E45" t="s">
        <v>524</v>
      </c>
      <c r="F45" t="s">
        <v>472</v>
      </c>
      <c r="H45" s="41">
        <v>173632204</v>
      </c>
      <c r="I45" t="s">
        <v>451</v>
      </c>
      <c r="J45" t="s">
        <v>2248</v>
      </c>
      <c r="K45" t="s">
        <v>651</v>
      </c>
    </row>
    <row r="46" spans="1:11" x14ac:dyDescent="0.3">
      <c r="A46" t="s">
        <v>552</v>
      </c>
      <c r="B46" t="s">
        <v>522</v>
      </c>
      <c r="C46" t="s">
        <v>523</v>
      </c>
      <c r="D46" t="s">
        <v>451</v>
      </c>
      <c r="E46" t="s">
        <v>524</v>
      </c>
      <c r="F46" t="s">
        <v>472</v>
      </c>
      <c r="H46" s="41">
        <v>139615776</v>
      </c>
      <c r="I46" t="s">
        <v>451</v>
      </c>
      <c r="J46" t="s">
        <v>2248</v>
      </c>
      <c r="K46" t="s">
        <v>651</v>
      </c>
    </row>
    <row r="47" spans="1:11" x14ac:dyDescent="0.3">
      <c r="A47" t="s">
        <v>553</v>
      </c>
      <c r="B47" t="s">
        <v>522</v>
      </c>
      <c r="C47" t="s">
        <v>523</v>
      </c>
      <c r="D47" t="s">
        <v>451</v>
      </c>
      <c r="E47" t="s">
        <v>524</v>
      </c>
      <c r="F47" t="s">
        <v>472</v>
      </c>
      <c r="H47" s="41">
        <v>130090415</v>
      </c>
      <c r="I47" t="s">
        <v>451</v>
      </c>
      <c r="J47" t="s">
        <v>2248</v>
      </c>
      <c r="K47" t="s">
        <v>651</v>
      </c>
    </row>
    <row r="48" spans="1:11" x14ac:dyDescent="0.3">
      <c r="A48" t="s">
        <v>554</v>
      </c>
      <c r="B48" t="s">
        <v>522</v>
      </c>
      <c r="C48" t="s">
        <v>523</v>
      </c>
      <c r="D48" t="s">
        <v>451</v>
      </c>
      <c r="E48" t="s">
        <v>524</v>
      </c>
      <c r="F48" t="s">
        <v>472</v>
      </c>
      <c r="H48" s="41">
        <v>120233213</v>
      </c>
      <c r="I48" t="s">
        <v>451</v>
      </c>
      <c r="J48" t="s">
        <v>2248</v>
      </c>
      <c r="K48" t="s">
        <v>651</v>
      </c>
    </row>
    <row r="49" spans="1:11" x14ac:dyDescent="0.3">
      <c r="A49" t="s">
        <v>603</v>
      </c>
      <c r="B49" t="s">
        <v>522</v>
      </c>
      <c r="C49" t="s">
        <v>523</v>
      </c>
      <c r="D49" t="s">
        <v>451</v>
      </c>
      <c r="E49" t="s">
        <v>524</v>
      </c>
      <c r="F49" t="s">
        <v>472</v>
      </c>
      <c r="H49" s="41">
        <v>146803460</v>
      </c>
      <c r="I49" t="s">
        <v>451</v>
      </c>
      <c r="J49" t="s">
        <v>2248</v>
      </c>
      <c r="K49" t="s">
        <v>651</v>
      </c>
    </row>
    <row r="50" spans="1:11" x14ac:dyDescent="0.3">
      <c r="A50" t="s">
        <v>549</v>
      </c>
      <c r="B50" t="s">
        <v>522</v>
      </c>
      <c r="C50" t="s">
        <v>523</v>
      </c>
      <c r="D50" t="s">
        <v>451</v>
      </c>
      <c r="E50" t="s">
        <v>524</v>
      </c>
      <c r="F50" t="s">
        <v>475</v>
      </c>
      <c r="H50" s="41">
        <v>69979361</v>
      </c>
      <c r="I50" t="s">
        <v>451</v>
      </c>
      <c r="J50" t="s">
        <v>2248</v>
      </c>
      <c r="K50" t="s">
        <v>651</v>
      </c>
    </row>
    <row r="51" spans="1:11" x14ac:dyDescent="0.3">
      <c r="A51" t="s">
        <v>551</v>
      </c>
      <c r="B51" t="s">
        <v>522</v>
      </c>
      <c r="C51" t="s">
        <v>523</v>
      </c>
      <c r="D51" t="s">
        <v>451</v>
      </c>
      <c r="E51" t="s">
        <v>524</v>
      </c>
      <c r="F51" t="s">
        <v>475</v>
      </c>
      <c r="H51" s="41">
        <v>46134032</v>
      </c>
      <c r="I51" t="s">
        <v>451</v>
      </c>
      <c r="J51" t="s">
        <v>2248</v>
      </c>
      <c r="K51" t="s">
        <v>651</v>
      </c>
    </row>
    <row r="52" spans="1:11" x14ac:dyDescent="0.3">
      <c r="A52" t="s">
        <v>552</v>
      </c>
      <c r="B52" t="s">
        <v>522</v>
      </c>
      <c r="C52" t="s">
        <v>523</v>
      </c>
      <c r="D52" t="s">
        <v>451</v>
      </c>
      <c r="E52" t="s">
        <v>524</v>
      </c>
      <c r="F52" t="s">
        <v>475</v>
      </c>
      <c r="H52" s="41">
        <v>-22242793</v>
      </c>
      <c r="I52" t="s">
        <v>451</v>
      </c>
      <c r="J52" t="s">
        <v>2248</v>
      </c>
      <c r="K52" t="s">
        <v>651</v>
      </c>
    </row>
    <row r="53" spans="1:11" x14ac:dyDescent="0.3">
      <c r="A53" t="s">
        <v>553</v>
      </c>
      <c r="B53" t="s">
        <v>522</v>
      </c>
      <c r="C53" t="s">
        <v>523</v>
      </c>
      <c r="D53" t="s">
        <v>451</v>
      </c>
      <c r="E53" t="s">
        <v>524</v>
      </c>
      <c r="F53" t="s">
        <v>475</v>
      </c>
      <c r="H53" s="41">
        <v>4838252</v>
      </c>
      <c r="I53" t="s">
        <v>451</v>
      </c>
      <c r="J53" t="s">
        <v>2248</v>
      </c>
      <c r="K53" t="s">
        <v>651</v>
      </c>
    </row>
    <row r="54" spans="1:11" x14ac:dyDescent="0.3">
      <c r="A54" t="s">
        <v>554</v>
      </c>
      <c r="B54" t="s">
        <v>522</v>
      </c>
      <c r="C54" t="s">
        <v>523</v>
      </c>
      <c r="D54" t="s">
        <v>451</v>
      </c>
      <c r="E54" t="s">
        <v>524</v>
      </c>
      <c r="F54" t="s">
        <v>475</v>
      </c>
      <c r="H54" s="41">
        <v>113009475</v>
      </c>
      <c r="I54" t="s">
        <v>451</v>
      </c>
      <c r="J54" t="s">
        <v>2248</v>
      </c>
      <c r="K54" t="s">
        <v>651</v>
      </c>
    </row>
    <row r="55" spans="1:11" x14ac:dyDescent="0.3">
      <c r="A55" t="s">
        <v>603</v>
      </c>
      <c r="B55" t="s">
        <v>522</v>
      </c>
      <c r="C55" t="s">
        <v>523</v>
      </c>
      <c r="D55" t="s">
        <v>451</v>
      </c>
      <c r="E55" t="s">
        <v>524</v>
      </c>
      <c r="F55" t="s">
        <v>475</v>
      </c>
      <c r="H55" s="41">
        <v>34975495</v>
      </c>
      <c r="I55" t="s">
        <v>451</v>
      </c>
      <c r="J55" t="s">
        <v>2248</v>
      </c>
      <c r="K55" t="s">
        <v>651</v>
      </c>
    </row>
    <row r="56" spans="1:11" x14ac:dyDescent="0.3">
      <c r="A56" t="s">
        <v>549</v>
      </c>
      <c r="B56" t="s">
        <v>522</v>
      </c>
      <c r="C56" t="s">
        <v>523</v>
      </c>
      <c r="D56" t="s">
        <v>451</v>
      </c>
      <c r="E56" t="s">
        <v>524</v>
      </c>
      <c r="F56" t="s">
        <v>479</v>
      </c>
      <c r="H56" s="41">
        <v>597687</v>
      </c>
      <c r="I56" t="s">
        <v>451</v>
      </c>
      <c r="J56" t="s">
        <v>2248</v>
      </c>
      <c r="K56" t="s">
        <v>651</v>
      </c>
    </row>
    <row r="57" spans="1:11" x14ac:dyDescent="0.3">
      <c r="A57" t="s">
        <v>551</v>
      </c>
      <c r="B57" t="s">
        <v>522</v>
      </c>
      <c r="C57" t="s">
        <v>523</v>
      </c>
      <c r="D57" t="s">
        <v>451</v>
      </c>
      <c r="E57" t="s">
        <v>524</v>
      </c>
      <c r="F57" t="s">
        <v>479</v>
      </c>
      <c r="H57" s="41">
        <v>13488976</v>
      </c>
      <c r="I57" t="s">
        <v>451</v>
      </c>
      <c r="J57" t="s">
        <v>2248</v>
      </c>
      <c r="K57" t="s">
        <v>651</v>
      </c>
    </row>
    <row r="58" spans="1:11" x14ac:dyDescent="0.3">
      <c r="A58" t="s">
        <v>552</v>
      </c>
      <c r="B58" t="s">
        <v>522</v>
      </c>
      <c r="C58" t="s">
        <v>523</v>
      </c>
      <c r="D58" t="s">
        <v>451</v>
      </c>
      <c r="E58" t="s">
        <v>524</v>
      </c>
      <c r="F58" t="s">
        <v>479</v>
      </c>
      <c r="H58" s="41">
        <v>-10197660</v>
      </c>
      <c r="I58" t="s">
        <v>451</v>
      </c>
      <c r="J58" t="s">
        <v>2248</v>
      </c>
      <c r="K58" t="s">
        <v>651</v>
      </c>
    </row>
    <row r="59" spans="1:11" x14ac:dyDescent="0.3">
      <c r="A59" t="s">
        <v>553</v>
      </c>
      <c r="B59" t="s">
        <v>522</v>
      </c>
      <c r="C59" t="s">
        <v>523</v>
      </c>
      <c r="D59" t="s">
        <v>451</v>
      </c>
      <c r="E59" t="s">
        <v>524</v>
      </c>
      <c r="F59" t="s">
        <v>479</v>
      </c>
      <c r="H59" s="41">
        <v>906545</v>
      </c>
      <c r="I59" t="s">
        <v>451</v>
      </c>
      <c r="J59" t="s">
        <v>2248</v>
      </c>
      <c r="K59" t="s">
        <v>651</v>
      </c>
    </row>
    <row r="60" spans="1:11" x14ac:dyDescent="0.3">
      <c r="A60" t="s">
        <v>554</v>
      </c>
      <c r="B60" t="s">
        <v>522</v>
      </c>
      <c r="C60" t="s">
        <v>523</v>
      </c>
      <c r="D60" t="s">
        <v>451</v>
      </c>
      <c r="E60" t="s">
        <v>524</v>
      </c>
      <c r="F60" t="s">
        <v>479</v>
      </c>
      <c r="H60" s="41">
        <v>1366339</v>
      </c>
      <c r="I60" t="s">
        <v>451</v>
      </c>
      <c r="J60" t="s">
        <v>2248</v>
      </c>
      <c r="K60" t="s">
        <v>651</v>
      </c>
    </row>
    <row r="61" spans="1:11" x14ac:dyDescent="0.3">
      <c r="A61" t="s">
        <v>603</v>
      </c>
      <c r="B61" t="s">
        <v>522</v>
      </c>
      <c r="C61" t="s">
        <v>523</v>
      </c>
      <c r="D61" t="s">
        <v>451</v>
      </c>
      <c r="E61" t="s">
        <v>524</v>
      </c>
      <c r="F61" t="s">
        <v>479</v>
      </c>
      <c r="H61" s="41">
        <v>3920249</v>
      </c>
      <c r="I61" t="s">
        <v>451</v>
      </c>
      <c r="J61" t="s">
        <v>2248</v>
      </c>
      <c r="K61" t="s">
        <v>651</v>
      </c>
    </row>
    <row r="62" spans="1:11" x14ac:dyDescent="0.3">
      <c r="A62" t="s">
        <v>549</v>
      </c>
      <c r="B62" t="s">
        <v>522</v>
      </c>
      <c r="C62" t="s">
        <v>523</v>
      </c>
      <c r="D62" t="s">
        <v>451</v>
      </c>
      <c r="E62" t="s">
        <v>524</v>
      </c>
      <c r="F62" t="s">
        <v>482</v>
      </c>
      <c r="H62" s="41">
        <v>7091551</v>
      </c>
      <c r="I62" t="s">
        <v>451</v>
      </c>
      <c r="J62" t="s">
        <v>2248</v>
      </c>
      <c r="K62" t="s">
        <v>651</v>
      </c>
    </row>
    <row r="63" spans="1:11" x14ac:dyDescent="0.3">
      <c r="A63" t="s">
        <v>551</v>
      </c>
      <c r="B63" t="s">
        <v>522</v>
      </c>
      <c r="C63" t="s">
        <v>523</v>
      </c>
      <c r="D63" t="s">
        <v>451</v>
      </c>
      <c r="E63" t="s">
        <v>524</v>
      </c>
      <c r="F63" t="s">
        <v>482</v>
      </c>
      <c r="H63" s="41">
        <v>5574093</v>
      </c>
      <c r="I63" t="s">
        <v>451</v>
      </c>
      <c r="J63" t="s">
        <v>2248</v>
      </c>
      <c r="K63" t="s">
        <v>651</v>
      </c>
    </row>
    <row r="64" spans="1:11" x14ac:dyDescent="0.3">
      <c r="A64" t="s">
        <v>552</v>
      </c>
      <c r="B64" t="s">
        <v>522</v>
      </c>
      <c r="C64" t="s">
        <v>523</v>
      </c>
      <c r="D64" t="s">
        <v>451</v>
      </c>
      <c r="E64" t="s">
        <v>524</v>
      </c>
      <c r="F64" t="s">
        <v>482</v>
      </c>
      <c r="H64" s="41">
        <v>5497554</v>
      </c>
      <c r="I64" t="s">
        <v>451</v>
      </c>
      <c r="J64" t="s">
        <v>2248</v>
      </c>
      <c r="K64" t="s">
        <v>651</v>
      </c>
    </row>
    <row r="65" spans="1:11" x14ac:dyDescent="0.3">
      <c r="A65" t="s">
        <v>553</v>
      </c>
      <c r="B65" t="s">
        <v>522</v>
      </c>
      <c r="C65" t="s">
        <v>523</v>
      </c>
      <c r="D65" t="s">
        <v>451</v>
      </c>
      <c r="E65" t="s">
        <v>524</v>
      </c>
      <c r="F65" t="s">
        <v>482</v>
      </c>
      <c r="H65" s="41">
        <v>5038594</v>
      </c>
      <c r="I65" t="s">
        <v>451</v>
      </c>
      <c r="J65" t="s">
        <v>2248</v>
      </c>
      <c r="K65" t="s">
        <v>651</v>
      </c>
    </row>
    <row r="66" spans="1:11" x14ac:dyDescent="0.3">
      <c r="A66" t="s">
        <v>554</v>
      </c>
      <c r="B66" t="s">
        <v>522</v>
      </c>
      <c r="C66" t="s">
        <v>523</v>
      </c>
      <c r="D66" t="s">
        <v>451</v>
      </c>
      <c r="E66" t="s">
        <v>524</v>
      </c>
      <c r="F66" t="s">
        <v>482</v>
      </c>
      <c r="H66" s="41">
        <v>6000846</v>
      </c>
      <c r="I66" t="s">
        <v>451</v>
      </c>
      <c r="J66" t="s">
        <v>2248</v>
      </c>
      <c r="K66" t="s">
        <v>651</v>
      </c>
    </row>
    <row r="67" spans="1:11" x14ac:dyDescent="0.3">
      <c r="A67" t="s">
        <v>603</v>
      </c>
      <c r="B67" t="s">
        <v>522</v>
      </c>
      <c r="C67" t="s">
        <v>523</v>
      </c>
      <c r="D67" t="s">
        <v>451</v>
      </c>
      <c r="E67" t="s">
        <v>524</v>
      </c>
      <c r="F67" t="s">
        <v>482</v>
      </c>
      <c r="H67" s="41">
        <v>5552094</v>
      </c>
      <c r="I67" t="s">
        <v>451</v>
      </c>
      <c r="J67" t="s">
        <v>2248</v>
      </c>
      <c r="K67" t="s">
        <v>651</v>
      </c>
    </row>
    <row r="68" spans="1:11" x14ac:dyDescent="0.3">
      <c r="A68" t="s">
        <v>549</v>
      </c>
      <c r="B68" t="s">
        <v>522</v>
      </c>
      <c r="C68" t="s">
        <v>523</v>
      </c>
      <c r="D68" t="s">
        <v>451</v>
      </c>
      <c r="E68" t="s">
        <v>524</v>
      </c>
      <c r="F68" t="s">
        <v>485</v>
      </c>
      <c r="H68" s="41">
        <v>63485497</v>
      </c>
      <c r="I68" t="s">
        <v>451</v>
      </c>
      <c r="J68" t="s">
        <v>2248</v>
      </c>
      <c r="K68" t="s">
        <v>651</v>
      </c>
    </row>
    <row r="69" spans="1:11" x14ac:dyDescent="0.3">
      <c r="A69" t="s">
        <v>551</v>
      </c>
      <c r="B69" t="s">
        <v>522</v>
      </c>
      <c r="C69" t="s">
        <v>523</v>
      </c>
      <c r="D69" t="s">
        <v>451</v>
      </c>
      <c r="E69" t="s">
        <v>524</v>
      </c>
      <c r="F69" t="s">
        <v>485</v>
      </c>
      <c r="H69" s="41">
        <v>54048915</v>
      </c>
      <c r="I69" t="s">
        <v>451</v>
      </c>
      <c r="J69" t="s">
        <v>2248</v>
      </c>
      <c r="K69" t="s">
        <v>651</v>
      </c>
    </row>
    <row r="70" spans="1:11" x14ac:dyDescent="0.3">
      <c r="A70" t="s">
        <v>552</v>
      </c>
      <c r="B70" t="s">
        <v>522</v>
      </c>
      <c r="C70" t="s">
        <v>523</v>
      </c>
      <c r="D70" t="s">
        <v>451</v>
      </c>
      <c r="E70" t="s">
        <v>524</v>
      </c>
      <c r="F70" t="s">
        <v>485</v>
      </c>
      <c r="H70" s="41">
        <v>-37938007</v>
      </c>
      <c r="I70" t="s">
        <v>451</v>
      </c>
      <c r="J70" t="s">
        <v>2248</v>
      </c>
      <c r="K70" t="s">
        <v>651</v>
      </c>
    </row>
    <row r="71" spans="1:11" x14ac:dyDescent="0.3">
      <c r="A71" t="s">
        <v>553</v>
      </c>
      <c r="B71" t="s">
        <v>522</v>
      </c>
      <c r="C71" t="s">
        <v>523</v>
      </c>
      <c r="D71" t="s">
        <v>451</v>
      </c>
      <c r="E71" t="s">
        <v>524</v>
      </c>
      <c r="F71" t="s">
        <v>485</v>
      </c>
      <c r="H71" s="41">
        <v>706203</v>
      </c>
      <c r="I71" t="s">
        <v>451</v>
      </c>
      <c r="J71" t="s">
        <v>2248</v>
      </c>
      <c r="K71" t="s">
        <v>651</v>
      </c>
    </row>
    <row r="72" spans="1:11" x14ac:dyDescent="0.3">
      <c r="A72" t="s">
        <v>554</v>
      </c>
      <c r="B72" t="s">
        <v>522</v>
      </c>
      <c r="C72" t="s">
        <v>523</v>
      </c>
      <c r="D72" t="s">
        <v>451</v>
      </c>
      <c r="E72" t="s">
        <v>524</v>
      </c>
      <c r="F72" t="s">
        <v>485</v>
      </c>
      <c r="H72" s="41">
        <v>108374968</v>
      </c>
      <c r="I72" t="s">
        <v>451</v>
      </c>
      <c r="J72" t="s">
        <v>2248</v>
      </c>
      <c r="K72" t="s">
        <v>651</v>
      </c>
    </row>
    <row r="73" spans="1:11" x14ac:dyDescent="0.3">
      <c r="A73" t="s">
        <v>603</v>
      </c>
      <c r="B73" t="s">
        <v>522</v>
      </c>
      <c r="C73" t="s">
        <v>523</v>
      </c>
      <c r="D73" t="s">
        <v>451</v>
      </c>
      <c r="E73" t="s">
        <v>524</v>
      </c>
      <c r="F73" t="s">
        <v>485</v>
      </c>
      <c r="H73" s="41">
        <v>33343650</v>
      </c>
      <c r="I73" t="s">
        <v>451</v>
      </c>
      <c r="J73" t="s">
        <v>2248</v>
      </c>
      <c r="K73" t="s">
        <v>651</v>
      </c>
    </row>
    <row r="74" spans="1:11" x14ac:dyDescent="0.3">
      <c r="A74" t="s">
        <v>553</v>
      </c>
      <c r="B74" t="s">
        <v>652</v>
      </c>
      <c r="C74" t="s">
        <v>653</v>
      </c>
      <c r="D74" t="s">
        <v>496</v>
      </c>
      <c r="E74" t="s">
        <v>524</v>
      </c>
      <c r="F74" t="s">
        <v>442</v>
      </c>
      <c r="G74" t="s">
        <v>654</v>
      </c>
      <c r="H74" s="41">
        <v>17616.150000000001</v>
      </c>
      <c r="I74" t="s">
        <v>496</v>
      </c>
      <c r="J74" t="s">
        <v>2248</v>
      </c>
      <c r="K74" t="s">
        <v>655</v>
      </c>
    </row>
    <row r="75" spans="1:11" x14ac:dyDescent="0.3">
      <c r="A75" t="s">
        <v>553</v>
      </c>
      <c r="B75" t="s">
        <v>656</v>
      </c>
      <c r="C75" t="s">
        <v>657</v>
      </c>
      <c r="D75" t="s">
        <v>496</v>
      </c>
      <c r="E75" t="s">
        <v>524</v>
      </c>
      <c r="F75" t="s">
        <v>442</v>
      </c>
      <c r="G75" t="s">
        <v>654</v>
      </c>
      <c r="H75" s="41">
        <v>2988.97</v>
      </c>
      <c r="I75" t="s">
        <v>496</v>
      </c>
      <c r="J75" t="s">
        <v>2248</v>
      </c>
      <c r="K75" t="s">
        <v>655</v>
      </c>
    </row>
    <row r="76" spans="1:11" x14ac:dyDescent="0.3">
      <c r="A76" t="s">
        <v>553</v>
      </c>
      <c r="B76" t="s">
        <v>658</v>
      </c>
      <c r="C76" t="s">
        <v>659</v>
      </c>
      <c r="D76" t="s">
        <v>496</v>
      </c>
      <c r="E76" t="s">
        <v>524</v>
      </c>
      <c r="F76" t="s">
        <v>442</v>
      </c>
      <c r="G76" t="s">
        <v>654</v>
      </c>
      <c r="H76" s="41">
        <v>0</v>
      </c>
      <c r="I76" t="s">
        <v>496</v>
      </c>
      <c r="J76" t="s">
        <v>2248</v>
      </c>
      <c r="K76" t="s">
        <v>655</v>
      </c>
    </row>
    <row r="77" spans="1:11" x14ac:dyDescent="0.3">
      <c r="A77" t="s">
        <v>553</v>
      </c>
      <c r="B77" t="s">
        <v>522</v>
      </c>
      <c r="C77" t="s">
        <v>523</v>
      </c>
      <c r="D77" t="s">
        <v>496</v>
      </c>
      <c r="E77" t="s">
        <v>524</v>
      </c>
      <c r="F77" t="s">
        <v>442</v>
      </c>
      <c r="G77" t="s">
        <v>654</v>
      </c>
      <c r="H77" s="41">
        <v>207564.28</v>
      </c>
      <c r="I77" t="s">
        <v>496</v>
      </c>
      <c r="J77" t="s">
        <v>2248</v>
      </c>
      <c r="K77" t="s">
        <v>655</v>
      </c>
    </row>
    <row r="78" spans="1:11" x14ac:dyDescent="0.3">
      <c r="A78" t="s">
        <v>553</v>
      </c>
      <c r="B78" t="s">
        <v>660</v>
      </c>
      <c r="C78" t="s">
        <v>661</v>
      </c>
      <c r="D78" t="s">
        <v>496</v>
      </c>
      <c r="E78" t="s">
        <v>524</v>
      </c>
      <c r="F78" t="s">
        <v>442</v>
      </c>
      <c r="G78" t="s">
        <v>654</v>
      </c>
      <c r="H78" s="41">
        <v>228169.4</v>
      </c>
      <c r="I78" t="s">
        <v>496</v>
      </c>
      <c r="J78" t="s">
        <v>2248</v>
      </c>
      <c r="K78" t="s">
        <v>662</v>
      </c>
    </row>
    <row r="79" spans="1:11" x14ac:dyDescent="0.3">
      <c r="A79" t="s">
        <v>554</v>
      </c>
      <c r="B79" t="s">
        <v>652</v>
      </c>
      <c r="C79" t="s">
        <v>653</v>
      </c>
      <c r="D79" t="s">
        <v>496</v>
      </c>
      <c r="E79" t="s">
        <v>524</v>
      </c>
      <c r="F79" t="s">
        <v>442</v>
      </c>
      <c r="G79" t="s">
        <v>654</v>
      </c>
      <c r="H79" s="41">
        <v>9716.4500000000007</v>
      </c>
      <c r="I79" t="s">
        <v>496</v>
      </c>
      <c r="J79" t="s">
        <v>2248</v>
      </c>
      <c r="K79" t="s">
        <v>655</v>
      </c>
    </row>
    <row r="80" spans="1:11" x14ac:dyDescent="0.3">
      <c r="A80" t="s">
        <v>554</v>
      </c>
      <c r="B80" t="s">
        <v>656</v>
      </c>
      <c r="C80" t="s">
        <v>657</v>
      </c>
      <c r="D80" t="s">
        <v>496</v>
      </c>
      <c r="E80" t="s">
        <v>524</v>
      </c>
      <c r="F80" t="s">
        <v>442</v>
      </c>
      <c r="G80" t="s">
        <v>654</v>
      </c>
      <c r="H80" s="41">
        <v>819.21</v>
      </c>
      <c r="I80" t="s">
        <v>496</v>
      </c>
      <c r="J80" t="s">
        <v>2248</v>
      </c>
      <c r="K80" t="s">
        <v>655</v>
      </c>
    </row>
    <row r="81" spans="1:11" x14ac:dyDescent="0.3">
      <c r="A81" t="s">
        <v>554</v>
      </c>
      <c r="B81" t="s">
        <v>658</v>
      </c>
      <c r="C81" t="s">
        <v>659</v>
      </c>
      <c r="D81" t="s">
        <v>496</v>
      </c>
      <c r="E81" t="s">
        <v>524</v>
      </c>
      <c r="F81" t="s">
        <v>442</v>
      </c>
      <c r="G81" t="s">
        <v>654</v>
      </c>
      <c r="H81" s="41">
        <v>0</v>
      </c>
      <c r="I81" t="s">
        <v>496</v>
      </c>
      <c r="J81" t="s">
        <v>2248</v>
      </c>
      <c r="K81" t="s">
        <v>655</v>
      </c>
    </row>
    <row r="82" spans="1:11" x14ac:dyDescent="0.3">
      <c r="A82" t="s">
        <v>554</v>
      </c>
      <c r="B82" t="s">
        <v>522</v>
      </c>
      <c r="C82" t="s">
        <v>523</v>
      </c>
      <c r="D82" t="s">
        <v>496</v>
      </c>
      <c r="E82" t="s">
        <v>524</v>
      </c>
      <c r="F82" t="s">
        <v>442</v>
      </c>
      <c r="G82" t="s">
        <v>654</v>
      </c>
      <c r="H82" s="41">
        <v>222539.06</v>
      </c>
      <c r="I82" t="s">
        <v>496</v>
      </c>
      <c r="J82" t="s">
        <v>2248</v>
      </c>
      <c r="K82" t="s">
        <v>655</v>
      </c>
    </row>
    <row r="83" spans="1:11" x14ac:dyDescent="0.3">
      <c r="A83" t="s">
        <v>554</v>
      </c>
      <c r="B83" t="s">
        <v>660</v>
      </c>
      <c r="C83" t="s">
        <v>661</v>
      </c>
      <c r="D83" t="s">
        <v>496</v>
      </c>
      <c r="E83" t="s">
        <v>524</v>
      </c>
      <c r="F83" t="s">
        <v>442</v>
      </c>
      <c r="G83" t="s">
        <v>654</v>
      </c>
      <c r="H83" s="41">
        <v>233074.72</v>
      </c>
      <c r="I83" t="s">
        <v>496</v>
      </c>
      <c r="J83" t="s">
        <v>2248</v>
      </c>
      <c r="K83" t="s">
        <v>662</v>
      </c>
    </row>
    <row r="84" spans="1:11" x14ac:dyDescent="0.3">
      <c r="A84" t="s">
        <v>603</v>
      </c>
      <c r="B84" t="s">
        <v>652</v>
      </c>
      <c r="C84" t="s">
        <v>653</v>
      </c>
      <c r="D84" t="s">
        <v>496</v>
      </c>
      <c r="E84" t="s">
        <v>524</v>
      </c>
      <c r="F84" t="s">
        <v>442</v>
      </c>
      <c r="G84" t="s">
        <v>654</v>
      </c>
      <c r="H84" s="41">
        <v>5664.45</v>
      </c>
      <c r="I84" t="s">
        <v>496</v>
      </c>
      <c r="J84" t="s">
        <v>2248</v>
      </c>
      <c r="K84" t="s">
        <v>655</v>
      </c>
    </row>
    <row r="85" spans="1:11" x14ac:dyDescent="0.3">
      <c r="A85" t="s">
        <v>603</v>
      </c>
      <c r="B85" t="s">
        <v>656</v>
      </c>
      <c r="C85" t="s">
        <v>657</v>
      </c>
      <c r="D85" t="s">
        <v>496</v>
      </c>
      <c r="E85" t="s">
        <v>524</v>
      </c>
      <c r="F85" t="s">
        <v>442</v>
      </c>
      <c r="G85" t="s">
        <v>654</v>
      </c>
      <c r="H85" s="41">
        <v>1821.51</v>
      </c>
      <c r="I85" t="s">
        <v>496</v>
      </c>
      <c r="J85" t="s">
        <v>2248</v>
      </c>
      <c r="K85" t="s">
        <v>655</v>
      </c>
    </row>
    <row r="86" spans="1:11" x14ac:dyDescent="0.3">
      <c r="A86" t="s">
        <v>603</v>
      </c>
      <c r="B86" t="s">
        <v>658</v>
      </c>
      <c r="C86" t="s">
        <v>659</v>
      </c>
      <c r="D86" t="s">
        <v>496</v>
      </c>
      <c r="E86" t="s">
        <v>524</v>
      </c>
      <c r="F86" t="s">
        <v>442</v>
      </c>
      <c r="G86" t="s">
        <v>654</v>
      </c>
      <c r="H86" s="41">
        <v>0</v>
      </c>
      <c r="I86" t="s">
        <v>496</v>
      </c>
      <c r="J86" t="s">
        <v>2248</v>
      </c>
      <c r="K86" t="s">
        <v>663</v>
      </c>
    </row>
    <row r="87" spans="1:11" x14ac:dyDescent="0.3">
      <c r="A87" t="s">
        <v>603</v>
      </c>
      <c r="B87" t="s">
        <v>522</v>
      </c>
      <c r="C87" t="s">
        <v>523</v>
      </c>
      <c r="D87" t="s">
        <v>496</v>
      </c>
      <c r="E87" t="s">
        <v>524</v>
      </c>
      <c r="F87" t="s">
        <v>442</v>
      </c>
      <c r="G87" t="s">
        <v>654</v>
      </c>
      <c r="H87" s="41">
        <v>214378.26</v>
      </c>
      <c r="I87" t="s">
        <v>496</v>
      </c>
      <c r="J87" t="s">
        <v>2248</v>
      </c>
      <c r="K87" t="s">
        <v>655</v>
      </c>
    </row>
    <row r="88" spans="1:11" x14ac:dyDescent="0.3">
      <c r="A88" t="s">
        <v>603</v>
      </c>
      <c r="B88" t="s">
        <v>660</v>
      </c>
      <c r="C88" t="s">
        <v>661</v>
      </c>
      <c r="D88" t="s">
        <v>496</v>
      </c>
      <c r="E88" t="s">
        <v>524</v>
      </c>
      <c r="F88" t="s">
        <v>442</v>
      </c>
      <c r="G88" t="s">
        <v>654</v>
      </c>
      <c r="H88" s="41">
        <v>221864.22</v>
      </c>
      <c r="I88" t="s">
        <v>496</v>
      </c>
      <c r="J88" t="s">
        <v>2248</v>
      </c>
      <c r="K88" t="s">
        <v>663</v>
      </c>
    </row>
    <row r="89" spans="1:11" x14ac:dyDescent="0.3">
      <c r="A89" t="s">
        <v>553</v>
      </c>
      <c r="B89" t="s">
        <v>652</v>
      </c>
      <c r="C89" t="s">
        <v>653</v>
      </c>
      <c r="D89" t="s">
        <v>496</v>
      </c>
      <c r="E89" t="s">
        <v>524</v>
      </c>
      <c r="F89" t="s">
        <v>479</v>
      </c>
      <c r="G89" t="s">
        <v>654</v>
      </c>
      <c r="H89" s="41">
        <v>0</v>
      </c>
      <c r="I89" t="s">
        <v>496</v>
      </c>
      <c r="J89" t="s">
        <v>2248</v>
      </c>
      <c r="K89" t="s">
        <v>655</v>
      </c>
    </row>
    <row r="90" spans="1:11" x14ac:dyDescent="0.3">
      <c r="A90" t="s">
        <v>553</v>
      </c>
      <c r="B90" t="s">
        <v>656</v>
      </c>
      <c r="C90" t="s">
        <v>657</v>
      </c>
      <c r="D90" t="s">
        <v>496</v>
      </c>
      <c r="E90" t="s">
        <v>524</v>
      </c>
      <c r="F90" t="s">
        <v>479</v>
      </c>
      <c r="G90" t="s">
        <v>654</v>
      </c>
      <c r="H90" s="41">
        <v>0</v>
      </c>
      <c r="I90" t="s">
        <v>496</v>
      </c>
      <c r="J90" t="s">
        <v>2248</v>
      </c>
      <c r="K90" t="s">
        <v>655</v>
      </c>
    </row>
    <row r="91" spans="1:11" x14ac:dyDescent="0.3">
      <c r="A91" t="s">
        <v>553</v>
      </c>
      <c r="B91" t="s">
        <v>658</v>
      </c>
      <c r="C91" t="s">
        <v>659</v>
      </c>
      <c r="D91" t="s">
        <v>496</v>
      </c>
      <c r="E91" t="s">
        <v>524</v>
      </c>
      <c r="F91" t="s">
        <v>479</v>
      </c>
      <c r="G91" t="s">
        <v>654</v>
      </c>
      <c r="H91" s="41">
        <v>0</v>
      </c>
      <c r="I91" t="s">
        <v>496</v>
      </c>
      <c r="J91" t="s">
        <v>2248</v>
      </c>
      <c r="K91" t="s">
        <v>655</v>
      </c>
    </row>
    <row r="92" spans="1:11" x14ac:dyDescent="0.3">
      <c r="A92" t="s">
        <v>553</v>
      </c>
      <c r="B92" t="s">
        <v>522</v>
      </c>
      <c r="C92" t="s">
        <v>523</v>
      </c>
      <c r="D92" t="s">
        <v>496</v>
      </c>
      <c r="E92" t="s">
        <v>524</v>
      </c>
      <c r="F92" t="s">
        <v>479</v>
      </c>
      <c r="G92" t="s">
        <v>654</v>
      </c>
      <c r="H92" s="41">
        <v>250.6</v>
      </c>
      <c r="I92" t="s">
        <v>496</v>
      </c>
      <c r="J92" t="s">
        <v>2248</v>
      </c>
      <c r="K92" t="s">
        <v>655</v>
      </c>
    </row>
    <row r="93" spans="1:11" x14ac:dyDescent="0.3">
      <c r="A93" t="s">
        <v>553</v>
      </c>
      <c r="B93" t="s">
        <v>660</v>
      </c>
      <c r="C93" t="s">
        <v>661</v>
      </c>
      <c r="D93" t="s">
        <v>496</v>
      </c>
      <c r="E93" t="s">
        <v>524</v>
      </c>
      <c r="F93" t="s">
        <v>479</v>
      </c>
      <c r="G93" t="s">
        <v>654</v>
      </c>
      <c r="H93" s="41">
        <v>250.6</v>
      </c>
      <c r="I93" t="s">
        <v>496</v>
      </c>
      <c r="J93" t="s">
        <v>2248</v>
      </c>
      <c r="K93" t="s">
        <v>662</v>
      </c>
    </row>
    <row r="94" spans="1:11" x14ac:dyDescent="0.3">
      <c r="A94" t="s">
        <v>554</v>
      </c>
      <c r="B94" t="s">
        <v>652</v>
      </c>
      <c r="C94" t="s">
        <v>653</v>
      </c>
      <c r="D94" t="s">
        <v>496</v>
      </c>
      <c r="E94" t="s">
        <v>524</v>
      </c>
      <c r="F94" t="s">
        <v>479</v>
      </c>
      <c r="G94" t="s">
        <v>654</v>
      </c>
      <c r="H94" s="41">
        <v>0</v>
      </c>
      <c r="I94" t="s">
        <v>496</v>
      </c>
      <c r="J94" t="s">
        <v>2248</v>
      </c>
      <c r="K94" t="s">
        <v>655</v>
      </c>
    </row>
    <row r="95" spans="1:11" x14ac:dyDescent="0.3">
      <c r="A95" t="s">
        <v>554</v>
      </c>
      <c r="B95" t="s">
        <v>656</v>
      </c>
      <c r="C95" t="s">
        <v>657</v>
      </c>
      <c r="D95" t="s">
        <v>496</v>
      </c>
      <c r="E95" t="s">
        <v>524</v>
      </c>
      <c r="F95" t="s">
        <v>479</v>
      </c>
      <c r="G95" t="s">
        <v>654</v>
      </c>
      <c r="H95" s="41">
        <v>0</v>
      </c>
      <c r="I95" t="s">
        <v>496</v>
      </c>
      <c r="J95" t="s">
        <v>2248</v>
      </c>
      <c r="K95" t="s">
        <v>655</v>
      </c>
    </row>
    <row r="96" spans="1:11" x14ac:dyDescent="0.3">
      <c r="A96" t="s">
        <v>554</v>
      </c>
      <c r="B96" t="s">
        <v>658</v>
      </c>
      <c r="C96" t="s">
        <v>659</v>
      </c>
      <c r="D96" t="s">
        <v>496</v>
      </c>
      <c r="E96" t="s">
        <v>524</v>
      </c>
      <c r="F96" t="s">
        <v>479</v>
      </c>
      <c r="G96" t="s">
        <v>654</v>
      </c>
      <c r="H96" s="41">
        <v>0</v>
      </c>
      <c r="I96" t="s">
        <v>496</v>
      </c>
      <c r="J96" t="s">
        <v>2248</v>
      </c>
      <c r="K96" t="s">
        <v>655</v>
      </c>
    </row>
    <row r="97" spans="1:11" x14ac:dyDescent="0.3">
      <c r="A97" t="s">
        <v>554</v>
      </c>
      <c r="B97" t="s">
        <v>522</v>
      </c>
      <c r="C97" t="s">
        <v>523</v>
      </c>
      <c r="D97" t="s">
        <v>496</v>
      </c>
      <c r="E97" t="s">
        <v>524</v>
      </c>
      <c r="F97" t="s">
        <v>479</v>
      </c>
      <c r="G97" t="s">
        <v>654</v>
      </c>
      <c r="H97" s="41">
        <v>367.89</v>
      </c>
      <c r="I97" t="s">
        <v>496</v>
      </c>
      <c r="J97" t="s">
        <v>2248</v>
      </c>
      <c r="K97" t="s">
        <v>655</v>
      </c>
    </row>
    <row r="98" spans="1:11" x14ac:dyDescent="0.3">
      <c r="A98" t="s">
        <v>554</v>
      </c>
      <c r="B98" t="s">
        <v>660</v>
      </c>
      <c r="C98" t="s">
        <v>661</v>
      </c>
      <c r="D98" t="s">
        <v>496</v>
      </c>
      <c r="E98" t="s">
        <v>524</v>
      </c>
      <c r="F98" t="s">
        <v>479</v>
      </c>
      <c r="G98" t="s">
        <v>654</v>
      </c>
      <c r="H98" s="41">
        <v>367.89</v>
      </c>
      <c r="I98" t="s">
        <v>496</v>
      </c>
      <c r="J98" t="s">
        <v>2248</v>
      </c>
      <c r="K98" t="s">
        <v>662</v>
      </c>
    </row>
    <row r="99" spans="1:11" x14ac:dyDescent="0.3">
      <c r="A99" t="s">
        <v>603</v>
      </c>
      <c r="B99" t="s">
        <v>652</v>
      </c>
      <c r="C99" t="s">
        <v>653</v>
      </c>
      <c r="D99" t="s">
        <v>496</v>
      </c>
      <c r="E99" t="s">
        <v>524</v>
      </c>
      <c r="F99" t="s">
        <v>479</v>
      </c>
      <c r="G99" t="s">
        <v>654</v>
      </c>
      <c r="H99" s="41">
        <v>0</v>
      </c>
      <c r="I99" t="s">
        <v>496</v>
      </c>
      <c r="J99" t="s">
        <v>2248</v>
      </c>
      <c r="K99" t="s">
        <v>655</v>
      </c>
    </row>
    <row r="100" spans="1:11" x14ac:dyDescent="0.3">
      <c r="A100" t="s">
        <v>603</v>
      </c>
      <c r="B100" t="s">
        <v>656</v>
      </c>
      <c r="C100" t="s">
        <v>657</v>
      </c>
      <c r="D100" t="s">
        <v>496</v>
      </c>
      <c r="E100" t="s">
        <v>524</v>
      </c>
      <c r="F100" t="s">
        <v>479</v>
      </c>
      <c r="G100" t="s">
        <v>654</v>
      </c>
      <c r="H100" s="41">
        <v>0</v>
      </c>
      <c r="I100" t="s">
        <v>496</v>
      </c>
      <c r="J100" t="s">
        <v>2248</v>
      </c>
      <c r="K100" t="s">
        <v>655</v>
      </c>
    </row>
    <row r="101" spans="1:11" x14ac:dyDescent="0.3">
      <c r="A101" t="s">
        <v>603</v>
      </c>
      <c r="B101" t="s">
        <v>658</v>
      </c>
      <c r="C101" t="s">
        <v>659</v>
      </c>
      <c r="D101" t="s">
        <v>496</v>
      </c>
      <c r="E101" t="s">
        <v>524</v>
      </c>
      <c r="F101" t="s">
        <v>479</v>
      </c>
      <c r="G101" t="s">
        <v>654</v>
      </c>
      <c r="H101" s="41">
        <v>0</v>
      </c>
      <c r="I101" t="s">
        <v>496</v>
      </c>
      <c r="J101" t="s">
        <v>2248</v>
      </c>
      <c r="K101" t="s">
        <v>655</v>
      </c>
    </row>
    <row r="102" spans="1:11" x14ac:dyDescent="0.3">
      <c r="A102" t="s">
        <v>603</v>
      </c>
      <c r="B102" t="s">
        <v>522</v>
      </c>
      <c r="C102" t="s">
        <v>523</v>
      </c>
      <c r="D102" t="s">
        <v>496</v>
      </c>
      <c r="E102" t="s">
        <v>524</v>
      </c>
      <c r="F102" t="s">
        <v>479</v>
      </c>
      <c r="G102" t="s">
        <v>654</v>
      </c>
      <c r="H102" s="41">
        <v>1118.3900000000001</v>
      </c>
      <c r="I102" t="s">
        <v>496</v>
      </c>
      <c r="J102" t="s">
        <v>2248</v>
      </c>
      <c r="K102" t="s">
        <v>655</v>
      </c>
    </row>
    <row r="103" spans="1:11" x14ac:dyDescent="0.3">
      <c r="A103" t="s">
        <v>603</v>
      </c>
      <c r="B103" t="s">
        <v>660</v>
      </c>
      <c r="C103" t="s">
        <v>661</v>
      </c>
      <c r="D103" t="s">
        <v>496</v>
      </c>
      <c r="E103" t="s">
        <v>524</v>
      </c>
      <c r="F103" t="s">
        <v>479</v>
      </c>
      <c r="G103" t="s">
        <v>654</v>
      </c>
      <c r="H103" s="41">
        <v>1118.3900000000001</v>
      </c>
      <c r="I103" t="s">
        <v>496</v>
      </c>
      <c r="J103" t="s">
        <v>2248</v>
      </c>
      <c r="K103" t="s">
        <v>662</v>
      </c>
    </row>
    <row r="104" spans="1:11" x14ac:dyDescent="0.3">
      <c r="A104" t="s">
        <v>553</v>
      </c>
      <c r="B104" t="s">
        <v>652</v>
      </c>
      <c r="C104" t="s">
        <v>653</v>
      </c>
      <c r="D104" t="s">
        <v>496</v>
      </c>
      <c r="E104" t="s">
        <v>524</v>
      </c>
      <c r="F104" t="s">
        <v>457</v>
      </c>
      <c r="G104" t="s">
        <v>654</v>
      </c>
      <c r="H104" s="41">
        <v>0</v>
      </c>
      <c r="I104" t="s">
        <v>496</v>
      </c>
      <c r="J104" t="s">
        <v>2248</v>
      </c>
      <c r="K104" t="s">
        <v>655</v>
      </c>
    </row>
    <row r="105" spans="1:11" x14ac:dyDescent="0.3">
      <c r="A105" t="s">
        <v>553</v>
      </c>
      <c r="B105" t="s">
        <v>656</v>
      </c>
      <c r="C105" t="s">
        <v>657</v>
      </c>
      <c r="D105" t="s">
        <v>496</v>
      </c>
      <c r="E105" t="s">
        <v>524</v>
      </c>
      <c r="F105" t="s">
        <v>457</v>
      </c>
      <c r="G105" t="s">
        <v>654</v>
      </c>
      <c r="H105" s="41">
        <v>0</v>
      </c>
      <c r="I105" t="s">
        <v>496</v>
      </c>
      <c r="J105" t="s">
        <v>2248</v>
      </c>
      <c r="K105" t="s">
        <v>655</v>
      </c>
    </row>
    <row r="106" spans="1:11" x14ac:dyDescent="0.3">
      <c r="A106" t="s">
        <v>553</v>
      </c>
      <c r="B106" t="s">
        <v>658</v>
      </c>
      <c r="C106" t="s">
        <v>659</v>
      </c>
      <c r="D106" t="s">
        <v>496</v>
      </c>
      <c r="E106" t="s">
        <v>524</v>
      </c>
      <c r="F106" t="s">
        <v>457</v>
      </c>
      <c r="G106" t="s">
        <v>654</v>
      </c>
      <c r="H106" s="41">
        <v>0</v>
      </c>
      <c r="I106" t="s">
        <v>496</v>
      </c>
      <c r="J106" t="s">
        <v>2248</v>
      </c>
      <c r="K106" t="s">
        <v>655</v>
      </c>
    </row>
    <row r="107" spans="1:11" x14ac:dyDescent="0.3">
      <c r="A107" t="s">
        <v>553</v>
      </c>
      <c r="B107" t="s">
        <v>522</v>
      </c>
      <c r="C107" t="s">
        <v>523</v>
      </c>
      <c r="D107" t="s">
        <v>496</v>
      </c>
      <c r="E107" t="s">
        <v>524</v>
      </c>
      <c r="F107" t="s">
        <v>457</v>
      </c>
      <c r="G107" t="s">
        <v>654</v>
      </c>
      <c r="H107" s="41">
        <v>104843.58</v>
      </c>
      <c r="I107" t="s">
        <v>496</v>
      </c>
      <c r="J107" t="s">
        <v>2248</v>
      </c>
      <c r="K107" t="s">
        <v>655</v>
      </c>
    </row>
    <row r="108" spans="1:11" x14ac:dyDescent="0.3">
      <c r="A108" t="s">
        <v>553</v>
      </c>
      <c r="B108" t="s">
        <v>660</v>
      </c>
      <c r="C108" t="s">
        <v>661</v>
      </c>
      <c r="D108" t="s">
        <v>496</v>
      </c>
      <c r="E108" t="s">
        <v>524</v>
      </c>
      <c r="F108" t="s">
        <v>457</v>
      </c>
      <c r="G108" t="s">
        <v>654</v>
      </c>
      <c r="H108" s="41">
        <v>104843.58</v>
      </c>
      <c r="I108" t="s">
        <v>496</v>
      </c>
      <c r="J108" t="s">
        <v>2248</v>
      </c>
      <c r="K108" t="s">
        <v>662</v>
      </c>
    </row>
    <row r="109" spans="1:11" x14ac:dyDescent="0.3">
      <c r="A109" t="s">
        <v>554</v>
      </c>
      <c r="B109" t="s">
        <v>652</v>
      </c>
      <c r="C109" t="s">
        <v>653</v>
      </c>
      <c r="D109" t="s">
        <v>496</v>
      </c>
      <c r="E109" t="s">
        <v>524</v>
      </c>
      <c r="F109" t="s">
        <v>457</v>
      </c>
      <c r="G109" t="s">
        <v>654</v>
      </c>
      <c r="H109" s="41">
        <v>0</v>
      </c>
      <c r="I109" t="s">
        <v>496</v>
      </c>
      <c r="J109" t="s">
        <v>2248</v>
      </c>
      <c r="K109" t="s">
        <v>655</v>
      </c>
    </row>
    <row r="110" spans="1:11" x14ac:dyDescent="0.3">
      <c r="A110" t="s">
        <v>554</v>
      </c>
      <c r="B110" t="s">
        <v>656</v>
      </c>
      <c r="C110" t="s">
        <v>657</v>
      </c>
      <c r="D110" t="s">
        <v>496</v>
      </c>
      <c r="E110" t="s">
        <v>524</v>
      </c>
      <c r="F110" t="s">
        <v>457</v>
      </c>
      <c r="G110" t="s">
        <v>654</v>
      </c>
      <c r="H110" s="41">
        <v>4478.38</v>
      </c>
      <c r="I110" t="s">
        <v>496</v>
      </c>
      <c r="J110" t="s">
        <v>2248</v>
      </c>
      <c r="K110" t="s">
        <v>655</v>
      </c>
    </row>
    <row r="111" spans="1:11" x14ac:dyDescent="0.3">
      <c r="A111" t="s">
        <v>554</v>
      </c>
      <c r="B111" t="s">
        <v>658</v>
      </c>
      <c r="C111" t="s">
        <v>659</v>
      </c>
      <c r="D111" t="s">
        <v>496</v>
      </c>
      <c r="E111" t="s">
        <v>524</v>
      </c>
      <c r="F111" t="s">
        <v>457</v>
      </c>
      <c r="G111" t="s">
        <v>654</v>
      </c>
      <c r="H111" s="41">
        <v>0</v>
      </c>
      <c r="I111" t="s">
        <v>496</v>
      </c>
      <c r="J111" t="s">
        <v>2248</v>
      </c>
      <c r="K111" t="s">
        <v>655</v>
      </c>
    </row>
    <row r="112" spans="1:11" x14ac:dyDescent="0.3">
      <c r="A112" t="s">
        <v>554</v>
      </c>
      <c r="B112" t="s">
        <v>522</v>
      </c>
      <c r="C112" t="s">
        <v>523</v>
      </c>
      <c r="D112" t="s">
        <v>496</v>
      </c>
      <c r="E112" t="s">
        <v>524</v>
      </c>
      <c r="F112" t="s">
        <v>457</v>
      </c>
      <c r="G112" t="s">
        <v>654</v>
      </c>
      <c r="H112" s="41">
        <v>95710.42</v>
      </c>
      <c r="I112" t="s">
        <v>496</v>
      </c>
      <c r="J112" t="s">
        <v>2248</v>
      </c>
      <c r="K112" t="s">
        <v>655</v>
      </c>
    </row>
    <row r="113" spans="1:11" x14ac:dyDescent="0.3">
      <c r="A113" t="s">
        <v>554</v>
      </c>
      <c r="B113" t="s">
        <v>660</v>
      </c>
      <c r="C113" t="s">
        <v>661</v>
      </c>
      <c r="D113" t="s">
        <v>496</v>
      </c>
      <c r="E113" t="s">
        <v>524</v>
      </c>
      <c r="F113" t="s">
        <v>457</v>
      </c>
      <c r="G113" t="s">
        <v>654</v>
      </c>
      <c r="H113" s="41">
        <v>100188.8</v>
      </c>
      <c r="I113" t="s">
        <v>496</v>
      </c>
      <c r="J113" t="s">
        <v>2248</v>
      </c>
      <c r="K113" t="s">
        <v>662</v>
      </c>
    </row>
    <row r="114" spans="1:11" x14ac:dyDescent="0.3">
      <c r="A114" t="s">
        <v>603</v>
      </c>
      <c r="B114" t="s">
        <v>652</v>
      </c>
      <c r="C114" t="s">
        <v>653</v>
      </c>
      <c r="D114" t="s">
        <v>496</v>
      </c>
      <c r="E114" t="s">
        <v>524</v>
      </c>
      <c r="F114" t="s">
        <v>457</v>
      </c>
      <c r="G114" t="s">
        <v>654</v>
      </c>
      <c r="H114" s="41">
        <v>0</v>
      </c>
      <c r="I114" t="s">
        <v>496</v>
      </c>
      <c r="J114" t="s">
        <v>2248</v>
      </c>
      <c r="K114" t="s">
        <v>655</v>
      </c>
    </row>
    <row r="115" spans="1:11" x14ac:dyDescent="0.3">
      <c r="A115" t="s">
        <v>603</v>
      </c>
      <c r="B115" t="s">
        <v>656</v>
      </c>
      <c r="C115" t="s">
        <v>657</v>
      </c>
      <c r="D115" t="s">
        <v>496</v>
      </c>
      <c r="E115" t="s">
        <v>524</v>
      </c>
      <c r="F115" t="s">
        <v>457</v>
      </c>
      <c r="G115" t="s">
        <v>654</v>
      </c>
      <c r="H115" s="41">
        <v>0</v>
      </c>
      <c r="I115" t="s">
        <v>496</v>
      </c>
      <c r="J115" t="s">
        <v>2248</v>
      </c>
      <c r="K115" t="s">
        <v>655</v>
      </c>
    </row>
    <row r="116" spans="1:11" x14ac:dyDescent="0.3">
      <c r="A116" t="s">
        <v>603</v>
      </c>
      <c r="B116" t="s">
        <v>658</v>
      </c>
      <c r="C116" t="s">
        <v>659</v>
      </c>
      <c r="D116" t="s">
        <v>496</v>
      </c>
      <c r="E116" t="s">
        <v>524</v>
      </c>
      <c r="F116" t="s">
        <v>457</v>
      </c>
      <c r="G116" t="s">
        <v>654</v>
      </c>
      <c r="H116" s="41">
        <v>0</v>
      </c>
      <c r="I116" t="s">
        <v>496</v>
      </c>
      <c r="J116" t="s">
        <v>2248</v>
      </c>
      <c r="K116" t="s">
        <v>655</v>
      </c>
    </row>
    <row r="117" spans="1:11" x14ac:dyDescent="0.3">
      <c r="A117" t="s">
        <v>603</v>
      </c>
      <c r="B117" t="s">
        <v>522</v>
      </c>
      <c r="C117" t="s">
        <v>523</v>
      </c>
      <c r="D117" t="s">
        <v>496</v>
      </c>
      <c r="E117" t="s">
        <v>524</v>
      </c>
      <c r="F117" t="s">
        <v>457</v>
      </c>
      <c r="G117" t="s">
        <v>654</v>
      </c>
      <c r="H117" s="41">
        <v>99415.39</v>
      </c>
      <c r="I117" t="s">
        <v>496</v>
      </c>
      <c r="J117" t="s">
        <v>2248</v>
      </c>
      <c r="K117" t="s">
        <v>655</v>
      </c>
    </row>
    <row r="118" spans="1:11" x14ac:dyDescent="0.3">
      <c r="A118" t="s">
        <v>603</v>
      </c>
      <c r="B118" t="s">
        <v>660</v>
      </c>
      <c r="C118" t="s">
        <v>661</v>
      </c>
      <c r="D118" t="s">
        <v>496</v>
      </c>
      <c r="E118" t="s">
        <v>524</v>
      </c>
      <c r="F118" t="s">
        <v>457</v>
      </c>
      <c r="G118" t="s">
        <v>654</v>
      </c>
      <c r="H118" s="41">
        <v>99415.39</v>
      </c>
      <c r="I118" t="s">
        <v>496</v>
      </c>
      <c r="J118" t="s">
        <v>2248</v>
      </c>
      <c r="K118" t="s">
        <v>662</v>
      </c>
    </row>
    <row r="119" spans="1:11" x14ac:dyDescent="0.3">
      <c r="A119" t="s">
        <v>553</v>
      </c>
      <c r="B119" t="s">
        <v>652</v>
      </c>
      <c r="C119" t="s">
        <v>653</v>
      </c>
      <c r="D119" t="s">
        <v>496</v>
      </c>
      <c r="E119" t="s">
        <v>524</v>
      </c>
      <c r="F119" t="s">
        <v>465</v>
      </c>
      <c r="G119" t="s">
        <v>654</v>
      </c>
      <c r="H119" s="41">
        <v>-46372.59</v>
      </c>
      <c r="I119" t="s">
        <v>496</v>
      </c>
      <c r="J119" t="s">
        <v>2248</v>
      </c>
      <c r="K119" t="s">
        <v>655</v>
      </c>
    </row>
    <row r="120" spans="1:11" x14ac:dyDescent="0.3">
      <c r="A120" t="s">
        <v>553</v>
      </c>
      <c r="B120" t="s">
        <v>656</v>
      </c>
      <c r="C120" t="s">
        <v>657</v>
      </c>
      <c r="D120" t="s">
        <v>496</v>
      </c>
      <c r="E120" t="s">
        <v>524</v>
      </c>
      <c r="F120" t="s">
        <v>465</v>
      </c>
      <c r="G120" t="s">
        <v>654</v>
      </c>
      <c r="H120" s="41">
        <v>0</v>
      </c>
      <c r="I120" t="s">
        <v>496</v>
      </c>
      <c r="J120" t="s">
        <v>2248</v>
      </c>
      <c r="K120" t="s">
        <v>655</v>
      </c>
    </row>
    <row r="121" spans="1:11" x14ac:dyDescent="0.3">
      <c r="A121" t="s">
        <v>553</v>
      </c>
      <c r="B121" t="s">
        <v>658</v>
      </c>
      <c r="C121" t="s">
        <v>659</v>
      </c>
      <c r="D121" t="s">
        <v>496</v>
      </c>
      <c r="E121" t="s">
        <v>524</v>
      </c>
      <c r="F121" t="s">
        <v>465</v>
      </c>
      <c r="G121" t="s">
        <v>654</v>
      </c>
      <c r="H121" s="41">
        <v>-17320.22</v>
      </c>
      <c r="I121" t="s">
        <v>496</v>
      </c>
      <c r="J121" t="s">
        <v>2248</v>
      </c>
      <c r="K121" t="s">
        <v>655</v>
      </c>
    </row>
    <row r="122" spans="1:11" x14ac:dyDescent="0.3">
      <c r="A122" t="s">
        <v>553</v>
      </c>
      <c r="B122" t="s">
        <v>522</v>
      </c>
      <c r="C122" t="s">
        <v>523</v>
      </c>
      <c r="D122" t="s">
        <v>496</v>
      </c>
      <c r="E122" t="s">
        <v>524</v>
      </c>
      <c r="F122" t="s">
        <v>465</v>
      </c>
      <c r="G122" t="s">
        <v>654</v>
      </c>
      <c r="H122" s="41">
        <v>31590.959999999999</v>
      </c>
      <c r="I122" t="s">
        <v>496</v>
      </c>
      <c r="J122" t="s">
        <v>2248</v>
      </c>
      <c r="K122" t="s">
        <v>655</v>
      </c>
    </row>
    <row r="123" spans="1:11" x14ac:dyDescent="0.3">
      <c r="A123" t="s">
        <v>553</v>
      </c>
      <c r="B123" t="s">
        <v>660</v>
      </c>
      <c r="C123" t="s">
        <v>661</v>
      </c>
      <c r="D123" t="s">
        <v>496</v>
      </c>
      <c r="E123" t="s">
        <v>524</v>
      </c>
      <c r="F123" t="s">
        <v>465</v>
      </c>
      <c r="G123" t="s">
        <v>654</v>
      </c>
      <c r="H123" s="41">
        <v>-32101.85</v>
      </c>
      <c r="I123" t="s">
        <v>496</v>
      </c>
      <c r="J123" t="s">
        <v>2248</v>
      </c>
      <c r="K123" t="s">
        <v>662</v>
      </c>
    </row>
    <row r="124" spans="1:11" x14ac:dyDescent="0.3">
      <c r="A124" t="s">
        <v>554</v>
      </c>
      <c r="B124" t="s">
        <v>652</v>
      </c>
      <c r="C124" t="s">
        <v>653</v>
      </c>
      <c r="D124" t="s">
        <v>496</v>
      </c>
      <c r="E124" t="s">
        <v>524</v>
      </c>
      <c r="F124" t="s">
        <v>465</v>
      </c>
      <c r="G124" t="s">
        <v>654</v>
      </c>
      <c r="H124" s="41">
        <v>21616.02</v>
      </c>
      <c r="I124" t="s">
        <v>496</v>
      </c>
      <c r="J124" t="s">
        <v>2248</v>
      </c>
      <c r="K124" t="s">
        <v>655</v>
      </c>
    </row>
    <row r="125" spans="1:11" x14ac:dyDescent="0.3">
      <c r="A125" t="s">
        <v>554</v>
      </c>
      <c r="B125" t="s">
        <v>656</v>
      </c>
      <c r="C125" t="s">
        <v>657</v>
      </c>
      <c r="D125" t="s">
        <v>496</v>
      </c>
      <c r="E125" t="s">
        <v>524</v>
      </c>
      <c r="F125" t="s">
        <v>465</v>
      </c>
      <c r="G125" t="s">
        <v>654</v>
      </c>
      <c r="H125" s="41">
        <v>0</v>
      </c>
      <c r="I125" t="s">
        <v>496</v>
      </c>
      <c r="J125" t="s">
        <v>2248</v>
      </c>
      <c r="K125" t="s">
        <v>655</v>
      </c>
    </row>
    <row r="126" spans="1:11" x14ac:dyDescent="0.3">
      <c r="A126" t="s">
        <v>554</v>
      </c>
      <c r="B126" t="s">
        <v>658</v>
      </c>
      <c r="C126" t="s">
        <v>659</v>
      </c>
      <c r="D126" t="s">
        <v>496</v>
      </c>
      <c r="E126" t="s">
        <v>524</v>
      </c>
      <c r="F126" t="s">
        <v>465</v>
      </c>
      <c r="G126" t="s">
        <v>654</v>
      </c>
      <c r="H126" s="41">
        <v>57.8</v>
      </c>
      <c r="I126" t="s">
        <v>496</v>
      </c>
      <c r="J126" t="s">
        <v>2248</v>
      </c>
      <c r="K126" t="s">
        <v>655</v>
      </c>
    </row>
    <row r="127" spans="1:11" x14ac:dyDescent="0.3">
      <c r="A127" t="s">
        <v>554</v>
      </c>
      <c r="B127" t="s">
        <v>522</v>
      </c>
      <c r="C127" t="s">
        <v>523</v>
      </c>
      <c r="D127" t="s">
        <v>496</v>
      </c>
      <c r="E127" t="s">
        <v>524</v>
      </c>
      <c r="F127" t="s">
        <v>465</v>
      </c>
      <c r="G127" t="s">
        <v>654</v>
      </c>
      <c r="H127" s="41">
        <v>31450.77</v>
      </c>
      <c r="I127" t="s">
        <v>496</v>
      </c>
      <c r="J127" t="s">
        <v>2248</v>
      </c>
      <c r="K127" t="s">
        <v>655</v>
      </c>
    </row>
    <row r="128" spans="1:11" x14ac:dyDescent="0.3">
      <c r="A128" t="s">
        <v>554</v>
      </c>
      <c r="B128" t="s">
        <v>660</v>
      </c>
      <c r="C128" t="s">
        <v>661</v>
      </c>
      <c r="D128" t="s">
        <v>496</v>
      </c>
      <c r="E128" t="s">
        <v>524</v>
      </c>
      <c r="F128" t="s">
        <v>465</v>
      </c>
      <c r="G128" t="s">
        <v>654</v>
      </c>
      <c r="H128" s="41">
        <v>53124.59</v>
      </c>
      <c r="I128" t="s">
        <v>496</v>
      </c>
      <c r="J128" t="s">
        <v>2248</v>
      </c>
      <c r="K128" t="s">
        <v>662</v>
      </c>
    </row>
    <row r="129" spans="1:11" x14ac:dyDescent="0.3">
      <c r="A129" t="s">
        <v>603</v>
      </c>
      <c r="B129" t="s">
        <v>652</v>
      </c>
      <c r="C129" t="s">
        <v>653</v>
      </c>
      <c r="D129" t="s">
        <v>496</v>
      </c>
      <c r="E129" t="s">
        <v>524</v>
      </c>
      <c r="F129" t="s">
        <v>465</v>
      </c>
      <c r="G129" t="s">
        <v>654</v>
      </c>
      <c r="H129" s="41">
        <v>25433.27</v>
      </c>
      <c r="I129" t="s">
        <v>496</v>
      </c>
      <c r="J129" t="s">
        <v>2248</v>
      </c>
      <c r="K129" t="s">
        <v>655</v>
      </c>
    </row>
    <row r="130" spans="1:11" x14ac:dyDescent="0.3">
      <c r="A130" t="s">
        <v>603</v>
      </c>
      <c r="B130" t="s">
        <v>656</v>
      </c>
      <c r="C130" t="s">
        <v>657</v>
      </c>
      <c r="D130" t="s">
        <v>496</v>
      </c>
      <c r="E130" t="s">
        <v>524</v>
      </c>
      <c r="F130" t="s">
        <v>465</v>
      </c>
      <c r="G130" t="s">
        <v>654</v>
      </c>
      <c r="H130" s="41">
        <v>0</v>
      </c>
      <c r="I130" t="s">
        <v>496</v>
      </c>
      <c r="J130" t="s">
        <v>2248</v>
      </c>
      <c r="K130" t="s">
        <v>655</v>
      </c>
    </row>
    <row r="131" spans="1:11" x14ac:dyDescent="0.3">
      <c r="A131" t="s">
        <v>603</v>
      </c>
      <c r="B131" t="s">
        <v>658</v>
      </c>
      <c r="C131" t="s">
        <v>659</v>
      </c>
      <c r="D131" t="s">
        <v>496</v>
      </c>
      <c r="E131" t="s">
        <v>524</v>
      </c>
      <c r="F131" t="s">
        <v>465</v>
      </c>
      <c r="G131" t="s">
        <v>654</v>
      </c>
      <c r="H131" s="41">
        <v>71.989999999999995</v>
      </c>
      <c r="I131" t="s">
        <v>496</v>
      </c>
      <c r="J131" t="s">
        <v>2248</v>
      </c>
      <c r="K131" t="s">
        <v>655</v>
      </c>
    </row>
    <row r="132" spans="1:11" x14ac:dyDescent="0.3">
      <c r="A132" t="s">
        <v>603</v>
      </c>
      <c r="B132" t="s">
        <v>522</v>
      </c>
      <c r="C132" t="s">
        <v>523</v>
      </c>
      <c r="D132" t="s">
        <v>496</v>
      </c>
      <c r="E132" t="s">
        <v>524</v>
      </c>
      <c r="F132" t="s">
        <v>465</v>
      </c>
      <c r="G132" t="s">
        <v>654</v>
      </c>
      <c r="H132" s="41">
        <v>32034.26</v>
      </c>
      <c r="I132" t="s">
        <v>496</v>
      </c>
      <c r="J132" t="s">
        <v>2248</v>
      </c>
      <c r="K132" t="s">
        <v>655</v>
      </c>
    </row>
    <row r="133" spans="1:11" x14ac:dyDescent="0.3">
      <c r="A133" t="s">
        <v>603</v>
      </c>
      <c r="B133" t="s">
        <v>660</v>
      </c>
      <c r="C133" t="s">
        <v>661</v>
      </c>
      <c r="D133" t="s">
        <v>496</v>
      </c>
      <c r="E133" t="s">
        <v>524</v>
      </c>
      <c r="F133" t="s">
        <v>465</v>
      </c>
      <c r="G133" t="s">
        <v>654</v>
      </c>
      <c r="H133" s="41">
        <v>57539.519999999997</v>
      </c>
      <c r="I133" t="s">
        <v>496</v>
      </c>
      <c r="J133" t="s">
        <v>2248</v>
      </c>
      <c r="K133" t="s">
        <v>662</v>
      </c>
    </row>
    <row r="134" spans="1:11" x14ac:dyDescent="0.3">
      <c r="A134" t="s">
        <v>553</v>
      </c>
      <c r="B134" t="s">
        <v>652</v>
      </c>
      <c r="C134" t="s">
        <v>653</v>
      </c>
      <c r="D134" t="s">
        <v>496</v>
      </c>
      <c r="E134" t="s">
        <v>524</v>
      </c>
      <c r="F134" t="s">
        <v>472</v>
      </c>
      <c r="G134" t="s">
        <v>654</v>
      </c>
      <c r="H134" s="41">
        <v>0</v>
      </c>
      <c r="I134" t="s">
        <v>496</v>
      </c>
      <c r="J134" t="s">
        <v>2248</v>
      </c>
      <c r="K134" t="s">
        <v>655</v>
      </c>
    </row>
    <row r="135" spans="1:11" x14ac:dyDescent="0.3">
      <c r="A135" t="s">
        <v>553</v>
      </c>
      <c r="B135" t="s">
        <v>656</v>
      </c>
      <c r="C135" t="s">
        <v>657</v>
      </c>
      <c r="D135" t="s">
        <v>496</v>
      </c>
      <c r="E135" t="s">
        <v>524</v>
      </c>
      <c r="F135" t="s">
        <v>472</v>
      </c>
      <c r="G135" t="s">
        <v>654</v>
      </c>
      <c r="H135" s="41">
        <v>0</v>
      </c>
      <c r="I135" t="s">
        <v>496</v>
      </c>
      <c r="J135" t="s">
        <v>2248</v>
      </c>
      <c r="K135" t="s">
        <v>655</v>
      </c>
    </row>
    <row r="136" spans="1:11" x14ac:dyDescent="0.3">
      <c r="A136" t="s">
        <v>553</v>
      </c>
      <c r="B136" t="s">
        <v>658</v>
      </c>
      <c r="C136" t="s">
        <v>659</v>
      </c>
      <c r="D136" t="s">
        <v>496</v>
      </c>
      <c r="E136" t="s">
        <v>524</v>
      </c>
      <c r="F136" t="s">
        <v>472</v>
      </c>
      <c r="G136" t="s">
        <v>654</v>
      </c>
      <c r="H136" s="41">
        <v>0</v>
      </c>
      <c r="I136" t="s">
        <v>496</v>
      </c>
      <c r="J136" t="s">
        <v>2248</v>
      </c>
      <c r="K136" t="s">
        <v>655</v>
      </c>
    </row>
    <row r="137" spans="1:11" x14ac:dyDescent="0.3">
      <c r="A137" t="s">
        <v>553</v>
      </c>
      <c r="B137" t="s">
        <v>522</v>
      </c>
      <c r="C137" t="s">
        <v>523</v>
      </c>
      <c r="D137" t="s">
        <v>496</v>
      </c>
      <c r="E137" t="s">
        <v>524</v>
      </c>
      <c r="F137" t="s">
        <v>472</v>
      </c>
      <c r="G137" t="s">
        <v>654</v>
      </c>
      <c r="H137" s="41">
        <v>35961.230000000003</v>
      </c>
      <c r="I137" t="s">
        <v>496</v>
      </c>
      <c r="J137" t="s">
        <v>2248</v>
      </c>
      <c r="K137" t="s">
        <v>655</v>
      </c>
    </row>
    <row r="138" spans="1:11" x14ac:dyDescent="0.3">
      <c r="A138" t="s">
        <v>553</v>
      </c>
      <c r="B138" t="s">
        <v>660</v>
      </c>
      <c r="C138" t="s">
        <v>661</v>
      </c>
      <c r="D138" t="s">
        <v>496</v>
      </c>
      <c r="E138" t="s">
        <v>524</v>
      </c>
      <c r="F138" t="s">
        <v>472</v>
      </c>
      <c r="G138" t="s">
        <v>654</v>
      </c>
      <c r="H138" s="41">
        <v>35961.230000000003</v>
      </c>
      <c r="I138" t="s">
        <v>496</v>
      </c>
      <c r="J138" t="s">
        <v>2248</v>
      </c>
      <c r="K138" t="s">
        <v>662</v>
      </c>
    </row>
    <row r="139" spans="1:11" x14ac:dyDescent="0.3">
      <c r="A139" t="s">
        <v>554</v>
      </c>
      <c r="B139" t="s">
        <v>652</v>
      </c>
      <c r="C139" t="s">
        <v>653</v>
      </c>
      <c r="D139" t="s">
        <v>496</v>
      </c>
      <c r="E139" t="s">
        <v>524</v>
      </c>
      <c r="F139" t="s">
        <v>472</v>
      </c>
      <c r="G139" t="s">
        <v>654</v>
      </c>
      <c r="H139" s="41">
        <v>4000</v>
      </c>
      <c r="I139" t="s">
        <v>496</v>
      </c>
      <c r="J139" t="s">
        <v>2248</v>
      </c>
      <c r="K139" t="s">
        <v>655</v>
      </c>
    </row>
    <row r="140" spans="1:11" x14ac:dyDescent="0.3">
      <c r="A140" t="s">
        <v>554</v>
      </c>
      <c r="B140" t="s">
        <v>656</v>
      </c>
      <c r="C140" t="s">
        <v>657</v>
      </c>
      <c r="D140" t="s">
        <v>496</v>
      </c>
      <c r="E140" t="s">
        <v>524</v>
      </c>
      <c r="F140" t="s">
        <v>472</v>
      </c>
      <c r="G140" t="s">
        <v>654</v>
      </c>
      <c r="H140" s="41">
        <v>0</v>
      </c>
      <c r="I140" t="s">
        <v>496</v>
      </c>
      <c r="J140" t="s">
        <v>2248</v>
      </c>
      <c r="K140" t="s">
        <v>655</v>
      </c>
    </row>
    <row r="141" spans="1:11" x14ac:dyDescent="0.3">
      <c r="A141" t="s">
        <v>554</v>
      </c>
      <c r="B141" t="s">
        <v>658</v>
      </c>
      <c r="C141" t="s">
        <v>659</v>
      </c>
      <c r="D141" t="s">
        <v>496</v>
      </c>
      <c r="E141" t="s">
        <v>524</v>
      </c>
      <c r="F141" t="s">
        <v>472</v>
      </c>
      <c r="G141" t="s">
        <v>654</v>
      </c>
      <c r="H141" s="41">
        <v>1300</v>
      </c>
      <c r="I141" t="s">
        <v>496</v>
      </c>
      <c r="J141" t="s">
        <v>2248</v>
      </c>
      <c r="K141" t="s">
        <v>655</v>
      </c>
    </row>
    <row r="142" spans="1:11" x14ac:dyDescent="0.3">
      <c r="A142" t="s">
        <v>554</v>
      </c>
      <c r="B142" t="s">
        <v>522</v>
      </c>
      <c r="C142" t="s">
        <v>523</v>
      </c>
      <c r="D142" t="s">
        <v>496</v>
      </c>
      <c r="E142" t="s">
        <v>524</v>
      </c>
      <c r="F142" t="s">
        <v>472</v>
      </c>
      <c r="G142" t="s">
        <v>654</v>
      </c>
      <c r="H142" s="41">
        <v>32372.79</v>
      </c>
      <c r="I142" t="s">
        <v>496</v>
      </c>
      <c r="J142" t="s">
        <v>2248</v>
      </c>
      <c r="K142" t="s">
        <v>655</v>
      </c>
    </row>
    <row r="143" spans="1:11" x14ac:dyDescent="0.3">
      <c r="A143" t="s">
        <v>554</v>
      </c>
      <c r="B143" t="s">
        <v>660</v>
      </c>
      <c r="C143" t="s">
        <v>661</v>
      </c>
      <c r="D143" t="s">
        <v>496</v>
      </c>
      <c r="E143" t="s">
        <v>524</v>
      </c>
      <c r="F143" t="s">
        <v>472</v>
      </c>
      <c r="G143" t="s">
        <v>654</v>
      </c>
      <c r="H143" s="41">
        <v>37672.79</v>
      </c>
      <c r="I143" t="s">
        <v>496</v>
      </c>
      <c r="J143" t="s">
        <v>2248</v>
      </c>
      <c r="K143" t="s">
        <v>662</v>
      </c>
    </row>
    <row r="144" spans="1:11" x14ac:dyDescent="0.3">
      <c r="A144" t="s">
        <v>603</v>
      </c>
      <c r="B144" t="s">
        <v>652</v>
      </c>
      <c r="C144" t="s">
        <v>653</v>
      </c>
      <c r="D144" t="s">
        <v>496</v>
      </c>
      <c r="E144" t="s">
        <v>524</v>
      </c>
      <c r="F144" t="s">
        <v>472</v>
      </c>
      <c r="G144" t="s">
        <v>654</v>
      </c>
      <c r="H144" s="41">
        <v>2535</v>
      </c>
      <c r="I144" t="s">
        <v>496</v>
      </c>
      <c r="J144" t="s">
        <v>2248</v>
      </c>
      <c r="K144" t="s">
        <v>655</v>
      </c>
    </row>
    <row r="145" spans="1:11" x14ac:dyDescent="0.3">
      <c r="A145" t="s">
        <v>603</v>
      </c>
      <c r="B145" t="s">
        <v>656</v>
      </c>
      <c r="C145" t="s">
        <v>657</v>
      </c>
      <c r="D145" t="s">
        <v>496</v>
      </c>
      <c r="E145" t="s">
        <v>524</v>
      </c>
      <c r="F145" t="s">
        <v>472</v>
      </c>
      <c r="G145" t="s">
        <v>654</v>
      </c>
      <c r="H145" s="41">
        <v>0</v>
      </c>
      <c r="I145" t="s">
        <v>496</v>
      </c>
      <c r="J145" t="s">
        <v>2248</v>
      </c>
      <c r="K145" t="s">
        <v>655</v>
      </c>
    </row>
    <row r="146" spans="1:11" x14ac:dyDescent="0.3">
      <c r="A146" t="s">
        <v>603</v>
      </c>
      <c r="B146" t="s">
        <v>658</v>
      </c>
      <c r="C146" t="s">
        <v>659</v>
      </c>
      <c r="D146" t="s">
        <v>496</v>
      </c>
      <c r="E146" t="s">
        <v>524</v>
      </c>
      <c r="F146" t="s">
        <v>472</v>
      </c>
      <c r="G146" t="s">
        <v>654</v>
      </c>
      <c r="H146" s="41">
        <v>2550</v>
      </c>
      <c r="I146" t="s">
        <v>496</v>
      </c>
      <c r="J146" t="s">
        <v>2248</v>
      </c>
      <c r="K146" t="s">
        <v>655</v>
      </c>
    </row>
    <row r="147" spans="1:11" x14ac:dyDescent="0.3">
      <c r="A147" t="s">
        <v>603</v>
      </c>
      <c r="B147" t="s">
        <v>522</v>
      </c>
      <c r="C147" t="s">
        <v>523</v>
      </c>
      <c r="D147" t="s">
        <v>496</v>
      </c>
      <c r="E147" t="s">
        <v>524</v>
      </c>
      <c r="F147" t="s">
        <v>472</v>
      </c>
      <c r="G147" t="s">
        <v>654</v>
      </c>
      <c r="H147" s="41">
        <v>41880.81</v>
      </c>
      <c r="I147" t="s">
        <v>496</v>
      </c>
      <c r="J147" t="s">
        <v>2248</v>
      </c>
      <c r="K147" t="s">
        <v>655</v>
      </c>
    </row>
    <row r="148" spans="1:11" x14ac:dyDescent="0.3">
      <c r="A148" t="s">
        <v>603</v>
      </c>
      <c r="B148" t="s">
        <v>660</v>
      </c>
      <c r="C148" t="s">
        <v>661</v>
      </c>
      <c r="D148" t="s">
        <v>496</v>
      </c>
      <c r="E148" t="s">
        <v>524</v>
      </c>
      <c r="F148" t="s">
        <v>472</v>
      </c>
      <c r="G148" t="s">
        <v>654</v>
      </c>
      <c r="H148" s="41">
        <v>46965.81</v>
      </c>
      <c r="I148" t="s">
        <v>496</v>
      </c>
      <c r="J148" t="s">
        <v>2248</v>
      </c>
      <c r="K148" t="s">
        <v>662</v>
      </c>
    </row>
    <row r="149" spans="1:11" x14ac:dyDescent="0.3">
      <c r="A149" t="s">
        <v>553</v>
      </c>
      <c r="B149" t="s">
        <v>652</v>
      </c>
      <c r="C149" t="s">
        <v>653</v>
      </c>
      <c r="D149" t="s">
        <v>496</v>
      </c>
      <c r="E149" t="s">
        <v>524</v>
      </c>
      <c r="F149" t="s">
        <v>469</v>
      </c>
      <c r="G149" t="s">
        <v>654</v>
      </c>
      <c r="H149" s="41">
        <v>0</v>
      </c>
      <c r="I149" t="s">
        <v>496</v>
      </c>
      <c r="J149" t="s">
        <v>2248</v>
      </c>
      <c r="K149" t="s">
        <v>655</v>
      </c>
    </row>
    <row r="150" spans="1:11" x14ac:dyDescent="0.3">
      <c r="A150" t="s">
        <v>553</v>
      </c>
      <c r="B150" t="s">
        <v>656</v>
      </c>
      <c r="C150" t="s">
        <v>657</v>
      </c>
      <c r="D150" t="s">
        <v>496</v>
      </c>
      <c r="E150" t="s">
        <v>524</v>
      </c>
      <c r="F150" t="s">
        <v>469</v>
      </c>
      <c r="G150" t="s">
        <v>654</v>
      </c>
      <c r="H150" s="41">
        <v>0</v>
      </c>
      <c r="I150" t="s">
        <v>496</v>
      </c>
      <c r="J150" t="s">
        <v>2248</v>
      </c>
      <c r="K150" t="s">
        <v>655</v>
      </c>
    </row>
    <row r="151" spans="1:11" x14ac:dyDescent="0.3">
      <c r="A151" t="s">
        <v>553</v>
      </c>
      <c r="B151" t="s">
        <v>658</v>
      </c>
      <c r="C151" t="s">
        <v>659</v>
      </c>
      <c r="D151" t="s">
        <v>496</v>
      </c>
      <c r="E151" t="s">
        <v>524</v>
      </c>
      <c r="F151" t="s">
        <v>469</v>
      </c>
      <c r="G151" t="s">
        <v>654</v>
      </c>
      <c r="H151" s="41">
        <v>0</v>
      </c>
      <c r="I151" t="s">
        <v>496</v>
      </c>
      <c r="J151" t="s">
        <v>2248</v>
      </c>
      <c r="K151" t="s">
        <v>655</v>
      </c>
    </row>
    <row r="152" spans="1:11" x14ac:dyDescent="0.3">
      <c r="A152" t="s">
        <v>553</v>
      </c>
      <c r="B152" t="s">
        <v>522</v>
      </c>
      <c r="C152" t="s">
        <v>523</v>
      </c>
      <c r="D152" t="s">
        <v>496</v>
      </c>
      <c r="E152" t="s">
        <v>524</v>
      </c>
      <c r="F152" t="s">
        <v>469</v>
      </c>
      <c r="G152" t="s">
        <v>654</v>
      </c>
      <c r="H152" s="41">
        <v>33831.07</v>
      </c>
      <c r="I152" t="s">
        <v>496</v>
      </c>
      <c r="J152" t="s">
        <v>2248</v>
      </c>
      <c r="K152" t="s">
        <v>655</v>
      </c>
    </row>
    <row r="153" spans="1:11" x14ac:dyDescent="0.3">
      <c r="A153" t="s">
        <v>553</v>
      </c>
      <c r="B153" t="s">
        <v>660</v>
      </c>
      <c r="C153" t="s">
        <v>661</v>
      </c>
      <c r="D153" t="s">
        <v>496</v>
      </c>
      <c r="E153" t="s">
        <v>524</v>
      </c>
      <c r="F153" t="s">
        <v>469</v>
      </c>
      <c r="G153" t="s">
        <v>654</v>
      </c>
      <c r="H153" s="41">
        <v>33831.07</v>
      </c>
      <c r="I153" t="s">
        <v>496</v>
      </c>
      <c r="J153" t="s">
        <v>2248</v>
      </c>
      <c r="K153" t="s">
        <v>662</v>
      </c>
    </row>
    <row r="154" spans="1:11" x14ac:dyDescent="0.3">
      <c r="A154" t="s">
        <v>554</v>
      </c>
      <c r="B154" t="s">
        <v>652</v>
      </c>
      <c r="C154" t="s">
        <v>653</v>
      </c>
      <c r="D154" t="s">
        <v>496</v>
      </c>
      <c r="E154" t="s">
        <v>524</v>
      </c>
      <c r="F154" t="s">
        <v>469</v>
      </c>
      <c r="G154" t="s">
        <v>654</v>
      </c>
      <c r="H154" s="41">
        <v>7500</v>
      </c>
      <c r="I154" t="s">
        <v>496</v>
      </c>
      <c r="J154" t="s">
        <v>2248</v>
      </c>
      <c r="K154" t="s">
        <v>655</v>
      </c>
    </row>
    <row r="155" spans="1:11" x14ac:dyDescent="0.3">
      <c r="A155" t="s">
        <v>554</v>
      </c>
      <c r="B155" t="s">
        <v>656</v>
      </c>
      <c r="C155" t="s">
        <v>657</v>
      </c>
      <c r="D155" t="s">
        <v>496</v>
      </c>
      <c r="E155" t="s">
        <v>524</v>
      </c>
      <c r="F155" t="s">
        <v>469</v>
      </c>
      <c r="G155" t="s">
        <v>654</v>
      </c>
      <c r="H155" s="41">
        <v>0</v>
      </c>
      <c r="I155" t="s">
        <v>496</v>
      </c>
      <c r="J155" t="s">
        <v>2248</v>
      </c>
      <c r="K155" t="s">
        <v>655</v>
      </c>
    </row>
    <row r="156" spans="1:11" x14ac:dyDescent="0.3">
      <c r="A156" t="s">
        <v>554</v>
      </c>
      <c r="B156" t="s">
        <v>658</v>
      </c>
      <c r="C156" t="s">
        <v>659</v>
      </c>
      <c r="D156" t="s">
        <v>496</v>
      </c>
      <c r="E156" t="s">
        <v>524</v>
      </c>
      <c r="F156" t="s">
        <v>469</v>
      </c>
      <c r="G156" t="s">
        <v>654</v>
      </c>
      <c r="H156" s="41">
        <v>0</v>
      </c>
      <c r="I156" t="s">
        <v>496</v>
      </c>
      <c r="J156" t="s">
        <v>2248</v>
      </c>
      <c r="K156" t="s">
        <v>655</v>
      </c>
    </row>
    <row r="157" spans="1:11" x14ac:dyDescent="0.3">
      <c r="A157" t="s">
        <v>554</v>
      </c>
      <c r="B157" t="s">
        <v>522</v>
      </c>
      <c r="C157" t="s">
        <v>523</v>
      </c>
      <c r="D157" t="s">
        <v>496</v>
      </c>
      <c r="E157" t="s">
        <v>524</v>
      </c>
      <c r="F157" t="s">
        <v>469</v>
      </c>
      <c r="G157" t="s">
        <v>654</v>
      </c>
      <c r="H157" s="41">
        <v>32577.279999999999</v>
      </c>
      <c r="I157" t="s">
        <v>496</v>
      </c>
      <c r="J157" t="s">
        <v>2248</v>
      </c>
      <c r="K157" t="s">
        <v>655</v>
      </c>
    </row>
    <row r="158" spans="1:11" x14ac:dyDescent="0.3">
      <c r="A158" t="s">
        <v>554</v>
      </c>
      <c r="B158" t="s">
        <v>660</v>
      </c>
      <c r="C158" t="s">
        <v>661</v>
      </c>
      <c r="D158" t="s">
        <v>496</v>
      </c>
      <c r="E158" t="s">
        <v>524</v>
      </c>
      <c r="F158" t="s">
        <v>469</v>
      </c>
      <c r="G158" t="s">
        <v>654</v>
      </c>
      <c r="H158" s="41">
        <v>40077.279999999999</v>
      </c>
      <c r="I158" t="s">
        <v>496</v>
      </c>
      <c r="J158" t="s">
        <v>2248</v>
      </c>
      <c r="K158" t="s">
        <v>662</v>
      </c>
    </row>
    <row r="159" spans="1:11" x14ac:dyDescent="0.3">
      <c r="A159" t="s">
        <v>603</v>
      </c>
      <c r="B159" t="s">
        <v>652</v>
      </c>
      <c r="C159" t="s">
        <v>653</v>
      </c>
      <c r="D159" t="s">
        <v>496</v>
      </c>
      <c r="E159" t="s">
        <v>524</v>
      </c>
      <c r="F159" t="s">
        <v>469</v>
      </c>
      <c r="G159" t="s">
        <v>654</v>
      </c>
      <c r="H159" s="41">
        <v>0</v>
      </c>
      <c r="I159" t="s">
        <v>496</v>
      </c>
      <c r="J159" t="s">
        <v>2248</v>
      </c>
      <c r="K159" t="s">
        <v>655</v>
      </c>
    </row>
    <row r="160" spans="1:11" x14ac:dyDescent="0.3">
      <c r="A160" t="s">
        <v>603</v>
      </c>
      <c r="B160" t="s">
        <v>656</v>
      </c>
      <c r="C160" t="s">
        <v>657</v>
      </c>
      <c r="D160" t="s">
        <v>496</v>
      </c>
      <c r="E160" t="s">
        <v>524</v>
      </c>
      <c r="F160" t="s">
        <v>469</v>
      </c>
      <c r="G160" t="s">
        <v>654</v>
      </c>
      <c r="H160" s="41">
        <v>0</v>
      </c>
      <c r="I160" t="s">
        <v>496</v>
      </c>
      <c r="J160" t="s">
        <v>2248</v>
      </c>
      <c r="K160" t="s">
        <v>655</v>
      </c>
    </row>
    <row r="161" spans="1:11" x14ac:dyDescent="0.3">
      <c r="A161" t="s">
        <v>603</v>
      </c>
      <c r="B161" t="s">
        <v>658</v>
      </c>
      <c r="C161" t="s">
        <v>659</v>
      </c>
      <c r="D161" t="s">
        <v>496</v>
      </c>
      <c r="E161" t="s">
        <v>524</v>
      </c>
      <c r="F161" t="s">
        <v>469</v>
      </c>
      <c r="G161" t="s">
        <v>654</v>
      </c>
      <c r="H161" s="41">
        <v>0</v>
      </c>
      <c r="I161" t="s">
        <v>496</v>
      </c>
      <c r="J161" t="s">
        <v>2248</v>
      </c>
      <c r="K161" t="s">
        <v>655</v>
      </c>
    </row>
    <row r="162" spans="1:11" x14ac:dyDescent="0.3">
      <c r="A162" t="s">
        <v>603</v>
      </c>
      <c r="B162" t="s">
        <v>522</v>
      </c>
      <c r="C162" t="s">
        <v>523</v>
      </c>
      <c r="D162" t="s">
        <v>496</v>
      </c>
      <c r="E162" t="s">
        <v>524</v>
      </c>
      <c r="F162" t="s">
        <v>469</v>
      </c>
      <c r="G162" t="s">
        <v>654</v>
      </c>
      <c r="H162" s="41">
        <v>31069.82</v>
      </c>
      <c r="I162" t="s">
        <v>496</v>
      </c>
      <c r="J162" t="s">
        <v>2248</v>
      </c>
      <c r="K162" t="s">
        <v>655</v>
      </c>
    </row>
    <row r="163" spans="1:11" x14ac:dyDescent="0.3">
      <c r="A163" t="s">
        <v>603</v>
      </c>
      <c r="B163" t="s">
        <v>660</v>
      </c>
      <c r="C163" t="s">
        <v>661</v>
      </c>
      <c r="D163" t="s">
        <v>496</v>
      </c>
      <c r="E163" t="s">
        <v>524</v>
      </c>
      <c r="F163" t="s">
        <v>469</v>
      </c>
      <c r="G163" t="s">
        <v>654</v>
      </c>
      <c r="H163" s="41">
        <v>31069.82</v>
      </c>
      <c r="I163" t="s">
        <v>496</v>
      </c>
      <c r="J163" t="s">
        <v>2248</v>
      </c>
      <c r="K163" t="s">
        <v>662</v>
      </c>
    </row>
    <row r="164" spans="1:11" x14ac:dyDescent="0.3">
      <c r="A164" t="s">
        <v>553</v>
      </c>
      <c r="B164" t="s">
        <v>652</v>
      </c>
      <c r="C164" t="s">
        <v>653</v>
      </c>
      <c r="D164" t="s">
        <v>496</v>
      </c>
      <c r="E164" t="s">
        <v>524</v>
      </c>
      <c r="F164" t="s">
        <v>482</v>
      </c>
      <c r="G164" t="s">
        <v>654</v>
      </c>
      <c r="H164" s="41">
        <v>0</v>
      </c>
      <c r="I164" t="s">
        <v>496</v>
      </c>
      <c r="J164" t="s">
        <v>2248</v>
      </c>
      <c r="K164" t="s">
        <v>655</v>
      </c>
    </row>
    <row r="165" spans="1:11" x14ac:dyDescent="0.3">
      <c r="A165" t="s">
        <v>553</v>
      </c>
      <c r="B165" t="s">
        <v>656</v>
      </c>
      <c r="C165" t="s">
        <v>657</v>
      </c>
      <c r="D165" t="s">
        <v>496</v>
      </c>
      <c r="E165" t="s">
        <v>524</v>
      </c>
      <c r="F165" t="s">
        <v>482</v>
      </c>
      <c r="G165" t="s">
        <v>654</v>
      </c>
      <c r="H165" s="41">
        <v>-92.64</v>
      </c>
      <c r="I165" t="s">
        <v>496</v>
      </c>
      <c r="J165" t="s">
        <v>2248</v>
      </c>
      <c r="K165" t="s">
        <v>655</v>
      </c>
    </row>
    <row r="166" spans="1:11" x14ac:dyDescent="0.3">
      <c r="A166" t="s">
        <v>553</v>
      </c>
      <c r="B166" t="s">
        <v>658</v>
      </c>
      <c r="C166" t="s">
        <v>659</v>
      </c>
      <c r="D166" t="s">
        <v>496</v>
      </c>
      <c r="E166" t="s">
        <v>524</v>
      </c>
      <c r="F166" t="s">
        <v>482</v>
      </c>
      <c r="G166" t="s">
        <v>654</v>
      </c>
      <c r="H166" s="41">
        <v>267.92</v>
      </c>
      <c r="I166" t="s">
        <v>496</v>
      </c>
      <c r="J166" t="s">
        <v>2248</v>
      </c>
      <c r="K166" t="s">
        <v>655</v>
      </c>
    </row>
    <row r="167" spans="1:11" x14ac:dyDescent="0.3">
      <c r="A167" t="s">
        <v>553</v>
      </c>
      <c r="B167" t="s">
        <v>522</v>
      </c>
      <c r="C167" t="s">
        <v>523</v>
      </c>
      <c r="D167" t="s">
        <v>496</v>
      </c>
      <c r="E167" t="s">
        <v>524</v>
      </c>
      <c r="F167" t="s">
        <v>482</v>
      </c>
      <c r="G167" t="s">
        <v>654</v>
      </c>
      <c r="H167" s="41">
        <v>1392.83</v>
      </c>
      <c r="I167" t="s">
        <v>496</v>
      </c>
      <c r="J167" t="s">
        <v>2248</v>
      </c>
      <c r="K167" t="s">
        <v>655</v>
      </c>
    </row>
    <row r="168" spans="1:11" x14ac:dyDescent="0.3">
      <c r="A168" t="s">
        <v>553</v>
      </c>
      <c r="B168" t="s">
        <v>660</v>
      </c>
      <c r="C168" t="s">
        <v>661</v>
      </c>
      <c r="D168" t="s">
        <v>496</v>
      </c>
      <c r="E168" t="s">
        <v>524</v>
      </c>
      <c r="F168" t="s">
        <v>482</v>
      </c>
      <c r="G168" t="s">
        <v>654</v>
      </c>
      <c r="H168" s="41">
        <v>1568.11</v>
      </c>
      <c r="I168" t="s">
        <v>496</v>
      </c>
      <c r="J168" t="s">
        <v>2248</v>
      </c>
      <c r="K168" t="s">
        <v>662</v>
      </c>
    </row>
    <row r="169" spans="1:11" x14ac:dyDescent="0.3">
      <c r="A169" t="s">
        <v>554</v>
      </c>
      <c r="B169" t="s">
        <v>652</v>
      </c>
      <c r="C169" t="s">
        <v>653</v>
      </c>
      <c r="D169" t="s">
        <v>496</v>
      </c>
      <c r="E169" t="s">
        <v>524</v>
      </c>
      <c r="F169" t="s">
        <v>482</v>
      </c>
      <c r="G169" t="s">
        <v>654</v>
      </c>
      <c r="H169" s="41">
        <v>0</v>
      </c>
      <c r="I169" t="s">
        <v>496</v>
      </c>
      <c r="J169" t="s">
        <v>2248</v>
      </c>
      <c r="K169" t="s">
        <v>655</v>
      </c>
    </row>
    <row r="170" spans="1:11" x14ac:dyDescent="0.3">
      <c r="A170" t="s">
        <v>554</v>
      </c>
      <c r="B170" t="s">
        <v>656</v>
      </c>
      <c r="C170" t="s">
        <v>657</v>
      </c>
      <c r="D170" t="s">
        <v>496</v>
      </c>
      <c r="E170" t="s">
        <v>524</v>
      </c>
      <c r="F170" t="s">
        <v>482</v>
      </c>
      <c r="G170" t="s">
        <v>654</v>
      </c>
      <c r="H170" s="41">
        <v>32.31</v>
      </c>
      <c r="I170" t="s">
        <v>496</v>
      </c>
      <c r="J170" t="s">
        <v>2248</v>
      </c>
      <c r="K170" t="s">
        <v>655</v>
      </c>
    </row>
    <row r="171" spans="1:11" x14ac:dyDescent="0.3">
      <c r="A171" t="s">
        <v>554</v>
      </c>
      <c r="B171" t="s">
        <v>658</v>
      </c>
      <c r="C171" t="s">
        <v>659</v>
      </c>
      <c r="D171" t="s">
        <v>496</v>
      </c>
      <c r="E171" t="s">
        <v>524</v>
      </c>
      <c r="F171" t="s">
        <v>482</v>
      </c>
      <c r="G171" t="s">
        <v>654</v>
      </c>
      <c r="H171" s="41">
        <v>36</v>
      </c>
      <c r="I171" t="s">
        <v>496</v>
      </c>
      <c r="J171" t="s">
        <v>2248</v>
      </c>
      <c r="K171" t="s">
        <v>655</v>
      </c>
    </row>
    <row r="172" spans="1:11" x14ac:dyDescent="0.3">
      <c r="A172" t="s">
        <v>554</v>
      </c>
      <c r="B172" t="s">
        <v>522</v>
      </c>
      <c r="C172" t="s">
        <v>523</v>
      </c>
      <c r="D172" t="s">
        <v>496</v>
      </c>
      <c r="E172" t="s">
        <v>524</v>
      </c>
      <c r="F172" t="s">
        <v>482</v>
      </c>
      <c r="G172" t="s">
        <v>654</v>
      </c>
      <c r="H172" s="41">
        <v>1615.73</v>
      </c>
      <c r="I172" t="s">
        <v>496</v>
      </c>
      <c r="J172" t="s">
        <v>2248</v>
      </c>
      <c r="K172" t="s">
        <v>655</v>
      </c>
    </row>
    <row r="173" spans="1:11" x14ac:dyDescent="0.3">
      <c r="A173" t="s">
        <v>554</v>
      </c>
      <c r="B173" t="s">
        <v>660</v>
      </c>
      <c r="C173" t="s">
        <v>661</v>
      </c>
      <c r="D173" t="s">
        <v>496</v>
      </c>
      <c r="E173" t="s">
        <v>524</v>
      </c>
      <c r="F173" t="s">
        <v>482</v>
      </c>
      <c r="G173" t="s">
        <v>654</v>
      </c>
      <c r="H173" s="41">
        <v>1684.04</v>
      </c>
      <c r="I173" t="s">
        <v>496</v>
      </c>
      <c r="J173" t="s">
        <v>2248</v>
      </c>
      <c r="K173" t="s">
        <v>662</v>
      </c>
    </row>
    <row r="174" spans="1:11" x14ac:dyDescent="0.3">
      <c r="A174" t="s">
        <v>603</v>
      </c>
      <c r="B174" t="s">
        <v>652</v>
      </c>
      <c r="C174" t="s">
        <v>653</v>
      </c>
      <c r="D174" t="s">
        <v>496</v>
      </c>
      <c r="E174" t="s">
        <v>524</v>
      </c>
      <c r="F174" t="s">
        <v>482</v>
      </c>
      <c r="G174" t="s">
        <v>654</v>
      </c>
      <c r="H174" s="41">
        <v>0</v>
      </c>
      <c r="I174" t="s">
        <v>496</v>
      </c>
      <c r="J174" t="s">
        <v>2248</v>
      </c>
      <c r="K174" t="s">
        <v>655</v>
      </c>
    </row>
    <row r="175" spans="1:11" x14ac:dyDescent="0.3">
      <c r="A175" t="s">
        <v>603</v>
      </c>
      <c r="B175" t="s">
        <v>656</v>
      </c>
      <c r="C175" t="s">
        <v>657</v>
      </c>
      <c r="D175" t="s">
        <v>496</v>
      </c>
      <c r="E175" t="s">
        <v>524</v>
      </c>
      <c r="F175" t="s">
        <v>482</v>
      </c>
      <c r="G175" t="s">
        <v>654</v>
      </c>
      <c r="H175" s="41">
        <v>11.97</v>
      </c>
      <c r="I175" t="s">
        <v>496</v>
      </c>
      <c r="J175" t="s">
        <v>2248</v>
      </c>
      <c r="K175" t="s">
        <v>655</v>
      </c>
    </row>
    <row r="176" spans="1:11" x14ac:dyDescent="0.3">
      <c r="A176" t="s">
        <v>603</v>
      </c>
      <c r="B176" t="s">
        <v>658</v>
      </c>
      <c r="C176" t="s">
        <v>659</v>
      </c>
      <c r="D176" t="s">
        <v>496</v>
      </c>
      <c r="E176" t="s">
        <v>524</v>
      </c>
      <c r="F176" t="s">
        <v>482</v>
      </c>
      <c r="G176" t="s">
        <v>654</v>
      </c>
      <c r="H176" s="41">
        <v>50</v>
      </c>
      <c r="I176" t="s">
        <v>496</v>
      </c>
      <c r="J176" t="s">
        <v>2248</v>
      </c>
      <c r="K176" t="s">
        <v>655</v>
      </c>
    </row>
    <row r="177" spans="1:11" x14ac:dyDescent="0.3">
      <c r="A177" t="s">
        <v>603</v>
      </c>
      <c r="B177" t="s">
        <v>522</v>
      </c>
      <c r="C177" t="s">
        <v>523</v>
      </c>
      <c r="D177" t="s">
        <v>496</v>
      </c>
      <c r="E177" t="s">
        <v>524</v>
      </c>
      <c r="F177" t="s">
        <v>482</v>
      </c>
      <c r="G177" t="s">
        <v>654</v>
      </c>
      <c r="H177" s="41">
        <v>1583.93</v>
      </c>
      <c r="I177" t="s">
        <v>496</v>
      </c>
      <c r="J177" t="s">
        <v>2248</v>
      </c>
      <c r="K177" t="s">
        <v>655</v>
      </c>
    </row>
    <row r="178" spans="1:11" x14ac:dyDescent="0.3">
      <c r="A178" t="s">
        <v>603</v>
      </c>
      <c r="B178" t="s">
        <v>660</v>
      </c>
      <c r="C178" t="s">
        <v>661</v>
      </c>
      <c r="D178" t="s">
        <v>496</v>
      </c>
      <c r="E178" t="s">
        <v>524</v>
      </c>
      <c r="F178" t="s">
        <v>482</v>
      </c>
      <c r="G178" t="s">
        <v>654</v>
      </c>
      <c r="H178" s="41">
        <v>1645.9</v>
      </c>
      <c r="I178" t="s">
        <v>496</v>
      </c>
      <c r="J178" t="s">
        <v>2248</v>
      </c>
      <c r="K178" t="s">
        <v>662</v>
      </c>
    </row>
    <row r="179" spans="1:11" x14ac:dyDescent="0.3">
      <c r="A179" t="s">
        <v>553</v>
      </c>
      <c r="B179" t="s">
        <v>652</v>
      </c>
      <c r="C179" t="s">
        <v>653</v>
      </c>
      <c r="D179" t="s">
        <v>496</v>
      </c>
      <c r="E179" t="s">
        <v>524</v>
      </c>
      <c r="F179" t="s">
        <v>485</v>
      </c>
      <c r="G179" t="s">
        <v>654</v>
      </c>
      <c r="H179" s="41">
        <v>-28756.44</v>
      </c>
      <c r="I179" t="s">
        <v>496</v>
      </c>
      <c r="J179" t="s">
        <v>2248</v>
      </c>
      <c r="K179" t="s">
        <v>655</v>
      </c>
    </row>
    <row r="180" spans="1:11" x14ac:dyDescent="0.3">
      <c r="A180" t="s">
        <v>553</v>
      </c>
      <c r="B180" t="s">
        <v>656</v>
      </c>
      <c r="C180" t="s">
        <v>657</v>
      </c>
      <c r="D180" t="s">
        <v>496</v>
      </c>
      <c r="E180" t="s">
        <v>524</v>
      </c>
      <c r="F180" t="s">
        <v>485</v>
      </c>
      <c r="G180" t="s">
        <v>654</v>
      </c>
      <c r="H180" s="41">
        <v>3081.61</v>
      </c>
      <c r="I180" t="s">
        <v>496</v>
      </c>
      <c r="J180" t="s">
        <v>2248</v>
      </c>
      <c r="K180" t="s">
        <v>655</v>
      </c>
    </row>
    <row r="181" spans="1:11" x14ac:dyDescent="0.3">
      <c r="A181" t="s">
        <v>553</v>
      </c>
      <c r="B181" t="s">
        <v>658</v>
      </c>
      <c r="C181" t="s">
        <v>659</v>
      </c>
      <c r="D181" t="s">
        <v>496</v>
      </c>
      <c r="E181" t="s">
        <v>524</v>
      </c>
      <c r="F181" t="s">
        <v>485</v>
      </c>
      <c r="G181" t="s">
        <v>654</v>
      </c>
      <c r="H181" s="41">
        <v>-17052.3</v>
      </c>
      <c r="I181" t="s">
        <v>496</v>
      </c>
      <c r="J181" t="s">
        <v>2248</v>
      </c>
      <c r="K181" t="s">
        <v>655</v>
      </c>
    </row>
    <row r="182" spans="1:11" x14ac:dyDescent="0.3">
      <c r="A182" t="s">
        <v>553</v>
      </c>
      <c r="B182" t="s">
        <v>522</v>
      </c>
      <c r="C182" t="s">
        <v>523</v>
      </c>
      <c r="D182" t="s">
        <v>496</v>
      </c>
      <c r="E182" t="s">
        <v>524</v>
      </c>
      <c r="F182" t="s">
        <v>485</v>
      </c>
      <c r="G182" t="s">
        <v>654</v>
      </c>
      <c r="H182" s="41">
        <v>195.22</v>
      </c>
      <c r="I182" t="s">
        <v>496</v>
      </c>
      <c r="J182" t="s">
        <v>2248</v>
      </c>
      <c r="K182" t="s">
        <v>655</v>
      </c>
    </row>
    <row r="183" spans="1:11" x14ac:dyDescent="0.3">
      <c r="A183" t="s">
        <v>553</v>
      </c>
      <c r="B183" t="s">
        <v>660</v>
      </c>
      <c r="C183" t="s">
        <v>661</v>
      </c>
      <c r="D183" t="s">
        <v>496</v>
      </c>
      <c r="E183" t="s">
        <v>524</v>
      </c>
      <c r="F183" t="s">
        <v>485</v>
      </c>
      <c r="G183" t="s">
        <v>654</v>
      </c>
      <c r="H183" s="41">
        <v>-42531.91</v>
      </c>
      <c r="I183" t="s">
        <v>496</v>
      </c>
      <c r="J183" t="s">
        <v>2248</v>
      </c>
      <c r="K183" t="s">
        <v>662</v>
      </c>
    </row>
    <row r="184" spans="1:11" x14ac:dyDescent="0.3">
      <c r="A184" t="s">
        <v>554</v>
      </c>
      <c r="B184" t="s">
        <v>652</v>
      </c>
      <c r="C184" t="s">
        <v>653</v>
      </c>
      <c r="D184" t="s">
        <v>496</v>
      </c>
      <c r="E184" t="s">
        <v>524</v>
      </c>
      <c r="F184" t="s">
        <v>485</v>
      </c>
      <c r="G184" t="s">
        <v>654</v>
      </c>
      <c r="H184" s="41">
        <v>-23399.57</v>
      </c>
      <c r="I184" t="s">
        <v>496</v>
      </c>
      <c r="J184" t="s">
        <v>2248</v>
      </c>
      <c r="K184" t="s">
        <v>655</v>
      </c>
    </row>
    <row r="185" spans="1:11" x14ac:dyDescent="0.3">
      <c r="A185" t="s">
        <v>554</v>
      </c>
      <c r="B185" t="s">
        <v>656</v>
      </c>
      <c r="C185" t="s">
        <v>657</v>
      </c>
      <c r="D185" t="s">
        <v>496</v>
      </c>
      <c r="E185" t="s">
        <v>524</v>
      </c>
      <c r="F185" t="s">
        <v>485</v>
      </c>
      <c r="G185" t="s">
        <v>654</v>
      </c>
      <c r="H185" s="41">
        <v>-3691.48</v>
      </c>
      <c r="I185" t="s">
        <v>496</v>
      </c>
      <c r="J185" t="s">
        <v>2248</v>
      </c>
      <c r="K185" t="s">
        <v>655</v>
      </c>
    </row>
    <row r="186" spans="1:11" x14ac:dyDescent="0.3">
      <c r="A186" t="s">
        <v>554</v>
      </c>
      <c r="B186" t="s">
        <v>658</v>
      </c>
      <c r="C186" t="s">
        <v>659</v>
      </c>
      <c r="D186" t="s">
        <v>496</v>
      </c>
      <c r="E186" t="s">
        <v>524</v>
      </c>
      <c r="F186" t="s">
        <v>485</v>
      </c>
      <c r="G186" t="s">
        <v>654</v>
      </c>
      <c r="H186" s="41">
        <v>-1393.8</v>
      </c>
      <c r="I186" t="s">
        <v>496</v>
      </c>
      <c r="J186" t="s">
        <v>2248</v>
      </c>
      <c r="K186" t="s">
        <v>655</v>
      </c>
    </row>
    <row r="187" spans="1:11" x14ac:dyDescent="0.3">
      <c r="A187" t="s">
        <v>554</v>
      </c>
      <c r="B187" t="s">
        <v>522</v>
      </c>
      <c r="C187" t="s">
        <v>523</v>
      </c>
      <c r="D187" t="s">
        <v>496</v>
      </c>
      <c r="E187" t="s">
        <v>524</v>
      </c>
      <c r="F187" t="s">
        <v>485</v>
      </c>
      <c r="G187" t="s">
        <v>654</v>
      </c>
      <c r="H187" s="41">
        <v>29179.96</v>
      </c>
      <c r="I187" t="s">
        <v>496</v>
      </c>
      <c r="J187" t="s">
        <v>2248</v>
      </c>
      <c r="K187" t="s">
        <v>655</v>
      </c>
    </row>
    <row r="188" spans="1:11" x14ac:dyDescent="0.3">
      <c r="A188" t="s">
        <v>554</v>
      </c>
      <c r="B188" t="s">
        <v>660</v>
      </c>
      <c r="C188" t="s">
        <v>661</v>
      </c>
      <c r="D188" t="s">
        <v>496</v>
      </c>
      <c r="E188" t="s">
        <v>524</v>
      </c>
      <c r="F188" t="s">
        <v>485</v>
      </c>
      <c r="G188" t="s">
        <v>654</v>
      </c>
      <c r="H188" s="41">
        <v>695.11</v>
      </c>
      <c r="I188" t="s">
        <v>496</v>
      </c>
      <c r="J188" t="s">
        <v>2248</v>
      </c>
      <c r="K188" t="s">
        <v>662</v>
      </c>
    </row>
    <row r="189" spans="1:11" x14ac:dyDescent="0.3">
      <c r="A189" t="s">
        <v>603</v>
      </c>
      <c r="B189" t="s">
        <v>652</v>
      </c>
      <c r="C189" t="s">
        <v>653</v>
      </c>
      <c r="D189" t="s">
        <v>496</v>
      </c>
      <c r="E189" t="s">
        <v>524</v>
      </c>
      <c r="F189" t="s">
        <v>485</v>
      </c>
      <c r="G189" t="s">
        <v>654</v>
      </c>
      <c r="H189" s="41">
        <v>-22303.82</v>
      </c>
      <c r="I189" t="s">
        <v>496</v>
      </c>
      <c r="J189" t="s">
        <v>2248</v>
      </c>
      <c r="K189" t="s">
        <v>655</v>
      </c>
    </row>
    <row r="190" spans="1:11" x14ac:dyDescent="0.3">
      <c r="A190" t="s">
        <v>603</v>
      </c>
      <c r="B190" t="s">
        <v>656</v>
      </c>
      <c r="C190" t="s">
        <v>657</v>
      </c>
      <c r="D190" t="s">
        <v>496</v>
      </c>
      <c r="E190" t="s">
        <v>524</v>
      </c>
      <c r="F190" t="s">
        <v>485</v>
      </c>
      <c r="G190" t="s">
        <v>654</v>
      </c>
      <c r="H190" s="41">
        <v>1809.54</v>
      </c>
      <c r="I190" t="s">
        <v>496</v>
      </c>
      <c r="J190" t="s">
        <v>2248</v>
      </c>
      <c r="K190" t="s">
        <v>655</v>
      </c>
    </row>
    <row r="191" spans="1:11" x14ac:dyDescent="0.3">
      <c r="A191" t="s">
        <v>603</v>
      </c>
      <c r="B191" t="s">
        <v>658</v>
      </c>
      <c r="C191" t="s">
        <v>659</v>
      </c>
      <c r="D191" t="s">
        <v>496</v>
      </c>
      <c r="E191" t="s">
        <v>524</v>
      </c>
      <c r="F191" t="s">
        <v>485</v>
      </c>
      <c r="G191" t="s">
        <v>654</v>
      </c>
      <c r="H191" s="41">
        <v>-2671.99</v>
      </c>
      <c r="I191" t="s">
        <v>496</v>
      </c>
      <c r="J191" t="s">
        <v>2248</v>
      </c>
      <c r="K191" t="s">
        <v>663</v>
      </c>
    </row>
    <row r="192" spans="1:11" x14ac:dyDescent="0.3">
      <c r="A192" t="s">
        <v>603</v>
      </c>
      <c r="B192" t="s">
        <v>522</v>
      </c>
      <c r="C192" t="s">
        <v>523</v>
      </c>
      <c r="D192" t="s">
        <v>496</v>
      </c>
      <c r="E192" t="s">
        <v>524</v>
      </c>
      <c r="F192" t="s">
        <v>485</v>
      </c>
      <c r="G192" t="s">
        <v>654</v>
      </c>
      <c r="H192" s="41">
        <v>9512.44</v>
      </c>
      <c r="I192" t="s">
        <v>496</v>
      </c>
      <c r="J192" t="s">
        <v>2248</v>
      </c>
      <c r="K192" t="s">
        <v>655</v>
      </c>
    </row>
    <row r="193" spans="1:11" x14ac:dyDescent="0.3">
      <c r="A193" t="s">
        <v>603</v>
      </c>
      <c r="B193" t="s">
        <v>660</v>
      </c>
      <c r="C193" t="s">
        <v>661</v>
      </c>
      <c r="D193" t="s">
        <v>496</v>
      </c>
      <c r="E193" t="s">
        <v>524</v>
      </c>
      <c r="F193" t="s">
        <v>485</v>
      </c>
      <c r="G193" t="s">
        <v>654</v>
      </c>
      <c r="H193" s="41">
        <v>-13653.83</v>
      </c>
      <c r="I193" t="s">
        <v>496</v>
      </c>
      <c r="J193" t="s">
        <v>2248</v>
      </c>
      <c r="K193" t="s">
        <v>663</v>
      </c>
    </row>
    <row r="194" spans="1:11" x14ac:dyDescent="0.3">
      <c r="A194" t="s">
        <v>603</v>
      </c>
      <c r="B194" t="s">
        <v>652</v>
      </c>
      <c r="C194" t="s">
        <v>653</v>
      </c>
      <c r="D194" t="s">
        <v>496</v>
      </c>
      <c r="E194" t="s">
        <v>524</v>
      </c>
      <c r="F194" t="s">
        <v>448</v>
      </c>
      <c r="G194" t="s">
        <v>677</v>
      </c>
      <c r="H194" s="41">
        <v>32997</v>
      </c>
      <c r="I194" t="s">
        <v>496</v>
      </c>
      <c r="J194" t="s">
        <v>2248</v>
      </c>
      <c r="K194" t="s">
        <v>678</v>
      </c>
    </row>
    <row r="195" spans="1:11" x14ac:dyDescent="0.3">
      <c r="A195" t="s">
        <v>603</v>
      </c>
      <c r="B195" t="s">
        <v>656</v>
      </c>
      <c r="C195" t="s">
        <v>657</v>
      </c>
      <c r="D195" t="s">
        <v>496</v>
      </c>
      <c r="E195" t="s">
        <v>524</v>
      </c>
      <c r="F195" t="s">
        <v>448</v>
      </c>
      <c r="G195" t="s">
        <v>677</v>
      </c>
      <c r="H195" s="41">
        <v>4679</v>
      </c>
      <c r="I195" t="s">
        <v>496</v>
      </c>
      <c r="J195" t="s">
        <v>2248</v>
      </c>
      <c r="K195" t="s">
        <v>678</v>
      </c>
    </row>
    <row r="196" spans="1:11" x14ac:dyDescent="0.3">
      <c r="A196" t="s">
        <v>603</v>
      </c>
      <c r="B196" t="s">
        <v>522</v>
      </c>
      <c r="C196" t="s">
        <v>523</v>
      </c>
      <c r="D196" t="s">
        <v>496</v>
      </c>
      <c r="E196" t="s">
        <v>524</v>
      </c>
      <c r="F196" t="s">
        <v>448</v>
      </c>
      <c r="G196" t="s">
        <v>677</v>
      </c>
      <c r="H196" s="41">
        <v>1398926</v>
      </c>
      <c r="I196" t="s">
        <v>496</v>
      </c>
      <c r="J196" t="s">
        <v>2248</v>
      </c>
      <c r="K196" t="s">
        <v>678</v>
      </c>
    </row>
    <row r="197" spans="1:11" x14ac:dyDescent="0.3">
      <c r="A197" t="s">
        <v>603</v>
      </c>
      <c r="B197" t="s">
        <v>660</v>
      </c>
      <c r="C197" t="s">
        <v>661</v>
      </c>
      <c r="D197" t="s">
        <v>496</v>
      </c>
      <c r="E197" t="s">
        <v>524</v>
      </c>
      <c r="F197" t="s">
        <v>448</v>
      </c>
      <c r="G197" t="s">
        <v>677</v>
      </c>
      <c r="H197" s="41">
        <v>1436602</v>
      </c>
      <c r="I197" t="s">
        <v>496</v>
      </c>
      <c r="J197" t="s">
        <v>2248</v>
      </c>
      <c r="K197" t="s">
        <v>678</v>
      </c>
    </row>
    <row r="198" spans="1:11" x14ac:dyDescent="0.3">
      <c r="A198" t="s">
        <v>603</v>
      </c>
      <c r="B198" t="s">
        <v>522</v>
      </c>
      <c r="C198" t="s">
        <v>523</v>
      </c>
      <c r="D198" t="s">
        <v>496</v>
      </c>
      <c r="E198" t="s">
        <v>524</v>
      </c>
      <c r="F198" t="s">
        <v>453</v>
      </c>
      <c r="G198" t="s">
        <v>677</v>
      </c>
      <c r="H198" s="41">
        <v>-123034</v>
      </c>
      <c r="I198" t="s">
        <v>496</v>
      </c>
      <c r="J198" t="s">
        <v>2248</v>
      </c>
      <c r="K198" t="s">
        <v>678</v>
      </c>
    </row>
    <row r="199" spans="1:11" x14ac:dyDescent="0.3">
      <c r="A199" t="s">
        <v>603</v>
      </c>
      <c r="B199" t="s">
        <v>660</v>
      </c>
      <c r="C199" t="s">
        <v>661</v>
      </c>
      <c r="D199" t="s">
        <v>496</v>
      </c>
      <c r="E199" t="s">
        <v>524</v>
      </c>
      <c r="F199" t="s">
        <v>453</v>
      </c>
      <c r="G199" t="s">
        <v>677</v>
      </c>
      <c r="H199" s="41">
        <v>-123034</v>
      </c>
      <c r="I199" t="s">
        <v>496</v>
      </c>
      <c r="J199" t="s">
        <v>2248</v>
      </c>
      <c r="K199" t="s">
        <v>678</v>
      </c>
    </row>
    <row r="200" spans="1:11" x14ac:dyDescent="0.3">
      <c r="A200" t="s">
        <v>603</v>
      </c>
      <c r="B200" t="s">
        <v>652</v>
      </c>
      <c r="C200" t="s">
        <v>653</v>
      </c>
      <c r="D200" t="s">
        <v>496</v>
      </c>
      <c r="E200" t="s">
        <v>524</v>
      </c>
      <c r="F200" t="s">
        <v>442</v>
      </c>
      <c r="G200" t="s">
        <v>677</v>
      </c>
      <c r="H200" s="41">
        <v>32997</v>
      </c>
      <c r="I200" t="s">
        <v>496</v>
      </c>
      <c r="J200" t="s">
        <v>2248</v>
      </c>
      <c r="K200" t="s">
        <v>678</v>
      </c>
    </row>
    <row r="201" spans="1:11" x14ac:dyDescent="0.3">
      <c r="A201" t="s">
        <v>603</v>
      </c>
      <c r="B201" t="s">
        <v>656</v>
      </c>
      <c r="C201" t="s">
        <v>657</v>
      </c>
      <c r="D201" t="s">
        <v>496</v>
      </c>
      <c r="E201" t="s">
        <v>524</v>
      </c>
      <c r="F201" t="s">
        <v>442</v>
      </c>
      <c r="G201" t="s">
        <v>677</v>
      </c>
      <c r="H201" s="41">
        <v>4679</v>
      </c>
      <c r="I201" t="s">
        <v>496</v>
      </c>
      <c r="J201" t="s">
        <v>2248</v>
      </c>
      <c r="K201" t="s">
        <v>678</v>
      </c>
    </row>
    <row r="202" spans="1:11" x14ac:dyDescent="0.3">
      <c r="A202" t="s">
        <v>603</v>
      </c>
      <c r="B202" t="s">
        <v>522</v>
      </c>
      <c r="C202" t="s">
        <v>523</v>
      </c>
      <c r="D202" t="s">
        <v>496</v>
      </c>
      <c r="E202" t="s">
        <v>524</v>
      </c>
      <c r="F202" t="s">
        <v>442</v>
      </c>
      <c r="G202" t="s">
        <v>677</v>
      </c>
      <c r="H202" s="41">
        <v>1275892</v>
      </c>
      <c r="I202" t="s">
        <v>496</v>
      </c>
      <c r="J202" t="s">
        <v>2248</v>
      </c>
      <c r="K202" t="s">
        <v>678</v>
      </c>
    </row>
    <row r="203" spans="1:11" x14ac:dyDescent="0.3">
      <c r="A203" t="s">
        <v>603</v>
      </c>
      <c r="B203" t="s">
        <v>660</v>
      </c>
      <c r="C203" t="s">
        <v>661</v>
      </c>
      <c r="D203" t="s">
        <v>496</v>
      </c>
      <c r="E203" t="s">
        <v>524</v>
      </c>
      <c r="F203" t="s">
        <v>442</v>
      </c>
      <c r="G203" t="s">
        <v>677</v>
      </c>
      <c r="H203" s="41">
        <v>1313567</v>
      </c>
      <c r="I203" t="s">
        <v>496</v>
      </c>
      <c r="J203" t="s">
        <v>2248</v>
      </c>
      <c r="K203" t="s">
        <v>678</v>
      </c>
    </row>
    <row r="204" spans="1:11" x14ac:dyDescent="0.3">
      <c r="A204" t="s">
        <v>603</v>
      </c>
      <c r="B204" t="s">
        <v>522</v>
      </c>
      <c r="C204" t="s">
        <v>523</v>
      </c>
      <c r="D204" t="s">
        <v>496</v>
      </c>
      <c r="E204" t="s">
        <v>524</v>
      </c>
      <c r="F204" t="s">
        <v>457</v>
      </c>
      <c r="G204" t="s">
        <v>677</v>
      </c>
      <c r="H204" s="41">
        <v>605005</v>
      </c>
      <c r="I204" t="s">
        <v>496</v>
      </c>
      <c r="J204" t="s">
        <v>2248</v>
      </c>
      <c r="K204" t="s">
        <v>678</v>
      </c>
    </row>
    <row r="205" spans="1:11" x14ac:dyDescent="0.3">
      <c r="A205" t="s">
        <v>603</v>
      </c>
      <c r="B205" t="s">
        <v>660</v>
      </c>
      <c r="C205" t="s">
        <v>661</v>
      </c>
      <c r="D205" t="s">
        <v>496</v>
      </c>
      <c r="E205" t="s">
        <v>524</v>
      </c>
      <c r="F205" t="s">
        <v>457</v>
      </c>
      <c r="G205" t="s">
        <v>677</v>
      </c>
      <c r="H205" s="41">
        <v>605005</v>
      </c>
      <c r="I205" t="s">
        <v>496</v>
      </c>
      <c r="J205" t="s">
        <v>2248</v>
      </c>
      <c r="K205" t="s">
        <v>678</v>
      </c>
    </row>
    <row r="206" spans="1:11" x14ac:dyDescent="0.3">
      <c r="A206" t="s">
        <v>603</v>
      </c>
      <c r="B206" t="s">
        <v>652</v>
      </c>
      <c r="C206" t="s">
        <v>653</v>
      </c>
      <c r="D206" t="s">
        <v>496</v>
      </c>
      <c r="E206" t="s">
        <v>524</v>
      </c>
      <c r="F206" t="s">
        <v>465</v>
      </c>
      <c r="G206" t="s">
        <v>677</v>
      </c>
      <c r="H206" s="41">
        <v>30736</v>
      </c>
      <c r="I206" t="s">
        <v>496</v>
      </c>
      <c r="J206" t="s">
        <v>2248</v>
      </c>
      <c r="K206" t="s">
        <v>678</v>
      </c>
    </row>
    <row r="207" spans="1:11" x14ac:dyDescent="0.3">
      <c r="A207" t="s">
        <v>603</v>
      </c>
      <c r="B207" t="s">
        <v>656</v>
      </c>
      <c r="C207" t="s">
        <v>657</v>
      </c>
      <c r="D207" t="s">
        <v>496</v>
      </c>
      <c r="E207" t="s">
        <v>524</v>
      </c>
      <c r="F207" t="s">
        <v>465</v>
      </c>
      <c r="G207" t="s">
        <v>677</v>
      </c>
      <c r="H207" s="41">
        <v>1600</v>
      </c>
      <c r="I207" t="s">
        <v>496</v>
      </c>
      <c r="J207" t="s">
        <v>2248</v>
      </c>
      <c r="K207" t="s">
        <v>678</v>
      </c>
    </row>
    <row r="208" spans="1:11" x14ac:dyDescent="0.3">
      <c r="A208" t="s">
        <v>603</v>
      </c>
      <c r="B208" t="s">
        <v>658</v>
      </c>
      <c r="C208" t="s">
        <v>659</v>
      </c>
      <c r="D208" t="s">
        <v>496</v>
      </c>
      <c r="E208" t="s">
        <v>524</v>
      </c>
      <c r="F208" t="s">
        <v>465</v>
      </c>
      <c r="G208" t="s">
        <v>677</v>
      </c>
      <c r="H208" s="41">
        <v>21792</v>
      </c>
      <c r="I208" t="s">
        <v>496</v>
      </c>
      <c r="J208" t="s">
        <v>2248</v>
      </c>
      <c r="K208" t="s">
        <v>678</v>
      </c>
    </row>
    <row r="209" spans="1:11" x14ac:dyDescent="0.3">
      <c r="A209" t="s">
        <v>603</v>
      </c>
      <c r="B209" t="s">
        <v>522</v>
      </c>
      <c r="C209" t="s">
        <v>523</v>
      </c>
      <c r="D209" t="s">
        <v>496</v>
      </c>
      <c r="E209" t="s">
        <v>524</v>
      </c>
      <c r="F209" t="s">
        <v>465</v>
      </c>
      <c r="G209" t="s">
        <v>677</v>
      </c>
      <c r="H209" s="41">
        <v>196717</v>
      </c>
      <c r="I209" t="s">
        <v>496</v>
      </c>
      <c r="J209" t="s">
        <v>2248</v>
      </c>
      <c r="K209" t="s">
        <v>678</v>
      </c>
    </row>
    <row r="210" spans="1:11" x14ac:dyDescent="0.3">
      <c r="A210" t="s">
        <v>603</v>
      </c>
      <c r="B210" t="s">
        <v>660</v>
      </c>
      <c r="C210" t="s">
        <v>661</v>
      </c>
      <c r="D210" t="s">
        <v>496</v>
      </c>
      <c r="E210" t="s">
        <v>524</v>
      </c>
      <c r="F210" t="s">
        <v>465</v>
      </c>
      <c r="G210" t="s">
        <v>677</v>
      </c>
      <c r="H210" s="41">
        <v>250845</v>
      </c>
      <c r="I210" t="s">
        <v>496</v>
      </c>
      <c r="J210" t="s">
        <v>2248</v>
      </c>
      <c r="K210" t="s">
        <v>678</v>
      </c>
    </row>
    <row r="211" spans="1:11" x14ac:dyDescent="0.3">
      <c r="A211" t="s">
        <v>603</v>
      </c>
      <c r="B211" t="s">
        <v>652</v>
      </c>
      <c r="C211" t="s">
        <v>653</v>
      </c>
      <c r="D211" t="s">
        <v>496</v>
      </c>
      <c r="E211" t="s">
        <v>524</v>
      </c>
      <c r="F211" t="s">
        <v>472</v>
      </c>
      <c r="G211" t="s">
        <v>677</v>
      </c>
      <c r="H211" s="41">
        <v>25246</v>
      </c>
      <c r="I211" t="s">
        <v>496</v>
      </c>
      <c r="J211" t="s">
        <v>2248</v>
      </c>
      <c r="K211" t="s">
        <v>680</v>
      </c>
    </row>
    <row r="212" spans="1:11" x14ac:dyDescent="0.3">
      <c r="A212" t="s">
        <v>603</v>
      </c>
      <c r="B212" t="s">
        <v>522</v>
      </c>
      <c r="C212" t="s">
        <v>523</v>
      </c>
      <c r="D212" t="s">
        <v>496</v>
      </c>
      <c r="E212" t="s">
        <v>524</v>
      </c>
      <c r="F212" t="s">
        <v>472</v>
      </c>
      <c r="G212" t="s">
        <v>677</v>
      </c>
      <c r="H212" s="41">
        <v>240203</v>
      </c>
      <c r="I212" t="s">
        <v>496</v>
      </c>
      <c r="J212" t="s">
        <v>2248</v>
      </c>
      <c r="K212" t="s">
        <v>678</v>
      </c>
    </row>
    <row r="213" spans="1:11" x14ac:dyDescent="0.3">
      <c r="A213" t="s">
        <v>603</v>
      </c>
      <c r="B213" t="s">
        <v>660</v>
      </c>
      <c r="C213" t="s">
        <v>661</v>
      </c>
      <c r="D213" t="s">
        <v>496</v>
      </c>
      <c r="E213" t="s">
        <v>524</v>
      </c>
      <c r="F213" t="s">
        <v>472</v>
      </c>
      <c r="G213" t="s">
        <v>677</v>
      </c>
      <c r="H213" s="41">
        <v>265449</v>
      </c>
      <c r="I213" t="s">
        <v>496</v>
      </c>
      <c r="J213" t="s">
        <v>2248</v>
      </c>
      <c r="K213" t="s">
        <v>680</v>
      </c>
    </row>
    <row r="214" spans="1:11" x14ac:dyDescent="0.3">
      <c r="A214" t="s">
        <v>603</v>
      </c>
      <c r="B214" t="s">
        <v>652</v>
      </c>
      <c r="C214" t="s">
        <v>653</v>
      </c>
      <c r="D214" t="s">
        <v>496</v>
      </c>
      <c r="E214" t="s">
        <v>524</v>
      </c>
      <c r="F214" t="s">
        <v>469</v>
      </c>
      <c r="G214" t="s">
        <v>677</v>
      </c>
      <c r="H214" s="41">
        <v>11500</v>
      </c>
      <c r="I214" t="s">
        <v>496</v>
      </c>
      <c r="J214" t="s">
        <v>2248</v>
      </c>
      <c r="K214" t="s">
        <v>678</v>
      </c>
    </row>
    <row r="215" spans="1:11" x14ac:dyDescent="0.3">
      <c r="A215" t="s">
        <v>603</v>
      </c>
      <c r="B215" t="s">
        <v>656</v>
      </c>
      <c r="C215" t="s">
        <v>657</v>
      </c>
      <c r="D215" t="s">
        <v>496</v>
      </c>
      <c r="E215" t="s">
        <v>524</v>
      </c>
      <c r="F215" t="s">
        <v>469</v>
      </c>
      <c r="G215" t="s">
        <v>677</v>
      </c>
      <c r="H215" s="41">
        <v>16797</v>
      </c>
      <c r="I215" t="s">
        <v>496</v>
      </c>
      <c r="J215" t="s">
        <v>2248</v>
      </c>
      <c r="K215" t="s">
        <v>678</v>
      </c>
    </row>
    <row r="216" spans="1:11" x14ac:dyDescent="0.3">
      <c r="A216" t="s">
        <v>603</v>
      </c>
      <c r="B216" t="s">
        <v>522</v>
      </c>
      <c r="C216" t="s">
        <v>523</v>
      </c>
      <c r="D216" t="s">
        <v>496</v>
      </c>
      <c r="E216" t="s">
        <v>524</v>
      </c>
      <c r="F216" t="s">
        <v>469</v>
      </c>
      <c r="G216" t="s">
        <v>677</v>
      </c>
      <c r="H216" s="41">
        <v>163589</v>
      </c>
      <c r="I216" t="s">
        <v>496</v>
      </c>
      <c r="J216" t="s">
        <v>2248</v>
      </c>
      <c r="K216" t="s">
        <v>678</v>
      </c>
    </row>
    <row r="217" spans="1:11" x14ac:dyDescent="0.3">
      <c r="A217" t="s">
        <v>603</v>
      </c>
      <c r="B217" t="s">
        <v>660</v>
      </c>
      <c r="C217" t="s">
        <v>661</v>
      </c>
      <c r="D217" t="s">
        <v>496</v>
      </c>
      <c r="E217" t="s">
        <v>524</v>
      </c>
      <c r="F217" t="s">
        <v>469</v>
      </c>
      <c r="G217" t="s">
        <v>677</v>
      </c>
      <c r="H217" s="41">
        <v>191885</v>
      </c>
      <c r="I217" t="s">
        <v>496</v>
      </c>
      <c r="J217" t="s">
        <v>2248</v>
      </c>
      <c r="K217" t="s">
        <v>678</v>
      </c>
    </row>
    <row r="218" spans="1:11" x14ac:dyDescent="0.3">
      <c r="A218" t="s">
        <v>603</v>
      </c>
      <c r="B218" t="s">
        <v>522</v>
      </c>
      <c r="C218" t="s">
        <v>523</v>
      </c>
      <c r="D218" t="s">
        <v>496</v>
      </c>
      <c r="E218" t="s">
        <v>524</v>
      </c>
      <c r="F218" t="s">
        <v>479</v>
      </c>
      <c r="G218" t="s">
        <v>677</v>
      </c>
      <c r="H218" s="41">
        <v>2876</v>
      </c>
      <c r="I218" t="s">
        <v>496</v>
      </c>
      <c r="J218" t="s">
        <v>2248</v>
      </c>
      <c r="K218" t="s">
        <v>678</v>
      </c>
    </row>
    <row r="219" spans="1:11" x14ac:dyDescent="0.3">
      <c r="A219" t="s">
        <v>603</v>
      </c>
      <c r="B219" t="s">
        <v>660</v>
      </c>
      <c r="C219" t="s">
        <v>661</v>
      </c>
      <c r="D219" t="s">
        <v>496</v>
      </c>
      <c r="E219" t="s">
        <v>524</v>
      </c>
      <c r="F219" t="s">
        <v>479</v>
      </c>
      <c r="G219" t="s">
        <v>677</v>
      </c>
      <c r="H219" s="41">
        <v>2876</v>
      </c>
      <c r="I219" t="s">
        <v>496</v>
      </c>
      <c r="J219" t="s">
        <v>2248</v>
      </c>
      <c r="K219" t="s">
        <v>678</v>
      </c>
    </row>
    <row r="220" spans="1:11" x14ac:dyDescent="0.3">
      <c r="A220" t="s">
        <v>603</v>
      </c>
      <c r="B220" t="s">
        <v>652</v>
      </c>
      <c r="C220" t="s">
        <v>653</v>
      </c>
      <c r="D220" t="s">
        <v>496</v>
      </c>
      <c r="E220" t="s">
        <v>524</v>
      </c>
      <c r="F220" t="s">
        <v>482</v>
      </c>
      <c r="G220" t="s">
        <v>677</v>
      </c>
      <c r="H220" s="41">
        <v>15</v>
      </c>
      <c r="I220" t="s">
        <v>496</v>
      </c>
      <c r="J220" t="s">
        <v>2248</v>
      </c>
      <c r="K220" t="s">
        <v>678</v>
      </c>
    </row>
    <row r="221" spans="1:11" x14ac:dyDescent="0.3">
      <c r="A221" t="s">
        <v>603</v>
      </c>
      <c r="B221" t="s">
        <v>656</v>
      </c>
      <c r="C221" t="s">
        <v>657</v>
      </c>
      <c r="D221" t="s">
        <v>496</v>
      </c>
      <c r="E221" t="s">
        <v>524</v>
      </c>
      <c r="F221" t="s">
        <v>482</v>
      </c>
      <c r="G221" t="s">
        <v>677</v>
      </c>
      <c r="H221" s="41">
        <v>265</v>
      </c>
      <c r="I221" t="s">
        <v>496</v>
      </c>
      <c r="J221" t="s">
        <v>2248</v>
      </c>
      <c r="K221" t="s">
        <v>678</v>
      </c>
    </row>
    <row r="222" spans="1:11" x14ac:dyDescent="0.3">
      <c r="A222" t="s">
        <v>603</v>
      </c>
      <c r="B222" t="s">
        <v>658</v>
      </c>
      <c r="C222" t="s">
        <v>659</v>
      </c>
      <c r="D222" t="s">
        <v>496</v>
      </c>
      <c r="E222" t="s">
        <v>524</v>
      </c>
      <c r="F222" t="s">
        <v>482</v>
      </c>
      <c r="G222" t="s">
        <v>677</v>
      </c>
      <c r="H222" s="41">
        <v>206</v>
      </c>
      <c r="I222" t="s">
        <v>496</v>
      </c>
      <c r="J222" t="s">
        <v>2248</v>
      </c>
      <c r="K222" t="s">
        <v>678</v>
      </c>
    </row>
    <row r="223" spans="1:11" x14ac:dyDescent="0.3">
      <c r="A223" t="s">
        <v>603</v>
      </c>
      <c r="B223" t="s">
        <v>522</v>
      </c>
      <c r="C223" t="s">
        <v>523</v>
      </c>
      <c r="D223" t="s">
        <v>496</v>
      </c>
      <c r="E223" t="s">
        <v>524</v>
      </c>
      <c r="F223" t="s">
        <v>482</v>
      </c>
      <c r="G223" t="s">
        <v>677</v>
      </c>
      <c r="H223" s="41">
        <v>9915</v>
      </c>
      <c r="I223" t="s">
        <v>496</v>
      </c>
      <c r="J223" t="s">
        <v>2248</v>
      </c>
      <c r="K223" t="s">
        <v>678</v>
      </c>
    </row>
    <row r="224" spans="1:11" x14ac:dyDescent="0.3">
      <c r="A224" t="s">
        <v>603</v>
      </c>
      <c r="B224" t="s">
        <v>660</v>
      </c>
      <c r="C224" t="s">
        <v>661</v>
      </c>
      <c r="D224" t="s">
        <v>496</v>
      </c>
      <c r="E224" t="s">
        <v>524</v>
      </c>
      <c r="F224" t="s">
        <v>482</v>
      </c>
      <c r="G224" t="s">
        <v>677</v>
      </c>
      <c r="H224" s="41">
        <v>10401</v>
      </c>
      <c r="I224" t="s">
        <v>496</v>
      </c>
      <c r="J224" t="s">
        <v>2248</v>
      </c>
      <c r="K224" t="s">
        <v>678</v>
      </c>
    </row>
    <row r="225" spans="1:11" x14ac:dyDescent="0.3">
      <c r="A225" t="s">
        <v>603</v>
      </c>
      <c r="B225" t="s">
        <v>652</v>
      </c>
      <c r="C225" t="s">
        <v>653</v>
      </c>
      <c r="D225" t="s">
        <v>496</v>
      </c>
      <c r="E225" t="s">
        <v>524</v>
      </c>
      <c r="F225" t="s">
        <v>485</v>
      </c>
      <c r="G225" t="s">
        <v>677</v>
      </c>
      <c r="H225" s="41">
        <v>-45057</v>
      </c>
      <c r="I225" t="s">
        <v>496</v>
      </c>
      <c r="J225" t="s">
        <v>2248</v>
      </c>
      <c r="K225" t="s">
        <v>680</v>
      </c>
    </row>
    <row r="226" spans="1:11" x14ac:dyDescent="0.3">
      <c r="A226" t="s">
        <v>603</v>
      </c>
      <c r="B226" t="s">
        <v>656</v>
      </c>
      <c r="C226" t="s">
        <v>657</v>
      </c>
      <c r="D226" t="s">
        <v>496</v>
      </c>
      <c r="E226" t="s">
        <v>524</v>
      </c>
      <c r="F226" t="s">
        <v>485</v>
      </c>
      <c r="G226" t="s">
        <v>677</v>
      </c>
      <c r="H226" s="41">
        <v>-13983</v>
      </c>
      <c r="I226" t="s">
        <v>496</v>
      </c>
      <c r="J226" t="s">
        <v>2248</v>
      </c>
      <c r="K226" t="s">
        <v>678</v>
      </c>
    </row>
    <row r="227" spans="1:11" x14ac:dyDescent="0.3">
      <c r="A227" t="s">
        <v>603</v>
      </c>
      <c r="B227" t="s">
        <v>658</v>
      </c>
      <c r="C227" t="s">
        <v>659</v>
      </c>
      <c r="D227" t="s">
        <v>496</v>
      </c>
      <c r="E227" t="s">
        <v>524</v>
      </c>
      <c r="F227" t="s">
        <v>485</v>
      </c>
      <c r="G227" t="s">
        <v>677</v>
      </c>
      <c r="H227" s="41">
        <v>-21998</v>
      </c>
      <c r="I227" t="s">
        <v>496</v>
      </c>
      <c r="J227" t="s">
        <v>2248</v>
      </c>
      <c r="K227" t="s">
        <v>678</v>
      </c>
    </row>
    <row r="228" spans="1:11" x14ac:dyDescent="0.3">
      <c r="A228" t="s">
        <v>603</v>
      </c>
      <c r="B228" t="s">
        <v>522</v>
      </c>
      <c r="C228" t="s">
        <v>523</v>
      </c>
      <c r="D228" t="s">
        <v>496</v>
      </c>
      <c r="E228" t="s">
        <v>524</v>
      </c>
      <c r="F228" t="s">
        <v>485</v>
      </c>
      <c r="G228" t="s">
        <v>677</v>
      </c>
      <c r="H228" s="41">
        <v>63339</v>
      </c>
      <c r="I228" t="s">
        <v>496</v>
      </c>
      <c r="J228" t="s">
        <v>2248</v>
      </c>
      <c r="K228" t="s">
        <v>678</v>
      </c>
    </row>
    <row r="229" spans="1:11" x14ac:dyDescent="0.3">
      <c r="A229" t="s">
        <v>603</v>
      </c>
      <c r="B229" t="s">
        <v>660</v>
      </c>
      <c r="C229" t="s">
        <v>661</v>
      </c>
      <c r="D229" t="s">
        <v>496</v>
      </c>
      <c r="E229" t="s">
        <v>524</v>
      </c>
      <c r="F229" t="s">
        <v>485</v>
      </c>
      <c r="G229" t="s">
        <v>677</v>
      </c>
      <c r="H229" s="41">
        <v>-17700</v>
      </c>
      <c r="I229" t="s">
        <v>496</v>
      </c>
      <c r="J229" t="s">
        <v>2248</v>
      </c>
      <c r="K229" t="s">
        <v>680</v>
      </c>
    </row>
    <row r="230" spans="1:11" x14ac:dyDescent="0.3">
      <c r="A230" t="s">
        <v>603</v>
      </c>
      <c r="B230" t="s">
        <v>652</v>
      </c>
      <c r="C230" t="s">
        <v>653</v>
      </c>
      <c r="D230" t="s">
        <v>496</v>
      </c>
      <c r="E230" t="s">
        <v>524</v>
      </c>
      <c r="F230" t="s">
        <v>681</v>
      </c>
      <c r="G230" t="s">
        <v>677</v>
      </c>
      <c r="H230" s="41">
        <v>10557</v>
      </c>
      <c r="I230" t="s">
        <v>496</v>
      </c>
      <c r="J230" t="s">
        <v>2248</v>
      </c>
      <c r="K230" t="s">
        <v>680</v>
      </c>
    </row>
    <row r="231" spans="1:11" x14ac:dyDescent="0.3">
      <c r="A231" t="s">
        <v>603</v>
      </c>
      <c r="B231" t="s">
        <v>660</v>
      </c>
      <c r="C231" t="s">
        <v>661</v>
      </c>
      <c r="D231" t="s">
        <v>496</v>
      </c>
      <c r="E231" t="s">
        <v>524</v>
      </c>
      <c r="F231" t="s">
        <v>681</v>
      </c>
      <c r="G231" t="s">
        <v>677</v>
      </c>
      <c r="H231" s="41">
        <v>10557</v>
      </c>
      <c r="I231" t="s">
        <v>496</v>
      </c>
      <c r="J231" t="s">
        <v>2248</v>
      </c>
      <c r="K231" t="s">
        <v>680</v>
      </c>
    </row>
    <row r="232" spans="1:11" x14ac:dyDescent="0.3">
      <c r="A232" t="s">
        <v>624</v>
      </c>
      <c r="B232" t="s">
        <v>522</v>
      </c>
      <c r="C232" t="s">
        <v>523</v>
      </c>
      <c r="D232" t="s">
        <v>451</v>
      </c>
      <c r="E232" t="s">
        <v>524</v>
      </c>
      <c r="F232" t="s">
        <v>448</v>
      </c>
      <c r="H232" s="41">
        <v>711900651</v>
      </c>
      <c r="I232" t="s">
        <v>451</v>
      </c>
      <c r="J232" t="s">
        <v>2248</v>
      </c>
      <c r="K232" t="s">
        <v>682</v>
      </c>
    </row>
    <row r="233" spans="1:11" x14ac:dyDescent="0.3">
      <c r="A233" t="s">
        <v>624</v>
      </c>
      <c r="B233" t="s">
        <v>522</v>
      </c>
      <c r="C233" t="s">
        <v>523</v>
      </c>
      <c r="D233" t="s">
        <v>496</v>
      </c>
      <c r="E233" t="s">
        <v>524</v>
      </c>
      <c r="F233" t="s">
        <v>448</v>
      </c>
      <c r="G233" t="s">
        <v>654</v>
      </c>
      <c r="H233" s="41">
        <v>203094.48</v>
      </c>
      <c r="I233" t="s">
        <v>496</v>
      </c>
      <c r="J233" t="s">
        <v>2248</v>
      </c>
      <c r="K233" t="s">
        <v>683</v>
      </c>
    </row>
    <row r="234" spans="1:11" x14ac:dyDescent="0.3">
      <c r="A234" t="s">
        <v>624</v>
      </c>
      <c r="B234" t="s">
        <v>522</v>
      </c>
      <c r="C234" t="s">
        <v>523</v>
      </c>
      <c r="D234" t="s">
        <v>451</v>
      </c>
      <c r="E234" t="s">
        <v>524</v>
      </c>
      <c r="F234" t="s">
        <v>453</v>
      </c>
      <c r="H234" s="41">
        <v>-32010099</v>
      </c>
      <c r="I234" t="s">
        <v>451</v>
      </c>
      <c r="J234" t="s">
        <v>2248</v>
      </c>
      <c r="K234" t="s">
        <v>682</v>
      </c>
    </row>
    <row r="235" spans="1:11" x14ac:dyDescent="0.3">
      <c r="A235" t="s">
        <v>624</v>
      </c>
      <c r="B235" t="s">
        <v>522</v>
      </c>
      <c r="C235" t="s">
        <v>523</v>
      </c>
      <c r="D235" t="s">
        <v>496</v>
      </c>
      <c r="E235" t="s">
        <v>524</v>
      </c>
      <c r="F235" t="s">
        <v>453</v>
      </c>
      <c r="G235" t="s">
        <v>654</v>
      </c>
      <c r="H235" s="41">
        <v>-9132</v>
      </c>
      <c r="I235" t="s">
        <v>496</v>
      </c>
      <c r="J235" t="s">
        <v>2248</v>
      </c>
      <c r="K235" t="s">
        <v>683</v>
      </c>
    </row>
    <row r="236" spans="1:11" x14ac:dyDescent="0.3">
      <c r="A236" t="s">
        <v>624</v>
      </c>
      <c r="B236" t="s">
        <v>522</v>
      </c>
      <c r="C236" t="s">
        <v>523</v>
      </c>
      <c r="D236" t="s">
        <v>451</v>
      </c>
      <c r="E236" t="s">
        <v>524</v>
      </c>
      <c r="F236" t="s">
        <v>442</v>
      </c>
      <c r="H236" s="41">
        <v>679890552</v>
      </c>
      <c r="I236" t="s">
        <v>451</v>
      </c>
      <c r="J236" t="s">
        <v>2248</v>
      </c>
      <c r="K236" t="s">
        <v>682</v>
      </c>
    </row>
    <row r="237" spans="1:11" x14ac:dyDescent="0.3">
      <c r="A237" t="s">
        <v>624</v>
      </c>
      <c r="B237" t="s">
        <v>522</v>
      </c>
      <c r="C237" t="s">
        <v>523</v>
      </c>
      <c r="D237" t="s">
        <v>496</v>
      </c>
      <c r="E237" t="s">
        <v>524</v>
      </c>
      <c r="F237" t="s">
        <v>442</v>
      </c>
      <c r="G237" t="s">
        <v>654</v>
      </c>
      <c r="H237" s="41">
        <v>193962.49</v>
      </c>
      <c r="I237" t="s">
        <v>496</v>
      </c>
      <c r="J237" t="s">
        <v>2248</v>
      </c>
      <c r="K237" t="s">
        <v>683</v>
      </c>
    </row>
    <row r="238" spans="1:11" x14ac:dyDescent="0.3">
      <c r="A238" t="s">
        <v>624</v>
      </c>
      <c r="B238" t="s">
        <v>522</v>
      </c>
      <c r="C238" t="s">
        <v>523</v>
      </c>
      <c r="D238" t="s">
        <v>451</v>
      </c>
      <c r="E238" t="s">
        <v>524</v>
      </c>
      <c r="F238" t="s">
        <v>457</v>
      </c>
      <c r="H238" s="41">
        <v>321917837</v>
      </c>
      <c r="I238" t="s">
        <v>451</v>
      </c>
      <c r="J238" t="s">
        <v>2248</v>
      </c>
      <c r="K238" t="s">
        <v>682</v>
      </c>
    </row>
    <row r="239" spans="1:11" x14ac:dyDescent="0.3">
      <c r="A239" t="s">
        <v>624</v>
      </c>
      <c r="B239" t="s">
        <v>522</v>
      </c>
      <c r="C239" t="s">
        <v>523</v>
      </c>
      <c r="D239" t="s">
        <v>496</v>
      </c>
      <c r="E239" t="s">
        <v>524</v>
      </c>
      <c r="F239" t="s">
        <v>457</v>
      </c>
      <c r="G239" t="s">
        <v>654</v>
      </c>
      <c r="H239" s="41">
        <v>91838.29</v>
      </c>
      <c r="I239" t="s">
        <v>496</v>
      </c>
      <c r="J239" t="s">
        <v>2248</v>
      </c>
      <c r="K239" t="s">
        <v>683</v>
      </c>
    </row>
    <row r="240" spans="1:11" x14ac:dyDescent="0.3">
      <c r="A240" t="s">
        <v>624</v>
      </c>
      <c r="B240" t="s">
        <v>522</v>
      </c>
      <c r="C240" t="s">
        <v>523</v>
      </c>
      <c r="D240" t="s">
        <v>451</v>
      </c>
      <c r="E240" t="s">
        <v>524</v>
      </c>
      <c r="F240" t="s">
        <v>461</v>
      </c>
      <c r="H240" s="41">
        <v>357972713</v>
      </c>
      <c r="I240" t="s">
        <v>451</v>
      </c>
      <c r="J240" t="s">
        <v>2248</v>
      </c>
      <c r="K240" t="s">
        <v>682</v>
      </c>
    </row>
    <row r="241" spans="1:11" x14ac:dyDescent="0.3">
      <c r="A241" t="s">
        <v>624</v>
      </c>
      <c r="B241" t="s">
        <v>522</v>
      </c>
      <c r="C241" t="s">
        <v>523</v>
      </c>
      <c r="D241" t="s">
        <v>496</v>
      </c>
      <c r="E241" t="s">
        <v>524</v>
      </c>
      <c r="F241" t="s">
        <v>461</v>
      </c>
      <c r="G241" t="s">
        <v>654</v>
      </c>
      <c r="H241" s="41">
        <v>102124.2</v>
      </c>
      <c r="I241" t="s">
        <v>496</v>
      </c>
      <c r="J241" t="s">
        <v>2248</v>
      </c>
      <c r="K241" t="s">
        <v>683</v>
      </c>
    </row>
    <row r="242" spans="1:11" x14ac:dyDescent="0.3">
      <c r="A242" t="s">
        <v>624</v>
      </c>
      <c r="B242" t="s">
        <v>522</v>
      </c>
      <c r="C242" t="s">
        <v>523</v>
      </c>
      <c r="D242" t="s">
        <v>451</v>
      </c>
      <c r="E242" t="s">
        <v>524</v>
      </c>
      <c r="F242" t="s">
        <v>465</v>
      </c>
      <c r="H242" s="41">
        <v>107932742</v>
      </c>
      <c r="I242" t="s">
        <v>451</v>
      </c>
      <c r="J242" t="s">
        <v>2248</v>
      </c>
      <c r="K242" t="s">
        <v>682</v>
      </c>
    </row>
    <row r="243" spans="1:11" x14ac:dyDescent="0.3">
      <c r="A243" t="s">
        <v>624</v>
      </c>
      <c r="B243" t="s">
        <v>522</v>
      </c>
      <c r="C243" t="s">
        <v>523</v>
      </c>
      <c r="D243" t="s">
        <v>496</v>
      </c>
      <c r="E243" t="s">
        <v>524</v>
      </c>
      <c r="F243" t="s">
        <v>465</v>
      </c>
      <c r="G243" t="s">
        <v>654</v>
      </c>
      <c r="H243" s="41">
        <v>30791.58</v>
      </c>
      <c r="I243" t="s">
        <v>496</v>
      </c>
      <c r="J243" t="s">
        <v>2248</v>
      </c>
      <c r="K243" t="s">
        <v>683</v>
      </c>
    </row>
    <row r="244" spans="1:11" x14ac:dyDescent="0.3">
      <c r="A244" t="s">
        <v>624</v>
      </c>
      <c r="B244" t="s">
        <v>522</v>
      </c>
      <c r="C244" t="s">
        <v>523</v>
      </c>
      <c r="D244" t="s">
        <v>451</v>
      </c>
      <c r="E244" t="s">
        <v>524</v>
      </c>
      <c r="F244" t="s">
        <v>469</v>
      </c>
      <c r="H244" s="41">
        <v>102936374</v>
      </c>
      <c r="I244" t="s">
        <v>451</v>
      </c>
      <c r="J244" t="s">
        <v>2248</v>
      </c>
      <c r="K244" t="s">
        <v>682</v>
      </c>
    </row>
    <row r="245" spans="1:11" x14ac:dyDescent="0.3">
      <c r="A245" t="s">
        <v>624</v>
      </c>
      <c r="B245" t="s">
        <v>522</v>
      </c>
      <c r="C245" t="s">
        <v>523</v>
      </c>
      <c r="D245" t="s">
        <v>496</v>
      </c>
      <c r="E245" t="s">
        <v>524</v>
      </c>
      <c r="F245" t="s">
        <v>469</v>
      </c>
      <c r="G245" t="s">
        <v>654</v>
      </c>
      <c r="H245" s="41">
        <v>29366.19</v>
      </c>
      <c r="I245" t="s">
        <v>496</v>
      </c>
      <c r="J245" t="s">
        <v>2248</v>
      </c>
      <c r="K245" t="s">
        <v>683</v>
      </c>
    </row>
    <row r="246" spans="1:11" x14ac:dyDescent="0.3">
      <c r="A246" t="s">
        <v>624</v>
      </c>
      <c r="B246" t="s">
        <v>522</v>
      </c>
      <c r="C246" t="s">
        <v>523</v>
      </c>
      <c r="D246" t="s">
        <v>451</v>
      </c>
      <c r="E246" t="s">
        <v>524</v>
      </c>
      <c r="F246" t="s">
        <v>472</v>
      </c>
      <c r="H246" s="41">
        <v>117761236</v>
      </c>
      <c r="I246" t="s">
        <v>451</v>
      </c>
      <c r="J246" t="s">
        <v>2248</v>
      </c>
      <c r="K246" t="s">
        <v>682</v>
      </c>
    </row>
    <row r="247" spans="1:11" x14ac:dyDescent="0.3">
      <c r="A247" t="s">
        <v>624</v>
      </c>
      <c r="B247" t="s">
        <v>522</v>
      </c>
      <c r="C247" t="s">
        <v>523</v>
      </c>
      <c r="D247" t="s">
        <v>496</v>
      </c>
      <c r="E247" t="s">
        <v>524</v>
      </c>
      <c r="F247" t="s">
        <v>472</v>
      </c>
      <c r="G247" t="s">
        <v>654</v>
      </c>
      <c r="H247" s="41">
        <v>33595.5</v>
      </c>
      <c r="I247" t="s">
        <v>496</v>
      </c>
      <c r="J247" t="s">
        <v>2248</v>
      </c>
      <c r="K247" t="s">
        <v>683</v>
      </c>
    </row>
    <row r="248" spans="1:11" x14ac:dyDescent="0.3">
      <c r="A248" t="s">
        <v>624</v>
      </c>
      <c r="B248" t="s">
        <v>522</v>
      </c>
      <c r="C248" t="s">
        <v>523</v>
      </c>
      <c r="D248" t="s">
        <v>451</v>
      </c>
      <c r="E248" t="s">
        <v>524</v>
      </c>
      <c r="F248" t="s">
        <v>475</v>
      </c>
      <c r="H248" s="41">
        <v>29342360</v>
      </c>
      <c r="I248" t="s">
        <v>451</v>
      </c>
      <c r="J248" t="s">
        <v>2248</v>
      </c>
      <c r="K248" t="s">
        <v>682</v>
      </c>
    </row>
    <row r="249" spans="1:11" x14ac:dyDescent="0.3">
      <c r="A249" t="s">
        <v>624</v>
      </c>
      <c r="B249" t="s">
        <v>522</v>
      </c>
      <c r="C249" t="s">
        <v>523</v>
      </c>
      <c r="D249" t="s">
        <v>496</v>
      </c>
      <c r="E249" t="s">
        <v>524</v>
      </c>
      <c r="F249" t="s">
        <v>475</v>
      </c>
      <c r="G249" t="s">
        <v>654</v>
      </c>
      <c r="H249" s="41">
        <v>8370.93</v>
      </c>
      <c r="I249" t="s">
        <v>496</v>
      </c>
      <c r="J249" t="s">
        <v>2248</v>
      </c>
      <c r="K249" t="s">
        <v>683</v>
      </c>
    </row>
    <row r="250" spans="1:11" x14ac:dyDescent="0.3">
      <c r="A250" t="s">
        <v>624</v>
      </c>
      <c r="B250" t="s">
        <v>522</v>
      </c>
      <c r="C250" t="s">
        <v>523</v>
      </c>
      <c r="D250" t="s">
        <v>451</v>
      </c>
      <c r="E250" t="s">
        <v>524</v>
      </c>
      <c r="F250" t="s">
        <v>479</v>
      </c>
      <c r="H250" s="41">
        <v>718311</v>
      </c>
      <c r="I250" t="s">
        <v>451</v>
      </c>
      <c r="J250" t="s">
        <v>2248</v>
      </c>
      <c r="K250" t="s">
        <v>682</v>
      </c>
    </row>
    <row r="251" spans="1:11" x14ac:dyDescent="0.3">
      <c r="A251" t="s">
        <v>624</v>
      </c>
      <c r="B251" t="s">
        <v>522</v>
      </c>
      <c r="C251" t="s">
        <v>523</v>
      </c>
      <c r="D251" t="s">
        <v>496</v>
      </c>
      <c r="E251" t="s">
        <v>524</v>
      </c>
      <c r="F251" t="s">
        <v>479</v>
      </c>
      <c r="G251" t="s">
        <v>654</v>
      </c>
      <c r="H251" s="41">
        <v>204.92</v>
      </c>
      <c r="I251" t="s">
        <v>496</v>
      </c>
      <c r="J251" t="s">
        <v>2248</v>
      </c>
      <c r="K251" t="s">
        <v>683</v>
      </c>
    </row>
    <row r="252" spans="1:11" x14ac:dyDescent="0.3">
      <c r="A252" t="s">
        <v>624</v>
      </c>
      <c r="B252" t="s">
        <v>522</v>
      </c>
      <c r="C252" t="s">
        <v>523</v>
      </c>
      <c r="D252" t="s">
        <v>451</v>
      </c>
      <c r="E252" t="s">
        <v>524</v>
      </c>
      <c r="F252" t="s">
        <v>482</v>
      </c>
      <c r="H252" s="41">
        <v>5353621</v>
      </c>
      <c r="I252" t="s">
        <v>451</v>
      </c>
      <c r="J252" t="s">
        <v>2248</v>
      </c>
      <c r="K252" t="s">
        <v>682</v>
      </c>
    </row>
    <row r="253" spans="1:11" x14ac:dyDescent="0.3">
      <c r="A253" t="s">
        <v>624</v>
      </c>
      <c r="B253" t="s">
        <v>522</v>
      </c>
      <c r="C253" t="s">
        <v>523</v>
      </c>
      <c r="D253" t="s">
        <v>496</v>
      </c>
      <c r="E253" t="s">
        <v>524</v>
      </c>
      <c r="F253" t="s">
        <v>482</v>
      </c>
      <c r="G253" t="s">
        <v>654</v>
      </c>
      <c r="H253" s="41">
        <v>1527.31</v>
      </c>
      <c r="I253" t="s">
        <v>496</v>
      </c>
      <c r="J253" t="s">
        <v>2248</v>
      </c>
      <c r="K253" t="s">
        <v>683</v>
      </c>
    </row>
    <row r="254" spans="1:11" x14ac:dyDescent="0.3">
      <c r="A254" t="s">
        <v>624</v>
      </c>
      <c r="B254" t="s">
        <v>522</v>
      </c>
      <c r="C254" t="s">
        <v>523</v>
      </c>
      <c r="D254" t="s">
        <v>451</v>
      </c>
      <c r="E254" t="s">
        <v>524</v>
      </c>
      <c r="F254" t="s">
        <v>485</v>
      </c>
      <c r="H254" s="41">
        <v>24707051</v>
      </c>
      <c r="I254" t="s">
        <v>451</v>
      </c>
      <c r="J254" t="s">
        <v>2248</v>
      </c>
      <c r="K254" t="s">
        <v>682</v>
      </c>
    </row>
    <row r="255" spans="1:11" x14ac:dyDescent="0.3">
      <c r="A255" t="s">
        <v>624</v>
      </c>
      <c r="B255" t="s">
        <v>522</v>
      </c>
      <c r="C255" t="s">
        <v>523</v>
      </c>
      <c r="D255" t="s">
        <v>496</v>
      </c>
      <c r="E255" t="s">
        <v>524</v>
      </c>
      <c r="F255" t="s">
        <v>485</v>
      </c>
      <c r="G255" t="s">
        <v>654</v>
      </c>
      <c r="H255" s="41">
        <v>7048.55</v>
      </c>
      <c r="I255" t="s">
        <v>496</v>
      </c>
      <c r="J255" t="s">
        <v>2248</v>
      </c>
      <c r="K255" t="s">
        <v>683</v>
      </c>
    </row>
    <row r="256" spans="1:11" x14ac:dyDescent="0.3">
      <c r="A256" t="s">
        <v>624</v>
      </c>
      <c r="B256" t="s">
        <v>652</v>
      </c>
      <c r="C256" t="s">
        <v>653</v>
      </c>
      <c r="D256" t="s">
        <v>496</v>
      </c>
      <c r="E256" t="s">
        <v>524</v>
      </c>
      <c r="F256" t="s">
        <v>448</v>
      </c>
      <c r="G256" t="s">
        <v>684</v>
      </c>
      <c r="H256" s="41">
        <v>6013.45</v>
      </c>
      <c r="I256" t="s">
        <v>496</v>
      </c>
      <c r="J256" t="s">
        <v>2248</v>
      </c>
      <c r="K256" t="s">
        <v>685</v>
      </c>
    </row>
    <row r="257" spans="1:11" x14ac:dyDescent="0.3">
      <c r="A257" t="s">
        <v>624</v>
      </c>
      <c r="B257" t="s">
        <v>652</v>
      </c>
      <c r="C257" t="s">
        <v>653</v>
      </c>
      <c r="D257" t="s">
        <v>496</v>
      </c>
      <c r="E257" t="s">
        <v>524</v>
      </c>
      <c r="F257" t="s">
        <v>448</v>
      </c>
      <c r="G257" t="s">
        <v>654</v>
      </c>
      <c r="H257" s="41">
        <v>6013.45</v>
      </c>
      <c r="I257" t="s">
        <v>496</v>
      </c>
      <c r="J257" t="s">
        <v>2248</v>
      </c>
      <c r="K257" t="s">
        <v>685</v>
      </c>
    </row>
    <row r="258" spans="1:11" x14ac:dyDescent="0.3">
      <c r="A258" t="s">
        <v>624</v>
      </c>
      <c r="B258" t="s">
        <v>652</v>
      </c>
      <c r="C258" t="s">
        <v>653</v>
      </c>
      <c r="D258" t="s">
        <v>496</v>
      </c>
      <c r="E258" t="s">
        <v>524</v>
      </c>
      <c r="F258" t="s">
        <v>453</v>
      </c>
      <c r="G258" t="s">
        <v>684</v>
      </c>
      <c r="H258" s="41">
        <v>0</v>
      </c>
      <c r="I258" t="s">
        <v>496</v>
      </c>
      <c r="J258" t="s">
        <v>2248</v>
      </c>
      <c r="K258" t="s">
        <v>685</v>
      </c>
    </row>
    <row r="259" spans="1:11" x14ac:dyDescent="0.3">
      <c r="A259" t="s">
        <v>624</v>
      </c>
      <c r="B259" t="s">
        <v>652</v>
      </c>
      <c r="C259" t="s">
        <v>653</v>
      </c>
      <c r="D259" t="s">
        <v>496</v>
      </c>
      <c r="E259" t="s">
        <v>524</v>
      </c>
      <c r="F259" t="s">
        <v>453</v>
      </c>
      <c r="G259" t="s">
        <v>654</v>
      </c>
      <c r="H259" s="41">
        <v>0</v>
      </c>
      <c r="I259" t="s">
        <v>496</v>
      </c>
      <c r="J259" t="s">
        <v>2248</v>
      </c>
      <c r="K259" t="s">
        <v>685</v>
      </c>
    </row>
    <row r="260" spans="1:11" x14ac:dyDescent="0.3">
      <c r="A260" t="s">
        <v>624</v>
      </c>
      <c r="B260" t="s">
        <v>652</v>
      </c>
      <c r="C260" t="s">
        <v>653</v>
      </c>
      <c r="D260" t="s">
        <v>496</v>
      </c>
      <c r="E260" t="s">
        <v>524</v>
      </c>
      <c r="F260" t="s">
        <v>442</v>
      </c>
      <c r="G260" t="s">
        <v>684</v>
      </c>
      <c r="H260" s="41">
        <v>6013.45</v>
      </c>
      <c r="I260" t="s">
        <v>496</v>
      </c>
      <c r="J260" t="s">
        <v>2248</v>
      </c>
      <c r="K260" t="s">
        <v>685</v>
      </c>
    </row>
    <row r="261" spans="1:11" x14ac:dyDescent="0.3">
      <c r="A261" t="s">
        <v>624</v>
      </c>
      <c r="B261" t="s">
        <v>652</v>
      </c>
      <c r="C261" t="s">
        <v>653</v>
      </c>
      <c r="D261" t="s">
        <v>496</v>
      </c>
      <c r="E261" t="s">
        <v>524</v>
      </c>
      <c r="F261" t="s">
        <v>442</v>
      </c>
      <c r="G261" t="s">
        <v>654</v>
      </c>
      <c r="H261" s="41">
        <v>6013.45</v>
      </c>
      <c r="I261" t="s">
        <v>496</v>
      </c>
      <c r="J261" t="s">
        <v>2248</v>
      </c>
      <c r="K261" t="s">
        <v>685</v>
      </c>
    </row>
    <row r="262" spans="1:11" x14ac:dyDescent="0.3">
      <c r="A262" t="s">
        <v>624</v>
      </c>
      <c r="B262" t="s">
        <v>652</v>
      </c>
      <c r="C262" t="s">
        <v>653</v>
      </c>
      <c r="D262" t="s">
        <v>496</v>
      </c>
      <c r="E262" t="s">
        <v>524</v>
      </c>
      <c r="F262" t="s">
        <v>479</v>
      </c>
      <c r="G262" t="s">
        <v>684</v>
      </c>
      <c r="H262" s="41">
        <v>10.76</v>
      </c>
      <c r="I262" t="s">
        <v>496</v>
      </c>
      <c r="J262" t="s">
        <v>2248</v>
      </c>
      <c r="K262" t="s">
        <v>685</v>
      </c>
    </row>
    <row r="263" spans="1:11" x14ac:dyDescent="0.3">
      <c r="A263" t="s">
        <v>624</v>
      </c>
      <c r="B263" t="s">
        <v>652</v>
      </c>
      <c r="C263" t="s">
        <v>653</v>
      </c>
      <c r="D263" t="s">
        <v>496</v>
      </c>
      <c r="E263" t="s">
        <v>524</v>
      </c>
      <c r="F263" t="s">
        <v>479</v>
      </c>
      <c r="G263" t="s">
        <v>654</v>
      </c>
      <c r="H263" s="41">
        <v>10.76</v>
      </c>
      <c r="I263" t="s">
        <v>496</v>
      </c>
      <c r="J263" t="s">
        <v>2248</v>
      </c>
      <c r="K263" t="s">
        <v>685</v>
      </c>
    </row>
    <row r="264" spans="1:11" x14ac:dyDescent="0.3">
      <c r="A264" t="s">
        <v>624</v>
      </c>
      <c r="B264" t="s">
        <v>652</v>
      </c>
      <c r="C264" t="s">
        <v>653</v>
      </c>
      <c r="D264" t="s">
        <v>496</v>
      </c>
      <c r="E264" t="s">
        <v>524</v>
      </c>
      <c r="F264" t="s">
        <v>457</v>
      </c>
      <c r="G264" t="s">
        <v>684</v>
      </c>
      <c r="H264" s="41">
        <v>0</v>
      </c>
      <c r="I264" t="s">
        <v>496</v>
      </c>
      <c r="J264" t="s">
        <v>2248</v>
      </c>
      <c r="K264" t="s">
        <v>685</v>
      </c>
    </row>
    <row r="265" spans="1:11" x14ac:dyDescent="0.3">
      <c r="A265" t="s">
        <v>624</v>
      </c>
      <c r="B265" t="s">
        <v>652</v>
      </c>
      <c r="C265" t="s">
        <v>653</v>
      </c>
      <c r="D265" t="s">
        <v>496</v>
      </c>
      <c r="E265" t="s">
        <v>524</v>
      </c>
      <c r="F265" t="s">
        <v>457</v>
      </c>
      <c r="G265" t="s">
        <v>654</v>
      </c>
      <c r="H265" s="41">
        <v>0</v>
      </c>
      <c r="I265" t="s">
        <v>496</v>
      </c>
      <c r="J265" t="s">
        <v>2248</v>
      </c>
      <c r="K265" t="s">
        <v>685</v>
      </c>
    </row>
    <row r="266" spans="1:11" x14ac:dyDescent="0.3">
      <c r="A266" t="s">
        <v>624</v>
      </c>
      <c r="B266" t="s">
        <v>652</v>
      </c>
      <c r="C266" t="s">
        <v>653</v>
      </c>
      <c r="D266" t="s">
        <v>496</v>
      </c>
      <c r="E266" t="s">
        <v>524</v>
      </c>
      <c r="F266" t="s">
        <v>465</v>
      </c>
      <c r="G266" t="s">
        <v>684</v>
      </c>
      <c r="H266" s="41">
        <v>12001.75</v>
      </c>
      <c r="I266" t="s">
        <v>496</v>
      </c>
      <c r="J266" t="s">
        <v>2248</v>
      </c>
      <c r="K266" t="s">
        <v>685</v>
      </c>
    </row>
    <row r="267" spans="1:11" x14ac:dyDescent="0.3">
      <c r="A267" t="s">
        <v>624</v>
      </c>
      <c r="B267" t="s">
        <v>652</v>
      </c>
      <c r="C267" t="s">
        <v>653</v>
      </c>
      <c r="D267" t="s">
        <v>496</v>
      </c>
      <c r="E267" t="s">
        <v>524</v>
      </c>
      <c r="F267" t="s">
        <v>465</v>
      </c>
      <c r="G267" t="s">
        <v>654</v>
      </c>
      <c r="H267" s="41">
        <v>12001.75</v>
      </c>
      <c r="I267" t="s">
        <v>496</v>
      </c>
      <c r="J267" t="s">
        <v>2248</v>
      </c>
      <c r="K267" t="s">
        <v>685</v>
      </c>
    </row>
    <row r="268" spans="1:11" x14ac:dyDescent="0.3">
      <c r="A268" t="s">
        <v>624</v>
      </c>
      <c r="B268" t="s">
        <v>652</v>
      </c>
      <c r="C268" t="s">
        <v>653</v>
      </c>
      <c r="D268" t="s">
        <v>496</v>
      </c>
      <c r="E268" t="s">
        <v>524</v>
      </c>
      <c r="F268" t="s">
        <v>472</v>
      </c>
      <c r="G268" t="s">
        <v>684</v>
      </c>
      <c r="H268" s="41">
        <v>0</v>
      </c>
      <c r="I268" t="s">
        <v>496</v>
      </c>
      <c r="J268" t="s">
        <v>2248</v>
      </c>
      <c r="K268" t="s">
        <v>685</v>
      </c>
    </row>
    <row r="269" spans="1:11" x14ac:dyDescent="0.3">
      <c r="A269" t="s">
        <v>624</v>
      </c>
      <c r="B269" t="s">
        <v>652</v>
      </c>
      <c r="C269" t="s">
        <v>653</v>
      </c>
      <c r="D269" t="s">
        <v>496</v>
      </c>
      <c r="E269" t="s">
        <v>524</v>
      </c>
      <c r="F269" t="s">
        <v>472</v>
      </c>
      <c r="G269" t="s">
        <v>654</v>
      </c>
      <c r="H269" s="41">
        <v>0</v>
      </c>
      <c r="I269" t="s">
        <v>496</v>
      </c>
      <c r="J269" t="s">
        <v>2248</v>
      </c>
      <c r="K269" t="s">
        <v>685</v>
      </c>
    </row>
    <row r="270" spans="1:11" x14ac:dyDescent="0.3">
      <c r="A270" t="s">
        <v>624</v>
      </c>
      <c r="B270" t="s">
        <v>652</v>
      </c>
      <c r="C270" t="s">
        <v>653</v>
      </c>
      <c r="D270" t="s">
        <v>496</v>
      </c>
      <c r="E270" t="s">
        <v>524</v>
      </c>
      <c r="F270" t="s">
        <v>469</v>
      </c>
      <c r="G270" t="s">
        <v>684</v>
      </c>
      <c r="H270" s="41">
        <v>0</v>
      </c>
      <c r="I270" t="s">
        <v>496</v>
      </c>
      <c r="J270" t="s">
        <v>2248</v>
      </c>
      <c r="K270" t="s">
        <v>685</v>
      </c>
    </row>
    <row r="271" spans="1:11" x14ac:dyDescent="0.3">
      <c r="A271" t="s">
        <v>624</v>
      </c>
      <c r="B271" t="s">
        <v>652</v>
      </c>
      <c r="C271" t="s">
        <v>653</v>
      </c>
      <c r="D271" t="s">
        <v>496</v>
      </c>
      <c r="E271" t="s">
        <v>524</v>
      </c>
      <c r="F271" t="s">
        <v>469</v>
      </c>
      <c r="G271" t="s">
        <v>654</v>
      </c>
      <c r="H271" s="41">
        <v>0</v>
      </c>
      <c r="I271" t="s">
        <v>496</v>
      </c>
      <c r="J271" t="s">
        <v>2248</v>
      </c>
      <c r="K271" t="s">
        <v>685</v>
      </c>
    </row>
    <row r="272" spans="1:11" x14ac:dyDescent="0.3">
      <c r="A272" t="s">
        <v>624</v>
      </c>
      <c r="B272" t="s">
        <v>652</v>
      </c>
      <c r="C272" t="s">
        <v>653</v>
      </c>
      <c r="D272" t="s">
        <v>496</v>
      </c>
      <c r="E272" t="s">
        <v>524</v>
      </c>
      <c r="F272" t="s">
        <v>482</v>
      </c>
      <c r="G272" t="s">
        <v>684</v>
      </c>
      <c r="H272" s="41">
        <v>134.28</v>
      </c>
      <c r="I272" t="s">
        <v>496</v>
      </c>
      <c r="J272" t="s">
        <v>2248</v>
      </c>
      <c r="K272" t="s">
        <v>685</v>
      </c>
    </row>
    <row r="273" spans="1:11" x14ac:dyDescent="0.3">
      <c r="A273" t="s">
        <v>624</v>
      </c>
      <c r="B273" t="s">
        <v>652</v>
      </c>
      <c r="C273" t="s">
        <v>653</v>
      </c>
      <c r="D273" t="s">
        <v>496</v>
      </c>
      <c r="E273" t="s">
        <v>524</v>
      </c>
      <c r="F273" t="s">
        <v>482</v>
      </c>
      <c r="G273" t="s">
        <v>654</v>
      </c>
      <c r="H273" s="41">
        <v>134.28</v>
      </c>
      <c r="I273" t="s">
        <v>496</v>
      </c>
      <c r="J273" t="s">
        <v>2248</v>
      </c>
      <c r="K273" t="s">
        <v>685</v>
      </c>
    </row>
    <row r="274" spans="1:11" x14ac:dyDescent="0.3">
      <c r="A274" t="s">
        <v>624</v>
      </c>
      <c r="B274" t="s">
        <v>652</v>
      </c>
      <c r="C274" t="s">
        <v>653</v>
      </c>
      <c r="D274" t="s">
        <v>496</v>
      </c>
      <c r="E274" t="s">
        <v>524</v>
      </c>
      <c r="F274" t="s">
        <v>461</v>
      </c>
      <c r="G274" t="s">
        <v>684</v>
      </c>
      <c r="H274" s="41">
        <v>6013.45</v>
      </c>
      <c r="I274" t="s">
        <v>496</v>
      </c>
      <c r="J274" t="s">
        <v>2248</v>
      </c>
      <c r="K274" t="s">
        <v>685</v>
      </c>
    </row>
    <row r="275" spans="1:11" x14ac:dyDescent="0.3">
      <c r="A275" t="s">
        <v>624</v>
      </c>
      <c r="B275" t="s">
        <v>652</v>
      </c>
      <c r="C275" t="s">
        <v>653</v>
      </c>
      <c r="D275" t="s">
        <v>496</v>
      </c>
      <c r="E275" t="s">
        <v>524</v>
      </c>
      <c r="F275" t="s">
        <v>461</v>
      </c>
      <c r="G275" t="s">
        <v>654</v>
      </c>
      <c r="H275" s="41">
        <v>6013.45</v>
      </c>
      <c r="I275" t="s">
        <v>496</v>
      </c>
      <c r="J275" t="s">
        <v>2248</v>
      </c>
      <c r="K275" t="s">
        <v>685</v>
      </c>
    </row>
    <row r="276" spans="1:11" x14ac:dyDescent="0.3">
      <c r="A276" t="s">
        <v>624</v>
      </c>
      <c r="B276" t="s">
        <v>652</v>
      </c>
      <c r="C276" t="s">
        <v>653</v>
      </c>
      <c r="D276" t="s">
        <v>496</v>
      </c>
      <c r="E276" t="s">
        <v>524</v>
      </c>
      <c r="F276" t="s">
        <v>475</v>
      </c>
      <c r="G276" t="s">
        <v>684</v>
      </c>
      <c r="H276" s="41">
        <v>-5988.3</v>
      </c>
      <c r="I276" t="s">
        <v>496</v>
      </c>
      <c r="J276" t="s">
        <v>2248</v>
      </c>
      <c r="K276" t="s">
        <v>685</v>
      </c>
    </row>
    <row r="277" spans="1:11" x14ac:dyDescent="0.3">
      <c r="A277" t="s">
        <v>624</v>
      </c>
      <c r="B277" t="s">
        <v>652</v>
      </c>
      <c r="C277" t="s">
        <v>653</v>
      </c>
      <c r="D277" t="s">
        <v>496</v>
      </c>
      <c r="E277" t="s">
        <v>524</v>
      </c>
      <c r="F277" t="s">
        <v>475</v>
      </c>
      <c r="G277" t="s">
        <v>654</v>
      </c>
      <c r="H277" s="41">
        <v>-5988.3</v>
      </c>
      <c r="I277" t="s">
        <v>496</v>
      </c>
      <c r="J277" t="s">
        <v>2248</v>
      </c>
      <c r="K277" t="s">
        <v>685</v>
      </c>
    </row>
    <row r="278" spans="1:11" x14ac:dyDescent="0.3">
      <c r="A278" t="s">
        <v>624</v>
      </c>
      <c r="B278" t="s">
        <v>652</v>
      </c>
      <c r="C278" t="s">
        <v>653</v>
      </c>
      <c r="D278" t="s">
        <v>496</v>
      </c>
      <c r="E278" t="s">
        <v>524</v>
      </c>
      <c r="F278" t="s">
        <v>485</v>
      </c>
      <c r="G278" t="s">
        <v>684</v>
      </c>
      <c r="H278" s="41">
        <v>-6111.82</v>
      </c>
      <c r="I278" t="s">
        <v>496</v>
      </c>
      <c r="J278" t="s">
        <v>2248</v>
      </c>
      <c r="K278" t="s">
        <v>685</v>
      </c>
    </row>
    <row r="279" spans="1:11" x14ac:dyDescent="0.3">
      <c r="A279" t="s">
        <v>624</v>
      </c>
      <c r="B279" t="s">
        <v>652</v>
      </c>
      <c r="C279" t="s">
        <v>653</v>
      </c>
      <c r="D279" t="s">
        <v>496</v>
      </c>
      <c r="E279" t="s">
        <v>524</v>
      </c>
      <c r="F279" t="s">
        <v>485</v>
      </c>
      <c r="G279" t="s">
        <v>654</v>
      </c>
      <c r="H279" s="41">
        <v>-6111.82</v>
      </c>
      <c r="I279" t="s">
        <v>496</v>
      </c>
      <c r="J279" t="s">
        <v>2248</v>
      </c>
      <c r="K279" t="s">
        <v>685</v>
      </c>
    </row>
    <row r="280" spans="1:11" x14ac:dyDescent="0.3">
      <c r="A280" t="s">
        <v>624</v>
      </c>
      <c r="B280" t="s">
        <v>656</v>
      </c>
      <c r="C280" t="s">
        <v>657</v>
      </c>
      <c r="D280" t="s">
        <v>686</v>
      </c>
      <c r="E280" t="s">
        <v>524</v>
      </c>
      <c r="F280" t="s">
        <v>448</v>
      </c>
      <c r="G280" t="s">
        <v>687</v>
      </c>
      <c r="H280" s="41">
        <v>6202.25</v>
      </c>
      <c r="I280" t="s">
        <v>686</v>
      </c>
      <c r="J280" t="s">
        <v>2248</v>
      </c>
      <c r="K280" t="s">
        <v>688</v>
      </c>
    </row>
    <row r="281" spans="1:11" x14ac:dyDescent="0.3">
      <c r="A281" t="s">
        <v>624</v>
      </c>
      <c r="B281" t="s">
        <v>656</v>
      </c>
      <c r="C281" t="s">
        <v>657</v>
      </c>
      <c r="D281" t="s">
        <v>496</v>
      </c>
      <c r="E281" t="s">
        <v>524</v>
      </c>
      <c r="F281" t="s">
        <v>448</v>
      </c>
      <c r="G281" t="s">
        <v>654</v>
      </c>
      <c r="H281" s="41">
        <v>1821.51</v>
      </c>
      <c r="I281" t="s">
        <v>496</v>
      </c>
      <c r="J281" t="s">
        <v>2248</v>
      </c>
      <c r="K281" t="s">
        <v>688</v>
      </c>
    </row>
    <row r="282" spans="1:11" x14ac:dyDescent="0.3">
      <c r="A282" t="s">
        <v>624</v>
      </c>
      <c r="B282" t="s">
        <v>656</v>
      </c>
      <c r="C282" t="s">
        <v>657</v>
      </c>
      <c r="D282" t="s">
        <v>686</v>
      </c>
      <c r="E282" t="s">
        <v>524</v>
      </c>
      <c r="F282" t="s">
        <v>453</v>
      </c>
      <c r="G282" t="s">
        <v>687</v>
      </c>
      <c r="H282" s="41">
        <v>0</v>
      </c>
      <c r="I282" t="s">
        <v>686</v>
      </c>
      <c r="J282" t="s">
        <v>2248</v>
      </c>
      <c r="K282" t="s">
        <v>688</v>
      </c>
    </row>
    <row r="283" spans="1:11" x14ac:dyDescent="0.3">
      <c r="A283" t="s">
        <v>624</v>
      </c>
      <c r="B283" t="s">
        <v>656</v>
      </c>
      <c r="C283" t="s">
        <v>657</v>
      </c>
      <c r="D283" t="s">
        <v>496</v>
      </c>
      <c r="E283" t="s">
        <v>524</v>
      </c>
      <c r="F283" t="s">
        <v>453</v>
      </c>
      <c r="G283" t="s">
        <v>654</v>
      </c>
      <c r="H283" s="41">
        <v>0</v>
      </c>
      <c r="I283" t="s">
        <v>496</v>
      </c>
      <c r="J283" t="s">
        <v>2248</v>
      </c>
      <c r="K283" t="s">
        <v>688</v>
      </c>
    </row>
    <row r="284" spans="1:11" x14ac:dyDescent="0.3">
      <c r="A284" t="s">
        <v>624</v>
      </c>
      <c r="B284" t="s">
        <v>656</v>
      </c>
      <c r="C284" t="s">
        <v>657</v>
      </c>
      <c r="D284" t="s">
        <v>686</v>
      </c>
      <c r="E284" t="s">
        <v>524</v>
      </c>
      <c r="F284" t="s">
        <v>442</v>
      </c>
      <c r="G284" t="s">
        <v>687</v>
      </c>
      <c r="H284" s="41">
        <v>6202.25</v>
      </c>
      <c r="I284" t="s">
        <v>686</v>
      </c>
      <c r="J284" t="s">
        <v>2248</v>
      </c>
      <c r="K284" t="s">
        <v>688</v>
      </c>
    </row>
    <row r="285" spans="1:11" x14ac:dyDescent="0.3">
      <c r="A285" t="s">
        <v>624</v>
      </c>
      <c r="B285" t="s">
        <v>656</v>
      </c>
      <c r="C285" t="s">
        <v>657</v>
      </c>
      <c r="D285" t="s">
        <v>496</v>
      </c>
      <c r="E285" t="s">
        <v>524</v>
      </c>
      <c r="F285" t="s">
        <v>442</v>
      </c>
      <c r="G285" t="s">
        <v>654</v>
      </c>
      <c r="H285" s="41">
        <v>1821.51</v>
      </c>
      <c r="I285" t="s">
        <v>496</v>
      </c>
      <c r="J285" t="s">
        <v>2248</v>
      </c>
      <c r="K285" t="s">
        <v>688</v>
      </c>
    </row>
    <row r="286" spans="1:11" x14ac:dyDescent="0.3">
      <c r="A286" t="s">
        <v>624</v>
      </c>
      <c r="B286" t="s">
        <v>656</v>
      </c>
      <c r="C286" t="s">
        <v>657</v>
      </c>
      <c r="D286" t="s">
        <v>686</v>
      </c>
      <c r="E286" t="s">
        <v>524</v>
      </c>
      <c r="F286" t="s">
        <v>479</v>
      </c>
      <c r="G286" t="s">
        <v>687</v>
      </c>
      <c r="H286" s="41">
        <v>0</v>
      </c>
      <c r="I286" t="s">
        <v>686</v>
      </c>
      <c r="J286" t="s">
        <v>2248</v>
      </c>
      <c r="K286" t="s">
        <v>688</v>
      </c>
    </row>
    <row r="287" spans="1:11" x14ac:dyDescent="0.3">
      <c r="A287" t="s">
        <v>624</v>
      </c>
      <c r="B287" t="s">
        <v>656</v>
      </c>
      <c r="C287" t="s">
        <v>657</v>
      </c>
      <c r="D287" t="s">
        <v>496</v>
      </c>
      <c r="E287" t="s">
        <v>524</v>
      </c>
      <c r="F287" t="s">
        <v>479</v>
      </c>
      <c r="G287" t="s">
        <v>654</v>
      </c>
      <c r="H287" s="41">
        <v>0</v>
      </c>
      <c r="I287" t="s">
        <v>496</v>
      </c>
      <c r="J287" t="s">
        <v>2248</v>
      </c>
      <c r="K287" t="s">
        <v>688</v>
      </c>
    </row>
    <row r="288" spans="1:11" x14ac:dyDescent="0.3">
      <c r="A288" t="s">
        <v>624</v>
      </c>
      <c r="B288" t="s">
        <v>656</v>
      </c>
      <c r="C288" t="s">
        <v>657</v>
      </c>
      <c r="D288" t="s">
        <v>686</v>
      </c>
      <c r="E288" t="s">
        <v>524</v>
      </c>
      <c r="F288" t="s">
        <v>457</v>
      </c>
      <c r="G288" t="s">
        <v>687</v>
      </c>
      <c r="H288" s="41">
        <v>0</v>
      </c>
      <c r="I288" t="s">
        <v>686</v>
      </c>
      <c r="J288" t="s">
        <v>2248</v>
      </c>
      <c r="K288" t="s">
        <v>688</v>
      </c>
    </row>
    <row r="289" spans="1:11" x14ac:dyDescent="0.3">
      <c r="A289" t="s">
        <v>624</v>
      </c>
      <c r="B289" t="s">
        <v>656</v>
      </c>
      <c r="C289" t="s">
        <v>657</v>
      </c>
      <c r="D289" t="s">
        <v>496</v>
      </c>
      <c r="E289" t="s">
        <v>524</v>
      </c>
      <c r="F289" t="s">
        <v>457</v>
      </c>
      <c r="G289" t="s">
        <v>654</v>
      </c>
      <c r="H289" s="41">
        <v>0</v>
      </c>
      <c r="I289" t="s">
        <v>496</v>
      </c>
      <c r="J289" t="s">
        <v>2248</v>
      </c>
      <c r="K289" t="s">
        <v>688</v>
      </c>
    </row>
    <row r="290" spans="1:11" x14ac:dyDescent="0.3">
      <c r="A290" t="s">
        <v>624</v>
      </c>
      <c r="B290" t="s">
        <v>656</v>
      </c>
      <c r="C290" t="s">
        <v>657</v>
      </c>
      <c r="D290" t="s">
        <v>686</v>
      </c>
      <c r="E290" t="s">
        <v>524</v>
      </c>
      <c r="F290" t="s">
        <v>465</v>
      </c>
      <c r="G290" t="s">
        <v>687</v>
      </c>
      <c r="H290" s="41">
        <v>878</v>
      </c>
      <c r="I290" t="s">
        <v>686</v>
      </c>
      <c r="J290" t="s">
        <v>2248</v>
      </c>
      <c r="K290" t="s">
        <v>688</v>
      </c>
    </row>
    <row r="291" spans="1:11" x14ac:dyDescent="0.3">
      <c r="A291" t="s">
        <v>624</v>
      </c>
      <c r="B291" t="s">
        <v>656</v>
      </c>
      <c r="C291" t="s">
        <v>657</v>
      </c>
      <c r="D291" t="s">
        <v>496</v>
      </c>
      <c r="E291" t="s">
        <v>524</v>
      </c>
      <c r="F291" t="s">
        <v>465</v>
      </c>
      <c r="G291" t="s">
        <v>654</v>
      </c>
      <c r="H291" s="41">
        <v>257.86</v>
      </c>
      <c r="I291" t="s">
        <v>496</v>
      </c>
      <c r="J291" t="s">
        <v>2248</v>
      </c>
      <c r="K291" t="s">
        <v>688</v>
      </c>
    </row>
    <row r="292" spans="1:11" x14ac:dyDescent="0.3">
      <c r="A292" t="s">
        <v>624</v>
      </c>
      <c r="B292" t="s">
        <v>656</v>
      </c>
      <c r="C292" t="s">
        <v>657</v>
      </c>
      <c r="D292" t="s">
        <v>686</v>
      </c>
      <c r="E292" t="s">
        <v>524</v>
      </c>
      <c r="F292" t="s">
        <v>472</v>
      </c>
      <c r="G292" t="s">
        <v>687</v>
      </c>
      <c r="H292" s="41">
        <v>11218.31</v>
      </c>
      <c r="I292" t="s">
        <v>686</v>
      </c>
      <c r="J292" t="s">
        <v>2248</v>
      </c>
      <c r="K292" t="s">
        <v>688</v>
      </c>
    </row>
    <row r="293" spans="1:11" x14ac:dyDescent="0.3">
      <c r="A293" t="s">
        <v>624</v>
      </c>
      <c r="B293" t="s">
        <v>656</v>
      </c>
      <c r="C293" t="s">
        <v>657</v>
      </c>
      <c r="D293" t="s">
        <v>496</v>
      </c>
      <c r="E293" t="s">
        <v>524</v>
      </c>
      <c r="F293" t="s">
        <v>472</v>
      </c>
      <c r="G293" t="s">
        <v>654</v>
      </c>
      <c r="H293" s="41">
        <v>3294.66</v>
      </c>
      <c r="I293" t="s">
        <v>496</v>
      </c>
      <c r="J293" t="s">
        <v>2248</v>
      </c>
      <c r="K293" t="s">
        <v>688</v>
      </c>
    </row>
    <row r="294" spans="1:11" x14ac:dyDescent="0.3">
      <c r="A294" t="s">
        <v>624</v>
      </c>
      <c r="B294" t="s">
        <v>656</v>
      </c>
      <c r="C294" t="s">
        <v>657</v>
      </c>
      <c r="D294" t="s">
        <v>686</v>
      </c>
      <c r="E294" t="s">
        <v>524</v>
      </c>
      <c r="F294" t="s">
        <v>469</v>
      </c>
      <c r="G294" t="s">
        <v>687</v>
      </c>
      <c r="H294" s="41">
        <v>0</v>
      </c>
      <c r="I294" t="s">
        <v>686</v>
      </c>
      <c r="J294" t="s">
        <v>2248</v>
      </c>
      <c r="K294" t="s">
        <v>688</v>
      </c>
    </row>
    <row r="295" spans="1:11" x14ac:dyDescent="0.3">
      <c r="A295" t="s">
        <v>624</v>
      </c>
      <c r="B295" t="s">
        <v>656</v>
      </c>
      <c r="C295" t="s">
        <v>657</v>
      </c>
      <c r="D295" t="s">
        <v>496</v>
      </c>
      <c r="E295" t="s">
        <v>524</v>
      </c>
      <c r="F295" t="s">
        <v>469</v>
      </c>
      <c r="G295" t="s">
        <v>654</v>
      </c>
      <c r="H295" s="41">
        <v>0</v>
      </c>
      <c r="I295" t="s">
        <v>496</v>
      </c>
      <c r="J295" t="s">
        <v>2248</v>
      </c>
      <c r="K295" t="s">
        <v>688</v>
      </c>
    </row>
    <row r="296" spans="1:11" x14ac:dyDescent="0.3">
      <c r="A296" t="s">
        <v>624</v>
      </c>
      <c r="B296" t="s">
        <v>656</v>
      </c>
      <c r="C296" t="s">
        <v>657</v>
      </c>
      <c r="D296" t="s">
        <v>686</v>
      </c>
      <c r="E296" t="s">
        <v>524</v>
      </c>
      <c r="F296" t="s">
        <v>482</v>
      </c>
      <c r="G296" t="s">
        <v>687</v>
      </c>
      <c r="H296" s="41">
        <v>314.14999999999998</v>
      </c>
      <c r="I296" t="s">
        <v>686</v>
      </c>
      <c r="J296" t="s">
        <v>2248</v>
      </c>
      <c r="K296" t="s">
        <v>688</v>
      </c>
    </row>
    <row r="297" spans="1:11" x14ac:dyDescent="0.3">
      <c r="A297" t="s">
        <v>624</v>
      </c>
      <c r="B297" t="s">
        <v>656</v>
      </c>
      <c r="C297" t="s">
        <v>657</v>
      </c>
      <c r="D297" t="s">
        <v>496</v>
      </c>
      <c r="E297" t="s">
        <v>524</v>
      </c>
      <c r="F297" t="s">
        <v>482</v>
      </c>
      <c r="G297" t="s">
        <v>654</v>
      </c>
      <c r="H297" s="41">
        <v>92.26</v>
      </c>
      <c r="I297" t="s">
        <v>496</v>
      </c>
      <c r="J297" t="s">
        <v>2248</v>
      </c>
      <c r="K297" t="s">
        <v>688</v>
      </c>
    </row>
    <row r="298" spans="1:11" x14ac:dyDescent="0.3">
      <c r="A298" t="s">
        <v>624</v>
      </c>
      <c r="B298" t="s">
        <v>656</v>
      </c>
      <c r="C298" t="s">
        <v>657</v>
      </c>
      <c r="D298" t="s">
        <v>686</v>
      </c>
      <c r="E298" t="s">
        <v>524</v>
      </c>
      <c r="F298" t="s">
        <v>461</v>
      </c>
      <c r="G298" t="s">
        <v>687</v>
      </c>
      <c r="H298" s="41">
        <v>6202.25</v>
      </c>
      <c r="I298" t="s">
        <v>686</v>
      </c>
      <c r="J298" t="s">
        <v>2248</v>
      </c>
      <c r="K298" t="s">
        <v>688</v>
      </c>
    </row>
    <row r="299" spans="1:11" x14ac:dyDescent="0.3">
      <c r="A299" t="s">
        <v>624</v>
      </c>
      <c r="B299" t="s">
        <v>656</v>
      </c>
      <c r="C299" t="s">
        <v>657</v>
      </c>
      <c r="D299" t="s">
        <v>496</v>
      </c>
      <c r="E299" t="s">
        <v>524</v>
      </c>
      <c r="F299" t="s">
        <v>461</v>
      </c>
      <c r="G299" t="s">
        <v>654</v>
      </c>
      <c r="H299" s="41">
        <v>1821.51</v>
      </c>
      <c r="I299" t="s">
        <v>496</v>
      </c>
      <c r="J299" t="s">
        <v>2248</v>
      </c>
      <c r="K299" t="s">
        <v>688</v>
      </c>
    </row>
    <row r="300" spans="1:11" x14ac:dyDescent="0.3">
      <c r="A300" t="s">
        <v>624</v>
      </c>
      <c r="B300" t="s">
        <v>656</v>
      </c>
      <c r="C300" t="s">
        <v>657</v>
      </c>
      <c r="D300" t="s">
        <v>686</v>
      </c>
      <c r="E300" t="s">
        <v>524</v>
      </c>
      <c r="F300" t="s">
        <v>475</v>
      </c>
      <c r="G300" t="s">
        <v>687</v>
      </c>
      <c r="H300" s="41">
        <v>-5894.06</v>
      </c>
      <c r="I300" t="s">
        <v>686</v>
      </c>
      <c r="J300" t="s">
        <v>2248</v>
      </c>
      <c r="K300" t="s">
        <v>688</v>
      </c>
    </row>
    <row r="301" spans="1:11" x14ac:dyDescent="0.3">
      <c r="A301" t="s">
        <v>624</v>
      </c>
      <c r="B301" t="s">
        <v>656</v>
      </c>
      <c r="C301" t="s">
        <v>657</v>
      </c>
      <c r="D301" t="s">
        <v>496</v>
      </c>
      <c r="E301" t="s">
        <v>524</v>
      </c>
      <c r="F301" t="s">
        <v>475</v>
      </c>
      <c r="G301" t="s">
        <v>654</v>
      </c>
      <c r="H301" s="41">
        <v>-1731</v>
      </c>
      <c r="I301" t="s">
        <v>496</v>
      </c>
      <c r="J301" t="s">
        <v>2248</v>
      </c>
      <c r="K301" t="s">
        <v>688</v>
      </c>
    </row>
    <row r="302" spans="1:11" x14ac:dyDescent="0.3">
      <c r="A302" t="s">
        <v>624</v>
      </c>
      <c r="B302" t="s">
        <v>656</v>
      </c>
      <c r="C302" t="s">
        <v>657</v>
      </c>
      <c r="D302" t="s">
        <v>686</v>
      </c>
      <c r="E302" t="s">
        <v>524</v>
      </c>
      <c r="F302" t="s">
        <v>485</v>
      </c>
      <c r="G302" t="s">
        <v>687</v>
      </c>
      <c r="H302" s="41">
        <v>-6208.21</v>
      </c>
      <c r="I302" t="s">
        <v>686</v>
      </c>
      <c r="J302" t="s">
        <v>2248</v>
      </c>
      <c r="K302" t="s">
        <v>688</v>
      </c>
    </row>
    <row r="303" spans="1:11" x14ac:dyDescent="0.3">
      <c r="A303" t="s">
        <v>624</v>
      </c>
      <c r="B303" t="s">
        <v>656</v>
      </c>
      <c r="C303" t="s">
        <v>657</v>
      </c>
      <c r="D303" t="s">
        <v>496</v>
      </c>
      <c r="E303" t="s">
        <v>524</v>
      </c>
      <c r="F303" t="s">
        <v>485</v>
      </c>
      <c r="G303" t="s">
        <v>654</v>
      </c>
      <c r="H303" s="41">
        <v>-1823.26</v>
      </c>
      <c r="I303" t="s">
        <v>496</v>
      </c>
      <c r="J303" t="s">
        <v>2248</v>
      </c>
      <c r="K303" t="s">
        <v>688</v>
      </c>
    </row>
    <row r="304" spans="1:11" x14ac:dyDescent="0.3">
      <c r="A304" t="s">
        <v>624</v>
      </c>
      <c r="B304" t="s">
        <v>660</v>
      </c>
      <c r="C304" t="s">
        <v>689</v>
      </c>
      <c r="D304" t="s">
        <v>496</v>
      </c>
      <c r="E304" t="s">
        <v>524</v>
      </c>
      <c r="F304" t="s">
        <v>448</v>
      </c>
      <c r="G304" t="s">
        <v>654</v>
      </c>
      <c r="H304" s="41">
        <v>345033.44</v>
      </c>
      <c r="I304" t="s">
        <v>496</v>
      </c>
      <c r="J304" t="s">
        <v>2248</v>
      </c>
      <c r="K304" t="s">
        <v>690</v>
      </c>
    </row>
    <row r="305" spans="1:11" x14ac:dyDescent="0.3">
      <c r="A305" t="s">
        <v>624</v>
      </c>
      <c r="B305" t="s">
        <v>660</v>
      </c>
      <c r="C305" t="s">
        <v>689</v>
      </c>
      <c r="D305" t="s">
        <v>496</v>
      </c>
      <c r="E305" t="s">
        <v>524</v>
      </c>
      <c r="F305" t="s">
        <v>453</v>
      </c>
      <c r="G305" t="s">
        <v>654</v>
      </c>
      <c r="H305" s="41">
        <v>-9132</v>
      </c>
      <c r="I305" t="s">
        <v>496</v>
      </c>
      <c r="J305" t="s">
        <v>2248</v>
      </c>
      <c r="K305" t="s">
        <v>690</v>
      </c>
    </row>
    <row r="306" spans="1:11" x14ac:dyDescent="0.3">
      <c r="A306" t="s">
        <v>624</v>
      </c>
      <c r="B306" t="s">
        <v>660</v>
      </c>
      <c r="C306" t="s">
        <v>689</v>
      </c>
      <c r="D306" t="s">
        <v>496</v>
      </c>
      <c r="E306" t="s">
        <v>524</v>
      </c>
      <c r="F306" t="s">
        <v>442</v>
      </c>
      <c r="G306" t="s">
        <v>654</v>
      </c>
      <c r="H306" s="41">
        <v>335901.45</v>
      </c>
      <c r="I306" t="s">
        <v>496</v>
      </c>
      <c r="J306" t="s">
        <v>2248</v>
      </c>
      <c r="K306" t="s">
        <v>690</v>
      </c>
    </row>
    <row r="307" spans="1:11" x14ac:dyDescent="0.3">
      <c r="A307" t="s">
        <v>624</v>
      </c>
      <c r="B307" t="s">
        <v>660</v>
      </c>
      <c r="C307" t="s">
        <v>689</v>
      </c>
      <c r="D307" t="s">
        <v>496</v>
      </c>
      <c r="E307" t="s">
        <v>524</v>
      </c>
      <c r="F307" t="s">
        <v>457</v>
      </c>
      <c r="G307" t="s">
        <v>654</v>
      </c>
      <c r="H307" s="41">
        <v>91838.29</v>
      </c>
      <c r="I307" t="s">
        <v>496</v>
      </c>
      <c r="J307" t="s">
        <v>2248</v>
      </c>
      <c r="K307" t="s">
        <v>690</v>
      </c>
    </row>
    <row r="308" spans="1:11" x14ac:dyDescent="0.3">
      <c r="A308" t="s">
        <v>624</v>
      </c>
      <c r="B308" t="s">
        <v>660</v>
      </c>
      <c r="C308" t="s">
        <v>689</v>
      </c>
      <c r="D308" t="s">
        <v>496</v>
      </c>
      <c r="E308" t="s">
        <v>524</v>
      </c>
      <c r="F308" t="s">
        <v>461</v>
      </c>
      <c r="G308" t="s">
        <v>654</v>
      </c>
      <c r="H308" s="41">
        <v>244063.16</v>
      </c>
      <c r="I308" t="s">
        <v>496</v>
      </c>
      <c r="J308" t="s">
        <v>2248</v>
      </c>
      <c r="K308" t="s">
        <v>690</v>
      </c>
    </row>
    <row r="309" spans="1:11" x14ac:dyDescent="0.3">
      <c r="A309" t="s">
        <v>624</v>
      </c>
      <c r="B309" t="s">
        <v>660</v>
      </c>
      <c r="C309" t="s">
        <v>689</v>
      </c>
      <c r="D309" t="s">
        <v>496</v>
      </c>
      <c r="E309" t="s">
        <v>524</v>
      </c>
      <c r="F309" t="s">
        <v>465</v>
      </c>
      <c r="G309" t="s">
        <v>654</v>
      </c>
      <c r="H309" s="41">
        <v>46098.13</v>
      </c>
      <c r="I309" t="s">
        <v>496</v>
      </c>
      <c r="J309" t="s">
        <v>2248</v>
      </c>
      <c r="K309" t="s">
        <v>690</v>
      </c>
    </row>
    <row r="310" spans="1:11" x14ac:dyDescent="0.3">
      <c r="A310" t="s">
        <v>624</v>
      </c>
      <c r="B310" t="s">
        <v>660</v>
      </c>
      <c r="C310" t="s">
        <v>689</v>
      </c>
      <c r="D310" t="s">
        <v>496</v>
      </c>
      <c r="E310" t="s">
        <v>524</v>
      </c>
      <c r="F310" t="s">
        <v>469</v>
      </c>
      <c r="G310" t="s">
        <v>654</v>
      </c>
      <c r="H310" s="41">
        <v>29366.19</v>
      </c>
      <c r="I310" t="s">
        <v>496</v>
      </c>
      <c r="J310" t="s">
        <v>2248</v>
      </c>
      <c r="K310" t="s">
        <v>690</v>
      </c>
    </row>
    <row r="311" spans="1:11" x14ac:dyDescent="0.3">
      <c r="A311" t="s">
        <v>624</v>
      </c>
      <c r="B311" t="s">
        <v>660</v>
      </c>
      <c r="C311" t="s">
        <v>689</v>
      </c>
      <c r="D311" t="s">
        <v>496</v>
      </c>
      <c r="E311" t="s">
        <v>524</v>
      </c>
      <c r="F311" t="s">
        <v>472</v>
      </c>
      <c r="G311" t="s">
        <v>654</v>
      </c>
      <c r="H311" s="41">
        <v>36890.160000000003</v>
      </c>
      <c r="I311" t="s">
        <v>496</v>
      </c>
      <c r="J311" t="s">
        <v>2248</v>
      </c>
      <c r="K311" t="s">
        <v>690</v>
      </c>
    </row>
    <row r="312" spans="1:11" x14ac:dyDescent="0.3">
      <c r="A312" t="s">
        <v>624</v>
      </c>
      <c r="B312" t="s">
        <v>660</v>
      </c>
      <c r="C312" t="s">
        <v>689</v>
      </c>
      <c r="D312" t="s">
        <v>496</v>
      </c>
      <c r="E312" t="s">
        <v>524</v>
      </c>
      <c r="F312" t="s">
        <v>475</v>
      </c>
      <c r="G312" t="s">
        <v>654</v>
      </c>
      <c r="H312" s="41">
        <v>131708.69</v>
      </c>
      <c r="I312" t="s">
        <v>496</v>
      </c>
      <c r="J312" t="s">
        <v>2248</v>
      </c>
      <c r="K312" t="s">
        <v>690</v>
      </c>
    </row>
    <row r="313" spans="1:11" x14ac:dyDescent="0.3">
      <c r="A313" t="s">
        <v>624</v>
      </c>
      <c r="B313" t="s">
        <v>660</v>
      </c>
      <c r="C313" t="s">
        <v>689</v>
      </c>
      <c r="D313" t="s">
        <v>496</v>
      </c>
      <c r="E313" t="s">
        <v>524</v>
      </c>
      <c r="F313" t="s">
        <v>479</v>
      </c>
      <c r="G313" t="s">
        <v>654</v>
      </c>
      <c r="H313" s="41">
        <v>215.68</v>
      </c>
      <c r="I313" t="s">
        <v>496</v>
      </c>
      <c r="J313" t="s">
        <v>2248</v>
      </c>
      <c r="K313" t="s">
        <v>690</v>
      </c>
    </row>
    <row r="314" spans="1:11" x14ac:dyDescent="0.3">
      <c r="A314" t="s">
        <v>624</v>
      </c>
      <c r="B314" t="s">
        <v>660</v>
      </c>
      <c r="C314" t="s">
        <v>689</v>
      </c>
      <c r="D314" t="s">
        <v>496</v>
      </c>
      <c r="E314" t="s">
        <v>524</v>
      </c>
      <c r="F314" t="s">
        <v>482</v>
      </c>
      <c r="G314" t="s">
        <v>654</v>
      </c>
      <c r="H314" s="41">
        <v>1783.85</v>
      </c>
      <c r="I314" t="s">
        <v>496</v>
      </c>
      <c r="J314" t="s">
        <v>2248</v>
      </c>
      <c r="K314" t="s">
        <v>690</v>
      </c>
    </row>
    <row r="315" spans="1:11" x14ac:dyDescent="0.3">
      <c r="A315" t="s">
        <v>624</v>
      </c>
      <c r="B315" t="s">
        <v>660</v>
      </c>
      <c r="C315" t="s">
        <v>689</v>
      </c>
      <c r="D315" t="s">
        <v>496</v>
      </c>
      <c r="E315" t="s">
        <v>524</v>
      </c>
      <c r="F315" t="s">
        <v>485</v>
      </c>
      <c r="G315" t="s">
        <v>654</v>
      </c>
      <c r="H315" s="41">
        <v>130140.53</v>
      </c>
      <c r="I315" t="s">
        <v>496</v>
      </c>
      <c r="J315" t="s">
        <v>2248</v>
      </c>
      <c r="K315" t="s">
        <v>690</v>
      </c>
    </row>
    <row r="316" spans="1:11" x14ac:dyDescent="0.3">
      <c r="A316" t="s">
        <v>624</v>
      </c>
      <c r="B316" t="s">
        <v>658</v>
      </c>
      <c r="C316" t="s">
        <v>659</v>
      </c>
      <c r="D316" t="s">
        <v>496</v>
      </c>
      <c r="E316" t="s">
        <v>524</v>
      </c>
      <c r="F316" t="s">
        <v>448</v>
      </c>
      <c r="G316" t="s">
        <v>654</v>
      </c>
      <c r="H316" s="41">
        <v>134104</v>
      </c>
      <c r="I316" t="s">
        <v>496</v>
      </c>
      <c r="J316" t="s">
        <v>2248</v>
      </c>
      <c r="K316" t="s">
        <v>691</v>
      </c>
    </row>
    <row r="317" spans="1:11" x14ac:dyDescent="0.3">
      <c r="A317" t="s">
        <v>624</v>
      </c>
      <c r="B317" t="s">
        <v>658</v>
      </c>
      <c r="C317" t="s">
        <v>659</v>
      </c>
      <c r="D317" t="s">
        <v>496</v>
      </c>
      <c r="E317" t="s">
        <v>524</v>
      </c>
      <c r="F317" t="s">
        <v>453</v>
      </c>
      <c r="G317" t="s">
        <v>654</v>
      </c>
      <c r="H317" s="41">
        <v>0</v>
      </c>
      <c r="I317" t="s">
        <v>496</v>
      </c>
      <c r="J317" t="s">
        <v>2248</v>
      </c>
      <c r="K317" t="s">
        <v>691</v>
      </c>
    </row>
    <row r="318" spans="1:11" x14ac:dyDescent="0.3">
      <c r="A318" t="s">
        <v>624</v>
      </c>
      <c r="B318" t="s">
        <v>658</v>
      </c>
      <c r="C318" t="s">
        <v>659</v>
      </c>
      <c r="D318" t="s">
        <v>496</v>
      </c>
      <c r="E318" t="s">
        <v>524</v>
      </c>
      <c r="F318" t="s">
        <v>442</v>
      </c>
      <c r="G318" t="s">
        <v>654</v>
      </c>
      <c r="H318" s="41">
        <v>134104</v>
      </c>
      <c r="I318" t="s">
        <v>496</v>
      </c>
      <c r="J318" t="s">
        <v>2248</v>
      </c>
      <c r="K318" t="s">
        <v>691</v>
      </c>
    </row>
    <row r="319" spans="1:11" x14ac:dyDescent="0.3">
      <c r="A319" t="s">
        <v>624</v>
      </c>
      <c r="B319" t="s">
        <v>658</v>
      </c>
      <c r="C319" t="s">
        <v>659</v>
      </c>
      <c r="D319" t="s">
        <v>496</v>
      </c>
      <c r="E319" t="s">
        <v>524</v>
      </c>
      <c r="F319" t="s">
        <v>479</v>
      </c>
      <c r="G319" t="s">
        <v>654</v>
      </c>
      <c r="H319" s="41">
        <v>0</v>
      </c>
      <c r="I319" t="s">
        <v>496</v>
      </c>
      <c r="J319" t="s">
        <v>2248</v>
      </c>
      <c r="K319" t="s">
        <v>691</v>
      </c>
    </row>
    <row r="320" spans="1:11" x14ac:dyDescent="0.3">
      <c r="A320" t="s">
        <v>624</v>
      </c>
      <c r="B320" t="s">
        <v>658</v>
      </c>
      <c r="C320" t="s">
        <v>659</v>
      </c>
      <c r="D320" t="s">
        <v>496</v>
      </c>
      <c r="E320" t="s">
        <v>524</v>
      </c>
      <c r="F320" t="s">
        <v>457</v>
      </c>
      <c r="G320" t="s">
        <v>654</v>
      </c>
      <c r="H320" s="41">
        <v>0</v>
      </c>
      <c r="I320" t="s">
        <v>496</v>
      </c>
      <c r="J320" t="s">
        <v>2248</v>
      </c>
      <c r="K320" t="s">
        <v>691</v>
      </c>
    </row>
    <row r="321" spans="1:11" x14ac:dyDescent="0.3">
      <c r="A321" t="s">
        <v>624</v>
      </c>
      <c r="B321" t="s">
        <v>658</v>
      </c>
      <c r="C321" t="s">
        <v>659</v>
      </c>
      <c r="D321" t="s">
        <v>496</v>
      </c>
      <c r="E321" t="s">
        <v>524</v>
      </c>
      <c r="F321" t="s">
        <v>461</v>
      </c>
      <c r="G321" t="s">
        <v>654</v>
      </c>
      <c r="H321" s="41">
        <v>134104</v>
      </c>
      <c r="I321" t="s">
        <v>496</v>
      </c>
      <c r="J321" t="s">
        <v>2248</v>
      </c>
      <c r="K321" t="s">
        <v>691</v>
      </c>
    </row>
    <row r="322" spans="1:11" x14ac:dyDescent="0.3">
      <c r="A322" t="s">
        <v>624</v>
      </c>
      <c r="B322" t="s">
        <v>658</v>
      </c>
      <c r="C322" t="s">
        <v>659</v>
      </c>
      <c r="D322" t="s">
        <v>496</v>
      </c>
      <c r="E322" t="s">
        <v>524</v>
      </c>
      <c r="F322" t="s">
        <v>465</v>
      </c>
      <c r="G322" t="s">
        <v>654</v>
      </c>
      <c r="H322" s="41">
        <v>3046.94</v>
      </c>
      <c r="I322" t="s">
        <v>496</v>
      </c>
      <c r="J322" t="s">
        <v>2248</v>
      </c>
      <c r="K322" t="s">
        <v>691</v>
      </c>
    </row>
    <row r="323" spans="1:11" x14ac:dyDescent="0.3">
      <c r="A323" t="s">
        <v>624</v>
      </c>
      <c r="B323" t="s">
        <v>658</v>
      </c>
      <c r="C323" t="s">
        <v>659</v>
      </c>
      <c r="D323" t="s">
        <v>496</v>
      </c>
      <c r="E323" t="s">
        <v>524</v>
      </c>
      <c r="F323" t="s">
        <v>472</v>
      </c>
      <c r="G323" t="s">
        <v>654</v>
      </c>
      <c r="H323" s="41">
        <v>0</v>
      </c>
      <c r="I323" t="s">
        <v>496</v>
      </c>
      <c r="J323" t="s">
        <v>2248</v>
      </c>
      <c r="K323" t="s">
        <v>691</v>
      </c>
    </row>
    <row r="324" spans="1:11" x14ac:dyDescent="0.3">
      <c r="A324" t="s">
        <v>624</v>
      </c>
      <c r="B324" t="s">
        <v>658</v>
      </c>
      <c r="C324" t="s">
        <v>659</v>
      </c>
      <c r="D324" t="s">
        <v>496</v>
      </c>
      <c r="E324" t="s">
        <v>524</v>
      </c>
      <c r="F324" t="s">
        <v>469</v>
      </c>
      <c r="G324" t="s">
        <v>654</v>
      </c>
      <c r="H324" s="41">
        <v>0</v>
      </c>
      <c r="I324" t="s">
        <v>496</v>
      </c>
      <c r="J324" t="s">
        <v>2248</v>
      </c>
      <c r="K324" t="s">
        <v>691</v>
      </c>
    </row>
    <row r="325" spans="1:11" x14ac:dyDescent="0.3">
      <c r="A325" t="s">
        <v>624</v>
      </c>
      <c r="B325" t="s">
        <v>658</v>
      </c>
      <c r="C325" t="s">
        <v>659</v>
      </c>
      <c r="D325" t="s">
        <v>496</v>
      </c>
      <c r="E325" t="s">
        <v>524</v>
      </c>
      <c r="F325" t="s">
        <v>482</v>
      </c>
      <c r="G325" t="s">
        <v>654</v>
      </c>
      <c r="H325" s="41">
        <v>30</v>
      </c>
      <c r="I325" t="s">
        <v>496</v>
      </c>
      <c r="J325" t="s">
        <v>2248</v>
      </c>
      <c r="K325" t="s">
        <v>691</v>
      </c>
    </row>
    <row r="326" spans="1:11" x14ac:dyDescent="0.3">
      <c r="A326" t="s">
        <v>624</v>
      </c>
      <c r="B326" t="s">
        <v>658</v>
      </c>
      <c r="C326" t="s">
        <v>659</v>
      </c>
      <c r="D326" t="s">
        <v>496</v>
      </c>
      <c r="E326" t="s">
        <v>524</v>
      </c>
      <c r="F326" t="s">
        <v>475</v>
      </c>
      <c r="G326" t="s">
        <v>654</v>
      </c>
      <c r="H326" s="41">
        <v>131057.06</v>
      </c>
      <c r="I326" t="s">
        <v>496</v>
      </c>
      <c r="J326" t="s">
        <v>2248</v>
      </c>
      <c r="K326" t="s">
        <v>691</v>
      </c>
    </row>
    <row r="327" spans="1:11" x14ac:dyDescent="0.3">
      <c r="A327" t="s">
        <v>624</v>
      </c>
      <c r="B327" t="s">
        <v>658</v>
      </c>
      <c r="C327" t="s">
        <v>659</v>
      </c>
      <c r="D327" t="s">
        <v>496</v>
      </c>
      <c r="E327" t="s">
        <v>524</v>
      </c>
      <c r="F327" t="s">
        <v>485</v>
      </c>
      <c r="G327" t="s">
        <v>654</v>
      </c>
      <c r="H327" s="41">
        <v>131027.06</v>
      </c>
      <c r="I327" t="s">
        <v>496</v>
      </c>
      <c r="J327" t="s">
        <v>2248</v>
      </c>
      <c r="K327" t="s">
        <v>691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T675"/>
  <sheetViews>
    <sheetView workbookViewId="0"/>
  </sheetViews>
  <sheetFormatPr defaultRowHeight="14.4" x14ac:dyDescent="0.3"/>
  <cols>
    <col min="1" max="1" width="10" customWidth="1"/>
    <col min="2" max="2" width="16" customWidth="1"/>
    <col min="3" max="4" width="10" customWidth="1"/>
    <col min="5" max="5" width="14" customWidth="1"/>
    <col min="6" max="6" width="27" customWidth="1"/>
    <col min="7" max="9" width="38" customWidth="1"/>
    <col min="10" max="10" width="15" customWidth="1"/>
    <col min="11" max="12" width="10" customWidth="1"/>
    <col min="13" max="13" width="20" customWidth="1"/>
    <col min="14" max="14" width="24" customWidth="1"/>
    <col min="15" max="15" width="16" customWidth="1"/>
    <col min="16" max="16" width="24" customWidth="1"/>
    <col min="17" max="17" width="12" customWidth="1"/>
    <col min="18" max="18" width="11" customWidth="1"/>
    <col min="19" max="19" width="10" customWidth="1"/>
    <col min="20" max="20" width="38" customWidth="1"/>
  </cols>
  <sheetData>
    <row r="1" spans="1:20" x14ac:dyDescent="0.3">
      <c r="A1" s="50" t="s">
        <v>17</v>
      </c>
      <c r="B1" s="50" t="s">
        <v>27</v>
      </c>
      <c r="C1" s="50" t="s">
        <v>2249</v>
      </c>
      <c r="D1" s="50" t="s">
        <v>38</v>
      </c>
      <c r="E1" s="50" t="s">
        <v>2215</v>
      </c>
      <c r="F1" s="50" t="s">
        <v>2250</v>
      </c>
      <c r="G1" s="50" t="s">
        <v>2216</v>
      </c>
      <c r="H1" s="50" t="s">
        <v>2251</v>
      </c>
      <c r="I1" s="50" t="s">
        <v>2252</v>
      </c>
      <c r="J1" s="50" t="s">
        <v>2253</v>
      </c>
      <c r="K1" s="50" t="s">
        <v>2254</v>
      </c>
      <c r="L1" s="50" t="s">
        <v>2255</v>
      </c>
      <c r="M1" s="50" t="s">
        <v>2256</v>
      </c>
      <c r="N1" s="50" t="s">
        <v>2257</v>
      </c>
      <c r="O1" s="50" t="s">
        <v>2258</v>
      </c>
      <c r="P1" s="50" t="s">
        <v>2259</v>
      </c>
      <c r="Q1" s="50" t="s">
        <v>2260</v>
      </c>
      <c r="R1" s="50" t="s">
        <v>2261</v>
      </c>
      <c r="S1" s="50" t="s">
        <v>2262</v>
      </c>
      <c r="T1" s="50" t="s">
        <v>2263</v>
      </c>
    </row>
    <row r="2" spans="1:20" x14ac:dyDescent="0.3">
      <c r="A2" t="s">
        <v>553</v>
      </c>
      <c r="B2" t="s">
        <v>658</v>
      </c>
      <c r="C2" t="s">
        <v>976</v>
      </c>
      <c r="D2" t="s">
        <v>496</v>
      </c>
      <c r="E2" t="s">
        <v>1060</v>
      </c>
      <c r="F2" t="s">
        <v>947</v>
      </c>
      <c r="G2" t="s">
        <v>1061</v>
      </c>
      <c r="H2" t="s">
        <v>1200</v>
      </c>
      <c r="I2" t="s">
        <v>1197</v>
      </c>
      <c r="J2" s="41">
        <v>3600</v>
      </c>
      <c r="K2" s="41">
        <v>1200</v>
      </c>
      <c r="L2" s="41">
        <v>0</v>
      </c>
      <c r="M2" s="41">
        <v>4800</v>
      </c>
      <c r="N2" s="41">
        <v>4800</v>
      </c>
      <c r="O2" s="41">
        <v>1200</v>
      </c>
      <c r="P2" t="s">
        <v>1157</v>
      </c>
      <c r="Q2" t="s">
        <v>1195</v>
      </c>
      <c r="R2" t="s">
        <v>1166</v>
      </c>
      <c r="S2" t="s">
        <v>1167</v>
      </c>
      <c r="T2" t="s">
        <v>1201</v>
      </c>
    </row>
    <row r="3" spans="1:20" x14ac:dyDescent="0.3">
      <c r="A3" t="s">
        <v>553</v>
      </c>
      <c r="B3" t="s">
        <v>658</v>
      </c>
      <c r="C3" t="s">
        <v>976</v>
      </c>
      <c r="D3" t="s">
        <v>496</v>
      </c>
      <c r="E3" t="s">
        <v>1075</v>
      </c>
      <c r="F3" t="s">
        <v>947</v>
      </c>
      <c r="G3" t="s">
        <v>1076</v>
      </c>
      <c r="H3" t="s">
        <v>1205</v>
      </c>
      <c r="J3" s="41">
        <v>900</v>
      </c>
      <c r="K3" s="41">
        <v>300</v>
      </c>
      <c r="L3" s="41">
        <v>0</v>
      </c>
      <c r="M3" s="41">
        <v>1200</v>
      </c>
      <c r="N3" s="41">
        <v>1200</v>
      </c>
      <c r="O3" s="41">
        <v>300</v>
      </c>
      <c r="P3" t="s">
        <v>1157</v>
      </c>
      <c r="Q3" t="s">
        <v>1202</v>
      </c>
      <c r="R3" t="s">
        <v>1166</v>
      </c>
      <c r="S3" t="s">
        <v>1167</v>
      </c>
      <c r="T3" t="s">
        <v>1206</v>
      </c>
    </row>
    <row r="4" spans="1:20" x14ac:dyDescent="0.3">
      <c r="A4" t="s">
        <v>553</v>
      </c>
      <c r="B4" t="s">
        <v>658</v>
      </c>
      <c r="C4" t="s">
        <v>976</v>
      </c>
      <c r="D4" t="s">
        <v>496</v>
      </c>
      <c r="E4" t="s">
        <v>1060</v>
      </c>
      <c r="F4" t="s">
        <v>947</v>
      </c>
      <c r="G4" t="s">
        <v>1061</v>
      </c>
      <c r="H4" t="s">
        <v>1210</v>
      </c>
      <c r="I4" t="s">
        <v>1197</v>
      </c>
      <c r="J4" s="41">
        <v>1212.3699999999999</v>
      </c>
      <c r="K4" s="41">
        <v>400</v>
      </c>
      <c r="L4" s="41">
        <v>0</v>
      </c>
      <c r="M4" s="41">
        <v>1612.37</v>
      </c>
      <c r="N4" s="41">
        <v>1612.37</v>
      </c>
      <c r="O4" s="41">
        <v>400</v>
      </c>
      <c r="P4" t="s">
        <v>1157</v>
      </c>
      <c r="Q4" t="s">
        <v>1207</v>
      </c>
      <c r="R4" t="s">
        <v>1166</v>
      </c>
      <c r="S4" t="s">
        <v>1167</v>
      </c>
      <c r="T4" t="s">
        <v>1211</v>
      </c>
    </row>
    <row r="5" spans="1:20" x14ac:dyDescent="0.3">
      <c r="A5" t="s">
        <v>553</v>
      </c>
      <c r="B5" t="s">
        <v>658</v>
      </c>
      <c r="C5" t="s">
        <v>976</v>
      </c>
      <c r="D5" t="s">
        <v>496</v>
      </c>
      <c r="E5" t="s">
        <v>1062</v>
      </c>
      <c r="F5" t="s">
        <v>947</v>
      </c>
      <c r="G5" t="s">
        <v>1063</v>
      </c>
      <c r="H5" t="s">
        <v>1216</v>
      </c>
      <c r="I5" t="s">
        <v>1214</v>
      </c>
      <c r="J5" s="41">
        <v>270.35000000000002</v>
      </c>
      <c r="K5" s="41">
        <v>0</v>
      </c>
      <c r="L5" s="41">
        <v>0</v>
      </c>
      <c r="M5" s="41">
        <v>270.35000000000002</v>
      </c>
      <c r="N5" s="41">
        <v>270.35000000000002</v>
      </c>
      <c r="O5" s="41">
        <v>0</v>
      </c>
      <c r="P5" t="s">
        <v>1157</v>
      </c>
      <c r="Q5" t="s">
        <v>1212</v>
      </c>
      <c r="R5" t="s">
        <v>1166</v>
      </c>
      <c r="S5" t="s">
        <v>1167</v>
      </c>
      <c r="T5" t="s">
        <v>1217</v>
      </c>
    </row>
    <row r="6" spans="1:20" x14ac:dyDescent="0.3">
      <c r="A6" t="s">
        <v>553</v>
      </c>
      <c r="B6" t="s">
        <v>658</v>
      </c>
      <c r="C6" t="s">
        <v>976</v>
      </c>
      <c r="D6" t="s">
        <v>496</v>
      </c>
      <c r="E6" t="s">
        <v>1064</v>
      </c>
      <c r="F6" t="s">
        <v>947</v>
      </c>
      <c r="G6" t="s">
        <v>1065</v>
      </c>
      <c r="H6" t="s">
        <v>1222</v>
      </c>
      <c r="I6" t="s">
        <v>1220</v>
      </c>
      <c r="J6" s="41">
        <v>252.73</v>
      </c>
      <c r="K6" s="41">
        <v>0</v>
      </c>
      <c r="L6" s="41">
        <v>0</v>
      </c>
      <c r="M6" s="41">
        <v>252.73</v>
      </c>
      <c r="N6" s="41">
        <v>252.73</v>
      </c>
      <c r="O6" s="41">
        <v>0</v>
      </c>
      <c r="P6" t="s">
        <v>1157</v>
      </c>
      <c r="Q6" t="s">
        <v>1218</v>
      </c>
      <c r="R6" t="s">
        <v>1166</v>
      </c>
      <c r="S6" t="s">
        <v>1167</v>
      </c>
      <c r="T6" t="s">
        <v>1223</v>
      </c>
    </row>
    <row r="7" spans="1:20" x14ac:dyDescent="0.3">
      <c r="A7" t="s">
        <v>553</v>
      </c>
      <c r="B7" t="s">
        <v>658</v>
      </c>
      <c r="C7" t="s">
        <v>976</v>
      </c>
      <c r="D7" t="s">
        <v>496</v>
      </c>
      <c r="E7" t="s">
        <v>1064</v>
      </c>
      <c r="F7" t="s">
        <v>947</v>
      </c>
      <c r="G7" t="s">
        <v>1065</v>
      </c>
      <c r="H7" t="s">
        <v>1222</v>
      </c>
      <c r="I7" t="s">
        <v>1220</v>
      </c>
      <c r="J7" s="41">
        <v>26.55</v>
      </c>
      <c r="K7" s="41">
        <v>115.64</v>
      </c>
      <c r="L7" s="41">
        <v>0</v>
      </c>
      <c r="M7" s="41">
        <v>142.19</v>
      </c>
      <c r="N7" s="41">
        <v>142.19</v>
      </c>
      <c r="O7" s="41">
        <v>115.64</v>
      </c>
      <c r="P7" t="s">
        <v>1157</v>
      </c>
      <c r="Q7" t="s">
        <v>1224</v>
      </c>
      <c r="R7" t="s">
        <v>1166</v>
      </c>
      <c r="S7" t="s">
        <v>1167</v>
      </c>
      <c r="T7" t="s">
        <v>1223</v>
      </c>
    </row>
    <row r="8" spans="1:20" x14ac:dyDescent="0.3">
      <c r="A8" t="s">
        <v>553</v>
      </c>
      <c r="B8" t="s">
        <v>658</v>
      </c>
      <c r="C8" t="s">
        <v>976</v>
      </c>
      <c r="D8" t="s">
        <v>496</v>
      </c>
      <c r="E8" t="s">
        <v>1064</v>
      </c>
      <c r="F8" t="s">
        <v>947</v>
      </c>
      <c r="G8" t="s">
        <v>1065</v>
      </c>
      <c r="H8" t="s">
        <v>1229</v>
      </c>
      <c r="I8" t="s">
        <v>1227</v>
      </c>
      <c r="J8" s="41">
        <v>64.790000000000006</v>
      </c>
      <c r="K8" s="41">
        <v>0</v>
      </c>
      <c r="L8" s="41">
        <v>0</v>
      </c>
      <c r="M8" s="41">
        <v>64.790000000000006</v>
      </c>
      <c r="N8" s="41">
        <v>64.790000000000006</v>
      </c>
      <c r="O8" s="41">
        <v>0</v>
      </c>
      <c r="P8" t="s">
        <v>1157</v>
      </c>
      <c r="Q8" t="s">
        <v>1225</v>
      </c>
      <c r="R8" t="s">
        <v>1166</v>
      </c>
      <c r="S8" t="s">
        <v>1167</v>
      </c>
      <c r="T8" t="s">
        <v>1230</v>
      </c>
    </row>
    <row r="9" spans="1:20" x14ac:dyDescent="0.3">
      <c r="A9" t="s">
        <v>553</v>
      </c>
      <c r="B9" t="s">
        <v>658</v>
      </c>
      <c r="C9" t="s">
        <v>976</v>
      </c>
      <c r="D9" t="s">
        <v>496</v>
      </c>
      <c r="E9" t="s">
        <v>1068</v>
      </c>
      <c r="F9" t="s">
        <v>947</v>
      </c>
      <c r="G9" t="s">
        <v>568</v>
      </c>
      <c r="H9" t="s">
        <v>1235</v>
      </c>
      <c r="I9" t="s">
        <v>1233</v>
      </c>
      <c r="J9" s="41">
        <v>0</v>
      </c>
      <c r="K9" s="41">
        <v>9205.7199999999993</v>
      </c>
      <c r="L9" s="41">
        <v>0</v>
      </c>
      <c r="M9" s="41">
        <v>9205.7199999999993</v>
      </c>
      <c r="N9" s="41">
        <v>9205.7199999999993</v>
      </c>
      <c r="O9" s="41">
        <v>9205.7199999999993</v>
      </c>
      <c r="P9" t="s">
        <v>1157</v>
      </c>
      <c r="Q9" t="s">
        <v>1231</v>
      </c>
      <c r="R9" t="s">
        <v>1192</v>
      </c>
      <c r="S9" t="s">
        <v>1193</v>
      </c>
      <c r="T9" t="s">
        <v>1236</v>
      </c>
    </row>
    <row r="10" spans="1:20" x14ac:dyDescent="0.3">
      <c r="A10" t="s">
        <v>553</v>
      </c>
      <c r="B10" t="s">
        <v>658</v>
      </c>
      <c r="C10" t="s">
        <v>976</v>
      </c>
      <c r="D10" t="s">
        <v>496</v>
      </c>
      <c r="E10" t="s">
        <v>1068</v>
      </c>
      <c r="F10" t="s">
        <v>947</v>
      </c>
      <c r="G10" t="s">
        <v>568</v>
      </c>
      <c r="H10" t="s">
        <v>1235</v>
      </c>
      <c r="I10" t="s">
        <v>1238</v>
      </c>
      <c r="J10" s="41">
        <v>70.81</v>
      </c>
      <c r="K10" s="41">
        <v>0</v>
      </c>
      <c r="L10" s="41">
        <v>0</v>
      </c>
      <c r="M10" s="41">
        <v>70.81</v>
      </c>
      <c r="N10" s="41">
        <v>70.81</v>
      </c>
      <c r="O10" s="41">
        <v>0</v>
      </c>
      <c r="P10" t="s">
        <v>1157</v>
      </c>
      <c r="Q10" t="s">
        <v>1237</v>
      </c>
      <c r="R10" t="s">
        <v>1192</v>
      </c>
      <c r="S10" t="s">
        <v>1193</v>
      </c>
      <c r="T10" t="s">
        <v>1236</v>
      </c>
    </row>
    <row r="11" spans="1:20" x14ac:dyDescent="0.3">
      <c r="A11" t="s">
        <v>553</v>
      </c>
      <c r="B11" t="s">
        <v>658</v>
      </c>
      <c r="C11" t="s">
        <v>976</v>
      </c>
      <c r="D11" t="s">
        <v>496</v>
      </c>
      <c r="E11" t="s">
        <v>1069</v>
      </c>
      <c r="F11" t="s">
        <v>947</v>
      </c>
      <c r="G11" t="s">
        <v>1070</v>
      </c>
      <c r="H11" t="s">
        <v>1243</v>
      </c>
      <c r="I11" t="s">
        <v>1241</v>
      </c>
      <c r="J11" s="41">
        <v>0</v>
      </c>
      <c r="K11" s="41">
        <v>57.71</v>
      </c>
      <c r="L11" s="41">
        <v>0</v>
      </c>
      <c r="M11" s="41">
        <v>57.71</v>
      </c>
      <c r="N11" s="41">
        <v>57.71</v>
      </c>
      <c r="O11" s="41">
        <v>57.71</v>
      </c>
      <c r="P11" t="s">
        <v>1157</v>
      </c>
      <c r="Q11" t="s">
        <v>1239</v>
      </c>
      <c r="R11" t="s">
        <v>1166</v>
      </c>
      <c r="S11" t="s">
        <v>1193</v>
      </c>
      <c r="T11" t="s">
        <v>1244</v>
      </c>
    </row>
    <row r="12" spans="1:20" x14ac:dyDescent="0.3">
      <c r="A12" t="s">
        <v>553</v>
      </c>
      <c r="B12" t="s">
        <v>658</v>
      </c>
      <c r="C12" t="s">
        <v>976</v>
      </c>
      <c r="D12" t="s">
        <v>496</v>
      </c>
      <c r="E12" t="s">
        <v>1079</v>
      </c>
      <c r="F12" t="s">
        <v>947</v>
      </c>
      <c r="G12" t="s">
        <v>1080</v>
      </c>
      <c r="H12" t="s">
        <v>1249</v>
      </c>
      <c r="I12" t="s">
        <v>1247</v>
      </c>
      <c r="J12" s="41">
        <v>39.61</v>
      </c>
      <c r="K12" s="41">
        <v>0</v>
      </c>
      <c r="L12" s="41">
        <v>0</v>
      </c>
      <c r="M12" s="41">
        <v>39.61</v>
      </c>
      <c r="N12" s="41">
        <v>39.61</v>
      </c>
      <c r="O12" s="41">
        <v>0</v>
      </c>
      <c r="P12" t="s">
        <v>1157</v>
      </c>
      <c r="Q12" t="s">
        <v>1245</v>
      </c>
      <c r="R12" t="s">
        <v>1166</v>
      </c>
      <c r="S12" t="s">
        <v>1167</v>
      </c>
      <c r="T12" t="s">
        <v>1250</v>
      </c>
    </row>
    <row r="13" spans="1:20" x14ac:dyDescent="0.3">
      <c r="A13" t="s">
        <v>553</v>
      </c>
      <c r="B13" t="s">
        <v>658</v>
      </c>
      <c r="C13" t="s">
        <v>976</v>
      </c>
      <c r="D13" t="s">
        <v>496</v>
      </c>
      <c r="E13" t="s">
        <v>1079</v>
      </c>
      <c r="F13" t="s">
        <v>947</v>
      </c>
      <c r="G13" t="s">
        <v>1080</v>
      </c>
      <c r="H13" t="s">
        <v>1249</v>
      </c>
      <c r="I13" t="s">
        <v>1252</v>
      </c>
      <c r="J13" s="41">
        <v>74.31</v>
      </c>
      <c r="K13" s="41">
        <v>0</v>
      </c>
      <c r="L13" s="41">
        <v>0</v>
      </c>
      <c r="M13" s="41">
        <v>74.31</v>
      </c>
      <c r="N13" s="41">
        <v>74.31</v>
      </c>
      <c r="O13" s="41">
        <v>0</v>
      </c>
      <c r="P13" t="s">
        <v>1157</v>
      </c>
      <c r="Q13" t="s">
        <v>1251</v>
      </c>
      <c r="R13" t="s">
        <v>1166</v>
      </c>
      <c r="S13" t="s">
        <v>1167</v>
      </c>
      <c r="T13" t="s">
        <v>1250</v>
      </c>
    </row>
    <row r="14" spans="1:20" x14ac:dyDescent="0.3">
      <c r="A14" t="s">
        <v>553</v>
      </c>
      <c r="B14" t="s">
        <v>658</v>
      </c>
      <c r="C14" t="s">
        <v>976</v>
      </c>
      <c r="D14" t="s">
        <v>496</v>
      </c>
      <c r="E14" t="s">
        <v>1079</v>
      </c>
      <c r="F14" t="s">
        <v>947</v>
      </c>
      <c r="G14" t="s">
        <v>1080</v>
      </c>
      <c r="H14" t="s">
        <v>1249</v>
      </c>
      <c r="I14" t="s">
        <v>1254</v>
      </c>
      <c r="J14" s="41">
        <v>15</v>
      </c>
      <c r="K14" s="41">
        <v>0</v>
      </c>
      <c r="L14" s="41">
        <v>0</v>
      </c>
      <c r="M14" s="41">
        <v>15</v>
      </c>
      <c r="N14" s="41">
        <v>15</v>
      </c>
      <c r="O14" s="41">
        <v>0</v>
      </c>
      <c r="P14" t="s">
        <v>1157</v>
      </c>
      <c r="Q14" t="s">
        <v>1253</v>
      </c>
      <c r="R14" t="s">
        <v>1166</v>
      </c>
      <c r="S14" t="s">
        <v>1167</v>
      </c>
      <c r="T14" t="s">
        <v>1250</v>
      </c>
    </row>
    <row r="15" spans="1:20" x14ac:dyDescent="0.3">
      <c r="A15" t="s">
        <v>553</v>
      </c>
      <c r="B15" t="s">
        <v>658</v>
      </c>
      <c r="C15" t="s">
        <v>976</v>
      </c>
      <c r="D15" t="s">
        <v>496</v>
      </c>
      <c r="E15" t="s">
        <v>1079</v>
      </c>
      <c r="F15" t="s">
        <v>947</v>
      </c>
      <c r="G15" t="s">
        <v>1080</v>
      </c>
      <c r="H15" t="s">
        <v>1249</v>
      </c>
      <c r="I15" t="s">
        <v>1256</v>
      </c>
      <c r="J15" s="41">
        <v>7</v>
      </c>
      <c r="K15" s="41">
        <v>0</v>
      </c>
      <c r="L15" s="41">
        <v>0</v>
      </c>
      <c r="M15" s="41">
        <v>7</v>
      </c>
      <c r="N15" s="41">
        <v>7</v>
      </c>
      <c r="O15" s="41">
        <v>0</v>
      </c>
      <c r="P15" t="s">
        <v>1157</v>
      </c>
      <c r="Q15" t="s">
        <v>1255</v>
      </c>
      <c r="R15" t="s">
        <v>1166</v>
      </c>
      <c r="S15" t="s">
        <v>1167</v>
      </c>
      <c r="T15" t="s">
        <v>1250</v>
      </c>
    </row>
    <row r="16" spans="1:20" x14ac:dyDescent="0.3">
      <c r="A16" t="s">
        <v>553</v>
      </c>
      <c r="B16" t="s">
        <v>658</v>
      </c>
      <c r="C16" t="s">
        <v>976</v>
      </c>
      <c r="D16" t="s">
        <v>496</v>
      </c>
      <c r="E16" t="s">
        <v>1123</v>
      </c>
      <c r="F16" t="s">
        <v>717</v>
      </c>
      <c r="G16" t="s">
        <v>717</v>
      </c>
      <c r="H16" t="s">
        <v>1261</v>
      </c>
      <c r="I16" t="s">
        <v>1259</v>
      </c>
      <c r="J16" s="41">
        <v>80</v>
      </c>
      <c r="K16" s="41">
        <v>40</v>
      </c>
      <c r="L16" s="41">
        <v>0</v>
      </c>
      <c r="M16" s="41">
        <v>120</v>
      </c>
      <c r="N16" s="41">
        <v>120</v>
      </c>
      <c r="O16" s="41">
        <v>40</v>
      </c>
      <c r="P16" t="s">
        <v>1157</v>
      </c>
      <c r="Q16" t="s">
        <v>1257</v>
      </c>
      <c r="R16" t="s">
        <v>1166</v>
      </c>
      <c r="S16" t="s">
        <v>1167</v>
      </c>
      <c r="T16" t="s">
        <v>1262</v>
      </c>
    </row>
    <row r="17" spans="1:20" x14ac:dyDescent="0.3">
      <c r="A17" t="s">
        <v>553</v>
      </c>
      <c r="B17" t="s">
        <v>1265</v>
      </c>
      <c r="C17" t="s">
        <v>975</v>
      </c>
      <c r="D17" t="s">
        <v>686</v>
      </c>
      <c r="E17" t="s">
        <v>1048</v>
      </c>
      <c r="F17" t="s">
        <v>1318</v>
      </c>
      <c r="G17" t="s">
        <v>1049</v>
      </c>
      <c r="H17" t="s">
        <v>1319</v>
      </c>
      <c r="I17" t="s">
        <v>1316</v>
      </c>
      <c r="J17" s="41">
        <v>-1808.92</v>
      </c>
      <c r="K17" s="41">
        <v>0</v>
      </c>
      <c r="L17" s="41">
        <v>0</v>
      </c>
      <c r="M17" s="41">
        <v>-1808.92</v>
      </c>
      <c r="N17" s="41">
        <v>1808.92</v>
      </c>
      <c r="O17" s="41">
        <v>0</v>
      </c>
      <c r="P17" t="s">
        <v>1263</v>
      </c>
      <c r="Q17" t="s">
        <v>1314</v>
      </c>
      <c r="R17" t="s">
        <v>1166</v>
      </c>
      <c r="S17" t="s">
        <v>1167</v>
      </c>
      <c r="T17" t="s">
        <v>1320</v>
      </c>
    </row>
    <row r="18" spans="1:20" x14ac:dyDescent="0.3">
      <c r="A18" t="s">
        <v>553</v>
      </c>
      <c r="B18" t="s">
        <v>1265</v>
      </c>
      <c r="C18" t="s">
        <v>975</v>
      </c>
      <c r="D18" t="s">
        <v>686</v>
      </c>
      <c r="E18" t="s">
        <v>1048</v>
      </c>
      <c r="F18" t="s">
        <v>1318</v>
      </c>
      <c r="G18" t="s">
        <v>1049</v>
      </c>
      <c r="H18" t="s">
        <v>1319</v>
      </c>
      <c r="I18" t="s">
        <v>1321</v>
      </c>
      <c r="J18" s="41">
        <v>-5636.09</v>
      </c>
      <c r="K18" s="41">
        <v>0</v>
      </c>
      <c r="L18" s="41">
        <v>2846.02</v>
      </c>
      <c r="M18" s="41">
        <v>-8482.11</v>
      </c>
      <c r="N18" s="41">
        <v>8482.11</v>
      </c>
      <c r="O18" s="41">
        <v>2846.02</v>
      </c>
      <c r="P18" t="s">
        <v>1263</v>
      </c>
      <c r="Q18" t="s">
        <v>1225</v>
      </c>
      <c r="R18" t="s">
        <v>1166</v>
      </c>
      <c r="S18" t="s">
        <v>1167</v>
      </c>
      <c r="T18" t="s">
        <v>1320</v>
      </c>
    </row>
    <row r="19" spans="1:20" x14ac:dyDescent="0.3">
      <c r="A19" t="s">
        <v>553</v>
      </c>
      <c r="B19" t="s">
        <v>1265</v>
      </c>
      <c r="C19" t="s">
        <v>975</v>
      </c>
      <c r="D19" t="s">
        <v>686</v>
      </c>
      <c r="E19" t="s">
        <v>1120</v>
      </c>
      <c r="F19" t="s">
        <v>1324</v>
      </c>
      <c r="G19" t="s">
        <v>811</v>
      </c>
      <c r="H19" t="s">
        <v>811</v>
      </c>
      <c r="I19" t="s">
        <v>1322</v>
      </c>
      <c r="J19" s="41">
        <v>-64960.94</v>
      </c>
      <c r="K19" s="41">
        <v>0</v>
      </c>
      <c r="L19" s="41">
        <v>0</v>
      </c>
      <c r="M19" s="41">
        <v>-64960.94</v>
      </c>
      <c r="N19" s="41">
        <v>64960.94</v>
      </c>
      <c r="O19" s="41">
        <v>0</v>
      </c>
      <c r="P19" t="s">
        <v>1263</v>
      </c>
      <c r="Q19" t="s">
        <v>1231</v>
      </c>
      <c r="R19" t="s">
        <v>1192</v>
      </c>
      <c r="S19" t="s">
        <v>1193</v>
      </c>
      <c r="T19" t="s">
        <v>1325</v>
      </c>
    </row>
    <row r="20" spans="1:20" x14ac:dyDescent="0.3">
      <c r="A20" t="s">
        <v>553</v>
      </c>
      <c r="B20" t="s">
        <v>1265</v>
      </c>
      <c r="C20" t="s">
        <v>975</v>
      </c>
      <c r="D20" t="s">
        <v>686</v>
      </c>
      <c r="E20" t="s">
        <v>1062</v>
      </c>
      <c r="F20" t="s">
        <v>947</v>
      </c>
      <c r="G20" t="s">
        <v>1063</v>
      </c>
      <c r="H20" t="s">
        <v>1216</v>
      </c>
      <c r="I20" t="s">
        <v>1326</v>
      </c>
      <c r="J20" s="41">
        <v>1015.35</v>
      </c>
      <c r="K20" s="41">
        <v>524.25</v>
      </c>
      <c r="L20" s="41">
        <v>0</v>
      </c>
      <c r="M20" s="41">
        <v>1539.6</v>
      </c>
      <c r="N20" s="41">
        <v>1539.6</v>
      </c>
      <c r="O20" s="41">
        <v>524.25</v>
      </c>
      <c r="P20" t="s">
        <v>1263</v>
      </c>
      <c r="Q20" t="s">
        <v>1239</v>
      </c>
      <c r="R20" t="s">
        <v>1166</v>
      </c>
      <c r="S20" t="s">
        <v>1167</v>
      </c>
      <c r="T20" t="s">
        <v>1217</v>
      </c>
    </row>
    <row r="21" spans="1:20" x14ac:dyDescent="0.3">
      <c r="A21" t="s">
        <v>553</v>
      </c>
      <c r="B21" t="s">
        <v>1265</v>
      </c>
      <c r="C21" t="s">
        <v>975</v>
      </c>
      <c r="D21" t="s">
        <v>686</v>
      </c>
      <c r="E21" t="s">
        <v>1062</v>
      </c>
      <c r="F21" t="s">
        <v>947</v>
      </c>
      <c r="G21" t="s">
        <v>1063</v>
      </c>
      <c r="H21" t="s">
        <v>1331</v>
      </c>
      <c r="I21" t="s">
        <v>1329</v>
      </c>
      <c r="J21" s="41">
        <v>700</v>
      </c>
      <c r="K21" s="41">
        <v>1100</v>
      </c>
      <c r="L21" s="41">
        <v>0</v>
      </c>
      <c r="M21" s="41">
        <v>1800</v>
      </c>
      <c r="N21" s="41">
        <v>1800</v>
      </c>
      <c r="O21" s="41">
        <v>1100</v>
      </c>
      <c r="P21" t="s">
        <v>1263</v>
      </c>
      <c r="Q21" t="s">
        <v>1327</v>
      </c>
      <c r="R21" t="s">
        <v>1166</v>
      </c>
      <c r="S21" t="s">
        <v>1167</v>
      </c>
      <c r="T21" t="s">
        <v>1332</v>
      </c>
    </row>
    <row r="22" spans="1:20" x14ac:dyDescent="0.3">
      <c r="A22" t="s">
        <v>553</v>
      </c>
      <c r="B22" t="s">
        <v>1265</v>
      </c>
      <c r="C22" t="s">
        <v>975</v>
      </c>
      <c r="D22" t="s">
        <v>686</v>
      </c>
      <c r="E22" t="s">
        <v>1095</v>
      </c>
      <c r="F22" t="s">
        <v>948</v>
      </c>
      <c r="G22" t="s">
        <v>1096</v>
      </c>
      <c r="H22" t="s">
        <v>1335</v>
      </c>
      <c r="I22" t="s">
        <v>1333</v>
      </c>
      <c r="J22" s="41">
        <v>2127</v>
      </c>
      <c r="K22" s="41">
        <v>0</v>
      </c>
      <c r="L22" s="41">
        <v>0</v>
      </c>
      <c r="M22" s="41">
        <v>2127</v>
      </c>
      <c r="N22" s="41">
        <v>2127</v>
      </c>
      <c r="O22" s="41">
        <v>0</v>
      </c>
      <c r="P22" t="s">
        <v>1263</v>
      </c>
      <c r="Q22" t="s">
        <v>1253</v>
      </c>
      <c r="R22" t="s">
        <v>1192</v>
      </c>
      <c r="S22" t="s">
        <v>1193</v>
      </c>
      <c r="T22" t="s">
        <v>1336</v>
      </c>
    </row>
    <row r="23" spans="1:20" x14ac:dyDescent="0.3">
      <c r="A23" t="s">
        <v>553</v>
      </c>
      <c r="B23" t="s">
        <v>1265</v>
      </c>
      <c r="C23" t="s">
        <v>975</v>
      </c>
      <c r="D23" t="s">
        <v>686</v>
      </c>
      <c r="E23" t="s">
        <v>1097</v>
      </c>
      <c r="F23" t="s">
        <v>948</v>
      </c>
      <c r="G23" t="s">
        <v>1098</v>
      </c>
      <c r="H23" t="s">
        <v>1340</v>
      </c>
      <c r="I23" t="s">
        <v>1338</v>
      </c>
      <c r="J23" s="41">
        <v>1706.19</v>
      </c>
      <c r="K23" s="41">
        <v>0</v>
      </c>
      <c r="L23" s="41">
        <v>0</v>
      </c>
      <c r="M23" s="41">
        <v>1706.19</v>
      </c>
      <c r="N23" s="41">
        <v>1706.19</v>
      </c>
      <c r="O23" s="41">
        <v>0</v>
      </c>
      <c r="P23" t="s">
        <v>1263</v>
      </c>
      <c r="Q23" t="s">
        <v>1337</v>
      </c>
      <c r="R23" t="s">
        <v>1166</v>
      </c>
      <c r="S23" t="s">
        <v>1167</v>
      </c>
      <c r="T23" t="s">
        <v>1341</v>
      </c>
    </row>
    <row r="24" spans="1:20" x14ac:dyDescent="0.3">
      <c r="A24" t="s">
        <v>553</v>
      </c>
      <c r="B24" t="s">
        <v>1265</v>
      </c>
      <c r="C24" t="s">
        <v>975</v>
      </c>
      <c r="D24" t="s">
        <v>686</v>
      </c>
      <c r="E24" t="s">
        <v>1101</v>
      </c>
      <c r="F24" t="s">
        <v>948</v>
      </c>
      <c r="G24" t="s">
        <v>1102</v>
      </c>
      <c r="H24" t="s">
        <v>1346</v>
      </c>
      <c r="I24" t="s">
        <v>1344</v>
      </c>
      <c r="J24" s="41">
        <v>0</v>
      </c>
      <c r="K24" s="41">
        <v>267.26</v>
      </c>
      <c r="L24" s="41">
        <v>0</v>
      </c>
      <c r="M24" s="41">
        <v>267.26</v>
      </c>
      <c r="N24" s="41">
        <v>267.26</v>
      </c>
      <c r="O24" s="41">
        <v>267.26</v>
      </c>
      <c r="P24" t="s">
        <v>1263</v>
      </c>
      <c r="Q24" t="s">
        <v>1342</v>
      </c>
      <c r="R24" t="s">
        <v>1166</v>
      </c>
      <c r="S24" t="s">
        <v>1167</v>
      </c>
      <c r="T24" t="s">
        <v>1347</v>
      </c>
    </row>
    <row r="25" spans="1:20" x14ac:dyDescent="0.3">
      <c r="A25" t="s">
        <v>553</v>
      </c>
      <c r="B25" t="s">
        <v>1265</v>
      </c>
      <c r="C25" t="s">
        <v>975</v>
      </c>
      <c r="D25" t="s">
        <v>686</v>
      </c>
      <c r="E25" t="s">
        <v>1101</v>
      </c>
      <c r="F25" t="s">
        <v>948</v>
      </c>
      <c r="G25" t="s">
        <v>1102</v>
      </c>
      <c r="H25" t="s">
        <v>1346</v>
      </c>
      <c r="I25" t="s">
        <v>1349</v>
      </c>
      <c r="J25" s="41">
        <v>80.8</v>
      </c>
      <c r="K25" s="41">
        <v>0</v>
      </c>
      <c r="L25" s="41">
        <v>0</v>
      </c>
      <c r="M25" s="41">
        <v>80.8</v>
      </c>
      <c r="N25" s="41">
        <v>80.8</v>
      </c>
      <c r="O25" s="41">
        <v>0</v>
      </c>
      <c r="P25" t="s">
        <v>1263</v>
      </c>
      <c r="Q25" t="s">
        <v>1348</v>
      </c>
      <c r="R25" t="s">
        <v>1166</v>
      </c>
      <c r="S25" t="s">
        <v>1167</v>
      </c>
      <c r="T25" t="s">
        <v>1347</v>
      </c>
    </row>
    <row r="26" spans="1:20" x14ac:dyDescent="0.3">
      <c r="A26" t="s">
        <v>553</v>
      </c>
      <c r="B26" t="s">
        <v>1265</v>
      </c>
      <c r="C26" t="s">
        <v>975</v>
      </c>
      <c r="D26" t="s">
        <v>686</v>
      </c>
      <c r="E26" t="s">
        <v>1101</v>
      </c>
      <c r="F26" t="s">
        <v>948</v>
      </c>
      <c r="G26" t="s">
        <v>1102</v>
      </c>
      <c r="H26" t="s">
        <v>1346</v>
      </c>
      <c r="I26" t="s">
        <v>1349</v>
      </c>
      <c r="J26" s="41">
        <v>0</v>
      </c>
      <c r="K26" s="41">
        <v>20.68</v>
      </c>
      <c r="L26" s="41">
        <v>0</v>
      </c>
      <c r="M26" s="41">
        <v>20.68</v>
      </c>
      <c r="N26" s="41">
        <v>20.68</v>
      </c>
      <c r="O26" s="41">
        <v>20.68</v>
      </c>
      <c r="P26" t="s">
        <v>1263</v>
      </c>
      <c r="Q26" t="s">
        <v>1350</v>
      </c>
      <c r="R26" t="s">
        <v>1166</v>
      </c>
      <c r="S26" t="s">
        <v>1167</v>
      </c>
      <c r="T26" t="s">
        <v>1347</v>
      </c>
    </row>
    <row r="27" spans="1:20" x14ac:dyDescent="0.3">
      <c r="A27" t="s">
        <v>553</v>
      </c>
      <c r="B27" t="s">
        <v>1265</v>
      </c>
      <c r="C27" t="s">
        <v>975</v>
      </c>
      <c r="D27" t="s">
        <v>686</v>
      </c>
      <c r="E27" t="s">
        <v>1101</v>
      </c>
      <c r="F27" t="s">
        <v>948</v>
      </c>
      <c r="G27" t="s">
        <v>1102</v>
      </c>
      <c r="H27" t="s">
        <v>1346</v>
      </c>
      <c r="I27" t="s">
        <v>1349</v>
      </c>
      <c r="J27" s="41">
        <v>114</v>
      </c>
      <c r="K27" s="41">
        <v>0</v>
      </c>
      <c r="L27" s="41">
        <v>0</v>
      </c>
      <c r="M27" s="41">
        <v>114</v>
      </c>
      <c r="N27" s="41">
        <v>114</v>
      </c>
      <c r="O27" s="41">
        <v>0</v>
      </c>
      <c r="P27" t="s">
        <v>1263</v>
      </c>
      <c r="Q27" t="s">
        <v>1351</v>
      </c>
      <c r="R27" t="s">
        <v>1166</v>
      </c>
      <c r="S27" t="s">
        <v>1167</v>
      </c>
      <c r="T27" t="s">
        <v>1347</v>
      </c>
    </row>
    <row r="28" spans="1:20" x14ac:dyDescent="0.3">
      <c r="A28" t="s">
        <v>553</v>
      </c>
      <c r="B28" t="s">
        <v>1265</v>
      </c>
      <c r="C28" t="s">
        <v>975</v>
      </c>
      <c r="D28" t="s">
        <v>686</v>
      </c>
      <c r="E28" t="s">
        <v>1101</v>
      </c>
      <c r="F28" t="s">
        <v>948</v>
      </c>
      <c r="G28" t="s">
        <v>1102</v>
      </c>
      <c r="H28" t="s">
        <v>1346</v>
      </c>
      <c r="I28" t="s">
        <v>1349</v>
      </c>
      <c r="J28" s="41">
        <v>520</v>
      </c>
      <c r="K28" s="41">
        <v>0</v>
      </c>
      <c r="L28" s="41">
        <v>0</v>
      </c>
      <c r="M28" s="41">
        <v>520</v>
      </c>
      <c r="N28" s="41">
        <v>520</v>
      </c>
      <c r="O28" s="41">
        <v>0</v>
      </c>
      <c r="P28" t="s">
        <v>1263</v>
      </c>
      <c r="Q28" t="s">
        <v>1352</v>
      </c>
      <c r="R28" t="s">
        <v>1166</v>
      </c>
      <c r="S28" t="s">
        <v>1167</v>
      </c>
      <c r="T28" t="s">
        <v>1347</v>
      </c>
    </row>
    <row r="29" spans="1:20" x14ac:dyDescent="0.3">
      <c r="A29" t="s">
        <v>553</v>
      </c>
      <c r="B29" t="s">
        <v>1265</v>
      </c>
      <c r="C29" t="s">
        <v>975</v>
      </c>
      <c r="D29" t="s">
        <v>686</v>
      </c>
      <c r="E29" t="s">
        <v>1101</v>
      </c>
      <c r="F29" t="s">
        <v>948</v>
      </c>
      <c r="G29" t="s">
        <v>1102</v>
      </c>
      <c r="H29" t="s">
        <v>1346</v>
      </c>
      <c r="I29" t="s">
        <v>1349</v>
      </c>
      <c r="J29" s="41">
        <v>6</v>
      </c>
      <c r="K29" s="41">
        <v>0</v>
      </c>
      <c r="L29" s="41">
        <v>0</v>
      </c>
      <c r="M29" s="41">
        <v>6</v>
      </c>
      <c r="N29" s="41">
        <v>6</v>
      </c>
      <c r="O29" s="41">
        <v>0</v>
      </c>
      <c r="P29" t="s">
        <v>1263</v>
      </c>
      <c r="Q29" t="s">
        <v>1353</v>
      </c>
      <c r="R29" t="s">
        <v>1166</v>
      </c>
      <c r="S29" t="s">
        <v>1167</v>
      </c>
      <c r="T29" t="s">
        <v>1347</v>
      </c>
    </row>
    <row r="30" spans="1:20" x14ac:dyDescent="0.3">
      <c r="A30" t="s">
        <v>553</v>
      </c>
      <c r="B30" t="s">
        <v>1265</v>
      </c>
      <c r="C30" t="s">
        <v>975</v>
      </c>
      <c r="D30" t="s">
        <v>686</v>
      </c>
      <c r="E30" t="s">
        <v>1101</v>
      </c>
      <c r="F30" t="s">
        <v>948</v>
      </c>
      <c r="G30" t="s">
        <v>1102</v>
      </c>
      <c r="H30" t="s">
        <v>1346</v>
      </c>
      <c r="I30" t="s">
        <v>1349</v>
      </c>
      <c r="J30" s="41">
        <v>0</v>
      </c>
      <c r="K30" s="41">
        <v>226.33</v>
      </c>
      <c r="L30" s="41">
        <v>0</v>
      </c>
      <c r="M30" s="41">
        <v>226.33</v>
      </c>
      <c r="N30" s="41">
        <v>226.33</v>
      </c>
      <c r="O30" s="41">
        <v>226.33</v>
      </c>
      <c r="P30" t="s">
        <v>1263</v>
      </c>
      <c r="Q30" t="s">
        <v>1354</v>
      </c>
      <c r="R30" t="s">
        <v>1166</v>
      </c>
      <c r="S30" t="s">
        <v>1167</v>
      </c>
      <c r="T30" t="s">
        <v>1347</v>
      </c>
    </row>
    <row r="31" spans="1:20" x14ac:dyDescent="0.3">
      <c r="A31" t="s">
        <v>553</v>
      </c>
      <c r="B31" t="s">
        <v>1265</v>
      </c>
      <c r="C31" t="s">
        <v>975</v>
      </c>
      <c r="D31" t="s">
        <v>686</v>
      </c>
      <c r="E31" t="s">
        <v>1101</v>
      </c>
      <c r="F31" t="s">
        <v>948</v>
      </c>
      <c r="G31" t="s">
        <v>1102</v>
      </c>
      <c r="H31" t="s">
        <v>1346</v>
      </c>
      <c r="I31" t="s">
        <v>1349</v>
      </c>
      <c r="J31" s="41">
        <v>280</v>
      </c>
      <c r="K31" s="41">
        <v>106.7</v>
      </c>
      <c r="L31" s="41">
        <v>0</v>
      </c>
      <c r="M31" s="41">
        <v>386.7</v>
      </c>
      <c r="N31" s="41">
        <v>386.7</v>
      </c>
      <c r="O31" s="41">
        <v>106.7</v>
      </c>
      <c r="P31" t="s">
        <v>1263</v>
      </c>
      <c r="Q31" t="s">
        <v>1355</v>
      </c>
      <c r="R31" t="s">
        <v>1166</v>
      </c>
      <c r="S31" t="s">
        <v>1167</v>
      </c>
      <c r="T31" t="s">
        <v>1347</v>
      </c>
    </row>
    <row r="32" spans="1:20" x14ac:dyDescent="0.3">
      <c r="A32" t="s">
        <v>553</v>
      </c>
      <c r="B32" t="s">
        <v>1265</v>
      </c>
      <c r="C32" t="s">
        <v>975</v>
      </c>
      <c r="D32" t="s">
        <v>686</v>
      </c>
      <c r="E32" t="s">
        <v>1101</v>
      </c>
      <c r="F32" t="s">
        <v>948</v>
      </c>
      <c r="G32" t="s">
        <v>1102</v>
      </c>
      <c r="H32" t="s">
        <v>1346</v>
      </c>
      <c r="I32" t="s">
        <v>1349</v>
      </c>
      <c r="J32" s="41">
        <v>0</v>
      </c>
      <c r="K32" s="41">
        <v>150.72</v>
      </c>
      <c r="L32" s="41">
        <v>0</v>
      </c>
      <c r="M32" s="41">
        <v>150.72</v>
      </c>
      <c r="N32" s="41">
        <v>150.72</v>
      </c>
      <c r="O32" s="41">
        <v>150.72</v>
      </c>
      <c r="P32" t="s">
        <v>1263</v>
      </c>
      <c r="Q32" t="s">
        <v>1356</v>
      </c>
      <c r="R32" t="s">
        <v>1166</v>
      </c>
      <c r="S32" t="s">
        <v>1167</v>
      </c>
      <c r="T32" t="s">
        <v>1347</v>
      </c>
    </row>
    <row r="33" spans="1:20" x14ac:dyDescent="0.3">
      <c r="A33" t="s">
        <v>553</v>
      </c>
      <c r="B33" t="s">
        <v>1265</v>
      </c>
      <c r="C33" t="s">
        <v>975</v>
      </c>
      <c r="D33" t="s">
        <v>686</v>
      </c>
      <c r="E33" t="s">
        <v>1101</v>
      </c>
      <c r="F33" t="s">
        <v>948</v>
      </c>
      <c r="G33" t="s">
        <v>1102</v>
      </c>
      <c r="H33" t="s">
        <v>1346</v>
      </c>
      <c r="I33" t="s">
        <v>1349</v>
      </c>
      <c r="J33" s="41">
        <v>24</v>
      </c>
      <c r="K33" s="41">
        <v>0</v>
      </c>
      <c r="L33" s="41">
        <v>0</v>
      </c>
      <c r="M33" s="41">
        <v>24</v>
      </c>
      <c r="N33" s="41">
        <v>24</v>
      </c>
      <c r="O33" s="41">
        <v>0</v>
      </c>
      <c r="P33" t="s">
        <v>1263</v>
      </c>
      <c r="Q33" t="s">
        <v>1357</v>
      </c>
      <c r="R33" t="s">
        <v>1166</v>
      </c>
      <c r="S33" t="s">
        <v>1167</v>
      </c>
      <c r="T33" t="s">
        <v>1347</v>
      </c>
    </row>
    <row r="34" spans="1:20" x14ac:dyDescent="0.3">
      <c r="A34" t="s">
        <v>553</v>
      </c>
      <c r="B34" t="s">
        <v>1265</v>
      </c>
      <c r="C34" t="s">
        <v>975</v>
      </c>
      <c r="D34" t="s">
        <v>686</v>
      </c>
      <c r="E34" t="s">
        <v>1101</v>
      </c>
      <c r="F34" t="s">
        <v>948</v>
      </c>
      <c r="G34" t="s">
        <v>1102</v>
      </c>
      <c r="H34" t="s">
        <v>1346</v>
      </c>
      <c r="I34" t="s">
        <v>1349</v>
      </c>
      <c r="J34" s="41">
        <v>24</v>
      </c>
      <c r="K34" s="41">
        <v>0</v>
      </c>
      <c r="L34" s="41">
        <v>0</v>
      </c>
      <c r="M34" s="41">
        <v>24</v>
      </c>
      <c r="N34" s="41">
        <v>24</v>
      </c>
      <c r="O34" s="41">
        <v>0</v>
      </c>
      <c r="P34" t="s">
        <v>1263</v>
      </c>
      <c r="Q34" t="s">
        <v>1358</v>
      </c>
      <c r="R34" t="s">
        <v>1166</v>
      </c>
      <c r="S34" t="s">
        <v>1167</v>
      </c>
      <c r="T34" t="s">
        <v>1347</v>
      </c>
    </row>
    <row r="35" spans="1:20" x14ac:dyDescent="0.3">
      <c r="A35" t="s">
        <v>553</v>
      </c>
      <c r="B35" t="s">
        <v>1265</v>
      </c>
      <c r="C35" t="s">
        <v>975</v>
      </c>
      <c r="D35" t="s">
        <v>686</v>
      </c>
      <c r="E35" t="s">
        <v>1103</v>
      </c>
      <c r="F35" t="s">
        <v>948</v>
      </c>
      <c r="G35" t="s">
        <v>1104</v>
      </c>
      <c r="H35" t="s">
        <v>1362</v>
      </c>
      <c r="I35" t="s">
        <v>1360</v>
      </c>
      <c r="J35" s="41">
        <v>0</v>
      </c>
      <c r="K35" s="41">
        <v>78</v>
      </c>
      <c r="L35" s="41">
        <v>0</v>
      </c>
      <c r="M35" s="41">
        <v>78</v>
      </c>
      <c r="N35" s="41">
        <v>78</v>
      </c>
      <c r="O35" s="41">
        <v>78</v>
      </c>
      <c r="P35" t="s">
        <v>1263</v>
      </c>
      <c r="Q35" t="s">
        <v>1359</v>
      </c>
      <c r="R35" t="s">
        <v>1166</v>
      </c>
      <c r="S35" t="s">
        <v>1167</v>
      </c>
      <c r="T35" t="s">
        <v>1363</v>
      </c>
    </row>
    <row r="36" spans="1:20" x14ac:dyDescent="0.3">
      <c r="A36" t="s">
        <v>553</v>
      </c>
      <c r="B36" t="s">
        <v>1265</v>
      </c>
      <c r="C36" t="s">
        <v>975</v>
      </c>
      <c r="D36" t="s">
        <v>686</v>
      </c>
      <c r="E36" t="s">
        <v>1105</v>
      </c>
      <c r="F36" t="s">
        <v>948</v>
      </c>
      <c r="G36" t="s">
        <v>1106</v>
      </c>
      <c r="H36" t="s">
        <v>576</v>
      </c>
      <c r="I36" t="s">
        <v>1365</v>
      </c>
      <c r="J36" s="41">
        <v>1.9</v>
      </c>
      <c r="K36" s="41">
        <v>0</v>
      </c>
      <c r="L36" s="41">
        <v>0</v>
      </c>
      <c r="M36" s="41">
        <v>1.9</v>
      </c>
      <c r="N36" s="41">
        <v>1.9</v>
      </c>
      <c r="O36" s="41">
        <v>0</v>
      </c>
      <c r="P36" t="s">
        <v>1263</v>
      </c>
      <c r="Q36" t="s">
        <v>1364</v>
      </c>
      <c r="R36" t="s">
        <v>1192</v>
      </c>
      <c r="S36" t="s">
        <v>1193</v>
      </c>
      <c r="T36" t="s">
        <v>1367</v>
      </c>
    </row>
    <row r="37" spans="1:20" x14ac:dyDescent="0.3">
      <c r="A37" t="s">
        <v>553</v>
      </c>
      <c r="B37" t="s">
        <v>1265</v>
      </c>
      <c r="C37" t="s">
        <v>975</v>
      </c>
      <c r="D37" t="s">
        <v>686</v>
      </c>
      <c r="E37" t="s">
        <v>1123</v>
      </c>
      <c r="F37" t="s">
        <v>717</v>
      </c>
      <c r="G37" t="s">
        <v>717</v>
      </c>
      <c r="H37" t="s">
        <v>1261</v>
      </c>
      <c r="I37" t="s">
        <v>1258</v>
      </c>
      <c r="J37" s="41">
        <v>33.06</v>
      </c>
      <c r="K37" s="41">
        <v>11</v>
      </c>
      <c r="L37" s="41">
        <v>0</v>
      </c>
      <c r="M37" s="41">
        <v>44.06</v>
      </c>
      <c r="N37" s="41">
        <v>44.06</v>
      </c>
      <c r="O37" s="41">
        <v>11</v>
      </c>
      <c r="P37" t="s">
        <v>1263</v>
      </c>
      <c r="Q37" t="s">
        <v>1368</v>
      </c>
      <c r="R37" t="s">
        <v>1166</v>
      </c>
      <c r="S37" t="s">
        <v>1167</v>
      </c>
      <c r="T37" t="s">
        <v>1262</v>
      </c>
    </row>
    <row r="38" spans="1:20" x14ac:dyDescent="0.3">
      <c r="A38" t="s">
        <v>553</v>
      </c>
      <c r="B38" t="s">
        <v>1265</v>
      </c>
      <c r="C38" t="s">
        <v>975</v>
      </c>
      <c r="D38" t="s">
        <v>686</v>
      </c>
      <c r="E38" t="s">
        <v>1123</v>
      </c>
      <c r="F38" t="s">
        <v>717</v>
      </c>
      <c r="G38" t="s">
        <v>717</v>
      </c>
      <c r="H38" t="s">
        <v>1261</v>
      </c>
      <c r="I38" t="s">
        <v>573</v>
      </c>
      <c r="J38" s="41">
        <v>5.2</v>
      </c>
      <c r="K38" s="41">
        <v>0.35</v>
      </c>
      <c r="L38" s="41">
        <v>0</v>
      </c>
      <c r="M38" s="41">
        <v>5.55</v>
      </c>
      <c r="N38" s="41">
        <v>5.55</v>
      </c>
      <c r="O38" s="41">
        <v>0.35</v>
      </c>
      <c r="P38" t="s">
        <v>1263</v>
      </c>
      <c r="Q38" t="s">
        <v>1369</v>
      </c>
      <c r="R38" t="s">
        <v>1166</v>
      </c>
      <c r="S38" t="s">
        <v>1167</v>
      </c>
      <c r="T38" t="s">
        <v>1262</v>
      </c>
    </row>
    <row r="39" spans="1:20" x14ac:dyDescent="0.3">
      <c r="A39" t="s">
        <v>553</v>
      </c>
      <c r="B39" t="s">
        <v>1265</v>
      </c>
      <c r="C39" t="s">
        <v>975</v>
      </c>
      <c r="D39" t="s">
        <v>686</v>
      </c>
      <c r="E39" t="s">
        <v>1123</v>
      </c>
      <c r="F39" t="s">
        <v>717</v>
      </c>
      <c r="G39" t="s">
        <v>717</v>
      </c>
      <c r="H39" t="s">
        <v>1261</v>
      </c>
      <c r="I39" t="s">
        <v>1371</v>
      </c>
      <c r="J39" s="41">
        <v>240</v>
      </c>
      <c r="K39" s="41">
        <v>80</v>
      </c>
      <c r="L39" s="41">
        <v>0</v>
      </c>
      <c r="M39" s="41">
        <v>320</v>
      </c>
      <c r="N39" s="41">
        <v>320</v>
      </c>
      <c r="O39" s="41">
        <v>80</v>
      </c>
      <c r="P39" t="s">
        <v>1263</v>
      </c>
      <c r="Q39" t="s">
        <v>1370</v>
      </c>
      <c r="R39" t="s">
        <v>1166</v>
      </c>
      <c r="S39" t="s">
        <v>1167</v>
      </c>
      <c r="T39" t="s">
        <v>1262</v>
      </c>
    </row>
    <row r="40" spans="1:20" x14ac:dyDescent="0.3">
      <c r="A40" t="s">
        <v>553</v>
      </c>
      <c r="B40" t="s">
        <v>1373</v>
      </c>
      <c r="C40" t="s">
        <v>974</v>
      </c>
      <c r="D40" t="s">
        <v>496</v>
      </c>
      <c r="E40" t="s">
        <v>1048</v>
      </c>
      <c r="F40" t="s">
        <v>1318</v>
      </c>
      <c r="G40" t="s">
        <v>1049</v>
      </c>
      <c r="H40" t="s">
        <v>1319</v>
      </c>
      <c r="I40" t="s">
        <v>1376</v>
      </c>
      <c r="J40" s="41">
        <v>-10352.35</v>
      </c>
      <c r="K40" s="41">
        <v>0</v>
      </c>
      <c r="L40" s="41">
        <v>5541</v>
      </c>
      <c r="M40" s="41">
        <v>-15893.35</v>
      </c>
      <c r="N40" s="41">
        <v>15893.35</v>
      </c>
      <c r="O40" s="41">
        <v>5541</v>
      </c>
      <c r="P40" t="s">
        <v>1372</v>
      </c>
      <c r="Q40" t="s">
        <v>1257</v>
      </c>
      <c r="R40" t="s">
        <v>1166</v>
      </c>
      <c r="S40" t="s">
        <v>1167</v>
      </c>
      <c r="T40" t="s">
        <v>1320</v>
      </c>
    </row>
    <row r="41" spans="1:20" x14ac:dyDescent="0.3">
      <c r="A41" t="s">
        <v>553</v>
      </c>
      <c r="B41" t="s">
        <v>1373</v>
      </c>
      <c r="C41" t="s">
        <v>974</v>
      </c>
      <c r="D41" t="s">
        <v>496</v>
      </c>
      <c r="E41" t="s">
        <v>1048</v>
      </c>
      <c r="F41" t="s">
        <v>1318</v>
      </c>
      <c r="G41" t="s">
        <v>1049</v>
      </c>
      <c r="H41" t="s">
        <v>1319</v>
      </c>
      <c r="I41" t="s">
        <v>1378</v>
      </c>
      <c r="J41" s="41">
        <v>-600</v>
      </c>
      <c r="K41" s="41">
        <v>0</v>
      </c>
      <c r="L41" s="41">
        <v>300</v>
      </c>
      <c r="M41" s="41">
        <v>-900</v>
      </c>
      <c r="N41" s="41">
        <v>900</v>
      </c>
      <c r="O41" s="41">
        <v>300</v>
      </c>
      <c r="P41" t="s">
        <v>1372</v>
      </c>
      <c r="Q41" t="s">
        <v>1342</v>
      </c>
      <c r="R41" t="s">
        <v>1166</v>
      </c>
      <c r="S41" t="s">
        <v>1167</v>
      </c>
      <c r="T41" t="s">
        <v>1320</v>
      </c>
    </row>
    <row r="42" spans="1:20" x14ac:dyDescent="0.3">
      <c r="A42" t="s">
        <v>553</v>
      </c>
      <c r="B42" t="s">
        <v>1373</v>
      </c>
      <c r="C42" t="s">
        <v>974</v>
      </c>
      <c r="D42" t="s">
        <v>496</v>
      </c>
      <c r="E42" t="s">
        <v>1048</v>
      </c>
      <c r="F42" t="s">
        <v>1318</v>
      </c>
      <c r="G42" t="s">
        <v>1049</v>
      </c>
      <c r="H42" t="s">
        <v>1319</v>
      </c>
      <c r="I42" t="s">
        <v>1379</v>
      </c>
      <c r="J42" s="41">
        <v>-217</v>
      </c>
      <c r="K42" s="41">
        <v>0</v>
      </c>
      <c r="L42" s="41">
        <v>0</v>
      </c>
      <c r="M42" s="41">
        <v>-217</v>
      </c>
      <c r="N42" s="41">
        <v>217</v>
      </c>
      <c r="O42" s="41">
        <v>0</v>
      </c>
      <c r="P42" t="s">
        <v>1372</v>
      </c>
      <c r="Q42" t="s">
        <v>1348</v>
      </c>
      <c r="R42" t="s">
        <v>1166</v>
      </c>
      <c r="S42" t="s">
        <v>1167</v>
      </c>
      <c r="T42" t="s">
        <v>1320</v>
      </c>
    </row>
    <row r="43" spans="1:20" x14ac:dyDescent="0.3">
      <c r="A43" t="s">
        <v>553</v>
      </c>
      <c r="B43" t="s">
        <v>1373</v>
      </c>
      <c r="C43" t="s">
        <v>974</v>
      </c>
      <c r="D43" t="s">
        <v>496</v>
      </c>
      <c r="E43" t="s">
        <v>1048</v>
      </c>
      <c r="F43" t="s">
        <v>1318</v>
      </c>
      <c r="G43" t="s">
        <v>1049</v>
      </c>
      <c r="H43" t="s">
        <v>1319</v>
      </c>
      <c r="I43" t="s">
        <v>1381</v>
      </c>
      <c r="J43" s="41">
        <v>-289.35000000000002</v>
      </c>
      <c r="K43" s="41">
        <v>0</v>
      </c>
      <c r="L43" s="41">
        <v>96.45</v>
      </c>
      <c r="M43" s="41">
        <v>-385.8</v>
      </c>
      <c r="N43" s="41">
        <v>385.8</v>
      </c>
      <c r="O43" s="41">
        <v>96.45</v>
      </c>
      <c r="P43" t="s">
        <v>1372</v>
      </c>
      <c r="Q43" t="s">
        <v>1350</v>
      </c>
      <c r="R43" t="s">
        <v>1166</v>
      </c>
      <c r="S43" t="s">
        <v>1167</v>
      </c>
      <c r="T43" t="s">
        <v>1320</v>
      </c>
    </row>
    <row r="44" spans="1:20" x14ac:dyDescent="0.3">
      <c r="A44" t="s">
        <v>553</v>
      </c>
      <c r="B44" t="s">
        <v>1373</v>
      </c>
      <c r="C44" t="s">
        <v>974</v>
      </c>
      <c r="D44" t="s">
        <v>496</v>
      </c>
      <c r="E44" t="s">
        <v>1048</v>
      </c>
      <c r="F44" t="s">
        <v>1318</v>
      </c>
      <c r="G44" t="s">
        <v>1049</v>
      </c>
      <c r="H44" t="s">
        <v>1319</v>
      </c>
      <c r="I44" t="s">
        <v>1382</v>
      </c>
      <c r="J44" s="41">
        <v>-165</v>
      </c>
      <c r="K44" s="41">
        <v>0</v>
      </c>
      <c r="L44" s="41">
        <v>55</v>
      </c>
      <c r="M44" s="41">
        <v>-220</v>
      </c>
      <c r="N44" s="41">
        <v>220</v>
      </c>
      <c r="O44" s="41">
        <v>55</v>
      </c>
      <c r="P44" t="s">
        <v>1372</v>
      </c>
      <c r="Q44" t="s">
        <v>1351</v>
      </c>
      <c r="R44" t="s">
        <v>1166</v>
      </c>
      <c r="S44" t="s">
        <v>1167</v>
      </c>
      <c r="T44" t="s">
        <v>1320</v>
      </c>
    </row>
    <row r="45" spans="1:20" x14ac:dyDescent="0.3">
      <c r="A45" t="s">
        <v>553</v>
      </c>
      <c r="B45" t="s">
        <v>1373</v>
      </c>
      <c r="C45" t="s">
        <v>974</v>
      </c>
      <c r="D45" t="s">
        <v>496</v>
      </c>
      <c r="E45" t="s">
        <v>1118</v>
      </c>
      <c r="F45" t="s">
        <v>1324</v>
      </c>
      <c r="G45" t="s">
        <v>1119</v>
      </c>
      <c r="H45" t="s">
        <v>1418</v>
      </c>
      <c r="I45" t="s">
        <v>1376</v>
      </c>
      <c r="J45" s="41">
        <v>-0.35</v>
      </c>
      <c r="K45" s="41">
        <v>0</v>
      </c>
      <c r="L45" s="41">
        <v>0</v>
      </c>
      <c r="M45" s="41">
        <v>-0.35</v>
      </c>
      <c r="N45" s="41">
        <v>0.35</v>
      </c>
      <c r="O45" s="41">
        <v>0</v>
      </c>
      <c r="P45" t="s">
        <v>1372</v>
      </c>
      <c r="Q45" t="s">
        <v>1355</v>
      </c>
      <c r="R45" t="s">
        <v>1166</v>
      </c>
      <c r="S45" t="s">
        <v>1167</v>
      </c>
      <c r="T45" t="s">
        <v>1419</v>
      </c>
    </row>
    <row r="46" spans="1:20" x14ac:dyDescent="0.3">
      <c r="A46" t="s">
        <v>553</v>
      </c>
      <c r="B46" t="s">
        <v>1373</v>
      </c>
      <c r="C46" t="s">
        <v>974</v>
      </c>
      <c r="D46" t="s">
        <v>496</v>
      </c>
      <c r="E46" t="s">
        <v>1118</v>
      </c>
      <c r="F46" t="s">
        <v>1324</v>
      </c>
      <c r="G46" t="s">
        <v>1119</v>
      </c>
      <c r="H46" t="s">
        <v>1418</v>
      </c>
      <c r="I46" t="s">
        <v>1378</v>
      </c>
      <c r="J46" s="41">
        <v>-83</v>
      </c>
      <c r="K46" s="41">
        <v>0</v>
      </c>
      <c r="L46" s="41">
        <v>0</v>
      </c>
      <c r="M46" s="41">
        <v>-83</v>
      </c>
      <c r="N46" s="41">
        <v>83</v>
      </c>
      <c r="O46" s="41">
        <v>0</v>
      </c>
      <c r="P46" t="s">
        <v>1372</v>
      </c>
      <c r="Q46" t="s">
        <v>1356</v>
      </c>
      <c r="R46" t="s">
        <v>1166</v>
      </c>
      <c r="S46" t="s">
        <v>1167</v>
      </c>
      <c r="T46" t="s">
        <v>1419</v>
      </c>
    </row>
    <row r="47" spans="1:20" x14ac:dyDescent="0.3">
      <c r="A47" t="s">
        <v>553</v>
      </c>
      <c r="B47" t="s">
        <v>1373</v>
      </c>
      <c r="C47" t="s">
        <v>974</v>
      </c>
      <c r="D47" t="s">
        <v>496</v>
      </c>
      <c r="E47" t="s">
        <v>1118</v>
      </c>
      <c r="F47" t="s">
        <v>1324</v>
      </c>
      <c r="G47" t="s">
        <v>1119</v>
      </c>
      <c r="H47" t="s">
        <v>1418</v>
      </c>
      <c r="I47" t="s">
        <v>1406</v>
      </c>
      <c r="J47" s="41">
        <v>-77.59</v>
      </c>
      <c r="K47" s="41">
        <v>0</v>
      </c>
      <c r="L47" s="41">
        <v>51.18</v>
      </c>
      <c r="M47" s="41">
        <v>-128.77000000000001</v>
      </c>
      <c r="N47" s="41">
        <v>128.77000000000001</v>
      </c>
      <c r="O47" s="41">
        <v>51.18</v>
      </c>
      <c r="P47" t="s">
        <v>1372</v>
      </c>
      <c r="Q47" t="s">
        <v>1357</v>
      </c>
      <c r="R47" t="s">
        <v>1166</v>
      </c>
      <c r="S47" t="s">
        <v>1167</v>
      </c>
      <c r="T47" t="s">
        <v>1419</v>
      </c>
    </row>
    <row r="48" spans="1:20" x14ac:dyDescent="0.3">
      <c r="A48" t="s">
        <v>553</v>
      </c>
      <c r="B48" t="s">
        <v>1373</v>
      </c>
      <c r="C48" t="s">
        <v>974</v>
      </c>
      <c r="D48" t="s">
        <v>496</v>
      </c>
      <c r="E48" t="s">
        <v>1060</v>
      </c>
      <c r="F48" t="s">
        <v>947</v>
      </c>
      <c r="G48" t="s">
        <v>1061</v>
      </c>
      <c r="H48" t="s">
        <v>1200</v>
      </c>
      <c r="I48" t="s">
        <v>1421</v>
      </c>
      <c r="J48" s="41">
        <v>7776.51</v>
      </c>
      <c r="K48" s="41">
        <v>2592.17</v>
      </c>
      <c r="L48" s="41">
        <v>0</v>
      </c>
      <c r="M48" s="41">
        <v>10368.68</v>
      </c>
      <c r="N48" s="41">
        <v>10368.68</v>
      </c>
      <c r="O48" s="41">
        <v>2592.17</v>
      </c>
      <c r="P48" t="s">
        <v>1372</v>
      </c>
      <c r="Q48" t="s">
        <v>1420</v>
      </c>
      <c r="R48" t="s">
        <v>1166</v>
      </c>
      <c r="S48" t="s">
        <v>1167</v>
      </c>
      <c r="T48" t="s">
        <v>1201</v>
      </c>
    </row>
    <row r="49" spans="1:20" x14ac:dyDescent="0.3">
      <c r="A49" t="s">
        <v>553</v>
      </c>
      <c r="B49" t="s">
        <v>1373</v>
      </c>
      <c r="C49" t="s">
        <v>974</v>
      </c>
      <c r="D49" t="s">
        <v>496</v>
      </c>
      <c r="E49" t="s">
        <v>1075</v>
      </c>
      <c r="F49" t="s">
        <v>947</v>
      </c>
      <c r="G49" t="s">
        <v>1076</v>
      </c>
      <c r="H49" t="s">
        <v>1205</v>
      </c>
      <c r="I49" t="s">
        <v>1423</v>
      </c>
      <c r="J49" s="41">
        <v>26.81</v>
      </c>
      <c r="K49" s="41">
        <v>37.979999999999997</v>
      </c>
      <c r="L49" s="41">
        <v>0</v>
      </c>
      <c r="M49" s="41">
        <v>64.790000000000006</v>
      </c>
      <c r="N49" s="41">
        <v>64.790000000000006</v>
      </c>
      <c r="O49" s="41">
        <v>37.979999999999997</v>
      </c>
      <c r="P49" t="s">
        <v>1372</v>
      </c>
      <c r="Q49" t="s">
        <v>1422</v>
      </c>
      <c r="R49" t="s">
        <v>1166</v>
      </c>
      <c r="S49" t="s">
        <v>1167</v>
      </c>
      <c r="T49" t="s">
        <v>1206</v>
      </c>
    </row>
    <row r="50" spans="1:20" x14ac:dyDescent="0.3">
      <c r="A50" t="s">
        <v>553</v>
      </c>
      <c r="B50" t="s">
        <v>1373</v>
      </c>
      <c r="C50" t="s">
        <v>974</v>
      </c>
      <c r="D50" t="s">
        <v>496</v>
      </c>
      <c r="E50" t="s">
        <v>1075</v>
      </c>
      <c r="F50" t="s">
        <v>947</v>
      </c>
      <c r="G50" t="s">
        <v>1076</v>
      </c>
      <c r="H50" t="s">
        <v>1205</v>
      </c>
      <c r="I50" t="s">
        <v>1425</v>
      </c>
      <c r="J50" s="41">
        <v>35.04</v>
      </c>
      <c r="K50" s="41">
        <v>0</v>
      </c>
      <c r="L50" s="41">
        <v>0</v>
      </c>
      <c r="M50" s="41">
        <v>35.04</v>
      </c>
      <c r="N50" s="41">
        <v>35.04</v>
      </c>
      <c r="O50" s="41">
        <v>0</v>
      </c>
      <c r="P50" t="s">
        <v>1372</v>
      </c>
      <c r="Q50" t="s">
        <v>1424</v>
      </c>
      <c r="R50" t="s">
        <v>1166</v>
      </c>
      <c r="S50" t="s">
        <v>1167</v>
      </c>
      <c r="T50" t="s">
        <v>1206</v>
      </c>
    </row>
    <row r="51" spans="1:20" x14ac:dyDescent="0.3">
      <c r="A51" t="s">
        <v>553</v>
      </c>
      <c r="B51" t="s">
        <v>1373</v>
      </c>
      <c r="C51" t="s">
        <v>974</v>
      </c>
      <c r="D51" t="s">
        <v>496</v>
      </c>
      <c r="E51" t="s">
        <v>1075</v>
      </c>
      <c r="F51" t="s">
        <v>947</v>
      </c>
      <c r="G51" t="s">
        <v>1076</v>
      </c>
      <c r="H51" t="s">
        <v>1205</v>
      </c>
      <c r="I51" t="s">
        <v>1400</v>
      </c>
      <c r="J51" s="41">
        <v>0</v>
      </c>
      <c r="K51" s="41">
        <v>22.14</v>
      </c>
      <c r="L51" s="41">
        <v>0</v>
      </c>
      <c r="M51" s="41">
        <v>22.14</v>
      </c>
      <c r="N51" s="41">
        <v>22.14</v>
      </c>
      <c r="O51" s="41">
        <v>22.14</v>
      </c>
      <c r="P51" t="s">
        <v>1372</v>
      </c>
      <c r="Q51" t="s">
        <v>1368</v>
      </c>
      <c r="R51" t="s">
        <v>1166</v>
      </c>
      <c r="S51" t="s">
        <v>1167</v>
      </c>
      <c r="T51" t="s">
        <v>1206</v>
      </c>
    </row>
    <row r="52" spans="1:20" x14ac:dyDescent="0.3">
      <c r="A52" t="s">
        <v>553</v>
      </c>
      <c r="B52" t="s">
        <v>1373</v>
      </c>
      <c r="C52" t="s">
        <v>974</v>
      </c>
      <c r="D52" t="s">
        <v>496</v>
      </c>
      <c r="E52" t="s">
        <v>1075</v>
      </c>
      <c r="F52" t="s">
        <v>947</v>
      </c>
      <c r="G52" t="s">
        <v>1076</v>
      </c>
      <c r="H52" t="s">
        <v>1205</v>
      </c>
      <c r="I52" t="s">
        <v>1425</v>
      </c>
      <c r="J52" s="41">
        <v>0</v>
      </c>
      <c r="K52" s="41">
        <v>13.54</v>
      </c>
      <c r="L52" s="41">
        <v>0</v>
      </c>
      <c r="M52" s="41">
        <v>13.54</v>
      </c>
      <c r="N52" s="41">
        <v>13.54</v>
      </c>
      <c r="O52" s="41">
        <v>13.54</v>
      </c>
      <c r="P52" t="s">
        <v>1372</v>
      </c>
      <c r="Q52" t="s">
        <v>1369</v>
      </c>
      <c r="R52" t="s">
        <v>1166</v>
      </c>
      <c r="S52" t="s">
        <v>1167</v>
      </c>
      <c r="T52" t="s">
        <v>1206</v>
      </c>
    </row>
    <row r="53" spans="1:20" x14ac:dyDescent="0.3">
      <c r="A53" t="s">
        <v>553</v>
      </c>
      <c r="B53" t="s">
        <v>1373</v>
      </c>
      <c r="C53" t="s">
        <v>974</v>
      </c>
      <c r="D53" t="s">
        <v>496</v>
      </c>
      <c r="E53" t="s">
        <v>1060</v>
      </c>
      <c r="F53" t="s">
        <v>947</v>
      </c>
      <c r="G53" t="s">
        <v>1061</v>
      </c>
      <c r="H53" t="s">
        <v>1430</v>
      </c>
      <c r="I53" t="s">
        <v>1428</v>
      </c>
      <c r="J53" s="41">
        <v>7600</v>
      </c>
      <c r="K53" s="41">
        <v>0</v>
      </c>
      <c r="L53" s="41">
        <v>0</v>
      </c>
      <c r="M53" s="41">
        <v>7600</v>
      </c>
      <c r="N53" s="41">
        <v>7600</v>
      </c>
      <c r="O53" s="41">
        <v>0</v>
      </c>
      <c r="P53" t="s">
        <v>1372</v>
      </c>
      <c r="Q53" t="s">
        <v>1426</v>
      </c>
      <c r="R53" t="s">
        <v>1192</v>
      </c>
      <c r="S53" t="s">
        <v>1193</v>
      </c>
      <c r="T53" t="s">
        <v>1431</v>
      </c>
    </row>
    <row r="54" spans="1:20" x14ac:dyDescent="0.3">
      <c r="A54" t="s">
        <v>553</v>
      </c>
      <c r="B54" t="s">
        <v>1373</v>
      </c>
      <c r="C54" t="s">
        <v>974</v>
      </c>
      <c r="D54" t="s">
        <v>496</v>
      </c>
      <c r="E54" t="s">
        <v>1060</v>
      </c>
      <c r="F54" t="s">
        <v>947</v>
      </c>
      <c r="G54" t="s">
        <v>1061</v>
      </c>
      <c r="H54" t="s">
        <v>1436</v>
      </c>
      <c r="I54" t="s">
        <v>1434</v>
      </c>
      <c r="J54" s="41">
        <v>276.06</v>
      </c>
      <c r="K54" s="41">
        <v>0</v>
      </c>
      <c r="L54" s="41">
        <v>0</v>
      </c>
      <c r="M54" s="41">
        <v>276.06</v>
      </c>
      <c r="N54" s="41">
        <v>276.06</v>
      </c>
      <c r="O54" s="41">
        <v>0</v>
      </c>
      <c r="P54" t="s">
        <v>1372</v>
      </c>
      <c r="Q54" t="s">
        <v>1432</v>
      </c>
      <c r="R54" t="s">
        <v>1166</v>
      </c>
      <c r="S54" t="s">
        <v>1167</v>
      </c>
      <c r="T54" t="s">
        <v>1437</v>
      </c>
    </row>
    <row r="55" spans="1:20" x14ac:dyDescent="0.3">
      <c r="A55" t="s">
        <v>553</v>
      </c>
      <c r="B55" t="s">
        <v>1373</v>
      </c>
      <c r="C55" t="s">
        <v>974</v>
      </c>
      <c r="D55" t="s">
        <v>496</v>
      </c>
      <c r="E55" t="s">
        <v>1060</v>
      </c>
      <c r="F55" t="s">
        <v>947</v>
      </c>
      <c r="G55" t="s">
        <v>1061</v>
      </c>
      <c r="H55" t="s">
        <v>1436</v>
      </c>
      <c r="I55" t="s">
        <v>1405</v>
      </c>
      <c r="J55" s="41">
        <v>0</v>
      </c>
      <c r="K55" s="41">
        <v>13.9</v>
      </c>
      <c r="L55" s="41">
        <v>0</v>
      </c>
      <c r="M55" s="41">
        <v>13.9</v>
      </c>
      <c r="N55" s="41">
        <v>13.9</v>
      </c>
      <c r="O55" s="41">
        <v>13.9</v>
      </c>
      <c r="P55" t="s">
        <v>1372</v>
      </c>
      <c r="Q55" t="s">
        <v>1438</v>
      </c>
      <c r="R55" t="s">
        <v>1166</v>
      </c>
      <c r="S55" t="s">
        <v>1167</v>
      </c>
      <c r="T55" t="s">
        <v>1437</v>
      </c>
    </row>
    <row r="56" spans="1:20" x14ac:dyDescent="0.3">
      <c r="A56" t="s">
        <v>553</v>
      </c>
      <c r="B56" t="s">
        <v>1373</v>
      </c>
      <c r="C56" t="s">
        <v>974</v>
      </c>
      <c r="D56" t="s">
        <v>496</v>
      </c>
      <c r="E56" t="s">
        <v>1060</v>
      </c>
      <c r="F56" t="s">
        <v>947</v>
      </c>
      <c r="G56" t="s">
        <v>1061</v>
      </c>
      <c r="H56" t="s">
        <v>1436</v>
      </c>
      <c r="I56" t="s">
        <v>1440</v>
      </c>
      <c r="J56" s="41">
        <v>0</v>
      </c>
      <c r="K56" s="41">
        <v>15.3</v>
      </c>
      <c r="L56" s="41">
        <v>0</v>
      </c>
      <c r="M56" s="41">
        <v>15.3</v>
      </c>
      <c r="N56" s="41">
        <v>15.3</v>
      </c>
      <c r="O56" s="41">
        <v>15.3</v>
      </c>
      <c r="P56" t="s">
        <v>1372</v>
      </c>
      <c r="Q56" t="s">
        <v>1439</v>
      </c>
      <c r="R56" t="s">
        <v>1166</v>
      </c>
      <c r="S56" t="s">
        <v>1167</v>
      </c>
      <c r="T56" t="s">
        <v>1437</v>
      </c>
    </row>
    <row r="57" spans="1:20" x14ac:dyDescent="0.3">
      <c r="A57" t="s">
        <v>553</v>
      </c>
      <c r="B57" t="s">
        <v>1373</v>
      </c>
      <c r="C57" t="s">
        <v>974</v>
      </c>
      <c r="D57" t="s">
        <v>496</v>
      </c>
      <c r="E57" t="s">
        <v>1060</v>
      </c>
      <c r="F57" t="s">
        <v>947</v>
      </c>
      <c r="G57" t="s">
        <v>1061</v>
      </c>
      <c r="H57" t="s">
        <v>1436</v>
      </c>
      <c r="I57" t="s">
        <v>1442</v>
      </c>
      <c r="J57" s="41">
        <v>132.38</v>
      </c>
      <c r="K57" s="41">
        <v>1374.9</v>
      </c>
      <c r="L57" s="41">
        <v>0</v>
      </c>
      <c r="M57" s="41">
        <v>1507.28</v>
      </c>
      <c r="N57" s="41">
        <v>1507.28</v>
      </c>
      <c r="O57" s="41">
        <v>1374.9</v>
      </c>
      <c r="P57" t="s">
        <v>1372</v>
      </c>
      <c r="Q57" t="s">
        <v>1441</v>
      </c>
      <c r="R57" t="s">
        <v>1166</v>
      </c>
      <c r="S57" t="s">
        <v>1167</v>
      </c>
      <c r="T57" t="s">
        <v>1437</v>
      </c>
    </row>
    <row r="58" spans="1:20" x14ac:dyDescent="0.3">
      <c r="A58" t="s">
        <v>553</v>
      </c>
      <c r="B58" t="s">
        <v>1373</v>
      </c>
      <c r="C58" t="s">
        <v>974</v>
      </c>
      <c r="D58" t="s">
        <v>496</v>
      </c>
      <c r="E58" t="s">
        <v>1060</v>
      </c>
      <c r="F58" t="s">
        <v>947</v>
      </c>
      <c r="G58" t="s">
        <v>1061</v>
      </c>
      <c r="H58" t="s">
        <v>1447</v>
      </c>
      <c r="I58" t="s">
        <v>1445</v>
      </c>
      <c r="J58" s="41">
        <v>122.93</v>
      </c>
      <c r="K58" s="41">
        <v>0</v>
      </c>
      <c r="L58" s="41">
        <v>0</v>
      </c>
      <c r="M58" s="41">
        <v>122.93</v>
      </c>
      <c r="N58" s="41">
        <v>122.93</v>
      </c>
      <c r="O58" s="41">
        <v>0</v>
      </c>
      <c r="P58" t="s">
        <v>1372</v>
      </c>
      <c r="Q58" t="s">
        <v>1443</v>
      </c>
      <c r="R58" t="s">
        <v>1166</v>
      </c>
      <c r="S58" t="s">
        <v>1167</v>
      </c>
      <c r="T58" t="s">
        <v>1448</v>
      </c>
    </row>
    <row r="59" spans="1:20" x14ac:dyDescent="0.3">
      <c r="A59" t="s">
        <v>553</v>
      </c>
      <c r="B59" t="s">
        <v>1373</v>
      </c>
      <c r="C59" t="s">
        <v>974</v>
      </c>
      <c r="D59" t="s">
        <v>496</v>
      </c>
      <c r="E59" t="s">
        <v>1060</v>
      </c>
      <c r="F59" t="s">
        <v>947</v>
      </c>
      <c r="G59" t="s">
        <v>1061</v>
      </c>
      <c r="H59" t="s">
        <v>1451</v>
      </c>
      <c r="I59" t="s">
        <v>1421</v>
      </c>
      <c r="J59" s="41">
        <v>2241.9899999999998</v>
      </c>
      <c r="K59" s="41">
        <v>637.33000000000004</v>
      </c>
      <c r="L59" s="41">
        <v>0</v>
      </c>
      <c r="M59" s="41">
        <v>2879.32</v>
      </c>
      <c r="N59" s="41">
        <v>2879.32</v>
      </c>
      <c r="O59" s="41">
        <v>637.33000000000004</v>
      </c>
      <c r="P59" t="s">
        <v>1372</v>
      </c>
      <c r="Q59" t="s">
        <v>1449</v>
      </c>
      <c r="R59" t="s">
        <v>1192</v>
      </c>
      <c r="S59" t="s">
        <v>1193</v>
      </c>
      <c r="T59" t="s">
        <v>1452</v>
      </c>
    </row>
    <row r="60" spans="1:20" x14ac:dyDescent="0.3">
      <c r="A60" t="s">
        <v>553</v>
      </c>
      <c r="B60" t="s">
        <v>1373</v>
      </c>
      <c r="C60" t="s">
        <v>974</v>
      </c>
      <c r="D60" t="s">
        <v>496</v>
      </c>
      <c r="E60" t="s">
        <v>1062</v>
      </c>
      <c r="F60" t="s">
        <v>947</v>
      </c>
      <c r="G60" t="s">
        <v>1063</v>
      </c>
      <c r="H60" t="s">
        <v>1331</v>
      </c>
      <c r="I60" t="s">
        <v>1454</v>
      </c>
      <c r="J60" s="41">
        <v>445</v>
      </c>
      <c r="K60" s="41">
        <v>0</v>
      </c>
      <c r="L60" s="41">
        <v>0</v>
      </c>
      <c r="M60" s="41">
        <v>445</v>
      </c>
      <c r="N60" s="41">
        <v>445</v>
      </c>
      <c r="O60" s="41">
        <v>0</v>
      </c>
      <c r="P60" t="s">
        <v>1372</v>
      </c>
      <c r="Q60" t="s">
        <v>1453</v>
      </c>
      <c r="R60" t="s">
        <v>1166</v>
      </c>
      <c r="S60" t="s">
        <v>1167</v>
      </c>
      <c r="T60" t="s">
        <v>1332</v>
      </c>
    </row>
    <row r="61" spans="1:20" x14ac:dyDescent="0.3">
      <c r="A61" t="s">
        <v>553</v>
      </c>
      <c r="B61" t="s">
        <v>1373</v>
      </c>
      <c r="C61" t="s">
        <v>974</v>
      </c>
      <c r="D61" t="s">
        <v>496</v>
      </c>
      <c r="E61" t="s">
        <v>1064</v>
      </c>
      <c r="F61" t="s">
        <v>947</v>
      </c>
      <c r="G61" t="s">
        <v>1065</v>
      </c>
      <c r="H61" t="s">
        <v>1222</v>
      </c>
      <c r="I61" t="s">
        <v>1456</v>
      </c>
      <c r="J61" s="41">
        <v>4024.05</v>
      </c>
      <c r="K61" s="41">
        <v>0</v>
      </c>
      <c r="L61" s="41">
        <v>0</v>
      </c>
      <c r="M61" s="41">
        <v>4024.05</v>
      </c>
      <c r="N61" s="41">
        <v>4024.05</v>
      </c>
      <c r="O61" s="41">
        <v>0</v>
      </c>
      <c r="P61" t="s">
        <v>1372</v>
      </c>
      <c r="Q61" t="s">
        <v>1455</v>
      </c>
      <c r="R61" t="s">
        <v>1166</v>
      </c>
      <c r="S61" t="s">
        <v>1167</v>
      </c>
      <c r="T61" t="s">
        <v>1223</v>
      </c>
    </row>
    <row r="62" spans="1:20" x14ac:dyDescent="0.3">
      <c r="A62" t="s">
        <v>553</v>
      </c>
      <c r="B62" t="s">
        <v>1373</v>
      </c>
      <c r="C62" t="s">
        <v>974</v>
      </c>
      <c r="D62" t="s">
        <v>496</v>
      </c>
      <c r="E62" t="s">
        <v>1069</v>
      </c>
      <c r="F62" t="s">
        <v>947</v>
      </c>
      <c r="G62" t="s">
        <v>1070</v>
      </c>
      <c r="H62" t="s">
        <v>1243</v>
      </c>
      <c r="I62" t="s">
        <v>1458</v>
      </c>
      <c r="J62" s="41">
        <v>225.35</v>
      </c>
      <c r="K62" s="41">
        <v>0</v>
      </c>
      <c r="L62" s="41">
        <v>0</v>
      </c>
      <c r="M62" s="41">
        <v>225.35</v>
      </c>
      <c r="N62" s="41">
        <v>225.35</v>
      </c>
      <c r="O62" s="41">
        <v>0</v>
      </c>
      <c r="P62" t="s">
        <v>1372</v>
      </c>
      <c r="Q62" t="s">
        <v>1457</v>
      </c>
      <c r="R62" t="s">
        <v>1166</v>
      </c>
      <c r="S62" t="s">
        <v>1193</v>
      </c>
      <c r="T62" t="s">
        <v>1244</v>
      </c>
    </row>
    <row r="63" spans="1:20" x14ac:dyDescent="0.3">
      <c r="A63" t="s">
        <v>553</v>
      </c>
      <c r="B63" t="s">
        <v>1373</v>
      </c>
      <c r="C63" t="s">
        <v>974</v>
      </c>
      <c r="D63" t="s">
        <v>496</v>
      </c>
      <c r="E63" t="s">
        <v>1069</v>
      </c>
      <c r="F63" t="s">
        <v>947</v>
      </c>
      <c r="G63" t="s">
        <v>1070</v>
      </c>
      <c r="H63" t="s">
        <v>1243</v>
      </c>
      <c r="I63" t="s">
        <v>1460</v>
      </c>
      <c r="J63" s="41">
        <v>191.4</v>
      </c>
      <c r="K63" s="41">
        <v>0</v>
      </c>
      <c r="L63" s="41">
        <v>0</v>
      </c>
      <c r="M63" s="41">
        <v>191.4</v>
      </c>
      <c r="N63" s="41">
        <v>191.4</v>
      </c>
      <c r="O63" s="41">
        <v>0</v>
      </c>
      <c r="P63" t="s">
        <v>1372</v>
      </c>
      <c r="Q63" t="s">
        <v>1459</v>
      </c>
      <c r="R63" t="s">
        <v>1166</v>
      </c>
      <c r="S63" t="s">
        <v>1193</v>
      </c>
      <c r="T63" t="s">
        <v>1244</v>
      </c>
    </row>
    <row r="64" spans="1:20" x14ac:dyDescent="0.3">
      <c r="A64" t="s">
        <v>553</v>
      </c>
      <c r="B64" t="s">
        <v>1373</v>
      </c>
      <c r="C64" t="s">
        <v>974</v>
      </c>
      <c r="D64" t="s">
        <v>496</v>
      </c>
      <c r="E64" t="s">
        <v>1069</v>
      </c>
      <c r="F64" t="s">
        <v>947</v>
      </c>
      <c r="G64" t="s">
        <v>1070</v>
      </c>
      <c r="H64" t="s">
        <v>1243</v>
      </c>
      <c r="I64" t="s">
        <v>1462</v>
      </c>
      <c r="J64" s="41">
        <v>0</v>
      </c>
      <c r="K64" s="41">
        <v>32.1</v>
      </c>
      <c r="L64" s="41">
        <v>0</v>
      </c>
      <c r="M64" s="41">
        <v>32.1</v>
      </c>
      <c r="N64" s="41">
        <v>32.1</v>
      </c>
      <c r="O64" s="41">
        <v>32.1</v>
      </c>
      <c r="P64" t="s">
        <v>1372</v>
      </c>
      <c r="Q64" t="s">
        <v>1461</v>
      </c>
      <c r="R64" t="s">
        <v>1166</v>
      </c>
      <c r="S64" t="s">
        <v>1193</v>
      </c>
      <c r="T64" t="s">
        <v>1244</v>
      </c>
    </row>
    <row r="65" spans="1:20" x14ac:dyDescent="0.3">
      <c r="A65" t="s">
        <v>553</v>
      </c>
      <c r="B65" t="s">
        <v>1373</v>
      </c>
      <c r="C65" t="s">
        <v>974</v>
      </c>
      <c r="D65" t="s">
        <v>496</v>
      </c>
      <c r="E65" t="s">
        <v>1069</v>
      </c>
      <c r="F65" t="s">
        <v>947</v>
      </c>
      <c r="G65" t="s">
        <v>1070</v>
      </c>
      <c r="H65" t="s">
        <v>1243</v>
      </c>
      <c r="I65" t="s">
        <v>1464</v>
      </c>
      <c r="J65" s="41">
        <v>60</v>
      </c>
      <c r="K65" s="41">
        <v>20</v>
      </c>
      <c r="L65" s="41">
        <v>0</v>
      </c>
      <c r="M65" s="41">
        <v>80</v>
      </c>
      <c r="N65" s="41">
        <v>80</v>
      </c>
      <c r="O65" s="41">
        <v>20</v>
      </c>
      <c r="P65" t="s">
        <v>1372</v>
      </c>
      <c r="Q65" t="s">
        <v>1463</v>
      </c>
      <c r="R65" t="s">
        <v>1166</v>
      </c>
      <c r="S65" t="s">
        <v>1193</v>
      </c>
      <c r="T65" t="s">
        <v>1244</v>
      </c>
    </row>
    <row r="66" spans="1:20" x14ac:dyDescent="0.3">
      <c r="A66" t="s">
        <v>553</v>
      </c>
      <c r="B66" t="s">
        <v>1373</v>
      </c>
      <c r="C66" t="s">
        <v>974</v>
      </c>
      <c r="D66" t="s">
        <v>496</v>
      </c>
      <c r="E66" t="s">
        <v>1069</v>
      </c>
      <c r="F66" t="s">
        <v>947</v>
      </c>
      <c r="G66" t="s">
        <v>1070</v>
      </c>
      <c r="H66" t="s">
        <v>1243</v>
      </c>
      <c r="I66" t="s">
        <v>1466</v>
      </c>
      <c r="J66" s="41">
        <v>0</v>
      </c>
      <c r="K66" s="41">
        <v>957.65</v>
      </c>
      <c r="L66" s="41">
        <v>0</v>
      </c>
      <c r="M66" s="41">
        <v>957.65</v>
      </c>
      <c r="N66" s="41">
        <v>957.65</v>
      </c>
      <c r="O66" s="41">
        <v>957.65</v>
      </c>
      <c r="P66" t="s">
        <v>1372</v>
      </c>
      <c r="Q66" t="s">
        <v>1465</v>
      </c>
      <c r="R66" t="s">
        <v>1166</v>
      </c>
      <c r="S66" t="s">
        <v>1193</v>
      </c>
      <c r="T66" t="s">
        <v>1244</v>
      </c>
    </row>
    <row r="67" spans="1:20" x14ac:dyDescent="0.3">
      <c r="A67" t="s">
        <v>553</v>
      </c>
      <c r="B67" t="s">
        <v>1373</v>
      </c>
      <c r="C67" t="s">
        <v>974</v>
      </c>
      <c r="D67" t="s">
        <v>496</v>
      </c>
      <c r="E67" t="s">
        <v>1073</v>
      </c>
      <c r="F67" t="s">
        <v>947</v>
      </c>
      <c r="G67" t="s">
        <v>1074</v>
      </c>
      <c r="H67" t="s">
        <v>1471</v>
      </c>
      <c r="I67" t="s">
        <v>1469</v>
      </c>
      <c r="J67" s="41">
        <v>34.29</v>
      </c>
      <c r="K67" s="41">
        <v>11.54</v>
      </c>
      <c r="L67" s="41">
        <v>0</v>
      </c>
      <c r="M67" s="41">
        <v>45.83</v>
      </c>
      <c r="N67" s="41">
        <v>45.83</v>
      </c>
      <c r="O67" s="41">
        <v>11.54</v>
      </c>
      <c r="P67" t="s">
        <v>1372</v>
      </c>
      <c r="Q67" t="s">
        <v>1467</v>
      </c>
      <c r="R67" t="s">
        <v>1166</v>
      </c>
      <c r="S67" t="s">
        <v>1167</v>
      </c>
      <c r="T67" t="s">
        <v>1472</v>
      </c>
    </row>
    <row r="68" spans="1:20" x14ac:dyDescent="0.3">
      <c r="A68" t="s">
        <v>553</v>
      </c>
      <c r="B68" t="s">
        <v>1373</v>
      </c>
      <c r="C68" t="s">
        <v>974</v>
      </c>
      <c r="D68" t="s">
        <v>496</v>
      </c>
      <c r="E68" t="s">
        <v>1077</v>
      </c>
      <c r="F68" t="s">
        <v>947</v>
      </c>
      <c r="G68" t="s">
        <v>1078</v>
      </c>
      <c r="H68" t="s">
        <v>576</v>
      </c>
      <c r="I68" t="s">
        <v>1474</v>
      </c>
      <c r="J68" s="41">
        <v>578.27</v>
      </c>
      <c r="K68" s="41">
        <v>181.67</v>
      </c>
      <c r="L68" s="41">
        <v>0</v>
      </c>
      <c r="M68" s="41">
        <v>759.94</v>
      </c>
      <c r="N68" s="41">
        <v>759.94</v>
      </c>
      <c r="O68" s="41">
        <v>181.67</v>
      </c>
      <c r="P68" t="s">
        <v>1372</v>
      </c>
      <c r="Q68" t="s">
        <v>1473</v>
      </c>
      <c r="R68" t="s">
        <v>1192</v>
      </c>
      <c r="S68" t="s">
        <v>1193</v>
      </c>
      <c r="T68" t="s">
        <v>1476</v>
      </c>
    </row>
    <row r="69" spans="1:20" x14ac:dyDescent="0.3">
      <c r="A69" t="s">
        <v>553</v>
      </c>
      <c r="B69" t="s">
        <v>1373</v>
      </c>
      <c r="C69" t="s">
        <v>974</v>
      </c>
      <c r="D69" t="s">
        <v>496</v>
      </c>
      <c r="E69" t="s">
        <v>1079</v>
      </c>
      <c r="F69" t="s">
        <v>947</v>
      </c>
      <c r="G69" t="s">
        <v>1080</v>
      </c>
      <c r="H69" t="s">
        <v>1480</v>
      </c>
      <c r="I69" t="s">
        <v>1425</v>
      </c>
      <c r="J69" s="41">
        <v>35.1</v>
      </c>
      <c r="K69" s="41">
        <v>0</v>
      </c>
      <c r="L69" s="41">
        <v>0</v>
      </c>
      <c r="M69" s="41">
        <v>35.1</v>
      </c>
      <c r="N69" s="41">
        <v>35.1</v>
      </c>
      <c r="O69" s="41">
        <v>0</v>
      </c>
      <c r="P69" t="s">
        <v>1372</v>
      </c>
      <c r="Q69" t="s">
        <v>1477</v>
      </c>
      <c r="R69" t="s">
        <v>1166</v>
      </c>
      <c r="S69" t="s">
        <v>1193</v>
      </c>
      <c r="T69" t="s">
        <v>1481</v>
      </c>
    </row>
    <row r="70" spans="1:20" x14ac:dyDescent="0.3">
      <c r="A70" t="s">
        <v>553</v>
      </c>
      <c r="B70" t="s">
        <v>1373</v>
      </c>
      <c r="C70" t="s">
        <v>974</v>
      </c>
      <c r="D70" t="s">
        <v>496</v>
      </c>
      <c r="E70" t="s">
        <v>1079</v>
      </c>
      <c r="F70" t="s">
        <v>947</v>
      </c>
      <c r="G70" t="s">
        <v>1080</v>
      </c>
      <c r="H70" t="s">
        <v>1480</v>
      </c>
      <c r="I70" t="s">
        <v>1483</v>
      </c>
      <c r="J70" s="41">
        <v>82.58</v>
      </c>
      <c r="K70" s="41">
        <v>0</v>
      </c>
      <c r="L70" s="41">
        <v>0</v>
      </c>
      <c r="M70" s="41">
        <v>82.58</v>
      </c>
      <c r="N70" s="41">
        <v>82.58</v>
      </c>
      <c r="O70" s="41">
        <v>0</v>
      </c>
      <c r="P70" t="s">
        <v>1372</v>
      </c>
      <c r="Q70" t="s">
        <v>1482</v>
      </c>
      <c r="R70" t="s">
        <v>1166</v>
      </c>
      <c r="S70" t="s">
        <v>1193</v>
      </c>
      <c r="T70" t="s">
        <v>1481</v>
      </c>
    </row>
    <row r="71" spans="1:20" x14ac:dyDescent="0.3">
      <c r="A71" t="s">
        <v>553</v>
      </c>
      <c r="B71" t="s">
        <v>1373</v>
      </c>
      <c r="C71" t="s">
        <v>974</v>
      </c>
      <c r="D71" t="s">
        <v>496</v>
      </c>
      <c r="E71" t="s">
        <v>1081</v>
      </c>
      <c r="F71" t="s">
        <v>947</v>
      </c>
      <c r="G71" t="s">
        <v>1082</v>
      </c>
      <c r="H71" t="s">
        <v>1488</v>
      </c>
      <c r="I71" t="s">
        <v>1486</v>
      </c>
      <c r="J71" s="41">
        <v>125.13</v>
      </c>
      <c r="K71" s="41">
        <v>129.16</v>
      </c>
      <c r="L71" s="41">
        <v>0</v>
      </c>
      <c r="M71" s="41">
        <v>254.29</v>
      </c>
      <c r="N71" s="41">
        <v>254.29</v>
      </c>
      <c r="O71" s="41">
        <v>129.16</v>
      </c>
      <c r="P71" t="s">
        <v>1372</v>
      </c>
      <c r="Q71" t="s">
        <v>1484</v>
      </c>
      <c r="R71" t="s">
        <v>1166</v>
      </c>
      <c r="S71" t="s">
        <v>1193</v>
      </c>
      <c r="T71" t="s">
        <v>1489</v>
      </c>
    </row>
    <row r="72" spans="1:20" x14ac:dyDescent="0.3">
      <c r="A72" t="s">
        <v>553</v>
      </c>
      <c r="B72" t="s">
        <v>1373</v>
      </c>
      <c r="C72" t="s">
        <v>974</v>
      </c>
      <c r="D72" t="s">
        <v>496</v>
      </c>
      <c r="E72" t="s">
        <v>1081</v>
      </c>
      <c r="F72" t="s">
        <v>947</v>
      </c>
      <c r="G72" t="s">
        <v>1082</v>
      </c>
      <c r="H72" t="s">
        <v>1488</v>
      </c>
      <c r="I72" t="s">
        <v>1491</v>
      </c>
      <c r="J72" s="41">
        <v>63.15</v>
      </c>
      <c r="K72" s="41">
        <v>0</v>
      </c>
      <c r="L72" s="41">
        <v>0</v>
      </c>
      <c r="M72" s="41">
        <v>63.15</v>
      </c>
      <c r="N72" s="41">
        <v>63.15</v>
      </c>
      <c r="O72" s="41">
        <v>0</v>
      </c>
      <c r="P72" t="s">
        <v>1372</v>
      </c>
      <c r="Q72" t="s">
        <v>1490</v>
      </c>
      <c r="R72" t="s">
        <v>1166</v>
      </c>
      <c r="S72" t="s">
        <v>1193</v>
      </c>
      <c r="T72" t="s">
        <v>1489</v>
      </c>
    </row>
    <row r="73" spans="1:20" x14ac:dyDescent="0.3">
      <c r="A73" t="s">
        <v>553</v>
      </c>
      <c r="B73" t="s">
        <v>1373</v>
      </c>
      <c r="C73" t="s">
        <v>974</v>
      </c>
      <c r="D73" t="s">
        <v>496</v>
      </c>
      <c r="E73" t="s">
        <v>1081</v>
      </c>
      <c r="F73" t="s">
        <v>947</v>
      </c>
      <c r="G73" t="s">
        <v>1082</v>
      </c>
      <c r="H73" t="s">
        <v>1488</v>
      </c>
      <c r="I73" t="s">
        <v>1491</v>
      </c>
      <c r="J73" s="41">
        <v>0</v>
      </c>
      <c r="K73" s="41">
        <v>55.93</v>
      </c>
      <c r="L73" s="41">
        <v>0</v>
      </c>
      <c r="M73" s="41">
        <v>55.93</v>
      </c>
      <c r="N73" s="41">
        <v>55.93</v>
      </c>
      <c r="O73" s="41">
        <v>55.93</v>
      </c>
      <c r="P73" t="s">
        <v>1372</v>
      </c>
      <c r="Q73" t="s">
        <v>1492</v>
      </c>
      <c r="R73" t="s">
        <v>1166</v>
      </c>
      <c r="S73" t="s">
        <v>1193</v>
      </c>
      <c r="T73" t="s">
        <v>1489</v>
      </c>
    </row>
    <row r="74" spans="1:20" x14ac:dyDescent="0.3">
      <c r="A74" t="s">
        <v>553</v>
      </c>
      <c r="B74" t="s">
        <v>1373</v>
      </c>
      <c r="C74" t="s">
        <v>974</v>
      </c>
      <c r="D74" t="s">
        <v>496</v>
      </c>
      <c r="E74" t="s">
        <v>1081</v>
      </c>
      <c r="F74" t="s">
        <v>947</v>
      </c>
      <c r="G74" t="s">
        <v>1082</v>
      </c>
      <c r="H74" t="s">
        <v>1488</v>
      </c>
      <c r="I74" t="s">
        <v>1405</v>
      </c>
      <c r="J74" s="41">
        <v>0</v>
      </c>
      <c r="K74" s="41">
        <v>145.96</v>
      </c>
      <c r="L74" s="41">
        <v>0</v>
      </c>
      <c r="M74" s="41">
        <v>145.96</v>
      </c>
      <c r="N74" s="41">
        <v>145.96</v>
      </c>
      <c r="O74" s="41">
        <v>145.96</v>
      </c>
      <c r="P74" t="s">
        <v>1372</v>
      </c>
      <c r="Q74" t="s">
        <v>1493</v>
      </c>
      <c r="R74" t="s">
        <v>1166</v>
      </c>
      <c r="S74" t="s">
        <v>1193</v>
      </c>
      <c r="T74" t="s">
        <v>1489</v>
      </c>
    </row>
    <row r="75" spans="1:20" x14ac:dyDescent="0.3">
      <c r="A75" t="s">
        <v>553</v>
      </c>
      <c r="B75" t="s">
        <v>1373</v>
      </c>
      <c r="C75" t="s">
        <v>974</v>
      </c>
      <c r="D75" t="s">
        <v>496</v>
      </c>
      <c r="E75" t="s">
        <v>1081</v>
      </c>
      <c r="F75" t="s">
        <v>947</v>
      </c>
      <c r="G75" t="s">
        <v>1082</v>
      </c>
      <c r="H75" t="s">
        <v>1488</v>
      </c>
      <c r="I75" t="s">
        <v>1495</v>
      </c>
      <c r="J75" s="41">
        <v>0</v>
      </c>
      <c r="K75" s="41">
        <v>92.97</v>
      </c>
      <c r="L75" s="41">
        <v>0</v>
      </c>
      <c r="M75" s="41">
        <v>92.97</v>
      </c>
      <c r="N75" s="41">
        <v>92.97</v>
      </c>
      <c r="O75" s="41">
        <v>92.97</v>
      </c>
      <c r="P75" t="s">
        <v>1372</v>
      </c>
      <c r="Q75" t="s">
        <v>1494</v>
      </c>
      <c r="R75" t="s">
        <v>1166</v>
      </c>
      <c r="S75" t="s">
        <v>1193</v>
      </c>
      <c r="T75" t="s">
        <v>1489</v>
      </c>
    </row>
    <row r="76" spans="1:20" x14ac:dyDescent="0.3">
      <c r="A76" t="s">
        <v>553</v>
      </c>
      <c r="B76" t="s">
        <v>1373</v>
      </c>
      <c r="C76" t="s">
        <v>974</v>
      </c>
      <c r="D76" t="s">
        <v>496</v>
      </c>
      <c r="E76" t="s">
        <v>1081</v>
      </c>
      <c r="F76" t="s">
        <v>947</v>
      </c>
      <c r="G76" t="s">
        <v>1082</v>
      </c>
      <c r="H76" t="s">
        <v>1488</v>
      </c>
      <c r="I76" t="s">
        <v>1497</v>
      </c>
      <c r="J76" s="41">
        <v>0</v>
      </c>
      <c r="K76" s="41">
        <v>122.49</v>
      </c>
      <c r="L76" s="41">
        <v>0</v>
      </c>
      <c r="M76" s="41">
        <v>122.49</v>
      </c>
      <c r="N76" s="41">
        <v>122.49</v>
      </c>
      <c r="O76" s="41">
        <v>122.49</v>
      </c>
      <c r="P76" t="s">
        <v>1372</v>
      </c>
      <c r="Q76" t="s">
        <v>1496</v>
      </c>
      <c r="R76" t="s">
        <v>1166</v>
      </c>
      <c r="S76" t="s">
        <v>1193</v>
      </c>
      <c r="T76" t="s">
        <v>1489</v>
      </c>
    </row>
    <row r="77" spans="1:20" x14ac:dyDescent="0.3">
      <c r="A77" t="s">
        <v>553</v>
      </c>
      <c r="B77" t="s">
        <v>1373</v>
      </c>
      <c r="C77" t="s">
        <v>974</v>
      </c>
      <c r="D77" t="s">
        <v>496</v>
      </c>
      <c r="E77" t="s">
        <v>1081</v>
      </c>
      <c r="F77" t="s">
        <v>947</v>
      </c>
      <c r="G77" t="s">
        <v>1082</v>
      </c>
      <c r="H77" t="s">
        <v>1488</v>
      </c>
      <c r="I77" t="s">
        <v>1499</v>
      </c>
      <c r="J77" s="41">
        <v>0</v>
      </c>
      <c r="K77" s="41">
        <v>184.6</v>
      </c>
      <c r="L77" s="41">
        <v>0</v>
      </c>
      <c r="M77" s="41">
        <v>184.6</v>
      </c>
      <c r="N77" s="41">
        <v>184.6</v>
      </c>
      <c r="O77" s="41">
        <v>184.6</v>
      </c>
      <c r="P77" t="s">
        <v>1372</v>
      </c>
      <c r="Q77" t="s">
        <v>1498</v>
      </c>
      <c r="R77" t="s">
        <v>1166</v>
      </c>
      <c r="S77" t="s">
        <v>1193</v>
      </c>
      <c r="T77" t="s">
        <v>1489</v>
      </c>
    </row>
    <row r="78" spans="1:20" x14ac:dyDescent="0.3">
      <c r="A78" t="s">
        <v>553</v>
      </c>
      <c r="B78" t="s">
        <v>1373</v>
      </c>
      <c r="C78" t="s">
        <v>974</v>
      </c>
      <c r="D78" t="s">
        <v>496</v>
      </c>
      <c r="E78" t="s">
        <v>1081</v>
      </c>
      <c r="F78" t="s">
        <v>947</v>
      </c>
      <c r="G78" t="s">
        <v>1082</v>
      </c>
      <c r="H78" t="s">
        <v>1488</v>
      </c>
      <c r="I78" t="s">
        <v>1501</v>
      </c>
      <c r="J78" s="41">
        <v>0</v>
      </c>
      <c r="K78" s="41">
        <v>80.39</v>
      </c>
      <c r="L78" s="41">
        <v>0</v>
      </c>
      <c r="M78" s="41">
        <v>80.39</v>
      </c>
      <c r="N78" s="41">
        <v>80.39</v>
      </c>
      <c r="O78" s="41">
        <v>80.39</v>
      </c>
      <c r="P78" t="s">
        <v>1372</v>
      </c>
      <c r="Q78" t="s">
        <v>1500</v>
      </c>
      <c r="R78" t="s">
        <v>1166</v>
      </c>
      <c r="S78" t="s">
        <v>1193</v>
      </c>
      <c r="T78" t="s">
        <v>1489</v>
      </c>
    </row>
    <row r="79" spans="1:20" x14ac:dyDescent="0.3">
      <c r="A79" t="s">
        <v>553</v>
      </c>
      <c r="B79" t="s">
        <v>1373</v>
      </c>
      <c r="C79" t="s">
        <v>974</v>
      </c>
      <c r="D79" t="s">
        <v>496</v>
      </c>
      <c r="E79" t="s">
        <v>1081</v>
      </c>
      <c r="F79" t="s">
        <v>947</v>
      </c>
      <c r="G79" t="s">
        <v>1082</v>
      </c>
      <c r="H79" t="s">
        <v>1488</v>
      </c>
      <c r="I79" t="s">
        <v>1503</v>
      </c>
      <c r="J79" s="41">
        <v>0</v>
      </c>
      <c r="K79" s="41">
        <v>34.92</v>
      </c>
      <c r="L79" s="41">
        <v>0</v>
      </c>
      <c r="M79" s="41">
        <v>34.92</v>
      </c>
      <c r="N79" s="41">
        <v>34.92</v>
      </c>
      <c r="O79" s="41">
        <v>34.92</v>
      </c>
      <c r="P79" t="s">
        <v>1372</v>
      </c>
      <c r="Q79" t="s">
        <v>1502</v>
      </c>
      <c r="R79" t="s">
        <v>1166</v>
      </c>
      <c r="S79" t="s">
        <v>1193</v>
      </c>
      <c r="T79" t="s">
        <v>1489</v>
      </c>
    </row>
    <row r="80" spans="1:20" x14ac:dyDescent="0.3">
      <c r="A80" t="s">
        <v>553</v>
      </c>
      <c r="B80" t="s">
        <v>1373</v>
      </c>
      <c r="C80" t="s">
        <v>974</v>
      </c>
      <c r="D80" t="s">
        <v>496</v>
      </c>
      <c r="E80" t="s">
        <v>1081</v>
      </c>
      <c r="F80" t="s">
        <v>947</v>
      </c>
      <c r="G80" t="s">
        <v>1082</v>
      </c>
      <c r="H80" t="s">
        <v>1488</v>
      </c>
      <c r="I80" t="s">
        <v>1505</v>
      </c>
      <c r="J80" s="41">
        <v>177.68</v>
      </c>
      <c r="K80" s="41">
        <v>0</v>
      </c>
      <c r="L80" s="41">
        <v>0</v>
      </c>
      <c r="M80" s="41">
        <v>177.68</v>
      </c>
      <c r="N80" s="41">
        <v>177.68</v>
      </c>
      <c r="O80" s="41">
        <v>0</v>
      </c>
      <c r="P80" t="s">
        <v>1372</v>
      </c>
      <c r="Q80" t="s">
        <v>1504</v>
      </c>
      <c r="R80" t="s">
        <v>1166</v>
      </c>
      <c r="S80" t="s">
        <v>1193</v>
      </c>
      <c r="T80" t="s">
        <v>1489</v>
      </c>
    </row>
    <row r="81" spans="1:20" x14ac:dyDescent="0.3">
      <c r="A81" t="s">
        <v>553</v>
      </c>
      <c r="B81" t="s">
        <v>1373</v>
      </c>
      <c r="C81" t="s">
        <v>974</v>
      </c>
      <c r="D81" t="s">
        <v>496</v>
      </c>
      <c r="E81" t="s">
        <v>1081</v>
      </c>
      <c r="F81" t="s">
        <v>947</v>
      </c>
      <c r="G81" t="s">
        <v>1082</v>
      </c>
      <c r="H81" t="s">
        <v>1488</v>
      </c>
      <c r="I81" t="s">
        <v>1507</v>
      </c>
      <c r="J81" s="41">
        <v>248</v>
      </c>
      <c r="K81" s="41">
        <v>0</v>
      </c>
      <c r="L81" s="41">
        <v>0</v>
      </c>
      <c r="M81" s="41">
        <v>248</v>
      </c>
      <c r="N81" s="41">
        <v>248</v>
      </c>
      <c r="O81" s="41">
        <v>0</v>
      </c>
      <c r="P81" t="s">
        <v>1372</v>
      </c>
      <c r="Q81" t="s">
        <v>1506</v>
      </c>
      <c r="R81" t="s">
        <v>1166</v>
      </c>
      <c r="S81" t="s">
        <v>1193</v>
      </c>
      <c r="T81" t="s">
        <v>1489</v>
      </c>
    </row>
    <row r="82" spans="1:20" x14ac:dyDescent="0.3">
      <c r="A82" t="s">
        <v>553</v>
      </c>
      <c r="B82" t="s">
        <v>1373</v>
      </c>
      <c r="C82" t="s">
        <v>974</v>
      </c>
      <c r="D82" t="s">
        <v>496</v>
      </c>
      <c r="E82" t="s">
        <v>1081</v>
      </c>
      <c r="F82" t="s">
        <v>947</v>
      </c>
      <c r="G82" t="s">
        <v>1082</v>
      </c>
      <c r="H82" t="s">
        <v>1488</v>
      </c>
      <c r="I82" t="s">
        <v>1509</v>
      </c>
      <c r="J82" s="41">
        <v>30.09</v>
      </c>
      <c r="K82" s="41">
        <v>0</v>
      </c>
      <c r="L82" s="41">
        <v>0</v>
      </c>
      <c r="M82" s="41">
        <v>30.09</v>
      </c>
      <c r="N82" s="41">
        <v>30.09</v>
      </c>
      <c r="O82" s="41">
        <v>0</v>
      </c>
      <c r="P82" t="s">
        <v>1372</v>
      </c>
      <c r="Q82" t="s">
        <v>1508</v>
      </c>
      <c r="R82" t="s">
        <v>1166</v>
      </c>
      <c r="S82" t="s">
        <v>1193</v>
      </c>
      <c r="T82" t="s">
        <v>1489</v>
      </c>
    </row>
    <row r="83" spans="1:20" x14ac:dyDescent="0.3">
      <c r="A83" t="s">
        <v>553</v>
      </c>
      <c r="B83" t="s">
        <v>1373</v>
      </c>
      <c r="C83" t="s">
        <v>974</v>
      </c>
      <c r="D83" t="s">
        <v>496</v>
      </c>
      <c r="E83" t="s">
        <v>1081</v>
      </c>
      <c r="F83" t="s">
        <v>947</v>
      </c>
      <c r="G83" t="s">
        <v>1082</v>
      </c>
      <c r="H83" t="s">
        <v>1488</v>
      </c>
      <c r="I83" t="s">
        <v>1511</v>
      </c>
      <c r="J83" s="41">
        <v>0</v>
      </c>
      <c r="K83" s="41">
        <v>182.88</v>
      </c>
      <c r="L83" s="41">
        <v>0</v>
      </c>
      <c r="M83" s="41">
        <v>182.88</v>
      </c>
      <c r="N83" s="41">
        <v>182.88</v>
      </c>
      <c r="O83" s="41">
        <v>182.88</v>
      </c>
      <c r="P83" t="s">
        <v>1372</v>
      </c>
      <c r="Q83" t="s">
        <v>1510</v>
      </c>
      <c r="R83" t="s">
        <v>1166</v>
      </c>
      <c r="S83" t="s">
        <v>1193</v>
      </c>
      <c r="T83" t="s">
        <v>1489</v>
      </c>
    </row>
    <row r="84" spans="1:20" x14ac:dyDescent="0.3">
      <c r="A84" t="s">
        <v>553</v>
      </c>
      <c r="B84" t="s">
        <v>1373</v>
      </c>
      <c r="C84" t="s">
        <v>974</v>
      </c>
      <c r="D84" t="s">
        <v>496</v>
      </c>
      <c r="E84" t="s">
        <v>1081</v>
      </c>
      <c r="F84" t="s">
        <v>947</v>
      </c>
      <c r="G84" t="s">
        <v>1082</v>
      </c>
      <c r="H84" t="s">
        <v>1488</v>
      </c>
      <c r="I84" t="s">
        <v>1513</v>
      </c>
      <c r="J84" s="41">
        <v>7.03</v>
      </c>
      <c r="K84" s="41">
        <v>0</v>
      </c>
      <c r="L84" s="41">
        <v>0</v>
      </c>
      <c r="M84" s="41">
        <v>7.03</v>
      </c>
      <c r="N84" s="41">
        <v>7.03</v>
      </c>
      <c r="O84" s="41">
        <v>0</v>
      </c>
      <c r="P84" t="s">
        <v>1372</v>
      </c>
      <c r="Q84" t="s">
        <v>1512</v>
      </c>
      <c r="R84" t="s">
        <v>1166</v>
      </c>
      <c r="S84" t="s">
        <v>1193</v>
      </c>
      <c r="T84" t="s">
        <v>1489</v>
      </c>
    </row>
    <row r="85" spans="1:20" x14ac:dyDescent="0.3">
      <c r="A85" t="s">
        <v>553</v>
      </c>
      <c r="B85" t="s">
        <v>1373</v>
      </c>
      <c r="C85" t="s">
        <v>974</v>
      </c>
      <c r="D85" t="s">
        <v>496</v>
      </c>
      <c r="E85" t="s">
        <v>1081</v>
      </c>
      <c r="F85" t="s">
        <v>947</v>
      </c>
      <c r="G85" t="s">
        <v>1082</v>
      </c>
      <c r="H85" t="s">
        <v>1488</v>
      </c>
      <c r="I85" t="s">
        <v>1515</v>
      </c>
      <c r="J85" s="41">
        <v>0</v>
      </c>
      <c r="K85" s="41">
        <v>127.26</v>
      </c>
      <c r="L85" s="41">
        <v>0</v>
      </c>
      <c r="M85" s="41">
        <v>127.26</v>
      </c>
      <c r="N85" s="41">
        <v>127.26</v>
      </c>
      <c r="O85" s="41">
        <v>127.26</v>
      </c>
      <c r="P85" t="s">
        <v>1372</v>
      </c>
      <c r="Q85" t="s">
        <v>1514</v>
      </c>
      <c r="R85" t="s">
        <v>1166</v>
      </c>
      <c r="S85" t="s">
        <v>1193</v>
      </c>
      <c r="T85" t="s">
        <v>1489</v>
      </c>
    </row>
    <row r="86" spans="1:20" x14ac:dyDescent="0.3">
      <c r="A86" t="s">
        <v>553</v>
      </c>
      <c r="B86" t="s">
        <v>1373</v>
      </c>
      <c r="C86" t="s">
        <v>974</v>
      </c>
      <c r="D86" t="s">
        <v>496</v>
      </c>
      <c r="E86" t="s">
        <v>1081</v>
      </c>
      <c r="F86" t="s">
        <v>947</v>
      </c>
      <c r="G86" t="s">
        <v>1082</v>
      </c>
      <c r="H86" t="s">
        <v>1488</v>
      </c>
      <c r="I86" t="s">
        <v>1517</v>
      </c>
      <c r="J86" s="41">
        <v>0</v>
      </c>
      <c r="K86" s="41">
        <v>27.93</v>
      </c>
      <c r="L86" s="41">
        <v>0</v>
      </c>
      <c r="M86" s="41">
        <v>27.93</v>
      </c>
      <c r="N86" s="41">
        <v>27.93</v>
      </c>
      <c r="O86" s="41">
        <v>27.93</v>
      </c>
      <c r="P86" t="s">
        <v>1372</v>
      </c>
      <c r="Q86" t="s">
        <v>1516</v>
      </c>
      <c r="R86" t="s">
        <v>1166</v>
      </c>
      <c r="S86" t="s">
        <v>1193</v>
      </c>
      <c r="T86" t="s">
        <v>1489</v>
      </c>
    </row>
    <row r="87" spans="1:20" x14ac:dyDescent="0.3">
      <c r="A87" t="s">
        <v>553</v>
      </c>
      <c r="B87" t="s">
        <v>1373</v>
      </c>
      <c r="C87" t="s">
        <v>974</v>
      </c>
      <c r="D87" t="s">
        <v>496</v>
      </c>
      <c r="E87" t="s">
        <v>1081</v>
      </c>
      <c r="F87" t="s">
        <v>947</v>
      </c>
      <c r="G87" t="s">
        <v>1082</v>
      </c>
      <c r="H87" t="s">
        <v>1488</v>
      </c>
      <c r="I87" t="s">
        <v>1519</v>
      </c>
      <c r="J87" s="41">
        <v>72.540000000000006</v>
      </c>
      <c r="K87" s="41">
        <v>0</v>
      </c>
      <c r="L87" s="41">
        <v>0</v>
      </c>
      <c r="M87" s="41">
        <v>72.540000000000006</v>
      </c>
      <c r="N87" s="41">
        <v>72.540000000000006</v>
      </c>
      <c r="O87" s="41">
        <v>0</v>
      </c>
      <c r="P87" t="s">
        <v>1372</v>
      </c>
      <c r="Q87" t="s">
        <v>1518</v>
      </c>
      <c r="R87" t="s">
        <v>1166</v>
      </c>
      <c r="S87" t="s">
        <v>1193</v>
      </c>
      <c r="T87" t="s">
        <v>1489</v>
      </c>
    </row>
    <row r="88" spans="1:20" x14ac:dyDescent="0.3">
      <c r="A88" t="s">
        <v>553</v>
      </c>
      <c r="B88" t="s">
        <v>1373</v>
      </c>
      <c r="C88" t="s">
        <v>974</v>
      </c>
      <c r="D88" t="s">
        <v>496</v>
      </c>
      <c r="E88" t="s">
        <v>1083</v>
      </c>
      <c r="F88" t="s">
        <v>947</v>
      </c>
      <c r="G88" t="s">
        <v>1084</v>
      </c>
      <c r="H88" t="s">
        <v>1524</v>
      </c>
      <c r="I88" t="s">
        <v>1522</v>
      </c>
      <c r="J88" s="41">
        <v>0</v>
      </c>
      <c r="K88" s="41">
        <v>10</v>
      </c>
      <c r="L88" s="41">
        <v>0</v>
      </c>
      <c r="M88" s="41">
        <v>10</v>
      </c>
      <c r="N88" s="41">
        <v>10</v>
      </c>
      <c r="O88" s="41">
        <v>10</v>
      </c>
      <c r="P88" t="s">
        <v>1372</v>
      </c>
      <c r="Q88" t="s">
        <v>1520</v>
      </c>
      <c r="R88" t="s">
        <v>1166</v>
      </c>
      <c r="S88" t="s">
        <v>1167</v>
      </c>
      <c r="T88" t="s">
        <v>1524</v>
      </c>
    </row>
    <row r="89" spans="1:20" x14ac:dyDescent="0.3">
      <c r="A89" t="s">
        <v>553</v>
      </c>
      <c r="B89" t="s">
        <v>1373</v>
      </c>
      <c r="C89" t="s">
        <v>974</v>
      </c>
      <c r="D89" t="s">
        <v>496</v>
      </c>
      <c r="E89" t="s">
        <v>1083</v>
      </c>
      <c r="F89" t="s">
        <v>947</v>
      </c>
      <c r="G89" t="s">
        <v>1084</v>
      </c>
      <c r="H89" t="s">
        <v>1524</v>
      </c>
      <c r="I89" t="s">
        <v>1526</v>
      </c>
      <c r="J89" s="41">
        <v>0</v>
      </c>
      <c r="K89" s="41">
        <v>12.75</v>
      </c>
      <c r="L89" s="41">
        <v>0</v>
      </c>
      <c r="M89" s="41">
        <v>12.75</v>
      </c>
      <c r="N89" s="41">
        <v>12.75</v>
      </c>
      <c r="O89" s="41">
        <v>12.75</v>
      </c>
      <c r="P89" t="s">
        <v>1372</v>
      </c>
      <c r="Q89" t="s">
        <v>1525</v>
      </c>
      <c r="R89" t="s">
        <v>1166</v>
      </c>
      <c r="S89" t="s">
        <v>1167</v>
      </c>
      <c r="T89" t="s">
        <v>1524</v>
      </c>
    </row>
    <row r="90" spans="1:20" x14ac:dyDescent="0.3">
      <c r="A90" t="s">
        <v>553</v>
      </c>
      <c r="B90" t="s">
        <v>1373</v>
      </c>
      <c r="C90" t="s">
        <v>974</v>
      </c>
      <c r="D90" t="s">
        <v>496</v>
      </c>
      <c r="E90" t="s">
        <v>1062</v>
      </c>
      <c r="F90" t="s">
        <v>947</v>
      </c>
      <c r="G90" t="s">
        <v>1063</v>
      </c>
      <c r="H90" t="s">
        <v>1531</v>
      </c>
      <c r="I90" t="s">
        <v>1529</v>
      </c>
      <c r="J90" s="41">
        <v>2557.46</v>
      </c>
      <c r="K90" s="41">
        <v>0</v>
      </c>
      <c r="L90" s="41">
        <v>0</v>
      </c>
      <c r="M90" s="41">
        <v>2557.46</v>
      </c>
      <c r="N90" s="41">
        <v>2557.46</v>
      </c>
      <c r="O90" s="41">
        <v>0</v>
      </c>
      <c r="P90" t="s">
        <v>1372</v>
      </c>
      <c r="Q90" t="s">
        <v>1527</v>
      </c>
      <c r="R90" t="s">
        <v>1166</v>
      </c>
      <c r="S90" t="s">
        <v>1167</v>
      </c>
      <c r="T90" t="s">
        <v>1532</v>
      </c>
    </row>
    <row r="91" spans="1:20" x14ac:dyDescent="0.3">
      <c r="A91" t="s">
        <v>553</v>
      </c>
      <c r="B91" t="s">
        <v>1373</v>
      </c>
      <c r="C91" t="s">
        <v>974</v>
      </c>
      <c r="D91" t="s">
        <v>496</v>
      </c>
      <c r="E91" t="s">
        <v>1062</v>
      </c>
      <c r="F91" t="s">
        <v>947</v>
      </c>
      <c r="G91" t="s">
        <v>1063</v>
      </c>
      <c r="H91" t="s">
        <v>1531</v>
      </c>
      <c r="I91" t="s">
        <v>1529</v>
      </c>
      <c r="J91" s="41">
        <v>1500</v>
      </c>
      <c r="K91" s="41">
        <v>0</v>
      </c>
      <c r="L91" s="41">
        <v>0</v>
      </c>
      <c r="M91" s="41">
        <v>1500</v>
      </c>
      <c r="N91" s="41">
        <v>1500</v>
      </c>
      <c r="O91" s="41">
        <v>0</v>
      </c>
      <c r="P91" t="s">
        <v>1372</v>
      </c>
      <c r="Q91" t="s">
        <v>1533</v>
      </c>
      <c r="R91" t="s">
        <v>1166</v>
      </c>
      <c r="S91" t="s">
        <v>1167</v>
      </c>
      <c r="T91" t="s">
        <v>1532</v>
      </c>
    </row>
    <row r="92" spans="1:20" x14ac:dyDescent="0.3">
      <c r="A92" t="s">
        <v>553</v>
      </c>
      <c r="B92" t="s">
        <v>1373</v>
      </c>
      <c r="C92" t="s">
        <v>974</v>
      </c>
      <c r="D92" t="s">
        <v>496</v>
      </c>
      <c r="E92" t="s">
        <v>1097</v>
      </c>
      <c r="F92" t="s">
        <v>948</v>
      </c>
      <c r="G92" t="s">
        <v>1098</v>
      </c>
      <c r="H92" t="s">
        <v>1340</v>
      </c>
      <c r="I92" t="s">
        <v>1535</v>
      </c>
      <c r="J92" s="41">
        <v>400</v>
      </c>
      <c r="K92" s="41">
        <v>0</v>
      </c>
      <c r="L92" s="41">
        <v>0</v>
      </c>
      <c r="M92" s="41">
        <v>400</v>
      </c>
      <c r="N92" s="41">
        <v>400</v>
      </c>
      <c r="O92" s="41">
        <v>0</v>
      </c>
      <c r="P92" t="s">
        <v>1372</v>
      </c>
      <c r="Q92" t="s">
        <v>1534</v>
      </c>
      <c r="R92" t="s">
        <v>1166</v>
      </c>
      <c r="S92" t="s">
        <v>1167</v>
      </c>
      <c r="T92" t="s">
        <v>1341</v>
      </c>
    </row>
    <row r="93" spans="1:20" x14ac:dyDescent="0.3">
      <c r="A93" t="s">
        <v>553</v>
      </c>
      <c r="B93" t="s">
        <v>1373</v>
      </c>
      <c r="C93" t="s">
        <v>974</v>
      </c>
      <c r="D93" t="s">
        <v>496</v>
      </c>
      <c r="E93" t="s">
        <v>1099</v>
      </c>
      <c r="F93" t="s">
        <v>948</v>
      </c>
      <c r="G93" t="s">
        <v>1100</v>
      </c>
      <c r="H93" t="s">
        <v>576</v>
      </c>
      <c r="I93" t="s">
        <v>1537</v>
      </c>
      <c r="J93" s="41">
        <v>648</v>
      </c>
      <c r="K93" s="41">
        <v>0</v>
      </c>
      <c r="L93" s="41">
        <v>0</v>
      </c>
      <c r="M93" s="41">
        <v>648</v>
      </c>
      <c r="N93" s="41">
        <v>648</v>
      </c>
      <c r="O93" s="41">
        <v>0</v>
      </c>
      <c r="P93" t="s">
        <v>1372</v>
      </c>
      <c r="Q93" t="s">
        <v>1536</v>
      </c>
      <c r="R93" t="s">
        <v>1192</v>
      </c>
      <c r="S93" t="s">
        <v>1193</v>
      </c>
      <c r="T93" t="s">
        <v>1539</v>
      </c>
    </row>
    <row r="94" spans="1:20" x14ac:dyDescent="0.3">
      <c r="A94" t="s">
        <v>553</v>
      </c>
      <c r="B94" t="s">
        <v>1373</v>
      </c>
      <c r="C94" t="s">
        <v>974</v>
      </c>
      <c r="D94" t="s">
        <v>496</v>
      </c>
      <c r="E94" t="s">
        <v>1123</v>
      </c>
      <c r="F94" t="s">
        <v>717</v>
      </c>
      <c r="G94" t="s">
        <v>717</v>
      </c>
      <c r="H94" t="s">
        <v>1261</v>
      </c>
      <c r="I94" t="s">
        <v>1541</v>
      </c>
      <c r="J94" s="41">
        <v>0</v>
      </c>
      <c r="K94" s="41">
        <v>0.34</v>
      </c>
      <c r="L94" s="41">
        <v>0</v>
      </c>
      <c r="M94" s="41">
        <v>0.34</v>
      </c>
      <c r="N94" s="41">
        <v>0.34</v>
      </c>
      <c r="O94" s="41">
        <v>0.34</v>
      </c>
      <c r="P94" t="s">
        <v>1372</v>
      </c>
      <c r="Q94" t="s">
        <v>1540</v>
      </c>
      <c r="R94" t="s">
        <v>1166</v>
      </c>
      <c r="S94" t="s">
        <v>1167</v>
      </c>
      <c r="T94" t="s">
        <v>1262</v>
      </c>
    </row>
    <row r="95" spans="1:20" x14ac:dyDescent="0.3">
      <c r="A95" t="s">
        <v>553</v>
      </c>
      <c r="B95" t="s">
        <v>1373</v>
      </c>
      <c r="C95" t="s">
        <v>974</v>
      </c>
      <c r="D95" t="s">
        <v>496</v>
      </c>
      <c r="E95" t="s">
        <v>1123</v>
      </c>
      <c r="F95" t="s">
        <v>717</v>
      </c>
      <c r="G95" t="s">
        <v>717</v>
      </c>
      <c r="H95" t="s">
        <v>1261</v>
      </c>
      <c r="I95" t="s">
        <v>1406</v>
      </c>
      <c r="J95" s="41">
        <v>0</v>
      </c>
      <c r="K95" s="41">
        <v>15</v>
      </c>
      <c r="L95" s="41">
        <v>0</v>
      </c>
      <c r="M95" s="41">
        <v>15</v>
      </c>
      <c r="N95" s="41">
        <v>15</v>
      </c>
      <c r="O95" s="41">
        <v>15</v>
      </c>
      <c r="P95" t="s">
        <v>1372</v>
      </c>
      <c r="Q95" t="s">
        <v>1542</v>
      </c>
      <c r="R95" t="s">
        <v>1166</v>
      </c>
      <c r="S95" t="s">
        <v>1167</v>
      </c>
      <c r="T95" t="s">
        <v>1262</v>
      </c>
    </row>
    <row r="96" spans="1:20" x14ac:dyDescent="0.3">
      <c r="A96" t="s">
        <v>553</v>
      </c>
      <c r="B96" t="s">
        <v>1373</v>
      </c>
      <c r="C96" t="s">
        <v>974</v>
      </c>
      <c r="D96" t="s">
        <v>496</v>
      </c>
      <c r="E96" t="s">
        <v>1123</v>
      </c>
      <c r="F96" t="s">
        <v>717</v>
      </c>
      <c r="G96" t="s">
        <v>717</v>
      </c>
      <c r="H96" t="s">
        <v>1547</v>
      </c>
      <c r="I96" t="s">
        <v>1545</v>
      </c>
      <c r="J96" s="41">
        <v>10.44</v>
      </c>
      <c r="K96" s="41">
        <v>7.94</v>
      </c>
      <c r="L96" s="41">
        <v>0</v>
      </c>
      <c r="M96" s="41">
        <v>18.38</v>
      </c>
      <c r="N96" s="41">
        <v>18.38</v>
      </c>
      <c r="O96" s="41">
        <v>7.94</v>
      </c>
      <c r="P96" t="s">
        <v>1372</v>
      </c>
      <c r="Q96" t="s">
        <v>1543</v>
      </c>
      <c r="R96" t="s">
        <v>1166</v>
      </c>
      <c r="S96" t="s">
        <v>1167</v>
      </c>
      <c r="T96" t="s">
        <v>1548</v>
      </c>
    </row>
    <row r="97" spans="1:20" x14ac:dyDescent="0.3">
      <c r="A97" t="s">
        <v>553</v>
      </c>
      <c r="B97" t="s">
        <v>1373</v>
      </c>
      <c r="C97" t="s">
        <v>974</v>
      </c>
      <c r="D97" t="s">
        <v>496</v>
      </c>
      <c r="E97" t="s">
        <v>1123</v>
      </c>
      <c r="F97" t="s">
        <v>717</v>
      </c>
      <c r="G97" t="s">
        <v>717</v>
      </c>
      <c r="H97" t="s">
        <v>1547</v>
      </c>
      <c r="I97" t="s">
        <v>1382</v>
      </c>
      <c r="J97" s="41">
        <v>3.11</v>
      </c>
      <c r="K97" s="41">
        <v>0</v>
      </c>
      <c r="L97" s="41">
        <v>0</v>
      </c>
      <c r="M97" s="41">
        <v>3.11</v>
      </c>
      <c r="N97" s="41">
        <v>3.11</v>
      </c>
      <c r="O97" s="41">
        <v>0</v>
      </c>
      <c r="P97" t="s">
        <v>1372</v>
      </c>
      <c r="Q97" t="s">
        <v>1549</v>
      </c>
      <c r="R97" t="s">
        <v>1166</v>
      </c>
      <c r="S97" t="s">
        <v>1167</v>
      </c>
      <c r="T97" t="s">
        <v>1548</v>
      </c>
    </row>
    <row r="98" spans="1:20" x14ac:dyDescent="0.3">
      <c r="A98" t="s">
        <v>553</v>
      </c>
      <c r="B98" t="s">
        <v>1373</v>
      </c>
      <c r="C98" t="s">
        <v>974</v>
      </c>
      <c r="D98" t="s">
        <v>496</v>
      </c>
      <c r="E98" t="s">
        <v>1123</v>
      </c>
      <c r="F98" t="s">
        <v>717</v>
      </c>
      <c r="G98" t="s">
        <v>717</v>
      </c>
      <c r="H98" t="s">
        <v>1547</v>
      </c>
      <c r="I98" t="s">
        <v>1551</v>
      </c>
      <c r="J98" s="41">
        <v>152.85</v>
      </c>
      <c r="K98" s="41">
        <v>0</v>
      </c>
      <c r="L98" s="41">
        <v>0</v>
      </c>
      <c r="M98" s="41">
        <v>152.85</v>
      </c>
      <c r="N98" s="41">
        <v>152.85</v>
      </c>
      <c r="O98" s="41">
        <v>0</v>
      </c>
      <c r="P98" t="s">
        <v>1372</v>
      </c>
      <c r="Q98" t="s">
        <v>1550</v>
      </c>
      <c r="R98" t="s">
        <v>1166</v>
      </c>
      <c r="S98" t="s">
        <v>1167</v>
      </c>
      <c r="T98" t="s">
        <v>1548</v>
      </c>
    </row>
    <row r="99" spans="1:20" x14ac:dyDescent="0.3">
      <c r="A99" t="s">
        <v>553</v>
      </c>
      <c r="B99" t="s">
        <v>1373</v>
      </c>
      <c r="C99" t="s">
        <v>974</v>
      </c>
      <c r="D99" t="s">
        <v>496</v>
      </c>
      <c r="E99" t="s">
        <v>1123</v>
      </c>
      <c r="F99" t="s">
        <v>717</v>
      </c>
      <c r="G99" t="s">
        <v>717</v>
      </c>
      <c r="H99" t="s">
        <v>1547</v>
      </c>
      <c r="I99" t="s">
        <v>1406</v>
      </c>
      <c r="J99" s="41">
        <v>0.9</v>
      </c>
      <c r="K99" s="41">
        <v>0</v>
      </c>
      <c r="L99" s="41">
        <v>0</v>
      </c>
      <c r="M99" s="41">
        <v>0.9</v>
      </c>
      <c r="N99" s="41">
        <v>0.9</v>
      </c>
      <c r="O99" s="41">
        <v>0</v>
      </c>
      <c r="P99" t="s">
        <v>1372</v>
      </c>
      <c r="Q99" t="s">
        <v>1552</v>
      </c>
      <c r="R99" t="s">
        <v>1166</v>
      </c>
      <c r="S99" t="s">
        <v>1167</v>
      </c>
      <c r="T99" t="s">
        <v>1548</v>
      </c>
    </row>
    <row r="100" spans="1:20" x14ac:dyDescent="0.3">
      <c r="A100" t="s">
        <v>549</v>
      </c>
      <c r="B100" t="s">
        <v>658</v>
      </c>
      <c r="C100" t="s">
        <v>976</v>
      </c>
      <c r="D100" t="s">
        <v>496</v>
      </c>
      <c r="E100" t="s">
        <v>1060</v>
      </c>
      <c r="F100" t="s">
        <v>947</v>
      </c>
      <c r="G100" t="s">
        <v>1061</v>
      </c>
      <c r="H100" t="s">
        <v>1200</v>
      </c>
      <c r="I100" t="s">
        <v>1197</v>
      </c>
      <c r="J100" s="41">
        <v>0</v>
      </c>
      <c r="K100" s="41">
        <v>1200</v>
      </c>
      <c r="L100" s="41">
        <v>0</v>
      </c>
      <c r="M100" s="41">
        <v>1200</v>
      </c>
      <c r="N100" s="41">
        <v>1200</v>
      </c>
      <c r="O100" s="41">
        <v>1200</v>
      </c>
      <c r="P100" t="s">
        <v>1553</v>
      </c>
      <c r="Q100" t="s">
        <v>1195</v>
      </c>
      <c r="R100" t="s">
        <v>1166</v>
      </c>
      <c r="S100" t="s">
        <v>1167</v>
      </c>
      <c r="T100" t="s">
        <v>1201</v>
      </c>
    </row>
    <row r="101" spans="1:20" x14ac:dyDescent="0.3">
      <c r="A101" t="s">
        <v>549</v>
      </c>
      <c r="B101" t="s">
        <v>658</v>
      </c>
      <c r="C101" t="s">
        <v>976</v>
      </c>
      <c r="D101" t="s">
        <v>496</v>
      </c>
      <c r="E101" t="s">
        <v>1075</v>
      </c>
      <c r="F101" t="s">
        <v>947</v>
      </c>
      <c r="G101" t="s">
        <v>1076</v>
      </c>
      <c r="H101" t="s">
        <v>1205</v>
      </c>
      <c r="J101" s="41">
        <v>0</v>
      </c>
      <c r="K101" s="41">
        <v>300</v>
      </c>
      <c r="L101" s="41">
        <v>0</v>
      </c>
      <c r="M101" s="41">
        <v>300</v>
      </c>
      <c r="N101" s="41">
        <v>300</v>
      </c>
      <c r="O101" s="41">
        <v>300</v>
      </c>
      <c r="P101" t="s">
        <v>1553</v>
      </c>
      <c r="Q101" t="s">
        <v>1202</v>
      </c>
      <c r="R101" t="s">
        <v>1166</v>
      </c>
      <c r="S101" t="s">
        <v>1167</v>
      </c>
      <c r="T101" t="s">
        <v>1206</v>
      </c>
    </row>
    <row r="102" spans="1:20" x14ac:dyDescent="0.3">
      <c r="A102" t="s">
        <v>549</v>
      </c>
      <c r="B102" t="s">
        <v>658</v>
      </c>
      <c r="C102" t="s">
        <v>976</v>
      </c>
      <c r="D102" t="s">
        <v>496</v>
      </c>
      <c r="E102" t="s">
        <v>1060</v>
      </c>
      <c r="F102" t="s">
        <v>947</v>
      </c>
      <c r="G102" t="s">
        <v>1061</v>
      </c>
      <c r="H102" t="s">
        <v>1210</v>
      </c>
      <c r="I102" t="s">
        <v>1197</v>
      </c>
      <c r="J102" s="41">
        <v>0</v>
      </c>
      <c r="K102" s="41">
        <v>400</v>
      </c>
      <c r="L102" s="41">
        <v>0</v>
      </c>
      <c r="M102" s="41">
        <v>400</v>
      </c>
      <c r="N102" s="41">
        <v>400</v>
      </c>
      <c r="O102" s="41">
        <v>400</v>
      </c>
      <c r="P102" t="s">
        <v>1553</v>
      </c>
      <c r="Q102" t="s">
        <v>1207</v>
      </c>
      <c r="R102" t="s">
        <v>1166</v>
      </c>
      <c r="S102" t="s">
        <v>1167</v>
      </c>
      <c r="T102" t="s">
        <v>1211</v>
      </c>
    </row>
    <row r="103" spans="1:20" x14ac:dyDescent="0.3">
      <c r="A103" t="s">
        <v>549</v>
      </c>
      <c r="B103" t="s">
        <v>658</v>
      </c>
      <c r="C103" t="s">
        <v>976</v>
      </c>
      <c r="D103" t="s">
        <v>496</v>
      </c>
      <c r="E103" t="s">
        <v>1064</v>
      </c>
      <c r="F103" t="s">
        <v>947</v>
      </c>
      <c r="G103" t="s">
        <v>1065</v>
      </c>
      <c r="H103" t="s">
        <v>1222</v>
      </c>
      <c r="I103" t="s">
        <v>1220</v>
      </c>
      <c r="J103" s="41">
        <v>0</v>
      </c>
      <c r="K103" s="41">
        <v>240.73</v>
      </c>
      <c r="L103" s="41">
        <v>0</v>
      </c>
      <c r="M103" s="41">
        <v>240.73</v>
      </c>
      <c r="N103" s="41">
        <v>240.73</v>
      </c>
      <c r="O103" s="41">
        <v>240.73</v>
      </c>
      <c r="P103" t="s">
        <v>1553</v>
      </c>
      <c r="Q103" t="s">
        <v>1212</v>
      </c>
      <c r="R103" t="s">
        <v>1166</v>
      </c>
      <c r="S103" t="s">
        <v>1167</v>
      </c>
      <c r="T103" t="s">
        <v>1223</v>
      </c>
    </row>
    <row r="104" spans="1:20" x14ac:dyDescent="0.3">
      <c r="A104" t="s">
        <v>549</v>
      </c>
      <c r="B104" t="s">
        <v>658</v>
      </c>
      <c r="C104" t="s">
        <v>976</v>
      </c>
      <c r="D104" t="s">
        <v>496</v>
      </c>
      <c r="E104" t="s">
        <v>1079</v>
      </c>
      <c r="F104" t="s">
        <v>947</v>
      </c>
      <c r="G104" t="s">
        <v>1080</v>
      </c>
      <c r="H104" t="s">
        <v>1249</v>
      </c>
      <c r="I104" t="s">
        <v>1254</v>
      </c>
      <c r="J104" s="41">
        <v>0</v>
      </c>
      <c r="K104" s="41">
        <v>15</v>
      </c>
      <c r="L104" s="41">
        <v>0</v>
      </c>
      <c r="M104" s="41">
        <v>15</v>
      </c>
      <c r="N104" s="41">
        <v>15</v>
      </c>
      <c r="O104" s="41">
        <v>15</v>
      </c>
      <c r="P104" t="s">
        <v>1553</v>
      </c>
      <c r="Q104" t="s">
        <v>1218</v>
      </c>
      <c r="R104" t="s">
        <v>1166</v>
      </c>
      <c r="S104" t="s">
        <v>1167</v>
      </c>
      <c r="T104" t="s">
        <v>1250</v>
      </c>
    </row>
    <row r="105" spans="1:20" x14ac:dyDescent="0.3">
      <c r="A105" t="s">
        <v>549</v>
      </c>
      <c r="B105" t="s">
        <v>658</v>
      </c>
      <c r="C105" t="s">
        <v>976</v>
      </c>
      <c r="D105" t="s">
        <v>496</v>
      </c>
      <c r="E105" t="s">
        <v>1079</v>
      </c>
      <c r="F105" t="s">
        <v>947</v>
      </c>
      <c r="G105" t="s">
        <v>1080</v>
      </c>
      <c r="H105" t="s">
        <v>1249</v>
      </c>
      <c r="I105" t="s">
        <v>1256</v>
      </c>
      <c r="J105" s="41">
        <v>0</v>
      </c>
      <c r="K105" s="41">
        <v>7</v>
      </c>
      <c r="L105" s="41">
        <v>0</v>
      </c>
      <c r="M105" s="41">
        <v>7</v>
      </c>
      <c r="N105" s="41">
        <v>7</v>
      </c>
      <c r="O105" s="41">
        <v>7</v>
      </c>
      <c r="P105" t="s">
        <v>1553</v>
      </c>
      <c r="Q105" t="s">
        <v>1224</v>
      </c>
      <c r="R105" t="s">
        <v>1166</v>
      </c>
      <c r="S105" t="s">
        <v>1167</v>
      </c>
      <c r="T105" t="s">
        <v>1250</v>
      </c>
    </row>
    <row r="106" spans="1:20" x14ac:dyDescent="0.3">
      <c r="A106" t="s">
        <v>549</v>
      </c>
      <c r="B106" t="s">
        <v>658</v>
      </c>
      <c r="C106" t="s">
        <v>976</v>
      </c>
      <c r="D106" t="s">
        <v>496</v>
      </c>
      <c r="E106" t="s">
        <v>1123</v>
      </c>
      <c r="F106" t="s">
        <v>717</v>
      </c>
      <c r="G106" t="s">
        <v>717</v>
      </c>
      <c r="H106" t="s">
        <v>1261</v>
      </c>
      <c r="I106" t="s">
        <v>1259</v>
      </c>
      <c r="J106" s="41">
        <v>0</v>
      </c>
      <c r="K106" s="41">
        <v>20</v>
      </c>
      <c r="L106" s="41">
        <v>0</v>
      </c>
      <c r="M106" s="41">
        <v>20</v>
      </c>
      <c r="N106" s="41">
        <v>20</v>
      </c>
      <c r="O106" s="41">
        <v>20</v>
      </c>
      <c r="P106" t="s">
        <v>1553</v>
      </c>
      <c r="Q106" t="s">
        <v>1554</v>
      </c>
      <c r="R106" t="s">
        <v>1166</v>
      </c>
      <c r="S106" t="s">
        <v>1167</v>
      </c>
      <c r="T106" t="s">
        <v>1262</v>
      </c>
    </row>
    <row r="107" spans="1:20" x14ac:dyDescent="0.3">
      <c r="A107" t="s">
        <v>549</v>
      </c>
      <c r="B107" t="s">
        <v>1265</v>
      </c>
      <c r="C107" t="s">
        <v>975</v>
      </c>
      <c r="D107" t="s">
        <v>686</v>
      </c>
      <c r="E107" t="s">
        <v>1095</v>
      </c>
      <c r="F107" t="s">
        <v>948</v>
      </c>
      <c r="G107" t="s">
        <v>1096</v>
      </c>
      <c r="H107" t="s">
        <v>1335</v>
      </c>
      <c r="I107" t="s">
        <v>1333</v>
      </c>
      <c r="J107" s="41">
        <v>0</v>
      </c>
      <c r="K107" s="41">
        <v>2127</v>
      </c>
      <c r="L107" s="41">
        <v>0</v>
      </c>
      <c r="M107" s="41">
        <v>2127</v>
      </c>
      <c r="N107" s="41">
        <v>2127</v>
      </c>
      <c r="O107" s="41">
        <v>2127</v>
      </c>
      <c r="P107" t="s">
        <v>1555</v>
      </c>
      <c r="Q107" t="s">
        <v>1307</v>
      </c>
      <c r="R107" t="s">
        <v>1192</v>
      </c>
      <c r="S107" t="s">
        <v>1193</v>
      </c>
      <c r="T107" t="s">
        <v>1336</v>
      </c>
    </row>
    <row r="108" spans="1:20" x14ac:dyDescent="0.3">
      <c r="A108" t="s">
        <v>549</v>
      </c>
      <c r="B108" t="s">
        <v>1265</v>
      </c>
      <c r="C108" t="s">
        <v>975</v>
      </c>
      <c r="D108" t="s">
        <v>686</v>
      </c>
      <c r="E108" t="s">
        <v>1123</v>
      </c>
      <c r="F108" t="s">
        <v>717</v>
      </c>
      <c r="G108" t="s">
        <v>717</v>
      </c>
      <c r="H108" t="s">
        <v>1261</v>
      </c>
      <c r="I108" t="s">
        <v>1258</v>
      </c>
      <c r="J108" s="41">
        <v>0</v>
      </c>
      <c r="K108" s="41">
        <v>11.06</v>
      </c>
      <c r="L108" s="41">
        <v>0</v>
      </c>
      <c r="M108" s="41">
        <v>11.06</v>
      </c>
      <c r="N108" s="41">
        <v>11.06</v>
      </c>
      <c r="O108" s="41">
        <v>11.06</v>
      </c>
      <c r="P108" t="s">
        <v>1555</v>
      </c>
      <c r="Q108" t="s">
        <v>1309</v>
      </c>
      <c r="R108" t="s">
        <v>1166</v>
      </c>
      <c r="S108" t="s">
        <v>1167</v>
      </c>
      <c r="T108" t="s">
        <v>1262</v>
      </c>
    </row>
    <row r="109" spans="1:20" x14ac:dyDescent="0.3">
      <c r="A109" t="s">
        <v>549</v>
      </c>
      <c r="B109" t="s">
        <v>1265</v>
      </c>
      <c r="C109" t="s">
        <v>975</v>
      </c>
      <c r="D109" t="s">
        <v>686</v>
      </c>
      <c r="E109" t="s">
        <v>1123</v>
      </c>
      <c r="F109" t="s">
        <v>717</v>
      </c>
      <c r="G109" t="s">
        <v>717</v>
      </c>
      <c r="H109" t="s">
        <v>1261</v>
      </c>
      <c r="I109" t="s">
        <v>573</v>
      </c>
      <c r="J109" s="41">
        <v>0</v>
      </c>
      <c r="K109" s="41">
        <v>1.65</v>
      </c>
      <c r="L109" s="41">
        <v>0</v>
      </c>
      <c r="M109" s="41">
        <v>1.65</v>
      </c>
      <c r="N109" s="41">
        <v>1.65</v>
      </c>
      <c r="O109" s="41">
        <v>1.65</v>
      </c>
      <c r="P109" t="s">
        <v>1555</v>
      </c>
      <c r="Q109" t="s">
        <v>1218</v>
      </c>
      <c r="R109" t="s">
        <v>1166</v>
      </c>
      <c r="S109" t="s">
        <v>1167</v>
      </c>
      <c r="T109" t="s">
        <v>1262</v>
      </c>
    </row>
    <row r="110" spans="1:20" x14ac:dyDescent="0.3">
      <c r="A110" t="s">
        <v>549</v>
      </c>
      <c r="B110" t="s">
        <v>1265</v>
      </c>
      <c r="C110" t="s">
        <v>975</v>
      </c>
      <c r="D110" t="s">
        <v>686</v>
      </c>
      <c r="E110" t="s">
        <v>1123</v>
      </c>
      <c r="F110" t="s">
        <v>717</v>
      </c>
      <c r="G110" t="s">
        <v>717</v>
      </c>
      <c r="H110" t="s">
        <v>1261</v>
      </c>
      <c r="I110" t="s">
        <v>1371</v>
      </c>
      <c r="J110" s="41">
        <v>0</v>
      </c>
      <c r="K110" s="41">
        <v>80</v>
      </c>
      <c r="L110" s="41">
        <v>0</v>
      </c>
      <c r="M110" s="41">
        <v>80</v>
      </c>
      <c r="N110" s="41">
        <v>80</v>
      </c>
      <c r="O110" s="41">
        <v>80</v>
      </c>
      <c r="P110" t="s">
        <v>1555</v>
      </c>
      <c r="Q110" t="s">
        <v>1224</v>
      </c>
      <c r="R110" t="s">
        <v>1166</v>
      </c>
      <c r="S110" t="s">
        <v>1167</v>
      </c>
      <c r="T110" t="s">
        <v>1262</v>
      </c>
    </row>
    <row r="111" spans="1:20" x14ac:dyDescent="0.3">
      <c r="A111" t="s">
        <v>549</v>
      </c>
      <c r="B111" t="s">
        <v>1373</v>
      </c>
      <c r="C111" t="s">
        <v>974</v>
      </c>
      <c r="D111" t="s">
        <v>496</v>
      </c>
      <c r="E111" t="s">
        <v>1048</v>
      </c>
      <c r="F111" t="s">
        <v>1318</v>
      </c>
      <c r="G111" t="s">
        <v>1049</v>
      </c>
      <c r="H111" t="s">
        <v>1319</v>
      </c>
      <c r="I111" t="s">
        <v>1376</v>
      </c>
      <c r="J111" s="41">
        <v>0</v>
      </c>
      <c r="K111" s="41">
        <v>0</v>
      </c>
      <c r="L111" s="41">
        <v>2830.35</v>
      </c>
      <c r="M111" s="41">
        <v>-2830.35</v>
      </c>
      <c r="N111" s="41">
        <v>2830.35</v>
      </c>
      <c r="O111" s="41">
        <v>2830.35</v>
      </c>
      <c r="P111" t="s">
        <v>1558</v>
      </c>
      <c r="Q111" t="s">
        <v>1351</v>
      </c>
      <c r="R111" t="s">
        <v>1166</v>
      </c>
      <c r="S111" t="s">
        <v>1167</v>
      </c>
      <c r="T111" t="s">
        <v>1320</v>
      </c>
    </row>
    <row r="112" spans="1:20" x14ac:dyDescent="0.3">
      <c r="A112" t="s">
        <v>549</v>
      </c>
      <c r="B112" t="s">
        <v>1373</v>
      </c>
      <c r="C112" t="s">
        <v>974</v>
      </c>
      <c r="D112" t="s">
        <v>496</v>
      </c>
      <c r="E112" t="s">
        <v>1048</v>
      </c>
      <c r="F112" t="s">
        <v>1318</v>
      </c>
      <c r="G112" t="s">
        <v>1049</v>
      </c>
      <c r="H112" t="s">
        <v>1319</v>
      </c>
      <c r="I112" t="s">
        <v>1378</v>
      </c>
      <c r="J112" s="41">
        <v>0</v>
      </c>
      <c r="K112" s="41">
        <v>0</v>
      </c>
      <c r="L112" s="41">
        <v>300</v>
      </c>
      <c r="M112" s="41">
        <v>-300</v>
      </c>
      <c r="N112" s="41">
        <v>300</v>
      </c>
      <c r="O112" s="41">
        <v>300</v>
      </c>
      <c r="P112" t="s">
        <v>1558</v>
      </c>
      <c r="Q112" t="s">
        <v>1352</v>
      </c>
      <c r="R112" t="s">
        <v>1166</v>
      </c>
      <c r="S112" t="s">
        <v>1167</v>
      </c>
      <c r="T112" t="s">
        <v>1320</v>
      </c>
    </row>
    <row r="113" spans="1:20" x14ac:dyDescent="0.3">
      <c r="A113" t="s">
        <v>549</v>
      </c>
      <c r="B113" t="s">
        <v>1373</v>
      </c>
      <c r="C113" t="s">
        <v>974</v>
      </c>
      <c r="D113" t="s">
        <v>496</v>
      </c>
      <c r="E113" t="s">
        <v>1048</v>
      </c>
      <c r="F113" t="s">
        <v>1318</v>
      </c>
      <c r="G113" t="s">
        <v>1049</v>
      </c>
      <c r="H113" t="s">
        <v>1319</v>
      </c>
      <c r="I113" t="s">
        <v>1379</v>
      </c>
      <c r="J113" s="41">
        <v>0</v>
      </c>
      <c r="K113" s="41">
        <v>0</v>
      </c>
      <c r="L113" s="41">
        <v>217</v>
      </c>
      <c r="M113" s="41">
        <v>-217</v>
      </c>
      <c r="N113" s="41">
        <v>217</v>
      </c>
      <c r="O113" s="41">
        <v>217</v>
      </c>
      <c r="P113" t="s">
        <v>1558</v>
      </c>
      <c r="Q113" t="s">
        <v>1353</v>
      </c>
      <c r="R113" t="s">
        <v>1166</v>
      </c>
      <c r="S113" t="s">
        <v>1167</v>
      </c>
      <c r="T113" t="s">
        <v>1320</v>
      </c>
    </row>
    <row r="114" spans="1:20" x14ac:dyDescent="0.3">
      <c r="A114" t="s">
        <v>549</v>
      </c>
      <c r="B114" t="s">
        <v>1373</v>
      </c>
      <c r="C114" t="s">
        <v>974</v>
      </c>
      <c r="D114" t="s">
        <v>496</v>
      </c>
      <c r="E114" t="s">
        <v>1048</v>
      </c>
      <c r="F114" t="s">
        <v>1318</v>
      </c>
      <c r="G114" t="s">
        <v>1049</v>
      </c>
      <c r="H114" t="s">
        <v>1319</v>
      </c>
      <c r="I114" t="s">
        <v>1381</v>
      </c>
      <c r="J114" s="41">
        <v>0</v>
      </c>
      <c r="K114" s="41">
        <v>0</v>
      </c>
      <c r="L114" s="41">
        <v>96.45</v>
      </c>
      <c r="M114" s="41">
        <v>-96.45</v>
      </c>
      <c r="N114" s="41">
        <v>96.45</v>
      </c>
      <c r="O114" s="41">
        <v>96.45</v>
      </c>
      <c r="P114" t="s">
        <v>1558</v>
      </c>
      <c r="Q114" t="s">
        <v>1354</v>
      </c>
      <c r="R114" t="s">
        <v>1166</v>
      </c>
      <c r="S114" t="s">
        <v>1167</v>
      </c>
      <c r="T114" t="s">
        <v>1320</v>
      </c>
    </row>
    <row r="115" spans="1:20" x14ac:dyDescent="0.3">
      <c r="A115" t="s">
        <v>549</v>
      </c>
      <c r="B115" t="s">
        <v>1373</v>
      </c>
      <c r="C115" t="s">
        <v>974</v>
      </c>
      <c r="D115" t="s">
        <v>496</v>
      </c>
      <c r="E115" t="s">
        <v>1048</v>
      </c>
      <c r="F115" t="s">
        <v>1318</v>
      </c>
      <c r="G115" t="s">
        <v>1049</v>
      </c>
      <c r="H115" t="s">
        <v>1319</v>
      </c>
      <c r="I115" t="s">
        <v>1382</v>
      </c>
      <c r="J115" s="41">
        <v>0</v>
      </c>
      <c r="K115" s="41">
        <v>0</v>
      </c>
      <c r="L115" s="41">
        <v>55</v>
      </c>
      <c r="M115" s="41">
        <v>-55</v>
      </c>
      <c r="N115" s="41">
        <v>55</v>
      </c>
      <c r="O115" s="41">
        <v>55</v>
      </c>
      <c r="P115" t="s">
        <v>1558</v>
      </c>
      <c r="Q115" t="s">
        <v>1355</v>
      </c>
      <c r="R115" t="s">
        <v>1166</v>
      </c>
      <c r="S115" t="s">
        <v>1167</v>
      </c>
      <c r="T115" t="s">
        <v>1320</v>
      </c>
    </row>
    <row r="116" spans="1:20" x14ac:dyDescent="0.3">
      <c r="A116" t="s">
        <v>549</v>
      </c>
      <c r="B116" t="s">
        <v>1373</v>
      </c>
      <c r="C116" t="s">
        <v>974</v>
      </c>
      <c r="D116" t="s">
        <v>496</v>
      </c>
      <c r="E116" t="s">
        <v>1118</v>
      </c>
      <c r="F116" t="s">
        <v>1324</v>
      </c>
      <c r="G116" t="s">
        <v>1119</v>
      </c>
      <c r="H116" t="s">
        <v>1418</v>
      </c>
      <c r="I116" t="s">
        <v>1378</v>
      </c>
      <c r="J116" s="41">
        <v>0</v>
      </c>
      <c r="K116" s="41">
        <v>0</v>
      </c>
      <c r="L116" s="41">
        <v>83</v>
      </c>
      <c r="M116" s="41">
        <v>-83</v>
      </c>
      <c r="N116" s="41">
        <v>83</v>
      </c>
      <c r="O116" s="41">
        <v>83</v>
      </c>
      <c r="P116" t="s">
        <v>1558</v>
      </c>
      <c r="Q116" t="s">
        <v>1565</v>
      </c>
      <c r="R116" t="s">
        <v>1166</v>
      </c>
      <c r="S116" t="s">
        <v>1167</v>
      </c>
      <c r="T116" t="s">
        <v>1419</v>
      </c>
    </row>
    <row r="117" spans="1:20" x14ac:dyDescent="0.3">
      <c r="A117" t="s">
        <v>549</v>
      </c>
      <c r="B117" t="s">
        <v>1373</v>
      </c>
      <c r="C117" t="s">
        <v>974</v>
      </c>
      <c r="D117" t="s">
        <v>496</v>
      </c>
      <c r="E117" t="s">
        <v>1118</v>
      </c>
      <c r="F117" t="s">
        <v>1324</v>
      </c>
      <c r="G117" t="s">
        <v>1119</v>
      </c>
      <c r="H117" t="s">
        <v>1418</v>
      </c>
      <c r="I117" t="s">
        <v>1406</v>
      </c>
      <c r="J117" s="41">
        <v>0</v>
      </c>
      <c r="K117" s="41">
        <v>0</v>
      </c>
      <c r="L117" s="41">
        <v>41.57</v>
      </c>
      <c r="M117" s="41">
        <v>-41.57</v>
      </c>
      <c r="N117" s="41">
        <v>41.57</v>
      </c>
      <c r="O117" s="41">
        <v>41.57</v>
      </c>
      <c r="P117" t="s">
        <v>1558</v>
      </c>
      <c r="Q117" t="s">
        <v>1566</v>
      </c>
      <c r="R117" t="s">
        <v>1166</v>
      </c>
      <c r="S117" t="s">
        <v>1167</v>
      </c>
      <c r="T117" t="s">
        <v>1419</v>
      </c>
    </row>
    <row r="118" spans="1:20" x14ac:dyDescent="0.3">
      <c r="A118" t="s">
        <v>549</v>
      </c>
      <c r="B118" t="s">
        <v>1373</v>
      </c>
      <c r="C118" t="s">
        <v>974</v>
      </c>
      <c r="D118" t="s">
        <v>496</v>
      </c>
      <c r="E118" t="s">
        <v>1060</v>
      </c>
      <c r="F118" t="s">
        <v>947</v>
      </c>
      <c r="G118" t="s">
        <v>1061</v>
      </c>
      <c r="H118" t="s">
        <v>1200</v>
      </c>
      <c r="I118" t="s">
        <v>1421</v>
      </c>
      <c r="J118" s="41">
        <v>0</v>
      </c>
      <c r="K118" s="41">
        <v>2592.17</v>
      </c>
      <c r="L118" s="41">
        <v>0</v>
      </c>
      <c r="M118" s="41">
        <v>2592.17</v>
      </c>
      <c r="N118" s="41">
        <v>2592.17</v>
      </c>
      <c r="O118" s="41">
        <v>2592.17</v>
      </c>
      <c r="P118" t="s">
        <v>1558</v>
      </c>
      <c r="Q118" t="s">
        <v>1424</v>
      </c>
      <c r="R118" t="s">
        <v>1166</v>
      </c>
      <c r="S118" t="s">
        <v>1167</v>
      </c>
      <c r="T118" t="s">
        <v>1201</v>
      </c>
    </row>
    <row r="119" spans="1:20" x14ac:dyDescent="0.3">
      <c r="A119" t="s">
        <v>549</v>
      </c>
      <c r="B119" t="s">
        <v>1373</v>
      </c>
      <c r="C119" t="s">
        <v>974</v>
      </c>
      <c r="D119" t="s">
        <v>496</v>
      </c>
      <c r="E119" t="s">
        <v>1060</v>
      </c>
      <c r="F119" t="s">
        <v>947</v>
      </c>
      <c r="G119" t="s">
        <v>1061</v>
      </c>
      <c r="H119" t="s">
        <v>1447</v>
      </c>
      <c r="I119" t="s">
        <v>1445</v>
      </c>
      <c r="J119" s="41">
        <v>0</v>
      </c>
      <c r="K119" s="41">
        <v>122.93</v>
      </c>
      <c r="L119" s="41">
        <v>0</v>
      </c>
      <c r="M119" s="41">
        <v>122.93</v>
      </c>
      <c r="N119" s="41">
        <v>122.93</v>
      </c>
      <c r="O119" s="41">
        <v>122.93</v>
      </c>
      <c r="P119" t="s">
        <v>1558</v>
      </c>
      <c r="Q119" t="s">
        <v>1369</v>
      </c>
      <c r="R119" t="s">
        <v>1166</v>
      </c>
      <c r="S119" t="s">
        <v>1167</v>
      </c>
      <c r="T119" t="s">
        <v>1448</v>
      </c>
    </row>
    <row r="120" spans="1:20" x14ac:dyDescent="0.3">
      <c r="A120" t="s">
        <v>549</v>
      </c>
      <c r="B120" t="s">
        <v>1373</v>
      </c>
      <c r="C120" t="s">
        <v>974</v>
      </c>
      <c r="D120" t="s">
        <v>496</v>
      </c>
      <c r="E120" t="s">
        <v>1060</v>
      </c>
      <c r="F120" t="s">
        <v>947</v>
      </c>
      <c r="G120" t="s">
        <v>1061</v>
      </c>
      <c r="H120" t="s">
        <v>1451</v>
      </c>
      <c r="I120" t="s">
        <v>1421</v>
      </c>
      <c r="J120" s="41">
        <v>0</v>
      </c>
      <c r="K120" s="41">
        <v>835.33</v>
      </c>
      <c r="L120" s="41">
        <v>0</v>
      </c>
      <c r="M120" s="41">
        <v>835.33</v>
      </c>
      <c r="N120" s="41">
        <v>835.33</v>
      </c>
      <c r="O120" s="41">
        <v>835.33</v>
      </c>
      <c r="P120" t="s">
        <v>1558</v>
      </c>
      <c r="Q120" t="s">
        <v>1426</v>
      </c>
      <c r="R120" t="s">
        <v>1192</v>
      </c>
      <c r="S120" t="s">
        <v>1193</v>
      </c>
      <c r="T120" t="s">
        <v>1452</v>
      </c>
    </row>
    <row r="121" spans="1:20" x14ac:dyDescent="0.3">
      <c r="A121" t="s">
        <v>549</v>
      </c>
      <c r="B121" t="s">
        <v>1373</v>
      </c>
      <c r="C121" t="s">
        <v>974</v>
      </c>
      <c r="D121" t="s">
        <v>496</v>
      </c>
      <c r="E121" t="s">
        <v>1069</v>
      </c>
      <c r="F121" t="s">
        <v>947</v>
      </c>
      <c r="G121" t="s">
        <v>1070</v>
      </c>
      <c r="H121" t="s">
        <v>1243</v>
      </c>
      <c r="I121" t="s">
        <v>1458</v>
      </c>
      <c r="J121" s="41">
        <v>0</v>
      </c>
      <c r="K121" s="41">
        <v>21.35</v>
      </c>
      <c r="L121" s="41">
        <v>0</v>
      </c>
      <c r="M121" s="41">
        <v>21.35</v>
      </c>
      <c r="N121" s="41">
        <v>21.35</v>
      </c>
      <c r="O121" s="41">
        <v>21.35</v>
      </c>
      <c r="P121" t="s">
        <v>1558</v>
      </c>
      <c r="Q121" t="s">
        <v>1438</v>
      </c>
      <c r="R121" t="s">
        <v>1166</v>
      </c>
      <c r="S121" t="s">
        <v>1193</v>
      </c>
      <c r="T121" t="s">
        <v>1244</v>
      </c>
    </row>
    <row r="122" spans="1:20" x14ac:dyDescent="0.3">
      <c r="A122" t="s">
        <v>549</v>
      </c>
      <c r="B122" t="s">
        <v>1373</v>
      </c>
      <c r="C122" t="s">
        <v>974</v>
      </c>
      <c r="D122" t="s">
        <v>496</v>
      </c>
      <c r="E122" t="s">
        <v>1069</v>
      </c>
      <c r="F122" t="s">
        <v>947</v>
      </c>
      <c r="G122" t="s">
        <v>1070</v>
      </c>
      <c r="H122" t="s">
        <v>1243</v>
      </c>
      <c r="I122" t="s">
        <v>1464</v>
      </c>
      <c r="J122" s="41">
        <v>0</v>
      </c>
      <c r="K122" s="41">
        <v>20</v>
      </c>
      <c r="L122" s="41">
        <v>0</v>
      </c>
      <c r="M122" s="41">
        <v>20</v>
      </c>
      <c r="N122" s="41">
        <v>20</v>
      </c>
      <c r="O122" s="41">
        <v>20</v>
      </c>
      <c r="P122" t="s">
        <v>1558</v>
      </c>
      <c r="Q122" t="s">
        <v>1439</v>
      </c>
      <c r="R122" t="s">
        <v>1166</v>
      </c>
      <c r="S122" t="s">
        <v>1193</v>
      </c>
      <c r="T122" t="s">
        <v>1244</v>
      </c>
    </row>
    <row r="123" spans="1:20" x14ac:dyDescent="0.3">
      <c r="A123" t="s">
        <v>549</v>
      </c>
      <c r="B123" t="s">
        <v>1373</v>
      </c>
      <c r="C123" t="s">
        <v>974</v>
      </c>
      <c r="D123" t="s">
        <v>496</v>
      </c>
      <c r="E123" t="s">
        <v>1073</v>
      </c>
      <c r="F123" t="s">
        <v>947</v>
      </c>
      <c r="G123" t="s">
        <v>1074</v>
      </c>
      <c r="H123" t="s">
        <v>1471</v>
      </c>
      <c r="I123" t="s">
        <v>1469</v>
      </c>
      <c r="J123" s="41">
        <v>0</v>
      </c>
      <c r="K123" s="41">
        <v>11.36</v>
      </c>
      <c r="L123" s="41">
        <v>0</v>
      </c>
      <c r="M123" s="41">
        <v>11.36</v>
      </c>
      <c r="N123" s="41">
        <v>11.36</v>
      </c>
      <c r="O123" s="41">
        <v>11.36</v>
      </c>
      <c r="P123" t="s">
        <v>1558</v>
      </c>
      <c r="Q123" t="s">
        <v>1567</v>
      </c>
      <c r="R123" t="s">
        <v>1166</v>
      </c>
      <c r="S123" t="s">
        <v>1167</v>
      </c>
      <c r="T123" t="s">
        <v>1472</v>
      </c>
    </row>
    <row r="124" spans="1:20" x14ac:dyDescent="0.3">
      <c r="A124" t="s">
        <v>549</v>
      </c>
      <c r="B124" t="s">
        <v>1373</v>
      </c>
      <c r="C124" t="s">
        <v>974</v>
      </c>
      <c r="D124" t="s">
        <v>496</v>
      </c>
      <c r="E124" t="s">
        <v>1077</v>
      </c>
      <c r="F124" t="s">
        <v>947</v>
      </c>
      <c r="G124" t="s">
        <v>1078</v>
      </c>
      <c r="H124" t="s">
        <v>576</v>
      </c>
      <c r="I124" t="s">
        <v>1474</v>
      </c>
      <c r="J124" s="41">
        <v>0</v>
      </c>
      <c r="K124" s="41">
        <v>228.63</v>
      </c>
      <c r="L124" s="41">
        <v>0</v>
      </c>
      <c r="M124" s="41">
        <v>228.63</v>
      </c>
      <c r="N124" s="41">
        <v>228.63</v>
      </c>
      <c r="O124" s="41">
        <v>228.63</v>
      </c>
      <c r="P124" t="s">
        <v>1558</v>
      </c>
      <c r="Q124" t="s">
        <v>1568</v>
      </c>
      <c r="R124" t="s">
        <v>1192</v>
      </c>
      <c r="S124" t="s">
        <v>1193</v>
      </c>
      <c r="T124" t="s">
        <v>1476</v>
      </c>
    </row>
    <row r="125" spans="1:20" x14ac:dyDescent="0.3">
      <c r="A125" t="s">
        <v>549</v>
      </c>
      <c r="B125" t="s">
        <v>1373</v>
      </c>
      <c r="C125" t="s">
        <v>974</v>
      </c>
      <c r="D125" t="s">
        <v>496</v>
      </c>
      <c r="E125" t="s">
        <v>1079</v>
      </c>
      <c r="F125" t="s">
        <v>947</v>
      </c>
      <c r="G125" t="s">
        <v>1080</v>
      </c>
      <c r="H125" t="s">
        <v>1480</v>
      </c>
      <c r="I125" t="s">
        <v>1483</v>
      </c>
      <c r="J125" s="41">
        <v>0</v>
      </c>
      <c r="K125" s="41">
        <v>50.73</v>
      </c>
      <c r="L125" s="41">
        <v>0</v>
      </c>
      <c r="M125" s="41">
        <v>50.73</v>
      </c>
      <c r="N125" s="41">
        <v>50.73</v>
      </c>
      <c r="O125" s="41">
        <v>50.73</v>
      </c>
      <c r="P125" t="s">
        <v>1558</v>
      </c>
      <c r="Q125" t="s">
        <v>1569</v>
      </c>
      <c r="R125" t="s">
        <v>1166</v>
      </c>
      <c r="S125" t="s">
        <v>1193</v>
      </c>
      <c r="T125" t="s">
        <v>1481</v>
      </c>
    </row>
    <row r="126" spans="1:20" x14ac:dyDescent="0.3">
      <c r="A126" t="s">
        <v>549</v>
      </c>
      <c r="B126" t="s">
        <v>1373</v>
      </c>
      <c r="C126" t="s">
        <v>974</v>
      </c>
      <c r="D126" t="s">
        <v>496</v>
      </c>
      <c r="E126" t="s">
        <v>1081</v>
      </c>
      <c r="F126" t="s">
        <v>947</v>
      </c>
      <c r="G126" t="s">
        <v>1082</v>
      </c>
      <c r="H126" t="s">
        <v>1488</v>
      </c>
      <c r="I126" t="s">
        <v>1505</v>
      </c>
      <c r="J126" s="41">
        <v>0</v>
      </c>
      <c r="K126" s="41">
        <v>177.68</v>
      </c>
      <c r="L126" s="41">
        <v>0</v>
      </c>
      <c r="M126" s="41">
        <v>177.68</v>
      </c>
      <c r="N126" s="41">
        <v>177.68</v>
      </c>
      <c r="O126" s="41">
        <v>177.68</v>
      </c>
      <c r="P126" t="s">
        <v>1558</v>
      </c>
      <c r="Q126" t="s">
        <v>1570</v>
      </c>
      <c r="R126" t="s">
        <v>1166</v>
      </c>
      <c r="S126" t="s">
        <v>1193</v>
      </c>
      <c r="T126" t="s">
        <v>1489</v>
      </c>
    </row>
    <row r="127" spans="1:20" x14ac:dyDescent="0.3">
      <c r="A127" t="s">
        <v>549</v>
      </c>
      <c r="B127" t="s">
        <v>1373</v>
      </c>
      <c r="C127" t="s">
        <v>974</v>
      </c>
      <c r="D127" t="s">
        <v>496</v>
      </c>
      <c r="E127" t="s">
        <v>1081</v>
      </c>
      <c r="F127" t="s">
        <v>947</v>
      </c>
      <c r="G127" t="s">
        <v>1082</v>
      </c>
      <c r="H127" t="s">
        <v>1488</v>
      </c>
      <c r="I127" t="s">
        <v>1507</v>
      </c>
      <c r="J127" s="41">
        <v>0</v>
      </c>
      <c r="K127" s="41">
        <v>248</v>
      </c>
      <c r="L127" s="41">
        <v>0</v>
      </c>
      <c r="M127" s="41">
        <v>248</v>
      </c>
      <c r="N127" s="41">
        <v>248</v>
      </c>
      <c r="O127" s="41">
        <v>248</v>
      </c>
      <c r="P127" t="s">
        <v>1558</v>
      </c>
      <c r="Q127" t="s">
        <v>1571</v>
      </c>
      <c r="R127" t="s">
        <v>1166</v>
      </c>
      <c r="S127" t="s">
        <v>1193</v>
      </c>
      <c r="T127" t="s">
        <v>1489</v>
      </c>
    </row>
    <row r="128" spans="1:20" x14ac:dyDescent="0.3">
      <c r="A128" t="s">
        <v>549</v>
      </c>
      <c r="B128" t="s">
        <v>1373</v>
      </c>
      <c r="C128" t="s">
        <v>974</v>
      </c>
      <c r="D128" t="s">
        <v>496</v>
      </c>
      <c r="E128" t="s">
        <v>1081</v>
      </c>
      <c r="F128" t="s">
        <v>947</v>
      </c>
      <c r="G128" t="s">
        <v>1082</v>
      </c>
      <c r="H128" t="s">
        <v>1488</v>
      </c>
      <c r="I128" t="s">
        <v>1509</v>
      </c>
      <c r="J128" s="41">
        <v>0</v>
      </c>
      <c r="K128" s="41">
        <v>30.09</v>
      </c>
      <c r="L128" s="41">
        <v>0</v>
      </c>
      <c r="M128" s="41">
        <v>30.09</v>
      </c>
      <c r="N128" s="41">
        <v>30.09</v>
      </c>
      <c r="O128" s="41">
        <v>30.09</v>
      </c>
      <c r="P128" t="s">
        <v>1558</v>
      </c>
      <c r="Q128" t="s">
        <v>1455</v>
      </c>
      <c r="R128" t="s">
        <v>1166</v>
      </c>
      <c r="S128" t="s">
        <v>1193</v>
      </c>
      <c r="T128" t="s">
        <v>1489</v>
      </c>
    </row>
    <row r="129" spans="1:20" x14ac:dyDescent="0.3">
      <c r="A129" t="s">
        <v>549</v>
      </c>
      <c r="B129" t="s">
        <v>1373</v>
      </c>
      <c r="C129" t="s">
        <v>974</v>
      </c>
      <c r="D129" t="s">
        <v>496</v>
      </c>
      <c r="E129" t="s">
        <v>1062</v>
      </c>
      <c r="F129" t="s">
        <v>947</v>
      </c>
      <c r="G129" t="s">
        <v>1063</v>
      </c>
      <c r="H129" t="s">
        <v>1531</v>
      </c>
      <c r="I129" t="s">
        <v>1529</v>
      </c>
      <c r="J129" s="41">
        <v>0</v>
      </c>
      <c r="K129" s="41">
        <v>1500</v>
      </c>
      <c r="L129" s="41">
        <v>0</v>
      </c>
      <c r="M129" s="41">
        <v>1500</v>
      </c>
      <c r="N129" s="41">
        <v>1500</v>
      </c>
      <c r="O129" s="41">
        <v>1500</v>
      </c>
      <c r="P129" t="s">
        <v>1558</v>
      </c>
      <c r="Q129" t="s">
        <v>1459</v>
      </c>
      <c r="R129" t="s">
        <v>1166</v>
      </c>
      <c r="S129" t="s">
        <v>1167</v>
      </c>
      <c r="T129" t="s">
        <v>1532</v>
      </c>
    </row>
    <row r="130" spans="1:20" x14ac:dyDescent="0.3">
      <c r="A130" t="s">
        <v>549</v>
      </c>
      <c r="B130" t="s">
        <v>1373</v>
      </c>
      <c r="C130" t="s">
        <v>974</v>
      </c>
      <c r="D130" t="s">
        <v>496</v>
      </c>
      <c r="E130" t="s">
        <v>1099</v>
      </c>
      <c r="F130" t="s">
        <v>948</v>
      </c>
      <c r="G130" t="s">
        <v>1100</v>
      </c>
      <c r="H130" t="s">
        <v>576</v>
      </c>
      <c r="I130" t="s">
        <v>1537</v>
      </c>
      <c r="J130" s="41">
        <v>0</v>
      </c>
      <c r="K130" s="41">
        <v>648</v>
      </c>
      <c r="L130" s="41">
        <v>0</v>
      </c>
      <c r="M130" s="41">
        <v>648</v>
      </c>
      <c r="N130" s="41">
        <v>648</v>
      </c>
      <c r="O130" s="41">
        <v>648</v>
      </c>
      <c r="P130" t="s">
        <v>1558</v>
      </c>
      <c r="Q130" t="s">
        <v>1465</v>
      </c>
      <c r="R130" t="s">
        <v>1192</v>
      </c>
      <c r="S130" t="s">
        <v>1193</v>
      </c>
      <c r="T130" t="s">
        <v>1539</v>
      </c>
    </row>
    <row r="131" spans="1:20" x14ac:dyDescent="0.3">
      <c r="A131" t="s">
        <v>549</v>
      </c>
      <c r="B131" t="s">
        <v>1373</v>
      </c>
      <c r="C131" t="s">
        <v>974</v>
      </c>
      <c r="D131" t="s">
        <v>496</v>
      </c>
      <c r="E131" t="s">
        <v>1123</v>
      </c>
      <c r="F131" t="s">
        <v>717</v>
      </c>
      <c r="G131" t="s">
        <v>717</v>
      </c>
      <c r="H131" t="s">
        <v>1547</v>
      </c>
      <c r="I131" t="s">
        <v>1551</v>
      </c>
      <c r="J131" s="41">
        <v>0</v>
      </c>
      <c r="K131" s="41">
        <v>75</v>
      </c>
      <c r="L131" s="41">
        <v>0</v>
      </c>
      <c r="M131" s="41">
        <v>75</v>
      </c>
      <c r="N131" s="41">
        <v>75</v>
      </c>
      <c r="O131" s="41">
        <v>75</v>
      </c>
      <c r="P131" t="s">
        <v>1558</v>
      </c>
      <c r="Q131" t="s">
        <v>1473</v>
      </c>
      <c r="R131" t="s">
        <v>1166</v>
      </c>
      <c r="S131" t="s">
        <v>1167</v>
      </c>
      <c r="T131" t="s">
        <v>1548</v>
      </c>
    </row>
    <row r="132" spans="1:20" x14ac:dyDescent="0.3">
      <c r="A132" t="s">
        <v>549</v>
      </c>
      <c r="B132" t="s">
        <v>1373</v>
      </c>
      <c r="C132" t="s">
        <v>974</v>
      </c>
      <c r="D132" t="s">
        <v>496</v>
      </c>
      <c r="E132" t="s">
        <v>1123</v>
      </c>
      <c r="F132" t="s">
        <v>717</v>
      </c>
      <c r="G132" t="s">
        <v>717</v>
      </c>
      <c r="H132" t="s">
        <v>1547</v>
      </c>
      <c r="I132" t="s">
        <v>1406</v>
      </c>
      <c r="J132" s="41">
        <v>0</v>
      </c>
      <c r="K132" s="41">
        <v>0.9</v>
      </c>
      <c r="L132" s="41">
        <v>0</v>
      </c>
      <c r="M132" s="41">
        <v>0.9</v>
      </c>
      <c r="N132" s="41">
        <v>0.9</v>
      </c>
      <c r="O132" s="41">
        <v>0.9</v>
      </c>
      <c r="P132" t="s">
        <v>1558</v>
      </c>
      <c r="Q132" t="s">
        <v>1572</v>
      </c>
      <c r="R132" t="s">
        <v>1166</v>
      </c>
      <c r="S132" t="s">
        <v>1167</v>
      </c>
      <c r="T132" t="s">
        <v>1548</v>
      </c>
    </row>
    <row r="133" spans="1:20" x14ac:dyDescent="0.3">
      <c r="A133" t="s">
        <v>551</v>
      </c>
      <c r="B133" t="s">
        <v>658</v>
      </c>
      <c r="C133" t="s">
        <v>976</v>
      </c>
      <c r="D133" t="s">
        <v>496</v>
      </c>
      <c r="E133" t="s">
        <v>1060</v>
      </c>
      <c r="F133" t="s">
        <v>947</v>
      </c>
      <c r="G133" t="s">
        <v>1061</v>
      </c>
      <c r="H133" t="s">
        <v>1200</v>
      </c>
      <c r="I133" t="s">
        <v>1197</v>
      </c>
      <c r="J133" s="41">
        <v>2400</v>
      </c>
      <c r="K133" s="41">
        <v>1200</v>
      </c>
      <c r="L133" s="41">
        <v>0</v>
      </c>
      <c r="M133" s="41">
        <v>3600</v>
      </c>
      <c r="N133" s="41">
        <v>3600</v>
      </c>
      <c r="O133" s="41">
        <v>1200</v>
      </c>
      <c r="P133" t="s">
        <v>1573</v>
      </c>
      <c r="Q133" t="s">
        <v>1195</v>
      </c>
      <c r="R133" t="s">
        <v>1166</v>
      </c>
      <c r="S133" t="s">
        <v>1167</v>
      </c>
      <c r="T133" t="s">
        <v>1201</v>
      </c>
    </row>
    <row r="134" spans="1:20" x14ac:dyDescent="0.3">
      <c r="A134" t="s">
        <v>551</v>
      </c>
      <c r="B134" t="s">
        <v>658</v>
      </c>
      <c r="C134" t="s">
        <v>976</v>
      </c>
      <c r="D134" t="s">
        <v>496</v>
      </c>
      <c r="E134" t="s">
        <v>1075</v>
      </c>
      <c r="F134" t="s">
        <v>947</v>
      </c>
      <c r="G134" t="s">
        <v>1076</v>
      </c>
      <c r="H134" t="s">
        <v>1205</v>
      </c>
      <c r="J134" s="41">
        <v>600</v>
      </c>
      <c r="K134" s="41">
        <v>300</v>
      </c>
      <c r="L134" s="41">
        <v>0</v>
      </c>
      <c r="M134" s="41">
        <v>900</v>
      </c>
      <c r="N134" s="41">
        <v>900</v>
      </c>
      <c r="O134" s="41">
        <v>300</v>
      </c>
      <c r="P134" t="s">
        <v>1573</v>
      </c>
      <c r="Q134" t="s">
        <v>1202</v>
      </c>
      <c r="R134" t="s">
        <v>1166</v>
      </c>
      <c r="S134" t="s">
        <v>1167</v>
      </c>
      <c r="T134" t="s">
        <v>1206</v>
      </c>
    </row>
    <row r="135" spans="1:20" x14ac:dyDescent="0.3">
      <c r="A135" t="s">
        <v>551</v>
      </c>
      <c r="B135" t="s">
        <v>658</v>
      </c>
      <c r="C135" t="s">
        <v>976</v>
      </c>
      <c r="D135" t="s">
        <v>496</v>
      </c>
      <c r="E135" t="s">
        <v>1060</v>
      </c>
      <c r="F135" t="s">
        <v>947</v>
      </c>
      <c r="G135" t="s">
        <v>1061</v>
      </c>
      <c r="H135" t="s">
        <v>1210</v>
      </c>
      <c r="I135" t="s">
        <v>1197</v>
      </c>
      <c r="J135" s="41">
        <v>812.37</v>
      </c>
      <c r="K135" s="41">
        <v>400</v>
      </c>
      <c r="L135" s="41">
        <v>0</v>
      </c>
      <c r="M135" s="41">
        <v>1212.3699999999999</v>
      </c>
      <c r="N135" s="41">
        <v>1212.3699999999999</v>
      </c>
      <c r="O135" s="41">
        <v>400</v>
      </c>
      <c r="P135" t="s">
        <v>1573</v>
      </c>
      <c r="Q135" t="s">
        <v>1207</v>
      </c>
      <c r="R135" t="s">
        <v>1166</v>
      </c>
      <c r="S135" t="s">
        <v>1167</v>
      </c>
      <c r="T135" t="s">
        <v>1211</v>
      </c>
    </row>
    <row r="136" spans="1:20" x14ac:dyDescent="0.3">
      <c r="A136" t="s">
        <v>551</v>
      </c>
      <c r="B136" t="s">
        <v>658</v>
      </c>
      <c r="C136" t="s">
        <v>976</v>
      </c>
      <c r="D136" t="s">
        <v>496</v>
      </c>
      <c r="E136" t="s">
        <v>1062</v>
      </c>
      <c r="F136" t="s">
        <v>947</v>
      </c>
      <c r="G136" t="s">
        <v>1063</v>
      </c>
      <c r="H136" t="s">
        <v>1216</v>
      </c>
      <c r="I136" t="s">
        <v>1214</v>
      </c>
      <c r="J136" s="41">
        <v>222.59</v>
      </c>
      <c r="K136" s="41">
        <v>47.76</v>
      </c>
      <c r="L136" s="41">
        <v>0</v>
      </c>
      <c r="M136" s="41">
        <v>270.35000000000002</v>
      </c>
      <c r="N136" s="41">
        <v>270.35000000000002</v>
      </c>
      <c r="O136" s="41">
        <v>47.76</v>
      </c>
      <c r="P136" t="s">
        <v>1573</v>
      </c>
      <c r="Q136" t="s">
        <v>1212</v>
      </c>
      <c r="R136" t="s">
        <v>1166</v>
      </c>
      <c r="S136" t="s">
        <v>1167</v>
      </c>
      <c r="T136" t="s">
        <v>1217</v>
      </c>
    </row>
    <row r="137" spans="1:20" x14ac:dyDescent="0.3">
      <c r="A137" t="s">
        <v>551</v>
      </c>
      <c r="B137" t="s">
        <v>658</v>
      </c>
      <c r="C137" t="s">
        <v>976</v>
      </c>
      <c r="D137" t="s">
        <v>496</v>
      </c>
      <c r="E137" t="s">
        <v>1064</v>
      </c>
      <c r="F137" t="s">
        <v>947</v>
      </c>
      <c r="G137" t="s">
        <v>1065</v>
      </c>
      <c r="H137" t="s">
        <v>1222</v>
      </c>
      <c r="I137" t="s">
        <v>1220</v>
      </c>
      <c r="J137" s="41">
        <v>240.73</v>
      </c>
      <c r="K137" s="41">
        <v>12</v>
      </c>
      <c r="L137" s="41">
        <v>0</v>
      </c>
      <c r="M137" s="41">
        <v>252.73</v>
      </c>
      <c r="N137" s="41">
        <v>252.73</v>
      </c>
      <c r="O137" s="41">
        <v>12</v>
      </c>
      <c r="P137" t="s">
        <v>1573</v>
      </c>
      <c r="Q137" t="s">
        <v>1218</v>
      </c>
      <c r="R137" t="s">
        <v>1166</v>
      </c>
      <c r="S137" t="s">
        <v>1167</v>
      </c>
      <c r="T137" t="s">
        <v>1223</v>
      </c>
    </row>
    <row r="138" spans="1:20" x14ac:dyDescent="0.3">
      <c r="A138" t="s">
        <v>551</v>
      </c>
      <c r="B138" t="s">
        <v>658</v>
      </c>
      <c r="C138" t="s">
        <v>976</v>
      </c>
      <c r="D138" t="s">
        <v>496</v>
      </c>
      <c r="E138" t="s">
        <v>1064</v>
      </c>
      <c r="F138" t="s">
        <v>947</v>
      </c>
      <c r="G138" t="s">
        <v>1065</v>
      </c>
      <c r="H138" t="s">
        <v>1222</v>
      </c>
      <c r="I138" t="s">
        <v>1220</v>
      </c>
      <c r="J138" s="41">
        <v>0</v>
      </c>
      <c r="K138" s="41">
        <v>26.55</v>
      </c>
      <c r="L138" s="41">
        <v>0</v>
      </c>
      <c r="M138" s="41">
        <v>26.55</v>
      </c>
      <c r="N138" s="41">
        <v>26.55</v>
      </c>
      <c r="O138" s="41">
        <v>26.55</v>
      </c>
      <c r="P138" t="s">
        <v>1573</v>
      </c>
      <c r="Q138" t="s">
        <v>1224</v>
      </c>
      <c r="R138" t="s">
        <v>1166</v>
      </c>
      <c r="S138" t="s">
        <v>1167</v>
      </c>
      <c r="T138" t="s">
        <v>1223</v>
      </c>
    </row>
    <row r="139" spans="1:20" x14ac:dyDescent="0.3">
      <c r="A139" t="s">
        <v>551</v>
      </c>
      <c r="B139" t="s">
        <v>658</v>
      </c>
      <c r="C139" t="s">
        <v>976</v>
      </c>
      <c r="D139" t="s">
        <v>496</v>
      </c>
      <c r="E139" t="s">
        <v>1064</v>
      </c>
      <c r="F139" t="s">
        <v>947</v>
      </c>
      <c r="G139" t="s">
        <v>1065</v>
      </c>
      <c r="H139" t="s">
        <v>1229</v>
      </c>
      <c r="I139" t="s">
        <v>1227</v>
      </c>
      <c r="J139" s="41">
        <v>0</v>
      </c>
      <c r="K139" s="41">
        <v>64.790000000000006</v>
      </c>
      <c r="L139" s="41">
        <v>0</v>
      </c>
      <c r="M139" s="41">
        <v>64.790000000000006</v>
      </c>
      <c r="N139" s="41">
        <v>64.790000000000006</v>
      </c>
      <c r="O139" s="41">
        <v>64.790000000000006</v>
      </c>
      <c r="P139" t="s">
        <v>1573</v>
      </c>
      <c r="Q139" t="s">
        <v>1225</v>
      </c>
      <c r="R139" t="s">
        <v>1166</v>
      </c>
      <c r="S139" t="s">
        <v>1167</v>
      </c>
      <c r="T139" t="s">
        <v>1230</v>
      </c>
    </row>
    <row r="140" spans="1:20" x14ac:dyDescent="0.3">
      <c r="A140" t="s">
        <v>551</v>
      </c>
      <c r="B140" t="s">
        <v>658</v>
      </c>
      <c r="C140" t="s">
        <v>976</v>
      </c>
      <c r="D140" t="s">
        <v>496</v>
      </c>
      <c r="E140" t="s">
        <v>1068</v>
      </c>
      <c r="F140" t="s">
        <v>947</v>
      </c>
      <c r="G140" t="s">
        <v>568</v>
      </c>
      <c r="H140" t="s">
        <v>1235</v>
      </c>
      <c r="I140" t="s">
        <v>1238</v>
      </c>
      <c r="J140" s="41">
        <v>0</v>
      </c>
      <c r="K140" s="41">
        <v>70.81</v>
      </c>
      <c r="L140" s="41">
        <v>0</v>
      </c>
      <c r="M140" s="41">
        <v>70.81</v>
      </c>
      <c r="N140" s="41">
        <v>70.81</v>
      </c>
      <c r="O140" s="41">
        <v>70.81</v>
      </c>
      <c r="P140" t="s">
        <v>1573</v>
      </c>
      <c r="Q140" t="s">
        <v>1231</v>
      </c>
      <c r="R140" t="s">
        <v>1192</v>
      </c>
      <c r="S140" t="s">
        <v>1193</v>
      </c>
      <c r="T140" t="s">
        <v>1236</v>
      </c>
    </row>
    <row r="141" spans="1:20" x14ac:dyDescent="0.3">
      <c r="A141" t="s">
        <v>551</v>
      </c>
      <c r="B141" t="s">
        <v>658</v>
      </c>
      <c r="C141" t="s">
        <v>976</v>
      </c>
      <c r="D141" t="s">
        <v>496</v>
      </c>
      <c r="E141" t="s">
        <v>1079</v>
      </c>
      <c r="F141" t="s">
        <v>947</v>
      </c>
      <c r="G141" t="s">
        <v>1080</v>
      </c>
      <c r="H141" t="s">
        <v>1249</v>
      </c>
      <c r="I141" t="s">
        <v>1247</v>
      </c>
      <c r="J141" s="41">
        <v>0</v>
      </c>
      <c r="K141" s="41">
        <v>39.61</v>
      </c>
      <c r="L141" s="41">
        <v>0</v>
      </c>
      <c r="M141" s="41">
        <v>39.61</v>
      </c>
      <c r="N141" s="41">
        <v>39.61</v>
      </c>
      <c r="O141" s="41">
        <v>39.61</v>
      </c>
      <c r="P141" t="s">
        <v>1573</v>
      </c>
      <c r="Q141" t="s">
        <v>1574</v>
      </c>
      <c r="R141" t="s">
        <v>1166</v>
      </c>
      <c r="S141" t="s">
        <v>1167</v>
      </c>
      <c r="T141" t="s">
        <v>1250</v>
      </c>
    </row>
    <row r="142" spans="1:20" x14ac:dyDescent="0.3">
      <c r="A142" t="s">
        <v>551</v>
      </c>
      <c r="B142" t="s">
        <v>658</v>
      </c>
      <c r="C142" t="s">
        <v>976</v>
      </c>
      <c r="D142" t="s">
        <v>496</v>
      </c>
      <c r="E142" t="s">
        <v>1079</v>
      </c>
      <c r="F142" t="s">
        <v>947</v>
      </c>
      <c r="G142" t="s">
        <v>1080</v>
      </c>
      <c r="H142" t="s">
        <v>1249</v>
      </c>
      <c r="I142" t="s">
        <v>1252</v>
      </c>
      <c r="J142" s="41">
        <v>0</v>
      </c>
      <c r="K142" s="41">
        <v>74.31</v>
      </c>
      <c r="L142" s="41">
        <v>0</v>
      </c>
      <c r="M142" s="41">
        <v>74.31</v>
      </c>
      <c r="N142" s="41">
        <v>74.31</v>
      </c>
      <c r="O142" s="41">
        <v>74.31</v>
      </c>
      <c r="P142" t="s">
        <v>1573</v>
      </c>
      <c r="Q142" t="s">
        <v>1239</v>
      </c>
      <c r="R142" t="s">
        <v>1166</v>
      </c>
      <c r="S142" t="s">
        <v>1167</v>
      </c>
      <c r="T142" t="s">
        <v>1250</v>
      </c>
    </row>
    <row r="143" spans="1:20" x14ac:dyDescent="0.3">
      <c r="A143" t="s">
        <v>551</v>
      </c>
      <c r="B143" t="s">
        <v>658</v>
      </c>
      <c r="C143" t="s">
        <v>976</v>
      </c>
      <c r="D143" t="s">
        <v>496</v>
      </c>
      <c r="E143" t="s">
        <v>1079</v>
      </c>
      <c r="F143" t="s">
        <v>947</v>
      </c>
      <c r="G143" t="s">
        <v>1080</v>
      </c>
      <c r="H143" t="s">
        <v>1249</v>
      </c>
      <c r="I143" t="s">
        <v>1254</v>
      </c>
      <c r="J143" s="41">
        <v>15</v>
      </c>
      <c r="K143" s="41">
        <v>0</v>
      </c>
      <c r="L143" s="41">
        <v>0</v>
      </c>
      <c r="M143" s="41">
        <v>15</v>
      </c>
      <c r="N143" s="41">
        <v>15</v>
      </c>
      <c r="O143" s="41">
        <v>0</v>
      </c>
      <c r="P143" t="s">
        <v>1573</v>
      </c>
      <c r="Q143" t="s">
        <v>1575</v>
      </c>
      <c r="R143" t="s">
        <v>1166</v>
      </c>
      <c r="S143" t="s">
        <v>1167</v>
      </c>
      <c r="T143" t="s">
        <v>1250</v>
      </c>
    </row>
    <row r="144" spans="1:20" x14ac:dyDescent="0.3">
      <c r="A144" t="s">
        <v>551</v>
      </c>
      <c r="B144" t="s">
        <v>658</v>
      </c>
      <c r="C144" t="s">
        <v>976</v>
      </c>
      <c r="D144" t="s">
        <v>496</v>
      </c>
      <c r="E144" t="s">
        <v>1079</v>
      </c>
      <c r="F144" t="s">
        <v>947</v>
      </c>
      <c r="G144" t="s">
        <v>1080</v>
      </c>
      <c r="H144" t="s">
        <v>1249</v>
      </c>
      <c r="I144" t="s">
        <v>1256</v>
      </c>
      <c r="J144" s="41">
        <v>7</v>
      </c>
      <c r="K144" s="41">
        <v>0</v>
      </c>
      <c r="L144" s="41">
        <v>0</v>
      </c>
      <c r="M144" s="41">
        <v>7</v>
      </c>
      <c r="N144" s="41">
        <v>7</v>
      </c>
      <c r="O144" s="41">
        <v>0</v>
      </c>
      <c r="P144" t="s">
        <v>1573</v>
      </c>
      <c r="Q144" t="s">
        <v>1327</v>
      </c>
      <c r="R144" t="s">
        <v>1166</v>
      </c>
      <c r="S144" t="s">
        <v>1167</v>
      </c>
      <c r="T144" t="s">
        <v>1250</v>
      </c>
    </row>
    <row r="145" spans="1:20" x14ac:dyDescent="0.3">
      <c r="A145" t="s">
        <v>551</v>
      </c>
      <c r="B145" t="s">
        <v>658</v>
      </c>
      <c r="C145" t="s">
        <v>976</v>
      </c>
      <c r="D145" t="s">
        <v>496</v>
      </c>
      <c r="E145" t="s">
        <v>1123</v>
      </c>
      <c r="F145" t="s">
        <v>717</v>
      </c>
      <c r="G145" t="s">
        <v>717</v>
      </c>
      <c r="H145" t="s">
        <v>1261</v>
      </c>
      <c r="I145" t="s">
        <v>1259</v>
      </c>
      <c r="J145" s="41">
        <v>50</v>
      </c>
      <c r="K145" s="41">
        <v>30</v>
      </c>
      <c r="L145" s="41">
        <v>0</v>
      </c>
      <c r="M145" s="41">
        <v>80</v>
      </c>
      <c r="N145" s="41">
        <v>80</v>
      </c>
      <c r="O145" s="41">
        <v>30</v>
      </c>
      <c r="P145" t="s">
        <v>1573</v>
      </c>
      <c r="Q145" t="s">
        <v>1255</v>
      </c>
      <c r="R145" t="s">
        <v>1166</v>
      </c>
      <c r="S145" t="s">
        <v>1167</v>
      </c>
      <c r="T145" t="s">
        <v>1262</v>
      </c>
    </row>
    <row r="146" spans="1:20" x14ac:dyDescent="0.3">
      <c r="A146" t="s">
        <v>551</v>
      </c>
      <c r="B146" t="s">
        <v>1265</v>
      </c>
      <c r="C146" t="s">
        <v>975</v>
      </c>
      <c r="D146" t="s">
        <v>686</v>
      </c>
      <c r="E146" t="s">
        <v>1048</v>
      </c>
      <c r="F146" t="s">
        <v>1318</v>
      </c>
      <c r="G146" t="s">
        <v>1049</v>
      </c>
      <c r="H146" t="s">
        <v>1319</v>
      </c>
      <c r="I146" t="s">
        <v>1321</v>
      </c>
      <c r="J146" s="41">
        <v>0</v>
      </c>
      <c r="K146" s="41">
        <v>0</v>
      </c>
      <c r="L146" s="41">
        <v>2784.7</v>
      </c>
      <c r="M146" s="41">
        <v>-2784.7</v>
      </c>
      <c r="N146" s="41">
        <v>2784.7</v>
      </c>
      <c r="O146" s="41">
        <v>2784.7</v>
      </c>
      <c r="P146" t="s">
        <v>1576</v>
      </c>
      <c r="Q146" t="s">
        <v>1562</v>
      </c>
      <c r="R146" t="s">
        <v>1166</v>
      </c>
      <c r="S146" t="s">
        <v>1167</v>
      </c>
      <c r="T146" t="s">
        <v>1320</v>
      </c>
    </row>
    <row r="147" spans="1:20" x14ac:dyDescent="0.3">
      <c r="A147" t="s">
        <v>551</v>
      </c>
      <c r="B147" t="s">
        <v>1265</v>
      </c>
      <c r="C147" t="s">
        <v>975</v>
      </c>
      <c r="D147" t="s">
        <v>686</v>
      </c>
      <c r="E147" t="s">
        <v>1120</v>
      </c>
      <c r="F147" t="s">
        <v>1324</v>
      </c>
      <c r="G147" t="s">
        <v>811</v>
      </c>
      <c r="H147" t="s">
        <v>811</v>
      </c>
      <c r="I147" t="s">
        <v>1322</v>
      </c>
      <c r="J147" s="41">
        <v>0</v>
      </c>
      <c r="K147" s="41">
        <v>0</v>
      </c>
      <c r="L147" s="41">
        <v>64960.94</v>
      </c>
      <c r="M147" s="41">
        <v>-64960.94</v>
      </c>
      <c r="N147" s="41">
        <v>64960.94</v>
      </c>
      <c r="O147" s="41">
        <v>64960.94</v>
      </c>
      <c r="P147" t="s">
        <v>1576</v>
      </c>
      <c r="Q147" t="s">
        <v>1554</v>
      </c>
      <c r="R147" t="s">
        <v>1192</v>
      </c>
      <c r="S147" t="s">
        <v>1193</v>
      </c>
      <c r="T147" t="s">
        <v>1325</v>
      </c>
    </row>
    <row r="148" spans="1:20" x14ac:dyDescent="0.3">
      <c r="A148" t="s">
        <v>551</v>
      </c>
      <c r="B148" t="s">
        <v>1265</v>
      </c>
      <c r="C148" t="s">
        <v>975</v>
      </c>
      <c r="D148" t="s">
        <v>686</v>
      </c>
      <c r="E148" t="s">
        <v>1062</v>
      </c>
      <c r="F148" t="s">
        <v>947</v>
      </c>
      <c r="G148" t="s">
        <v>1063</v>
      </c>
      <c r="H148" t="s">
        <v>1216</v>
      </c>
      <c r="I148" t="s">
        <v>1326</v>
      </c>
      <c r="J148" s="41">
        <v>0</v>
      </c>
      <c r="K148" s="41">
        <v>505.35</v>
      </c>
      <c r="L148" s="41">
        <v>0</v>
      </c>
      <c r="M148" s="41">
        <v>505.35</v>
      </c>
      <c r="N148" s="41">
        <v>505.35</v>
      </c>
      <c r="O148" s="41">
        <v>505.35</v>
      </c>
      <c r="P148" t="s">
        <v>1576</v>
      </c>
      <c r="Q148" t="s">
        <v>1412</v>
      </c>
      <c r="R148" t="s">
        <v>1166</v>
      </c>
      <c r="S148" t="s">
        <v>1167</v>
      </c>
      <c r="T148" t="s">
        <v>1217</v>
      </c>
    </row>
    <row r="149" spans="1:20" x14ac:dyDescent="0.3">
      <c r="A149" t="s">
        <v>551</v>
      </c>
      <c r="B149" t="s">
        <v>1265</v>
      </c>
      <c r="C149" t="s">
        <v>975</v>
      </c>
      <c r="D149" t="s">
        <v>686</v>
      </c>
      <c r="E149" t="s">
        <v>1062</v>
      </c>
      <c r="F149" t="s">
        <v>947</v>
      </c>
      <c r="G149" t="s">
        <v>1063</v>
      </c>
      <c r="H149" t="s">
        <v>1331</v>
      </c>
      <c r="I149" t="s">
        <v>1329</v>
      </c>
      <c r="J149" s="41">
        <v>0</v>
      </c>
      <c r="K149" s="41">
        <v>350</v>
      </c>
      <c r="L149" s="41">
        <v>0</v>
      </c>
      <c r="M149" s="41">
        <v>350</v>
      </c>
      <c r="N149" s="41">
        <v>350</v>
      </c>
      <c r="O149" s="41">
        <v>350</v>
      </c>
      <c r="P149" t="s">
        <v>1576</v>
      </c>
      <c r="Q149" t="s">
        <v>1239</v>
      </c>
      <c r="R149" t="s">
        <v>1166</v>
      </c>
      <c r="S149" t="s">
        <v>1167</v>
      </c>
      <c r="T149" t="s">
        <v>1332</v>
      </c>
    </row>
    <row r="150" spans="1:20" x14ac:dyDescent="0.3">
      <c r="A150" t="s">
        <v>551</v>
      </c>
      <c r="B150" t="s">
        <v>1265</v>
      </c>
      <c r="C150" t="s">
        <v>975</v>
      </c>
      <c r="D150" t="s">
        <v>686</v>
      </c>
      <c r="E150" t="s">
        <v>1095</v>
      </c>
      <c r="F150" t="s">
        <v>948</v>
      </c>
      <c r="G150" t="s">
        <v>1096</v>
      </c>
      <c r="H150" t="s">
        <v>1335</v>
      </c>
      <c r="I150" t="s">
        <v>1333</v>
      </c>
      <c r="J150" s="41">
        <v>2127</v>
      </c>
      <c r="K150" s="41">
        <v>0</v>
      </c>
      <c r="L150" s="41">
        <v>0</v>
      </c>
      <c r="M150" s="41">
        <v>2127</v>
      </c>
      <c r="N150" s="41">
        <v>2127</v>
      </c>
      <c r="O150" s="41">
        <v>0</v>
      </c>
      <c r="P150" t="s">
        <v>1576</v>
      </c>
      <c r="Q150" t="s">
        <v>1245</v>
      </c>
      <c r="R150" t="s">
        <v>1192</v>
      </c>
      <c r="S150" t="s">
        <v>1193</v>
      </c>
      <c r="T150" t="s">
        <v>1336</v>
      </c>
    </row>
    <row r="151" spans="1:20" x14ac:dyDescent="0.3">
      <c r="A151" t="s">
        <v>551</v>
      </c>
      <c r="B151" t="s">
        <v>1265</v>
      </c>
      <c r="C151" t="s">
        <v>975</v>
      </c>
      <c r="D151" t="s">
        <v>686</v>
      </c>
      <c r="E151" t="s">
        <v>1123</v>
      </c>
      <c r="F151" t="s">
        <v>717</v>
      </c>
      <c r="G151" t="s">
        <v>717</v>
      </c>
      <c r="H151" t="s">
        <v>1261</v>
      </c>
      <c r="I151" t="s">
        <v>1258</v>
      </c>
      <c r="J151" s="41">
        <v>11.06</v>
      </c>
      <c r="K151" s="41">
        <v>11</v>
      </c>
      <c r="L151" s="41">
        <v>0</v>
      </c>
      <c r="M151" s="41">
        <v>22.06</v>
      </c>
      <c r="N151" s="41">
        <v>22.06</v>
      </c>
      <c r="O151" s="41">
        <v>11</v>
      </c>
      <c r="P151" t="s">
        <v>1576</v>
      </c>
      <c r="Q151" t="s">
        <v>1255</v>
      </c>
      <c r="R151" t="s">
        <v>1166</v>
      </c>
      <c r="S151" t="s">
        <v>1167</v>
      </c>
      <c r="T151" t="s">
        <v>1262</v>
      </c>
    </row>
    <row r="152" spans="1:20" x14ac:dyDescent="0.3">
      <c r="A152" t="s">
        <v>551</v>
      </c>
      <c r="B152" t="s">
        <v>1265</v>
      </c>
      <c r="C152" t="s">
        <v>975</v>
      </c>
      <c r="D152" t="s">
        <v>686</v>
      </c>
      <c r="E152" t="s">
        <v>1123</v>
      </c>
      <c r="F152" t="s">
        <v>717</v>
      </c>
      <c r="G152" t="s">
        <v>717</v>
      </c>
      <c r="H152" t="s">
        <v>1261</v>
      </c>
      <c r="I152" t="s">
        <v>573</v>
      </c>
      <c r="J152" s="41">
        <v>1.65</v>
      </c>
      <c r="K152" s="41">
        <v>3.4</v>
      </c>
      <c r="L152" s="41">
        <v>0</v>
      </c>
      <c r="M152" s="41">
        <v>5.05</v>
      </c>
      <c r="N152" s="41">
        <v>5.05</v>
      </c>
      <c r="O152" s="41">
        <v>3.4</v>
      </c>
      <c r="P152" t="s">
        <v>1576</v>
      </c>
      <c r="Q152" t="s">
        <v>1577</v>
      </c>
      <c r="R152" t="s">
        <v>1166</v>
      </c>
      <c r="S152" t="s">
        <v>1167</v>
      </c>
      <c r="T152" t="s">
        <v>1262</v>
      </c>
    </row>
    <row r="153" spans="1:20" x14ac:dyDescent="0.3">
      <c r="A153" t="s">
        <v>551</v>
      </c>
      <c r="B153" t="s">
        <v>1265</v>
      </c>
      <c r="C153" t="s">
        <v>975</v>
      </c>
      <c r="D153" t="s">
        <v>686</v>
      </c>
      <c r="E153" t="s">
        <v>1123</v>
      </c>
      <c r="F153" t="s">
        <v>717</v>
      </c>
      <c r="G153" t="s">
        <v>717</v>
      </c>
      <c r="H153" t="s">
        <v>1261</v>
      </c>
      <c r="I153" t="s">
        <v>1371</v>
      </c>
      <c r="J153" s="41">
        <v>80</v>
      </c>
      <c r="K153" s="41">
        <v>80</v>
      </c>
      <c r="L153" s="41">
        <v>0</v>
      </c>
      <c r="M153" s="41">
        <v>160</v>
      </c>
      <c r="N153" s="41">
        <v>160</v>
      </c>
      <c r="O153" s="41">
        <v>80</v>
      </c>
      <c r="P153" t="s">
        <v>1576</v>
      </c>
      <c r="Q153" t="s">
        <v>1337</v>
      </c>
      <c r="R153" t="s">
        <v>1166</v>
      </c>
      <c r="S153" t="s">
        <v>1167</v>
      </c>
      <c r="T153" t="s">
        <v>1262</v>
      </c>
    </row>
    <row r="154" spans="1:20" x14ac:dyDescent="0.3">
      <c r="A154" t="s">
        <v>551</v>
      </c>
      <c r="B154" t="s">
        <v>1373</v>
      </c>
      <c r="C154" t="s">
        <v>974</v>
      </c>
      <c r="D154" t="s">
        <v>496</v>
      </c>
      <c r="E154" t="s">
        <v>1048</v>
      </c>
      <c r="F154" t="s">
        <v>1318</v>
      </c>
      <c r="G154" t="s">
        <v>1049</v>
      </c>
      <c r="H154" t="s">
        <v>1319</v>
      </c>
      <c r="I154" t="s">
        <v>1376</v>
      </c>
      <c r="J154" s="41">
        <v>-2830.35</v>
      </c>
      <c r="K154" s="41">
        <v>0</v>
      </c>
      <c r="L154" s="41">
        <v>3900</v>
      </c>
      <c r="M154" s="41">
        <v>-6730.35</v>
      </c>
      <c r="N154" s="41">
        <v>6730.35</v>
      </c>
      <c r="O154" s="41">
        <v>3900</v>
      </c>
      <c r="P154" t="s">
        <v>1578</v>
      </c>
      <c r="Q154" t="s">
        <v>1255</v>
      </c>
      <c r="R154" t="s">
        <v>1166</v>
      </c>
      <c r="S154" t="s">
        <v>1167</v>
      </c>
      <c r="T154" t="s">
        <v>1320</v>
      </c>
    </row>
    <row r="155" spans="1:20" x14ac:dyDescent="0.3">
      <c r="A155" t="s">
        <v>551</v>
      </c>
      <c r="B155" t="s">
        <v>1373</v>
      </c>
      <c r="C155" t="s">
        <v>974</v>
      </c>
      <c r="D155" t="s">
        <v>496</v>
      </c>
      <c r="E155" t="s">
        <v>1048</v>
      </c>
      <c r="F155" t="s">
        <v>1318</v>
      </c>
      <c r="G155" t="s">
        <v>1049</v>
      </c>
      <c r="H155" t="s">
        <v>1319</v>
      </c>
      <c r="I155" t="s">
        <v>1378</v>
      </c>
      <c r="J155" s="41">
        <v>-300</v>
      </c>
      <c r="K155" s="41">
        <v>0</v>
      </c>
      <c r="L155" s="41">
        <v>0</v>
      </c>
      <c r="M155" s="41">
        <v>-300</v>
      </c>
      <c r="N155" s="41">
        <v>300</v>
      </c>
      <c r="O155" s="41">
        <v>0</v>
      </c>
      <c r="P155" t="s">
        <v>1578</v>
      </c>
      <c r="Q155" t="s">
        <v>1577</v>
      </c>
      <c r="R155" t="s">
        <v>1166</v>
      </c>
      <c r="S155" t="s">
        <v>1167</v>
      </c>
      <c r="T155" t="s">
        <v>1320</v>
      </c>
    </row>
    <row r="156" spans="1:20" x14ac:dyDescent="0.3">
      <c r="A156" t="s">
        <v>551</v>
      </c>
      <c r="B156" t="s">
        <v>1373</v>
      </c>
      <c r="C156" t="s">
        <v>974</v>
      </c>
      <c r="D156" t="s">
        <v>496</v>
      </c>
      <c r="E156" t="s">
        <v>1048</v>
      </c>
      <c r="F156" t="s">
        <v>1318</v>
      </c>
      <c r="G156" t="s">
        <v>1049</v>
      </c>
      <c r="H156" t="s">
        <v>1319</v>
      </c>
      <c r="I156" t="s">
        <v>1379</v>
      </c>
      <c r="J156" s="41">
        <v>-217</v>
      </c>
      <c r="K156" s="41">
        <v>0</v>
      </c>
      <c r="L156" s="41">
        <v>0</v>
      </c>
      <c r="M156" s="41">
        <v>-217</v>
      </c>
      <c r="N156" s="41">
        <v>217</v>
      </c>
      <c r="O156" s="41">
        <v>0</v>
      </c>
      <c r="P156" t="s">
        <v>1578</v>
      </c>
      <c r="Q156" t="s">
        <v>1337</v>
      </c>
      <c r="R156" t="s">
        <v>1166</v>
      </c>
      <c r="S156" t="s">
        <v>1167</v>
      </c>
      <c r="T156" t="s">
        <v>1320</v>
      </c>
    </row>
    <row r="157" spans="1:20" x14ac:dyDescent="0.3">
      <c r="A157" t="s">
        <v>551</v>
      </c>
      <c r="B157" t="s">
        <v>1373</v>
      </c>
      <c r="C157" t="s">
        <v>974</v>
      </c>
      <c r="D157" t="s">
        <v>496</v>
      </c>
      <c r="E157" t="s">
        <v>1048</v>
      </c>
      <c r="F157" t="s">
        <v>1318</v>
      </c>
      <c r="G157" t="s">
        <v>1049</v>
      </c>
      <c r="H157" t="s">
        <v>1319</v>
      </c>
      <c r="I157" t="s">
        <v>1381</v>
      </c>
      <c r="J157" s="41">
        <v>-96.45</v>
      </c>
      <c r="K157" s="41">
        <v>0</v>
      </c>
      <c r="L157" s="41">
        <v>96.45</v>
      </c>
      <c r="M157" s="41">
        <v>-192.9</v>
      </c>
      <c r="N157" s="41">
        <v>192.9</v>
      </c>
      <c r="O157" s="41">
        <v>96.45</v>
      </c>
      <c r="P157" t="s">
        <v>1578</v>
      </c>
      <c r="Q157" t="s">
        <v>1564</v>
      </c>
      <c r="R157" t="s">
        <v>1166</v>
      </c>
      <c r="S157" t="s">
        <v>1167</v>
      </c>
      <c r="T157" t="s">
        <v>1320</v>
      </c>
    </row>
    <row r="158" spans="1:20" x14ac:dyDescent="0.3">
      <c r="A158" t="s">
        <v>551</v>
      </c>
      <c r="B158" t="s">
        <v>1373</v>
      </c>
      <c r="C158" t="s">
        <v>974</v>
      </c>
      <c r="D158" t="s">
        <v>496</v>
      </c>
      <c r="E158" t="s">
        <v>1048</v>
      </c>
      <c r="F158" t="s">
        <v>1318</v>
      </c>
      <c r="G158" t="s">
        <v>1049</v>
      </c>
      <c r="H158" t="s">
        <v>1319</v>
      </c>
      <c r="I158" t="s">
        <v>1382</v>
      </c>
      <c r="J158" s="41">
        <v>-55</v>
      </c>
      <c r="K158" s="41">
        <v>0</v>
      </c>
      <c r="L158" s="41">
        <v>55</v>
      </c>
      <c r="M158" s="41">
        <v>-110</v>
      </c>
      <c r="N158" s="41">
        <v>110</v>
      </c>
      <c r="O158" s="41">
        <v>55</v>
      </c>
      <c r="P158" t="s">
        <v>1578</v>
      </c>
      <c r="Q158" t="s">
        <v>1257</v>
      </c>
      <c r="R158" t="s">
        <v>1166</v>
      </c>
      <c r="S158" t="s">
        <v>1167</v>
      </c>
      <c r="T158" t="s">
        <v>1320</v>
      </c>
    </row>
    <row r="159" spans="1:20" x14ac:dyDescent="0.3">
      <c r="A159" t="s">
        <v>551</v>
      </c>
      <c r="B159" t="s">
        <v>1373</v>
      </c>
      <c r="C159" t="s">
        <v>974</v>
      </c>
      <c r="D159" t="s">
        <v>496</v>
      </c>
      <c r="E159" t="s">
        <v>1118</v>
      </c>
      <c r="F159" t="s">
        <v>1324</v>
      </c>
      <c r="G159" t="s">
        <v>1119</v>
      </c>
      <c r="H159" t="s">
        <v>1418</v>
      </c>
      <c r="I159" t="s">
        <v>1376</v>
      </c>
      <c r="J159" s="41">
        <v>0</v>
      </c>
      <c r="K159" s="41">
        <v>0</v>
      </c>
      <c r="L159" s="41">
        <v>0.35</v>
      </c>
      <c r="M159" s="41">
        <v>-0.35</v>
      </c>
      <c r="N159" s="41">
        <v>0.35</v>
      </c>
      <c r="O159" s="41">
        <v>0.35</v>
      </c>
      <c r="P159" t="s">
        <v>1578</v>
      </c>
      <c r="Q159" t="s">
        <v>1351</v>
      </c>
      <c r="R159" t="s">
        <v>1166</v>
      </c>
      <c r="S159" t="s">
        <v>1167</v>
      </c>
      <c r="T159" t="s">
        <v>1419</v>
      </c>
    </row>
    <row r="160" spans="1:20" x14ac:dyDescent="0.3">
      <c r="A160" t="s">
        <v>551</v>
      </c>
      <c r="B160" t="s">
        <v>1373</v>
      </c>
      <c r="C160" t="s">
        <v>974</v>
      </c>
      <c r="D160" t="s">
        <v>496</v>
      </c>
      <c r="E160" t="s">
        <v>1118</v>
      </c>
      <c r="F160" t="s">
        <v>1324</v>
      </c>
      <c r="G160" t="s">
        <v>1119</v>
      </c>
      <c r="H160" t="s">
        <v>1418</v>
      </c>
      <c r="I160" t="s">
        <v>1378</v>
      </c>
      <c r="J160" s="41">
        <v>-83</v>
      </c>
      <c r="K160" s="41">
        <v>0</v>
      </c>
      <c r="L160" s="41">
        <v>0</v>
      </c>
      <c r="M160" s="41">
        <v>-83</v>
      </c>
      <c r="N160" s="41">
        <v>83</v>
      </c>
      <c r="O160" s="41">
        <v>0</v>
      </c>
      <c r="P160" t="s">
        <v>1578</v>
      </c>
      <c r="Q160" t="s">
        <v>1352</v>
      </c>
      <c r="R160" t="s">
        <v>1166</v>
      </c>
      <c r="S160" t="s">
        <v>1167</v>
      </c>
      <c r="T160" t="s">
        <v>1419</v>
      </c>
    </row>
    <row r="161" spans="1:20" x14ac:dyDescent="0.3">
      <c r="A161" t="s">
        <v>551</v>
      </c>
      <c r="B161" t="s">
        <v>1373</v>
      </c>
      <c r="C161" t="s">
        <v>974</v>
      </c>
      <c r="D161" t="s">
        <v>496</v>
      </c>
      <c r="E161" t="s">
        <v>1118</v>
      </c>
      <c r="F161" t="s">
        <v>1324</v>
      </c>
      <c r="G161" t="s">
        <v>1119</v>
      </c>
      <c r="H161" t="s">
        <v>1418</v>
      </c>
      <c r="I161" t="s">
        <v>1406</v>
      </c>
      <c r="J161" s="41">
        <v>-41.57</v>
      </c>
      <c r="K161" s="41">
        <v>0</v>
      </c>
      <c r="L161" s="41">
        <v>13.06</v>
      </c>
      <c r="M161" s="41">
        <v>-54.63</v>
      </c>
      <c r="N161" s="41">
        <v>54.63</v>
      </c>
      <c r="O161" s="41">
        <v>13.06</v>
      </c>
      <c r="P161" t="s">
        <v>1578</v>
      </c>
      <c r="Q161" t="s">
        <v>1353</v>
      </c>
      <c r="R161" t="s">
        <v>1166</v>
      </c>
      <c r="S161" t="s">
        <v>1167</v>
      </c>
      <c r="T161" t="s">
        <v>1419</v>
      </c>
    </row>
    <row r="162" spans="1:20" x14ac:dyDescent="0.3">
      <c r="A162" t="s">
        <v>551</v>
      </c>
      <c r="B162" t="s">
        <v>1373</v>
      </c>
      <c r="C162" t="s">
        <v>974</v>
      </c>
      <c r="D162" t="s">
        <v>496</v>
      </c>
      <c r="E162" t="s">
        <v>1060</v>
      </c>
      <c r="F162" t="s">
        <v>947</v>
      </c>
      <c r="G162" t="s">
        <v>1061</v>
      </c>
      <c r="H162" t="s">
        <v>1200</v>
      </c>
      <c r="I162" t="s">
        <v>1421</v>
      </c>
      <c r="J162" s="41">
        <v>2592.17</v>
      </c>
      <c r="K162" s="41">
        <v>2592.17</v>
      </c>
      <c r="L162" s="41">
        <v>0</v>
      </c>
      <c r="M162" s="41">
        <v>5184.34</v>
      </c>
      <c r="N162" s="41">
        <v>5184.34</v>
      </c>
      <c r="O162" s="41">
        <v>2592.17</v>
      </c>
      <c r="P162" t="s">
        <v>1578</v>
      </c>
      <c r="Q162" t="s">
        <v>1358</v>
      </c>
      <c r="R162" t="s">
        <v>1166</v>
      </c>
      <c r="S162" t="s">
        <v>1167</v>
      </c>
      <c r="T162" t="s">
        <v>1201</v>
      </c>
    </row>
    <row r="163" spans="1:20" x14ac:dyDescent="0.3">
      <c r="A163" t="s">
        <v>551</v>
      </c>
      <c r="B163" t="s">
        <v>1373</v>
      </c>
      <c r="C163" t="s">
        <v>974</v>
      </c>
      <c r="D163" t="s">
        <v>496</v>
      </c>
      <c r="E163" t="s">
        <v>1075</v>
      </c>
      <c r="F163" t="s">
        <v>947</v>
      </c>
      <c r="G163" t="s">
        <v>1076</v>
      </c>
      <c r="H163" t="s">
        <v>1205</v>
      </c>
      <c r="I163" t="s">
        <v>1423</v>
      </c>
      <c r="J163" s="41">
        <v>0</v>
      </c>
      <c r="K163" s="41">
        <v>9.91</v>
      </c>
      <c r="L163" s="41">
        <v>0</v>
      </c>
      <c r="M163" s="41">
        <v>9.91</v>
      </c>
      <c r="N163" s="41">
        <v>9.91</v>
      </c>
      <c r="O163" s="41">
        <v>9.91</v>
      </c>
      <c r="P163" t="s">
        <v>1578</v>
      </c>
      <c r="Q163" t="s">
        <v>1566</v>
      </c>
      <c r="R163" t="s">
        <v>1166</v>
      </c>
      <c r="S163" t="s">
        <v>1167</v>
      </c>
      <c r="T163" t="s">
        <v>1206</v>
      </c>
    </row>
    <row r="164" spans="1:20" x14ac:dyDescent="0.3">
      <c r="A164" t="s">
        <v>551</v>
      </c>
      <c r="B164" t="s">
        <v>1373</v>
      </c>
      <c r="C164" t="s">
        <v>974</v>
      </c>
      <c r="D164" t="s">
        <v>496</v>
      </c>
      <c r="E164" t="s">
        <v>1060</v>
      </c>
      <c r="F164" t="s">
        <v>947</v>
      </c>
      <c r="G164" t="s">
        <v>1061</v>
      </c>
      <c r="H164" t="s">
        <v>1430</v>
      </c>
      <c r="I164" t="s">
        <v>1428</v>
      </c>
      <c r="J164" s="41">
        <v>0</v>
      </c>
      <c r="K164" s="41">
        <v>7600</v>
      </c>
      <c r="L164" s="41">
        <v>0</v>
      </c>
      <c r="M164" s="41">
        <v>7600</v>
      </c>
      <c r="N164" s="41">
        <v>7600</v>
      </c>
      <c r="O164" s="41">
        <v>7600</v>
      </c>
      <c r="P164" t="s">
        <v>1578</v>
      </c>
      <c r="Q164" t="s">
        <v>1420</v>
      </c>
      <c r="R164" t="s">
        <v>1192</v>
      </c>
      <c r="S164" t="s">
        <v>1193</v>
      </c>
      <c r="T164" t="s">
        <v>1431</v>
      </c>
    </row>
    <row r="165" spans="1:20" x14ac:dyDescent="0.3">
      <c r="A165" t="s">
        <v>551</v>
      </c>
      <c r="B165" t="s">
        <v>1373</v>
      </c>
      <c r="C165" t="s">
        <v>974</v>
      </c>
      <c r="D165" t="s">
        <v>496</v>
      </c>
      <c r="E165" t="s">
        <v>1060</v>
      </c>
      <c r="F165" t="s">
        <v>947</v>
      </c>
      <c r="G165" t="s">
        <v>1061</v>
      </c>
      <c r="H165" t="s">
        <v>1447</v>
      </c>
      <c r="I165" t="s">
        <v>1445</v>
      </c>
      <c r="J165" s="41">
        <v>122.93</v>
      </c>
      <c r="K165" s="41">
        <v>0</v>
      </c>
      <c r="L165" s="41">
        <v>0</v>
      </c>
      <c r="M165" s="41">
        <v>122.93</v>
      </c>
      <c r="N165" s="41">
        <v>122.93</v>
      </c>
      <c r="O165" s="41">
        <v>0</v>
      </c>
      <c r="P165" t="s">
        <v>1578</v>
      </c>
      <c r="Q165" t="s">
        <v>1422</v>
      </c>
      <c r="R165" t="s">
        <v>1166</v>
      </c>
      <c r="S165" t="s">
        <v>1167</v>
      </c>
      <c r="T165" t="s">
        <v>1448</v>
      </c>
    </row>
    <row r="166" spans="1:20" x14ac:dyDescent="0.3">
      <c r="A166" t="s">
        <v>551</v>
      </c>
      <c r="B166" t="s">
        <v>1373</v>
      </c>
      <c r="C166" t="s">
        <v>974</v>
      </c>
      <c r="D166" t="s">
        <v>496</v>
      </c>
      <c r="E166" t="s">
        <v>1060</v>
      </c>
      <c r="F166" t="s">
        <v>947</v>
      </c>
      <c r="G166" t="s">
        <v>1061</v>
      </c>
      <c r="H166" t="s">
        <v>1451</v>
      </c>
      <c r="I166" t="s">
        <v>1421</v>
      </c>
      <c r="J166" s="41">
        <v>835.33</v>
      </c>
      <c r="K166" s="41">
        <v>736.33</v>
      </c>
      <c r="L166" s="41">
        <v>0</v>
      </c>
      <c r="M166" s="41">
        <v>1571.66</v>
      </c>
      <c r="N166" s="41">
        <v>1571.66</v>
      </c>
      <c r="O166" s="41">
        <v>736.33</v>
      </c>
      <c r="P166" t="s">
        <v>1578</v>
      </c>
      <c r="Q166" t="s">
        <v>1368</v>
      </c>
      <c r="R166" t="s">
        <v>1192</v>
      </c>
      <c r="S166" t="s">
        <v>1193</v>
      </c>
      <c r="T166" t="s">
        <v>1452</v>
      </c>
    </row>
    <row r="167" spans="1:20" x14ac:dyDescent="0.3">
      <c r="A167" t="s">
        <v>551</v>
      </c>
      <c r="B167" t="s">
        <v>1373</v>
      </c>
      <c r="C167" t="s">
        <v>974</v>
      </c>
      <c r="D167" t="s">
        <v>496</v>
      </c>
      <c r="E167" t="s">
        <v>1062</v>
      </c>
      <c r="F167" t="s">
        <v>947</v>
      </c>
      <c r="G167" t="s">
        <v>1063</v>
      </c>
      <c r="H167" t="s">
        <v>1331</v>
      </c>
      <c r="I167" t="s">
        <v>1454</v>
      </c>
      <c r="J167" s="41">
        <v>0</v>
      </c>
      <c r="K167" s="41">
        <v>445</v>
      </c>
      <c r="L167" s="41">
        <v>0</v>
      </c>
      <c r="M167" s="41">
        <v>445</v>
      </c>
      <c r="N167" s="41">
        <v>445</v>
      </c>
      <c r="O167" s="41">
        <v>445</v>
      </c>
      <c r="P167" t="s">
        <v>1578</v>
      </c>
      <c r="Q167" t="s">
        <v>1426</v>
      </c>
      <c r="R167" t="s">
        <v>1166</v>
      </c>
      <c r="S167" t="s">
        <v>1167</v>
      </c>
      <c r="T167" t="s">
        <v>1332</v>
      </c>
    </row>
    <row r="168" spans="1:20" x14ac:dyDescent="0.3">
      <c r="A168" t="s">
        <v>551</v>
      </c>
      <c r="B168" t="s">
        <v>1373</v>
      </c>
      <c r="C168" t="s">
        <v>974</v>
      </c>
      <c r="D168" t="s">
        <v>496</v>
      </c>
      <c r="E168" t="s">
        <v>1064</v>
      </c>
      <c r="F168" t="s">
        <v>947</v>
      </c>
      <c r="G168" t="s">
        <v>1065</v>
      </c>
      <c r="H168" t="s">
        <v>1222</v>
      </c>
      <c r="I168" t="s">
        <v>1456</v>
      </c>
      <c r="J168" s="41">
        <v>0</v>
      </c>
      <c r="K168" s="41">
        <v>4021.87</v>
      </c>
      <c r="L168" s="41">
        <v>0</v>
      </c>
      <c r="M168" s="41">
        <v>4021.87</v>
      </c>
      <c r="N168" s="41">
        <v>4021.87</v>
      </c>
      <c r="O168" s="41">
        <v>4021.87</v>
      </c>
      <c r="P168" t="s">
        <v>1578</v>
      </c>
      <c r="Q168" t="s">
        <v>1438</v>
      </c>
      <c r="R168" t="s">
        <v>1166</v>
      </c>
      <c r="S168" t="s">
        <v>1167</v>
      </c>
      <c r="T168" t="s">
        <v>1223</v>
      </c>
    </row>
    <row r="169" spans="1:20" x14ac:dyDescent="0.3">
      <c r="A169" t="s">
        <v>551</v>
      </c>
      <c r="B169" t="s">
        <v>1373</v>
      </c>
      <c r="C169" t="s">
        <v>974</v>
      </c>
      <c r="D169" t="s">
        <v>496</v>
      </c>
      <c r="E169" t="s">
        <v>1069</v>
      </c>
      <c r="F169" t="s">
        <v>947</v>
      </c>
      <c r="G169" t="s">
        <v>1070</v>
      </c>
      <c r="H169" t="s">
        <v>1243</v>
      </c>
      <c r="I169" t="s">
        <v>1458</v>
      </c>
      <c r="J169" s="41">
        <v>21.35</v>
      </c>
      <c r="K169" s="41">
        <v>204</v>
      </c>
      <c r="L169" s="41">
        <v>0</v>
      </c>
      <c r="M169" s="41">
        <v>225.35</v>
      </c>
      <c r="N169" s="41">
        <v>225.35</v>
      </c>
      <c r="O169" s="41">
        <v>204</v>
      </c>
      <c r="P169" t="s">
        <v>1578</v>
      </c>
      <c r="Q169" t="s">
        <v>1567</v>
      </c>
      <c r="R169" t="s">
        <v>1166</v>
      </c>
      <c r="S169" t="s">
        <v>1193</v>
      </c>
      <c r="T169" t="s">
        <v>1244</v>
      </c>
    </row>
    <row r="170" spans="1:20" x14ac:dyDescent="0.3">
      <c r="A170" t="s">
        <v>551</v>
      </c>
      <c r="B170" t="s">
        <v>1373</v>
      </c>
      <c r="C170" t="s">
        <v>974</v>
      </c>
      <c r="D170" t="s">
        <v>496</v>
      </c>
      <c r="E170" t="s">
        <v>1069</v>
      </c>
      <c r="F170" t="s">
        <v>947</v>
      </c>
      <c r="G170" t="s">
        <v>1070</v>
      </c>
      <c r="H170" t="s">
        <v>1243</v>
      </c>
      <c r="I170" t="s">
        <v>1460</v>
      </c>
      <c r="J170" s="41">
        <v>0</v>
      </c>
      <c r="K170" s="41">
        <v>191.4</v>
      </c>
      <c r="L170" s="41">
        <v>0</v>
      </c>
      <c r="M170" s="41">
        <v>191.4</v>
      </c>
      <c r="N170" s="41">
        <v>191.4</v>
      </c>
      <c r="O170" s="41">
        <v>191.4</v>
      </c>
      <c r="P170" t="s">
        <v>1578</v>
      </c>
      <c r="Q170" t="s">
        <v>1443</v>
      </c>
      <c r="R170" t="s">
        <v>1166</v>
      </c>
      <c r="S170" t="s">
        <v>1193</v>
      </c>
      <c r="T170" t="s">
        <v>1244</v>
      </c>
    </row>
    <row r="171" spans="1:20" x14ac:dyDescent="0.3">
      <c r="A171" t="s">
        <v>551</v>
      </c>
      <c r="B171" t="s">
        <v>1373</v>
      </c>
      <c r="C171" t="s">
        <v>974</v>
      </c>
      <c r="D171" t="s">
        <v>496</v>
      </c>
      <c r="E171" t="s">
        <v>1069</v>
      </c>
      <c r="F171" t="s">
        <v>947</v>
      </c>
      <c r="G171" t="s">
        <v>1070</v>
      </c>
      <c r="H171" t="s">
        <v>1243</v>
      </c>
      <c r="I171" t="s">
        <v>1464</v>
      </c>
      <c r="J171" s="41">
        <v>20</v>
      </c>
      <c r="K171" s="41">
        <v>20</v>
      </c>
      <c r="L171" s="41">
        <v>0</v>
      </c>
      <c r="M171" s="41">
        <v>40</v>
      </c>
      <c r="N171" s="41">
        <v>40</v>
      </c>
      <c r="O171" s="41">
        <v>20</v>
      </c>
      <c r="P171" t="s">
        <v>1578</v>
      </c>
      <c r="Q171" t="s">
        <v>1568</v>
      </c>
      <c r="R171" t="s">
        <v>1166</v>
      </c>
      <c r="S171" t="s">
        <v>1193</v>
      </c>
      <c r="T171" t="s">
        <v>1244</v>
      </c>
    </row>
    <row r="172" spans="1:20" x14ac:dyDescent="0.3">
      <c r="A172" t="s">
        <v>551</v>
      </c>
      <c r="B172" t="s">
        <v>1373</v>
      </c>
      <c r="C172" t="s">
        <v>974</v>
      </c>
      <c r="D172" t="s">
        <v>496</v>
      </c>
      <c r="E172" t="s">
        <v>1073</v>
      </c>
      <c r="F172" t="s">
        <v>947</v>
      </c>
      <c r="G172" t="s">
        <v>1074</v>
      </c>
      <c r="H172" t="s">
        <v>1471</v>
      </c>
      <c r="I172" t="s">
        <v>1469</v>
      </c>
      <c r="J172" s="41">
        <v>11.36</v>
      </c>
      <c r="K172" s="41">
        <v>11.54</v>
      </c>
      <c r="L172" s="41">
        <v>0</v>
      </c>
      <c r="M172" s="41">
        <v>22.9</v>
      </c>
      <c r="N172" s="41">
        <v>22.9</v>
      </c>
      <c r="O172" s="41">
        <v>11.54</v>
      </c>
      <c r="P172" t="s">
        <v>1578</v>
      </c>
      <c r="Q172" t="s">
        <v>1579</v>
      </c>
      <c r="R172" t="s">
        <v>1166</v>
      </c>
      <c r="S172" t="s">
        <v>1167</v>
      </c>
      <c r="T172" t="s">
        <v>1472</v>
      </c>
    </row>
    <row r="173" spans="1:20" x14ac:dyDescent="0.3">
      <c r="A173" t="s">
        <v>551</v>
      </c>
      <c r="B173" t="s">
        <v>1373</v>
      </c>
      <c r="C173" t="s">
        <v>974</v>
      </c>
      <c r="D173" t="s">
        <v>496</v>
      </c>
      <c r="E173" t="s">
        <v>1077</v>
      </c>
      <c r="F173" t="s">
        <v>947</v>
      </c>
      <c r="G173" t="s">
        <v>1078</v>
      </c>
      <c r="H173" t="s">
        <v>576</v>
      </c>
      <c r="I173" t="s">
        <v>1474</v>
      </c>
      <c r="J173" s="41">
        <v>228.63</v>
      </c>
      <c r="K173" s="41">
        <v>177.24</v>
      </c>
      <c r="L173" s="41">
        <v>0</v>
      </c>
      <c r="M173" s="41">
        <v>405.87</v>
      </c>
      <c r="N173" s="41">
        <v>405.87</v>
      </c>
      <c r="O173" s="41">
        <v>177.24</v>
      </c>
      <c r="P173" t="s">
        <v>1578</v>
      </c>
      <c r="Q173" t="s">
        <v>1453</v>
      </c>
      <c r="R173" t="s">
        <v>1192</v>
      </c>
      <c r="S173" t="s">
        <v>1193</v>
      </c>
      <c r="T173" t="s">
        <v>1476</v>
      </c>
    </row>
    <row r="174" spans="1:20" x14ac:dyDescent="0.3">
      <c r="A174" t="s">
        <v>551</v>
      </c>
      <c r="B174" t="s">
        <v>1373</v>
      </c>
      <c r="C174" t="s">
        <v>974</v>
      </c>
      <c r="D174" t="s">
        <v>496</v>
      </c>
      <c r="E174" t="s">
        <v>1079</v>
      </c>
      <c r="F174" t="s">
        <v>947</v>
      </c>
      <c r="G174" t="s">
        <v>1080</v>
      </c>
      <c r="H174" t="s">
        <v>1480</v>
      </c>
      <c r="I174" t="s">
        <v>1483</v>
      </c>
      <c r="J174" s="41">
        <v>50.73</v>
      </c>
      <c r="K174" s="41">
        <v>0</v>
      </c>
      <c r="L174" s="41">
        <v>0</v>
      </c>
      <c r="M174" s="41">
        <v>50.73</v>
      </c>
      <c r="N174" s="41">
        <v>50.73</v>
      </c>
      <c r="O174" s="41">
        <v>0</v>
      </c>
      <c r="P174" t="s">
        <v>1578</v>
      </c>
      <c r="Q174" t="s">
        <v>1455</v>
      </c>
      <c r="R174" t="s">
        <v>1166</v>
      </c>
      <c r="S174" t="s">
        <v>1193</v>
      </c>
      <c r="T174" t="s">
        <v>1481</v>
      </c>
    </row>
    <row r="175" spans="1:20" x14ac:dyDescent="0.3">
      <c r="A175" t="s">
        <v>551</v>
      </c>
      <c r="B175" t="s">
        <v>1373</v>
      </c>
      <c r="C175" t="s">
        <v>974</v>
      </c>
      <c r="D175" t="s">
        <v>496</v>
      </c>
      <c r="E175" t="s">
        <v>1081</v>
      </c>
      <c r="F175" t="s">
        <v>947</v>
      </c>
      <c r="G175" t="s">
        <v>1082</v>
      </c>
      <c r="H175" t="s">
        <v>1488</v>
      </c>
      <c r="I175" t="s">
        <v>1505</v>
      </c>
      <c r="J175" s="41">
        <v>177.68</v>
      </c>
      <c r="K175" s="41">
        <v>0</v>
      </c>
      <c r="L175" s="41">
        <v>0</v>
      </c>
      <c r="M175" s="41">
        <v>177.68</v>
      </c>
      <c r="N175" s="41">
        <v>177.68</v>
      </c>
      <c r="O175" s="41">
        <v>0</v>
      </c>
      <c r="P175" t="s">
        <v>1578</v>
      </c>
      <c r="Q175" t="s">
        <v>1580</v>
      </c>
      <c r="R175" t="s">
        <v>1166</v>
      </c>
      <c r="S175" t="s">
        <v>1193</v>
      </c>
      <c r="T175" t="s">
        <v>1489</v>
      </c>
    </row>
    <row r="176" spans="1:20" x14ac:dyDescent="0.3">
      <c r="A176" t="s">
        <v>551</v>
      </c>
      <c r="B176" t="s">
        <v>1373</v>
      </c>
      <c r="C176" t="s">
        <v>974</v>
      </c>
      <c r="D176" t="s">
        <v>496</v>
      </c>
      <c r="E176" t="s">
        <v>1081</v>
      </c>
      <c r="F176" t="s">
        <v>947</v>
      </c>
      <c r="G176" t="s">
        <v>1082</v>
      </c>
      <c r="H176" t="s">
        <v>1488</v>
      </c>
      <c r="I176" t="s">
        <v>1507</v>
      </c>
      <c r="J176" s="41">
        <v>248</v>
      </c>
      <c r="K176" s="41">
        <v>0</v>
      </c>
      <c r="L176" s="41">
        <v>0</v>
      </c>
      <c r="M176" s="41">
        <v>248</v>
      </c>
      <c r="N176" s="41">
        <v>248</v>
      </c>
      <c r="O176" s="41">
        <v>0</v>
      </c>
      <c r="P176" t="s">
        <v>1578</v>
      </c>
      <c r="Q176" t="s">
        <v>1457</v>
      </c>
      <c r="R176" t="s">
        <v>1166</v>
      </c>
      <c r="S176" t="s">
        <v>1193</v>
      </c>
      <c r="T176" t="s">
        <v>1489</v>
      </c>
    </row>
    <row r="177" spans="1:20" x14ac:dyDescent="0.3">
      <c r="A177" t="s">
        <v>551</v>
      </c>
      <c r="B177" t="s">
        <v>1373</v>
      </c>
      <c r="C177" t="s">
        <v>974</v>
      </c>
      <c r="D177" t="s">
        <v>496</v>
      </c>
      <c r="E177" t="s">
        <v>1081</v>
      </c>
      <c r="F177" t="s">
        <v>947</v>
      </c>
      <c r="G177" t="s">
        <v>1082</v>
      </c>
      <c r="H177" t="s">
        <v>1488</v>
      </c>
      <c r="I177" t="s">
        <v>1509</v>
      </c>
      <c r="J177" s="41">
        <v>30.09</v>
      </c>
      <c r="K177" s="41">
        <v>0</v>
      </c>
      <c r="L177" s="41">
        <v>0</v>
      </c>
      <c r="M177" s="41">
        <v>30.09</v>
      </c>
      <c r="N177" s="41">
        <v>30.09</v>
      </c>
      <c r="O177" s="41">
        <v>0</v>
      </c>
      <c r="P177" t="s">
        <v>1578</v>
      </c>
      <c r="Q177" t="s">
        <v>1459</v>
      </c>
      <c r="R177" t="s">
        <v>1166</v>
      </c>
      <c r="S177" t="s">
        <v>1193</v>
      </c>
      <c r="T177" t="s">
        <v>1489</v>
      </c>
    </row>
    <row r="178" spans="1:20" x14ac:dyDescent="0.3">
      <c r="A178" t="s">
        <v>551</v>
      </c>
      <c r="B178" t="s">
        <v>1373</v>
      </c>
      <c r="C178" t="s">
        <v>974</v>
      </c>
      <c r="D178" t="s">
        <v>496</v>
      </c>
      <c r="E178" t="s">
        <v>1062</v>
      </c>
      <c r="F178" t="s">
        <v>947</v>
      </c>
      <c r="G178" t="s">
        <v>1063</v>
      </c>
      <c r="H178" t="s">
        <v>1531</v>
      </c>
      <c r="I178" t="s">
        <v>1529</v>
      </c>
      <c r="J178" s="41">
        <v>1500</v>
      </c>
      <c r="K178" s="41">
        <v>0</v>
      </c>
      <c r="L178" s="41">
        <v>0</v>
      </c>
      <c r="M178" s="41">
        <v>1500</v>
      </c>
      <c r="N178" s="41">
        <v>1500</v>
      </c>
      <c r="O178" s="41">
        <v>0</v>
      </c>
      <c r="P178" t="s">
        <v>1578</v>
      </c>
      <c r="Q178" t="s">
        <v>1581</v>
      </c>
      <c r="R178" t="s">
        <v>1166</v>
      </c>
      <c r="S178" t="s">
        <v>1167</v>
      </c>
      <c r="T178" t="s">
        <v>1532</v>
      </c>
    </row>
    <row r="179" spans="1:20" x14ac:dyDescent="0.3">
      <c r="A179" t="s">
        <v>551</v>
      </c>
      <c r="B179" t="s">
        <v>1373</v>
      </c>
      <c r="C179" t="s">
        <v>974</v>
      </c>
      <c r="D179" t="s">
        <v>496</v>
      </c>
      <c r="E179" t="s">
        <v>1099</v>
      </c>
      <c r="F179" t="s">
        <v>948</v>
      </c>
      <c r="G179" t="s">
        <v>1100</v>
      </c>
      <c r="H179" t="s">
        <v>576</v>
      </c>
      <c r="I179" t="s">
        <v>1537</v>
      </c>
      <c r="J179" s="41">
        <v>648</v>
      </c>
      <c r="K179" s="41">
        <v>0</v>
      </c>
      <c r="L179" s="41">
        <v>0</v>
      </c>
      <c r="M179" s="41">
        <v>648</v>
      </c>
      <c r="N179" s="41">
        <v>648</v>
      </c>
      <c r="O179" s="41">
        <v>0</v>
      </c>
      <c r="P179" t="s">
        <v>1578</v>
      </c>
      <c r="Q179" t="s">
        <v>1473</v>
      </c>
      <c r="R179" t="s">
        <v>1192</v>
      </c>
      <c r="S179" t="s">
        <v>1193</v>
      </c>
      <c r="T179" t="s">
        <v>1539</v>
      </c>
    </row>
    <row r="180" spans="1:20" x14ac:dyDescent="0.3">
      <c r="A180" t="s">
        <v>551</v>
      </c>
      <c r="B180" t="s">
        <v>1373</v>
      </c>
      <c r="C180" t="s">
        <v>974</v>
      </c>
      <c r="D180" t="s">
        <v>496</v>
      </c>
      <c r="E180" t="s">
        <v>1123</v>
      </c>
      <c r="F180" t="s">
        <v>717</v>
      </c>
      <c r="G180" t="s">
        <v>717</v>
      </c>
      <c r="H180" t="s">
        <v>1547</v>
      </c>
      <c r="I180" t="s">
        <v>1545</v>
      </c>
      <c r="J180" s="41">
        <v>0</v>
      </c>
      <c r="K180" s="41">
        <v>5.22</v>
      </c>
      <c r="L180" s="41">
        <v>0</v>
      </c>
      <c r="M180" s="41">
        <v>5.22</v>
      </c>
      <c r="N180" s="41">
        <v>5.22</v>
      </c>
      <c r="O180" s="41">
        <v>5.22</v>
      </c>
      <c r="P180" t="s">
        <v>1578</v>
      </c>
      <c r="Q180" t="s">
        <v>1482</v>
      </c>
      <c r="R180" t="s">
        <v>1166</v>
      </c>
      <c r="S180" t="s">
        <v>1167</v>
      </c>
      <c r="T180" t="s">
        <v>1548</v>
      </c>
    </row>
    <row r="181" spans="1:20" x14ac:dyDescent="0.3">
      <c r="A181" t="s">
        <v>551</v>
      </c>
      <c r="B181" t="s">
        <v>1373</v>
      </c>
      <c r="C181" t="s">
        <v>974</v>
      </c>
      <c r="D181" t="s">
        <v>496</v>
      </c>
      <c r="E181" t="s">
        <v>1123</v>
      </c>
      <c r="F181" t="s">
        <v>717</v>
      </c>
      <c r="G181" t="s">
        <v>717</v>
      </c>
      <c r="H181" t="s">
        <v>1547</v>
      </c>
      <c r="I181" t="s">
        <v>1551</v>
      </c>
      <c r="J181" s="41">
        <v>75</v>
      </c>
      <c r="K181" s="41">
        <v>77.849999999999994</v>
      </c>
      <c r="L181" s="41">
        <v>0</v>
      </c>
      <c r="M181" s="41">
        <v>152.85</v>
      </c>
      <c r="N181" s="41">
        <v>152.85</v>
      </c>
      <c r="O181" s="41">
        <v>77.849999999999994</v>
      </c>
      <c r="P181" t="s">
        <v>1578</v>
      </c>
      <c r="Q181" t="s">
        <v>1582</v>
      </c>
      <c r="R181" t="s">
        <v>1166</v>
      </c>
      <c r="S181" t="s">
        <v>1167</v>
      </c>
      <c r="T181" t="s">
        <v>1548</v>
      </c>
    </row>
    <row r="182" spans="1:20" x14ac:dyDescent="0.3">
      <c r="A182" t="s">
        <v>551</v>
      </c>
      <c r="B182" t="s">
        <v>1373</v>
      </c>
      <c r="C182" t="s">
        <v>974</v>
      </c>
      <c r="D182" t="s">
        <v>496</v>
      </c>
      <c r="E182" t="s">
        <v>1123</v>
      </c>
      <c r="F182" t="s">
        <v>717</v>
      </c>
      <c r="G182" t="s">
        <v>717</v>
      </c>
      <c r="H182" t="s">
        <v>1547</v>
      </c>
      <c r="I182" t="s">
        <v>1406</v>
      </c>
      <c r="J182" s="41">
        <v>0.9</v>
      </c>
      <c r="K182" s="41">
        <v>0</v>
      </c>
      <c r="L182" s="41">
        <v>0</v>
      </c>
      <c r="M182" s="41">
        <v>0.9</v>
      </c>
      <c r="N182" s="41">
        <v>0.9</v>
      </c>
      <c r="O182" s="41">
        <v>0</v>
      </c>
      <c r="P182" t="s">
        <v>1578</v>
      </c>
      <c r="Q182" t="s">
        <v>1484</v>
      </c>
      <c r="R182" t="s">
        <v>1166</v>
      </c>
      <c r="S182" t="s">
        <v>1167</v>
      </c>
      <c r="T182" t="s">
        <v>1548</v>
      </c>
    </row>
    <row r="183" spans="1:20" x14ac:dyDescent="0.3">
      <c r="A183" t="s">
        <v>624</v>
      </c>
      <c r="B183" t="s">
        <v>1265</v>
      </c>
      <c r="C183" t="s">
        <v>975</v>
      </c>
      <c r="D183" t="s">
        <v>686</v>
      </c>
      <c r="E183" t="s">
        <v>1048</v>
      </c>
      <c r="F183" t="s">
        <v>1318</v>
      </c>
      <c r="G183" t="s">
        <v>1049</v>
      </c>
      <c r="H183" t="s">
        <v>1319</v>
      </c>
      <c r="I183" t="s">
        <v>1316</v>
      </c>
      <c r="J183" s="41">
        <v>-1808.92</v>
      </c>
      <c r="K183" s="41">
        <v>0</v>
      </c>
      <c r="L183" s="41">
        <v>3376.69</v>
      </c>
      <c r="M183" s="41">
        <v>-5185.6099999999997</v>
      </c>
      <c r="N183" s="41">
        <v>5185.6099999999997</v>
      </c>
      <c r="O183" s="41">
        <v>3376.69</v>
      </c>
      <c r="P183" t="s">
        <v>1583</v>
      </c>
      <c r="Q183" t="s">
        <v>1554</v>
      </c>
      <c r="R183" t="s">
        <v>1166</v>
      </c>
      <c r="S183" t="s">
        <v>1167</v>
      </c>
      <c r="T183" t="s">
        <v>1320</v>
      </c>
    </row>
    <row r="184" spans="1:20" x14ac:dyDescent="0.3">
      <c r="A184" t="s">
        <v>624</v>
      </c>
      <c r="B184" t="s">
        <v>1265</v>
      </c>
      <c r="C184" t="s">
        <v>975</v>
      </c>
      <c r="D184" t="s">
        <v>686</v>
      </c>
      <c r="E184" t="s">
        <v>1048</v>
      </c>
      <c r="F184" t="s">
        <v>1318</v>
      </c>
      <c r="G184" t="s">
        <v>1049</v>
      </c>
      <c r="H184" t="s">
        <v>1319</v>
      </c>
      <c r="I184" t="s">
        <v>1321</v>
      </c>
      <c r="J184" s="41">
        <v>-11296.09</v>
      </c>
      <c r="K184" s="41">
        <v>0</v>
      </c>
      <c r="L184" s="41">
        <v>2825.56</v>
      </c>
      <c r="M184" s="41">
        <v>-14121.65</v>
      </c>
      <c r="N184" s="41">
        <v>14121.65</v>
      </c>
      <c r="O184" s="41">
        <v>2825.56</v>
      </c>
      <c r="P184" t="s">
        <v>1583</v>
      </c>
      <c r="Q184" t="s">
        <v>1584</v>
      </c>
      <c r="R184" t="s">
        <v>1166</v>
      </c>
      <c r="S184" t="s">
        <v>1167</v>
      </c>
      <c r="T184" t="s">
        <v>1320</v>
      </c>
    </row>
    <row r="185" spans="1:20" x14ac:dyDescent="0.3">
      <c r="A185" t="s">
        <v>624</v>
      </c>
      <c r="B185" t="s">
        <v>1265</v>
      </c>
      <c r="C185" t="s">
        <v>975</v>
      </c>
      <c r="D185" t="s">
        <v>686</v>
      </c>
      <c r="E185" t="s">
        <v>1120</v>
      </c>
      <c r="F185" t="s">
        <v>1324</v>
      </c>
      <c r="G185" t="s">
        <v>811</v>
      </c>
      <c r="H185" t="s">
        <v>811</v>
      </c>
      <c r="I185" t="s">
        <v>1322</v>
      </c>
      <c r="J185" s="41">
        <v>-64960.94</v>
      </c>
      <c r="K185" s="41">
        <v>0</v>
      </c>
      <c r="L185" s="41">
        <v>0</v>
      </c>
      <c r="M185" s="41">
        <v>-64960.94</v>
      </c>
      <c r="N185" s="41">
        <v>64960.94</v>
      </c>
      <c r="O185" s="41">
        <v>0</v>
      </c>
      <c r="P185" t="s">
        <v>1583</v>
      </c>
      <c r="Q185" t="s">
        <v>1412</v>
      </c>
      <c r="R185" t="s">
        <v>1192</v>
      </c>
      <c r="S185" t="s">
        <v>1193</v>
      </c>
      <c r="T185" t="s">
        <v>1325</v>
      </c>
    </row>
    <row r="186" spans="1:20" x14ac:dyDescent="0.3">
      <c r="A186" t="s">
        <v>624</v>
      </c>
      <c r="B186" t="s">
        <v>1265</v>
      </c>
      <c r="C186" t="s">
        <v>975</v>
      </c>
      <c r="D186" t="s">
        <v>686</v>
      </c>
      <c r="E186" t="s">
        <v>1062</v>
      </c>
      <c r="F186" t="s">
        <v>947</v>
      </c>
      <c r="G186" t="s">
        <v>1063</v>
      </c>
      <c r="H186" t="s">
        <v>1216</v>
      </c>
      <c r="I186" t="s">
        <v>1326</v>
      </c>
      <c r="J186" s="41">
        <v>2068.9499999999998</v>
      </c>
      <c r="K186" s="41">
        <v>528</v>
      </c>
      <c r="L186" s="41">
        <v>0</v>
      </c>
      <c r="M186" s="41">
        <v>2596.9499999999998</v>
      </c>
      <c r="N186" s="41">
        <v>2596.9499999999998</v>
      </c>
      <c r="O186" s="41">
        <v>528</v>
      </c>
      <c r="P186" t="s">
        <v>1583</v>
      </c>
      <c r="Q186" t="s">
        <v>1327</v>
      </c>
      <c r="R186" t="s">
        <v>1166</v>
      </c>
      <c r="S186" t="s">
        <v>1167</v>
      </c>
      <c r="T186" t="s">
        <v>1217</v>
      </c>
    </row>
    <row r="187" spans="1:20" x14ac:dyDescent="0.3">
      <c r="A187" t="s">
        <v>624</v>
      </c>
      <c r="B187" t="s">
        <v>1265</v>
      </c>
      <c r="C187" t="s">
        <v>975</v>
      </c>
      <c r="D187" t="s">
        <v>686</v>
      </c>
      <c r="E187" t="s">
        <v>1062</v>
      </c>
      <c r="F187" t="s">
        <v>947</v>
      </c>
      <c r="G187" t="s">
        <v>1063</v>
      </c>
      <c r="H187" t="s">
        <v>1331</v>
      </c>
      <c r="I187" t="s">
        <v>1329</v>
      </c>
      <c r="J187" s="41">
        <v>2500</v>
      </c>
      <c r="K187" s="41">
        <v>350</v>
      </c>
      <c r="L187" s="41">
        <v>0</v>
      </c>
      <c r="M187" s="41">
        <v>2850</v>
      </c>
      <c r="N187" s="41">
        <v>2850</v>
      </c>
      <c r="O187" s="41">
        <v>350</v>
      </c>
      <c r="P187" t="s">
        <v>1583</v>
      </c>
      <c r="Q187" t="s">
        <v>1251</v>
      </c>
      <c r="R187" t="s">
        <v>1166</v>
      </c>
      <c r="S187" t="s">
        <v>1167</v>
      </c>
      <c r="T187" t="s">
        <v>1332</v>
      </c>
    </row>
    <row r="188" spans="1:20" x14ac:dyDescent="0.3">
      <c r="A188" t="s">
        <v>624</v>
      </c>
      <c r="B188" t="s">
        <v>1265</v>
      </c>
      <c r="C188" t="s">
        <v>975</v>
      </c>
      <c r="D188" t="s">
        <v>686</v>
      </c>
      <c r="E188" t="s">
        <v>1095</v>
      </c>
      <c r="F188" t="s">
        <v>948</v>
      </c>
      <c r="G188" t="s">
        <v>1096</v>
      </c>
      <c r="H188" t="s">
        <v>1588</v>
      </c>
      <c r="I188" t="s">
        <v>1586</v>
      </c>
      <c r="J188" s="41">
        <v>7400.3</v>
      </c>
      <c r="K188" s="41">
        <v>0</v>
      </c>
      <c r="L188" s="41">
        <v>0</v>
      </c>
      <c r="M188" s="41">
        <v>7400.3</v>
      </c>
      <c r="N188" s="41">
        <v>7400.3</v>
      </c>
      <c r="O188" s="41">
        <v>0</v>
      </c>
      <c r="P188" t="s">
        <v>1583</v>
      </c>
      <c r="Q188" t="s">
        <v>1577</v>
      </c>
      <c r="R188" t="s">
        <v>1192</v>
      </c>
      <c r="S188" t="s">
        <v>1193</v>
      </c>
      <c r="T188" t="s">
        <v>1589</v>
      </c>
    </row>
    <row r="189" spans="1:20" x14ac:dyDescent="0.3">
      <c r="A189" t="s">
        <v>624</v>
      </c>
      <c r="B189" t="s">
        <v>1265</v>
      </c>
      <c r="C189" t="s">
        <v>975</v>
      </c>
      <c r="D189" t="s">
        <v>686</v>
      </c>
      <c r="E189" t="s">
        <v>1095</v>
      </c>
      <c r="F189" t="s">
        <v>948</v>
      </c>
      <c r="G189" t="s">
        <v>1096</v>
      </c>
      <c r="H189" t="s">
        <v>1588</v>
      </c>
      <c r="I189" t="s">
        <v>1586</v>
      </c>
      <c r="J189" s="41">
        <v>15383.22</v>
      </c>
      <c r="K189" s="41">
        <v>0</v>
      </c>
      <c r="L189" s="41">
        <v>0</v>
      </c>
      <c r="M189" s="41">
        <v>15383.22</v>
      </c>
      <c r="N189" s="41">
        <v>15383.22</v>
      </c>
      <c r="O189" s="41">
        <v>0</v>
      </c>
      <c r="P189" t="s">
        <v>1583</v>
      </c>
      <c r="Q189" t="s">
        <v>1337</v>
      </c>
      <c r="R189" t="s">
        <v>1192</v>
      </c>
      <c r="S189" t="s">
        <v>1193</v>
      </c>
      <c r="T189" t="s">
        <v>1589</v>
      </c>
    </row>
    <row r="190" spans="1:20" x14ac:dyDescent="0.3">
      <c r="A190" t="s">
        <v>624</v>
      </c>
      <c r="B190" t="s">
        <v>1265</v>
      </c>
      <c r="C190" t="s">
        <v>975</v>
      </c>
      <c r="D190" t="s">
        <v>686</v>
      </c>
      <c r="E190" t="s">
        <v>1095</v>
      </c>
      <c r="F190" t="s">
        <v>948</v>
      </c>
      <c r="G190" t="s">
        <v>1096</v>
      </c>
      <c r="H190" t="s">
        <v>1588</v>
      </c>
      <c r="I190" t="s">
        <v>1586</v>
      </c>
      <c r="J190" s="41">
        <v>7400.3</v>
      </c>
      <c r="K190" s="41">
        <v>0</v>
      </c>
      <c r="L190" s="41">
        <v>0</v>
      </c>
      <c r="M190" s="41">
        <v>7400.3</v>
      </c>
      <c r="N190" s="41">
        <v>7400.3</v>
      </c>
      <c r="O190" s="41">
        <v>0</v>
      </c>
      <c r="P190" t="s">
        <v>1583</v>
      </c>
      <c r="Q190" t="s">
        <v>1564</v>
      </c>
      <c r="R190" t="s">
        <v>1192</v>
      </c>
      <c r="S190" t="s">
        <v>1193</v>
      </c>
      <c r="T190" t="s">
        <v>1589</v>
      </c>
    </row>
    <row r="191" spans="1:20" x14ac:dyDescent="0.3">
      <c r="A191" t="s">
        <v>624</v>
      </c>
      <c r="B191" t="s">
        <v>1265</v>
      </c>
      <c r="C191" t="s">
        <v>975</v>
      </c>
      <c r="D191" t="s">
        <v>686</v>
      </c>
      <c r="E191" t="s">
        <v>1095</v>
      </c>
      <c r="F191" t="s">
        <v>948</v>
      </c>
      <c r="G191" t="s">
        <v>1096</v>
      </c>
      <c r="H191" t="s">
        <v>1335</v>
      </c>
      <c r="I191" t="s">
        <v>1333</v>
      </c>
      <c r="J191" s="41">
        <v>2127</v>
      </c>
      <c r="K191" s="41">
        <v>0</v>
      </c>
      <c r="L191" s="41">
        <v>0</v>
      </c>
      <c r="M191" s="41">
        <v>2127</v>
      </c>
      <c r="N191" s="41">
        <v>2127</v>
      </c>
      <c r="O191" s="41">
        <v>0</v>
      </c>
      <c r="P191" t="s">
        <v>1583</v>
      </c>
      <c r="Q191" t="s">
        <v>1342</v>
      </c>
      <c r="R191" t="s">
        <v>1192</v>
      </c>
      <c r="S191" t="s">
        <v>1193</v>
      </c>
      <c r="T191" t="s">
        <v>1336</v>
      </c>
    </row>
    <row r="192" spans="1:20" x14ac:dyDescent="0.3">
      <c r="A192" t="s">
        <v>624</v>
      </c>
      <c r="B192" t="s">
        <v>1265</v>
      </c>
      <c r="C192" t="s">
        <v>975</v>
      </c>
      <c r="D192" t="s">
        <v>686</v>
      </c>
      <c r="E192" t="s">
        <v>1097</v>
      </c>
      <c r="F192" t="s">
        <v>948</v>
      </c>
      <c r="G192" t="s">
        <v>1098</v>
      </c>
      <c r="H192" t="s">
        <v>1340</v>
      </c>
      <c r="I192" t="s">
        <v>1338</v>
      </c>
      <c r="J192" s="41">
        <v>1706.19</v>
      </c>
      <c r="K192" s="41">
        <v>0</v>
      </c>
      <c r="L192" s="41">
        <v>0</v>
      </c>
      <c r="M192" s="41">
        <v>1706.19</v>
      </c>
      <c r="N192" s="41">
        <v>1706.19</v>
      </c>
      <c r="O192" s="41">
        <v>0</v>
      </c>
      <c r="P192" t="s">
        <v>1583</v>
      </c>
      <c r="Q192" t="s">
        <v>1351</v>
      </c>
      <c r="R192" t="s">
        <v>1166</v>
      </c>
      <c r="S192" t="s">
        <v>1167</v>
      </c>
      <c r="T192" t="s">
        <v>1341</v>
      </c>
    </row>
    <row r="193" spans="1:20" x14ac:dyDescent="0.3">
      <c r="A193" t="s">
        <v>624</v>
      </c>
      <c r="B193" t="s">
        <v>1265</v>
      </c>
      <c r="C193" t="s">
        <v>975</v>
      </c>
      <c r="D193" t="s">
        <v>686</v>
      </c>
      <c r="E193" t="s">
        <v>1101</v>
      </c>
      <c r="F193" t="s">
        <v>948</v>
      </c>
      <c r="G193" t="s">
        <v>1102</v>
      </c>
      <c r="H193" t="s">
        <v>1346</v>
      </c>
      <c r="I193" t="s">
        <v>1344</v>
      </c>
      <c r="J193" s="41">
        <v>0</v>
      </c>
      <c r="K193" s="41">
        <v>2822.19</v>
      </c>
      <c r="L193" s="41">
        <v>0</v>
      </c>
      <c r="M193" s="41">
        <v>2822.19</v>
      </c>
      <c r="N193" s="41">
        <v>2822.19</v>
      </c>
      <c r="O193" s="41">
        <v>2822.19</v>
      </c>
      <c r="P193" t="s">
        <v>1583</v>
      </c>
      <c r="Q193" t="s">
        <v>1354</v>
      </c>
      <c r="R193" t="s">
        <v>1166</v>
      </c>
      <c r="S193" t="s">
        <v>1167</v>
      </c>
      <c r="T193" t="s">
        <v>1347</v>
      </c>
    </row>
    <row r="194" spans="1:20" x14ac:dyDescent="0.3">
      <c r="A194" t="s">
        <v>624</v>
      </c>
      <c r="B194" t="s">
        <v>1265</v>
      </c>
      <c r="C194" t="s">
        <v>975</v>
      </c>
      <c r="D194" t="s">
        <v>686</v>
      </c>
      <c r="E194" t="s">
        <v>1101</v>
      </c>
      <c r="F194" t="s">
        <v>948</v>
      </c>
      <c r="G194" t="s">
        <v>1102</v>
      </c>
      <c r="H194" t="s">
        <v>1346</v>
      </c>
      <c r="I194" t="s">
        <v>1344</v>
      </c>
      <c r="J194" s="41">
        <v>267.26</v>
      </c>
      <c r="K194" s="41">
        <v>0</v>
      </c>
      <c r="L194" s="41">
        <v>0</v>
      </c>
      <c r="M194" s="41">
        <v>267.26</v>
      </c>
      <c r="N194" s="41">
        <v>267.26</v>
      </c>
      <c r="O194" s="41">
        <v>0</v>
      </c>
      <c r="P194" t="s">
        <v>1583</v>
      </c>
      <c r="Q194" t="s">
        <v>1355</v>
      </c>
      <c r="R194" t="s">
        <v>1166</v>
      </c>
      <c r="S194" t="s">
        <v>1167</v>
      </c>
      <c r="T194" t="s">
        <v>1347</v>
      </c>
    </row>
    <row r="195" spans="1:20" x14ac:dyDescent="0.3">
      <c r="A195" t="s">
        <v>624</v>
      </c>
      <c r="B195" t="s">
        <v>1265</v>
      </c>
      <c r="C195" t="s">
        <v>975</v>
      </c>
      <c r="D195" t="s">
        <v>686</v>
      </c>
      <c r="E195" t="s">
        <v>1101</v>
      </c>
      <c r="F195" t="s">
        <v>948</v>
      </c>
      <c r="G195" t="s">
        <v>1102</v>
      </c>
      <c r="H195" t="s">
        <v>1346</v>
      </c>
      <c r="I195" t="s">
        <v>1349</v>
      </c>
      <c r="J195" s="41">
        <v>0</v>
      </c>
      <c r="K195" s="41">
        <v>1183</v>
      </c>
      <c r="L195" s="41">
        <v>0</v>
      </c>
      <c r="M195" s="41">
        <v>1183</v>
      </c>
      <c r="N195" s="41">
        <v>1183</v>
      </c>
      <c r="O195" s="41">
        <v>1183</v>
      </c>
      <c r="P195" t="s">
        <v>1583</v>
      </c>
      <c r="Q195" t="s">
        <v>1356</v>
      </c>
      <c r="R195" t="s">
        <v>1166</v>
      </c>
      <c r="S195" t="s">
        <v>1167</v>
      </c>
      <c r="T195" t="s">
        <v>1347</v>
      </c>
    </row>
    <row r="196" spans="1:20" x14ac:dyDescent="0.3">
      <c r="A196" t="s">
        <v>624</v>
      </c>
      <c r="B196" t="s">
        <v>1265</v>
      </c>
      <c r="C196" t="s">
        <v>975</v>
      </c>
      <c r="D196" t="s">
        <v>686</v>
      </c>
      <c r="E196" t="s">
        <v>1101</v>
      </c>
      <c r="F196" t="s">
        <v>948</v>
      </c>
      <c r="G196" t="s">
        <v>1102</v>
      </c>
      <c r="H196" t="s">
        <v>1346</v>
      </c>
      <c r="I196" t="s">
        <v>1349</v>
      </c>
      <c r="J196" s="41">
        <v>80.8</v>
      </c>
      <c r="K196" s="41">
        <v>0</v>
      </c>
      <c r="L196" s="41">
        <v>0</v>
      </c>
      <c r="M196" s="41">
        <v>80.8</v>
      </c>
      <c r="N196" s="41">
        <v>80.8</v>
      </c>
      <c r="O196" s="41">
        <v>0</v>
      </c>
      <c r="P196" t="s">
        <v>1583</v>
      </c>
      <c r="Q196" t="s">
        <v>1357</v>
      </c>
      <c r="R196" t="s">
        <v>1166</v>
      </c>
      <c r="S196" t="s">
        <v>1167</v>
      </c>
      <c r="T196" t="s">
        <v>1347</v>
      </c>
    </row>
    <row r="197" spans="1:20" x14ac:dyDescent="0.3">
      <c r="A197" t="s">
        <v>624</v>
      </c>
      <c r="B197" t="s">
        <v>1265</v>
      </c>
      <c r="C197" t="s">
        <v>975</v>
      </c>
      <c r="D197" t="s">
        <v>686</v>
      </c>
      <c r="E197" t="s">
        <v>1101</v>
      </c>
      <c r="F197" t="s">
        <v>948</v>
      </c>
      <c r="G197" t="s">
        <v>1102</v>
      </c>
      <c r="H197" t="s">
        <v>1346</v>
      </c>
      <c r="I197" t="s">
        <v>1349</v>
      </c>
      <c r="J197" s="41">
        <v>20.68</v>
      </c>
      <c r="K197" s="41">
        <v>0</v>
      </c>
      <c r="L197" s="41">
        <v>0</v>
      </c>
      <c r="M197" s="41">
        <v>20.68</v>
      </c>
      <c r="N197" s="41">
        <v>20.68</v>
      </c>
      <c r="O197" s="41">
        <v>0</v>
      </c>
      <c r="P197" t="s">
        <v>1583</v>
      </c>
      <c r="Q197" t="s">
        <v>1358</v>
      </c>
      <c r="R197" t="s">
        <v>1166</v>
      </c>
      <c r="S197" t="s">
        <v>1167</v>
      </c>
      <c r="T197" t="s">
        <v>1347</v>
      </c>
    </row>
    <row r="198" spans="1:20" x14ac:dyDescent="0.3">
      <c r="A198" t="s">
        <v>624</v>
      </c>
      <c r="B198" t="s">
        <v>1265</v>
      </c>
      <c r="C198" t="s">
        <v>975</v>
      </c>
      <c r="D198" t="s">
        <v>686</v>
      </c>
      <c r="E198" t="s">
        <v>1101</v>
      </c>
      <c r="F198" t="s">
        <v>948</v>
      </c>
      <c r="G198" t="s">
        <v>1102</v>
      </c>
      <c r="H198" t="s">
        <v>1346</v>
      </c>
      <c r="I198" t="s">
        <v>1349</v>
      </c>
      <c r="J198" s="41">
        <v>0</v>
      </c>
      <c r="K198" s="41">
        <v>471.49</v>
      </c>
      <c r="L198" s="41">
        <v>0</v>
      </c>
      <c r="M198" s="41">
        <v>471.49</v>
      </c>
      <c r="N198" s="41">
        <v>471.49</v>
      </c>
      <c r="O198" s="41">
        <v>471.49</v>
      </c>
      <c r="P198" t="s">
        <v>1583</v>
      </c>
      <c r="Q198" t="s">
        <v>1565</v>
      </c>
      <c r="R198" t="s">
        <v>1166</v>
      </c>
      <c r="S198" t="s">
        <v>1167</v>
      </c>
      <c r="T198" t="s">
        <v>1347</v>
      </c>
    </row>
    <row r="199" spans="1:20" x14ac:dyDescent="0.3">
      <c r="A199" t="s">
        <v>624</v>
      </c>
      <c r="B199" t="s">
        <v>1265</v>
      </c>
      <c r="C199" t="s">
        <v>975</v>
      </c>
      <c r="D199" t="s">
        <v>686</v>
      </c>
      <c r="E199" t="s">
        <v>1101</v>
      </c>
      <c r="F199" t="s">
        <v>948</v>
      </c>
      <c r="G199" t="s">
        <v>1102</v>
      </c>
      <c r="H199" t="s">
        <v>1346</v>
      </c>
      <c r="I199" t="s">
        <v>1349</v>
      </c>
      <c r="J199" s="41">
        <v>0</v>
      </c>
      <c r="K199" s="41">
        <v>256</v>
      </c>
      <c r="L199" s="41">
        <v>0</v>
      </c>
      <c r="M199" s="41">
        <v>256</v>
      </c>
      <c r="N199" s="41">
        <v>256</v>
      </c>
      <c r="O199" s="41">
        <v>256</v>
      </c>
      <c r="P199" t="s">
        <v>1583</v>
      </c>
      <c r="Q199" t="s">
        <v>1566</v>
      </c>
      <c r="R199" t="s">
        <v>1166</v>
      </c>
      <c r="S199" t="s">
        <v>1167</v>
      </c>
      <c r="T199" t="s">
        <v>1347</v>
      </c>
    </row>
    <row r="200" spans="1:20" x14ac:dyDescent="0.3">
      <c r="A200" t="s">
        <v>624</v>
      </c>
      <c r="B200" t="s">
        <v>1265</v>
      </c>
      <c r="C200" t="s">
        <v>975</v>
      </c>
      <c r="D200" t="s">
        <v>686</v>
      </c>
      <c r="E200" t="s">
        <v>1101</v>
      </c>
      <c r="F200" t="s">
        <v>948</v>
      </c>
      <c r="G200" t="s">
        <v>1102</v>
      </c>
      <c r="H200" t="s">
        <v>1346</v>
      </c>
      <c r="I200" t="s">
        <v>1349</v>
      </c>
      <c r="J200" s="41">
        <v>0</v>
      </c>
      <c r="K200" s="41">
        <v>269</v>
      </c>
      <c r="L200" s="41">
        <v>0</v>
      </c>
      <c r="M200" s="41">
        <v>269</v>
      </c>
      <c r="N200" s="41">
        <v>269</v>
      </c>
      <c r="O200" s="41">
        <v>269</v>
      </c>
      <c r="P200" t="s">
        <v>1583</v>
      </c>
      <c r="Q200" t="s">
        <v>1359</v>
      </c>
      <c r="R200" t="s">
        <v>1166</v>
      </c>
      <c r="S200" t="s">
        <v>1167</v>
      </c>
      <c r="T200" t="s">
        <v>1347</v>
      </c>
    </row>
    <row r="201" spans="1:20" x14ac:dyDescent="0.3">
      <c r="A201" t="s">
        <v>624</v>
      </c>
      <c r="B201" t="s">
        <v>1265</v>
      </c>
      <c r="C201" t="s">
        <v>975</v>
      </c>
      <c r="D201" t="s">
        <v>686</v>
      </c>
      <c r="E201" t="s">
        <v>1101</v>
      </c>
      <c r="F201" t="s">
        <v>948</v>
      </c>
      <c r="G201" t="s">
        <v>1102</v>
      </c>
      <c r="H201" t="s">
        <v>1346</v>
      </c>
      <c r="I201" t="s">
        <v>1349</v>
      </c>
      <c r="J201" s="41">
        <v>114</v>
      </c>
      <c r="K201" s="41">
        <v>0</v>
      </c>
      <c r="L201" s="41">
        <v>0</v>
      </c>
      <c r="M201" s="41">
        <v>114</v>
      </c>
      <c r="N201" s="41">
        <v>114</v>
      </c>
      <c r="O201" s="41">
        <v>0</v>
      </c>
      <c r="P201" t="s">
        <v>1583</v>
      </c>
      <c r="Q201" t="s">
        <v>1420</v>
      </c>
      <c r="R201" t="s">
        <v>1166</v>
      </c>
      <c r="S201" t="s">
        <v>1167</v>
      </c>
      <c r="T201" t="s">
        <v>1347</v>
      </c>
    </row>
    <row r="202" spans="1:20" x14ac:dyDescent="0.3">
      <c r="A202" t="s">
        <v>624</v>
      </c>
      <c r="B202" t="s">
        <v>1265</v>
      </c>
      <c r="C202" t="s">
        <v>975</v>
      </c>
      <c r="D202" t="s">
        <v>686</v>
      </c>
      <c r="E202" t="s">
        <v>1101</v>
      </c>
      <c r="F202" t="s">
        <v>948</v>
      </c>
      <c r="G202" t="s">
        <v>1102</v>
      </c>
      <c r="H202" t="s">
        <v>1346</v>
      </c>
      <c r="I202" t="s">
        <v>1349</v>
      </c>
      <c r="J202" s="41">
        <v>0</v>
      </c>
      <c r="K202" s="41">
        <v>124.6</v>
      </c>
      <c r="L202" s="41">
        <v>0</v>
      </c>
      <c r="M202" s="41">
        <v>124.6</v>
      </c>
      <c r="N202" s="41">
        <v>124.6</v>
      </c>
      <c r="O202" s="41">
        <v>124.6</v>
      </c>
      <c r="P202" t="s">
        <v>1583</v>
      </c>
      <c r="Q202" t="s">
        <v>1364</v>
      </c>
      <c r="R202" t="s">
        <v>1166</v>
      </c>
      <c r="S202" t="s">
        <v>1167</v>
      </c>
      <c r="T202" t="s">
        <v>1347</v>
      </c>
    </row>
    <row r="203" spans="1:20" x14ac:dyDescent="0.3">
      <c r="A203" t="s">
        <v>624</v>
      </c>
      <c r="B203" t="s">
        <v>1265</v>
      </c>
      <c r="C203" t="s">
        <v>975</v>
      </c>
      <c r="D203" t="s">
        <v>686</v>
      </c>
      <c r="E203" t="s">
        <v>1101</v>
      </c>
      <c r="F203" t="s">
        <v>948</v>
      </c>
      <c r="G203" t="s">
        <v>1102</v>
      </c>
      <c r="H203" t="s">
        <v>1346</v>
      </c>
      <c r="I203" t="s">
        <v>1349</v>
      </c>
      <c r="J203" s="41">
        <v>0</v>
      </c>
      <c r="K203" s="41">
        <v>19.5</v>
      </c>
      <c r="L203" s="41">
        <v>0</v>
      </c>
      <c r="M203" s="41">
        <v>19.5</v>
      </c>
      <c r="N203" s="41">
        <v>19.5</v>
      </c>
      <c r="O203" s="41">
        <v>19.5</v>
      </c>
      <c r="P203" t="s">
        <v>1583</v>
      </c>
      <c r="Q203" t="s">
        <v>1422</v>
      </c>
      <c r="R203" t="s">
        <v>1166</v>
      </c>
      <c r="S203" t="s">
        <v>1167</v>
      </c>
      <c r="T203" t="s">
        <v>1347</v>
      </c>
    </row>
    <row r="204" spans="1:20" x14ac:dyDescent="0.3">
      <c r="A204" t="s">
        <v>624</v>
      </c>
      <c r="B204" t="s">
        <v>1265</v>
      </c>
      <c r="C204" t="s">
        <v>975</v>
      </c>
      <c r="D204" t="s">
        <v>686</v>
      </c>
      <c r="E204" t="s">
        <v>1101</v>
      </c>
      <c r="F204" t="s">
        <v>948</v>
      </c>
      <c r="G204" t="s">
        <v>1102</v>
      </c>
      <c r="H204" t="s">
        <v>1346</v>
      </c>
      <c r="I204" t="s">
        <v>1349</v>
      </c>
      <c r="J204" s="41">
        <v>520</v>
      </c>
      <c r="K204" s="41">
        <v>0</v>
      </c>
      <c r="L204" s="41">
        <v>0</v>
      </c>
      <c r="M204" s="41">
        <v>520</v>
      </c>
      <c r="N204" s="41">
        <v>520</v>
      </c>
      <c r="O204" s="41">
        <v>0</v>
      </c>
      <c r="P204" t="s">
        <v>1583</v>
      </c>
      <c r="Q204" t="s">
        <v>1424</v>
      </c>
      <c r="R204" t="s">
        <v>1166</v>
      </c>
      <c r="S204" t="s">
        <v>1167</v>
      </c>
      <c r="T204" t="s">
        <v>1347</v>
      </c>
    </row>
    <row r="205" spans="1:20" x14ac:dyDescent="0.3">
      <c r="A205" t="s">
        <v>624</v>
      </c>
      <c r="B205" t="s">
        <v>1265</v>
      </c>
      <c r="C205" t="s">
        <v>975</v>
      </c>
      <c r="D205" t="s">
        <v>686</v>
      </c>
      <c r="E205" t="s">
        <v>1101</v>
      </c>
      <c r="F205" t="s">
        <v>948</v>
      </c>
      <c r="G205" t="s">
        <v>1102</v>
      </c>
      <c r="H205" t="s">
        <v>1346</v>
      </c>
      <c r="I205" t="s">
        <v>1349</v>
      </c>
      <c r="J205" s="41">
        <v>6</v>
      </c>
      <c r="K205" s="41">
        <v>0</v>
      </c>
      <c r="L205" s="41">
        <v>0</v>
      </c>
      <c r="M205" s="41">
        <v>6</v>
      </c>
      <c r="N205" s="41">
        <v>6</v>
      </c>
      <c r="O205" s="41">
        <v>0</v>
      </c>
      <c r="P205" t="s">
        <v>1583</v>
      </c>
      <c r="Q205" t="s">
        <v>1368</v>
      </c>
      <c r="R205" t="s">
        <v>1166</v>
      </c>
      <c r="S205" t="s">
        <v>1167</v>
      </c>
      <c r="T205" t="s">
        <v>1347</v>
      </c>
    </row>
    <row r="206" spans="1:20" x14ac:dyDescent="0.3">
      <c r="A206" t="s">
        <v>624</v>
      </c>
      <c r="B206" t="s">
        <v>1265</v>
      </c>
      <c r="C206" t="s">
        <v>975</v>
      </c>
      <c r="D206" t="s">
        <v>686</v>
      </c>
      <c r="E206" t="s">
        <v>1101</v>
      </c>
      <c r="F206" t="s">
        <v>948</v>
      </c>
      <c r="G206" t="s">
        <v>1102</v>
      </c>
      <c r="H206" t="s">
        <v>1346</v>
      </c>
      <c r="I206" t="s">
        <v>1349</v>
      </c>
      <c r="J206" s="41">
        <v>226.33</v>
      </c>
      <c r="K206" s="41">
        <v>0</v>
      </c>
      <c r="L206" s="41">
        <v>0</v>
      </c>
      <c r="M206" s="41">
        <v>226.33</v>
      </c>
      <c r="N206" s="41">
        <v>226.33</v>
      </c>
      <c r="O206" s="41">
        <v>0</v>
      </c>
      <c r="P206" t="s">
        <v>1583</v>
      </c>
      <c r="Q206" t="s">
        <v>1369</v>
      </c>
      <c r="R206" t="s">
        <v>1166</v>
      </c>
      <c r="S206" t="s">
        <v>1167</v>
      </c>
      <c r="T206" t="s">
        <v>1347</v>
      </c>
    </row>
    <row r="207" spans="1:20" x14ac:dyDescent="0.3">
      <c r="A207" t="s">
        <v>624</v>
      </c>
      <c r="B207" t="s">
        <v>1265</v>
      </c>
      <c r="C207" t="s">
        <v>975</v>
      </c>
      <c r="D207" t="s">
        <v>686</v>
      </c>
      <c r="E207" t="s">
        <v>1101</v>
      </c>
      <c r="F207" t="s">
        <v>948</v>
      </c>
      <c r="G207" t="s">
        <v>1102</v>
      </c>
      <c r="H207" t="s">
        <v>1346</v>
      </c>
      <c r="I207" t="s">
        <v>1349</v>
      </c>
      <c r="J207" s="41">
        <v>386.7</v>
      </c>
      <c r="K207" s="41">
        <v>0</v>
      </c>
      <c r="L207" s="41">
        <v>0</v>
      </c>
      <c r="M207" s="41">
        <v>386.7</v>
      </c>
      <c r="N207" s="41">
        <v>386.7</v>
      </c>
      <c r="O207" s="41">
        <v>0</v>
      </c>
      <c r="P207" t="s">
        <v>1583</v>
      </c>
      <c r="Q207" t="s">
        <v>1370</v>
      </c>
      <c r="R207" t="s">
        <v>1166</v>
      </c>
      <c r="S207" t="s">
        <v>1167</v>
      </c>
      <c r="T207" t="s">
        <v>1347</v>
      </c>
    </row>
    <row r="208" spans="1:20" x14ac:dyDescent="0.3">
      <c r="A208" t="s">
        <v>624</v>
      </c>
      <c r="B208" t="s">
        <v>1265</v>
      </c>
      <c r="C208" t="s">
        <v>975</v>
      </c>
      <c r="D208" t="s">
        <v>686</v>
      </c>
      <c r="E208" t="s">
        <v>1101</v>
      </c>
      <c r="F208" t="s">
        <v>948</v>
      </c>
      <c r="G208" t="s">
        <v>1102</v>
      </c>
      <c r="H208" t="s">
        <v>1346</v>
      </c>
      <c r="I208" t="s">
        <v>1349</v>
      </c>
      <c r="J208" s="41">
        <v>150.72</v>
      </c>
      <c r="K208" s="41">
        <v>0</v>
      </c>
      <c r="L208" s="41">
        <v>0</v>
      </c>
      <c r="M208" s="41">
        <v>150.72</v>
      </c>
      <c r="N208" s="41">
        <v>150.72</v>
      </c>
      <c r="O208" s="41">
        <v>0</v>
      </c>
      <c r="P208" t="s">
        <v>1583</v>
      </c>
      <c r="Q208" t="s">
        <v>1426</v>
      </c>
      <c r="R208" t="s">
        <v>1166</v>
      </c>
      <c r="S208" t="s">
        <v>1167</v>
      </c>
      <c r="T208" t="s">
        <v>1347</v>
      </c>
    </row>
    <row r="209" spans="1:20" x14ac:dyDescent="0.3">
      <c r="A209" t="s">
        <v>624</v>
      </c>
      <c r="B209" t="s">
        <v>1265</v>
      </c>
      <c r="C209" t="s">
        <v>975</v>
      </c>
      <c r="D209" t="s">
        <v>686</v>
      </c>
      <c r="E209" t="s">
        <v>1101</v>
      </c>
      <c r="F209" t="s">
        <v>948</v>
      </c>
      <c r="G209" t="s">
        <v>1102</v>
      </c>
      <c r="H209" t="s">
        <v>1346</v>
      </c>
      <c r="I209" t="s">
        <v>1349</v>
      </c>
      <c r="J209" s="41">
        <v>24</v>
      </c>
      <c r="K209" s="41">
        <v>0</v>
      </c>
      <c r="L209" s="41">
        <v>0</v>
      </c>
      <c r="M209" s="41">
        <v>24</v>
      </c>
      <c r="N209" s="41">
        <v>24</v>
      </c>
      <c r="O209" s="41">
        <v>0</v>
      </c>
      <c r="P209" t="s">
        <v>1583</v>
      </c>
      <c r="Q209" t="s">
        <v>1590</v>
      </c>
      <c r="R209" t="s">
        <v>1166</v>
      </c>
      <c r="S209" t="s">
        <v>1167</v>
      </c>
      <c r="T209" t="s">
        <v>1347</v>
      </c>
    </row>
    <row r="210" spans="1:20" x14ac:dyDescent="0.3">
      <c r="A210" t="s">
        <v>624</v>
      </c>
      <c r="B210" t="s">
        <v>1265</v>
      </c>
      <c r="C210" t="s">
        <v>975</v>
      </c>
      <c r="D210" t="s">
        <v>686</v>
      </c>
      <c r="E210" t="s">
        <v>1101</v>
      </c>
      <c r="F210" t="s">
        <v>948</v>
      </c>
      <c r="G210" t="s">
        <v>1102</v>
      </c>
      <c r="H210" t="s">
        <v>1346</v>
      </c>
      <c r="I210" t="s">
        <v>1349</v>
      </c>
      <c r="J210" s="41">
        <v>24</v>
      </c>
      <c r="K210" s="41">
        <v>0</v>
      </c>
      <c r="L210" s="41">
        <v>0</v>
      </c>
      <c r="M210" s="41">
        <v>24</v>
      </c>
      <c r="N210" s="41">
        <v>24</v>
      </c>
      <c r="O210" s="41">
        <v>0</v>
      </c>
      <c r="P210" t="s">
        <v>1583</v>
      </c>
      <c r="Q210" t="s">
        <v>1432</v>
      </c>
      <c r="R210" t="s">
        <v>1166</v>
      </c>
      <c r="S210" t="s">
        <v>1167</v>
      </c>
      <c r="T210" t="s">
        <v>1347</v>
      </c>
    </row>
    <row r="211" spans="1:20" x14ac:dyDescent="0.3">
      <c r="A211" t="s">
        <v>624</v>
      </c>
      <c r="B211" t="s">
        <v>1265</v>
      </c>
      <c r="C211" t="s">
        <v>975</v>
      </c>
      <c r="D211" t="s">
        <v>686</v>
      </c>
      <c r="E211" t="s">
        <v>1101</v>
      </c>
      <c r="F211" t="s">
        <v>948</v>
      </c>
      <c r="G211" t="s">
        <v>1102</v>
      </c>
      <c r="H211" t="s">
        <v>1594</v>
      </c>
      <c r="I211" t="s">
        <v>1592</v>
      </c>
      <c r="J211" s="41">
        <v>0</v>
      </c>
      <c r="K211" s="41">
        <v>1450.64</v>
      </c>
      <c r="L211" s="41">
        <v>0</v>
      </c>
      <c r="M211" s="41">
        <v>1450.64</v>
      </c>
      <c r="N211" s="41">
        <v>1450.64</v>
      </c>
      <c r="O211" s="41">
        <v>1450.64</v>
      </c>
      <c r="P211" t="s">
        <v>1583</v>
      </c>
      <c r="Q211" t="s">
        <v>1439</v>
      </c>
      <c r="R211" t="s">
        <v>1166</v>
      </c>
      <c r="S211" t="s">
        <v>1167</v>
      </c>
      <c r="T211" t="s">
        <v>1102</v>
      </c>
    </row>
    <row r="212" spans="1:20" x14ac:dyDescent="0.3">
      <c r="A212" t="s">
        <v>624</v>
      </c>
      <c r="B212" t="s">
        <v>1265</v>
      </c>
      <c r="C212" t="s">
        <v>975</v>
      </c>
      <c r="D212" t="s">
        <v>686</v>
      </c>
      <c r="E212" t="s">
        <v>1101</v>
      </c>
      <c r="F212" t="s">
        <v>948</v>
      </c>
      <c r="G212" t="s">
        <v>1102</v>
      </c>
      <c r="H212" t="s">
        <v>1594</v>
      </c>
      <c r="I212" t="s">
        <v>1592</v>
      </c>
      <c r="J212" s="41">
        <v>5146.2</v>
      </c>
      <c r="K212" s="41">
        <v>0</v>
      </c>
      <c r="L212" s="41">
        <v>0</v>
      </c>
      <c r="M212" s="41">
        <v>5146.2</v>
      </c>
      <c r="N212" s="41">
        <v>5146.2</v>
      </c>
      <c r="O212" s="41">
        <v>0</v>
      </c>
      <c r="P212" t="s">
        <v>1583</v>
      </c>
      <c r="Q212" t="s">
        <v>1441</v>
      </c>
      <c r="R212" t="s">
        <v>1166</v>
      </c>
      <c r="S212" t="s">
        <v>1167</v>
      </c>
      <c r="T212" t="s">
        <v>1102</v>
      </c>
    </row>
    <row r="213" spans="1:20" x14ac:dyDescent="0.3">
      <c r="A213" t="s">
        <v>624</v>
      </c>
      <c r="B213" t="s">
        <v>1265</v>
      </c>
      <c r="C213" t="s">
        <v>975</v>
      </c>
      <c r="D213" t="s">
        <v>686</v>
      </c>
      <c r="E213" t="s">
        <v>1101</v>
      </c>
      <c r="F213" t="s">
        <v>948</v>
      </c>
      <c r="G213" t="s">
        <v>1102</v>
      </c>
      <c r="H213" t="s">
        <v>1597</v>
      </c>
      <c r="I213" t="s">
        <v>1595</v>
      </c>
      <c r="J213" s="41">
        <v>0</v>
      </c>
      <c r="K213" s="41">
        <v>50</v>
      </c>
      <c r="L213" s="41">
        <v>0</v>
      </c>
      <c r="M213" s="41">
        <v>50</v>
      </c>
      <c r="N213" s="41">
        <v>50</v>
      </c>
      <c r="O213" s="41">
        <v>50</v>
      </c>
      <c r="P213" t="s">
        <v>1583</v>
      </c>
      <c r="Q213" t="s">
        <v>1443</v>
      </c>
      <c r="R213" t="s">
        <v>1192</v>
      </c>
      <c r="S213" t="s">
        <v>1193</v>
      </c>
      <c r="T213" t="s">
        <v>1598</v>
      </c>
    </row>
    <row r="214" spans="1:20" x14ac:dyDescent="0.3">
      <c r="A214" t="s">
        <v>624</v>
      </c>
      <c r="B214" t="s">
        <v>1265</v>
      </c>
      <c r="C214" t="s">
        <v>975</v>
      </c>
      <c r="D214" t="s">
        <v>686</v>
      </c>
      <c r="E214" t="s">
        <v>1101</v>
      </c>
      <c r="F214" t="s">
        <v>948</v>
      </c>
      <c r="G214" t="s">
        <v>1102</v>
      </c>
      <c r="H214" t="s">
        <v>1597</v>
      </c>
      <c r="I214" t="s">
        <v>1595</v>
      </c>
      <c r="J214" s="41">
        <v>0</v>
      </c>
      <c r="K214" s="41">
        <v>30</v>
      </c>
      <c r="L214" s="41">
        <v>0</v>
      </c>
      <c r="M214" s="41">
        <v>30</v>
      </c>
      <c r="N214" s="41">
        <v>30</v>
      </c>
      <c r="O214" s="41">
        <v>30</v>
      </c>
      <c r="P214" t="s">
        <v>1583</v>
      </c>
      <c r="Q214" t="s">
        <v>1568</v>
      </c>
      <c r="R214" t="s">
        <v>1192</v>
      </c>
      <c r="S214" t="s">
        <v>1193</v>
      </c>
      <c r="T214" t="s">
        <v>1598</v>
      </c>
    </row>
    <row r="215" spans="1:20" x14ac:dyDescent="0.3">
      <c r="A215" t="s">
        <v>624</v>
      </c>
      <c r="B215" t="s">
        <v>1265</v>
      </c>
      <c r="C215" t="s">
        <v>975</v>
      </c>
      <c r="D215" t="s">
        <v>686</v>
      </c>
      <c r="E215" t="s">
        <v>1103</v>
      </c>
      <c r="F215" t="s">
        <v>948</v>
      </c>
      <c r="G215" t="s">
        <v>1104</v>
      </c>
      <c r="H215" t="s">
        <v>1362</v>
      </c>
      <c r="I215" t="s">
        <v>1360</v>
      </c>
      <c r="J215" s="41">
        <v>78</v>
      </c>
      <c r="K215" s="41">
        <v>78</v>
      </c>
      <c r="L215" s="41">
        <v>0</v>
      </c>
      <c r="M215" s="41">
        <v>156</v>
      </c>
      <c r="N215" s="41">
        <v>156</v>
      </c>
      <c r="O215" s="41">
        <v>78</v>
      </c>
      <c r="P215" t="s">
        <v>1583</v>
      </c>
      <c r="Q215" t="s">
        <v>1569</v>
      </c>
      <c r="R215" t="s">
        <v>1166</v>
      </c>
      <c r="S215" t="s">
        <v>1167</v>
      </c>
      <c r="T215" t="s">
        <v>1363</v>
      </c>
    </row>
    <row r="216" spans="1:20" x14ac:dyDescent="0.3">
      <c r="A216" t="s">
        <v>624</v>
      </c>
      <c r="B216" t="s">
        <v>1265</v>
      </c>
      <c r="C216" t="s">
        <v>975</v>
      </c>
      <c r="D216" t="s">
        <v>686</v>
      </c>
      <c r="E216" t="s">
        <v>1103</v>
      </c>
      <c r="F216" t="s">
        <v>948</v>
      </c>
      <c r="G216" t="s">
        <v>1104</v>
      </c>
      <c r="H216" t="s">
        <v>1362</v>
      </c>
      <c r="I216" t="s">
        <v>1360</v>
      </c>
      <c r="J216" s="41">
        <v>0</v>
      </c>
      <c r="K216" s="41">
        <v>389.37</v>
      </c>
      <c r="L216" s="41">
        <v>0</v>
      </c>
      <c r="M216" s="41">
        <v>389.37</v>
      </c>
      <c r="N216" s="41">
        <v>389.37</v>
      </c>
      <c r="O216" s="41">
        <v>389.37</v>
      </c>
      <c r="P216" t="s">
        <v>1583</v>
      </c>
      <c r="Q216" t="s">
        <v>1453</v>
      </c>
      <c r="R216" t="s">
        <v>1166</v>
      </c>
      <c r="S216" t="s">
        <v>1167</v>
      </c>
      <c r="T216" t="s">
        <v>1363</v>
      </c>
    </row>
    <row r="217" spans="1:20" x14ac:dyDescent="0.3">
      <c r="A217" t="s">
        <v>624</v>
      </c>
      <c r="B217" t="s">
        <v>1265</v>
      </c>
      <c r="C217" t="s">
        <v>975</v>
      </c>
      <c r="D217" t="s">
        <v>686</v>
      </c>
      <c r="E217" t="s">
        <v>1105</v>
      </c>
      <c r="F217" t="s">
        <v>948</v>
      </c>
      <c r="G217" t="s">
        <v>1106</v>
      </c>
      <c r="H217" t="s">
        <v>576</v>
      </c>
      <c r="I217" t="s">
        <v>1599</v>
      </c>
      <c r="J217" s="41">
        <v>0</v>
      </c>
      <c r="K217" s="41">
        <v>79.900000000000006</v>
      </c>
      <c r="L217" s="41">
        <v>0</v>
      </c>
      <c r="M217" s="41">
        <v>79.900000000000006</v>
      </c>
      <c r="N217" s="41">
        <v>79.900000000000006</v>
      </c>
      <c r="O217" s="41">
        <v>79.900000000000006</v>
      </c>
      <c r="P217" t="s">
        <v>1583</v>
      </c>
      <c r="Q217" t="s">
        <v>1571</v>
      </c>
      <c r="R217" t="s">
        <v>1192</v>
      </c>
      <c r="S217" t="s">
        <v>1193</v>
      </c>
      <c r="T217" t="s">
        <v>1367</v>
      </c>
    </row>
    <row r="218" spans="1:20" x14ac:dyDescent="0.3">
      <c r="A218" t="s">
        <v>624</v>
      </c>
      <c r="B218" t="s">
        <v>1265</v>
      </c>
      <c r="C218" t="s">
        <v>975</v>
      </c>
      <c r="D218" t="s">
        <v>686</v>
      </c>
      <c r="E218" t="s">
        <v>1105</v>
      </c>
      <c r="F218" t="s">
        <v>948</v>
      </c>
      <c r="G218" t="s">
        <v>1106</v>
      </c>
      <c r="H218" t="s">
        <v>576</v>
      </c>
      <c r="I218" t="s">
        <v>1599</v>
      </c>
      <c r="J218" s="41">
        <v>0</v>
      </c>
      <c r="K218" s="41">
        <v>40.619999999999997</v>
      </c>
      <c r="L218" s="41">
        <v>0</v>
      </c>
      <c r="M218" s="41">
        <v>40.619999999999997</v>
      </c>
      <c r="N218" s="41">
        <v>40.619999999999997</v>
      </c>
      <c r="O218" s="41">
        <v>40.619999999999997</v>
      </c>
      <c r="P218" t="s">
        <v>1583</v>
      </c>
      <c r="Q218" t="s">
        <v>1455</v>
      </c>
      <c r="R218" t="s">
        <v>1192</v>
      </c>
      <c r="S218" t="s">
        <v>1193</v>
      </c>
      <c r="T218" t="s">
        <v>1367</v>
      </c>
    </row>
    <row r="219" spans="1:20" x14ac:dyDescent="0.3">
      <c r="A219" t="s">
        <v>624</v>
      </c>
      <c r="B219" t="s">
        <v>1265</v>
      </c>
      <c r="C219" t="s">
        <v>975</v>
      </c>
      <c r="D219" t="s">
        <v>686</v>
      </c>
      <c r="E219" t="s">
        <v>1105</v>
      </c>
      <c r="F219" t="s">
        <v>948</v>
      </c>
      <c r="G219" t="s">
        <v>1106</v>
      </c>
      <c r="H219" t="s">
        <v>576</v>
      </c>
      <c r="I219" t="s">
        <v>1601</v>
      </c>
      <c r="J219" s="41">
        <v>0</v>
      </c>
      <c r="K219" s="41">
        <v>3954</v>
      </c>
      <c r="L219" s="41">
        <v>0</v>
      </c>
      <c r="M219" s="41">
        <v>3954</v>
      </c>
      <c r="N219" s="41">
        <v>3954</v>
      </c>
      <c r="O219" s="41">
        <v>3954</v>
      </c>
      <c r="P219" t="s">
        <v>1583</v>
      </c>
      <c r="Q219" t="s">
        <v>1600</v>
      </c>
      <c r="R219" t="s">
        <v>1192</v>
      </c>
      <c r="S219" t="s">
        <v>1193</v>
      </c>
      <c r="T219" t="s">
        <v>1367</v>
      </c>
    </row>
    <row r="220" spans="1:20" x14ac:dyDescent="0.3">
      <c r="A220" t="s">
        <v>624</v>
      </c>
      <c r="B220" t="s">
        <v>1265</v>
      </c>
      <c r="C220" t="s">
        <v>975</v>
      </c>
      <c r="D220" t="s">
        <v>686</v>
      </c>
      <c r="E220" t="s">
        <v>1105</v>
      </c>
      <c r="F220" t="s">
        <v>948</v>
      </c>
      <c r="G220" t="s">
        <v>1106</v>
      </c>
      <c r="H220" t="s">
        <v>576</v>
      </c>
      <c r="I220" t="s">
        <v>1365</v>
      </c>
      <c r="J220" s="41">
        <v>1.9</v>
      </c>
      <c r="K220" s="41">
        <v>0</v>
      </c>
      <c r="L220" s="41">
        <v>0</v>
      </c>
      <c r="M220" s="41">
        <v>1.9</v>
      </c>
      <c r="N220" s="41">
        <v>1.9</v>
      </c>
      <c r="O220" s="41">
        <v>0</v>
      </c>
      <c r="P220" t="s">
        <v>1583</v>
      </c>
      <c r="Q220" t="s">
        <v>1580</v>
      </c>
      <c r="R220" t="s">
        <v>1192</v>
      </c>
      <c r="S220" t="s">
        <v>1193</v>
      </c>
      <c r="T220" t="s">
        <v>1367</v>
      </c>
    </row>
    <row r="221" spans="1:20" x14ac:dyDescent="0.3">
      <c r="A221" t="s">
        <v>624</v>
      </c>
      <c r="B221" t="s">
        <v>1265</v>
      </c>
      <c r="C221" t="s">
        <v>975</v>
      </c>
      <c r="D221" t="s">
        <v>686</v>
      </c>
      <c r="E221" t="s">
        <v>1123</v>
      </c>
      <c r="F221" t="s">
        <v>717</v>
      </c>
      <c r="G221" t="s">
        <v>717</v>
      </c>
      <c r="H221" t="s">
        <v>1261</v>
      </c>
      <c r="I221" t="s">
        <v>1258</v>
      </c>
      <c r="J221" s="41">
        <v>227.16</v>
      </c>
      <c r="K221" s="41">
        <v>233.65</v>
      </c>
      <c r="L221" s="41">
        <v>0</v>
      </c>
      <c r="M221" s="41">
        <v>460.81</v>
      </c>
      <c r="N221" s="41">
        <v>460.81</v>
      </c>
      <c r="O221" s="41">
        <v>233.65</v>
      </c>
      <c r="P221" t="s">
        <v>1583</v>
      </c>
      <c r="Q221" t="s">
        <v>1461</v>
      </c>
      <c r="R221" t="s">
        <v>1166</v>
      </c>
      <c r="S221" t="s">
        <v>1167</v>
      </c>
      <c r="T221" t="s">
        <v>1262</v>
      </c>
    </row>
    <row r="222" spans="1:20" x14ac:dyDescent="0.3">
      <c r="A222" t="s">
        <v>624</v>
      </c>
      <c r="B222" t="s">
        <v>1265</v>
      </c>
      <c r="C222" t="s">
        <v>975</v>
      </c>
      <c r="D222" t="s">
        <v>686</v>
      </c>
      <c r="E222" t="s">
        <v>1123</v>
      </c>
      <c r="F222" t="s">
        <v>717</v>
      </c>
      <c r="G222" t="s">
        <v>717</v>
      </c>
      <c r="H222" t="s">
        <v>1261</v>
      </c>
      <c r="I222" t="s">
        <v>1258</v>
      </c>
      <c r="J222" s="41">
        <v>4.29</v>
      </c>
      <c r="K222" s="41">
        <v>0</v>
      </c>
      <c r="L222" s="41">
        <v>0</v>
      </c>
      <c r="M222" s="41">
        <v>4.29</v>
      </c>
      <c r="N222" s="41">
        <v>4.29</v>
      </c>
      <c r="O222" s="41">
        <v>0</v>
      </c>
      <c r="P222" t="s">
        <v>1583</v>
      </c>
      <c r="Q222" t="s">
        <v>1463</v>
      </c>
      <c r="R222" t="s">
        <v>1166</v>
      </c>
      <c r="S222" t="s">
        <v>1167</v>
      </c>
      <c r="T222" t="s">
        <v>1262</v>
      </c>
    </row>
    <row r="223" spans="1:20" x14ac:dyDescent="0.3">
      <c r="A223" t="s">
        <v>624</v>
      </c>
      <c r="B223" t="s">
        <v>1265</v>
      </c>
      <c r="C223" t="s">
        <v>975</v>
      </c>
      <c r="D223" t="s">
        <v>686</v>
      </c>
      <c r="E223" t="s">
        <v>1123</v>
      </c>
      <c r="F223" t="s">
        <v>717</v>
      </c>
      <c r="G223" t="s">
        <v>717</v>
      </c>
      <c r="H223" t="s">
        <v>1261</v>
      </c>
      <c r="I223" t="s">
        <v>1258</v>
      </c>
      <c r="J223" s="41">
        <v>172.1</v>
      </c>
      <c r="K223" s="41">
        <v>0</v>
      </c>
      <c r="L223" s="41">
        <v>0</v>
      </c>
      <c r="M223" s="41">
        <v>172.1</v>
      </c>
      <c r="N223" s="41">
        <v>172.1</v>
      </c>
      <c r="O223" s="41">
        <v>0</v>
      </c>
      <c r="P223" t="s">
        <v>1583</v>
      </c>
      <c r="Q223" t="s">
        <v>1465</v>
      </c>
      <c r="R223" t="s">
        <v>1166</v>
      </c>
      <c r="S223" t="s">
        <v>1167</v>
      </c>
      <c r="T223" t="s">
        <v>1262</v>
      </c>
    </row>
    <row r="224" spans="1:20" x14ac:dyDescent="0.3">
      <c r="A224" t="s">
        <v>624</v>
      </c>
      <c r="B224" t="s">
        <v>1265</v>
      </c>
      <c r="C224" t="s">
        <v>975</v>
      </c>
      <c r="D224" t="s">
        <v>686</v>
      </c>
      <c r="E224" t="s">
        <v>1123</v>
      </c>
      <c r="F224" t="s">
        <v>717</v>
      </c>
      <c r="G224" t="s">
        <v>717</v>
      </c>
      <c r="H224" t="s">
        <v>1261</v>
      </c>
      <c r="I224" t="s">
        <v>573</v>
      </c>
      <c r="J224" s="41">
        <v>7.4</v>
      </c>
      <c r="K224" s="41">
        <v>0.5</v>
      </c>
      <c r="L224" s="41">
        <v>0</v>
      </c>
      <c r="M224" s="41">
        <v>7.9</v>
      </c>
      <c r="N224" s="41">
        <v>7.9</v>
      </c>
      <c r="O224" s="41">
        <v>0.5</v>
      </c>
      <c r="P224" t="s">
        <v>1583</v>
      </c>
      <c r="Q224" t="s">
        <v>1581</v>
      </c>
      <c r="R224" t="s">
        <v>1166</v>
      </c>
      <c r="S224" t="s">
        <v>1167</v>
      </c>
      <c r="T224" t="s">
        <v>1262</v>
      </c>
    </row>
    <row r="225" spans="1:20" x14ac:dyDescent="0.3">
      <c r="A225" t="s">
        <v>624</v>
      </c>
      <c r="B225" t="s">
        <v>1265</v>
      </c>
      <c r="C225" t="s">
        <v>975</v>
      </c>
      <c r="D225" t="s">
        <v>686</v>
      </c>
      <c r="E225" t="s">
        <v>1123</v>
      </c>
      <c r="F225" t="s">
        <v>717</v>
      </c>
      <c r="G225" t="s">
        <v>717</v>
      </c>
      <c r="H225" t="s">
        <v>1261</v>
      </c>
      <c r="I225" t="s">
        <v>1371</v>
      </c>
      <c r="J225" s="41">
        <v>441.87</v>
      </c>
      <c r="K225" s="41">
        <v>80</v>
      </c>
      <c r="L225" s="41">
        <v>0</v>
      </c>
      <c r="M225" s="41">
        <v>521.87</v>
      </c>
      <c r="N225" s="41">
        <v>521.87</v>
      </c>
      <c r="O225" s="41">
        <v>80</v>
      </c>
      <c r="P225" t="s">
        <v>1583</v>
      </c>
      <c r="Q225" t="s">
        <v>1467</v>
      </c>
      <c r="R225" t="s">
        <v>1166</v>
      </c>
      <c r="S225" t="s">
        <v>1167</v>
      </c>
      <c r="T225" t="s">
        <v>1262</v>
      </c>
    </row>
    <row r="226" spans="1:20" x14ac:dyDescent="0.3">
      <c r="A226" t="s">
        <v>624</v>
      </c>
      <c r="B226" t="s">
        <v>1265</v>
      </c>
      <c r="C226" t="s">
        <v>975</v>
      </c>
      <c r="D226" t="s">
        <v>686</v>
      </c>
      <c r="E226" t="s">
        <v>1123</v>
      </c>
      <c r="F226" t="s">
        <v>717</v>
      </c>
      <c r="G226" t="s">
        <v>717</v>
      </c>
      <c r="H226" t="s">
        <v>1547</v>
      </c>
      <c r="I226" t="s">
        <v>1602</v>
      </c>
      <c r="J226" s="41">
        <v>4.29</v>
      </c>
      <c r="K226" s="41">
        <v>0</v>
      </c>
      <c r="L226" s="41">
        <v>0</v>
      </c>
      <c r="M226" s="41">
        <v>4.29</v>
      </c>
      <c r="N226" s="41">
        <v>4.29</v>
      </c>
      <c r="O226" s="41">
        <v>0</v>
      </c>
      <c r="P226" t="s">
        <v>1583</v>
      </c>
      <c r="Q226" t="s">
        <v>1473</v>
      </c>
      <c r="R226" t="s">
        <v>1166</v>
      </c>
      <c r="S226" t="s">
        <v>1167</v>
      </c>
      <c r="T226" t="s">
        <v>1548</v>
      </c>
    </row>
    <row r="227" spans="1:20" x14ac:dyDescent="0.3">
      <c r="A227" t="s">
        <v>624</v>
      </c>
      <c r="B227" t="s">
        <v>1265</v>
      </c>
      <c r="C227" t="s">
        <v>975</v>
      </c>
      <c r="D227" t="s">
        <v>686</v>
      </c>
      <c r="E227" t="s">
        <v>1123</v>
      </c>
      <c r="F227" t="s">
        <v>717</v>
      </c>
      <c r="G227" t="s">
        <v>717</v>
      </c>
      <c r="H227" t="s">
        <v>1547</v>
      </c>
      <c r="I227" t="s">
        <v>1602</v>
      </c>
      <c r="J227" s="41">
        <v>-4.29</v>
      </c>
      <c r="K227" s="41">
        <v>0</v>
      </c>
      <c r="L227" s="41">
        <v>0</v>
      </c>
      <c r="M227" s="41">
        <v>-4.29</v>
      </c>
      <c r="N227" s="41">
        <v>-4.29</v>
      </c>
      <c r="O227" s="41">
        <v>0</v>
      </c>
      <c r="P227" t="s">
        <v>1583</v>
      </c>
      <c r="Q227" t="s">
        <v>1572</v>
      </c>
      <c r="R227" t="s">
        <v>1166</v>
      </c>
      <c r="S227" t="s">
        <v>1167</v>
      </c>
      <c r="T227" t="s">
        <v>1548</v>
      </c>
    </row>
    <row r="228" spans="1:20" x14ac:dyDescent="0.3">
      <c r="A228" t="s">
        <v>624</v>
      </c>
      <c r="B228" t="s">
        <v>1373</v>
      </c>
      <c r="C228" t="s">
        <v>974</v>
      </c>
      <c r="D228" t="s">
        <v>496</v>
      </c>
      <c r="E228" t="s">
        <v>1048</v>
      </c>
      <c r="F228" t="s">
        <v>1318</v>
      </c>
      <c r="G228" t="s">
        <v>1049</v>
      </c>
      <c r="H228" t="s">
        <v>1319</v>
      </c>
      <c r="I228" t="s">
        <v>1376</v>
      </c>
      <c r="J228" s="41">
        <v>-26661.35</v>
      </c>
      <c r="K228" s="41">
        <v>0</v>
      </c>
      <c r="L228" s="41">
        <v>5862</v>
      </c>
      <c r="M228" s="41">
        <v>-32523.35</v>
      </c>
      <c r="N228" s="41">
        <v>32523.35</v>
      </c>
      <c r="O228" s="41">
        <v>5862</v>
      </c>
      <c r="P228" t="s">
        <v>1603</v>
      </c>
      <c r="Q228" t="s">
        <v>1564</v>
      </c>
      <c r="R228" t="s">
        <v>1166</v>
      </c>
      <c r="S228" t="s">
        <v>1167</v>
      </c>
      <c r="T228" t="s">
        <v>1320</v>
      </c>
    </row>
    <row r="229" spans="1:20" x14ac:dyDescent="0.3">
      <c r="A229" t="s">
        <v>624</v>
      </c>
      <c r="B229" t="s">
        <v>1373</v>
      </c>
      <c r="C229" t="s">
        <v>974</v>
      </c>
      <c r="D229" t="s">
        <v>496</v>
      </c>
      <c r="E229" t="s">
        <v>1048</v>
      </c>
      <c r="F229" t="s">
        <v>1318</v>
      </c>
      <c r="G229" t="s">
        <v>1049</v>
      </c>
      <c r="H229" t="s">
        <v>1319</v>
      </c>
      <c r="I229" t="s">
        <v>1378</v>
      </c>
      <c r="J229" s="41">
        <v>-1200</v>
      </c>
      <c r="K229" s="41">
        <v>0</v>
      </c>
      <c r="L229" s="41">
        <v>0</v>
      </c>
      <c r="M229" s="41">
        <v>-1200</v>
      </c>
      <c r="N229" s="41">
        <v>1200</v>
      </c>
      <c r="O229" s="41">
        <v>0</v>
      </c>
      <c r="P229" t="s">
        <v>1603</v>
      </c>
      <c r="Q229" t="s">
        <v>1257</v>
      </c>
      <c r="R229" t="s">
        <v>1166</v>
      </c>
      <c r="S229" t="s">
        <v>1167</v>
      </c>
      <c r="T229" t="s">
        <v>1320</v>
      </c>
    </row>
    <row r="230" spans="1:20" x14ac:dyDescent="0.3">
      <c r="A230" t="s">
        <v>624</v>
      </c>
      <c r="B230" t="s">
        <v>1373</v>
      </c>
      <c r="C230" t="s">
        <v>974</v>
      </c>
      <c r="D230" t="s">
        <v>496</v>
      </c>
      <c r="E230" t="s">
        <v>1048</v>
      </c>
      <c r="F230" t="s">
        <v>1318</v>
      </c>
      <c r="G230" t="s">
        <v>1049</v>
      </c>
      <c r="H230" t="s">
        <v>1319</v>
      </c>
      <c r="I230" t="s">
        <v>1387</v>
      </c>
      <c r="J230" s="41">
        <v>-4010</v>
      </c>
      <c r="K230" s="41">
        <v>0</v>
      </c>
      <c r="L230" s="41">
        <v>0</v>
      </c>
      <c r="M230" s="41">
        <v>-4010</v>
      </c>
      <c r="N230" s="41">
        <v>4010</v>
      </c>
      <c r="O230" s="41">
        <v>0</v>
      </c>
      <c r="P230" t="s">
        <v>1603</v>
      </c>
      <c r="Q230" t="s">
        <v>1342</v>
      </c>
      <c r="R230" t="s">
        <v>1166</v>
      </c>
      <c r="S230" t="s">
        <v>1167</v>
      </c>
      <c r="T230" t="s">
        <v>1320</v>
      </c>
    </row>
    <row r="231" spans="1:20" x14ac:dyDescent="0.3">
      <c r="A231" t="s">
        <v>624</v>
      </c>
      <c r="B231" t="s">
        <v>1373</v>
      </c>
      <c r="C231" t="s">
        <v>974</v>
      </c>
      <c r="D231" t="s">
        <v>496</v>
      </c>
      <c r="E231" t="s">
        <v>1048</v>
      </c>
      <c r="F231" t="s">
        <v>1318</v>
      </c>
      <c r="G231" t="s">
        <v>1049</v>
      </c>
      <c r="H231" t="s">
        <v>1319</v>
      </c>
      <c r="I231" t="s">
        <v>1379</v>
      </c>
      <c r="J231" s="41">
        <v>-217</v>
      </c>
      <c r="K231" s="41">
        <v>0</v>
      </c>
      <c r="L231" s="41">
        <v>0</v>
      </c>
      <c r="M231" s="41">
        <v>-217</v>
      </c>
      <c r="N231" s="41">
        <v>217</v>
      </c>
      <c r="O231" s="41">
        <v>0</v>
      </c>
      <c r="P231" t="s">
        <v>1603</v>
      </c>
      <c r="Q231" t="s">
        <v>1348</v>
      </c>
      <c r="R231" t="s">
        <v>1166</v>
      </c>
      <c r="S231" t="s">
        <v>1167</v>
      </c>
      <c r="T231" t="s">
        <v>1320</v>
      </c>
    </row>
    <row r="232" spans="1:20" x14ac:dyDescent="0.3">
      <c r="A232" t="s">
        <v>624</v>
      </c>
      <c r="B232" t="s">
        <v>1373</v>
      </c>
      <c r="C232" t="s">
        <v>974</v>
      </c>
      <c r="D232" t="s">
        <v>496</v>
      </c>
      <c r="E232" t="s">
        <v>1048</v>
      </c>
      <c r="F232" t="s">
        <v>1318</v>
      </c>
      <c r="G232" t="s">
        <v>1049</v>
      </c>
      <c r="H232" t="s">
        <v>1319</v>
      </c>
      <c r="I232" t="s">
        <v>1381</v>
      </c>
      <c r="J232" s="41">
        <v>-578.70000000000005</v>
      </c>
      <c r="K232" s="41">
        <v>0</v>
      </c>
      <c r="L232" s="41">
        <v>96.45</v>
      </c>
      <c r="M232" s="41">
        <v>-675.15</v>
      </c>
      <c r="N232" s="41">
        <v>675.15</v>
      </c>
      <c r="O232" s="41">
        <v>96.45</v>
      </c>
      <c r="P232" t="s">
        <v>1603</v>
      </c>
      <c r="Q232" t="s">
        <v>1350</v>
      </c>
      <c r="R232" t="s">
        <v>1166</v>
      </c>
      <c r="S232" t="s">
        <v>1167</v>
      </c>
      <c r="T232" t="s">
        <v>1320</v>
      </c>
    </row>
    <row r="233" spans="1:20" x14ac:dyDescent="0.3">
      <c r="A233" t="s">
        <v>624</v>
      </c>
      <c r="B233" t="s">
        <v>1373</v>
      </c>
      <c r="C233" t="s">
        <v>974</v>
      </c>
      <c r="D233" t="s">
        <v>496</v>
      </c>
      <c r="E233" t="s">
        <v>1048</v>
      </c>
      <c r="F233" t="s">
        <v>1318</v>
      </c>
      <c r="G233" t="s">
        <v>1049</v>
      </c>
      <c r="H233" t="s">
        <v>1319</v>
      </c>
      <c r="I233" t="s">
        <v>1382</v>
      </c>
      <c r="J233" s="41">
        <v>-330</v>
      </c>
      <c r="K233" s="41">
        <v>0</v>
      </c>
      <c r="L233" s="41">
        <v>55</v>
      </c>
      <c r="M233" s="41">
        <v>-385</v>
      </c>
      <c r="N233" s="41">
        <v>385</v>
      </c>
      <c r="O233" s="41">
        <v>55</v>
      </c>
      <c r="P233" t="s">
        <v>1603</v>
      </c>
      <c r="Q233" t="s">
        <v>1351</v>
      </c>
      <c r="R233" t="s">
        <v>1166</v>
      </c>
      <c r="S233" t="s">
        <v>1167</v>
      </c>
      <c r="T233" t="s">
        <v>1320</v>
      </c>
    </row>
    <row r="234" spans="1:20" x14ac:dyDescent="0.3">
      <c r="A234" t="s">
        <v>624</v>
      </c>
      <c r="B234" t="s">
        <v>1373</v>
      </c>
      <c r="C234" t="s">
        <v>974</v>
      </c>
      <c r="D234" t="s">
        <v>496</v>
      </c>
      <c r="E234" t="s">
        <v>1118</v>
      </c>
      <c r="F234" t="s">
        <v>1324</v>
      </c>
      <c r="G234" t="s">
        <v>1119</v>
      </c>
      <c r="H234" t="s">
        <v>1418</v>
      </c>
      <c r="I234" t="s">
        <v>1376</v>
      </c>
      <c r="J234" s="41">
        <v>-0.35</v>
      </c>
      <c r="K234" s="41">
        <v>0</v>
      </c>
      <c r="L234" s="41">
        <v>0</v>
      </c>
      <c r="M234" s="41">
        <v>-0.35</v>
      </c>
      <c r="N234" s="41">
        <v>0.35</v>
      </c>
      <c r="O234" s="41">
        <v>0</v>
      </c>
      <c r="P234" t="s">
        <v>1603</v>
      </c>
      <c r="Q234" t="s">
        <v>1355</v>
      </c>
      <c r="R234" t="s">
        <v>1166</v>
      </c>
      <c r="S234" t="s">
        <v>1167</v>
      </c>
      <c r="T234" t="s">
        <v>1419</v>
      </c>
    </row>
    <row r="235" spans="1:20" x14ac:dyDescent="0.3">
      <c r="A235" t="s">
        <v>624</v>
      </c>
      <c r="B235" t="s">
        <v>1373</v>
      </c>
      <c r="C235" t="s">
        <v>974</v>
      </c>
      <c r="D235" t="s">
        <v>496</v>
      </c>
      <c r="E235" t="s">
        <v>1118</v>
      </c>
      <c r="F235" t="s">
        <v>1324</v>
      </c>
      <c r="G235" t="s">
        <v>1119</v>
      </c>
      <c r="H235" t="s">
        <v>1418</v>
      </c>
      <c r="I235" t="s">
        <v>1378</v>
      </c>
      <c r="J235" s="41">
        <v>-83</v>
      </c>
      <c r="K235" s="41">
        <v>0</v>
      </c>
      <c r="L235" s="41">
        <v>0</v>
      </c>
      <c r="M235" s="41">
        <v>-83</v>
      </c>
      <c r="N235" s="41">
        <v>83</v>
      </c>
      <c r="O235" s="41">
        <v>0</v>
      </c>
      <c r="P235" t="s">
        <v>1603</v>
      </c>
      <c r="Q235" t="s">
        <v>1356</v>
      </c>
      <c r="R235" t="s">
        <v>1166</v>
      </c>
      <c r="S235" t="s">
        <v>1167</v>
      </c>
      <c r="T235" t="s">
        <v>1419</v>
      </c>
    </row>
    <row r="236" spans="1:20" x14ac:dyDescent="0.3">
      <c r="A236" t="s">
        <v>624</v>
      </c>
      <c r="B236" t="s">
        <v>1373</v>
      </c>
      <c r="C236" t="s">
        <v>974</v>
      </c>
      <c r="D236" t="s">
        <v>496</v>
      </c>
      <c r="E236" t="s">
        <v>1118</v>
      </c>
      <c r="F236" t="s">
        <v>1324</v>
      </c>
      <c r="G236" t="s">
        <v>1119</v>
      </c>
      <c r="H236" t="s">
        <v>1418</v>
      </c>
      <c r="I236" t="s">
        <v>1406</v>
      </c>
      <c r="J236" s="41">
        <v>-482.03</v>
      </c>
      <c r="K236" s="41">
        <v>0</v>
      </c>
      <c r="L236" s="41">
        <v>10.76</v>
      </c>
      <c r="M236" s="41">
        <v>-492.79</v>
      </c>
      <c r="N236" s="41">
        <v>492.79</v>
      </c>
      <c r="O236" s="41">
        <v>10.76</v>
      </c>
      <c r="P236" t="s">
        <v>1603</v>
      </c>
      <c r="Q236" t="s">
        <v>1357</v>
      </c>
      <c r="R236" t="s">
        <v>1166</v>
      </c>
      <c r="S236" t="s">
        <v>1167</v>
      </c>
      <c r="T236" t="s">
        <v>1419</v>
      </c>
    </row>
    <row r="237" spans="1:20" x14ac:dyDescent="0.3">
      <c r="A237" t="s">
        <v>624</v>
      </c>
      <c r="B237" t="s">
        <v>1373</v>
      </c>
      <c r="C237" t="s">
        <v>974</v>
      </c>
      <c r="D237" t="s">
        <v>496</v>
      </c>
      <c r="E237" t="s">
        <v>1060</v>
      </c>
      <c r="F237" t="s">
        <v>947</v>
      </c>
      <c r="G237" t="s">
        <v>1061</v>
      </c>
      <c r="H237" t="s">
        <v>1200</v>
      </c>
      <c r="I237" t="s">
        <v>1421</v>
      </c>
      <c r="J237" s="41">
        <v>15553.02</v>
      </c>
      <c r="K237" s="41">
        <v>2592.17</v>
      </c>
      <c r="L237" s="41">
        <v>0</v>
      </c>
      <c r="M237" s="41">
        <v>18145.189999999999</v>
      </c>
      <c r="N237" s="41">
        <v>18145.189999999999</v>
      </c>
      <c r="O237" s="41">
        <v>2592.17</v>
      </c>
      <c r="P237" t="s">
        <v>1603</v>
      </c>
      <c r="Q237" t="s">
        <v>1420</v>
      </c>
      <c r="R237" t="s">
        <v>1166</v>
      </c>
      <c r="S237" t="s">
        <v>1167</v>
      </c>
      <c r="T237" t="s">
        <v>1201</v>
      </c>
    </row>
    <row r="238" spans="1:20" x14ac:dyDescent="0.3">
      <c r="A238" t="s">
        <v>624</v>
      </c>
      <c r="B238" t="s">
        <v>1373</v>
      </c>
      <c r="C238" t="s">
        <v>974</v>
      </c>
      <c r="D238" t="s">
        <v>496</v>
      </c>
      <c r="E238" t="s">
        <v>1060</v>
      </c>
      <c r="F238" t="s">
        <v>947</v>
      </c>
      <c r="G238" t="s">
        <v>1061</v>
      </c>
      <c r="H238" t="s">
        <v>1200</v>
      </c>
      <c r="I238" t="s">
        <v>1605</v>
      </c>
      <c r="J238" s="41">
        <v>4000</v>
      </c>
      <c r="K238" s="41">
        <v>0</v>
      </c>
      <c r="L238" s="41">
        <v>0</v>
      </c>
      <c r="M238" s="41">
        <v>4000</v>
      </c>
      <c r="N238" s="41">
        <v>4000</v>
      </c>
      <c r="O238" s="41">
        <v>0</v>
      </c>
      <c r="P238" t="s">
        <v>1603</v>
      </c>
      <c r="Q238" t="s">
        <v>1364</v>
      </c>
      <c r="R238" t="s">
        <v>1166</v>
      </c>
      <c r="S238" t="s">
        <v>1167</v>
      </c>
      <c r="T238" t="s">
        <v>1201</v>
      </c>
    </row>
    <row r="239" spans="1:20" x14ac:dyDescent="0.3">
      <c r="A239" t="s">
        <v>624</v>
      </c>
      <c r="B239" t="s">
        <v>1373</v>
      </c>
      <c r="C239" t="s">
        <v>974</v>
      </c>
      <c r="D239" t="s">
        <v>496</v>
      </c>
      <c r="E239" t="s">
        <v>1060</v>
      </c>
      <c r="F239" t="s">
        <v>947</v>
      </c>
      <c r="G239" t="s">
        <v>1061</v>
      </c>
      <c r="H239" t="s">
        <v>1200</v>
      </c>
      <c r="I239" t="s">
        <v>1606</v>
      </c>
      <c r="J239" s="41">
        <v>5000</v>
      </c>
      <c r="K239" s="41">
        <v>0</v>
      </c>
      <c r="L239" s="41">
        <v>0</v>
      </c>
      <c r="M239" s="41">
        <v>5000</v>
      </c>
      <c r="N239" s="41">
        <v>5000</v>
      </c>
      <c r="O239" s="41">
        <v>0</v>
      </c>
      <c r="P239" t="s">
        <v>1603</v>
      </c>
      <c r="Q239" t="s">
        <v>1422</v>
      </c>
      <c r="R239" t="s">
        <v>1166</v>
      </c>
      <c r="S239" t="s">
        <v>1167</v>
      </c>
      <c r="T239" t="s">
        <v>1201</v>
      </c>
    </row>
    <row r="240" spans="1:20" x14ac:dyDescent="0.3">
      <c r="A240" t="s">
        <v>624</v>
      </c>
      <c r="B240" t="s">
        <v>1373</v>
      </c>
      <c r="C240" t="s">
        <v>974</v>
      </c>
      <c r="D240" t="s">
        <v>496</v>
      </c>
      <c r="E240" t="s">
        <v>1075</v>
      </c>
      <c r="F240" t="s">
        <v>947</v>
      </c>
      <c r="G240" t="s">
        <v>1076</v>
      </c>
      <c r="H240" t="s">
        <v>1205</v>
      </c>
      <c r="I240" t="s">
        <v>1607</v>
      </c>
      <c r="J240" s="41">
        <v>78.430000000000007</v>
      </c>
      <c r="K240" s="41">
        <v>0</v>
      </c>
      <c r="L240" s="41">
        <v>0</v>
      </c>
      <c r="M240" s="41">
        <v>78.430000000000007</v>
      </c>
      <c r="N240" s="41">
        <v>78.430000000000007</v>
      </c>
      <c r="O240" s="41">
        <v>0</v>
      </c>
      <c r="P240" t="s">
        <v>1603</v>
      </c>
      <c r="Q240" t="s">
        <v>1368</v>
      </c>
      <c r="R240" t="s">
        <v>1166</v>
      </c>
      <c r="S240" t="s">
        <v>1167</v>
      </c>
      <c r="T240" t="s">
        <v>1206</v>
      </c>
    </row>
    <row r="241" spans="1:20" x14ac:dyDescent="0.3">
      <c r="A241" t="s">
        <v>624</v>
      </c>
      <c r="B241" t="s">
        <v>1373</v>
      </c>
      <c r="C241" t="s">
        <v>974</v>
      </c>
      <c r="D241" t="s">
        <v>496</v>
      </c>
      <c r="E241" t="s">
        <v>1075</v>
      </c>
      <c r="F241" t="s">
        <v>947</v>
      </c>
      <c r="G241" t="s">
        <v>1076</v>
      </c>
      <c r="H241" t="s">
        <v>1205</v>
      </c>
      <c r="I241" t="s">
        <v>1423</v>
      </c>
      <c r="J241" s="41">
        <v>64.790000000000006</v>
      </c>
      <c r="K241" s="41">
        <v>0</v>
      </c>
      <c r="L241" s="41">
        <v>0</v>
      </c>
      <c r="M241" s="41">
        <v>64.790000000000006</v>
      </c>
      <c r="N241" s="41">
        <v>64.790000000000006</v>
      </c>
      <c r="O241" s="41">
        <v>0</v>
      </c>
      <c r="P241" t="s">
        <v>1603</v>
      </c>
      <c r="Q241" t="s">
        <v>1369</v>
      </c>
      <c r="R241" t="s">
        <v>1166</v>
      </c>
      <c r="S241" t="s">
        <v>1167</v>
      </c>
      <c r="T241" t="s">
        <v>1206</v>
      </c>
    </row>
    <row r="242" spans="1:20" x14ac:dyDescent="0.3">
      <c r="A242" t="s">
        <v>624</v>
      </c>
      <c r="B242" t="s">
        <v>1373</v>
      </c>
      <c r="C242" t="s">
        <v>974</v>
      </c>
      <c r="D242" t="s">
        <v>496</v>
      </c>
      <c r="E242" t="s">
        <v>1075</v>
      </c>
      <c r="F242" t="s">
        <v>947</v>
      </c>
      <c r="G242" t="s">
        <v>1076</v>
      </c>
      <c r="H242" t="s">
        <v>1205</v>
      </c>
      <c r="I242" t="s">
        <v>1425</v>
      </c>
      <c r="J242" s="41">
        <v>35.04</v>
      </c>
      <c r="K242" s="41">
        <v>0</v>
      </c>
      <c r="L242" s="41">
        <v>0</v>
      </c>
      <c r="M242" s="41">
        <v>35.04</v>
      </c>
      <c r="N242" s="41">
        <v>35.04</v>
      </c>
      <c r="O242" s="41">
        <v>0</v>
      </c>
      <c r="P242" t="s">
        <v>1603</v>
      </c>
      <c r="Q242" t="s">
        <v>1370</v>
      </c>
      <c r="R242" t="s">
        <v>1166</v>
      </c>
      <c r="S242" t="s">
        <v>1167</v>
      </c>
      <c r="T242" t="s">
        <v>1206</v>
      </c>
    </row>
    <row r="243" spans="1:20" x14ac:dyDescent="0.3">
      <c r="A243" t="s">
        <v>624</v>
      </c>
      <c r="B243" t="s">
        <v>1373</v>
      </c>
      <c r="C243" t="s">
        <v>974</v>
      </c>
      <c r="D243" t="s">
        <v>496</v>
      </c>
      <c r="E243" t="s">
        <v>1075</v>
      </c>
      <c r="F243" t="s">
        <v>947</v>
      </c>
      <c r="G243" t="s">
        <v>1076</v>
      </c>
      <c r="H243" t="s">
        <v>1205</v>
      </c>
      <c r="I243" t="s">
        <v>1400</v>
      </c>
      <c r="J243" s="41">
        <v>60.35</v>
      </c>
      <c r="K243" s="41">
        <v>0</v>
      </c>
      <c r="L243" s="41">
        <v>0</v>
      </c>
      <c r="M243" s="41">
        <v>60.35</v>
      </c>
      <c r="N243" s="41">
        <v>60.35</v>
      </c>
      <c r="O243" s="41">
        <v>0</v>
      </c>
      <c r="P243" t="s">
        <v>1603</v>
      </c>
      <c r="Q243" t="s">
        <v>1426</v>
      </c>
      <c r="R243" t="s">
        <v>1166</v>
      </c>
      <c r="S243" t="s">
        <v>1167</v>
      </c>
      <c r="T243" t="s">
        <v>1206</v>
      </c>
    </row>
    <row r="244" spans="1:20" x14ac:dyDescent="0.3">
      <c r="A244" t="s">
        <v>624</v>
      </c>
      <c r="B244" t="s">
        <v>1373</v>
      </c>
      <c r="C244" t="s">
        <v>974</v>
      </c>
      <c r="D244" t="s">
        <v>496</v>
      </c>
      <c r="E244" t="s">
        <v>1075</v>
      </c>
      <c r="F244" t="s">
        <v>947</v>
      </c>
      <c r="G244" t="s">
        <v>1076</v>
      </c>
      <c r="H244" t="s">
        <v>1205</v>
      </c>
      <c r="I244" t="s">
        <v>1425</v>
      </c>
      <c r="J244" s="41">
        <v>13.54</v>
      </c>
      <c r="K244" s="41">
        <v>0</v>
      </c>
      <c r="L244" s="41">
        <v>0</v>
      </c>
      <c r="M244" s="41">
        <v>13.54</v>
      </c>
      <c r="N244" s="41">
        <v>13.54</v>
      </c>
      <c r="O244" s="41">
        <v>0</v>
      </c>
      <c r="P244" t="s">
        <v>1603</v>
      </c>
      <c r="Q244" t="s">
        <v>1590</v>
      </c>
      <c r="R244" t="s">
        <v>1166</v>
      </c>
      <c r="S244" t="s">
        <v>1167</v>
      </c>
      <c r="T244" t="s">
        <v>1206</v>
      </c>
    </row>
    <row r="245" spans="1:20" x14ac:dyDescent="0.3">
      <c r="A245" t="s">
        <v>624</v>
      </c>
      <c r="B245" t="s">
        <v>1373</v>
      </c>
      <c r="C245" t="s">
        <v>974</v>
      </c>
      <c r="D245" t="s">
        <v>496</v>
      </c>
      <c r="E245" t="s">
        <v>1060</v>
      </c>
      <c r="F245" t="s">
        <v>947</v>
      </c>
      <c r="G245" t="s">
        <v>1061</v>
      </c>
      <c r="H245" t="s">
        <v>1430</v>
      </c>
      <c r="I245" t="s">
        <v>1428</v>
      </c>
      <c r="J245" s="41">
        <v>7600</v>
      </c>
      <c r="K245" s="41">
        <v>0</v>
      </c>
      <c r="L245" s="41">
        <v>0</v>
      </c>
      <c r="M245" s="41">
        <v>7600</v>
      </c>
      <c r="N245" s="41">
        <v>7600</v>
      </c>
      <c r="O245" s="41">
        <v>0</v>
      </c>
      <c r="P245" t="s">
        <v>1603</v>
      </c>
      <c r="Q245" t="s">
        <v>1438</v>
      </c>
      <c r="R245" t="s">
        <v>1192</v>
      </c>
      <c r="S245" t="s">
        <v>1193</v>
      </c>
      <c r="T245" t="s">
        <v>1431</v>
      </c>
    </row>
    <row r="246" spans="1:20" x14ac:dyDescent="0.3">
      <c r="A246" t="s">
        <v>624</v>
      </c>
      <c r="B246" t="s">
        <v>1373</v>
      </c>
      <c r="C246" t="s">
        <v>974</v>
      </c>
      <c r="D246" t="s">
        <v>496</v>
      </c>
      <c r="E246" t="s">
        <v>1060</v>
      </c>
      <c r="F246" t="s">
        <v>947</v>
      </c>
      <c r="G246" t="s">
        <v>1061</v>
      </c>
      <c r="H246" t="s">
        <v>1436</v>
      </c>
      <c r="I246" t="s">
        <v>1434</v>
      </c>
      <c r="J246" s="41">
        <v>276.06</v>
      </c>
      <c r="K246" s="41">
        <v>0</v>
      </c>
      <c r="L246" s="41">
        <v>0</v>
      </c>
      <c r="M246" s="41">
        <v>276.06</v>
      </c>
      <c r="N246" s="41">
        <v>276.06</v>
      </c>
      <c r="O246" s="41">
        <v>0</v>
      </c>
      <c r="P246" t="s">
        <v>1603</v>
      </c>
      <c r="Q246" t="s">
        <v>1441</v>
      </c>
      <c r="R246" t="s">
        <v>1166</v>
      </c>
      <c r="S246" t="s">
        <v>1167</v>
      </c>
      <c r="T246" t="s">
        <v>1437</v>
      </c>
    </row>
    <row r="247" spans="1:20" x14ac:dyDescent="0.3">
      <c r="A247" t="s">
        <v>624</v>
      </c>
      <c r="B247" t="s">
        <v>1373</v>
      </c>
      <c r="C247" t="s">
        <v>974</v>
      </c>
      <c r="D247" t="s">
        <v>496</v>
      </c>
      <c r="E247" t="s">
        <v>1060</v>
      </c>
      <c r="F247" t="s">
        <v>947</v>
      </c>
      <c r="G247" t="s">
        <v>1061</v>
      </c>
      <c r="H247" t="s">
        <v>1436</v>
      </c>
      <c r="I247" t="s">
        <v>1405</v>
      </c>
      <c r="J247" s="41">
        <v>13.9</v>
      </c>
      <c r="K247" s="41">
        <v>0</v>
      </c>
      <c r="L247" s="41">
        <v>0</v>
      </c>
      <c r="M247" s="41">
        <v>13.9</v>
      </c>
      <c r="N247" s="41">
        <v>13.9</v>
      </c>
      <c r="O247" s="41">
        <v>0</v>
      </c>
      <c r="P247" t="s">
        <v>1603</v>
      </c>
      <c r="Q247" t="s">
        <v>1567</v>
      </c>
      <c r="R247" t="s">
        <v>1166</v>
      </c>
      <c r="S247" t="s">
        <v>1167</v>
      </c>
      <c r="T247" t="s">
        <v>1437</v>
      </c>
    </row>
    <row r="248" spans="1:20" x14ac:dyDescent="0.3">
      <c r="A248" t="s">
        <v>624</v>
      </c>
      <c r="B248" t="s">
        <v>1373</v>
      </c>
      <c r="C248" t="s">
        <v>974</v>
      </c>
      <c r="D248" t="s">
        <v>496</v>
      </c>
      <c r="E248" t="s">
        <v>1060</v>
      </c>
      <c r="F248" t="s">
        <v>947</v>
      </c>
      <c r="G248" t="s">
        <v>1061</v>
      </c>
      <c r="H248" t="s">
        <v>1436</v>
      </c>
      <c r="I248" t="s">
        <v>1440</v>
      </c>
      <c r="J248" s="41">
        <v>15.3</v>
      </c>
      <c r="K248" s="41">
        <v>0</v>
      </c>
      <c r="L248" s="41">
        <v>0</v>
      </c>
      <c r="M248" s="41">
        <v>15.3</v>
      </c>
      <c r="N248" s="41">
        <v>15.3</v>
      </c>
      <c r="O248" s="41">
        <v>0</v>
      </c>
      <c r="P248" t="s">
        <v>1603</v>
      </c>
      <c r="Q248" t="s">
        <v>1443</v>
      </c>
      <c r="R248" t="s">
        <v>1166</v>
      </c>
      <c r="S248" t="s">
        <v>1167</v>
      </c>
      <c r="T248" t="s">
        <v>1437</v>
      </c>
    </row>
    <row r="249" spans="1:20" x14ac:dyDescent="0.3">
      <c r="A249" t="s">
        <v>624</v>
      </c>
      <c r="B249" t="s">
        <v>1373</v>
      </c>
      <c r="C249" t="s">
        <v>974</v>
      </c>
      <c r="D249" t="s">
        <v>496</v>
      </c>
      <c r="E249" t="s">
        <v>1060</v>
      </c>
      <c r="F249" t="s">
        <v>947</v>
      </c>
      <c r="G249" t="s">
        <v>1061</v>
      </c>
      <c r="H249" t="s">
        <v>1436</v>
      </c>
      <c r="I249" t="s">
        <v>1442</v>
      </c>
      <c r="J249" s="41">
        <v>2568.42</v>
      </c>
      <c r="K249" s="41">
        <v>0</v>
      </c>
      <c r="L249" s="41">
        <v>0</v>
      </c>
      <c r="M249" s="41">
        <v>2568.42</v>
      </c>
      <c r="N249" s="41">
        <v>2568.42</v>
      </c>
      <c r="O249" s="41">
        <v>0</v>
      </c>
      <c r="P249" t="s">
        <v>1603</v>
      </c>
      <c r="Q249" t="s">
        <v>1568</v>
      </c>
      <c r="R249" t="s">
        <v>1166</v>
      </c>
      <c r="S249" t="s">
        <v>1167</v>
      </c>
      <c r="T249" t="s">
        <v>1437</v>
      </c>
    </row>
    <row r="250" spans="1:20" x14ac:dyDescent="0.3">
      <c r="A250" t="s">
        <v>624</v>
      </c>
      <c r="B250" t="s">
        <v>1373</v>
      </c>
      <c r="C250" t="s">
        <v>974</v>
      </c>
      <c r="D250" t="s">
        <v>496</v>
      </c>
      <c r="E250" t="s">
        <v>1060</v>
      </c>
      <c r="F250" t="s">
        <v>947</v>
      </c>
      <c r="G250" t="s">
        <v>1061</v>
      </c>
      <c r="H250" t="s">
        <v>1436</v>
      </c>
      <c r="I250" t="s">
        <v>1608</v>
      </c>
      <c r="J250" s="41">
        <v>139.1</v>
      </c>
      <c r="K250" s="41">
        <v>0</v>
      </c>
      <c r="L250" s="41">
        <v>0</v>
      </c>
      <c r="M250" s="41">
        <v>139.1</v>
      </c>
      <c r="N250" s="41">
        <v>139.1</v>
      </c>
      <c r="O250" s="41">
        <v>0</v>
      </c>
      <c r="P250" t="s">
        <v>1603</v>
      </c>
      <c r="Q250" t="s">
        <v>1449</v>
      </c>
      <c r="R250" t="s">
        <v>1166</v>
      </c>
      <c r="S250" t="s">
        <v>1167</v>
      </c>
      <c r="T250" t="s">
        <v>1437</v>
      </c>
    </row>
    <row r="251" spans="1:20" x14ac:dyDescent="0.3">
      <c r="A251" t="s">
        <v>624</v>
      </c>
      <c r="B251" t="s">
        <v>1373</v>
      </c>
      <c r="C251" t="s">
        <v>974</v>
      </c>
      <c r="D251" t="s">
        <v>496</v>
      </c>
      <c r="E251" t="s">
        <v>1060</v>
      </c>
      <c r="F251" t="s">
        <v>947</v>
      </c>
      <c r="G251" t="s">
        <v>1061</v>
      </c>
      <c r="H251" t="s">
        <v>1436</v>
      </c>
      <c r="I251" t="s">
        <v>1406</v>
      </c>
      <c r="J251" s="41">
        <v>-540.91999999999996</v>
      </c>
      <c r="K251" s="41">
        <v>0</v>
      </c>
      <c r="L251" s="41">
        <v>0</v>
      </c>
      <c r="M251" s="41">
        <v>-540.91999999999996</v>
      </c>
      <c r="N251" s="41">
        <v>-540.91999999999996</v>
      </c>
      <c r="O251" s="41">
        <v>0</v>
      </c>
      <c r="P251" t="s">
        <v>1603</v>
      </c>
      <c r="Q251" t="s">
        <v>1579</v>
      </c>
      <c r="R251" t="s">
        <v>1166</v>
      </c>
      <c r="S251" t="s">
        <v>1167</v>
      </c>
      <c r="T251" t="s">
        <v>1437</v>
      </c>
    </row>
    <row r="252" spans="1:20" x14ac:dyDescent="0.3">
      <c r="A252" t="s">
        <v>624</v>
      </c>
      <c r="B252" t="s">
        <v>1373</v>
      </c>
      <c r="C252" t="s">
        <v>974</v>
      </c>
      <c r="D252" t="s">
        <v>496</v>
      </c>
      <c r="E252" t="s">
        <v>1060</v>
      </c>
      <c r="F252" t="s">
        <v>947</v>
      </c>
      <c r="G252" t="s">
        <v>1061</v>
      </c>
      <c r="H252" t="s">
        <v>1447</v>
      </c>
      <c r="I252" t="s">
        <v>1445</v>
      </c>
      <c r="J252" s="41">
        <v>122.93</v>
      </c>
      <c r="K252" s="41">
        <v>0</v>
      </c>
      <c r="L252" s="41">
        <v>0</v>
      </c>
      <c r="M252" s="41">
        <v>122.93</v>
      </c>
      <c r="N252" s="41">
        <v>122.93</v>
      </c>
      <c r="O252" s="41">
        <v>0</v>
      </c>
      <c r="P252" t="s">
        <v>1603</v>
      </c>
      <c r="Q252" t="s">
        <v>1453</v>
      </c>
      <c r="R252" t="s">
        <v>1166</v>
      </c>
      <c r="S252" t="s">
        <v>1167</v>
      </c>
      <c r="T252" t="s">
        <v>1448</v>
      </c>
    </row>
    <row r="253" spans="1:20" x14ac:dyDescent="0.3">
      <c r="A253" t="s">
        <v>624</v>
      </c>
      <c r="B253" t="s">
        <v>1373</v>
      </c>
      <c r="C253" t="s">
        <v>974</v>
      </c>
      <c r="D253" t="s">
        <v>496</v>
      </c>
      <c r="E253" t="s">
        <v>1060</v>
      </c>
      <c r="F253" t="s">
        <v>947</v>
      </c>
      <c r="G253" t="s">
        <v>1061</v>
      </c>
      <c r="H253" t="s">
        <v>1447</v>
      </c>
      <c r="I253" t="s">
        <v>1442</v>
      </c>
      <c r="J253" s="41">
        <v>56.7</v>
      </c>
      <c r="K253" s="41">
        <v>0</v>
      </c>
      <c r="L253" s="41">
        <v>0</v>
      </c>
      <c r="M253" s="41">
        <v>56.7</v>
      </c>
      <c r="N253" s="41">
        <v>56.7</v>
      </c>
      <c r="O253" s="41">
        <v>0</v>
      </c>
      <c r="P253" t="s">
        <v>1603</v>
      </c>
      <c r="Q253" t="s">
        <v>1570</v>
      </c>
      <c r="R253" t="s">
        <v>1166</v>
      </c>
      <c r="S253" t="s">
        <v>1167</v>
      </c>
      <c r="T253" t="s">
        <v>1448</v>
      </c>
    </row>
    <row r="254" spans="1:20" x14ac:dyDescent="0.3">
      <c r="A254" t="s">
        <v>624</v>
      </c>
      <c r="B254" t="s">
        <v>1373</v>
      </c>
      <c r="C254" t="s">
        <v>974</v>
      </c>
      <c r="D254" t="s">
        <v>496</v>
      </c>
      <c r="E254" t="s">
        <v>1060</v>
      </c>
      <c r="F254" t="s">
        <v>947</v>
      </c>
      <c r="G254" t="s">
        <v>1061</v>
      </c>
      <c r="H254" t="s">
        <v>1451</v>
      </c>
      <c r="I254" t="s">
        <v>1421</v>
      </c>
      <c r="J254" s="41">
        <v>4153.9799999999996</v>
      </c>
      <c r="K254" s="41">
        <v>637.33000000000004</v>
      </c>
      <c r="L254" s="41">
        <v>0</v>
      </c>
      <c r="M254" s="41">
        <v>4791.3100000000004</v>
      </c>
      <c r="N254" s="41">
        <v>4791.3100000000004</v>
      </c>
      <c r="O254" s="41">
        <v>637.33000000000004</v>
      </c>
      <c r="P254" t="s">
        <v>1603</v>
      </c>
      <c r="Q254" t="s">
        <v>1455</v>
      </c>
      <c r="R254" t="s">
        <v>1192</v>
      </c>
      <c r="S254" t="s">
        <v>1193</v>
      </c>
      <c r="T254" t="s">
        <v>1452</v>
      </c>
    </row>
    <row r="255" spans="1:20" x14ac:dyDescent="0.3">
      <c r="A255" t="s">
        <v>624</v>
      </c>
      <c r="B255" t="s">
        <v>1373</v>
      </c>
      <c r="C255" t="s">
        <v>974</v>
      </c>
      <c r="D255" t="s">
        <v>496</v>
      </c>
      <c r="E255" t="s">
        <v>1062</v>
      </c>
      <c r="F255" t="s">
        <v>947</v>
      </c>
      <c r="G255" t="s">
        <v>1063</v>
      </c>
      <c r="H255" t="s">
        <v>1216</v>
      </c>
      <c r="I255" t="s">
        <v>1609</v>
      </c>
      <c r="J255" s="41">
        <v>150</v>
      </c>
      <c r="K255" s="41">
        <v>100</v>
      </c>
      <c r="L255" s="41">
        <v>0</v>
      </c>
      <c r="M255" s="41">
        <v>250</v>
      </c>
      <c r="N255" s="41">
        <v>250</v>
      </c>
      <c r="O255" s="41">
        <v>100</v>
      </c>
      <c r="P255" t="s">
        <v>1603</v>
      </c>
      <c r="Q255" t="s">
        <v>1457</v>
      </c>
      <c r="R255" t="s">
        <v>1166</v>
      </c>
      <c r="S255" t="s">
        <v>1167</v>
      </c>
      <c r="T255" t="s">
        <v>1217</v>
      </c>
    </row>
    <row r="256" spans="1:20" x14ac:dyDescent="0.3">
      <c r="A256" t="s">
        <v>624</v>
      </c>
      <c r="B256" t="s">
        <v>1373</v>
      </c>
      <c r="C256" t="s">
        <v>974</v>
      </c>
      <c r="D256" t="s">
        <v>496</v>
      </c>
      <c r="E256" t="s">
        <v>1062</v>
      </c>
      <c r="F256" t="s">
        <v>947</v>
      </c>
      <c r="G256" t="s">
        <v>1063</v>
      </c>
      <c r="H256" t="s">
        <v>1331</v>
      </c>
      <c r="I256" t="s">
        <v>1454</v>
      </c>
      <c r="J256" s="41">
        <v>445</v>
      </c>
      <c r="K256" s="41">
        <v>0</v>
      </c>
      <c r="L256" s="41">
        <v>0</v>
      </c>
      <c r="M256" s="41">
        <v>445</v>
      </c>
      <c r="N256" s="41">
        <v>445</v>
      </c>
      <c r="O256" s="41">
        <v>0</v>
      </c>
      <c r="P256" t="s">
        <v>1603</v>
      </c>
      <c r="Q256" t="s">
        <v>1461</v>
      </c>
      <c r="R256" t="s">
        <v>1166</v>
      </c>
      <c r="S256" t="s">
        <v>1167</v>
      </c>
      <c r="T256" t="s">
        <v>1332</v>
      </c>
    </row>
    <row r="257" spans="1:20" x14ac:dyDescent="0.3">
      <c r="A257" t="s">
        <v>624</v>
      </c>
      <c r="B257" t="s">
        <v>1373</v>
      </c>
      <c r="C257" t="s">
        <v>974</v>
      </c>
      <c r="D257" t="s">
        <v>496</v>
      </c>
      <c r="E257" t="s">
        <v>1062</v>
      </c>
      <c r="F257" t="s">
        <v>947</v>
      </c>
      <c r="G257" t="s">
        <v>1063</v>
      </c>
      <c r="H257" t="s">
        <v>1588</v>
      </c>
      <c r="I257" t="s">
        <v>1610</v>
      </c>
      <c r="J257" s="41">
        <v>2000</v>
      </c>
      <c r="K257" s="41">
        <v>0</v>
      </c>
      <c r="L257" s="41">
        <v>0</v>
      </c>
      <c r="M257" s="41">
        <v>2000</v>
      </c>
      <c r="N257" s="41">
        <v>2000</v>
      </c>
      <c r="O257" s="41">
        <v>0</v>
      </c>
      <c r="P257" t="s">
        <v>1603</v>
      </c>
      <c r="Q257" t="s">
        <v>1465</v>
      </c>
      <c r="R257" t="s">
        <v>1166</v>
      </c>
      <c r="S257" t="s">
        <v>1167</v>
      </c>
      <c r="T257" t="s">
        <v>1612</v>
      </c>
    </row>
    <row r="258" spans="1:20" x14ac:dyDescent="0.3">
      <c r="A258" t="s">
        <v>624</v>
      </c>
      <c r="B258" t="s">
        <v>1373</v>
      </c>
      <c r="C258" t="s">
        <v>974</v>
      </c>
      <c r="D258" t="s">
        <v>496</v>
      </c>
      <c r="E258" t="s">
        <v>1064</v>
      </c>
      <c r="F258" t="s">
        <v>947</v>
      </c>
      <c r="G258" t="s">
        <v>1065</v>
      </c>
      <c r="H258" t="s">
        <v>1222</v>
      </c>
      <c r="I258" t="s">
        <v>1456</v>
      </c>
      <c r="J258" s="41">
        <v>4024.05</v>
      </c>
      <c r="K258" s="41">
        <v>0</v>
      </c>
      <c r="L258" s="41">
        <v>0</v>
      </c>
      <c r="M258" s="41">
        <v>4024.05</v>
      </c>
      <c r="N258" s="41">
        <v>4024.05</v>
      </c>
      <c r="O258" s="41">
        <v>0</v>
      </c>
      <c r="P258" t="s">
        <v>1603</v>
      </c>
      <c r="Q258" t="s">
        <v>1613</v>
      </c>
      <c r="R258" t="s">
        <v>1166</v>
      </c>
      <c r="S258" t="s">
        <v>1167</v>
      </c>
      <c r="T258" t="s">
        <v>1223</v>
      </c>
    </row>
    <row r="259" spans="1:20" x14ac:dyDescent="0.3">
      <c r="A259" t="s">
        <v>624</v>
      </c>
      <c r="B259" t="s">
        <v>1373</v>
      </c>
      <c r="C259" t="s">
        <v>974</v>
      </c>
      <c r="D259" t="s">
        <v>496</v>
      </c>
      <c r="E259" t="s">
        <v>1066</v>
      </c>
      <c r="F259" t="s">
        <v>947</v>
      </c>
      <c r="G259" t="s">
        <v>1067</v>
      </c>
      <c r="H259" t="s">
        <v>1617</v>
      </c>
      <c r="I259" t="s">
        <v>1615</v>
      </c>
      <c r="J259" s="41">
        <v>0</v>
      </c>
      <c r="K259" s="41">
        <v>85.06</v>
      </c>
      <c r="L259" s="41">
        <v>0</v>
      </c>
      <c r="M259" s="41">
        <v>85.06</v>
      </c>
      <c r="N259" s="41">
        <v>85.06</v>
      </c>
      <c r="O259" s="41">
        <v>85.06</v>
      </c>
      <c r="P259" t="s">
        <v>1603</v>
      </c>
      <c r="Q259" t="s">
        <v>1614</v>
      </c>
      <c r="R259" t="s">
        <v>1166</v>
      </c>
      <c r="S259" t="s">
        <v>1167</v>
      </c>
      <c r="T259" t="s">
        <v>1618</v>
      </c>
    </row>
    <row r="260" spans="1:20" x14ac:dyDescent="0.3">
      <c r="A260" t="s">
        <v>624</v>
      </c>
      <c r="B260" t="s">
        <v>1373</v>
      </c>
      <c r="C260" t="s">
        <v>974</v>
      </c>
      <c r="D260" t="s">
        <v>496</v>
      </c>
      <c r="E260" t="s">
        <v>1069</v>
      </c>
      <c r="F260" t="s">
        <v>947</v>
      </c>
      <c r="G260" t="s">
        <v>1070</v>
      </c>
      <c r="H260" t="s">
        <v>1243</v>
      </c>
      <c r="I260" t="s">
        <v>1458</v>
      </c>
      <c r="J260" s="41">
        <v>225.35</v>
      </c>
      <c r="K260" s="41">
        <v>0</v>
      </c>
      <c r="L260" s="41">
        <v>0</v>
      </c>
      <c r="M260" s="41">
        <v>225.35</v>
      </c>
      <c r="N260" s="41">
        <v>225.35</v>
      </c>
      <c r="O260" s="41">
        <v>0</v>
      </c>
      <c r="P260" t="s">
        <v>1603</v>
      </c>
      <c r="Q260" t="s">
        <v>1582</v>
      </c>
      <c r="R260" t="s">
        <v>1166</v>
      </c>
      <c r="S260" t="s">
        <v>1193</v>
      </c>
      <c r="T260" t="s">
        <v>1244</v>
      </c>
    </row>
    <row r="261" spans="1:20" x14ac:dyDescent="0.3">
      <c r="A261" t="s">
        <v>624</v>
      </c>
      <c r="B261" t="s">
        <v>1373</v>
      </c>
      <c r="C261" t="s">
        <v>974</v>
      </c>
      <c r="D261" t="s">
        <v>496</v>
      </c>
      <c r="E261" t="s">
        <v>1069</v>
      </c>
      <c r="F261" t="s">
        <v>947</v>
      </c>
      <c r="G261" t="s">
        <v>1070</v>
      </c>
      <c r="H261" t="s">
        <v>1243</v>
      </c>
      <c r="I261" t="s">
        <v>1460</v>
      </c>
      <c r="J261" s="41">
        <v>191.4</v>
      </c>
      <c r="K261" s="41">
        <v>0</v>
      </c>
      <c r="L261" s="41">
        <v>0</v>
      </c>
      <c r="M261" s="41">
        <v>191.4</v>
      </c>
      <c r="N261" s="41">
        <v>191.4</v>
      </c>
      <c r="O261" s="41">
        <v>0</v>
      </c>
      <c r="P261" t="s">
        <v>1603</v>
      </c>
      <c r="Q261" t="s">
        <v>1484</v>
      </c>
      <c r="R261" t="s">
        <v>1166</v>
      </c>
      <c r="S261" t="s">
        <v>1193</v>
      </c>
      <c r="T261" t="s">
        <v>1244</v>
      </c>
    </row>
    <row r="262" spans="1:20" x14ac:dyDescent="0.3">
      <c r="A262" t="s">
        <v>624</v>
      </c>
      <c r="B262" t="s">
        <v>1373</v>
      </c>
      <c r="C262" t="s">
        <v>974</v>
      </c>
      <c r="D262" t="s">
        <v>496</v>
      </c>
      <c r="E262" t="s">
        <v>1069</v>
      </c>
      <c r="F262" t="s">
        <v>947</v>
      </c>
      <c r="G262" t="s">
        <v>1070</v>
      </c>
      <c r="H262" t="s">
        <v>1243</v>
      </c>
      <c r="I262" t="s">
        <v>1462</v>
      </c>
      <c r="J262" s="41">
        <v>32.1</v>
      </c>
      <c r="K262" s="41">
        <v>0</v>
      </c>
      <c r="L262" s="41">
        <v>0</v>
      </c>
      <c r="M262" s="41">
        <v>32.1</v>
      </c>
      <c r="N262" s="41">
        <v>32.1</v>
      </c>
      <c r="O262" s="41">
        <v>0</v>
      </c>
      <c r="P262" t="s">
        <v>1603</v>
      </c>
      <c r="Q262" t="s">
        <v>1490</v>
      </c>
      <c r="R262" t="s">
        <v>1166</v>
      </c>
      <c r="S262" t="s">
        <v>1193</v>
      </c>
      <c r="T262" t="s">
        <v>1244</v>
      </c>
    </row>
    <row r="263" spans="1:20" x14ac:dyDescent="0.3">
      <c r="A263" t="s">
        <v>624</v>
      </c>
      <c r="B263" t="s">
        <v>1373</v>
      </c>
      <c r="C263" t="s">
        <v>974</v>
      </c>
      <c r="D263" t="s">
        <v>496</v>
      </c>
      <c r="E263" t="s">
        <v>1069</v>
      </c>
      <c r="F263" t="s">
        <v>947</v>
      </c>
      <c r="G263" t="s">
        <v>1070</v>
      </c>
      <c r="H263" t="s">
        <v>1243</v>
      </c>
      <c r="I263" t="s">
        <v>1464</v>
      </c>
      <c r="J263" s="41">
        <v>100</v>
      </c>
      <c r="K263" s="41">
        <v>20</v>
      </c>
      <c r="L263" s="41">
        <v>0</v>
      </c>
      <c r="M263" s="41">
        <v>120</v>
      </c>
      <c r="N263" s="41">
        <v>120</v>
      </c>
      <c r="O263" s="41">
        <v>20</v>
      </c>
      <c r="P263" t="s">
        <v>1603</v>
      </c>
      <c r="Q263" t="s">
        <v>1492</v>
      </c>
      <c r="R263" t="s">
        <v>1166</v>
      </c>
      <c r="S263" t="s">
        <v>1193</v>
      </c>
      <c r="T263" t="s">
        <v>1244</v>
      </c>
    </row>
    <row r="264" spans="1:20" x14ac:dyDescent="0.3">
      <c r="A264" t="s">
        <v>624</v>
      </c>
      <c r="B264" t="s">
        <v>1373</v>
      </c>
      <c r="C264" t="s">
        <v>974</v>
      </c>
      <c r="D264" t="s">
        <v>496</v>
      </c>
      <c r="E264" t="s">
        <v>1069</v>
      </c>
      <c r="F264" t="s">
        <v>947</v>
      </c>
      <c r="G264" t="s">
        <v>1070</v>
      </c>
      <c r="H264" t="s">
        <v>1243</v>
      </c>
      <c r="I264" t="s">
        <v>1619</v>
      </c>
      <c r="J264" s="41">
        <v>7500</v>
      </c>
      <c r="K264" s="41">
        <v>0</v>
      </c>
      <c r="L264" s="41">
        <v>0</v>
      </c>
      <c r="M264" s="41">
        <v>7500</v>
      </c>
      <c r="N264" s="41">
        <v>7500</v>
      </c>
      <c r="O264" s="41">
        <v>0</v>
      </c>
      <c r="P264" t="s">
        <v>1603</v>
      </c>
      <c r="Q264" t="s">
        <v>1493</v>
      </c>
      <c r="R264" t="s">
        <v>1166</v>
      </c>
      <c r="S264" t="s">
        <v>1193</v>
      </c>
      <c r="T264" t="s">
        <v>1244</v>
      </c>
    </row>
    <row r="265" spans="1:20" x14ac:dyDescent="0.3">
      <c r="A265" t="s">
        <v>624</v>
      </c>
      <c r="B265" t="s">
        <v>1373</v>
      </c>
      <c r="C265" t="s">
        <v>974</v>
      </c>
      <c r="D265" t="s">
        <v>496</v>
      </c>
      <c r="E265" t="s">
        <v>1069</v>
      </c>
      <c r="F265" t="s">
        <v>947</v>
      </c>
      <c r="G265" t="s">
        <v>1070</v>
      </c>
      <c r="H265" t="s">
        <v>1243</v>
      </c>
      <c r="I265" t="s">
        <v>1466</v>
      </c>
      <c r="J265" s="41">
        <v>1027.2</v>
      </c>
      <c r="K265" s="41">
        <v>225</v>
      </c>
      <c r="L265" s="41">
        <v>0</v>
      </c>
      <c r="M265" s="41">
        <v>1252.2</v>
      </c>
      <c r="N265" s="41">
        <v>1252.2</v>
      </c>
      <c r="O265" s="41">
        <v>225</v>
      </c>
      <c r="P265" t="s">
        <v>1603</v>
      </c>
      <c r="Q265" t="s">
        <v>1494</v>
      </c>
      <c r="R265" t="s">
        <v>1166</v>
      </c>
      <c r="S265" t="s">
        <v>1193</v>
      </c>
      <c r="T265" t="s">
        <v>1244</v>
      </c>
    </row>
    <row r="266" spans="1:20" x14ac:dyDescent="0.3">
      <c r="A266" t="s">
        <v>624</v>
      </c>
      <c r="B266" t="s">
        <v>1373</v>
      </c>
      <c r="C266" t="s">
        <v>974</v>
      </c>
      <c r="D266" t="s">
        <v>496</v>
      </c>
      <c r="E266" t="s">
        <v>1069</v>
      </c>
      <c r="F266" t="s">
        <v>947</v>
      </c>
      <c r="G266" t="s">
        <v>1070</v>
      </c>
      <c r="H266" t="s">
        <v>1243</v>
      </c>
      <c r="I266" t="s">
        <v>1563</v>
      </c>
      <c r="J266" s="41">
        <v>191.53</v>
      </c>
      <c r="K266" s="41">
        <v>0</v>
      </c>
      <c r="L266" s="41">
        <v>0</v>
      </c>
      <c r="M266" s="41">
        <v>191.53</v>
      </c>
      <c r="N266" s="41">
        <v>191.53</v>
      </c>
      <c r="O266" s="41">
        <v>0</v>
      </c>
      <c r="P266" t="s">
        <v>1603</v>
      </c>
      <c r="Q266" t="s">
        <v>1496</v>
      </c>
      <c r="R266" t="s">
        <v>1166</v>
      </c>
      <c r="S266" t="s">
        <v>1193</v>
      </c>
      <c r="T266" t="s">
        <v>1244</v>
      </c>
    </row>
    <row r="267" spans="1:20" x14ac:dyDescent="0.3">
      <c r="A267" t="s">
        <v>624</v>
      </c>
      <c r="B267" t="s">
        <v>1373</v>
      </c>
      <c r="C267" t="s">
        <v>974</v>
      </c>
      <c r="D267" t="s">
        <v>496</v>
      </c>
      <c r="E267" t="s">
        <v>1071</v>
      </c>
      <c r="F267" t="s">
        <v>947</v>
      </c>
      <c r="G267" t="s">
        <v>1072</v>
      </c>
      <c r="H267" t="s">
        <v>1622</v>
      </c>
      <c r="I267" t="s">
        <v>1462</v>
      </c>
      <c r="J267" s="41">
        <v>314.48</v>
      </c>
      <c r="K267" s="41">
        <v>164.53</v>
      </c>
      <c r="L267" s="41">
        <v>0</v>
      </c>
      <c r="M267" s="41">
        <v>479.01</v>
      </c>
      <c r="N267" s="41">
        <v>479.01</v>
      </c>
      <c r="O267" s="41">
        <v>164.53</v>
      </c>
      <c r="P267" t="s">
        <v>1603</v>
      </c>
      <c r="Q267" t="s">
        <v>1500</v>
      </c>
      <c r="R267" t="s">
        <v>1166</v>
      </c>
      <c r="S267" t="s">
        <v>1167</v>
      </c>
      <c r="T267" t="s">
        <v>1623</v>
      </c>
    </row>
    <row r="268" spans="1:20" x14ac:dyDescent="0.3">
      <c r="A268" t="s">
        <v>624</v>
      </c>
      <c r="B268" t="s">
        <v>1373</v>
      </c>
      <c r="C268" t="s">
        <v>974</v>
      </c>
      <c r="D268" t="s">
        <v>496</v>
      </c>
      <c r="E268" t="s">
        <v>1073</v>
      </c>
      <c r="F268" t="s">
        <v>947</v>
      </c>
      <c r="G268" t="s">
        <v>1074</v>
      </c>
      <c r="H268" t="s">
        <v>1471</v>
      </c>
      <c r="I268" t="s">
        <v>1469</v>
      </c>
      <c r="J268" s="41">
        <v>57.32</v>
      </c>
      <c r="K268" s="41">
        <v>0</v>
      </c>
      <c r="L268" s="41">
        <v>0</v>
      </c>
      <c r="M268" s="41">
        <v>57.32</v>
      </c>
      <c r="N268" s="41">
        <v>57.32</v>
      </c>
      <c r="O268" s="41">
        <v>0</v>
      </c>
      <c r="P268" t="s">
        <v>1603</v>
      </c>
      <c r="Q268" t="s">
        <v>1504</v>
      </c>
      <c r="R268" t="s">
        <v>1166</v>
      </c>
      <c r="S268" t="s">
        <v>1167</v>
      </c>
      <c r="T268" t="s">
        <v>1472</v>
      </c>
    </row>
    <row r="269" spans="1:20" x14ac:dyDescent="0.3">
      <c r="A269" t="s">
        <v>624</v>
      </c>
      <c r="B269" t="s">
        <v>1373</v>
      </c>
      <c r="C269" t="s">
        <v>974</v>
      </c>
      <c r="D269" t="s">
        <v>496</v>
      </c>
      <c r="E269" t="s">
        <v>1077</v>
      </c>
      <c r="F269" t="s">
        <v>947</v>
      </c>
      <c r="G269" t="s">
        <v>1078</v>
      </c>
      <c r="H269" t="s">
        <v>576</v>
      </c>
      <c r="I269" t="s">
        <v>1474</v>
      </c>
      <c r="J269" s="41">
        <v>773.99</v>
      </c>
      <c r="K269" s="41">
        <v>0</v>
      </c>
      <c r="L269" s="41">
        <v>0</v>
      </c>
      <c r="M269" s="41">
        <v>773.99</v>
      </c>
      <c r="N269" s="41">
        <v>773.99</v>
      </c>
      <c r="O269" s="41">
        <v>0</v>
      </c>
      <c r="P269" t="s">
        <v>1603</v>
      </c>
      <c r="Q269" t="s">
        <v>1508</v>
      </c>
      <c r="R269" t="s">
        <v>1192</v>
      </c>
      <c r="S269" t="s">
        <v>1193</v>
      </c>
      <c r="T269" t="s">
        <v>1476</v>
      </c>
    </row>
    <row r="270" spans="1:20" x14ac:dyDescent="0.3">
      <c r="A270" t="s">
        <v>624</v>
      </c>
      <c r="B270" t="s">
        <v>1373</v>
      </c>
      <c r="C270" t="s">
        <v>974</v>
      </c>
      <c r="D270" t="s">
        <v>496</v>
      </c>
      <c r="E270" t="s">
        <v>1079</v>
      </c>
      <c r="F270" t="s">
        <v>947</v>
      </c>
      <c r="G270" t="s">
        <v>1080</v>
      </c>
      <c r="H270" t="s">
        <v>1480</v>
      </c>
      <c r="I270" t="s">
        <v>1425</v>
      </c>
      <c r="J270" s="41">
        <v>35.1</v>
      </c>
      <c r="K270" s="41">
        <v>0</v>
      </c>
      <c r="L270" s="41">
        <v>0</v>
      </c>
      <c r="M270" s="41">
        <v>35.1</v>
      </c>
      <c r="N270" s="41">
        <v>35.1</v>
      </c>
      <c r="O270" s="41">
        <v>0</v>
      </c>
      <c r="P270" t="s">
        <v>1603</v>
      </c>
      <c r="Q270" t="s">
        <v>1514</v>
      </c>
      <c r="R270" t="s">
        <v>1166</v>
      </c>
      <c r="S270" t="s">
        <v>1193</v>
      </c>
      <c r="T270" t="s">
        <v>1481</v>
      </c>
    </row>
    <row r="271" spans="1:20" x14ac:dyDescent="0.3">
      <c r="A271" t="s">
        <v>624</v>
      </c>
      <c r="B271" t="s">
        <v>1373</v>
      </c>
      <c r="C271" t="s">
        <v>974</v>
      </c>
      <c r="D271" t="s">
        <v>496</v>
      </c>
      <c r="E271" t="s">
        <v>1079</v>
      </c>
      <c r="F271" t="s">
        <v>947</v>
      </c>
      <c r="G271" t="s">
        <v>1080</v>
      </c>
      <c r="H271" t="s">
        <v>1480</v>
      </c>
      <c r="I271" t="s">
        <v>1483</v>
      </c>
      <c r="J271" s="41">
        <v>82.58</v>
      </c>
      <c r="K271" s="41">
        <v>0</v>
      </c>
      <c r="L271" s="41">
        <v>0</v>
      </c>
      <c r="M271" s="41">
        <v>82.58</v>
      </c>
      <c r="N271" s="41">
        <v>82.58</v>
      </c>
      <c r="O271" s="41">
        <v>0</v>
      </c>
      <c r="P271" t="s">
        <v>1603</v>
      </c>
      <c r="Q271" t="s">
        <v>1516</v>
      </c>
      <c r="R271" t="s">
        <v>1166</v>
      </c>
      <c r="S271" t="s">
        <v>1193</v>
      </c>
      <c r="T271" t="s">
        <v>1481</v>
      </c>
    </row>
    <row r="272" spans="1:20" x14ac:dyDescent="0.3">
      <c r="A272" t="s">
        <v>624</v>
      </c>
      <c r="B272" t="s">
        <v>1373</v>
      </c>
      <c r="C272" t="s">
        <v>974</v>
      </c>
      <c r="D272" t="s">
        <v>496</v>
      </c>
      <c r="E272" t="s">
        <v>1081</v>
      </c>
      <c r="F272" t="s">
        <v>947</v>
      </c>
      <c r="G272" t="s">
        <v>1082</v>
      </c>
      <c r="H272" t="s">
        <v>1488</v>
      </c>
      <c r="I272" t="s">
        <v>1486</v>
      </c>
      <c r="J272" s="41">
        <v>254.29</v>
      </c>
      <c r="K272" s="41">
        <v>95.81</v>
      </c>
      <c r="L272" s="41">
        <v>0</v>
      </c>
      <c r="M272" s="41">
        <v>350.1</v>
      </c>
      <c r="N272" s="41">
        <v>350.1</v>
      </c>
      <c r="O272" s="41">
        <v>95.81</v>
      </c>
      <c r="P272" t="s">
        <v>1603</v>
      </c>
      <c r="Q272" t="s">
        <v>1624</v>
      </c>
      <c r="R272" t="s">
        <v>1166</v>
      </c>
      <c r="S272" t="s">
        <v>1193</v>
      </c>
      <c r="T272" t="s">
        <v>1489</v>
      </c>
    </row>
    <row r="273" spans="1:20" x14ac:dyDescent="0.3">
      <c r="A273" t="s">
        <v>624</v>
      </c>
      <c r="B273" t="s">
        <v>1373</v>
      </c>
      <c r="C273" t="s">
        <v>974</v>
      </c>
      <c r="D273" t="s">
        <v>496</v>
      </c>
      <c r="E273" t="s">
        <v>1081</v>
      </c>
      <c r="F273" t="s">
        <v>947</v>
      </c>
      <c r="G273" t="s">
        <v>1082</v>
      </c>
      <c r="H273" t="s">
        <v>1488</v>
      </c>
      <c r="I273" t="s">
        <v>1491</v>
      </c>
      <c r="J273" s="41">
        <v>63.15</v>
      </c>
      <c r="K273" s="41">
        <v>0</v>
      </c>
      <c r="L273" s="41">
        <v>0</v>
      </c>
      <c r="M273" s="41">
        <v>63.15</v>
      </c>
      <c r="N273" s="41">
        <v>63.15</v>
      </c>
      <c r="O273" s="41">
        <v>0</v>
      </c>
      <c r="P273" t="s">
        <v>1603</v>
      </c>
      <c r="Q273" t="s">
        <v>1520</v>
      </c>
      <c r="R273" t="s">
        <v>1166</v>
      </c>
      <c r="S273" t="s">
        <v>1193</v>
      </c>
      <c r="T273" t="s">
        <v>1489</v>
      </c>
    </row>
    <row r="274" spans="1:20" x14ac:dyDescent="0.3">
      <c r="A274" t="s">
        <v>624</v>
      </c>
      <c r="B274" t="s">
        <v>1373</v>
      </c>
      <c r="C274" t="s">
        <v>974</v>
      </c>
      <c r="D274" t="s">
        <v>496</v>
      </c>
      <c r="E274" t="s">
        <v>1081</v>
      </c>
      <c r="F274" t="s">
        <v>947</v>
      </c>
      <c r="G274" t="s">
        <v>1082</v>
      </c>
      <c r="H274" t="s">
        <v>1488</v>
      </c>
      <c r="I274" t="s">
        <v>1491</v>
      </c>
      <c r="J274" s="41">
        <v>55.93</v>
      </c>
      <c r="K274" s="41">
        <v>0</v>
      </c>
      <c r="L274" s="41">
        <v>0</v>
      </c>
      <c r="M274" s="41">
        <v>55.93</v>
      </c>
      <c r="N274" s="41">
        <v>55.93</v>
      </c>
      <c r="O274" s="41">
        <v>0</v>
      </c>
      <c r="P274" t="s">
        <v>1603</v>
      </c>
      <c r="Q274" t="s">
        <v>1525</v>
      </c>
      <c r="R274" t="s">
        <v>1166</v>
      </c>
      <c r="S274" t="s">
        <v>1193</v>
      </c>
      <c r="T274" t="s">
        <v>1489</v>
      </c>
    </row>
    <row r="275" spans="1:20" x14ac:dyDescent="0.3">
      <c r="A275" t="s">
        <v>624</v>
      </c>
      <c r="B275" t="s">
        <v>1373</v>
      </c>
      <c r="C275" t="s">
        <v>974</v>
      </c>
      <c r="D275" t="s">
        <v>496</v>
      </c>
      <c r="E275" t="s">
        <v>1081</v>
      </c>
      <c r="F275" t="s">
        <v>947</v>
      </c>
      <c r="G275" t="s">
        <v>1082</v>
      </c>
      <c r="H275" t="s">
        <v>1488</v>
      </c>
      <c r="I275" t="s">
        <v>1405</v>
      </c>
      <c r="J275" s="41">
        <v>145.96</v>
      </c>
      <c r="K275" s="41">
        <v>0</v>
      </c>
      <c r="L275" s="41">
        <v>0</v>
      </c>
      <c r="M275" s="41">
        <v>145.96</v>
      </c>
      <c r="N275" s="41">
        <v>145.96</v>
      </c>
      <c r="O275" s="41">
        <v>0</v>
      </c>
      <c r="P275" t="s">
        <v>1603</v>
      </c>
      <c r="Q275" t="s">
        <v>1625</v>
      </c>
      <c r="R275" t="s">
        <v>1166</v>
      </c>
      <c r="S275" t="s">
        <v>1193</v>
      </c>
      <c r="T275" t="s">
        <v>1489</v>
      </c>
    </row>
    <row r="276" spans="1:20" x14ac:dyDescent="0.3">
      <c r="A276" t="s">
        <v>624</v>
      </c>
      <c r="B276" t="s">
        <v>1373</v>
      </c>
      <c r="C276" t="s">
        <v>974</v>
      </c>
      <c r="D276" t="s">
        <v>496</v>
      </c>
      <c r="E276" t="s">
        <v>1081</v>
      </c>
      <c r="F276" t="s">
        <v>947</v>
      </c>
      <c r="G276" t="s">
        <v>1082</v>
      </c>
      <c r="H276" t="s">
        <v>1488</v>
      </c>
      <c r="I276" t="s">
        <v>1495</v>
      </c>
      <c r="J276" s="41">
        <v>92.97</v>
      </c>
      <c r="K276" s="41">
        <v>0</v>
      </c>
      <c r="L276" s="41">
        <v>0</v>
      </c>
      <c r="M276" s="41">
        <v>92.97</v>
      </c>
      <c r="N276" s="41">
        <v>92.97</v>
      </c>
      <c r="O276" s="41">
        <v>0</v>
      </c>
      <c r="P276" t="s">
        <v>1603</v>
      </c>
      <c r="Q276" t="s">
        <v>1626</v>
      </c>
      <c r="R276" t="s">
        <v>1166</v>
      </c>
      <c r="S276" t="s">
        <v>1193</v>
      </c>
      <c r="T276" t="s">
        <v>1489</v>
      </c>
    </row>
    <row r="277" spans="1:20" x14ac:dyDescent="0.3">
      <c r="A277" t="s">
        <v>624</v>
      </c>
      <c r="B277" t="s">
        <v>1373</v>
      </c>
      <c r="C277" t="s">
        <v>974</v>
      </c>
      <c r="D277" t="s">
        <v>496</v>
      </c>
      <c r="E277" t="s">
        <v>1081</v>
      </c>
      <c r="F277" t="s">
        <v>947</v>
      </c>
      <c r="G277" t="s">
        <v>1082</v>
      </c>
      <c r="H277" t="s">
        <v>1488</v>
      </c>
      <c r="I277" t="s">
        <v>1497</v>
      </c>
      <c r="J277" s="41">
        <v>122.49</v>
      </c>
      <c r="K277" s="41">
        <v>0</v>
      </c>
      <c r="L277" s="41">
        <v>0</v>
      </c>
      <c r="M277" s="41">
        <v>122.49</v>
      </c>
      <c r="N277" s="41">
        <v>122.49</v>
      </c>
      <c r="O277" s="41">
        <v>0</v>
      </c>
      <c r="P277" t="s">
        <v>1603</v>
      </c>
      <c r="Q277" t="s">
        <v>1627</v>
      </c>
      <c r="R277" t="s">
        <v>1166</v>
      </c>
      <c r="S277" t="s">
        <v>1193</v>
      </c>
      <c r="T277" t="s">
        <v>1489</v>
      </c>
    </row>
    <row r="278" spans="1:20" x14ac:dyDescent="0.3">
      <c r="A278" t="s">
        <v>624</v>
      </c>
      <c r="B278" t="s">
        <v>1373</v>
      </c>
      <c r="C278" t="s">
        <v>974</v>
      </c>
      <c r="D278" t="s">
        <v>496</v>
      </c>
      <c r="E278" t="s">
        <v>1081</v>
      </c>
      <c r="F278" t="s">
        <v>947</v>
      </c>
      <c r="G278" t="s">
        <v>1082</v>
      </c>
      <c r="H278" t="s">
        <v>1488</v>
      </c>
      <c r="I278" t="s">
        <v>1499</v>
      </c>
      <c r="J278" s="41">
        <v>417.15</v>
      </c>
      <c r="K278" s="41">
        <v>0</v>
      </c>
      <c r="L278" s="41">
        <v>0</v>
      </c>
      <c r="M278" s="41">
        <v>417.15</v>
      </c>
      <c r="N278" s="41">
        <v>417.15</v>
      </c>
      <c r="O278" s="41">
        <v>0</v>
      </c>
      <c r="P278" t="s">
        <v>1603</v>
      </c>
      <c r="Q278" t="s">
        <v>1527</v>
      </c>
      <c r="R278" t="s">
        <v>1166</v>
      </c>
      <c r="S278" t="s">
        <v>1193</v>
      </c>
      <c r="T278" t="s">
        <v>1489</v>
      </c>
    </row>
    <row r="279" spans="1:20" x14ac:dyDescent="0.3">
      <c r="A279" t="s">
        <v>624</v>
      </c>
      <c r="B279" t="s">
        <v>1373</v>
      </c>
      <c r="C279" t="s">
        <v>974</v>
      </c>
      <c r="D279" t="s">
        <v>496</v>
      </c>
      <c r="E279" t="s">
        <v>1081</v>
      </c>
      <c r="F279" t="s">
        <v>947</v>
      </c>
      <c r="G279" t="s">
        <v>1082</v>
      </c>
      <c r="H279" t="s">
        <v>1488</v>
      </c>
      <c r="I279" t="s">
        <v>1501</v>
      </c>
      <c r="J279" s="41">
        <v>80.39</v>
      </c>
      <c r="K279" s="41">
        <v>0</v>
      </c>
      <c r="L279" s="41">
        <v>0</v>
      </c>
      <c r="M279" s="41">
        <v>80.39</v>
      </c>
      <c r="N279" s="41">
        <v>80.39</v>
      </c>
      <c r="O279" s="41">
        <v>0</v>
      </c>
      <c r="P279" t="s">
        <v>1603</v>
      </c>
      <c r="Q279" t="s">
        <v>1533</v>
      </c>
      <c r="R279" t="s">
        <v>1166</v>
      </c>
      <c r="S279" t="s">
        <v>1193</v>
      </c>
      <c r="T279" t="s">
        <v>1489</v>
      </c>
    </row>
    <row r="280" spans="1:20" x14ac:dyDescent="0.3">
      <c r="A280" t="s">
        <v>624</v>
      </c>
      <c r="B280" t="s">
        <v>1373</v>
      </c>
      <c r="C280" t="s">
        <v>974</v>
      </c>
      <c r="D280" t="s">
        <v>496</v>
      </c>
      <c r="E280" t="s">
        <v>1081</v>
      </c>
      <c r="F280" t="s">
        <v>947</v>
      </c>
      <c r="G280" t="s">
        <v>1082</v>
      </c>
      <c r="H280" t="s">
        <v>1488</v>
      </c>
      <c r="I280" t="s">
        <v>1503</v>
      </c>
      <c r="J280" s="41">
        <v>214.32</v>
      </c>
      <c r="K280" s="41">
        <v>0</v>
      </c>
      <c r="L280" s="41">
        <v>0</v>
      </c>
      <c r="M280" s="41">
        <v>214.32</v>
      </c>
      <c r="N280" s="41">
        <v>214.32</v>
      </c>
      <c r="O280" s="41">
        <v>0</v>
      </c>
      <c r="P280" t="s">
        <v>1603</v>
      </c>
      <c r="Q280" t="s">
        <v>1628</v>
      </c>
      <c r="R280" t="s">
        <v>1166</v>
      </c>
      <c r="S280" t="s">
        <v>1193</v>
      </c>
      <c r="T280" t="s">
        <v>1489</v>
      </c>
    </row>
    <row r="281" spans="1:20" x14ac:dyDescent="0.3">
      <c r="A281" t="s">
        <v>624</v>
      </c>
      <c r="B281" t="s">
        <v>1373</v>
      </c>
      <c r="C281" t="s">
        <v>974</v>
      </c>
      <c r="D281" t="s">
        <v>496</v>
      </c>
      <c r="E281" t="s">
        <v>1081</v>
      </c>
      <c r="F281" t="s">
        <v>947</v>
      </c>
      <c r="G281" t="s">
        <v>1082</v>
      </c>
      <c r="H281" t="s">
        <v>1488</v>
      </c>
      <c r="I281" t="s">
        <v>1483</v>
      </c>
      <c r="J281" s="41">
        <v>0</v>
      </c>
      <c r="K281" s="41">
        <v>36.49</v>
      </c>
      <c r="L281" s="41">
        <v>0</v>
      </c>
      <c r="M281" s="41">
        <v>36.49</v>
      </c>
      <c r="N281" s="41">
        <v>36.49</v>
      </c>
      <c r="O281" s="41">
        <v>36.49</v>
      </c>
      <c r="P281" t="s">
        <v>1603</v>
      </c>
      <c r="Q281" t="s">
        <v>1629</v>
      </c>
      <c r="R281" t="s">
        <v>1166</v>
      </c>
      <c r="S281" t="s">
        <v>1193</v>
      </c>
      <c r="T281" t="s">
        <v>1489</v>
      </c>
    </row>
    <row r="282" spans="1:20" x14ac:dyDescent="0.3">
      <c r="A282" t="s">
        <v>624</v>
      </c>
      <c r="B282" t="s">
        <v>1373</v>
      </c>
      <c r="C282" t="s">
        <v>974</v>
      </c>
      <c r="D282" t="s">
        <v>496</v>
      </c>
      <c r="E282" t="s">
        <v>1081</v>
      </c>
      <c r="F282" t="s">
        <v>947</v>
      </c>
      <c r="G282" t="s">
        <v>1082</v>
      </c>
      <c r="H282" t="s">
        <v>1488</v>
      </c>
      <c r="I282" t="s">
        <v>1505</v>
      </c>
      <c r="J282" s="41">
        <v>284.61</v>
      </c>
      <c r="K282" s="41">
        <v>0</v>
      </c>
      <c r="L282" s="41">
        <v>0</v>
      </c>
      <c r="M282" s="41">
        <v>284.61</v>
      </c>
      <c r="N282" s="41">
        <v>284.61</v>
      </c>
      <c r="O282" s="41">
        <v>0</v>
      </c>
      <c r="P282" t="s">
        <v>1603</v>
      </c>
      <c r="Q282" t="s">
        <v>1534</v>
      </c>
      <c r="R282" t="s">
        <v>1166</v>
      </c>
      <c r="S282" t="s">
        <v>1193</v>
      </c>
      <c r="T282" t="s">
        <v>1489</v>
      </c>
    </row>
    <row r="283" spans="1:20" x14ac:dyDescent="0.3">
      <c r="A283" t="s">
        <v>624</v>
      </c>
      <c r="B283" t="s">
        <v>1373</v>
      </c>
      <c r="C283" t="s">
        <v>974</v>
      </c>
      <c r="D283" t="s">
        <v>496</v>
      </c>
      <c r="E283" t="s">
        <v>1081</v>
      </c>
      <c r="F283" t="s">
        <v>947</v>
      </c>
      <c r="G283" t="s">
        <v>1082</v>
      </c>
      <c r="H283" t="s">
        <v>1488</v>
      </c>
      <c r="I283" t="s">
        <v>1507</v>
      </c>
      <c r="J283" s="41">
        <v>372.46</v>
      </c>
      <c r="K283" s="41">
        <v>0</v>
      </c>
      <c r="L283" s="41">
        <v>0</v>
      </c>
      <c r="M283" s="41">
        <v>372.46</v>
      </c>
      <c r="N283" s="41">
        <v>372.46</v>
      </c>
      <c r="O283" s="41">
        <v>0</v>
      </c>
      <c r="P283" t="s">
        <v>1603</v>
      </c>
      <c r="Q283" t="s">
        <v>1630</v>
      </c>
      <c r="R283" t="s">
        <v>1166</v>
      </c>
      <c r="S283" t="s">
        <v>1193</v>
      </c>
      <c r="T283" t="s">
        <v>1489</v>
      </c>
    </row>
    <row r="284" spans="1:20" x14ac:dyDescent="0.3">
      <c r="A284" t="s">
        <v>624</v>
      </c>
      <c r="B284" t="s">
        <v>1373</v>
      </c>
      <c r="C284" t="s">
        <v>974</v>
      </c>
      <c r="D284" t="s">
        <v>496</v>
      </c>
      <c r="E284" t="s">
        <v>1081</v>
      </c>
      <c r="F284" t="s">
        <v>947</v>
      </c>
      <c r="G284" t="s">
        <v>1082</v>
      </c>
      <c r="H284" t="s">
        <v>1488</v>
      </c>
      <c r="I284" t="s">
        <v>1509</v>
      </c>
      <c r="J284" s="41">
        <v>30.09</v>
      </c>
      <c r="K284" s="41">
        <v>0</v>
      </c>
      <c r="L284" s="41">
        <v>0</v>
      </c>
      <c r="M284" s="41">
        <v>30.09</v>
      </c>
      <c r="N284" s="41">
        <v>30.09</v>
      </c>
      <c r="O284" s="41">
        <v>0</v>
      </c>
      <c r="P284" t="s">
        <v>1603</v>
      </c>
      <c r="Q284" t="s">
        <v>1536</v>
      </c>
      <c r="R284" t="s">
        <v>1166</v>
      </c>
      <c r="S284" t="s">
        <v>1193</v>
      </c>
      <c r="T284" t="s">
        <v>1489</v>
      </c>
    </row>
    <row r="285" spans="1:20" x14ac:dyDescent="0.3">
      <c r="A285" t="s">
        <v>624</v>
      </c>
      <c r="B285" t="s">
        <v>1373</v>
      </c>
      <c r="C285" t="s">
        <v>974</v>
      </c>
      <c r="D285" t="s">
        <v>496</v>
      </c>
      <c r="E285" t="s">
        <v>1081</v>
      </c>
      <c r="F285" t="s">
        <v>947</v>
      </c>
      <c r="G285" t="s">
        <v>1082</v>
      </c>
      <c r="H285" t="s">
        <v>1488</v>
      </c>
      <c r="I285" t="s">
        <v>1511</v>
      </c>
      <c r="J285" s="41">
        <v>182.88</v>
      </c>
      <c r="K285" s="41">
        <v>0</v>
      </c>
      <c r="L285" s="41">
        <v>0</v>
      </c>
      <c r="M285" s="41">
        <v>182.88</v>
      </c>
      <c r="N285" s="41">
        <v>182.88</v>
      </c>
      <c r="O285" s="41">
        <v>0</v>
      </c>
      <c r="P285" t="s">
        <v>1603</v>
      </c>
      <c r="Q285" t="s">
        <v>1631</v>
      </c>
      <c r="R285" t="s">
        <v>1166</v>
      </c>
      <c r="S285" t="s">
        <v>1193</v>
      </c>
      <c r="T285" t="s">
        <v>1489</v>
      </c>
    </row>
    <row r="286" spans="1:20" x14ac:dyDescent="0.3">
      <c r="A286" t="s">
        <v>624</v>
      </c>
      <c r="B286" t="s">
        <v>1373</v>
      </c>
      <c r="C286" t="s">
        <v>974</v>
      </c>
      <c r="D286" t="s">
        <v>496</v>
      </c>
      <c r="E286" t="s">
        <v>1081</v>
      </c>
      <c r="F286" t="s">
        <v>947</v>
      </c>
      <c r="G286" t="s">
        <v>1082</v>
      </c>
      <c r="H286" t="s">
        <v>1488</v>
      </c>
      <c r="I286" t="s">
        <v>1633</v>
      </c>
      <c r="J286" s="41">
        <v>0</v>
      </c>
      <c r="K286" s="41">
        <v>45.36</v>
      </c>
      <c r="L286" s="41">
        <v>0</v>
      </c>
      <c r="M286" s="41">
        <v>45.36</v>
      </c>
      <c r="N286" s="41">
        <v>45.36</v>
      </c>
      <c r="O286" s="41">
        <v>45.36</v>
      </c>
      <c r="P286" t="s">
        <v>1603</v>
      </c>
      <c r="Q286" t="s">
        <v>1632</v>
      </c>
      <c r="R286" t="s">
        <v>1166</v>
      </c>
      <c r="S286" t="s">
        <v>1193</v>
      </c>
      <c r="T286" t="s">
        <v>1489</v>
      </c>
    </row>
    <row r="287" spans="1:20" x14ac:dyDescent="0.3">
      <c r="A287" t="s">
        <v>624</v>
      </c>
      <c r="B287" t="s">
        <v>1373</v>
      </c>
      <c r="C287" t="s">
        <v>974</v>
      </c>
      <c r="D287" t="s">
        <v>496</v>
      </c>
      <c r="E287" t="s">
        <v>1081</v>
      </c>
      <c r="F287" t="s">
        <v>947</v>
      </c>
      <c r="G287" t="s">
        <v>1082</v>
      </c>
      <c r="H287" t="s">
        <v>1488</v>
      </c>
      <c r="I287" t="s">
        <v>1513</v>
      </c>
      <c r="J287" s="41">
        <v>7.03</v>
      </c>
      <c r="K287" s="41">
        <v>0</v>
      </c>
      <c r="L287" s="41">
        <v>0</v>
      </c>
      <c r="M287" s="41">
        <v>7.03</v>
      </c>
      <c r="N287" s="41">
        <v>7.03</v>
      </c>
      <c r="O287" s="41">
        <v>0</v>
      </c>
      <c r="P287" t="s">
        <v>1603</v>
      </c>
      <c r="Q287" t="s">
        <v>1634</v>
      </c>
      <c r="R287" t="s">
        <v>1166</v>
      </c>
      <c r="S287" t="s">
        <v>1193</v>
      </c>
      <c r="T287" t="s">
        <v>1489</v>
      </c>
    </row>
    <row r="288" spans="1:20" x14ac:dyDescent="0.3">
      <c r="A288" t="s">
        <v>624</v>
      </c>
      <c r="B288" t="s">
        <v>1373</v>
      </c>
      <c r="C288" t="s">
        <v>974</v>
      </c>
      <c r="D288" t="s">
        <v>496</v>
      </c>
      <c r="E288" t="s">
        <v>1081</v>
      </c>
      <c r="F288" t="s">
        <v>947</v>
      </c>
      <c r="G288" t="s">
        <v>1082</v>
      </c>
      <c r="H288" t="s">
        <v>1488</v>
      </c>
      <c r="I288" t="s">
        <v>1515</v>
      </c>
      <c r="J288" s="41">
        <v>299.25</v>
      </c>
      <c r="K288" s="41">
        <v>0</v>
      </c>
      <c r="L288" s="41">
        <v>0</v>
      </c>
      <c r="M288" s="41">
        <v>299.25</v>
      </c>
      <c r="N288" s="41">
        <v>299.25</v>
      </c>
      <c r="O288" s="41">
        <v>0</v>
      </c>
      <c r="P288" t="s">
        <v>1603</v>
      </c>
      <c r="Q288" t="s">
        <v>1540</v>
      </c>
      <c r="R288" t="s">
        <v>1166</v>
      </c>
      <c r="S288" t="s">
        <v>1193</v>
      </c>
      <c r="T288" t="s">
        <v>1489</v>
      </c>
    </row>
    <row r="289" spans="1:20" x14ac:dyDescent="0.3">
      <c r="A289" t="s">
        <v>624</v>
      </c>
      <c r="B289" t="s">
        <v>1373</v>
      </c>
      <c r="C289" t="s">
        <v>974</v>
      </c>
      <c r="D289" t="s">
        <v>496</v>
      </c>
      <c r="E289" t="s">
        <v>1081</v>
      </c>
      <c r="F289" t="s">
        <v>947</v>
      </c>
      <c r="G289" t="s">
        <v>1082</v>
      </c>
      <c r="H289" t="s">
        <v>1488</v>
      </c>
      <c r="I289" t="s">
        <v>1517</v>
      </c>
      <c r="J289" s="41">
        <v>27.93</v>
      </c>
      <c r="K289" s="41">
        <v>0</v>
      </c>
      <c r="L289" s="41">
        <v>0</v>
      </c>
      <c r="M289" s="41">
        <v>27.93</v>
      </c>
      <c r="N289" s="41">
        <v>27.93</v>
      </c>
      <c r="O289" s="41">
        <v>0</v>
      </c>
      <c r="P289" t="s">
        <v>1603</v>
      </c>
      <c r="Q289" t="s">
        <v>1542</v>
      </c>
      <c r="R289" t="s">
        <v>1166</v>
      </c>
      <c r="S289" t="s">
        <v>1193</v>
      </c>
      <c r="T289" t="s">
        <v>1489</v>
      </c>
    </row>
    <row r="290" spans="1:20" x14ac:dyDescent="0.3">
      <c r="A290" t="s">
        <v>624</v>
      </c>
      <c r="B290" t="s">
        <v>1373</v>
      </c>
      <c r="C290" t="s">
        <v>974</v>
      </c>
      <c r="D290" t="s">
        <v>496</v>
      </c>
      <c r="E290" t="s">
        <v>1081</v>
      </c>
      <c r="F290" t="s">
        <v>947</v>
      </c>
      <c r="G290" t="s">
        <v>1082</v>
      </c>
      <c r="H290" t="s">
        <v>1488</v>
      </c>
      <c r="I290" t="s">
        <v>1519</v>
      </c>
      <c r="J290" s="41">
        <v>72.540000000000006</v>
      </c>
      <c r="K290" s="41">
        <v>0</v>
      </c>
      <c r="L290" s="41">
        <v>0</v>
      </c>
      <c r="M290" s="41">
        <v>72.540000000000006</v>
      </c>
      <c r="N290" s="41">
        <v>72.540000000000006</v>
      </c>
      <c r="O290" s="41">
        <v>0</v>
      </c>
      <c r="P290" t="s">
        <v>1603</v>
      </c>
      <c r="Q290" t="s">
        <v>1635</v>
      </c>
      <c r="R290" t="s">
        <v>1166</v>
      </c>
      <c r="S290" t="s">
        <v>1193</v>
      </c>
      <c r="T290" t="s">
        <v>1489</v>
      </c>
    </row>
    <row r="291" spans="1:20" x14ac:dyDescent="0.3">
      <c r="A291" t="s">
        <v>624</v>
      </c>
      <c r="B291" t="s">
        <v>1373</v>
      </c>
      <c r="C291" t="s">
        <v>974</v>
      </c>
      <c r="D291" t="s">
        <v>496</v>
      </c>
      <c r="E291" t="s">
        <v>1081</v>
      </c>
      <c r="F291" t="s">
        <v>947</v>
      </c>
      <c r="G291" t="s">
        <v>1082</v>
      </c>
      <c r="H291" t="s">
        <v>1488</v>
      </c>
      <c r="I291" t="s">
        <v>1636</v>
      </c>
      <c r="J291" s="41">
        <v>476.54</v>
      </c>
      <c r="K291" s="41">
        <v>0</v>
      </c>
      <c r="L291" s="41">
        <v>0</v>
      </c>
      <c r="M291" s="41">
        <v>476.54</v>
      </c>
      <c r="N291" s="41">
        <v>476.54</v>
      </c>
      <c r="O291" s="41">
        <v>0</v>
      </c>
      <c r="P291" t="s">
        <v>1603</v>
      </c>
      <c r="Q291" t="s">
        <v>1543</v>
      </c>
      <c r="R291" t="s">
        <v>1166</v>
      </c>
      <c r="S291" t="s">
        <v>1193</v>
      </c>
      <c r="T291" t="s">
        <v>1489</v>
      </c>
    </row>
    <row r="292" spans="1:20" x14ac:dyDescent="0.3">
      <c r="A292" t="s">
        <v>624</v>
      </c>
      <c r="B292" t="s">
        <v>1373</v>
      </c>
      <c r="C292" t="s">
        <v>974</v>
      </c>
      <c r="D292" t="s">
        <v>496</v>
      </c>
      <c r="E292" t="s">
        <v>1081</v>
      </c>
      <c r="F292" t="s">
        <v>947</v>
      </c>
      <c r="G292" t="s">
        <v>1082</v>
      </c>
      <c r="H292" t="s">
        <v>1488</v>
      </c>
      <c r="I292" t="s">
        <v>1637</v>
      </c>
      <c r="J292" s="41">
        <v>259.2</v>
      </c>
      <c r="K292" s="41">
        <v>0</v>
      </c>
      <c r="L292" s="41">
        <v>0</v>
      </c>
      <c r="M292" s="41">
        <v>259.2</v>
      </c>
      <c r="N292" s="41">
        <v>259.2</v>
      </c>
      <c r="O292" s="41">
        <v>0</v>
      </c>
      <c r="P292" t="s">
        <v>1603</v>
      </c>
      <c r="Q292" t="s">
        <v>1549</v>
      </c>
      <c r="R292" t="s">
        <v>1166</v>
      </c>
      <c r="S292" t="s">
        <v>1193</v>
      </c>
      <c r="T292" t="s">
        <v>1489</v>
      </c>
    </row>
    <row r="293" spans="1:20" x14ac:dyDescent="0.3">
      <c r="A293" t="s">
        <v>624</v>
      </c>
      <c r="B293" t="s">
        <v>1373</v>
      </c>
      <c r="C293" t="s">
        <v>974</v>
      </c>
      <c r="D293" t="s">
        <v>496</v>
      </c>
      <c r="E293" t="s">
        <v>1081</v>
      </c>
      <c r="F293" t="s">
        <v>947</v>
      </c>
      <c r="G293" t="s">
        <v>1082</v>
      </c>
      <c r="H293" t="s">
        <v>1488</v>
      </c>
      <c r="I293" t="s">
        <v>1638</v>
      </c>
      <c r="J293" s="41">
        <v>237.15</v>
      </c>
      <c r="K293" s="41">
        <v>0</v>
      </c>
      <c r="L293" s="41">
        <v>0</v>
      </c>
      <c r="M293" s="41">
        <v>237.15</v>
      </c>
      <c r="N293" s="41">
        <v>237.15</v>
      </c>
      <c r="O293" s="41">
        <v>0</v>
      </c>
      <c r="P293" t="s">
        <v>1603</v>
      </c>
      <c r="Q293" t="s">
        <v>1550</v>
      </c>
      <c r="R293" t="s">
        <v>1166</v>
      </c>
      <c r="S293" t="s">
        <v>1193</v>
      </c>
      <c r="T293" t="s">
        <v>1489</v>
      </c>
    </row>
    <row r="294" spans="1:20" x14ac:dyDescent="0.3">
      <c r="A294" t="s">
        <v>624</v>
      </c>
      <c r="B294" t="s">
        <v>1373</v>
      </c>
      <c r="C294" t="s">
        <v>974</v>
      </c>
      <c r="D294" t="s">
        <v>496</v>
      </c>
      <c r="E294" t="s">
        <v>1083</v>
      </c>
      <c r="F294" t="s">
        <v>947</v>
      </c>
      <c r="G294" t="s">
        <v>1084</v>
      </c>
      <c r="H294" t="s">
        <v>1524</v>
      </c>
      <c r="I294" t="s">
        <v>1522</v>
      </c>
      <c r="J294" s="41">
        <v>10</v>
      </c>
      <c r="K294" s="41">
        <v>0</v>
      </c>
      <c r="L294" s="41">
        <v>0</v>
      </c>
      <c r="M294" s="41">
        <v>10</v>
      </c>
      <c r="N294" s="41">
        <v>10</v>
      </c>
      <c r="O294" s="41">
        <v>0</v>
      </c>
      <c r="P294" t="s">
        <v>1603</v>
      </c>
      <c r="Q294" t="s">
        <v>1639</v>
      </c>
      <c r="R294" t="s">
        <v>1166</v>
      </c>
      <c r="S294" t="s">
        <v>1167</v>
      </c>
      <c r="T294" t="s">
        <v>1524</v>
      </c>
    </row>
    <row r="295" spans="1:20" x14ac:dyDescent="0.3">
      <c r="A295" t="s">
        <v>624</v>
      </c>
      <c r="B295" t="s">
        <v>1373</v>
      </c>
      <c r="C295" t="s">
        <v>974</v>
      </c>
      <c r="D295" t="s">
        <v>496</v>
      </c>
      <c r="E295" t="s">
        <v>1083</v>
      </c>
      <c r="F295" t="s">
        <v>947</v>
      </c>
      <c r="G295" t="s">
        <v>1084</v>
      </c>
      <c r="H295" t="s">
        <v>1524</v>
      </c>
      <c r="I295" t="s">
        <v>1526</v>
      </c>
      <c r="J295" s="41">
        <v>12.75</v>
      </c>
      <c r="K295" s="41">
        <v>0</v>
      </c>
      <c r="L295" s="41">
        <v>0</v>
      </c>
      <c r="M295" s="41">
        <v>12.75</v>
      </c>
      <c r="N295" s="41">
        <v>12.75</v>
      </c>
      <c r="O295" s="41">
        <v>0</v>
      </c>
      <c r="P295" t="s">
        <v>1603</v>
      </c>
      <c r="Q295" t="s">
        <v>1640</v>
      </c>
      <c r="R295" t="s">
        <v>1166</v>
      </c>
      <c r="S295" t="s">
        <v>1167</v>
      </c>
      <c r="T295" t="s">
        <v>1524</v>
      </c>
    </row>
    <row r="296" spans="1:20" x14ac:dyDescent="0.3">
      <c r="A296" t="s">
        <v>624</v>
      </c>
      <c r="B296" t="s">
        <v>1373</v>
      </c>
      <c r="C296" t="s">
        <v>974</v>
      </c>
      <c r="D296" t="s">
        <v>496</v>
      </c>
      <c r="E296" t="s">
        <v>1083</v>
      </c>
      <c r="F296" t="s">
        <v>947</v>
      </c>
      <c r="G296" t="s">
        <v>1084</v>
      </c>
      <c r="H296" t="s">
        <v>1524</v>
      </c>
      <c r="I296" t="s">
        <v>1642</v>
      </c>
      <c r="J296" s="41">
        <v>35</v>
      </c>
      <c r="K296" s="41">
        <v>0</v>
      </c>
      <c r="L296" s="41">
        <v>0</v>
      </c>
      <c r="M296" s="41">
        <v>35</v>
      </c>
      <c r="N296" s="41">
        <v>35</v>
      </c>
      <c r="O296" s="41">
        <v>0</v>
      </c>
      <c r="P296" t="s">
        <v>1603</v>
      </c>
      <c r="Q296" t="s">
        <v>1641</v>
      </c>
      <c r="R296" t="s">
        <v>1166</v>
      </c>
      <c r="S296" t="s">
        <v>1167</v>
      </c>
      <c r="T296" t="s">
        <v>1524</v>
      </c>
    </row>
    <row r="297" spans="1:20" x14ac:dyDescent="0.3">
      <c r="A297" t="s">
        <v>624</v>
      </c>
      <c r="B297" t="s">
        <v>1373</v>
      </c>
      <c r="C297" t="s">
        <v>974</v>
      </c>
      <c r="D297" t="s">
        <v>496</v>
      </c>
      <c r="E297" t="s">
        <v>1062</v>
      </c>
      <c r="F297" t="s">
        <v>947</v>
      </c>
      <c r="G297" t="s">
        <v>1063</v>
      </c>
      <c r="H297" t="s">
        <v>1531</v>
      </c>
      <c r="I297" t="s">
        <v>1529</v>
      </c>
      <c r="J297" s="41">
        <v>2333.33</v>
      </c>
      <c r="K297" s="41">
        <v>8000</v>
      </c>
      <c r="L297" s="41">
        <v>0</v>
      </c>
      <c r="M297" s="41">
        <v>10333.33</v>
      </c>
      <c r="N297" s="41">
        <v>10333.33</v>
      </c>
      <c r="O297" s="41">
        <v>8000</v>
      </c>
      <c r="P297" t="s">
        <v>1603</v>
      </c>
      <c r="Q297" t="s">
        <v>1643</v>
      </c>
      <c r="R297" t="s">
        <v>1166</v>
      </c>
      <c r="S297" t="s">
        <v>1167</v>
      </c>
      <c r="T297" t="s">
        <v>1532</v>
      </c>
    </row>
    <row r="298" spans="1:20" x14ac:dyDescent="0.3">
      <c r="A298" t="s">
        <v>624</v>
      </c>
      <c r="B298" t="s">
        <v>1373</v>
      </c>
      <c r="C298" t="s">
        <v>974</v>
      </c>
      <c r="D298" t="s">
        <v>496</v>
      </c>
      <c r="E298" t="s">
        <v>1062</v>
      </c>
      <c r="F298" t="s">
        <v>947</v>
      </c>
      <c r="G298" t="s">
        <v>1063</v>
      </c>
      <c r="H298" t="s">
        <v>1531</v>
      </c>
      <c r="I298" t="s">
        <v>1529</v>
      </c>
      <c r="J298" s="41">
        <v>2557.46</v>
      </c>
      <c r="K298" s="41">
        <v>0</v>
      </c>
      <c r="L298" s="41">
        <v>0</v>
      </c>
      <c r="M298" s="41">
        <v>2557.46</v>
      </c>
      <c r="N298" s="41">
        <v>2557.46</v>
      </c>
      <c r="O298" s="41">
        <v>0</v>
      </c>
      <c r="P298" t="s">
        <v>1603</v>
      </c>
      <c r="Q298" t="s">
        <v>1644</v>
      </c>
      <c r="R298" t="s">
        <v>1166</v>
      </c>
      <c r="S298" t="s">
        <v>1167</v>
      </c>
      <c r="T298" t="s">
        <v>1532</v>
      </c>
    </row>
    <row r="299" spans="1:20" x14ac:dyDescent="0.3">
      <c r="A299" t="s">
        <v>624</v>
      </c>
      <c r="B299" t="s">
        <v>1373</v>
      </c>
      <c r="C299" t="s">
        <v>974</v>
      </c>
      <c r="D299" t="s">
        <v>496</v>
      </c>
      <c r="E299" t="s">
        <v>1062</v>
      </c>
      <c r="F299" t="s">
        <v>947</v>
      </c>
      <c r="G299" t="s">
        <v>1063</v>
      </c>
      <c r="H299" t="s">
        <v>1531</v>
      </c>
      <c r="I299" t="s">
        <v>1529</v>
      </c>
      <c r="J299" s="41">
        <v>5666.67</v>
      </c>
      <c r="K299" s="41">
        <v>0</v>
      </c>
      <c r="L299" s="41">
        <v>0</v>
      </c>
      <c r="M299" s="41">
        <v>5666.67</v>
      </c>
      <c r="N299" s="41">
        <v>5666.67</v>
      </c>
      <c r="O299" s="41">
        <v>0</v>
      </c>
      <c r="P299" t="s">
        <v>1603</v>
      </c>
      <c r="Q299" t="s">
        <v>1645</v>
      </c>
      <c r="R299" t="s">
        <v>1166</v>
      </c>
      <c r="S299" t="s">
        <v>1167</v>
      </c>
      <c r="T299" t="s">
        <v>1532</v>
      </c>
    </row>
    <row r="300" spans="1:20" x14ac:dyDescent="0.3">
      <c r="A300" t="s">
        <v>624</v>
      </c>
      <c r="B300" t="s">
        <v>1373</v>
      </c>
      <c r="C300" t="s">
        <v>974</v>
      </c>
      <c r="D300" t="s">
        <v>496</v>
      </c>
      <c r="E300" t="s">
        <v>1097</v>
      </c>
      <c r="F300" t="s">
        <v>948</v>
      </c>
      <c r="G300" t="s">
        <v>1098</v>
      </c>
      <c r="H300" t="s">
        <v>1340</v>
      </c>
      <c r="I300" t="s">
        <v>1535</v>
      </c>
      <c r="J300" s="41">
        <v>400</v>
      </c>
      <c r="K300" s="41">
        <v>0</v>
      </c>
      <c r="L300" s="41">
        <v>0</v>
      </c>
      <c r="M300" s="41">
        <v>400</v>
      </c>
      <c r="N300" s="41">
        <v>400</v>
      </c>
      <c r="O300" s="41">
        <v>0</v>
      </c>
      <c r="P300" t="s">
        <v>1603</v>
      </c>
      <c r="Q300" t="s">
        <v>1646</v>
      </c>
      <c r="R300" t="s">
        <v>1166</v>
      </c>
      <c r="S300" t="s">
        <v>1167</v>
      </c>
      <c r="T300" t="s">
        <v>1341</v>
      </c>
    </row>
    <row r="301" spans="1:20" x14ac:dyDescent="0.3">
      <c r="A301" t="s">
        <v>624</v>
      </c>
      <c r="B301" t="s">
        <v>1373</v>
      </c>
      <c r="C301" t="s">
        <v>974</v>
      </c>
      <c r="D301" t="s">
        <v>496</v>
      </c>
      <c r="E301" t="s">
        <v>1099</v>
      </c>
      <c r="F301" t="s">
        <v>948</v>
      </c>
      <c r="G301" t="s">
        <v>1100</v>
      </c>
      <c r="H301" t="s">
        <v>576</v>
      </c>
      <c r="I301" t="s">
        <v>1648</v>
      </c>
      <c r="J301" s="41">
        <v>3500</v>
      </c>
      <c r="K301" s="41">
        <v>0</v>
      </c>
      <c r="L301" s="41">
        <v>0</v>
      </c>
      <c r="M301" s="41">
        <v>3500</v>
      </c>
      <c r="N301" s="41">
        <v>3500</v>
      </c>
      <c r="O301" s="41">
        <v>0</v>
      </c>
      <c r="P301" t="s">
        <v>1603</v>
      </c>
      <c r="Q301" t="s">
        <v>1647</v>
      </c>
      <c r="R301" t="s">
        <v>1192</v>
      </c>
      <c r="S301" t="s">
        <v>1193</v>
      </c>
      <c r="T301" t="s">
        <v>1539</v>
      </c>
    </row>
    <row r="302" spans="1:20" x14ac:dyDescent="0.3">
      <c r="A302" t="s">
        <v>624</v>
      </c>
      <c r="B302" t="s">
        <v>1373</v>
      </c>
      <c r="C302" t="s">
        <v>974</v>
      </c>
      <c r="D302" t="s">
        <v>496</v>
      </c>
      <c r="E302" t="s">
        <v>1099</v>
      </c>
      <c r="F302" t="s">
        <v>948</v>
      </c>
      <c r="G302" t="s">
        <v>1100</v>
      </c>
      <c r="H302" t="s">
        <v>576</v>
      </c>
      <c r="I302" t="s">
        <v>1537</v>
      </c>
      <c r="J302" s="41">
        <v>648</v>
      </c>
      <c r="K302" s="41">
        <v>0</v>
      </c>
      <c r="L302" s="41">
        <v>0</v>
      </c>
      <c r="M302" s="41">
        <v>648</v>
      </c>
      <c r="N302" s="41">
        <v>648</v>
      </c>
      <c r="O302" s="41">
        <v>0</v>
      </c>
      <c r="P302" t="s">
        <v>1603</v>
      </c>
      <c r="Q302" t="s">
        <v>1649</v>
      </c>
      <c r="R302" t="s">
        <v>1192</v>
      </c>
      <c r="S302" t="s">
        <v>1193</v>
      </c>
      <c r="T302" t="s">
        <v>1539</v>
      </c>
    </row>
    <row r="303" spans="1:20" x14ac:dyDescent="0.3">
      <c r="A303" t="s">
        <v>624</v>
      </c>
      <c r="B303" t="s">
        <v>1373</v>
      </c>
      <c r="C303" t="s">
        <v>974</v>
      </c>
      <c r="D303" t="s">
        <v>496</v>
      </c>
      <c r="E303" t="s">
        <v>1123</v>
      </c>
      <c r="F303" t="s">
        <v>717</v>
      </c>
      <c r="G303" t="s">
        <v>717</v>
      </c>
      <c r="H303" t="s">
        <v>1261</v>
      </c>
      <c r="I303" t="s">
        <v>1541</v>
      </c>
      <c r="J303" s="41">
        <v>0.34</v>
      </c>
      <c r="K303" s="41">
        <v>0</v>
      </c>
      <c r="L303" s="41">
        <v>0</v>
      </c>
      <c r="M303" s="41">
        <v>0.34</v>
      </c>
      <c r="N303" s="41">
        <v>0.34</v>
      </c>
      <c r="O303" s="41">
        <v>0</v>
      </c>
      <c r="P303" t="s">
        <v>1603</v>
      </c>
      <c r="Q303" t="s">
        <v>1650</v>
      </c>
      <c r="R303" t="s">
        <v>1166</v>
      </c>
      <c r="S303" t="s">
        <v>1167</v>
      </c>
      <c r="T303" t="s">
        <v>1262</v>
      </c>
    </row>
    <row r="304" spans="1:20" x14ac:dyDescent="0.3">
      <c r="A304" t="s">
        <v>624</v>
      </c>
      <c r="B304" t="s">
        <v>1373</v>
      </c>
      <c r="C304" t="s">
        <v>974</v>
      </c>
      <c r="D304" t="s">
        <v>496</v>
      </c>
      <c r="E304" t="s">
        <v>1123</v>
      </c>
      <c r="F304" t="s">
        <v>717</v>
      </c>
      <c r="G304" t="s">
        <v>717</v>
      </c>
      <c r="H304" t="s">
        <v>1261</v>
      </c>
      <c r="I304" t="s">
        <v>1406</v>
      </c>
      <c r="J304" s="41">
        <v>15</v>
      </c>
      <c r="K304" s="41">
        <v>0</v>
      </c>
      <c r="L304" s="41">
        <v>0</v>
      </c>
      <c r="M304" s="41">
        <v>15</v>
      </c>
      <c r="N304" s="41">
        <v>15</v>
      </c>
      <c r="O304" s="41">
        <v>0</v>
      </c>
      <c r="P304" t="s">
        <v>1603</v>
      </c>
      <c r="Q304" t="s">
        <v>1651</v>
      </c>
      <c r="R304" t="s">
        <v>1166</v>
      </c>
      <c r="S304" t="s">
        <v>1167</v>
      </c>
      <c r="T304" t="s">
        <v>1262</v>
      </c>
    </row>
    <row r="305" spans="1:20" x14ac:dyDescent="0.3">
      <c r="A305" t="s">
        <v>624</v>
      </c>
      <c r="B305" t="s">
        <v>1373</v>
      </c>
      <c r="C305" t="s">
        <v>974</v>
      </c>
      <c r="D305" t="s">
        <v>496</v>
      </c>
      <c r="E305" t="s">
        <v>1123</v>
      </c>
      <c r="F305" t="s">
        <v>717</v>
      </c>
      <c r="G305" t="s">
        <v>717</v>
      </c>
      <c r="H305" t="s">
        <v>1547</v>
      </c>
      <c r="I305" t="s">
        <v>1545</v>
      </c>
      <c r="J305" s="41">
        <v>228.21</v>
      </c>
      <c r="K305" s="41">
        <v>8.33</v>
      </c>
      <c r="L305" s="41">
        <v>0</v>
      </c>
      <c r="M305" s="41">
        <v>236.54</v>
      </c>
      <c r="N305" s="41">
        <v>236.54</v>
      </c>
      <c r="O305" s="41">
        <v>8.33</v>
      </c>
      <c r="P305" t="s">
        <v>1603</v>
      </c>
      <c r="Q305" t="s">
        <v>1652</v>
      </c>
      <c r="R305" t="s">
        <v>1166</v>
      </c>
      <c r="S305" t="s">
        <v>1167</v>
      </c>
      <c r="T305" t="s">
        <v>1548</v>
      </c>
    </row>
    <row r="306" spans="1:20" x14ac:dyDescent="0.3">
      <c r="A306" t="s">
        <v>624</v>
      </c>
      <c r="B306" t="s">
        <v>1373</v>
      </c>
      <c r="C306" t="s">
        <v>974</v>
      </c>
      <c r="D306" t="s">
        <v>496</v>
      </c>
      <c r="E306" t="s">
        <v>1123</v>
      </c>
      <c r="F306" t="s">
        <v>717</v>
      </c>
      <c r="G306" t="s">
        <v>717</v>
      </c>
      <c r="H306" t="s">
        <v>1547</v>
      </c>
      <c r="I306" t="s">
        <v>1382</v>
      </c>
      <c r="J306" s="41">
        <v>3.11</v>
      </c>
      <c r="K306" s="41">
        <v>0</v>
      </c>
      <c r="L306" s="41">
        <v>0</v>
      </c>
      <c r="M306" s="41">
        <v>3.11</v>
      </c>
      <c r="N306" s="41">
        <v>3.11</v>
      </c>
      <c r="O306" s="41">
        <v>0</v>
      </c>
      <c r="P306" t="s">
        <v>1603</v>
      </c>
      <c r="Q306" t="s">
        <v>1653</v>
      </c>
      <c r="R306" t="s">
        <v>1166</v>
      </c>
      <c r="S306" t="s">
        <v>1167</v>
      </c>
      <c r="T306" t="s">
        <v>1548</v>
      </c>
    </row>
    <row r="307" spans="1:20" x14ac:dyDescent="0.3">
      <c r="A307" t="s">
        <v>624</v>
      </c>
      <c r="B307" t="s">
        <v>1373</v>
      </c>
      <c r="C307" t="s">
        <v>974</v>
      </c>
      <c r="D307" t="s">
        <v>496</v>
      </c>
      <c r="E307" t="s">
        <v>1123</v>
      </c>
      <c r="F307" t="s">
        <v>717</v>
      </c>
      <c r="G307" t="s">
        <v>717</v>
      </c>
      <c r="H307" t="s">
        <v>1547</v>
      </c>
      <c r="I307" t="s">
        <v>1551</v>
      </c>
      <c r="J307" s="41">
        <v>530.70000000000005</v>
      </c>
      <c r="K307" s="41">
        <v>125.95</v>
      </c>
      <c r="L307" s="41">
        <v>0</v>
      </c>
      <c r="M307" s="41">
        <v>656.65</v>
      </c>
      <c r="N307" s="41">
        <v>656.65</v>
      </c>
      <c r="O307" s="41">
        <v>125.95</v>
      </c>
      <c r="P307" t="s">
        <v>1603</v>
      </c>
      <c r="Q307" t="s">
        <v>1654</v>
      </c>
      <c r="R307" t="s">
        <v>1166</v>
      </c>
      <c r="S307" t="s">
        <v>1167</v>
      </c>
      <c r="T307" t="s">
        <v>1548</v>
      </c>
    </row>
    <row r="308" spans="1:20" x14ac:dyDescent="0.3">
      <c r="A308" t="s">
        <v>624</v>
      </c>
      <c r="B308" t="s">
        <v>1373</v>
      </c>
      <c r="C308" t="s">
        <v>974</v>
      </c>
      <c r="D308" t="s">
        <v>496</v>
      </c>
      <c r="E308" t="s">
        <v>1123</v>
      </c>
      <c r="F308" t="s">
        <v>717</v>
      </c>
      <c r="G308" t="s">
        <v>717</v>
      </c>
      <c r="H308" t="s">
        <v>1547</v>
      </c>
      <c r="I308" t="s">
        <v>1406</v>
      </c>
      <c r="J308" s="41">
        <v>0.9</v>
      </c>
      <c r="K308" s="41">
        <v>0</v>
      </c>
      <c r="L308" s="41">
        <v>0</v>
      </c>
      <c r="M308" s="41">
        <v>0.9</v>
      </c>
      <c r="N308" s="41">
        <v>0.9</v>
      </c>
      <c r="O308" s="41">
        <v>0</v>
      </c>
      <c r="P308" t="s">
        <v>1603</v>
      </c>
      <c r="Q308" t="s">
        <v>1655</v>
      </c>
      <c r="R308" t="s">
        <v>1166</v>
      </c>
      <c r="S308" t="s">
        <v>1167</v>
      </c>
      <c r="T308" t="s">
        <v>1548</v>
      </c>
    </row>
    <row r="309" spans="1:20" x14ac:dyDescent="0.3">
      <c r="A309" t="s">
        <v>603</v>
      </c>
      <c r="B309" t="s">
        <v>658</v>
      </c>
      <c r="C309" t="s">
        <v>976</v>
      </c>
      <c r="D309" t="s">
        <v>496</v>
      </c>
      <c r="E309" t="s">
        <v>1060</v>
      </c>
      <c r="F309" t="s">
        <v>947</v>
      </c>
      <c r="G309" t="s">
        <v>1061</v>
      </c>
      <c r="H309" t="s">
        <v>1200</v>
      </c>
      <c r="I309" t="s">
        <v>1197</v>
      </c>
      <c r="J309" s="41">
        <v>5400</v>
      </c>
      <c r="K309" s="41">
        <v>1850</v>
      </c>
      <c r="L309" s="41">
        <v>0</v>
      </c>
      <c r="M309" s="41">
        <v>7250</v>
      </c>
      <c r="N309" s="41">
        <v>7250</v>
      </c>
      <c r="O309" s="41">
        <v>1850</v>
      </c>
      <c r="P309" t="s">
        <v>1656</v>
      </c>
      <c r="Q309" t="s">
        <v>1195</v>
      </c>
      <c r="R309" t="s">
        <v>1166</v>
      </c>
      <c r="S309" t="s">
        <v>1167</v>
      </c>
      <c r="T309" t="s">
        <v>1201</v>
      </c>
    </row>
    <row r="310" spans="1:20" x14ac:dyDescent="0.3">
      <c r="A310" t="s">
        <v>603</v>
      </c>
      <c r="B310" t="s">
        <v>658</v>
      </c>
      <c r="C310" t="s">
        <v>976</v>
      </c>
      <c r="D310" t="s">
        <v>496</v>
      </c>
      <c r="E310" t="s">
        <v>1075</v>
      </c>
      <c r="F310" t="s">
        <v>947</v>
      </c>
      <c r="G310" t="s">
        <v>1076</v>
      </c>
      <c r="H310" t="s">
        <v>1205</v>
      </c>
      <c r="J310" s="41">
        <v>1500</v>
      </c>
      <c r="K310" s="41">
        <v>300</v>
      </c>
      <c r="L310" s="41">
        <v>0</v>
      </c>
      <c r="M310" s="41">
        <v>1800</v>
      </c>
      <c r="N310" s="41">
        <v>1800</v>
      </c>
      <c r="O310" s="41">
        <v>300</v>
      </c>
      <c r="P310" t="s">
        <v>1656</v>
      </c>
      <c r="Q310" t="s">
        <v>1202</v>
      </c>
      <c r="R310" t="s">
        <v>1166</v>
      </c>
      <c r="S310" t="s">
        <v>1167</v>
      </c>
      <c r="T310" t="s">
        <v>1206</v>
      </c>
    </row>
    <row r="311" spans="1:20" x14ac:dyDescent="0.3">
      <c r="A311" t="s">
        <v>603</v>
      </c>
      <c r="B311" t="s">
        <v>658</v>
      </c>
      <c r="C311" t="s">
        <v>976</v>
      </c>
      <c r="D311" t="s">
        <v>496</v>
      </c>
      <c r="E311" t="s">
        <v>1060</v>
      </c>
      <c r="F311" t="s">
        <v>947</v>
      </c>
      <c r="G311" t="s">
        <v>1061</v>
      </c>
      <c r="H311" t="s">
        <v>1210</v>
      </c>
      <c r="I311" t="s">
        <v>1197</v>
      </c>
      <c r="J311" s="41">
        <v>2012.37</v>
      </c>
      <c r="K311" s="41">
        <v>400</v>
      </c>
      <c r="L311" s="41">
        <v>0</v>
      </c>
      <c r="M311" s="41">
        <v>2412.37</v>
      </c>
      <c r="N311" s="41">
        <v>2412.37</v>
      </c>
      <c r="O311" s="41">
        <v>400</v>
      </c>
      <c r="P311" t="s">
        <v>1656</v>
      </c>
      <c r="Q311" t="s">
        <v>1207</v>
      </c>
      <c r="R311" t="s">
        <v>1166</v>
      </c>
      <c r="S311" t="s">
        <v>1167</v>
      </c>
      <c r="T311" t="s">
        <v>1211</v>
      </c>
    </row>
    <row r="312" spans="1:20" x14ac:dyDescent="0.3">
      <c r="A312" t="s">
        <v>603</v>
      </c>
      <c r="B312" t="s">
        <v>658</v>
      </c>
      <c r="C312" t="s">
        <v>976</v>
      </c>
      <c r="D312" t="s">
        <v>496</v>
      </c>
      <c r="E312" t="s">
        <v>1062</v>
      </c>
      <c r="F312" t="s">
        <v>947</v>
      </c>
      <c r="G312" t="s">
        <v>1063</v>
      </c>
      <c r="H312" t="s">
        <v>1216</v>
      </c>
      <c r="I312" t="s">
        <v>1214</v>
      </c>
      <c r="J312" s="41">
        <v>270.35000000000002</v>
      </c>
      <c r="K312" s="41">
        <v>0</v>
      </c>
      <c r="L312" s="41">
        <v>0</v>
      </c>
      <c r="M312" s="41">
        <v>270.35000000000002</v>
      </c>
      <c r="N312" s="41">
        <v>270.35000000000002</v>
      </c>
      <c r="O312" s="41">
        <v>0</v>
      </c>
      <c r="P312" t="s">
        <v>1656</v>
      </c>
      <c r="Q312" t="s">
        <v>1212</v>
      </c>
      <c r="R312" t="s">
        <v>1166</v>
      </c>
      <c r="S312" t="s">
        <v>1167</v>
      </c>
      <c r="T312" t="s">
        <v>1217</v>
      </c>
    </row>
    <row r="313" spans="1:20" x14ac:dyDescent="0.3">
      <c r="A313" t="s">
        <v>603</v>
      </c>
      <c r="B313" t="s">
        <v>658</v>
      </c>
      <c r="C313" t="s">
        <v>976</v>
      </c>
      <c r="D313" t="s">
        <v>496</v>
      </c>
      <c r="E313" t="s">
        <v>1064</v>
      </c>
      <c r="F313" t="s">
        <v>947</v>
      </c>
      <c r="G313" t="s">
        <v>1065</v>
      </c>
      <c r="H313" t="s">
        <v>1222</v>
      </c>
      <c r="I313" t="s">
        <v>1220</v>
      </c>
      <c r="J313" s="41">
        <v>252.73</v>
      </c>
      <c r="K313" s="41">
        <v>0</v>
      </c>
      <c r="L313" s="41">
        <v>0</v>
      </c>
      <c r="M313" s="41">
        <v>252.73</v>
      </c>
      <c r="N313" s="41">
        <v>252.73</v>
      </c>
      <c r="O313" s="41">
        <v>0</v>
      </c>
      <c r="P313" t="s">
        <v>1656</v>
      </c>
      <c r="Q313" t="s">
        <v>1218</v>
      </c>
      <c r="R313" t="s">
        <v>1166</v>
      </c>
      <c r="S313" t="s">
        <v>1167</v>
      </c>
      <c r="T313" t="s">
        <v>1223</v>
      </c>
    </row>
    <row r="314" spans="1:20" x14ac:dyDescent="0.3">
      <c r="A314" t="s">
        <v>603</v>
      </c>
      <c r="B314" t="s">
        <v>658</v>
      </c>
      <c r="C314" t="s">
        <v>976</v>
      </c>
      <c r="D314" t="s">
        <v>496</v>
      </c>
      <c r="E314" t="s">
        <v>1064</v>
      </c>
      <c r="F314" t="s">
        <v>947</v>
      </c>
      <c r="G314" t="s">
        <v>1065</v>
      </c>
      <c r="H314" t="s">
        <v>1222</v>
      </c>
      <c r="I314" t="s">
        <v>1220</v>
      </c>
      <c r="J314" s="41">
        <v>142.19</v>
      </c>
      <c r="K314" s="41">
        <v>0</v>
      </c>
      <c r="L314" s="41">
        <v>0</v>
      </c>
      <c r="M314" s="41">
        <v>142.19</v>
      </c>
      <c r="N314" s="41">
        <v>142.19</v>
      </c>
      <c r="O314" s="41">
        <v>0</v>
      </c>
      <c r="P314" t="s">
        <v>1656</v>
      </c>
      <c r="Q314" t="s">
        <v>1224</v>
      </c>
      <c r="R314" t="s">
        <v>1166</v>
      </c>
      <c r="S314" t="s">
        <v>1167</v>
      </c>
      <c r="T314" t="s">
        <v>1223</v>
      </c>
    </row>
    <row r="315" spans="1:20" x14ac:dyDescent="0.3">
      <c r="A315" t="s">
        <v>603</v>
      </c>
      <c r="B315" t="s">
        <v>658</v>
      </c>
      <c r="C315" t="s">
        <v>976</v>
      </c>
      <c r="D315" t="s">
        <v>496</v>
      </c>
      <c r="E315" t="s">
        <v>1064</v>
      </c>
      <c r="F315" t="s">
        <v>947</v>
      </c>
      <c r="G315" t="s">
        <v>1065</v>
      </c>
      <c r="H315" t="s">
        <v>1229</v>
      </c>
      <c r="I315" t="s">
        <v>1227</v>
      </c>
      <c r="J315" s="41">
        <v>64.790000000000006</v>
      </c>
      <c r="K315" s="41">
        <v>0</v>
      </c>
      <c r="L315" s="41">
        <v>0</v>
      </c>
      <c r="M315" s="41">
        <v>64.790000000000006</v>
      </c>
      <c r="N315" s="41">
        <v>64.790000000000006</v>
      </c>
      <c r="O315" s="41">
        <v>0</v>
      </c>
      <c r="P315" t="s">
        <v>1656</v>
      </c>
      <c r="Q315" t="s">
        <v>1225</v>
      </c>
      <c r="R315" t="s">
        <v>1166</v>
      </c>
      <c r="S315" t="s">
        <v>1167</v>
      </c>
      <c r="T315" t="s">
        <v>1230</v>
      </c>
    </row>
    <row r="316" spans="1:20" x14ac:dyDescent="0.3">
      <c r="A316" t="s">
        <v>603</v>
      </c>
      <c r="B316" t="s">
        <v>658</v>
      </c>
      <c r="C316" t="s">
        <v>976</v>
      </c>
      <c r="D316" t="s">
        <v>496</v>
      </c>
      <c r="E316" t="s">
        <v>1068</v>
      </c>
      <c r="F316" t="s">
        <v>947</v>
      </c>
      <c r="G316" t="s">
        <v>568</v>
      </c>
      <c r="H316" t="s">
        <v>1235</v>
      </c>
      <c r="I316" t="s">
        <v>1233</v>
      </c>
      <c r="J316" s="41">
        <v>9205.7199999999993</v>
      </c>
      <c r="K316" s="41">
        <v>0</v>
      </c>
      <c r="L316" s="41">
        <v>0</v>
      </c>
      <c r="M316" s="41">
        <v>9205.7199999999993</v>
      </c>
      <c r="N316" s="41">
        <v>9205.7199999999993</v>
      </c>
      <c r="O316" s="41">
        <v>0</v>
      </c>
      <c r="P316" t="s">
        <v>1656</v>
      </c>
      <c r="Q316" t="s">
        <v>1231</v>
      </c>
      <c r="R316" t="s">
        <v>1192</v>
      </c>
      <c r="S316" t="s">
        <v>1193</v>
      </c>
      <c r="T316" t="s">
        <v>1236</v>
      </c>
    </row>
    <row r="317" spans="1:20" x14ac:dyDescent="0.3">
      <c r="A317" t="s">
        <v>603</v>
      </c>
      <c r="B317" t="s">
        <v>658</v>
      </c>
      <c r="C317" t="s">
        <v>976</v>
      </c>
      <c r="D317" t="s">
        <v>496</v>
      </c>
      <c r="E317" t="s">
        <v>1068</v>
      </c>
      <c r="F317" t="s">
        <v>947</v>
      </c>
      <c r="G317" t="s">
        <v>568</v>
      </c>
      <c r="H317" t="s">
        <v>1235</v>
      </c>
      <c r="I317" t="s">
        <v>1238</v>
      </c>
      <c r="J317" s="41">
        <v>70.81</v>
      </c>
      <c r="K317" s="41">
        <v>0</v>
      </c>
      <c r="L317" s="41">
        <v>0</v>
      </c>
      <c r="M317" s="41">
        <v>70.81</v>
      </c>
      <c r="N317" s="41">
        <v>70.81</v>
      </c>
      <c r="O317" s="41">
        <v>0</v>
      </c>
      <c r="P317" t="s">
        <v>1656</v>
      </c>
      <c r="Q317" t="s">
        <v>1237</v>
      </c>
      <c r="R317" t="s">
        <v>1192</v>
      </c>
      <c r="S317" t="s">
        <v>1193</v>
      </c>
      <c r="T317" t="s">
        <v>1236</v>
      </c>
    </row>
    <row r="318" spans="1:20" x14ac:dyDescent="0.3">
      <c r="A318" t="s">
        <v>603</v>
      </c>
      <c r="B318" t="s">
        <v>658</v>
      </c>
      <c r="C318" t="s">
        <v>976</v>
      </c>
      <c r="D318" t="s">
        <v>496</v>
      </c>
      <c r="E318" t="s">
        <v>1069</v>
      </c>
      <c r="F318" t="s">
        <v>947</v>
      </c>
      <c r="G318" t="s">
        <v>1070</v>
      </c>
      <c r="H318" t="s">
        <v>1243</v>
      </c>
      <c r="I318" t="s">
        <v>1241</v>
      </c>
      <c r="J318" s="41">
        <v>115.51</v>
      </c>
      <c r="K318" s="41">
        <v>0</v>
      </c>
      <c r="L318" s="41">
        <v>0</v>
      </c>
      <c r="M318" s="41">
        <v>115.51</v>
      </c>
      <c r="N318" s="41">
        <v>115.51</v>
      </c>
      <c r="O318" s="41">
        <v>0</v>
      </c>
      <c r="P318" t="s">
        <v>1656</v>
      </c>
      <c r="Q318" t="s">
        <v>1239</v>
      </c>
      <c r="R318" t="s">
        <v>1166</v>
      </c>
      <c r="S318" t="s">
        <v>1193</v>
      </c>
      <c r="T318" t="s">
        <v>1244</v>
      </c>
    </row>
    <row r="319" spans="1:20" x14ac:dyDescent="0.3">
      <c r="A319" t="s">
        <v>603</v>
      </c>
      <c r="B319" t="s">
        <v>658</v>
      </c>
      <c r="C319" t="s">
        <v>976</v>
      </c>
      <c r="D319" t="s">
        <v>496</v>
      </c>
      <c r="E319" t="s">
        <v>1069</v>
      </c>
      <c r="F319" t="s">
        <v>947</v>
      </c>
      <c r="G319" t="s">
        <v>1070</v>
      </c>
      <c r="H319" t="s">
        <v>1243</v>
      </c>
      <c r="I319" t="s">
        <v>1657</v>
      </c>
      <c r="J319" s="41">
        <v>0</v>
      </c>
      <c r="K319" s="41">
        <v>34.299999999999997</v>
      </c>
      <c r="L319" s="41">
        <v>0</v>
      </c>
      <c r="M319" s="41">
        <v>34.299999999999997</v>
      </c>
      <c r="N319" s="41">
        <v>34.299999999999997</v>
      </c>
      <c r="O319" s="41">
        <v>34.299999999999997</v>
      </c>
      <c r="P319" t="s">
        <v>1656</v>
      </c>
      <c r="Q319" t="s">
        <v>1575</v>
      </c>
      <c r="R319" t="s">
        <v>1166</v>
      </c>
      <c r="S319" t="s">
        <v>1193</v>
      </c>
      <c r="T319" t="s">
        <v>1244</v>
      </c>
    </row>
    <row r="320" spans="1:20" x14ac:dyDescent="0.3">
      <c r="A320" t="s">
        <v>603</v>
      </c>
      <c r="B320" t="s">
        <v>658</v>
      </c>
      <c r="C320" t="s">
        <v>976</v>
      </c>
      <c r="D320" t="s">
        <v>496</v>
      </c>
      <c r="E320" t="s">
        <v>1079</v>
      </c>
      <c r="F320" t="s">
        <v>947</v>
      </c>
      <c r="G320" t="s">
        <v>1080</v>
      </c>
      <c r="H320" t="s">
        <v>1249</v>
      </c>
      <c r="I320" t="s">
        <v>1658</v>
      </c>
      <c r="J320" s="41">
        <v>0</v>
      </c>
      <c r="K320" s="41">
        <v>37.69</v>
      </c>
      <c r="L320" s="41">
        <v>0</v>
      </c>
      <c r="M320" s="41">
        <v>37.69</v>
      </c>
      <c r="N320" s="41">
        <v>37.69</v>
      </c>
      <c r="O320" s="41">
        <v>37.69</v>
      </c>
      <c r="P320" t="s">
        <v>1656</v>
      </c>
      <c r="Q320" t="s">
        <v>1251</v>
      </c>
      <c r="R320" t="s">
        <v>1166</v>
      </c>
      <c r="S320" t="s">
        <v>1167</v>
      </c>
      <c r="T320" t="s">
        <v>1250</v>
      </c>
    </row>
    <row r="321" spans="1:20" x14ac:dyDescent="0.3">
      <c r="A321" t="s">
        <v>603</v>
      </c>
      <c r="B321" t="s">
        <v>658</v>
      </c>
      <c r="C321" t="s">
        <v>976</v>
      </c>
      <c r="D321" t="s">
        <v>496</v>
      </c>
      <c r="E321" t="s">
        <v>1079</v>
      </c>
      <c r="F321" t="s">
        <v>947</v>
      </c>
      <c r="G321" t="s">
        <v>1080</v>
      </c>
      <c r="H321" t="s">
        <v>1249</v>
      </c>
      <c r="I321" t="s">
        <v>1247</v>
      </c>
      <c r="J321" s="41">
        <v>39.61</v>
      </c>
      <c r="K321" s="41">
        <v>0</v>
      </c>
      <c r="L321" s="41">
        <v>0</v>
      </c>
      <c r="M321" s="41">
        <v>39.61</v>
      </c>
      <c r="N321" s="41">
        <v>39.61</v>
      </c>
      <c r="O321" s="41">
        <v>0</v>
      </c>
      <c r="P321" t="s">
        <v>1656</v>
      </c>
      <c r="Q321" t="s">
        <v>1253</v>
      </c>
      <c r="R321" t="s">
        <v>1166</v>
      </c>
      <c r="S321" t="s">
        <v>1167</v>
      </c>
      <c r="T321" t="s">
        <v>1250</v>
      </c>
    </row>
    <row r="322" spans="1:20" x14ac:dyDescent="0.3">
      <c r="A322" t="s">
        <v>603</v>
      </c>
      <c r="B322" t="s">
        <v>658</v>
      </c>
      <c r="C322" t="s">
        <v>976</v>
      </c>
      <c r="D322" t="s">
        <v>496</v>
      </c>
      <c r="E322" t="s">
        <v>1079</v>
      </c>
      <c r="F322" t="s">
        <v>947</v>
      </c>
      <c r="G322" t="s">
        <v>1080</v>
      </c>
      <c r="H322" t="s">
        <v>1249</v>
      </c>
      <c r="I322" t="s">
        <v>1252</v>
      </c>
      <c r="J322" s="41">
        <v>74.31</v>
      </c>
      <c r="K322" s="41">
        <v>0</v>
      </c>
      <c r="L322" s="41">
        <v>0</v>
      </c>
      <c r="M322" s="41">
        <v>74.31</v>
      </c>
      <c r="N322" s="41">
        <v>74.31</v>
      </c>
      <c r="O322" s="41">
        <v>0</v>
      </c>
      <c r="P322" t="s">
        <v>1656</v>
      </c>
      <c r="Q322" t="s">
        <v>1255</v>
      </c>
      <c r="R322" t="s">
        <v>1166</v>
      </c>
      <c r="S322" t="s">
        <v>1167</v>
      </c>
      <c r="T322" t="s">
        <v>1250</v>
      </c>
    </row>
    <row r="323" spans="1:20" x14ac:dyDescent="0.3">
      <c r="A323" t="s">
        <v>603</v>
      </c>
      <c r="B323" t="s">
        <v>658</v>
      </c>
      <c r="C323" t="s">
        <v>976</v>
      </c>
      <c r="D323" t="s">
        <v>496</v>
      </c>
      <c r="E323" t="s">
        <v>1079</v>
      </c>
      <c r="F323" t="s">
        <v>947</v>
      </c>
      <c r="G323" t="s">
        <v>1080</v>
      </c>
      <c r="H323" t="s">
        <v>1249</v>
      </c>
      <c r="I323" t="s">
        <v>1254</v>
      </c>
      <c r="J323" s="41">
        <v>15</v>
      </c>
      <c r="K323" s="41">
        <v>0</v>
      </c>
      <c r="L323" s="41">
        <v>0</v>
      </c>
      <c r="M323" s="41">
        <v>15</v>
      </c>
      <c r="N323" s="41">
        <v>15</v>
      </c>
      <c r="O323" s="41">
        <v>0</v>
      </c>
      <c r="P323" t="s">
        <v>1656</v>
      </c>
      <c r="Q323" t="s">
        <v>1577</v>
      </c>
      <c r="R323" t="s">
        <v>1166</v>
      </c>
      <c r="S323" t="s">
        <v>1167</v>
      </c>
      <c r="T323" t="s">
        <v>1250</v>
      </c>
    </row>
    <row r="324" spans="1:20" x14ac:dyDescent="0.3">
      <c r="A324" t="s">
        <v>603</v>
      </c>
      <c r="B324" t="s">
        <v>658</v>
      </c>
      <c r="C324" t="s">
        <v>976</v>
      </c>
      <c r="D324" t="s">
        <v>496</v>
      </c>
      <c r="E324" t="s">
        <v>1079</v>
      </c>
      <c r="F324" t="s">
        <v>947</v>
      </c>
      <c r="G324" t="s">
        <v>1080</v>
      </c>
      <c r="H324" t="s">
        <v>1249</v>
      </c>
      <c r="I324" t="s">
        <v>1256</v>
      </c>
      <c r="J324" s="41">
        <v>7</v>
      </c>
      <c r="K324" s="41">
        <v>0</v>
      </c>
      <c r="L324" s="41">
        <v>0</v>
      </c>
      <c r="M324" s="41">
        <v>7</v>
      </c>
      <c r="N324" s="41">
        <v>7</v>
      </c>
      <c r="O324" s="41">
        <v>0</v>
      </c>
      <c r="P324" t="s">
        <v>1656</v>
      </c>
      <c r="Q324" t="s">
        <v>1337</v>
      </c>
      <c r="R324" t="s">
        <v>1166</v>
      </c>
      <c r="S324" t="s">
        <v>1167</v>
      </c>
      <c r="T324" t="s">
        <v>1250</v>
      </c>
    </row>
    <row r="325" spans="1:20" x14ac:dyDescent="0.3">
      <c r="A325" t="s">
        <v>603</v>
      </c>
      <c r="B325" t="s">
        <v>658</v>
      </c>
      <c r="C325" t="s">
        <v>976</v>
      </c>
      <c r="D325" t="s">
        <v>496</v>
      </c>
      <c r="E325" t="s">
        <v>1123</v>
      </c>
      <c r="F325" t="s">
        <v>717</v>
      </c>
      <c r="G325" t="s">
        <v>717</v>
      </c>
      <c r="H325" t="s">
        <v>1261</v>
      </c>
      <c r="I325" t="s">
        <v>1259</v>
      </c>
      <c r="J325" s="41">
        <v>150</v>
      </c>
      <c r="K325" s="41">
        <v>50</v>
      </c>
      <c r="L325" s="41">
        <v>0</v>
      </c>
      <c r="M325" s="41">
        <v>200</v>
      </c>
      <c r="N325" s="41">
        <v>200</v>
      </c>
      <c r="O325" s="41">
        <v>50</v>
      </c>
      <c r="P325" t="s">
        <v>1656</v>
      </c>
      <c r="Q325" t="s">
        <v>1348</v>
      </c>
      <c r="R325" t="s">
        <v>1166</v>
      </c>
      <c r="S325" t="s">
        <v>1167</v>
      </c>
      <c r="T325" t="s">
        <v>1262</v>
      </c>
    </row>
    <row r="326" spans="1:20" x14ac:dyDescent="0.3">
      <c r="A326" t="s">
        <v>603</v>
      </c>
      <c r="B326" t="s">
        <v>658</v>
      </c>
      <c r="C326" t="s">
        <v>976</v>
      </c>
      <c r="D326" t="s">
        <v>496</v>
      </c>
      <c r="E326" t="s">
        <v>1123</v>
      </c>
      <c r="F326" t="s">
        <v>717</v>
      </c>
      <c r="G326" t="s">
        <v>717</v>
      </c>
      <c r="H326" t="s">
        <v>1261</v>
      </c>
      <c r="I326" t="s">
        <v>1259</v>
      </c>
      <c r="J326" s="41">
        <v>6</v>
      </c>
      <c r="K326" s="41">
        <v>0</v>
      </c>
      <c r="L326" s="41">
        <v>0</v>
      </c>
      <c r="M326" s="41">
        <v>6</v>
      </c>
      <c r="N326" s="41">
        <v>6</v>
      </c>
      <c r="O326" s="41">
        <v>0</v>
      </c>
      <c r="P326" t="s">
        <v>1656</v>
      </c>
      <c r="Q326" t="s">
        <v>1350</v>
      </c>
      <c r="R326" t="s">
        <v>1166</v>
      </c>
      <c r="S326" t="s">
        <v>1167</v>
      </c>
      <c r="T326" t="s">
        <v>1262</v>
      </c>
    </row>
    <row r="327" spans="1:20" x14ac:dyDescent="0.3">
      <c r="A327" t="s">
        <v>603</v>
      </c>
      <c r="B327" t="s">
        <v>1265</v>
      </c>
      <c r="C327" t="s">
        <v>975</v>
      </c>
      <c r="D327" t="s">
        <v>686</v>
      </c>
      <c r="E327" t="s">
        <v>1048</v>
      </c>
      <c r="F327" t="s">
        <v>1318</v>
      </c>
      <c r="G327" t="s">
        <v>1049</v>
      </c>
      <c r="H327" t="s">
        <v>1319</v>
      </c>
      <c r="I327" t="s">
        <v>1316</v>
      </c>
      <c r="J327" s="41">
        <v>-1808.92</v>
      </c>
      <c r="K327" s="41">
        <v>0</v>
      </c>
      <c r="L327" s="41">
        <v>3376.69</v>
      </c>
      <c r="M327" s="41">
        <v>-5185.6099999999997</v>
      </c>
      <c r="N327" s="41">
        <v>5185.6099999999997</v>
      </c>
      <c r="O327" s="41">
        <v>3376.69</v>
      </c>
      <c r="P327" t="s">
        <v>1659</v>
      </c>
      <c r="Q327" t="s">
        <v>1554</v>
      </c>
      <c r="R327" t="s">
        <v>1166</v>
      </c>
      <c r="S327" t="s">
        <v>1167</v>
      </c>
      <c r="T327" t="s">
        <v>1320</v>
      </c>
    </row>
    <row r="328" spans="1:20" x14ac:dyDescent="0.3">
      <c r="A328" t="s">
        <v>603</v>
      </c>
      <c r="B328" t="s">
        <v>1265</v>
      </c>
      <c r="C328" t="s">
        <v>975</v>
      </c>
      <c r="D328" t="s">
        <v>686</v>
      </c>
      <c r="E328" t="s">
        <v>1048</v>
      </c>
      <c r="F328" t="s">
        <v>1318</v>
      </c>
      <c r="G328" t="s">
        <v>1049</v>
      </c>
      <c r="H328" t="s">
        <v>1319</v>
      </c>
      <c r="I328" t="s">
        <v>1321</v>
      </c>
      <c r="J328" s="41">
        <v>-11296.09</v>
      </c>
      <c r="K328" s="41">
        <v>0</v>
      </c>
      <c r="L328" s="41">
        <v>2825.56</v>
      </c>
      <c r="M328" s="41">
        <v>-14121.65</v>
      </c>
      <c r="N328" s="41">
        <v>14121.65</v>
      </c>
      <c r="O328" s="41">
        <v>2825.56</v>
      </c>
      <c r="P328" t="s">
        <v>1659</v>
      </c>
      <c r="Q328" t="s">
        <v>1584</v>
      </c>
      <c r="R328" t="s">
        <v>1166</v>
      </c>
      <c r="S328" t="s">
        <v>1167</v>
      </c>
      <c r="T328" t="s">
        <v>1320</v>
      </c>
    </row>
    <row r="329" spans="1:20" x14ac:dyDescent="0.3">
      <c r="A329" t="s">
        <v>603</v>
      </c>
      <c r="B329" t="s">
        <v>1265</v>
      </c>
      <c r="C329" t="s">
        <v>975</v>
      </c>
      <c r="D329" t="s">
        <v>686</v>
      </c>
      <c r="E329" t="s">
        <v>1120</v>
      </c>
      <c r="F329" t="s">
        <v>1324</v>
      </c>
      <c r="G329" t="s">
        <v>811</v>
      </c>
      <c r="H329" t="s">
        <v>811</v>
      </c>
      <c r="I329" t="s">
        <v>1322</v>
      </c>
      <c r="J329" s="41">
        <v>-64960.94</v>
      </c>
      <c r="K329" s="41">
        <v>0</v>
      </c>
      <c r="L329" s="41">
        <v>0</v>
      </c>
      <c r="M329" s="41">
        <v>-64960.94</v>
      </c>
      <c r="N329" s="41">
        <v>64960.94</v>
      </c>
      <c r="O329" s="41">
        <v>0</v>
      </c>
      <c r="P329" t="s">
        <v>1659</v>
      </c>
      <c r="Q329" t="s">
        <v>1412</v>
      </c>
      <c r="R329" t="s">
        <v>1192</v>
      </c>
      <c r="S329" t="s">
        <v>1193</v>
      </c>
      <c r="T329" t="s">
        <v>1325</v>
      </c>
    </row>
    <row r="330" spans="1:20" x14ac:dyDescent="0.3">
      <c r="A330" t="s">
        <v>603</v>
      </c>
      <c r="B330" t="s">
        <v>1265</v>
      </c>
      <c r="C330" t="s">
        <v>975</v>
      </c>
      <c r="D330" t="s">
        <v>686</v>
      </c>
      <c r="E330" t="s">
        <v>1062</v>
      </c>
      <c r="F330" t="s">
        <v>947</v>
      </c>
      <c r="G330" t="s">
        <v>1063</v>
      </c>
      <c r="H330" t="s">
        <v>1216</v>
      </c>
      <c r="I330" t="s">
        <v>1326</v>
      </c>
      <c r="J330" s="41">
        <v>2068.9499999999998</v>
      </c>
      <c r="K330" s="41">
        <v>528</v>
      </c>
      <c r="L330" s="41">
        <v>0</v>
      </c>
      <c r="M330" s="41">
        <v>2596.9499999999998</v>
      </c>
      <c r="N330" s="41">
        <v>2596.9499999999998</v>
      </c>
      <c r="O330" s="41">
        <v>528</v>
      </c>
      <c r="P330" t="s">
        <v>1659</v>
      </c>
      <c r="Q330" t="s">
        <v>1327</v>
      </c>
      <c r="R330" t="s">
        <v>1166</v>
      </c>
      <c r="S330" t="s">
        <v>1167</v>
      </c>
      <c r="T330" t="s">
        <v>1217</v>
      </c>
    </row>
    <row r="331" spans="1:20" x14ac:dyDescent="0.3">
      <c r="A331" t="s">
        <v>603</v>
      </c>
      <c r="B331" t="s">
        <v>1265</v>
      </c>
      <c r="C331" t="s">
        <v>975</v>
      </c>
      <c r="D331" t="s">
        <v>686</v>
      </c>
      <c r="E331" t="s">
        <v>1062</v>
      </c>
      <c r="F331" t="s">
        <v>947</v>
      </c>
      <c r="G331" t="s">
        <v>1063</v>
      </c>
      <c r="H331" t="s">
        <v>1331</v>
      </c>
      <c r="I331" t="s">
        <v>1329</v>
      </c>
      <c r="J331" s="41">
        <v>2500</v>
      </c>
      <c r="K331" s="41">
        <v>350</v>
      </c>
      <c r="L331" s="41">
        <v>0</v>
      </c>
      <c r="M331" s="41">
        <v>2850</v>
      </c>
      <c r="N331" s="41">
        <v>2850</v>
      </c>
      <c r="O331" s="41">
        <v>350</v>
      </c>
      <c r="P331" t="s">
        <v>1659</v>
      </c>
      <c r="Q331" t="s">
        <v>1251</v>
      </c>
      <c r="R331" t="s">
        <v>1166</v>
      </c>
      <c r="S331" t="s">
        <v>1167</v>
      </c>
      <c r="T331" t="s">
        <v>1332</v>
      </c>
    </row>
    <row r="332" spans="1:20" x14ac:dyDescent="0.3">
      <c r="A332" t="s">
        <v>603</v>
      </c>
      <c r="B332" t="s">
        <v>1265</v>
      </c>
      <c r="C332" t="s">
        <v>975</v>
      </c>
      <c r="D332" t="s">
        <v>686</v>
      </c>
      <c r="E332" t="s">
        <v>1095</v>
      </c>
      <c r="F332" t="s">
        <v>948</v>
      </c>
      <c r="G332" t="s">
        <v>1096</v>
      </c>
      <c r="H332" t="s">
        <v>1588</v>
      </c>
      <c r="I332" t="s">
        <v>1586</v>
      </c>
      <c r="J332" s="41">
        <v>7400.3</v>
      </c>
      <c r="K332" s="41">
        <v>0</v>
      </c>
      <c r="L332" s="41">
        <v>0</v>
      </c>
      <c r="M332" s="41">
        <v>7400.3</v>
      </c>
      <c r="N332" s="41">
        <v>7400.3</v>
      </c>
      <c r="O332" s="41">
        <v>0</v>
      </c>
      <c r="P332" t="s">
        <v>1659</v>
      </c>
      <c r="Q332" t="s">
        <v>1577</v>
      </c>
      <c r="R332" t="s">
        <v>1192</v>
      </c>
      <c r="S332" t="s">
        <v>1193</v>
      </c>
      <c r="T332" t="s">
        <v>1589</v>
      </c>
    </row>
    <row r="333" spans="1:20" x14ac:dyDescent="0.3">
      <c r="A333" t="s">
        <v>603</v>
      </c>
      <c r="B333" t="s">
        <v>1265</v>
      </c>
      <c r="C333" t="s">
        <v>975</v>
      </c>
      <c r="D333" t="s">
        <v>686</v>
      </c>
      <c r="E333" t="s">
        <v>1095</v>
      </c>
      <c r="F333" t="s">
        <v>948</v>
      </c>
      <c r="G333" t="s">
        <v>1096</v>
      </c>
      <c r="H333" t="s">
        <v>1588</v>
      </c>
      <c r="I333" t="s">
        <v>1586</v>
      </c>
      <c r="J333" s="41">
        <v>15383.22</v>
      </c>
      <c r="K333" s="41">
        <v>0</v>
      </c>
      <c r="L333" s="41">
        <v>0</v>
      </c>
      <c r="M333" s="41">
        <v>15383.22</v>
      </c>
      <c r="N333" s="41">
        <v>15383.22</v>
      </c>
      <c r="O333" s="41">
        <v>0</v>
      </c>
      <c r="P333" t="s">
        <v>1659</v>
      </c>
      <c r="Q333" t="s">
        <v>1337</v>
      </c>
      <c r="R333" t="s">
        <v>1192</v>
      </c>
      <c r="S333" t="s">
        <v>1193</v>
      </c>
      <c r="T333" t="s">
        <v>1589</v>
      </c>
    </row>
    <row r="334" spans="1:20" x14ac:dyDescent="0.3">
      <c r="A334" t="s">
        <v>603</v>
      </c>
      <c r="B334" t="s">
        <v>1265</v>
      </c>
      <c r="C334" t="s">
        <v>975</v>
      </c>
      <c r="D334" t="s">
        <v>686</v>
      </c>
      <c r="E334" t="s">
        <v>1095</v>
      </c>
      <c r="F334" t="s">
        <v>948</v>
      </c>
      <c r="G334" t="s">
        <v>1096</v>
      </c>
      <c r="H334" t="s">
        <v>1588</v>
      </c>
      <c r="I334" t="s">
        <v>1586</v>
      </c>
      <c r="J334" s="41">
        <v>7400.3</v>
      </c>
      <c r="K334" s="41">
        <v>0</v>
      </c>
      <c r="L334" s="41">
        <v>0</v>
      </c>
      <c r="M334" s="41">
        <v>7400.3</v>
      </c>
      <c r="N334" s="41">
        <v>7400.3</v>
      </c>
      <c r="O334" s="41">
        <v>0</v>
      </c>
      <c r="P334" t="s">
        <v>1659</v>
      </c>
      <c r="Q334" t="s">
        <v>1564</v>
      </c>
      <c r="R334" t="s">
        <v>1192</v>
      </c>
      <c r="S334" t="s">
        <v>1193</v>
      </c>
      <c r="T334" t="s">
        <v>1589</v>
      </c>
    </row>
    <row r="335" spans="1:20" x14ac:dyDescent="0.3">
      <c r="A335" t="s">
        <v>603</v>
      </c>
      <c r="B335" t="s">
        <v>1265</v>
      </c>
      <c r="C335" t="s">
        <v>975</v>
      </c>
      <c r="D335" t="s">
        <v>686</v>
      </c>
      <c r="E335" t="s">
        <v>1095</v>
      </c>
      <c r="F335" t="s">
        <v>948</v>
      </c>
      <c r="G335" t="s">
        <v>1096</v>
      </c>
      <c r="H335" t="s">
        <v>1335</v>
      </c>
      <c r="I335" t="s">
        <v>1333</v>
      </c>
      <c r="J335" s="41">
        <v>2127</v>
      </c>
      <c r="K335" s="41">
        <v>0</v>
      </c>
      <c r="L335" s="41">
        <v>0</v>
      </c>
      <c r="M335" s="41">
        <v>2127</v>
      </c>
      <c r="N335" s="41">
        <v>2127</v>
      </c>
      <c r="O335" s="41">
        <v>0</v>
      </c>
      <c r="P335" t="s">
        <v>1659</v>
      </c>
      <c r="Q335" t="s">
        <v>1342</v>
      </c>
      <c r="R335" t="s">
        <v>1192</v>
      </c>
      <c r="S335" t="s">
        <v>1193</v>
      </c>
      <c r="T335" t="s">
        <v>1336</v>
      </c>
    </row>
    <row r="336" spans="1:20" x14ac:dyDescent="0.3">
      <c r="A336" t="s">
        <v>603</v>
      </c>
      <c r="B336" t="s">
        <v>1265</v>
      </c>
      <c r="C336" t="s">
        <v>975</v>
      </c>
      <c r="D336" t="s">
        <v>686</v>
      </c>
      <c r="E336" t="s">
        <v>1097</v>
      </c>
      <c r="F336" t="s">
        <v>948</v>
      </c>
      <c r="G336" t="s">
        <v>1098</v>
      </c>
      <c r="H336" t="s">
        <v>1340</v>
      </c>
      <c r="I336" t="s">
        <v>1338</v>
      </c>
      <c r="J336" s="41">
        <v>1706.19</v>
      </c>
      <c r="K336" s="41">
        <v>0</v>
      </c>
      <c r="L336" s="41">
        <v>0</v>
      </c>
      <c r="M336" s="41">
        <v>1706.19</v>
      </c>
      <c r="N336" s="41">
        <v>1706.19</v>
      </c>
      <c r="O336" s="41">
        <v>0</v>
      </c>
      <c r="P336" t="s">
        <v>1659</v>
      </c>
      <c r="Q336" t="s">
        <v>1351</v>
      </c>
      <c r="R336" t="s">
        <v>1166</v>
      </c>
      <c r="S336" t="s">
        <v>1167</v>
      </c>
      <c r="T336" t="s">
        <v>1341</v>
      </c>
    </row>
    <row r="337" spans="1:20" x14ac:dyDescent="0.3">
      <c r="A337" t="s">
        <v>603</v>
      </c>
      <c r="B337" t="s">
        <v>1265</v>
      </c>
      <c r="C337" t="s">
        <v>975</v>
      </c>
      <c r="D337" t="s">
        <v>686</v>
      </c>
      <c r="E337" t="s">
        <v>1101</v>
      </c>
      <c r="F337" t="s">
        <v>948</v>
      </c>
      <c r="G337" t="s">
        <v>1102</v>
      </c>
      <c r="H337" t="s">
        <v>1346</v>
      </c>
      <c r="I337" t="s">
        <v>1344</v>
      </c>
      <c r="J337" s="41">
        <v>0</v>
      </c>
      <c r="K337" s="41">
        <v>2822.19</v>
      </c>
      <c r="L337" s="41">
        <v>0</v>
      </c>
      <c r="M337" s="41">
        <v>2822.19</v>
      </c>
      <c r="N337" s="41">
        <v>2822.19</v>
      </c>
      <c r="O337" s="41">
        <v>2822.19</v>
      </c>
      <c r="P337" t="s">
        <v>1659</v>
      </c>
      <c r="Q337" t="s">
        <v>1354</v>
      </c>
      <c r="R337" t="s">
        <v>1166</v>
      </c>
      <c r="S337" t="s">
        <v>1167</v>
      </c>
      <c r="T337" t="s">
        <v>1347</v>
      </c>
    </row>
    <row r="338" spans="1:20" x14ac:dyDescent="0.3">
      <c r="A338" t="s">
        <v>603</v>
      </c>
      <c r="B338" t="s">
        <v>1265</v>
      </c>
      <c r="C338" t="s">
        <v>975</v>
      </c>
      <c r="D338" t="s">
        <v>686</v>
      </c>
      <c r="E338" t="s">
        <v>1101</v>
      </c>
      <c r="F338" t="s">
        <v>948</v>
      </c>
      <c r="G338" t="s">
        <v>1102</v>
      </c>
      <c r="H338" t="s">
        <v>1346</v>
      </c>
      <c r="I338" t="s">
        <v>1344</v>
      </c>
      <c r="J338" s="41">
        <v>267.26</v>
      </c>
      <c r="K338" s="41">
        <v>0</v>
      </c>
      <c r="L338" s="41">
        <v>0</v>
      </c>
      <c r="M338" s="41">
        <v>267.26</v>
      </c>
      <c r="N338" s="41">
        <v>267.26</v>
      </c>
      <c r="O338" s="41">
        <v>0</v>
      </c>
      <c r="P338" t="s">
        <v>1659</v>
      </c>
      <c r="Q338" t="s">
        <v>1355</v>
      </c>
      <c r="R338" t="s">
        <v>1166</v>
      </c>
      <c r="S338" t="s">
        <v>1167</v>
      </c>
      <c r="T338" t="s">
        <v>1347</v>
      </c>
    </row>
    <row r="339" spans="1:20" x14ac:dyDescent="0.3">
      <c r="A339" t="s">
        <v>603</v>
      </c>
      <c r="B339" t="s">
        <v>1265</v>
      </c>
      <c r="C339" t="s">
        <v>975</v>
      </c>
      <c r="D339" t="s">
        <v>686</v>
      </c>
      <c r="E339" t="s">
        <v>1101</v>
      </c>
      <c r="F339" t="s">
        <v>948</v>
      </c>
      <c r="G339" t="s">
        <v>1102</v>
      </c>
      <c r="H339" t="s">
        <v>1346</v>
      </c>
      <c r="I339" t="s">
        <v>1349</v>
      </c>
      <c r="J339" s="41">
        <v>0</v>
      </c>
      <c r="K339" s="41">
        <v>1183</v>
      </c>
      <c r="L339" s="41">
        <v>0</v>
      </c>
      <c r="M339" s="41">
        <v>1183</v>
      </c>
      <c r="N339" s="41">
        <v>1183</v>
      </c>
      <c r="O339" s="41">
        <v>1183</v>
      </c>
      <c r="P339" t="s">
        <v>1659</v>
      </c>
      <c r="Q339" t="s">
        <v>1356</v>
      </c>
      <c r="R339" t="s">
        <v>1166</v>
      </c>
      <c r="S339" t="s">
        <v>1167</v>
      </c>
      <c r="T339" t="s">
        <v>1347</v>
      </c>
    </row>
    <row r="340" spans="1:20" x14ac:dyDescent="0.3">
      <c r="A340" t="s">
        <v>603</v>
      </c>
      <c r="B340" t="s">
        <v>1265</v>
      </c>
      <c r="C340" t="s">
        <v>975</v>
      </c>
      <c r="D340" t="s">
        <v>686</v>
      </c>
      <c r="E340" t="s">
        <v>1101</v>
      </c>
      <c r="F340" t="s">
        <v>948</v>
      </c>
      <c r="G340" t="s">
        <v>1102</v>
      </c>
      <c r="H340" t="s">
        <v>1346</v>
      </c>
      <c r="I340" t="s">
        <v>1349</v>
      </c>
      <c r="J340" s="41">
        <v>80.8</v>
      </c>
      <c r="K340" s="41">
        <v>0</v>
      </c>
      <c r="L340" s="41">
        <v>0</v>
      </c>
      <c r="M340" s="41">
        <v>80.8</v>
      </c>
      <c r="N340" s="41">
        <v>80.8</v>
      </c>
      <c r="O340" s="41">
        <v>0</v>
      </c>
      <c r="P340" t="s">
        <v>1659</v>
      </c>
      <c r="Q340" t="s">
        <v>1357</v>
      </c>
      <c r="R340" t="s">
        <v>1166</v>
      </c>
      <c r="S340" t="s">
        <v>1167</v>
      </c>
      <c r="T340" t="s">
        <v>1347</v>
      </c>
    </row>
    <row r="341" spans="1:20" x14ac:dyDescent="0.3">
      <c r="A341" t="s">
        <v>603</v>
      </c>
      <c r="B341" t="s">
        <v>1265</v>
      </c>
      <c r="C341" t="s">
        <v>975</v>
      </c>
      <c r="D341" t="s">
        <v>686</v>
      </c>
      <c r="E341" t="s">
        <v>1101</v>
      </c>
      <c r="F341" t="s">
        <v>948</v>
      </c>
      <c r="G341" t="s">
        <v>1102</v>
      </c>
      <c r="H341" t="s">
        <v>1346</v>
      </c>
      <c r="I341" t="s">
        <v>1349</v>
      </c>
      <c r="J341" s="41">
        <v>20.68</v>
      </c>
      <c r="K341" s="41">
        <v>0</v>
      </c>
      <c r="L341" s="41">
        <v>0</v>
      </c>
      <c r="M341" s="41">
        <v>20.68</v>
      </c>
      <c r="N341" s="41">
        <v>20.68</v>
      </c>
      <c r="O341" s="41">
        <v>0</v>
      </c>
      <c r="P341" t="s">
        <v>1659</v>
      </c>
      <c r="Q341" t="s">
        <v>1358</v>
      </c>
      <c r="R341" t="s">
        <v>1166</v>
      </c>
      <c r="S341" t="s">
        <v>1167</v>
      </c>
      <c r="T341" t="s">
        <v>1347</v>
      </c>
    </row>
    <row r="342" spans="1:20" x14ac:dyDescent="0.3">
      <c r="A342" t="s">
        <v>603</v>
      </c>
      <c r="B342" t="s">
        <v>1265</v>
      </c>
      <c r="C342" t="s">
        <v>975</v>
      </c>
      <c r="D342" t="s">
        <v>686</v>
      </c>
      <c r="E342" t="s">
        <v>1101</v>
      </c>
      <c r="F342" t="s">
        <v>948</v>
      </c>
      <c r="G342" t="s">
        <v>1102</v>
      </c>
      <c r="H342" t="s">
        <v>1346</v>
      </c>
      <c r="I342" t="s">
        <v>1349</v>
      </c>
      <c r="J342" s="41">
        <v>0</v>
      </c>
      <c r="K342" s="41">
        <v>471.49</v>
      </c>
      <c r="L342" s="41">
        <v>0</v>
      </c>
      <c r="M342" s="41">
        <v>471.49</v>
      </c>
      <c r="N342" s="41">
        <v>471.49</v>
      </c>
      <c r="O342" s="41">
        <v>471.49</v>
      </c>
      <c r="P342" t="s">
        <v>1659</v>
      </c>
      <c r="Q342" t="s">
        <v>1565</v>
      </c>
      <c r="R342" t="s">
        <v>1166</v>
      </c>
      <c r="S342" t="s">
        <v>1167</v>
      </c>
      <c r="T342" t="s">
        <v>1347</v>
      </c>
    </row>
    <row r="343" spans="1:20" x14ac:dyDescent="0.3">
      <c r="A343" t="s">
        <v>603</v>
      </c>
      <c r="B343" t="s">
        <v>1265</v>
      </c>
      <c r="C343" t="s">
        <v>975</v>
      </c>
      <c r="D343" t="s">
        <v>686</v>
      </c>
      <c r="E343" t="s">
        <v>1101</v>
      </c>
      <c r="F343" t="s">
        <v>948</v>
      </c>
      <c r="G343" t="s">
        <v>1102</v>
      </c>
      <c r="H343" t="s">
        <v>1346</v>
      </c>
      <c r="I343" t="s">
        <v>1349</v>
      </c>
      <c r="J343" s="41">
        <v>0</v>
      </c>
      <c r="K343" s="41">
        <v>256</v>
      </c>
      <c r="L343" s="41">
        <v>0</v>
      </c>
      <c r="M343" s="41">
        <v>256</v>
      </c>
      <c r="N343" s="41">
        <v>256</v>
      </c>
      <c r="O343" s="41">
        <v>256</v>
      </c>
      <c r="P343" t="s">
        <v>1659</v>
      </c>
      <c r="Q343" t="s">
        <v>1566</v>
      </c>
      <c r="R343" t="s">
        <v>1166</v>
      </c>
      <c r="S343" t="s">
        <v>1167</v>
      </c>
      <c r="T343" t="s">
        <v>1347</v>
      </c>
    </row>
    <row r="344" spans="1:20" x14ac:dyDescent="0.3">
      <c r="A344" t="s">
        <v>603</v>
      </c>
      <c r="B344" t="s">
        <v>1265</v>
      </c>
      <c r="C344" t="s">
        <v>975</v>
      </c>
      <c r="D344" t="s">
        <v>686</v>
      </c>
      <c r="E344" t="s">
        <v>1101</v>
      </c>
      <c r="F344" t="s">
        <v>948</v>
      </c>
      <c r="G344" t="s">
        <v>1102</v>
      </c>
      <c r="H344" t="s">
        <v>1346</v>
      </c>
      <c r="I344" t="s">
        <v>1349</v>
      </c>
      <c r="J344" s="41">
        <v>0</v>
      </c>
      <c r="K344" s="41">
        <v>269</v>
      </c>
      <c r="L344" s="41">
        <v>0</v>
      </c>
      <c r="M344" s="41">
        <v>269</v>
      </c>
      <c r="N344" s="41">
        <v>269</v>
      </c>
      <c r="O344" s="41">
        <v>269</v>
      </c>
      <c r="P344" t="s">
        <v>1659</v>
      </c>
      <c r="Q344" t="s">
        <v>1359</v>
      </c>
      <c r="R344" t="s">
        <v>1166</v>
      </c>
      <c r="S344" t="s">
        <v>1167</v>
      </c>
      <c r="T344" t="s">
        <v>1347</v>
      </c>
    </row>
    <row r="345" spans="1:20" x14ac:dyDescent="0.3">
      <c r="A345" t="s">
        <v>603</v>
      </c>
      <c r="B345" t="s">
        <v>1265</v>
      </c>
      <c r="C345" t="s">
        <v>975</v>
      </c>
      <c r="D345" t="s">
        <v>686</v>
      </c>
      <c r="E345" t="s">
        <v>1101</v>
      </c>
      <c r="F345" t="s">
        <v>948</v>
      </c>
      <c r="G345" t="s">
        <v>1102</v>
      </c>
      <c r="H345" t="s">
        <v>1346</v>
      </c>
      <c r="I345" t="s">
        <v>1349</v>
      </c>
      <c r="J345" s="41">
        <v>114</v>
      </c>
      <c r="K345" s="41">
        <v>0</v>
      </c>
      <c r="L345" s="41">
        <v>0</v>
      </c>
      <c r="M345" s="41">
        <v>114</v>
      </c>
      <c r="N345" s="41">
        <v>114</v>
      </c>
      <c r="O345" s="41">
        <v>0</v>
      </c>
      <c r="P345" t="s">
        <v>1659</v>
      </c>
      <c r="Q345" t="s">
        <v>1420</v>
      </c>
      <c r="R345" t="s">
        <v>1166</v>
      </c>
      <c r="S345" t="s">
        <v>1167</v>
      </c>
      <c r="T345" t="s">
        <v>1347</v>
      </c>
    </row>
    <row r="346" spans="1:20" x14ac:dyDescent="0.3">
      <c r="A346" t="s">
        <v>603</v>
      </c>
      <c r="B346" t="s">
        <v>1265</v>
      </c>
      <c r="C346" t="s">
        <v>975</v>
      </c>
      <c r="D346" t="s">
        <v>686</v>
      </c>
      <c r="E346" t="s">
        <v>1101</v>
      </c>
      <c r="F346" t="s">
        <v>948</v>
      </c>
      <c r="G346" t="s">
        <v>1102</v>
      </c>
      <c r="H346" t="s">
        <v>1346</v>
      </c>
      <c r="I346" t="s">
        <v>1349</v>
      </c>
      <c r="J346" s="41">
        <v>0</v>
      </c>
      <c r="K346" s="41">
        <v>124.6</v>
      </c>
      <c r="L346" s="41">
        <v>0</v>
      </c>
      <c r="M346" s="41">
        <v>124.6</v>
      </c>
      <c r="N346" s="41">
        <v>124.6</v>
      </c>
      <c r="O346" s="41">
        <v>124.6</v>
      </c>
      <c r="P346" t="s">
        <v>1659</v>
      </c>
      <c r="Q346" t="s">
        <v>1364</v>
      </c>
      <c r="R346" t="s">
        <v>1166</v>
      </c>
      <c r="S346" t="s">
        <v>1167</v>
      </c>
      <c r="T346" t="s">
        <v>1347</v>
      </c>
    </row>
    <row r="347" spans="1:20" x14ac:dyDescent="0.3">
      <c r="A347" t="s">
        <v>603</v>
      </c>
      <c r="B347" t="s">
        <v>1265</v>
      </c>
      <c r="C347" t="s">
        <v>975</v>
      </c>
      <c r="D347" t="s">
        <v>686</v>
      </c>
      <c r="E347" t="s">
        <v>1101</v>
      </c>
      <c r="F347" t="s">
        <v>948</v>
      </c>
      <c r="G347" t="s">
        <v>1102</v>
      </c>
      <c r="H347" t="s">
        <v>1346</v>
      </c>
      <c r="I347" t="s">
        <v>1349</v>
      </c>
      <c r="J347" s="41">
        <v>0</v>
      </c>
      <c r="K347" s="41">
        <v>19.5</v>
      </c>
      <c r="L347" s="41">
        <v>0</v>
      </c>
      <c r="M347" s="41">
        <v>19.5</v>
      </c>
      <c r="N347" s="41">
        <v>19.5</v>
      </c>
      <c r="O347" s="41">
        <v>19.5</v>
      </c>
      <c r="P347" t="s">
        <v>1659</v>
      </c>
      <c r="Q347" t="s">
        <v>1422</v>
      </c>
      <c r="R347" t="s">
        <v>1166</v>
      </c>
      <c r="S347" t="s">
        <v>1167</v>
      </c>
      <c r="T347" t="s">
        <v>1347</v>
      </c>
    </row>
    <row r="348" spans="1:20" x14ac:dyDescent="0.3">
      <c r="A348" t="s">
        <v>603</v>
      </c>
      <c r="B348" t="s">
        <v>1265</v>
      </c>
      <c r="C348" t="s">
        <v>975</v>
      </c>
      <c r="D348" t="s">
        <v>686</v>
      </c>
      <c r="E348" t="s">
        <v>1101</v>
      </c>
      <c r="F348" t="s">
        <v>948</v>
      </c>
      <c r="G348" t="s">
        <v>1102</v>
      </c>
      <c r="H348" t="s">
        <v>1346</v>
      </c>
      <c r="I348" t="s">
        <v>1349</v>
      </c>
      <c r="J348" s="41">
        <v>520</v>
      </c>
      <c r="K348" s="41">
        <v>0</v>
      </c>
      <c r="L348" s="41">
        <v>0</v>
      </c>
      <c r="M348" s="41">
        <v>520</v>
      </c>
      <c r="N348" s="41">
        <v>520</v>
      </c>
      <c r="O348" s="41">
        <v>0</v>
      </c>
      <c r="P348" t="s">
        <v>1659</v>
      </c>
      <c r="Q348" t="s">
        <v>1424</v>
      </c>
      <c r="R348" t="s">
        <v>1166</v>
      </c>
      <c r="S348" t="s">
        <v>1167</v>
      </c>
      <c r="T348" t="s">
        <v>1347</v>
      </c>
    </row>
    <row r="349" spans="1:20" x14ac:dyDescent="0.3">
      <c r="A349" t="s">
        <v>603</v>
      </c>
      <c r="B349" t="s">
        <v>1265</v>
      </c>
      <c r="C349" t="s">
        <v>975</v>
      </c>
      <c r="D349" t="s">
        <v>686</v>
      </c>
      <c r="E349" t="s">
        <v>1101</v>
      </c>
      <c r="F349" t="s">
        <v>948</v>
      </c>
      <c r="G349" t="s">
        <v>1102</v>
      </c>
      <c r="H349" t="s">
        <v>1346</v>
      </c>
      <c r="I349" t="s">
        <v>1349</v>
      </c>
      <c r="J349" s="41">
        <v>6</v>
      </c>
      <c r="K349" s="41">
        <v>0</v>
      </c>
      <c r="L349" s="41">
        <v>0</v>
      </c>
      <c r="M349" s="41">
        <v>6</v>
      </c>
      <c r="N349" s="41">
        <v>6</v>
      </c>
      <c r="O349" s="41">
        <v>0</v>
      </c>
      <c r="P349" t="s">
        <v>1659</v>
      </c>
      <c r="Q349" t="s">
        <v>1368</v>
      </c>
      <c r="R349" t="s">
        <v>1166</v>
      </c>
      <c r="S349" t="s">
        <v>1167</v>
      </c>
      <c r="T349" t="s">
        <v>1347</v>
      </c>
    </row>
    <row r="350" spans="1:20" x14ac:dyDescent="0.3">
      <c r="A350" t="s">
        <v>603</v>
      </c>
      <c r="B350" t="s">
        <v>1265</v>
      </c>
      <c r="C350" t="s">
        <v>975</v>
      </c>
      <c r="D350" t="s">
        <v>686</v>
      </c>
      <c r="E350" t="s">
        <v>1101</v>
      </c>
      <c r="F350" t="s">
        <v>948</v>
      </c>
      <c r="G350" t="s">
        <v>1102</v>
      </c>
      <c r="H350" t="s">
        <v>1346</v>
      </c>
      <c r="I350" t="s">
        <v>1349</v>
      </c>
      <c r="J350" s="41">
        <v>226.33</v>
      </c>
      <c r="K350" s="41">
        <v>0</v>
      </c>
      <c r="L350" s="41">
        <v>0</v>
      </c>
      <c r="M350" s="41">
        <v>226.33</v>
      </c>
      <c r="N350" s="41">
        <v>226.33</v>
      </c>
      <c r="O350" s="41">
        <v>0</v>
      </c>
      <c r="P350" t="s">
        <v>1659</v>
      </c>
      <c r="Q350" t="s">
        <v>1369</v>
      </c>
      <c r="R350" t="s">
        <v>1166</v>
      </c>
      <c r="S350" t="s">
        <v>1167</v>
      </c>
      <c r="T350" t="s">
        <v>1347</v>
      </c>
    </row>
    <row r="351" spans="1:20" x14ac:dyDescent="0.3">
      <c r="A351" t="s">
        <v>603</v>
      </c>
      <c r="B351" t="s">
        <v>1265</v>
      </c>
      <c r="C351" t="s">
        <v>975</v>
      </c>
      <c r="D351" t="s">
        <v>686</v>
      </c>
      <c r="E351" t="s">
        <v>1101</v>
      </c>
      <c r="F351" t="s">
        <v>948</v>
      </c>
      <c r="G351" t="s">
        <v>1102</v>
      </c>
      <c r="H351" t="s">
        <v>1346</v>
      </c>
      <c r="I351" t="s">
        <v>1349</v>
      </c>
      <c r="J351" s="41">
        <v>386.7</v>
      </c>
      <c r="K351" s="41">
        <v>0</v>
      </c>
      <c r="L351" s="41">
        <v>0</v>
      </c>
      <c r="M351" s="41">
        <v>386.7</v>
      </c>
      <c r="N351" s="41">
        <v>386.7</v>
      </c>
      <c r="O351" s="41">
        <v>0</v>
      </c>
      <c r="P351" t="s">
        <v>1659</v>
      </c>
      <c r="Q351" t="s">
        <v>1370</v>
      </c>
      <c r="R351" t="s">
        <v>1166</v>
      </c>
      <c r="S351" t="s">
        <v>1167</v>
      </c>
      <c r="T351" t="s">
        <v>1347</v>
      </c>
    </row>
    <row r="352" spans="1:20" x14ac:dyDescent="0.3">
      <c r="A352" t="s">
        <v>603</v>
      </c>
      <c r="B352" t="s">
        <v>1265</v>
      </c>
      <c r="C352" t="s">
        <v>975</v>
      </c>
      <c r="D352" t="s">
        <v>686</v>
      </c>
      <c r="E352" t="s">
        <v>1101</v>
      </c>
      <c r="F352" t="s">
        <v>948</v>
      </c>
      <c r="G352" t="s">
        <v>1102</v>
      </c>
      <c r="H352" t="s">
        <v>1346</v>
      </c>
      <c r="I352" t="s">
        <v>1349</v>
      </c>
      <c r="J352" s="41">
        <v>150.72</v>
      </c>
      <c r="K352" s="41">
        <v>0</v>
      </c>
      <c r="L352" s="41">
        <v>0</v>
      </c>
      <c r="M352" s="41">
        <v>150.72</v>
      </c>
      <c r="N352" s="41">
        <v>150.72</v>
      </c>
      <c r="O352" s="41">
        <v>0</v>
      </c>
      <c r="P352" t="s">
        <v>1659</v>
      </c>
      <c r="Q352" t="s">
        <v>1426</v>
      </c>
      <c r="R352" t="s">
        <v>1166</v>
      </c>
      <c r="S352" t="s">
        <v>1167</v>
      </c>
      <c r="T352" t="s">
        <v>1347</v>
      </c>
    </row>
    <row r="353" spans="1:20" x14ac:dyDescent="0.3">
      <c r="A353" t="s">
        <v>603</v>
      </c>
      <c r="B353" t="s">
        <v>1265</v>
      </c>
      <c r="C353" t="s">
        <v>975</v>
      </c>
      <c r="D353" t="s">
        <v>686</v>
      </c>
      <c r="E353" t="s">
        <v>1101</v>
      </c>
      <c r="F353" t="s">
        <v>948</v>
      </c>
      <c r="G353" t="s">
        <v>1102</v>
      </c>
      <c r="H353" t="s">
        <v>1346</v>
      </c>
      <c r="I353" t="s">
        <v>1349</v>
      </c>
      <c r="J353" s="41">
        <v>24</v>
      </c>
      <c r="K353" s="41">
        <v>0</v>
      </c>
      <c r="L353" s="41">
        <v>0</v>
      </c>
      <c r="M353" s="41">
        <v>24</v>
      </c>
      <c r="N353" s="41">
        <v>24</v>
      </c>
      <c r="O353" s="41">
        <v>0</v>
      </c>
      <c r="P353" t="s">
        <v>1659</v>
      </c>
      <c r="Q353" t="s">
        <v>1590</v>
      </c>
      <c r="R353" t="s">
        <v>1166</v>
      </c>
      <c r="S353" t="s">
        <v>1167</v>
      </c>
      <c r="T353" t="s">
        <v>1347</v>
      </c>
    </row>
    <row r="354" spans="1:20" x14ac:dyDescent="0.3">
      <c r="A354" t="s">
        <v>603</v>
      </c>
      <c r="B354" t="s">
        <v>1265</v>
      </c>
      <c r="C354" t="s">
        <v>975</v>
      </c>
      <c r="D354" t="s">
        <v>686</v>
      </c>
      <c r="E354" t="s">
        <v>1101</v>
      </c>
      <c r="F354" t="s">
        <v>948</v>
      </c>
      <c r="G354" t="s">
        <v>1102</v>
      </c>
      <c r="H354" t="s">
        <v>1346</v>
      </c>
      <c r="I354" t="s">
        <v>1349</v>
      </c>
      <c r="J354" s="41">
        <v>24</v>
      </c>
      <c r="K354" s="41">
        <v>0</v>
      </c>
      <c r="L354" s="41">
        <v>0</v>
      </c>
      <c r="M354" s="41">
        <v>24</v>
      </c>
      <c r="N354" s="41">
        <v>24</v>
      </c>
      <c r="O354" s="41">
        <v>0</v>
      </c>
      <c r="P354" t="s">
        <v>1659</v>
      </c>
      <c r="Q354" t="s">
        <v>1432</v>
      </c>
      <c r="R354" t="s">
        <v>1166</v>
      </c>
      <c r="S354" t="s">
        <v>1167</v>
      </c>
      <c r="T354" t="s">
        <v>1347</v>
      </c>
    </row>
    <row r="355" spans="1:20" x14ac:dyDescent="0.3">
      <c r="A355" t="s">
        <v>603</v>
      </c>
      <c r="B355" t="s">
        <v>1265</v>
      </c>
      <c r="C355" t="s">
        <v>975</v>
      </c>
      <c r="D355" t="s">
        <v>686</v>
      </c>
      <c r="E355" t="s">
        <v>1101</v>
      </c>
      <c r="F355" t="s">
        <v>948</v>
      </c>
      <c r="G355" t="s">
        <v>1102</v>
      </c>
      <c r="H355" t="s">
        <v>1594</v>
      </c>
      <c r="I355" t="s">
        <v>1592</v>
      </c>
      <c r="J355" s="41">
        <v>0</v>
      </c>
      <c r="K355" s="41">
        <v>1450.64</v>
      </c>
      <c r="L355" s="41">
        <v>0</v>
      </c>
      <c r="M355" s="41">
        <v>1450.64</v>
      </c>
      <c r="N355" s="41">
        <v>1450.64</v>
      </c>
      <c r="O355" s="41">
        <v>1450.64</v>
      </c>
      <c r="P355" t="s">
        <v>1659</v>
      </c>
      <c r="Q355" t="s">
        <v>1439</v>
      </c>
      <c r="R355" t="s">
        <v>1166</v>
      </c>
      <c r="S355" t="s">
        <v>1167</v>
      </c>
      <c r="T355" t="s">
        <v>1102</v>
      </c>
    </row>
    <row r="356" spans="1:20" x14ac:dyDescent="0.3">
      <c r="A356" t="s">
        <v>603</v>
      </c>
      <c r="B356" t="s">
        <v>1265</v>
      </c>
      <c r="C356" t="s">
        <v>975</v>
      </c>
      <c r="D356" t="s">
        <v>686</v>
      </c>
      <c r="E356" t="s">
        <v>1101</v>
      </c>
      <c r="F356" t="s">
        <v>948</v>
      </c>
      <c r="G356" t="s">
        <v>1102</v>
      </c>
      <c r="H356" t="s">
        <v>1594</v>
      </c>
      <c r="I356" t="s">
        <v>1592</v>
      </c>
      <c r="J356" s="41">
        <v>5146.2</v>
      </c>
      <c r="K356" s="41">
        <v>0</v>
      </c>
      <c r="L356" s="41">
        <v>0</v>
      </c>
      <c r="M356" s="41">
        <v>5146.2</v>
      </c>
      <c r="N356" s="41">
        <v>5146.2</v>
      </c>
      <c r="O356" s="41">
        <v>0</v>
      </c>
      <c r="P356" t="s">
        <v>1659</v>
      </c>
      <c r="Q356" t="s">
        <v>1441</v>
      </c>
      <c r="R356" t="s">
        <v>1166</v>
      </c>
      <c r="S356" t="s">
        <v>1167</v>
      </c>
      <c r="T356" t="s">
        <v>1102</v>
      </c>
    </row>
    <row r="357" spans="1:20" x14ac:dyDescent="0.3">
      <c r="A357" t="s">
        <v>603</v>
      </c>
      <c r="B357" t="s">
        <v>1265</v>
      </c>
      <c r="C357" t="s">
        <v>975</v>
      </c>
      <c r="D357" t="s">
        <v>686</v>
      </c>
      <c r="E357" t="s">
        <v>1101</v>
      </c>
      <c r="F357" t="s">
        <v>948</v>
      </c>
      <c r="G357" t="s">
        <v>1102</v>
      </c>
      <c r="H357" t="s">
        <v>1597</v>
      </c>
      <c r="I357" t="s">
        <v>1595</v>
      </c>
      <c r="J357" s="41">
        <v>0</v>
      </c>
      <c r="K357" s="41">
        <v>50</v>
      </c>
      <c r="L357" s="41">
        <v>0</v>
      </c>
      <c r="M357" s="41">
        <v>50</v>
      </c>
      <c r="N357" s="41">
        <v>50</v>
      </c>
      <c r="O357" s="41">
        <v>50</v>
      </c>
      <c r="P357" t="s">
        <v>1659</v>
      </c>
      <c r="Q357" t="s">
        <v>1443</v>
      </c>
      <c r="R357" t="s">
        <v>1192</v>
      </c>
      <c r="S357" t="s">
        <v>1193</v>
      </c>
      <c r="T357" t="s">
        <v>1598</v>
      </c>
    </row>
    <row r="358" spans="1:20" x14ac:dyDescent="0.3">
      <c r="A358" t="s">
        <v>603</v>
      </c>
      <c r="B358" t="s">
        <v>1265</v>
      </c>
      <c r="C358" t="s">
        <v>975</v>
      </c>
      <c r="D358" t="s">
        <v>686</v>
      </c>
      <c r="E358" t="s">
        <v>1101</v>
      </c>
      <c r="F358" t="s">
        <v>948</v>
      </c>
      <c r="G358" t="s">
        <v>1102</v>
      </c>
      <c r="H358" t="s">
        <v>1597</v>
      </c>
      <c r="I358" t="s">
        <v>1595</v>
      </c>
      <c r="J358" s="41">
        <v>0</v>
      </c>
      <c r="K358" s="41">
        <v>30</v>
      </c>
      <c r="L358" s="41">
        <v>0</v>
      </c>
      <c r="M358" s="41">
        <v>30</v>
      </c>
      <c r="N358" s="41">
        <v>30</v>
      </c>
      <c r="O358" s="41">
        <v>30</v>
      </c>
      <c r="P358" t="s">
        <v>1659</v>
      </c>
      <c r="Q358" t="s">
        <v>1568</v>
      </c>
      <c r="R358" t="s">
        <v>1192</v>
      </c>
      <c r="S358" t="s">
        <v>1193</v>
      </c>
      <c r="T358" t="s">
        <v>1598</v>
      </c>
    </row>
    <row r="359" spans="1:20" x14ac:dyDescent="0.3">
      <c r="A359" t="s">
        <v>603</v>
      </c>
      <c r="B359" t="s">
        <v>1265</v>
      </c>
      <c r="C359" t="s">
        <v>975</v>
      </c>
      <c r="D359" t="s">
        <v>686</v>
      </c>
      <c r="E359" t="s">
        <v>1103</v>
      </c>
      <c r="F359" t="s">
        <v>948</v>
      </c>
      <c r="G359" t="s">
        <v>1104</v>
      </c>
      <c r="H359" t="s">
        <v>1362</v>
      </c>
      <c r="I359" t="s">
        <v>1360</v>
      </c>
      <c r="J359" s="41">
        <v>78</v>
      </c>
      <c r="K359" s="41">
        <v>78</v>
      </c>
      <c r="L359" s="41">
        <v>0</v>
      </c>
      <c r="M359" s="41">
        <v>156</v>
      </c>
      <c r="N359" s="41">
        <v>156</v>
      </c>
      <c r="O359" s="41">
        <v>78</v>
      </c>
      <c r="P359" t="s">
        <v>1659</v>
      </c>
      <c r="Q359" t="s">
        <v>1569</v>
      </c>
      <c r="R359" t="s">
        <v>1166</v>
      </c>
      <c r="S359" t="s">
        <v>1167</v>
      </c>
      <c r="T359" t="s">
        <v>1363</v>
      </c>
    </row>
    <row r="360" spans="1:20" x14ac:dyDescent="0.3">
      <c r="A360" t="s">
        <v>603</v>
      </c>
      <c r="B360" t="s">
        <v>1265</v>
      </c>
      <c r="C360" t="s">
        <v>975</v>
      </c>
      <c r="D360" t="s">
        <v>686</v>
      </c>
      <c r="E360" t="s">
        <v>1103</v>
      </c>
      <c r="F360" t="s">
        <v>948</v>
      </c>
      <c r="G360" t="s">
        <v>1104</v>
      </c>
      <c r="H360" t="s">
        <v>1362</v>
      </c>
      <c r="I360" t="s">
        <v>1360</v>
      </c>
      <c r="J360" s="41">
        <v>0</v>
      </c>
      <c r="K360" s="41">
        <v>389.37</v>
      </c>
      <c r="L360" s="41">
        <v>0</v>
      </c>
      <c r="M360" s="41">
        <v>389.37</v>
      </c>
      <c r="N360" s="41">
        <v>389.37</v>
      </c>
      <c r="O360" s="41">
        <v>389.37</v>
      </c>
      <c r="P360" t="s">
        <v>1659</v>
      </c>
      <c r="Q360" t="s">
        <v>1453</v>
      </c>
      <c r="R360" t="s">
        <v>1166</v>
      </c>
      <c r="S360" t="s">
        <v>1167</v>
      </c>
      <c r="T360" t="s">
        <v>1363</v>
      </c>
    </row>
    <row r="361" spans="1:20" x14ac:dyDescent="0.3">
      <c r="A361" t="s">
        <v>603</v>
      </c>
      <c r="B361" t="s">
        <v>1265</v>
      </c>
      <c r="C361" t="s">
        <v>975</v>
      </c>
      <c r="D361" t="s">
        <v>686</v>
      </c>
      <c r="E361" t="s">
        <v>1105</v>
      </c>
      <c r="F361" t="s">
        <v>948</v>
      </c>
      <c r="G361" t="s">
        <v>1106</v>
      </c>
      <c r="H361" t="s">
        <v>576</v>
      </c>
      <c r="I361" t="s">
        <v>1599</v>
      </c>
      <c r="J361" s="41">
        <v>0</v>
      </c>
      <c r="K361" s="41">
        <v>79.900000000000006</v>
      </c>
      <c r="L361" s="41">
        <v>0</v>
      </c>
      <c r="M361" s="41">
        <v>79.900000000000006</v>
      </c>
      <c r="N361" s="41">
        <v>79.900000000000006</v>
      </c>
      <c r="O361" s="41">
        <v>79.900000000000006</v>
      </c>
      <c r="P361" t="s">
        <v>1659</v>
      </c>
      <c r="Q361" t="s">
        <v>1571</v>
      </c>
      <c r="R361" t="s">
        <v>1192</v>
      </c>
      <c r="S361" t="s">
        <v>1193</v>
      </c>
      <c r="T361" t="s">
        <v>1367</v>
      </c>
    </row>
    <row r="362" spans="1:20" x14ac:dyDescent="0.3">
      <c r="A362" t="s">
        <v>603</v>
      </c>
      <c r="B362" t="s">
        <v>1265</v>
      </c>
      <c r="C362" t="s">
        <v>975</v>
      </c>
      <c r="D362" t="s">
        <v>686</v>
      </c>
      <c r="E362" t="s">
        <v>1105</v>
      </c>
      <c r="F362" t="s">
        <v>948</v>
      </c>
      <c r="G362" t="s">
        <v>1106</v>
      </c>
      <c r="H362" t="s">
        <v>576</v>
      </c>
      <c r="I362" t="s">
        <v>1599</v>
      </c>
      <c r="J362" s="41">
        <v>0</v>
      </c>
      <c r="K362" s="41">
        <v>40.619999999999997</v>
      </c>
      <c r="L362" s="41">
        <v>0</v>
      </c>
      <c r="M362" s="41">
        <v>40.619999999999997</v>
      </c>
      <c r="N362" s="41">
        <v>40.619999999999997</v>
      </c>
      <c r="O362" s="41">
        <v>40.619999999999997</v>
      </c>
      <c r="P362" t="s">
        <v>1659</v>
      </c>
      <c r="Q362" t="s">
        <v>1455</v>
      </c>
      <c r="R362" t="s">
        <v>1192</v>
      </c>
      <c r="S362" t="s">
        <v>1193</v>
      </c>
      <c r="T362" t="s">
        <v>1367</v>
      </c>
    </row>
    <row r="363" spans="1:20" x14ac:dyDescent="0.3">
      <c r="A363" t="s">
        <v>603</v>
      </c>
      <c r="B363" t="s">
        <v>1265</v>
      </c>
      <c r="C363" t="s">
        <v>975</v>
      </c>
      <c r="D363" t="s">
        <v>686</v>
      </c>
      <c r="E363" t="s">
        <v>1105</v>
      </c>
      <c r="F363" t="s">
        <v>948</v>
      </c>
      <c r="G363" t="s">
        <v>1106</v>
      </c>
      <c r="H363" t="s">
        <v>576</v>
      </c>
      <c r="I363" t="s">
        <v>1601</v>
      </c>
      <c r="J363" s="41">
        <v>0</v>
      </c>
      <c r="K363" s="41">
        <v>3954</v>
      </c>
      <c r="L363" s="41">
        <v>0</v>
      </c>
      <c r="M363" s="41">
        <v>3954</v>
      </c>
      <c r="N363" s="41">
        <v>3954</v>
      </c>
      <c r="O363" s="41">
        <v>3954</v>
      </c>
      <c r="P363" t="s">
        <v>1659</v>
      </c>
      <c r="Q363" t="s">
        <v>1600</v>
      </c>
      <c r="R363" t="s">
        <v>1192</v>
      </c>
      <c r="S363" t="s">
        <v>1193</v>
      </c>
      <c r="T363" t="s">
        <v>1367</v>
      </c>
    </row>
    <row r="364" spans="1:20" x14ac:dyDescent="0.3">
      <c r="A364" t="s">
        <v>603</v>
      </c>
      <c r="B364" t="s">
        <v>1265</v>
      </c>
      <c r="C364" t="s">
        <v>975</v>
      </c>
      <c r="D364" t="s">
        <v>686</v>
      </c>
      <c r="E364" t="s">
        <v>1105</v>
      </c>
      <c r="F364" t="s">
        <v>948</v>
      </c>
      <c r="G364" t="s">
        <v>1106</v>
      </c>
      <c r="H364" t="s">
        <v>576</v>
      </c>
      <c r="I364" t="s">
        <v>1365</v>
      </c>
      <c r="J364" s="41">
        <v>1.9</v>
      </c>
      <c r="K364" s="41">
        <v>0</v>
      </c>
      <c r="L364" s="41">
        <v>0</v>
      </c>
      <c r="M364" s="41">
        <v>1.9</v>
      </c>
      <c r="N364" s="41">
        <v>1.9</v>
      </c>
      <c r="O364" s="41">
        <v>0</v>
      </c>
      <c r="P364" t="s">
        <v>1659</v>
      </c>
      <c r="Q364" t="s">
        <v>1580</v>
      </c>
      <c r="R364" t="s">
        <v>1192</v>
      </c>
      <c r="S364" t="s">
        <v>1193</v>
      </c>
      <c r="T364" t="s">
        <v>1367</v>
      </c>
    </row>
    <row r="365" spans="1:20" x14ac:dyDescent="0.3">
      <c r="A365" t="s">
        <v>603</v>
      </c>
      <c r="B365" t="s">
        <v>1265</v>
      </c>
      <c r="C365" t="s">
        <v>975</v>
      </c>
      <c r="D365" t="s">
        <v>686</v>
      </c>
      <c r="E365" t="s">
        <v>1123</v>
      </c>
      <c r="F365" t="s">
        <v>717</v>
      </c>
      <c r="G365" t="s">
        <v>717</v>
      </c>
      <c r="H365" t="s">
        <v>1261</v>
      </c>
      <c r="I365" t="s">
        <v>1258</v>
      </c>
      <c r="J365" s="41">
        <v>227.16</v>
      </c>
      <c r="K365" s="41">
        <v>233.65</v>
      </c>
      <c r="L365" s="41">
        <v>0</v>
      </c>
      <c r="M365" s="41">
        <v>460.81</v>
      </c>
      <c r="N365" s="41">
        <v>460.81</v>
      </c>
      <c r="O365" s="41">
        <v>233.65</v>
      </c>
      <c r="P365" t="s">
        <v>1659</v>
      </c>
      <c r="Q365" t="s">
        <v>1461</v>
      </c>
      <c r="R365" t="s">
        <v>1166</v>
      </c>
      <c r="S365" t="s">
        <v>1167</v>
      </c>
      <c r="T365" t="s">
        <v>1262</v>
      </c>
    </row>
    <row r="366" spans="1:20" x14ac:dyDescent="0.3">
      <c r="A366" t="s">
        <v>603</v>
      </c>
      <c r="B366" t="s">
        <v>1265</v>
      </c>
      <c r="C366" t="s">
        <v>975</v>
      </c>
      <c r="D366" t="s">
        <v>686</v>
      </c>
      <c r="E366" t="s">
        <v>1123</v>
      </c>
      <c r="F366" t="s">
        <v>717</v>
      </c>
      <c r="G366" t="s">
        <v>717</v>
      </c>
      <c r="H366" t="s">
        <v>1261</v>
      </c>
      <c r="I366" t="s">
        <v>1258</v>
      </c>
      <c r="J366" s="41">
        <v>4.29</v>
      </c>
      <c r="K366" s="41">
        <v>0</v>
      </c>
      <c r="L366" s="41">
        <v>0</v>
      </c>
      <c r="M366" s="41">
        <v>4.29</v>
      </c>
      <c r="N366" s="41">
        <v>4.29</v>
      </c>
      <c r="O366" s="41">
        <v>0</v>
      </c>
      <c r="P366" t="s">
        <v>1659</v>
      </c>
      <c r="Q366" t="s">
        <v>1463</v>
      </c>
      <c r="R366" t="s">
        <v>1166</v>
      </c>
      <c r="S366" t="s">
        <v>1167</v>
      </c>
      <c r="T366" t="s">
        <v>1262</v>
      </c>
    </row>
    <row r="367" spans="1:20" x14ac:dyDescent="0.3">
      <c r="A367" t="s">
        <v>603</v>
      </c>
      <c r="B367" t="s">
        <v>1265</v>
      </c>
      <c r="C367" t="s">
        <v>975</v>
      </c>
      <c r="D367" t="s">
        <v>686</v>
      </c>
      <c r="E367" t="s">
        <v>1123</v>
      </c>
      <c r="F367" t="s">
        <v>717</v>
      </c>
      <c r="G367" t="s">
        <v>717</v>
      </c>
      <c r="H367" t="s">
        <v>1261</v>
      </c>
      <c r="I367" t="s">
        <v>1258</v>
      </c>
      <c r="J367" s="41">
        <v>172.1</v>
      </c>
      <c r="K367" s="41">
        <v>0</v>
      </c>
      <c r="L367" s="41">
        <v>0</v>
      </c>
      <c r="M367" s="41">
        <v>172.1</v>
      </c>
      <c r="N367" s="41">
        <v>172.1</v>
      </c>
      <c r="O367" s="41">
        <v>0</v>
      </c>
      <c r="P367" t="s">
        <v>1659</v>
      </c>
      <c r="Q367" t="s">
        <v>1465</v>
      </c>
      <c r="R367" t="s">
        <v>1166</v>
      </c>
      <c r="S367" t="s">
        <v>1167</v>
      </c>
      <c r="T367" t="s">
        <v>1262</v>
      </c>
    </row>
    <row r="368" spans="1:20" x14ac:dyDescent="0.3">
      <c r="A368" t="s">
        <v>603</v>
      </c>
      <c r="B368" t="s">
        <v>1265</v>
      </c>
      <c r="C368" t="s">
        <v>975</v>
      </c>
      <c r="D368" t="s">
        <v>686</v>
      </c>
      <c r="E368" t="s">
        <v>1123</v>
      </c>
      <c r="F368" t="s">
        <v>717</v>
      </c>
      <c r="G368" t="s">
        <v>717</v>
      </c>
      <c r="H368" t="s">
        <v>1261</v>
      </c>
      <c r="I368" t="s">
        <v>573</v>
      </c>
      <c r="J368" s="41">
        <v>7.4</v>
      </c>
      <c r="K368" s="41">
        <v>0.5</v>
      </c>
      <c r="L368" s="41">
        <v>0</v>
      </c>
      <c r="M368" s="41">
        <v>7.9</v>
      </c>
      <c r="N368" s="41">
        <v>7.9</v>
      </c>
      <c r="O368" s="41">
        <v>0.5</v>
      </c>
      <c r="P368" t="s">
        <v>1659</v>
      </c>
      <c r="Q368" t="s">
        <v>1581</v>
      </c>
      <c r="R368" t="s">
        <v>1166</v>
      </c>
      <c r="S368" t="s">
        <v>1167</v>
      </c>
      <c r="T368" t="s">
        <v>1262</v>
      </c>
    </row>
    <row r="369" spans="1:20" x14ac:dyDescent="0.3">
      <c r="A369" t="s">
        <v>603</v>
      </c>
      <c r="B369" t="s">
        <v>1265</v>
      </c>
      <c r="C369" t="s">
        <v>975</v>
      </c>
      <c r="D369" t="s">
        <v>686</v>
      </c>
      <c r="E369" t="s">
        <v>1123</v>
      </c>
      <c r="F369" t="s">
        <v>717</v>
      </c>
      <c r="G369" t="s">
        <v>717</v>
      </c>
      <c r="H369" t="s">
        <v>1261</v>
      </c>
      <c r="I369" t="s">
        <v>1371</v>
      </c>
      <c r="J369" s="41">
        <v>441.87</v>
      </c>
      <c r="K369" s="41">
        <v>80</v>
      </c>
      <c r="L369" s="41">
        <v>0</v>
      </c>
      <c r="M369" s="41">
        <v>521.87</v>
      </c>
      <c r="N369" s="41">
        <v>521.87</v>
      </c>
      <c r="O369" s="41">
        <v>80</v>
      </c>
      <c r="P369" t="s">
        <v>1659</v>
      </c>
      <c r="Q369" t="s">
        <v>1467</v>
      </c>
      <c r="R369" t="s">
        <v>1166</v>
      </c>
      <c r="S369" t="s">
        <v>1167</v>
      </c>
      <c r="T369" t="s">
        <v>1262</v>
      </c>
    </row>
    <row r="370" spans="1:20" x14ac:dyDescent="0.3">
      <c r="A370" t="s">
        <v>603</v>
      </c>
      <c r="B370" t="s">
        <v>1265</v>
      </c>
      <c r="C370" t="s">
        <v>975</v>
      </c>
      <c r="D370" t="s">
        <v>686</v>
      </c>
      <c r="E370" t="s">
        <v>1123</v>
      </c>
      <c r="F370" t="s">
        <v>717</v>
      </c>
      <c r="G370" t="s">
        <v>717</v>
      </c>
      <c r="H370" t="s">
        <v>1547</v>
      </c>
      <c r="I370" t="s">
        <v>1602</v>
      </c>
      <c r="J370" s="41">
        <v>4.29</v>
      </c>
      <c r="K370" s="41">
        <v>0</v>
      </c>
      <c r="L370" s="41">
        <v>0</v>
      </c>
      <c r="M370" s="41">
        <v>4.29</v>
      </c>
      <c r="N370" s="41">
        <v>4.29</v>
      </c>
      <c r="O370" s="41">
        <v>0</v>
      </c>
      <c r="P370" t="s">
        <v>1659</v>
      </c>
      <c r="Q370" t="s">
        <v>1473</v>
      </c>
      <c r="R370" t="s">
        <v>1166</v>
      </c>
      <c r="S370" t="s">
        <v>1167</v>
      </c>
      <c r="T370" t="s">
        <v>1548</v>
      </c>
    </row>
    <row r="371" spans="1:20" x14ac:dyDescent="0.3">
      <c r="A371" t="s">
        <v>603</v>
      </c>
      <c r="B371" t="s">
        <v>1265</v>
      </c>
      <c r="C371" t="s">
        <v>975</v>
      </c>
      <c r="D371" t="s">
        <v>686</v>
      </c>
      <c r="E371" t="s">
        <v>1123</v>
      </c>
      <c r="F371" t="s">
        <v>717</v>
      </c>
      <c r="G371" t="s">
        <v>717</v>
      </c>
      <c r="H371" t="s">
        <v>1547</v>
      </c>
      <c r="I371" t="s">
        <v>1602</v>
      </c>
      <c r="J371" s="41">
        <v>-4.29</v>
      </c>
      <c r="K371" s="41">
        <v>0</v>
      </c>
      <c r="L371" s="41">
        <v>0</v>
      </c>
      <c r="M371" s="41">
        <v>-4.29</v>
      </c>
      <c r="N371" s="41">
        <v>-4.29</v>
      </c>
      <c r="O371" s="41">
        <v>0</v>
      </c>
      <c r="P371" t="s">
        <v>1659</v>
      </c>
      <c r="Q371" t="s">
        <v>1572</v>
      </c>
      <c r="R371" t="s">
        <v>1166</v>
      </c>
      <c r="S371" t="s">
        <v>1167</v>
      </c>
      <c r="T371" t="s">
        <v>1548</v>
      </c>
    </row>
    <row r="372" spans="1:20" x14ac:dyDescent="0.3">
      <c r="A372" t="s">
        <v>603</v>
      </c>
      <c r="B372" t="s">
        <v>1373</v>
      </c>
      <c r="C372" t="s">
        <v>974</v>
      </c>
      <c r="D372" t="s">
        <v>496</v>
      </c>
      <c r="E372" t="s">
        <v>1048</v>
      </c>
      <c r="F372" t="s">
        <v>1318</v>
      </c>
      <c r="G372" t="s">
        <v>1049</v>
      </c>
      <c r="H372" t="s">
        <v>1319</v>
      </c>
      <c r="I372" t="s">
        <v>1376</v>
      </c>
      <c r="J372" s="41">
        <v>-21148.35</v>
      </c>
      <c r="K372" s="41">
        <v>0</v>
      </c>
      <c r="L372" s="41">
        <v>5513</v>
      </c>
      <c r="M372" s="41">
        <v>-26661.35</v>
      </c>
      <c r="N372" s="41">
        <v>26661.35</v>
      </c>
      <c r="O372" s="41">
        <v>5513</v>
      </c>
      <c r="P372" t="s">
        <v>1660</v>
      </c>
      <c r="Q372" t="s">
        <v>1257</v>
      </c>
      <c r="R372" t="s">
        <v>1166</v>
      </c>
      <c r="S372" t="s">
        <v>1167</v>
      </c>
      <c r="T372" t="s">
        <v>1320</v>
      </c>
    </row>
    <row r="373" spans="1:20" x14ac:dyDescent="0.3">
      <c r="A373" t="s">
        <v>603</v>
      </c>
      <c r="B373" t="s">
        <v>1373</v>
      </c>
      <c r="C373" t="s">
        <v>974</v>
      </c>
      <c r="D373" t="s">
        <v>496</v>
      </c>
      <c r="E373" t="s">
        <v>1048</v>
      </c>
      <c r="F373" t="s">
        <v>1318</v>
      </c>
      <c r="G373" t="s">
        <v>1049</v>
      </c>
      <c r="H373" t="s">
        <v>1319</v>
      </c>
      <c r="I373" t="s">
        <v>1378</v>
      </c>
      <c r="J373" s="41">
        <v>-1200</v>
      </c>
      <c r="K373" s="41">
        <v>0</v>
      </c>
      <c r="L373" s="41">
        <v>0</v>
      </c>
      <c r="M373" s="41">
        <v>-1200</v>
      </c>
      <c r="N373" s="41">
        <v>1200</v>
      </c>
      <c r="O373" s="41">
        <v>0</v>
      </c>
      <c r="P373" t="s">
        <v>1660</v>
      </c>
      <c r="Q373" t="s">
        <v>1342</v>
      </c>
      <c r="R373" t="s">
        <v>1166</v>
      </c>
      <c r="S373" t="s">
        <v>1167</v>
      </c>
      <c r="T373" t="s">
        <v>1320</v>
      </c>
    </row>
    <row r="374" spans="1:20" x14ac:dyDescent="0.3">
      <c r="A374" t="s">
        <v>603</v>
      </c>
      <c r="B374" t="s">
        <v>1373</v>
      </c>
      <c r="C374" t="s">
        <v>974</v>
      </c>
      <c r="D374" t="s">
        <v>496</v>
      </c>
      <c r="E374" t="s">
        <v>1048</v>
      </c>
      <c r="F374" t="s">
        <v>1318</v>
      </c>
      <c r="G374" t="s">
        <v>1049</v>
      </c>
      <c r="H374" t="s">
        <v>1319</v>
      </c>
      <c r="I374" t="s">
        <v>1387</v>
      </c>
      <c r="J374" s="41">
        <v>-4010</v>
      </c>
      <c r="K374" s="41">
        <v>0</v>
      </c>
      <c r="L374" s="41">
        <v>0</v>
      </c>
      <c r="M374" s="41">
        <v>-4010</v>
      </c>
      <c r="N374" s="41">
        <v>4010</v>
      </c>
      <c r="O374" s="41">
        <v>0</v>
      </c>
      <c r="P374" t="s">
        <v>1660</v>
      </c>
      <c r="Q374" t="s">
        <v>1348</v>
      </c>
      <c r="R374" t="s">
        <v>1166</v>
      </c>
      <c r="S374" t="s">
        <v>1167</v>
      </c>
      <c r="T374" t="s">
        <v>1320</v>
      </c>
    </row>
    <row r="375" spans="1:20" x14ac:dyDescent="0.3">
      <c r="A375" t="s">
        <v>603</v>
      </c>
      <c r="B375" t="s">
        <v>1373</v>
      </c>
      <c r="C375" t="s">
        <v>974</v>
      </c>
      <c r="D375" t="s">
        <v>496</v>
      </c>
      <c r="E375" t="s">
        <v>1048</v>
      </c>
      <c r="F375" t="s">
        <v>1318</v>
      </c>
      <c r="G375" t="s">
        <v>1049</v>
      </c>
      <c r="H375" t="s">
        <v>1319</v>
      </c>
      <c r="I375" t="s">
        <v>1379</v>
      </c>
      <c r="J375" s="41">
        <v>-217</v>
      </c>
      <c r="K375" s="41">
        <v>0</v>
      </c>
      <c r="L375" s="41">
        <v>0</v>
      </c>
      <c r="M375" s="41">
        <v>-217</v>
      </c>
      <c r="N375" s="41">
        <v>217</v>
      </c>
      <c r="O375" s="41">
        <v>0</v>
      </c>
      <c r="P375" t="s">
        <v>1660</v>
      </c>
      <c r="Q375" t="s">
        <v>1350</v>
      </c>
      <c r="R375" t="s">
        <v>1166</v>
      </c>
      <c r="S375" t="s">
        <v>1167</v>
      </c>
      <c r="T375" t="s">
        <v>1320</v>
      </c>
    </row>
    <row r="376" spans="1:20" x14ac:dyDescent="0.3">
      <c r="A376" t="s">
        <v>603</v>
      </c>
      <c r="B376" t="s">
        <v>1373</v>
      </c>
      <c r="C376" t="s">
        <v>974</v>
      </c>
      <c r="D376" t="s">
        <v>496</v>
      </c>
      <c r="E376" t="s">
        <v>1048</v>
      </c>
      <c r="F376" t="s">
        <v>1318</v>
      </c>
      <c r="G376" t="s">
        <v>1049</v>
      </c>
      <c r="H376" t="s">
        <v>1319</v>
      </c>
      <c r="I376" t="s">
        <v>1381</v>
      </c>
      <c r="J376" s="41">
        <v>-482.25</v>
      </c>
      <c r="K376" s="41">
        <v>0</v>
      </c>
      <c r="L376" s="41">
        <v>96.45</v>
      </c>
      <c r="M376" s="41">
        <v>-578.70000000000005</v>
      </c>
      <c r="N376" s="41">
        <v>578.70000000000005</v>
      </c>
      <c r="O376" s="41">
        <v>96.45</v>
      </c>
      <c r="P376" t="s">
        <v>1660</v>
      </c>
      <c r="Q376" t="s">
        <v>1351</v>
      </c>
      <c r="R376" t="s">
        <v>1166</v>
      </c>
      <c r="S376" t="s">
        <v>1167</v>
      </c>
      <c r="T376" t="s">
        <v>1320</v>
      </c>
    </row>
    <row r="377" spans="1:20" x14ac:dyDescent="0.3">
      <c r="A377" t="s">
        <v>603</v>
      </c>
      <c r="B377" t="s">
        <v>1373</v>
      </c>
      <c r="C377" t="s">
        <v>974</v>
      </c>
      <c r="D377" t="s">
        <v>496</v>
      </c>
      <c r="E377" t="s">
        <v>1048</v>
      </c>
      <c r="F377" t="s">
        <v>1318</v>
      </c>
      <c r="G377" t="s">
        <v>1049</v>
      </c>
      <c r="H377" t="s">
        <v>1319</v>
      </c>
      <c r="I377" t="s">
        <v>1382</v>
      </c>
      <c r="J377" s="41">
        <v>-275</v>
      </c>
      <c r="K377" s="41">
        <v>0</v>
      </c>
      <c r="L377" s="41">
        <v>55</v>
      </c>
      <c r="M377" s="41">
        <v>-330</v>
      </c>
      <c r="N377" s="41">
        <v>330</v>
      </c>
      <c r="O377" s="41">
        <v>55</v>
      </c>
      <c r="P377" t="s">
        <v>1660</v>
      </c>
      <c r="Q377" t="s">
        <v>1352</v>
      </c>
      <c r="R377" t="s">
        <v>1166</v>
      </c>
      <c r="S377" t="s">
        <v>1167</v>
      </c>
      <c r="T377" t="s">
        <v>1320</v>
      </c>
    </row>
    <row r="378" spans="1:20" x14ac:dyDescent="0.3">
      <c r="A378" t="s">
        <v>603</v>
      </c>
      <c r="B378" t="s">
        <v>1373</v>
      </c>
      <c r="C378" t="s">
        <v>974</v>
      </c>
      <c r="D378" t="s">
        <v>496</v>
      </c>
      <c r="E378" t="s">
        <v>1118</v>
      </c>
      <c r="F378" t="s">
        <v>1324</v>
      </c>
      <c r="G378" t="s">
        <v>1119</v>
      </c>
      <c r="H378" t="s">
        <v>1418</v>
      </c>
      <c r="I378" t="s">
        <v>1376</v>
      </c>
      <c r="J378" s="41">
        <v>-0.35</v>
      </c>
      <c r="K378" s="41">
        <v>0</v>
      </c>
      <c r="L378" s="41">
        <v>0</v>
      </c>
      <c r="M378" s="41">
        <v>-0.35</v>
      </c>
      <c r="N378" s="41">
        <v>0.35</v>
      </c>
      <c r="O378" s="41">
        <v>0</v>
      </c>
      <c r="P378" t="s">
        <v>1660</v>
      </c>
      <c r="Q378" t="s">
        <v>1356</v>
      </c>
      <c r="R378" t="s">
        <v>1166</v>
      </c>
      <c r="S378" t="s">
        <v>1167</v>
      </c>
      <c r="T378" t="s">
        <v>1419</v>
      </c>
    </row>
    <row r="379" spans="1:20" x14ac:dyDescent="0.3">
      <c r="A379" t="s">
        <v>603</v>
      </c>
      <c r="B379" t="s">
        <v>1373</v>
      </c>
      <c r="C379" t="s">
        <v>974</v>
      </c>
      <c r="D379" t="s">
        <v>496</v>
      </c>
      <c r="E379" t="s">
        <v>1118</v>
      </c>
      <c r="F379" t="s">
        <v>1324</v>
      </c>
      <c r="G379" t="s">
        <v>1119</v>
      </c>
      <c r="H379" t="s">
        <v>1418</v>
      </c>
      <c r="I379" t="s">
        <v>1378</v>
      </c>
      <c r="J379" s="41">
        <v>-83</v>
      </c>
      <c r="K379" s="41">
        <v>0</v>
      </c>
      <c r="L379" s="41">
        <v>0</v>
      </c>
      <c r="M379" s="41">
        <v>-83</v>
      </c>
      <c r="N379" s="41">
        <v>83</v>
      </c>
      <c r="O379" s="41">
        <v>0</v>
      </c>
      <c r="P379" t="s">
        <v>1660</v>
      </c>
      <c r="Q379" t="s">
        <v>1357</v>
      </c>
      <c r="R379" t="s">
        <v>1166</v>
      </c>
      <c r="S379" t="s">
        <v>1167</v>
      </c>
      <c r="T379" t="s">
        <v>1419</v>
      </c>
    </row>
    <row r="380" spans="1:20" x14ac:dyDescent="0.3">
      <c r="A380" t="s">
        <v>603</v>
      </c>
      <c r="B380" t="s">
        <v>1373</v>
      </c>
      <c r="C380" t="s">
        <v>974</v>
      </c>
      <c r="D380" t="s">
        <v>496</v>
      </c>
      <c r="E380" t="s">
        <v>1118</v>
      </c>
      <c r="F380" t="s">
        <v>1324</v>
      </c>
      <c r="G380" t="s">
        <v>1119</v>
      </c>
      <c r="H380" t="s">
        <v>1418</v>
      </c>
      <c r="I380" t="s">
        <v>1406</v>
      </c>
      <c r="J380" s="41">
        <v>-316.92</v>
      </c>
      <c r="K380" s="41">
        <v>0</v>
      </c>
      <c r="L380" s="41">
        <v>165.11</v>
      </c>
      <c r="M380" s="41">
        <v>-482.03</v>
      </c>
      <c r="N380" s="41">
        <v>482.03</v>
      </c>
      <c r="O380" s="41">
        <v>165.11</v>
      </c>
      <c r="P380" t="s">
        <v>1660</v>
      </c>
      <c r="Q380" t="s">
        <v>1358</v>
      </c>
      <c r="R380" t="s">
        <v>1166</v>
      </c>
      <c r="S380" t="s">
        <v>1167</v>
      </c>
      <c r="T380" t="s">
        <v>1419</v>
      </c>
    </row>
    <row r="381" spans="1:20" x14ac:dyDescent="0.3">
      <c r="A381" t="s">
        <v>603</v>
      </c>
      <c r="B381" t="s">
        <v>1373</v>
      </c>
      <c r="C381" t="s">
        <v>974</v>
      </c>
      <c r="D381" t="s">
        <v>496</v>
      </c>
      <c r="E381" t="s">
        <v>1060</v>
      </c>
      <c r="F381" t="s">
        <v>947</v>
      </c>
      <c r="G381" t="s">
        <v>1061</v>
      </c>
      <c r="H381" t="s">
        <v>1200</v>
      </c>
      <c r="I381" t="s">
        <v>1421</v>
      </c>
      <c r="J381" s="41">
        <v>12960.85</v>
      </c>
      <c r="K381" s="41">
        <v>2592.17</v>
      </c>
      <c r="L381" s="41">
        <v>0</v>
      </c>
      <c r="M381" s="41">
        <v>15553.02</v>
      </c>
      <c r="N381" s="41">
        <v>15553.02</v>
      </c>
      <c r="O381" s="41">
        <v>2592.17</v>
      </c>
      <c r="P381" t="s">
        <v>1660</v>
      </c>
      <c r="Q381" t="s">
        <v>1364</v>
      </c>
      <c r="R381" t="s">
        <v>1166</v>
      </c>
      <c r="S381" t="s">
        <v>1167</v>
      </c>
      <c r="T381" t="s">
        <v>1201</v>
      </c>
    </row>
    <row r="382" spans="1:20" x14ac:dyDescent="0.3">
      <c r="A382" t="s">
        <v>603</v>
      </c>
      <c r="B382" t="s">
        <v>1373</v>
      </c>
      <c r="C382" t="s">
        <v>974</v>
      </c>
      <c r="D382" t="s">
        <v>496</v>
      </c>
      <c r="E382" t="s">
        <v>1060</v>
      </c>
      <c r="F382" t="s">
        <v>947</v>
      </c>
      <c r="G382" t="s">
        <v>1061</v>
      </c>
      <c r="H382" t="s">
        <v>1200</v>
      </c>
      <c r="I382" t="s">
        <v>1605</v>
      </c>
      <c r="J382" s="41">
        <v>0</v>
      </c>
      <c r="K382" s="41">
        <v>4000</v>
      </c>
      <c r="L382" s="41">
        <v>0</v>
      </c>
      <c r="M382" s="41">
        <v>4000</v>
      </c>
      <c r="N382" s="41">
        <v>4000</v>
      </c>
      <c r="O382" s="41">
        <v>4000</v>
      </c>
      <c r="P382" t="s">
        <v>1660</v>
      </c>
      <c r="Q382" t="s">
        <v>1422</v>
      </c>
      <c r="R382" t="s">
        <v>1166</v>
      </c>
      <c r="S382" t="s">
        <v>1167</v>
      </c>
      <c r="T382" t="s">
        <v>1201</v>
      </c>
    </row>
    <row r="383" spans="1:20" x14ac:dyDescent="0.3">
      <c r="A383" t="s">
        <v>603</v>
      </c>
      <c r="B383" t="s">
        <v>1373</v>
      </c>
      <c r="C383" t="s">
        <v>974</v>
      </c>
      <c r="D383" t="s">
        <v>496</v>
      </c>
      <c r="E383" t="s">
        <v>1060</v>
      </c>
      <c r="F383" t="s">
        <v>947</v>
      </c>
      <c r="G383" t="s">
        <v>1061</v>
      </c>
      <c r="H383" t="s">
        <v>1200</v>
      </c>
      <c r="I383" t="s">
        <v>1606</v>
      </c>
      <c r="J383" s="41">
        <v>0</v>
      </c>
      <c r="K383" s="41">
        <v>5000</v>
      </c>
      <c r="L383" s="41">
        <v>0</v>
      </c>
      <c r="M383" s="41">
        <v>5000</v>
      </c>
      <c r="N383" s="41">
        <v>5000</v>
      </c>
      <c r="O383" s="41">
        <v>5000</v>
      </c>
      <c r="P383" t="s">
        <v>1660</v>
      </c>
      <c r="Q383" t="s">
        <v>1424</v>
      </c>
      <c r="R383" t="s">
        <v>1166</v>
      </c>
      <c r="S383" t="s">
        <v>1167</v>
      </c>
      <c r="T383" t="s">
        <v>1201</v>
      </c>
    </row>
    <row r="384" spans="1:20" x14ac:dyDescent="0.3">
      <c r="A384" t="s">
        <v>603</v>
      </c>
      <c r="B384" t="s">
        <v>1373</v>
      </c>
      <c r="C384" t="s">
        <v>974</v>
      </c>
      <c r="D384" t="s">
        <v>496</v>
      </c>
      <c r="E384" t="s">
        <v>1075</v>
      </c>
      <c r="F384" t="s">
        <v>947</v>
      </c>
      <c r="G384" t="s">
        <v>1076</v>
      </c>
      <c r="H384" t="s">
        <v>1205</v>
      </c>
      <c r="I384" t="s">
        <v>1607</v>
      </c>
      <c r="J384" s="41">
        <v>78.430000000000007</v>
      </c>
      <c r="K384" s="41">
        <v>0</v>
      </c>
      <c r="L384" s="41">
        <v>0</v>
      </c>
      <c r="M384" s="41">
        <v>78.430000000000007</v>
      </c>
      <c r="N384" s="41">
        <v>78.430000000000007</v>
      </c>
      <c r="O384" s="41">
        <v>0</v>
      </c>
      <c r="P384" t="s">
        <v>1660</v>
      </c>
      <c r="Q384" t="s">
        <v>1369</v>
      </c>
      <c r="R384" t="s">
        <v>1166</v>
      </c>
      <c r="S384" t="s">
        <v>1167</v>
      </c>
      <c r="T384" t="s">
        <v>1206</v>
      </c>
    </row>
    <row r="385" spans="1:20" x14ac:dyDescent="0.3">
      <c r="A385" t="s">
        <v>603</v>
      </c>
      <c r="B385" t="s">
        <v>1373</v>
      </c>
      <c r="C385" t="s">
        <v>974</v>
      </c>
      <c r="D385" t="s">
        <v>496</v>
      </c>
      <c r="E385" t="s">
        <v>1075</v>
      </c>
      <c r="F385" t="s">
        <v>947</v>
      </c>
      <c r="G385" t="s">
        <v>1076</v>
      </c>
      <c r="H385" t="s">
        <v>1205</v>
      </c>
      <c r="I385" t="s">
        <v>1423</v>
      </c>
      <c r="J385" s="41">
        <v>64.790000000000006</v>
      </c>
      <c r="K385" s="41">
        <v>0</v>
      </c>
      <c r="L385" s="41">
        <v>0</v>
      </c>
      <c r="M385" s="41">
        <v>64.790000000000006</v>
      </c>
      <c r="N385" s="41">
        <v>64.790000000000006</v>
      </c>
      <c r="O385" s="41">
        <v>0</v>
      </c>
      <c r="P385" t="s">
        <v>1660</v>
      </c>
      <c r="Q385" t="s">
        <v>1370</v>
      </c>
      <c r="R385" t="s">
        <v>1166</v>
      </c>
      <c r="S385" t="s">
        <v>1167</v>
      </c>
      <c r="T385" t="s">
        <v>1206</v>
      </c>
    </row>
    <row r="386" spans="1:20" x14ac:dyDescent="0.3">
      <c r="A386" t="s">
        <v>603</v>
      </c>
      <c r="B386" t="s">
        <v>1373</v>
      </c>
      <c r="C386" t="s">
        <v>974</v>
      </c>
      <c r="D386" t="s">
        <v>496</v>
      </c>
      <c r="E386" t="s">
        <v>1075</v>
      </c>
      <c r="F386" t="s">
        <v>947</v>
      </c>
      <c r="G386" t="s">
        <v>1076</v>
      </c>
      <c r="H386" t="s">
        <v>1205</v>
      </c>
      <c r="I386" t="s">
        <v>1425</v>
      </c>
      <c r="J386" s="41">
        <v>35.04</v>
      </c>
      <c r="K386" s="41">
        <v>0</v>
      </c>
      <c r="L386" s="41">
        <v>0</v>
      </c>
      <c r="M386" s="41">
        <v>35.04</v>
      </c>
      <c r="N386" s="41">
        <v>35.04</v>
      </c>
      <c r="O386" s="41">
        <v>0</v>
      </c>
      <c r="P386" t="s">
        <v>1660</v>
      </c>
      <c r="Q386" t="s">
        <v>1426</v>
      </c>
      <c r="R386" t="s">
        <v>1166</v>
      </c>
      <c r="S386" t="s">
        <v>1167</v>
      </c>
      <c r="T386" t="s">
        <v>1206</v>
      </c>
    </row>
    <row r="387" spans="1:20" x14ac:dyDescent="0.3">
      <c r="A387" t="s">
        <v>603</v>
      </c>
      <c r="B387" t="s">
        <v>1373</v>
      </c>
      <c r="C387" t="s">
        <v>974</v>
      </c>
      <c r="D387" t="s">
        <v>496</v>
      </c>
      <c r="E387" t="s">
        <v>1075</v>
      </c>
      <c r="F387" t="s">
        <v>947</v>
      </c>
      <c r="G387" t="s">
        <v>1076</v>
      </c>
      <c r="H387" t="s">
        <v>1205</v>
      </c>
      <c r="I387" t="s">
        <v>1400</v>
      </c>
      <c r="J387" s="41">
        <v>22.14</v>
      </c>
      <c r="K387" s="41">
        <v>38.21</v>
      </c>
      <c r="L387" s="41">
        <v>0</v>
      </c>
      <c r="M387" s="41">
        <v>60.35</v>
      </c>
      <c r="N387" s="41">
        <v>60.35</v>
      </c>
      <c r="O387" s="41">
        <v>38.21</v>
      </c>
      <c r="P387" t="s">
        <v>1660</v>
      </c>
      <c r="Q387" t="s">
        <v>1590</v>
      </c>
      <c r="R387" t="s">
        <v>1166</v>
      </c>
      <c r="S387" t="s">
        <v>1167</v>
      </c>
      <c r="T387" t="s">
        <v>1206</v>
      </c>
    </row>
    <row r="388" spans="1:20" x14ac:dyDescent="0.3">
      <c r="A388" t="s">
        <v>603</v>
      </c>
      <c r="B388" t="s">
        <v>1373</v>
      </c>
      <c r="C388" t="s">
        <v>974</v>
      </c>
      <c r="D388" t="s">
        <v>496</v>
      </c>
      <c r="E388" t="s">
        <v>1075</v>
      </c>
      <c r="F388" t="s">
        <v>947</v>
      </c>
      <c r="G388" t="s">
        <v>1076</v>
      </c>
      <c r="H388" t="s">
        <v>1205</v>
      </c>
      <c r="I388" t="s">
        <v>1425</v>
      </c>
      <c r="J388" s="41">
        <v>13.54</v>
      </c>
      <c r="K388" s="41">
        <v>0</v>
      </c>
      <c r="L388" s="41">
        <v>0</v>
      </c>
      <c r="M388" s="41">
        <v>13.54</v>
      </c>
      <c r="N388" s="41">
        <v>13.54</v>
      </c>
      <c r="O388" s="41">
        <v>0</v>
      </c>
      <c r="P388" t="s">
        <v>1660</v>
      </c>
      <c r="Q388" t="s">
        <v>1432</v>
      </c>
      <c r="R388" t="s">
        <v>1166</v>
      </c>
      <c r="S388" t="s">
        <v>1167</v>
      </c>
      <c r="T388" t="s">
        <v>1206</v>
      </c>
    </row>
    <row r="389" spans="1:20" x14ac:dyDescent="0.3">
      <c r="A389" t="s">
        <v>603</v>
      </c>
      <c r="B389" t="s">
        <v>1373</v>
      </c>
      <c r="C389" t="s">
        <v>974</v>
      </c>
      <c r="D389" t="s">
        <v>496</v>
      </c>
      <c r="E389" t="s">
        <v>1060</v>
      </c>
      <c r="F389" t="s">
        <v>947</v>
      </c>
      <c r="G389" t="s">
        <v>1061</v>
      </c>
      <c r="H389" t="s">
        <v>1430</v>
      </c>
      <c r="I389" t="s">
        <v>1428</v>
      </c>
      <c r="J389" s="41">
        <v>7600</v>
      </c>
      <c r="K389" s="41">
        <v>0</v>
      </c>
      <c r="L389" s="41">
        <v>0</v>
      </c>
      <c r="M389" s="41">
        <v>7600</v>
      </c>
      <c r="N389" s="41">
        <v>7600</v>
      </c>
      <c r="O389" s="41">
        <v>0</v>
      </c>
      <c r="P389" t="s">
        <v>1660</v>
      </c>
      <c r="Q389" t="s">
        <v>1439</v>
      </c>
      <c r="R389" t="s">
        <v>1192</v>
      </c>
      <c r="S389" t="s">
        <v>1193</v>
      </c>
      <c r="T389" t="s">
        <v>1431</v>
      </c>
    </row>
    <row r="390" spans="1:20" x14ac:dyDescent="0.3">
      <c r="A390" t="s">
        <v>603</v>
      </c>
      <c r="B390" t="s">
        <v>1373</v>
      </c>
      <c r="C390" t="s">
        <v>974</v>
      </c>
      <c r="D390" t="s">
        <v>496</v>
      </c>
      <c r="E390" t="s">
        <v>1060</v>
      </c>
      <c r="F390" t="s">
        <v>947</v>
      </c>
      <c r="G390" t="s">
        <v>1061</v>
      </c>
      <c r="H390" t="s">
        <v>1436</v>
      </c>
      <c r="I390" t="s">
        <v>1434</v>
      </c>
      <c r="J390" s="41">
        <v>276.06</v>
      </c>
      <c r="K390" s="41">
        <v>0</v>
      </c>
      <c r="L390" s="41">
        <v>0</v>
      </c>
      <c r="M390" s="41">
        <v>276.06</v>
      </c>
      <c r="N390" s="41">
        <v>276.06</v>
      </c>
      <c r="O390" s="41">
        <v>0</v>
      </c>
      <c r="P390" t="s">
        <v>1660</v>
      </c>
      <c r="Q390" t="s">
        <v>1567</v>
      </c>
      <c r="R390" t="s">
        <v>1166</v>
      </c>
      <c r="S390" t="s">
        <v>1167</v>
      </c>
      <c r="T390" t="s">
        <v>1437</v>
      </c>
    </row>
    <row r="391" spans="1:20" x14ac:dyDescent="0.3">
      <c r="A391" t="s">
        <v>603</v>
      </c>
      <c r="B391" t="s">
        <v>1373</v>
      </c>
      <c r="C391" t="s">
        <v>974</v>
      </c>
      <c r="D391" t="s">
        <v>496</v>
      </c>
      <c r="E391" t="s">
        <v>1060</v>
      </c>
      <c r="F391" t="s">
        <v>947</v>
      </c>
      <c r="G391" t="s">
        <v>1061</v>
      </c>
      <c r="H391" t="s">
        <v>1436</v>
      </c>
      <c r="I391" t="s">
        <v>1405</v>
      </c>
      <c r="J391" s="41">
        <v>13.9</v>
      </c>
      <c r="K391" s="41">
        <v>0</v>
      </c>
      <c r="L391" s="41">
        <v>0</v>
      </c>
      <c r="M391" s="41">
        <v>13.9</v>
      </c>
      <c r="N391" s="41">
        <v>13.9</v>
      </c>
      <c r="O391" s="41">
        <v>0</v>
      </c>
      <c r="P391" t="s">
        <v>1660</v>
      </c>
      <c r="Q391" t="s">
        <v>1443</v>
      </c>
      <c r="R391" t="s">
        <v>1166</v>
      </c>
      <c r="S391" t="s">
        <v>1167</v>
      </c>
      <c r="T391" t="s">
        <v>1437</v>
      </c>
    </row>
    <row r="392" spans="1:20" x14ac:dyDescent="0.3">
      <c r="A392" t="s">
        <v>603</v>
      </c>
      <c r="B392" t="s">
        <v>1373</v>
      </c>
      <c r="C392" t="s">
        <v>974</v>
      </c>
      <c r="D392" t="s">
        <v>496</v>
      </c>
      <c r="E392" t="s">
        <v>1060</v>
      </c>
      <c r="F392" t="s">
        <v>947</v>
      </c>
      <c r="G392" t="s">
        <v>1061</v>
      </c>
      <c r="H392" t="s">
        <v>1436</v>
      </c>
      <c r="I392" t="s">
        <v>1440</v>
      </c>
      <c r="J392" s="41">
        <v>15.3</v>
      </c>
      <c r="K392" s="41">
        <v>0</v>
      </c>
      <c r="L392" s="41">
        <v>0</v>
      </c>
      <c r="M392" s="41">
        <v>15.3</v>
      </c>
      <c r="N392" s="41">
        <v>15.3</v>
      </c>
      <c r="O392" s="41">
        <v>0</v>
      </c>
      <c r="P392" t="s">
        <v>1660</v>
      </c>
      <c r="Q392" t="s">
        <v>1568</v>
      </c>
      <c r="R392" t="s">
        <v>1166</v>
      </c>
      <c r="S392" t="s">
        <v>1167</v>
      </c>
      <c r="T392" t="s">
        <v>1437</v>
      </c>
    </row>
    <row r="393" spans="1:20" x14ac:dyDescent="0.3">
      <c r="A393" t="s">
        <v>603</v>
      </c>
      <c r="B393" t="s">
        <v>1373</v>
      </c>
      <c r="C393" t="s">
        <v>974</v>
      </c>
      <c r="D393" t="s">
        <v>496</v>
      </c>
      <c r="E393" t="s">
        <v>1060</v>
      </c>
      <c r="F393" t="s">
        <v>947</v>
      </c>
      <c r="G393" t="s">
        <v>1061</v>
      </c>
      <c r="H393" t="s">
        <v>1436</v>
      </c>
      <c r="I393" t="s">
        <v>1442</v>
      </c>
      <c r="J393" s="41">
        <v>1813.01</v>
      </c>
      <c r="K393" s="41">
        <v>755.41</v>
      </c>
      <c r="L393" s="41">
        <v>0</v>
      </c>
      <c r="M393" s="41">
        <v>2568.42</v>
      </c>
      <c r="N393" s="41">
        <v>2568.42</v>
      </c>
      <c r="O393" s="41">
        <v>755.41</v>
      </c>
      <c r="P393" t="s">
        <v>1660</v>
      </c>
      <c r="Q393" t="s">
        <v>1449</v>
      </c>
      <c r="R393" t="s">
        <v>1166</v>
      </c>
      <c r="S393" t="s">
        <v>1167</v>
      </c>
      <c r="T393" t="s">
        <v>1437</v>
      </c>
    </row>
    <row r="394" spans="1:20" x14ac:dyDescent="0.3">
      <c r="A394" t="s">
        <v>603</v>
      </c>
      <c r="B394" t="s">
        <v>1373</v>
      </c>
      <c r="C394" t="s">
        <v>974</v>
      </c>
      <c r="D394" t="s">
        <v>496</v>
      </c>
      <c r="E394" t="s">
        <v>1060</v>
      </c>
      <c r="F394" t="s">
        <v>947</v>
      </c>
      <c r="G394" t="s">
        <v>1061</v>
      </c>
      <c r="H394" t="s">
        <v>1436</v>
      </c>
      <c r="I394" t="s">
        <v>1608</v>
      </c>
      <c r="J394" s="41">
        <v>139.1</v>
      </c>
      <c r="K394" s="41">
        <v>0</v>
      </c>
      <c r="L394" s="41">
        <v>0</v>
      </c>
      <c r="M394" s="41">
        <v>139.1</v>
      </c>
      <c r="N394" s="41">
        <v>139.1</v>
      </c>
      <c r="O394" s="41">
        <v>0</v>
      </c>
      <c r="P394" t="s">
        <v>1660</v>
      </c>
      <c r="Q394" t="s">
        <v>1579</v>
      </c>
      <c r="R394" t="s">
        <v>1166</v>
      </c>
      <c r="S394" t="s">
        <v>1167</v>
      </c>
      <c r="T394" t="s">
        <v>1437</v>
      </c>
    </row>
    <row r="395" spans="1:20" x14ac:dyDescent="0.3">
      <c r="A395" t="s">
        <v>603</v>
      </c>
      <c r="B395" t="s">
        <v>1373</v>
      </c>
      <c r="C395" t="s">
        <v>974</v>
      </c>
      <c r="D395" t="s">
        <v>496</v>
      </c>
      <c r="E395" t="s">
        <v>1060</v>
      </c>
      <c r="F395" t="s">
        <v>947</v>
      </c>
      <c r="G395" t="s">
        <v>1061</v>
      </c>
      <c r="H395" t="s">
        <v>1436</v>
      </c>
      <c r="I395" t="s">
        <v>1406</v>
      </c>
      <c r="J395" s="41">
        <v>-540.91999999999996</v>
      </c>
      <c r="K395" s="41">
        <v>0</v>
      </c>
      <c r="L395" s="41">
        <v>0</v>
      </c>
      <c r="M395" s="41">
        <v>-540.91999999999996</v>
      </c>
      <c r="N395" s="41">
        <v>-540.91999999999996</v>
      </c>
      <c r="O395" s="41">
        <v>0</v>
      </c>
      <c r="P395" t="s">
        <v>1660</v>
      </c>
      <c r="Q395" t="s">
        <v>1569</v>
      </c>
      <c r="R395" t="s">
        <v>1166</v>
      </c>
      <c r="S395" t="s">
        <v>1167</v>
      </c>
      <c r="T395" t="s">
        <v>1437</v>
      </c>
    </row>
    <row r="396" spans="1:20" x14ac:dyDescent="0.3">
      <c r="A396" t="s">
        <v>603</v>
      </c>
      <c r="B396" t="s">
        <v>1373</v>
      </c>
      <c r="C396" t="s">
        <v>974</v>
      </c>
      <c r="D396" t="s">
        <v>496</v>
      </c>
      <c r="E396" t="s">
        <v>1060</v>
      </c>
      <c r="F396" t="s">
        <v>947</v>
      </c>
      <c r="G396" t="s">
        <v>1061</v>
      </c>
      <c r="H396" t="s">
        <v>1447</v>
      </c>
      <c r="I396" t="s">
        <v>1445</v>
      </c>
      <c r="J396" s="41">
        <v>122.93</v>
      </c>
      <c r="K396" s="41">
        <v>0</v>
      </c>
      <c r="L396" s="41">
        <v>0</v>
      </c>
      <c r="M396" s="41">
        <v>122.93</v>
      </c>
      <c r="N396" s="41">
        <v>122.93</v>
      </c>
      <c r="O396" s="41">
        <v>0</v>
      </c>
      <c r="P396" t="s">
        <v>1660</v>
      </c>
      <c r="Q396" t="s">
        <v>1570</v>
      </c>
      <c r="R396" t="s">
        <v>1166</v>
      </c>
      <c r="S396" t="s">
        <v>1167</v>
      </c>
      <c r="T396" t="s">
        <v>1448</v>
      </c>
    </row>
    <row r="397" spans="1:20" x14ac:dyDescent="0.3">
      <c r="A397" t="s">
        <v>603</v>
      </c>
      <c r="B397" t="s">
        <v>1373</v>
      </c>
      <c r="C397" t="s">
        <v>974</v>
      </c>
      <c r="D397" t="s">
        <v>496</v>
      </c>
      <c r="E397" t="s">
        <v>1060</v>
      </c>
      <c r="F397" t="s">
        <v>947</v>
      </c>
      <c r="G397" t="s">
        <v>1061</v>
      </c>
      <c r="H397" t="s">
        <v>1447</v>
      </c>
      <c r="I397" t="s">
        <v>1442</v>
      </c>
      <c r="J397" s="41">
        <v>56.7</v>
      </c>
      <c r="K397" s="41">
        <v>0</v>
      </c>
      <c r="L397" s="41">
        <v>0</v>
      </c>
      <c r="M397" s="41">
        <v>56.7</v>
      </c>
      <c r="N397" s="41">
        <v>56.7</v>
      </c>
      <c r="O397" s="41">
        <v>0</v>
      </c>
      <c r="P397" t="s">
        <v>1660</v>
      </c>
      <c r="Q397" t="s">
        <v>1571</v>
      </c>
      <c r="R397" t="s">
        <v>1166</v>
      </c>
      <c r="S397" t="s">
        <v>1167</v>
      </c>
      <c r="T397" t="s">
        <v>1448</v>
      </c>
    </row>
    <row r="398" spans="1:20" x14ac:dyDescent="0.3">
      <c r="A398" t="s">
        <v>603</v>
      </c>
      <c r="B398" t="s">
        <v>1373</v>
      </c>
      <c r="C398" t="s">
        <v>974</v>
      </c>
      <c r="D398" t="s">
        <v>496</v>
      </c>
      <c r="E398" t="s">
        <v>1060</v>
      </c>
      <c r="F398" t="s">
        <v>947</v>
      </c>
      <c r="G398" t="s">
        <v>1061</v>
      </c>
      <c r="H398" t="s">
        <v>1451</v>
      </c>
      <c r="I398" t="s">
        <v>1421</v>
      </c>
      <c r="J398" s="41">
        <v>3516.65</v>
      </c>
      <c r="K398" s="41">
        <v>637.33000000000004</v>
      </c>
      <c r="L398" s="41">
        <v>0</v>
      </c>
      <c r="M398" s="41">
        <v>4153.9799999999996</v>
      </c>
      <c r="N398" s="41">
        <v>4153.9799999999996</v>
      </c>
      <c r="O398" s="41">
        <v>637.33000000000004</v>
      </c>
      <c r="P398" t="s">
        <v>1660</v>
      </c>
      <c r="Q398" t="s">
        <v>1600</v>
      </c>
      <c r="R398" t="s">
        <v>1192</v>
      </c>
      <c r="S398" t="s">
        <v>1193</v>
      </c>
      <c r="T398" t="s">
        <v>1452</v>
      </c>
    </row>
    <row r="399" spans="1:20" x14ac:dyDescent="0.3">
      <c r="A399" t="s">
        <v>603</v>
      </c>
      <c r="B399" t="s">
        <v>1373</v>
      </c>
      <c r="C399" t="s">
        <v>974</v>
      </c>
      <c r="D399" t="s">
        <v>496</v>
      </c>
      <c r="E399" t="s">
        <v>1062</v>
      </c>
      <c r="F399" t="s">
        <v>947</v>
      </c>
      <c r="G399" t="s">
        <v>1063</v>
      </c>
      <c r="H399" t="s">
        <v>1216</v>
      </c>
      <c r="I399" t="s">
        <v>1609</v>
      </c>
      <c r="J399" s="41">
        <v>0</v>
      </c>
      <c r="K399" s="41">
        <v>150</v>
      </c>
      <c r="L399" s="41">
        <v>0</v>
      </c>
      <c r="M399" s="41">
        <v>150</v>
      </c>
      <c r="N399" s="41">
        <v>150</v>
      </c>
      <c r="O399" s="41">
        <v>150</v>
      </c>
      <c r="P399" t="s">
        <v>1660</v>
      </c>
      <c r="Q399" t="s">
        <v>1459</v>
      </c>
      <c r="R399" t="s">
        <v>1166</v>
      </c>
      <c r="S399" t="s">
        <v>1167</v>
      </c>
      <c r="T399" t="s">
        <v>1217</v>
      </c>
    </row>
    <row r="400" spans="1:20" x14ac:dyDescent="0.3">
      <c r="A400" t="s">
        <v>603</v>
      </c>
      <c r="B400" t="s">
        <v>1373</v>
      </c>
      <c r="C400" t="s">
        <v>974</v>
      </c>
      <c r="D400" t="s">
        <v>496</v>
      </c>
      <c r="E400" t="s">
        <v>1062</v>
      </c>
      <c r="F400" t="s">
        <v>947</v>
      </c>
      <c r="G400" t="s">
        <v>1063</v>
      </c>
      <c r="H400" t="s">
        <v>1331</v>
      </c>
      <c r="I400" t="s">
        <v>1454</v>
      </c>
      <c r="J400" s="41">
        <v>445</v>
      </c>
      <c r="K400" s="41">
        <v>0</v>
      </c>
      <c r="L400" s="41">
        <v>0</v>
      </c>
      <c r="M400" s="41">
        <v>445</v>
      </c>
      <c r="N400" s="41">
        <v>445</v>
      </c>
      <c r="O400" s="41">
        <v>0</v>
      </c>
      <c r="P400" t="s">
        <v>1660</v>
      </c>
      <c r="Q400" t="s">
        <v>1463</v>
      </c>
      <c r="R400" t="s">
        <v>1166</v>
      </c>
      <c r="S400" t="s">
        <v>1167</v>
      </c>
      <c r="T400" t="s">
        <v>1332</v>
      </c>
    </row>
    <row r="401" spans="1:20" x14ac:dyDescent="0.3">
      <c r="A401" t="s">
        <v>603</v>
      </c>
      <c r="B401" t="s">
        <v>1373</v>
      </c>
      <c r="C401" t="s">
        <v>974</v>
      </c>
      <c r="D401" t="s">
        <v>496</v>
      </c>
      <c r="E401" t="s">
        <v>1062</v>
      </c>
      <c r="F401" t="s">
        <v>947</v>
      </c>
      <c r="G401" t="s">
        <v>1063</v>
      </c>
      <c r="H401" t="s">
        <v>1588</v>
      </c>
      <c r="I401" t="s">
        <v>1610</v>
      </c>
      <c r="J401" s="41">
        <v>0</v>
      </c>
      <c r="K401" s="41">
        <v>2000</v>
      </c>
      <c r="L401" s="41">
        <v>0</v>
      </c>
      <c r="M401" s="41">
        <v>2000</v>
      </c>
      <c r="N401" s="41">
        <v>2000</v>
      </c>
      <c r="O401" s="41">
        <v>2000</v>
      </c>
      <c r="P401" t="s">
        <v>1660</v>
      </c>
      <c r="Q401" t="s">
        <v>1581</v>
      </c>
      <c r="R401" t="s">
        <v>1166</v>
      </c>
      <c r="S401" t="s">
        <v>1167</v>
      </c>
      <c r="T401" t="s">
        <v>1612</v>
      </c>
    </row>
    <row r="402" spans="1:20" x14ac:dyDescent="0.3">
      <c r="A402" t="s">
        <v>603</v>
      </c>
      <c r="B402" t="s">
        <v>1373</v>
      </c>
      <c r="C402" t="s">
        <v>974</v>
      </c>
      <c r="D402" t="s">
        <v>496</v>
      </c>
      <c r="E402" t="s">
        <v>1064</v>
      </c>
      <c r="F402" t="s">
        <v>947</v>
      </c>
      <c r="G402" t="s">
        <v>1065</v>
      </c>
      <c r="H402" t="s">
        <v>1222</v>
      </c>
      <c r="I402" t="s">
        <v>1456</v>
      </c>
      <c r="J402" s="41">
        <v>4024.05</v>
      </c>
      <c r="K402" s="41">
        <v>0</v>
      </c>
      <c r="L402" s="41">
        <v>0</v>
      </c>
      <c r="M402" s="41">
        <v>4024.05</v>
      </c>
      <c r="N402" s="41">
        <v>4024.05</v>
      </c>
      <c r="O402" s="41">
        <v>0</v>
      </c>
      <c r="P402" t="s">
        <v>1660</v>
      </c>
      <c r="Q402" t="s">
        <v>1473</v>
      </c>
      <c r="R402" t="s">
        <v>1166</v>
      </c>
      <c r="S402" t="s">
        <v>1167</v>
      </c>
      <c r="T402" t="s">
        <v>1223</v>
      </c>
    </row>
    <row r="403" spans="1:20" x14ac:dyDescent="0.3">
      <c r="A403" t="s">
        <v>603</v>
      </c>
      <c r="B403" t="s">
        <v>1373</v>
      </c>
      <c r="C403" t="s">
        <v>974</v>
      </c>
      <c r="D403" t="s">
        <v>496</v>
      </c>
      <c r="E403" t="s">
        <v>1069</v>
      </c>
      <c r="F403" t="s">
        <v>947</v>
      </c>
      <c r="G403" t="s">
        <v>1070</v>
      </c>
      <c r="H403" t="s">
        <v>1243</v>
      </c>
      <c r="I403" t="s">
        <v>1458</v>
      </c>
      <c r="J403" s="41">
        <v>225.35</v>
      </c>
      <c r="K403" s="41">
        <v>0</v>
      </c>
      <c r="L403" s="41">
        <v>0</v>
      </c>
      <c r="M403" s="41">
        <v>225.35</v>
      </c>
      <c r="N403" s="41">
        <v>225.35</v>
      </c>
      <c r="O403" s="41">
        <v>0</v>
      </c>
      <c r="P403" t="s">
        <v>1660</v>
      </c>
      <c r="Q403" t="s">
        <v>1477</v>
      </c>
      <c r="R403" t="s">
        <v>1166</v>
      </c>
      <c r="S403" t="s">
        <v>1193</v>
      </c>
      <c r="T403" t="s">
        <v>1244</v>
      </c>
    </row>
    <row r="404" spans="1:20" x14ac:dyDescent="0.3">
      <c r="A404" t="s">
        <v>603</v>
      </c>
      <c r="B404" t="s">
        <v>1373</v>
      </c>
      <c r="C404" t="s">
        <v>974</v>
      </c>
      <c r="D404" t="s">
        <v>496</v>
      </c>
      <c r="E404" t="s">
        <v>1069</v>
      </c>
      <c r="F404" t="s">
        <v>947</v>
      </c>
      <c r="G404" t="s">
        <v>1070</v>
      </c>
      <c r="H404" t="s">
        <v>1243</v>
      </c>
      <c r="I404" t="s">
        <v>1460</v>
      </c>
      <c r="J404" s="41">
        <v>191.4</v>
      </c>
      <c r="K404" s="41">
        <v>0</v>
      </c>
      <c r="L404" s="41">
        <v>0</v>
      </c>
      <c r="M404" s="41">
        <v>191.4</v>
      </c>
      <c r="N404" s="41">
        <v>191.4</v>
      </c>
      <c r="O404" s="41">
        <v>0</v>
      </c>
      <c r="P404" t="s">
        <v>1660</v>
      </c>
      <c r="Q404" t="s">
        <v>1482</v>
      </c>
      <c r="R404" t="s">
        <v>1166</v>
      </c>
      <c r="S404" t="s">
        <v>1193</v>
      </c>
      <c r="T404" t="s">
        <v>1244</v>
      </c>
    </row>
    <row r="405" spans="1:20" x14ac:dyDescent="0.3">
      <c r="A405" t="s">
        <v>603</v>
      </c>
      <c r="B405" t="s">
        <v>1373</v>
      </c>
      <c r="C405" t="s">
        <v>974</v>
      </c>
      <c r="D405" t="s">
        <v>496</v>
      </c>
      <c r="E405" t="s">
        <v>1069</v>
      </c>
      <c r="F405" t="s">
        <v>947</v>
      </c>
      <c r="G405" t="s">
        <v>1070</v>
      </c>
      <c r="H405" t="s">
        <v>1243</v>
      </c>
      <c r="I405" t="s">
        <v>1462</v>
      </c>
      <c r="J405" s="41">
        <v>32.1</v>
      </c>
      <c r="K405" s="41">
        <v>0</v>
      </c>
      <c r="L405" s="41">
        <v>0</v>
      </c>
      <c r="M405" s="41">
        <v>32.1</v>
      </c>
      <c r="N405" s="41">
        <v>32.1</v>
      </c>
      <c r="O405" s="41">
        <v>0</v>
      </c>
      <c r="P405" t="s">
        <v>1660</v>
      </c>
      <c r="Q405" t="s">
        <v>1582</v>
      </c>
      <c r="R405" t="s">
        <v>1166</v>
      </c>
      <c r="S405" t="s">
        <v>1193</v>
      </c>
      <c r="T405" t="s">
        <v>1244</v>
      </c>
    </row>
    <row r="406" spans="1:20" x14ac:dyDescent="0.3">
      <c r="A406" t="s">
        <v>603</v>
      </c>
      <c r="B406" t="s">
        <v>1373</v>
      </c>
      <c r="C406" t="s">
        <v>974</v>
      </c>
      <c r="D406" t="s">
        <v>496</v>
      </c>
      <c r="E406" t="s">
        <v>1069</v>
      </c>
      <c r="F406" t="s">
        <v>947</v>
      </c>
      <c r="G406" t="s">
        <v>1070</v>
      </c>
      <c r="H406" t="s">
        <v>1243</v>
      </c>
      <c r="I406" t="s">
        <v>1464</v>
      </c>
      <c r="J406" s="41">
        <v>80</v>
      </c>
      <c r="K406" s="41">
        <v>20</v>
      </c>
      <c r="L406" s="41">
        <v>0</v>
      </c>
      <c r="M406" s="41">
        <v>100</v>
      </c>
      <c r="N406" s="41">
        <v>100</v>
      </c>
      <c r="O406" s="41">
        <v>20</v>
      </c>
      <c r="P406" t="s">
        <v>1660</v>
      </c>
      <c r="Q406" t="s">
        <v>1484</v>
      </c>
      <c r="R406" t="s">
        <v>1166</v>
      </c>
      <c r="S406" t="s">
        <v>1193</v>
      </c>
      <c r="T406" t="s">
        <v>1244</v>
      </c>
    </row>
    <row r="407" spans="1:20" x14ac:dyDescent="0.3">
      <c r="A407" t="s">
        <v>603</v>
      </c>
      <c r="B407" t="s">
        <v>1373</v>
      </c>
      <c r="C407" t="s">
        <v>974</v>
      </c>
      <c r="D407" t="s">
        <v>496</v>
      </c>
      <c r="E407" t="s">
        <v>1069</v>
      </c>
      <c r="F407" t="s">
        <v>947</v>
      </c>
      <c r="G407" t="s">
        <v>1070</v>
      </c>
      <c r="H407" t="s">
        <v>1243</v>
      </c>
      <c r="I407" t="s">
        <v>1619</v>
      </c>
      <c r="J407" s="41">
        <v>7500</v>
      </c>
      <c r="K407" s="41">
        <v>0</v>
      </c>
      <c r="L407" s="41">
        <v>0</v>
      </c>
      <c r="M407" s="41">
        <v>7500</v>
      </c>
      <c r="N407" s="41">
        <v>7500</v>
      </c>
      <c r="O407" s="41">
        <v>0</v>
      </c>
      <c r="P407" t="s">
        <v>1660</v>
      </c>
      <c r="Q407" t="s">
        <v>1490</v>
      </c>
      <c r="R407" t="s">
        <v>1166</v>
      </c>
      <c r="S407" t="s">
        <v>1193</v>
      </c>
      <c r="T407" t="s">
        <v>1244</v>
      </c>
    </row>
    <row r="408" spans="1:20" x14ac:dyDescent="0.3">
      <c r="A408" t="s">
        <v>603</v>
      </c>
      <c r="B408" t="s">
        <v>1373</v>
      </c>
      <c r="C408" t="s">
        <v>974</v>
      </c>
      <c r="D408" t="s">
        <v>496</v>
      </c>
      <c r="E408" t="s">
        <v>1069</v>
      </c>
      <c r="F408" t="s">
        <v>947</v>
      </c>
      <c r="G408" t="s">
        <v>1070</v>
      </c>
      <c r="H408" t="s">
        <v>1243</v>
      </c>
      <c r="I408" t="s">
        <v>1466</v>
      </c>
      <c r="J408" s="41">
        <v>1027.2</v>
      </c>
      <c r="K408" s="41">
        <v>0</v>
      </c>
      <c r="L408" s="41">
        <v>0</v>
      </c>
      <c r="M408" s="41">
        <v>1027.2</v>
      </c>
      <c r="N408" s="41">
        <v>1027.2</v>
      </c>
      <c r="O408" s="41">
        <v>0</v>
      </c>
      <c r="P408" t="s">
        <v>1660</v>
      </c>
      <c r="Q408" t="s">
        <v>1492</v>
      </c>
      <c r="R408" t="s">
        <v>1166</v>
      </c>
      <c r="S408" t="s">
        <v>1193</v>
      </c>
      <c r="T408" t="s">
        <v>1244</v>
      </c>
    </row>
    <row r="409" spans="1:20" x14ac:dyDescent="0.3">
      <c r="A409" t="s">
        <v>603</v>
      </c>
      <c r="B409" t="s">
        <v>1373</v>
      </c>
      <c r="C409" t="s">
        <v>974</v>
      </c>
      <c r="D409" t="s">
        <v>496</v>
      </c>
      <c r="E409" t="s">
        <v>1069</v>
      </c>
      <c r="F409" t="s">
        <v>947</v>
      </c>
      <c r="G409" t="s">
        <v>1070</v>
      </c>
      <c r="H409" t="s">
        <v>1243</v>
      </c>
      <c r="I409" t="s">
        <v>1563</v>
      </c>
      <c r="J409" s="41">
        <v>191.53</v>
      </c>
      <c r="K409" s="41">
        <v>0</v>
      </c>
      <c r="L409" s="41">
        <v>0</v>
      </c>
      <c r="M409" s="41">
        <v>191.53</v>
      </c>
      <c r="N409" s="41">
        <v>191.53</v>
      </c>
      <c r="O409" s="41">
        <v>0</v>
      </c>
      <c r="P409" t="s">
        <v>1660</v>
      </c>
      <c r="Q409" t="s">
        <v>1493</v>
      </c>
      <c r="R409" t="s">
        <v>1166</v>
      </c>
      <c r="S409" t="s">
        <v>1193</v>
      </c>
      <c r="T409" t="s">
        <v>1244</v>
      </c>
    </row>
    <row r="410" spans="1:20" x14ac:dyDescent="0.3">
      <c r="A410" t="s">
        <v>603</v>
      </c>
      <c r="B410" t="s">
        <v>1373</v>
      </c>
      <c r="C410" t="s">
        <v>974</v>
      </c>
      <c r="D410" t="s">
        <v>496</v>
      </c>
      <c r="E410" t="s">
        <v>1071</v>
      </c>
      <c r="F410" t="s">
        <v>947</v>
      </c>
      <c r="G410" t="s">
        <v>1072</v>
      </c>
      <c r="H410" t="s">
        <v>1622</v>
      </c>
      <c r="I410" t="s">
        <v>1462</v>
      </c>
      <c r="J410" s="41">
        <v>153.6</v>
      </c>
      <c r="K410" s="41">
        <v>160.88</v>
      </c>
      <c r="L410" s="41">
        <v>0</v>
      </c>
      <c r="M410" s="41">
        <v>314.48</v>
      </c>
      <c r="N410" s="41">
        <v>314.48</v>
      </c>
      <c r="O410" s="41">
        <v>160.88</v>
      </c>
      <c r="P410" t="s">
        <v>1660</v>
      </c>
      <c r="Q410" t="s">
        <v>1496</v>
      </c>
      <c r="R410" t="s">
        <v>1166</v>
      </c>
      <c r="S410" t="s">
        <v>1167</v>
      </c>
      <c r="T410" t="s">
        <v>1623</v>
      </c>
    </row>
    <row r="411" spans="1:20" x14ac:dyDescent="0.3">
      <c r="A411" t="s">
        <v>603</v>
      </c>
      <c r="B411" t="s">
        <v>1373</v>
      </c>
      <c r="C411" t="s">
        <v>974</v>
      </c>
      <c r="D411" t="s">
        <v>496</v>
      </c>
      <c r="E411" t="s">
        <v>1073</v>
      </c>
      <c r="F411" t="s">
        <v>947</v>
      </c>
      <c r="G411" t="s">
        <v>1074</v>
      </c>
      <c r="H411" t="s">
        <v>1471</v>
      </c>
      <c r="I411" t="s">
        <v>1469</v>
      </c>
      <c r="J411" s="41">
        <v>57.32</v>
      </c>
      <c r="K411" s="41">
        <v>0</v>
      </c>
      <c r="L411" s="41">
        <v>0</v>
      </c>
      <c r="M411" s="41">
        <v>57.32</v>
      </c>
      <c r="N411" s="41">
        <v>57.32</v>
      </c>
      <c r="O411" s="41">
        <v>0</v>
      </c>
      <c r="P411" t="s">
        <v>1660</v>
      </c>
      <c r="Q411" t="s">
        <v>1500</v>
      </c>
      <c r="R411" t="s">
        <v>1166</v>
      </c>
      <c r="S411" t="s">
        <v>1167</v>
      </c>
      <c r="T411" t="s">
        <v>1472</v>
      </c>
    </row>
    <row r="412" spans="1:20" x14ac:dyDescent="0.3">
      <c r="A412" t="s">
        <v>603</v>
      </c>
      <c r="B412" t="s">
        <v>1373</v>
      </c>
      <c r="C412" t="s">
        <v>974</v>
      </c>
      <c r="D412" t="s">
        <v>496</v>
      </c>
      <c r="E412" t="s">
        <v>1077</v>
      </c>
      <c r="F412" t="s">
        <v>947</v>
      </c>
      <c r="G412" t="s">
        <v>1078</v>
      </c>
      <c r="H412" t="s">
        <v>576</v>
      </c>
      <c r="I412" t="s">
        <v>1474</v>
      </c>
      <c r="J412" s="41">
        <v>773.99</v>
      </c>
      <c r="K412" s="41">
        <v>0</v>
      </c>
      <c r="L412" s="41">
        <v>0</v>
      </c>
      <c r="M412" s="41">
        <v>773.99</v>
      </c>
      <c r="N412" s="41">
        <v>773.99</v>
      </c>
      <c r="O412" s="41">
        <v>0</v>
      </c>
      <c r="P412" t="s">
        <v>1660</v>
      </c>
      <c r="Q412" t="s">
        <v>1504</v>
      </c>
      <c r="R412" t="s">
        <v>1192</v>
      </c>
      <c r="S412" t="s">
        <v>1193</v>
      </c>
      <c r="T412" t="s">
        <v>1476</v>
      </c>
    </row>
    <row r="413" spans="1:20" x14ac:dyDescent="0.3">
      <c r="A413" t="s">
        <v>603</v>
      </c>
      <c r="B413" t="s">
        <v>1373</v>
      </c>
      <c r="C413" t="s">
        <v>974</v>
      </c>
      <c r="D413" t="s">
        <v>496</v>
      </c>
      <c r="E413" t="s">
        <v>1079</v>
      </c>
      <c r="F413" t="s">
        <v>947</v>
      </c>
      <c r="G413" t="s">
        <v>1080</v>
      </c>
      <c r="H413" t="s">
        <v>1480</v>
      </c>
      <c r="I413" t="s">
        <v>1425</v>
      </c>
      <c r="J413" s="41">
        <v>35.1</v>
      </c>
      <c r="K413" s="41">
        <v>0</v>
      </c>
      <c r="L413" s="41">
        <v>0</v>
      </c>
      <c r="M413" s="41">
        <v>35.1</v>
      </c>
      <c r="N413" s="41">
        <v>35.1</v>
      </c>
      <c r="O413" s="41">
        <v>0</v>
      </c>
      <c r="P413" t="s">
        <v>1660</v>
      </c>
      <c r="Q413" t="s">
        <v>1510</v>
      </c>
      <c r="R413" t="s">
        <v>1166</v>
      </c>
      <c r="S413" t="s">
        <v>1193</v>
      </c>
      <c r="T413" t="s">
        <v>1481</v>
      </c>
    </row>
    <row r="414" spans="1:20" x14ac:dyDescent="0.3">
      <c r="A414" t="s">
        <v>603</v>
      </c>
      <c r="B414" t="s">
        <v>1373</v>
      </c>
      <c r="C414" t="s">
        <v>974</v>
      </c>
      <c r="D414" t="s">
        <v>496</v>
      </c>
      <c r="E414" t="s">
        <v>1079</v>
      </c>
      <c r="F414" t="s">
        <v>947</v>
      </c>
      <c r="G414" t="s">
        <v>1080</v>
      </c>
      <c r="H414" t="s">
        <v>1480</v>
      </c>
      <c r="I414" t="s">
        <v>1483</v>
      </c>
      <c r="J414" s="41">
        <v>82.58</v>
      </c>
      <c r="K414" s="41">
        <v>0</v>
      </c>
      <c r="L414" s="41">
        <v>0</v>
      </c>
      <c r="M414" s="41">
        <v>82.58</v>
      </c>
      <c r="N414" s="41">
        <v>82.58</v>
      </c>
      <c r="O414" s="41">
        <v>0</v>
      </c>
      <c r="P414" t="s">
        <v>1660</v>
      </c>
      <c r="Q414" t="s">
        <v>1512</v>
      </c>
      <c r="R414" t="s">
        <v>1166</v>
      </c>
      <c r="S414" t="s">
        <v>1193</v>
      </c>
      <c r="T414" t="s">
        <v>1481</v>
      </c>
    </row>
    <row r="415" spans="1:20" x14ac:dyDescent="0.3">
      <c r="A415" t="s">
        <v>603</v>
      </c>
      <c r="B415" t="s">
        <v>1373</v>
      </c>
      <c r="C415" t="s">
        <v>974</v>
      </c>
      <c r="D415" t="s">
        <v>496</v>
      </c>
      <c r="E415" t="s">
        <v>1081</v>
      </c>
      <c r="F415" t="s">
        <v>947</v>
      </c>
      <c r="G415" t="s">
        <v>1082</v>
      </c>
      <c r="H415" t="s">
        <v>1488</v>
      </c>
      <c r="I415" t="s">
        <v>1486</v>
      </c>
      <c r="J415" s="41">
        <v>254.29</v>
      </c>
      <c r="K415" s="41">
        <v>0</v>
      </c>
      <c r="L415" s="41">
        <v>0</v>
      </c>
      <c r="M415" s="41">
        <v>254.29</v>
      </c>
      <c r="N415" s="41">
        <v>254.29</v>
      </c>
      <c r="O415" s="41">
        <v>0</v>
      </c>
      <c r="P415" t="s">
        <v>1660</v>
      </c>
      <c r="Q415" t="s">
        <v>1516</v>
      </c>
      <c r="R415" t="s">
        <v>1166</v>
      </c>
      <c r="S415" t="s">
        <v>1193</v>
      </c>
      <c r="T415" t="s">
        <v>1489</v>
      </c>
    </row>
    <row r="416" spans="1:20" x14ac:dyDescent="0.3">
      <c r="A416" t="s">
        <v>603</v>
      </c>
      <c r="B416" t="s">
        <v>1373</v>
      </c>
      <c r="C416" t="s">
        <v>974</v>
      </c>
      <c r="D416" t="s">
        <v>496</v>
      </c>
      <c r="E416" t="s">
        <v>1081</v>
      </c>
      <c r="F416" t="s">
        <v>947</v>
      </c>
      <c r="G416" t="s">
        <v>1082</v>
      </c>
      <c r="H416" t="s">
        <v>1488</v>
      </c>
      <c r="I416" t="s">
        <v>1491</v>
      </c>
      <c r="J416" s="41">
        <v>63.15</v>
      </c>
      <c r="K416" s="41">
        <v>0</v>
      </c>
      <c r="L416" s="41">
        <v>0</v>
      </c>
      <c r="M416" s="41">
        <v>63.15</v>
      </c>
      <c r="N416" s="41">
        <v>63.15</v>
      </c>
      <c r="O416" s="41">
        <v>0</v>
      </c>
      <c r="P416" t="s">
        <v>1660</v>
      </c>
      <c r="Q416" t="s">
        <v>1518</v>
      </c>
      <c r="R416" t="s">
        <v>1166</v>
      </c>
      <c r="S416" t="s">
        <v>1193</v>
      </c>
      <c r="T416" t="s">
        <v>1489</v>
      </c>
    </row>
    <row r="417" spans="1:20" x14ac:dyDescent="0.3">
      <c r="A417" t="s">
        <v>603</v>
      </c>
      <c r="B417" t="s">
        <v>1373</v>
      </c>
      <c r="C417" t="s">
        <v>974</v>
      </c>
      <c r="D417" t="s">
        <v>496</v>
      </c>
      <c r="E417" t="s">
        <v>1081</v>
      </c>
      <c r="F417" t="s">
        <v>947</v>
      </c>
      <c r="G417" t="s">
        <v>1082</v>
      </c>
      <c r="H417" t="s">
        <v>1488</v>
      </c>
      <c r="I417" t="s">
        <v>1491</v>
      </c>
      <c r="J417" s="41">
        <v>55.93</v>
      </c>
      <c r="K417" s="41">
        <v>0</v>
      </c>
      <c r="L417" s="41">
        <v>0</v>
      </c>
      <c r="M417" s="41">
        <v>55.93</v>
      </c>
      <c r="N417" s="41">
        <v>55.93</v>
      </c>
      <c r="O417" s="41">
        <v>0</v>
      </c>
      <c r="P417" t="s">
        <v>1660</v>
      </c>
      <c r="Q417" t="s">
        <v>1624</v>
      </c>
      <c r="R417" t="s">
        <v>1166</v>
      </c>
      <c r="S417" t="s">
        <v>1193</v>
      </c>
      <c r="T417" t="s">
        <v>1489</v>
      </c>
    </row>
    <row r="418" spans="1:20" x14ac:dyDescent="0.3">
      <c r="A418" t="s">
        <v>603</v>
      </c>
      <c r="B418" t="s">
        <v>1373</v>
      </c>
      <c r="C418" t="s">
        <v>974</v>
      </c>
      <c r="D418" t="s">
        <v>496</v>
      </c>
      <c r="E418" t="s">
        <v>1081</v>
      </c>
      <c r="F418" t="s">
        <v>947</v>
      </c>
      <c r="G418" t="s">
        <v>1082</v>
      </c>
      <c r="H418" t="s">
        <v>1488</v>
      </c>
      <c r="I418" t="s">
        <v>1405</v>
      </c>
      <c r="J418" s="41">
        <v>145.96</v>
      </c>
      <c r="K418" s="41">
        <v>0</v>
      </c>
      <c r="L418" s="41">
        <v>0</v>
      </c>
      <c r="M418" s="41">
        <v>145.96</v>
      </c>
      <c r="N418" s="41">
        <v>145.96</v>
      </c>
      <c r="O418" s="41">
        <v>0</v>
      </c>
      <c r="P418" t="s">
        <v>1660</v>
      </c>
      <c r="Q418" t="s">
        <v>1520</v>
      </c>
      <c r="R418" t="s">
        <v>1166</v>
      </c>
      <c r="S418" t="s">
        <v>1193</v>
      </c>
      <c r="T418" t="s">
        <v>1489</v>
      </c>
    </row>
    <row r="419" spans="1:20" x14ac:dyDescent="0.3">
      <c r="A419" t="s">
        <v>603</v>
      </c>
      <c r="B419" t="s">
        <v>1373</v>
      </c>
      <c r="C419" t="s">
        <v>974</v>
      </c>
      <c r="D419" t="s">
        <v>496</v>
      </c>
      <c r="E419" t="s">
        <v>1081</v>
      </c>
      <c r="F419" t="s">
        <v>947</v>
      </c>
      <c r="G419" t="s">
        <v>1082</v>
      </c>
      <c r="H419" t="s">
        <v>1488</v>
      </c>
      <c r="I419" t="s">
        <v>1495</v>
      </c>
      <c r="J419" s="41">
        <v>92.97</v>
      </c>
      <c r="K419" s="41">
        <v>0</v>
      </c>
      <c r="L419" s="41">
        <v>0</v>
      </c>
      <c r="M419" s="41">
        <v>92.97</v>
      </c>
      <c r="N419" s="41">
        <v>92.97</v>
      </c>
      <c r="O419" s="41">
        <v>0</v>
      </c>
      <c r="P419" t="s">
        <v>1660</v>
      </c>
      <c r="Q419" t="s">
        <v>1525</v>
      </c>
      <c r="R419" t="s">
        <v>1166</v>
      </c>
      <c r="S419" t="s">
        <v>1193</v>
      </c>
      <c r="T419" t="s">
        <v>1489</v>
      </c>
    </row>
    <row r="420" spans="1:20" x14ac:dyDescent="0.3">
      <c r="A420" t="s">
        <v>603</v>
      </c>
      <c r="B420" t="s">
        <v>1373</v>
      </c>
      <c r="C420" t="s">
        <v>974</v>
      </c>
      <c r="D420" t="s">
        <v>496</v>
      </c>
      <c r="E420" t="s">
        <v>1081</v>
      </c>
      <c r="F420" t="s">
        <v>947</v>
      </c>
      <c r="G420" t="s">
        <v>1082</v>
      </c>
      <c r="H420" t="s">
        <v>1488</v>
      </c>
      <c r="I420" t="s">
        <v>1497</v>
      </c>
      <c r="J420" s="41">
        <v>122.49</v>
      </c>
      <c r="K420" s="41">
        <v>0</v>
      </c>
      <c r="L420" s="41">
        <v>0</v>
      </c>
      <c r="M420" s="41">
        <v>122.49</v>
      </c>
      <c r="N420" s="41">
        <v>122.49</v>
      </c>
      <c r="O420" s="41">
        <v>0</v>
      </c>
      <c r="P420" t="s">
        <v>1660</v>
      </c>
      <c r="Q420" t="s">
        <v>1625</v>
      </c>
      <c r="R420" t="s">
        <v>1166</v>
      </c>
      <c r="S420" t="s">
        <v>1193</v>
      </c>
      <c r="T420" t="s">
        <v>1489</v>
      </c>
    </row>
    <row r="421" spans="1:20" x14ac:dyDescent="0.3">
      <c r="A421" t="s">
        <v>603</v>
      </c>
      <c r="B421" t="s">
        <v>1373</v>
      </c>
      <c r="C421" t="s">
        <v>974</v>
      </c>
      <c r="D421" t="s">
        <v>496</v>
      </c>
      <c r="E421" t="s">
        <v>1081</v>
      </c>
      <c r="F421" t="s">
        <v>947</v>
      </c>
      <c r="G421" t="s">
        <v>1082</v>
      </c>
      <c r="H421" t="s">
        <v>1488</v>
      </c>
      <c r="I421" t="s">
        <v>1499</v>
      </c>
      <c r="J421" s="41">
        <v>184.6</v>
      </c>
      <c r="K421" s="41">
        <v>232.55</v>
      </c>
      <c r="L421" s="41">
        <v>0</v>
      </c>
      <c r="M421" s="41">
        <v>417.15</v>
      </c>
      <c r="N421" s="41">
        <v>417.15</v>
      </c>
      <c r="O421" s="41">
        <v>232.55</v>
      </c>
      <c r="P421" t="s">
        <v>1660</v>
      </c>
      <c r="Q421" t="s">
        <v>1626</v>
      </c>
      <c r="R421" t="s">
        <v>1166</v>
      </c>
      <c r="S421" t="s">
        <v>1193</v>
      </c>
      <c r="T421" t="s">
        <v>1489</v>
      </c>
    </row>
    <row r="422" spans="1:20" x14ac:dyDescent="0.3">
      <c r="A422" t="s">
        <v>603</v>
      </c>
      <c r="B422" t="s">
        <v>1373</v>
      </c>
      <c r="C422" t="s">
        <v>974</v>
      </c>
      <c r="D422" t="s">
        <v>496</v>
      </c>
      <c r="E422" t="s">
        <v>1081</v>
      </c>
      <c r="F422" t="s">
        <v>947</v>
      </c>
      <c r="G422" t="s">
        <v>1082</v>
      </c>
      <c r="H422" t="s">
        <v>1488</v>
      </c>
      <c r="I422" t="s">
        <v>1501</v>
      </c>
      <c r="J422" s="41">
        <v>80.39</v>
      </c>
      <c r="K422" s="41">
        <v>0</v>
      </c>
      <c r="L422" s="41">
        <v>0</v>
      </c>
      <c r="M422" s="41">
        <v>80.39</v>
      </c>
      <c r="N422" s="41">
        <v>80.39</v>
      </c>
      <c r="O422" s="41">
        <v>0</v>
      </c>
      <c r="P422" t="s">
        <v>1660</v>
      </c>
      <c r="Q422" t="s">
        <v>1627</v>
      </c>
      <c r="R422" t="s">
        <v>1166</v>
      </c>
      <c r="S422" t="s">
        <v>1193</v>
      </c>
      <c r="T422" t="s">
        <v>1489</v>
      </c>
    </row>
    <row r="423" spans="1:20" x14ac:dyDescent="0.3">
      <c r="A423" t="s">
        <v>603</v>
      </c>
      <c r="B423" t="s">
        <v>1373</v>
      </c>
      <c r="C423" t="s">
        <v>974</v>
      </c>
      <c r="D423" t="s">
        <v>496</v>
      </c>
      <c r="E423" t="s">
        <v>1081</v>
      </c>
      <c r="F423" t="s">
        <v>947</v>
      </c>
      <c r="G423" t="s">
        <v>1082</v>
      </c>
      <c r="H423" t="s">
        <v>1488</v>
      </c>
      <c r="I423" t="s">
        <v>1503</v>
      </c>
      <c r="J423" s="41">
        <v>214.32</v>
      </c>
      <c r="K423" s="41">
        <v>0</v>
      </c>
      <c r="L423" s="41">
        <v>0</v>
      </c>
      <c r="M423" s="41">
        <v>214.32</v>
      </c>
      <c r="N423" s="41">
        <v>214.32</v>
      </c>
      <c r="O423" s="41">
        <v>0</v>
      </c>
      <c r="P423" t="s">
        <v>1660</v>
      </c>
      <c r="Q423" t="s">
        <v>1527</v>
      </c>
      <c r="R423" t="s">
        <v>1166</v>
      </c>
      <c r="S423" t="s">
        <v>1193</v>
      </c>
      <c r="T423" t="s">
        <v>1489</v>
      </c>
    </row>
    <row r="424" spans="1:20" x14ac:dyDescent="0.3">
      <c r="A424" t="s">
        <v>603</v>
      </c>
      <c r="B424" t="s">
        <v>1373</v>
      </c>
      <c r="C424" t="s">
        <v>974</v>
      </c>
      <c r="D424" t="s">
        <v>496</v>
      </c>
      <c r="E424" t="s">
        <v>1081</v>
      </c>
      <c r="F424" t="s">
        <v>947</v>
      </c>
      <c r="G424" t="s">
        <v>1082</v>
      </c>
      <c r="H424" t="s">
        <v>1488</v>
      </c>
      <c r="I424" t="s">
        <v>1505</v>
      </c>
      <c r="J424" s="41">
        <v>177.68</v>
      </c>
      <c r="K424" s="41">
        <v>106.93</v>
      </c>
      <c r="L424" s="41">
        <v>0</v>
      </c>
      <c r="M424" s="41">
        <v>284.61</v>
      </c>
      <c r="N424" s="41">
        <v>284.61</v>
      </c>
      <c r="O424" s="41">
        <v>106.93</v>
      </c>
      <c r="P424" t="s">
        <v>1660</v>
      </c>
      <c r="Q424" t="s">
        <v>1533</v>
      </c>
      <c r="R424" t="s">
        <v>1166</v>
      </c>
      <c r="S424" t="s">
        <v>1193</v>
      </c>
      <c r="T424" t="s">
        <v>1489</v>
      </c>
    </row>
    <row r="425" spans="1:20" x14ac:dyDescent="0.3">
      <c r="A425" t="s">
        <v>603</v>
      </c>
      <c r="B425" t="s">
        <v>1373</v>
      </c>
      <c r="C425" t="s">
        <v>974</v>
      </c>
      <c r="D425" t="s">
        <v>496</v>
      </c>
      <c r="E425" t="s">
        <v>1081</v>
      </c>
      <c r="F425" t="s">
        <v>947</v>
      </c>
      <c r="G425" t="s">
        <v>1082</v>
      </c>
      <c r="H425" t="s">
        <v>1488</v>
      </c>
      <c r="I425" t="s">
        <v>1507</v>
      </c>
      <c r="J425" s="41">
        <v>248</v>
      </c>
      <c r="K425" s="41">
        <v>124.46</v>
      </c>
      <c r="L425" s="41">
        <v>0</v>
      </c>
      <c r="M425" s="41">
        <v>372.46</v>
      </c>
      <c r="N425" s="41">
        <v>372.46</v>
      </c>
      <c r="O425" s="41">
        <v>124.46</v>
      </c>
      <c r="P425" t="s">
        <v>1660</v>
      </c>
      <c r="Q425" t="s">
        <v>1628</v>
      </c>
      <c r="R425" t="s">
        <v>1166</v>
      </c>
      <c r="S425" t="s">
        <v>1193</v>
      </c>
      <c r="T425" t="s">
        <v>1489</v>
      </c>
    </row>
    <row r="426" spans="1:20" x14ac:dyDescent="0.3">
      <c r="A426" t="s">
        <v>603</v>
      </c>
      <c r="B426" t="s">
        <v>1373</v>
      </c>
      <c r="C426" t="s">
        <v>974</v>
      </c>
      <c r="D426" t="s">
        <v>496</v>
      </c>
      <c r="E426" t="s">
        <v>1081</v>
      </c>
      <c r="F426" t="s">
        <v>947</v>
      </c>
      <c r="G426" t="s">
        <v>1082</v>
      </c>
      <c r="H426" t="s">
        <v>1488</v>
      </c>
      <c r="I426" t="s">
        <v>1509</v>
      </c>
      <c r="J426" s="41">
        <v>30.09</v>
      </c>
      <c r="K426" s="41">
        <v>0</v>
      </c>
      <c r="L426" s="41">
        <v>0</v>
      </c>
      <c r="M426" s="41">
        <v>30.09</v>
      </c>
      <c r="N426" s="41">
        <v>30.09</v>
      </c>
      <c r="O426" s="41">
        <v>0</v>
      </c>
      <c r="P426" t="s">
        <v>1660</v>
      </c>
      <c r="Q426" t="s">
        <v>1629</v>
      </c>
      <c r="R426" t="s">
        <v>1166</v>
      </c>
      <c r="S426" t="s">
        <v>1193</v>
      </c>
      <c r="T426" t="s">
        <v>1489</v>
      </c>
    </row>
    <row r="427" spans="1:20" x14ac:dyDescent="0.3">
      <c r="A427" t="s">
        <v>603</v>
      </c>
      <c r="B427" t="s">
        <v>1373</v>
      </c>
      <c r="C427" t="s">
        <v>974</v>
      </c>
      <c r="D427" t="s">
        <v>496</v>
      </c>
      <c r="E427" t="s">
        <v>1081</v>
      </c>
      <c r="F427" t="s">
        <v>947</v>
      </c>
      <c r="G427" t="s">
        <v>1082</v>
      </c>
      <c r="H427" t="s">
        <v>1488</v>
      </c>
      <c r="I427" t="s">
        <v>1511</v>
      </c>
      <c r="J427" s="41">
        <v>182.88</v>
      </c>
      <c r="K427" s="41">
        <v>0</v>
      </c>
      <c r="L427" s="41">
        <v>0</v>
      </c>
      <c r="M427" s="41">
        <v>182.88</v>
      </c>
      <c r="N427" s="41">
        <v>182.88</v>
      </c>
      <c r="O427" s="41">
        <v>0</v>
      </c>
      <c r="P427" t="s">
        <v>1660</v>
      </c>
      <c r="Q427" t="s">
        <v>1534</v>
      </c>
      <c r="R427" t="s">
        <v>1166</v>
      </c>
      <c r="S427" t="s">
        <v>1193</v>
      </c>
      <c r="T427" t="s">
        <v>1489</v>
      </c>
    </row>
    <row r="428" spans="1:20" x14ac:dyDescent="0.3">
      <c r="A428" t="s">
        <v>603</v>
      </c>
      <c r="B428" t="s">
        <v>1373</v>
      </c>
      <c r="C428" t="s">
        <v>974</v>
      </c>
      <c r="D428" t="s">
        <v>496</v>
      </c>
      <c r="E428" t="s">
        <v>1081</v>
      </c>
      <c r="F428" t="s">
        <v>947</v>
      </c>
      <c r="G428" t="s">
        <v>1082</v>
      </c>
      <c r="H428" t="s">
        <v>1488</v>
      </c>
      <c r="I428" t="s">
        <v>1513</v>
      </c>
      <c r="J428" s="41">
        <v>7.03</v>
      </c>
      <c r="K428" s="41">
        <v>0</v>
      </c>
      <c r="L428" s="41">
        <v>0</v>
      </c>
      <c r="M428" s="41">
        <v>7.03</v>
      </c>
      <c r="N428" s="41">
        <v>7.03</v>
      </c>
      <c r="O428" s="41">
        <v>0</v>
      </c>
      <c r="P428" t="s">
        <v>1660</v>
      </c>
      <c r="Q428" t="s">
        <v>1630</v>
      </c>
      <c r="R428" t="s">
        <v>1166</v>
      </c>
      <c r="S428" t="s">
        <v>1193</v>
      </c>
      <c r="T428" t="s">
        <v>1489</v>
      </c>
    </row>
    <row r="429" spans="1:20" x14ac:dyDescent="0.3">
      <c r="A429" t="s">
        <v>603</v>
      </c>
      <c r="B429" t="s">
        <v>1373</v>
      </c>
      <c r="C429" t="s">
        <v>974</v>
      </c>
      <c r="D429" t="s">
        <v>496</v>
      </c>
      <c r="E429" t="s">
        <v>1081</v>
      </c>
      <c r="F429" t="s">
        <v>947</v>
      </c>
      <c r="G429" t="s">
        <v>1082</v>
      </c>
      <c r="H429" t="s">
        <v>1488</v>
      </c>
      <c r="I429" t="s">
        <v>1515</v>
      </c>
      <c r="J429" s="41">
        <v>127.26</v>
      </c>
      <c r="K429" s="41">
        <v>171.99</v>
      </c>
      <c r="L429" s="41">
        <v>0</v>
      </c>
      <c r="M429" s="41">
        <v>299.25</v>
      </c>
      <c r="N429" s="41">
        <v>299.25</v>
      </c>
      <c r="O429" s="41">
        <v>171.99</v>
      </c>
      <c r="P429" t="s">
        <v>1660</v>
      </c>
      <c r="Q429" t="s">
        <v>1536</v>
      </c>
      <c r="R429" t="s">
        <v>1166</v>
      </c>
      <c r="S429" t="s">
        <v>1193</v>
      </c>
      <c r="T429" t="s">
        <v>1489</v>
      </c>
    </row>
    <row r="430" spans="1:20" x14ac:dyDescent="0.3">
      <c r="A430" t="s">
        <v>603</v>
      </c>
      <c r="B430" t="s">
        <v>1373</v>
      </c>
      <c r="C430" t="s">
        <v>974</v>
      </c>
      <c r="D430" t="s">
        <v>496</v>
      </c>
      <c r="E430" t="s">
        <v>1081</v>
      </c>
      <c r="F430" t="s">
        <v>947</v>
      </c>
      <c r="G430" t="s">
        <v>1082</v>
      </c>
      <c r="H430" t="s">
        <v>1488</v>
      </c>
      <c r="I430" t="s">
        <v>1517</v>
      </c>
      <c r="J430" s="41">
        <v>27.93</v>
      </c>
      <c r="K430" s="41">
        <v>0</v>
      </c>
      <c r="L430" s="41">
        <v>0</v>
      </c>
      <c r="M430" s="41">
        <v>27.93</v>
      </c>
      <c r="N430" s="41">
        <v>27.93</v>
      </c>
      <c r="O430" s="41">
        <v>0</v>
      </c>
      <c r="P430" t="s">
        <v>1660</v>
      </c>
      <c r="Q430" t="s">
        <v>1631</v>
      </c>
      <c r="R430" t="s">
        <v>1166</v>
      </c>
      <c r="S430" t="s">
        <v>1193</v>
      </c>
      <c r="T430" t="s">
        <v>1489</v>
      </c>
    </row>
    <row r="431" spans="1:20" x14ac:dyDescent="0.3">
      <c r="A431" t="s">
        <v>603</v>
      </c>
      <c r="B431" t="s">
        <v>1373</v>
      </c>
      <c r="C431" t="s">
        <v>974</v>
      </c>
      <c r="D431" t="s">
        <v>496</v>
      </c>
      <c r="E431" t="s">
        <v>1081</v>
      </c>
      <c r="F431" t="s">
        <v>947</v>
      </c>
      <c r="G431" t="s">
        <v>1082</v>
      </c>
      <c r="H431" t="s">
        <v>1488</v>
      </c>
      <c r="I431" t="s">
        <v>1519</v>
      </c>
      <c r="J431" s="41">
        <v>72.540000000000006</v>
      </c>
      <c r="K431" s="41">
        <v>0</v>
      </c>
      <c r="L431" s="41">
        <v>0</v>
      </c>
      <c r="M431" s="41">
        <v>72.540000000000006</v>
      </c>
      <c r="N431" s="41">
        <v>72.540000000000006</v>
      </c>
      <c r="O431" s="41">
        <v>0</v>
      </c>
      <c r="P431" t="s">
        <v>1660</v>
      </c>
      <c r="Q431" t="s">
        <v>1632</v>
      </c>
      <c r="R431" t="s">
        <v>1166</v>
      </c>
      <c r="S431" t="s">
        <v>1193</v>
      </c>
      <c r="T431" t="s">
        <v>1489</v>
      </c>
    </row>
    <row r="432" spans="1:20" x14ac:dyDescent="0.3">
      <c r="A432" t="s">
        <v>603</v>
      </c>
      <c r="B432" t="s">
        <v>1373</v>
      </c>
      <c r="C432" t="s">
        <v>974</v>
      </c>
      <c r="D432" t="s">
        <v>496</v>
      </c>
      <c r="E432" t="s">
        <v>1081</v>
      </c>
      <c r="F432" t="s">
        <v>947</v>
      </c>
      <c r="G432" t="s">
        <v>1082</v>
      </c>
      <c r="H432" t="s">
        <v>1488</v>
      </c>
      <c r="I432" t="s">
        <v>1636</v>
      </c>
      <c r="J432" s="41">
        <v>236.25</v>
      </c>
      <c r="K432" s="41">
        <v>240.29</v>
      </c>
      <c r="L432" s="41">
        <v>0</v>
      </c>
      <c r="M432" s="41">
        <v>476.54</v>
      </c>
      <c r="N432" s="41">
        <v>476.54</v>
      </c>
      <c r="O432" s="41">
        <v>240.29</v>
      </c>
      <c r="P432" t="s">
        <v>1660</v>
      </c>
      <c r="Q432" t="s">
        <v>1634</v>
      </c>
      <c r="R432" t="s">
        <v>1166</v>
      </c>
      <c r="S432" t="s">
        <v>1193</v>
      </c>
      <c r="T432" t="s">
        <v>1489</v>
      </c>
    </row>
    <row r="433" spans="1:20" x14ac:dyDescent="0.3">
      <c r="A433" t="s">
        <v>603</v>
      </c>
      <c r="B433" t="s">
        <v>1373</v>
      </c>
      <c r="C433" t="s">
        <v>974</v>
      </c>
      <c r="D433" t="s">
        <v>496</v>
      </c>
      <c r="E433" t="s">
        <v>1081</v>
      </c>
      <c r="F433" t="s">
        <v>947</v>
      </c>
      <c r="G433" t="s">
        <v>1082</v>
      </c>
      <c r="H433" t="s">
        <v>1488</v>
      </c>
      <c r="I433" t="s">
        <v>1637</v>
      </c>
      <c r="J433" s="41">
        <v>259.2</v>
      </c>
      <c r="K433" s="41">
        <v>0</v>
      </c>
      <c r="L433" s="41">
        <v>0</v>
      </c>
      <c r="M433" s="41">
        <v>259.2</v>
      </c>
      <c r="N433" s="41">
        <v>259.2</v>
      </c>
      <c r="O433" s="41">
        <v>0</v>
      </c>
      <c r="P433" t="s">
        <v>1660</v>
      </c>
      <c r="Q433" t="s">
        <v>1540</v>
      </c>
      <c r="R433" t="s">
        <v>1166</v>
      </c>
      <c r="S433" t="s">
        <v>1193</v>
      </c>
      <c r="T433" t="s">
        <v>1489</v>
      </c>
    </row>
    <row r="434" spans="1:20" x14ac:dyDescent="0.3">
      <c r="A434" t="s">
        <v>603</v>
      </c>
      <c r="B434" t="s">
        <v>1373</v>
      </c>
      <c r="C434" t="s">
        <v>974</v>
      </c>
      <c r="D434" t="s">
        <v>496</v>
      </c>
      <c r="E434" t="s">
        <v>1081</v>
      </c>
      <c r="F434" t="s">
        <v>947</v>
      </c>
      <c r="G434" t="s">
        <v>1082</v>
      </c>
      <c r="H434" t="s">
        <v>1488</v>
      </c>
      <c r="I434" t="s">
        <v>1638</v>
      </c>
      <c r="J434" s="41">
        <v>0</v>
      </c>
      <c r="K434" s="41">
        <v>237.15</v>
      </c>
      <c r="L434" s="41">
        <v>0</v>
      </c>
      <c r="M434" s="41">
        <v>237.15</v>
      </c>
      <c r="N434" s="41">
        <v>237.15</v>
      </c>
      <c r="O434" s="41">
        <v>237.15</v>
      </c>
      <c r="P434" t="s">
        <v>1660</v>
      </c>
      <c r="Q434" t="s">
        <v>1542</v>
      </c>
      <c r="R434" t="s">
        <v>1166</v>
      </c>
      <c r="S434" t="s">
        <v>1193</v>
      </c>
      <c r="T434" t="s">
        <v>1489</v>
      </c>
    </row>
    <row r="435" spans="1:20" x14ac:dyDescent="0.3">
      <c r="A435" t="s">
        <v>603</v>
      </c>
      <c r="B435" t="s">
        <v>1373</v>
      </c>
      <c r="C435" t="s">
        <v>974</v>
      </c>
      <c r="D435" t="s">
        <v>496</v>
      </c>
      <c r="E435" t="s">
        <v>1083</v>
      </c>
      <c r="F435" t="s">
        <v>947</v>
      </c>
      <c r="G435" t="s">
        <v>1084</v>
      </c>
      <c r="H435" t="s">
        <v>1524</v>
      </c>
      <c r="I435" t="s">
        <v>1522</v>
      </c>
      <c r="J435" s="41">
        <v>10</v>
      </c>
      <c r="K435" s="41">
        <v>0</v>
      </c>
      <c r="L435" s="41">
        <v>0</v>
      </c>
      <c r="M435" s="41">
        <v>10</v>
      </c>
      <c r="N435" s="41">
        <v>10</v>
      </c>
      <c r="O435" s="41">
        <v>0</v>
      </c>
      <c r="P435" t="s">
        <v>1660</v>
      </c>
      <c r="Q435" t="s">
        <v>1543</v>
      </c>
      <c r="R435" t="s">
        <v>1166</v>
      </c>
      <c r="S435" t="s">
        <v>1167</v>
      </c>
      <c r="T435" t="s">
        <v>1524</v>
      </c>
    </row>
    <row r="436" spans="1:20" x14ac:dyDescent="0.3">
      <c r="A436" t="s">
        <v>603</v>
      </c>
      <c r="B436" t="s">
        <v>1373</v>
      </c>
      <c r="C436" t="s">
        <v>974</v>
      </c>
      <c r="D436" t="s">
        <v>496</v>
      </c>
      <c r="E436" t="s">
        <v>1083</v>
      </c>
      <c r="F436" t="s">
        <v>947</v>
      </c>
      <c r="G436" t="s">
        <v>1084</v>
      </c>
      <c r="H436" t="s">
        <v>1524</v>
      </c>
      <c r="I436" t="s">
        <v>1526</v>
      </c>
      <c r="J436" s="41">
        <v>12.75</v>
      </c>
      <c r="K436" s="41">
        <v>0</v>
      </c>
      <c r="L436" s="41">
        <v>0</v>
      </c>
      <c r="M436" s="41">
        <v>12.75</v>
      </c>
      <c r="N436" s="41">
        <v>12.75</v>
      </c>
      <c r="O436" s="41">
        <v>0</v>
      </c>
      <c r="P436" t="s">
        <v>1660</v>
      </c>
      <c r="Q436" t="s">
        <v>1549</v>
      </c>
      <c r="R436" t="s">
        <v>1166</v>
      </c>
      <c r="S436" t="s">
        <v>1167</v>
      </c>
      <c r="T436" t="s">
        <v>1524</v>
      </c>
    </row>
    <row r="437" spans="1:20" x14ac:dyDescent="0.3">
      <c r="A437" t="s">
        <v>603</v>
      </c>
      <c r="B437" t="s">
        <v>1373</v>
      </c>
      <c r="C437" t="s">
        <v>974</v>
      </c>
      <c r="D437" t="s">
        <v>496</v>
      </c>
      <c r="E437" t="s">
        <v>1083</v>
      </c>
      <c r="F437" t="s">
        <v>947</v>
      </c>
      <c r="G437" t="s">
        <v>1084</v>
      </c>
      <c r="H437" t="s">
        <v>1524</v>
      </c>
      <c r="I437" t="s">
        <v>1642</v>
      </c>
      <c r="J437" s="41">
        <v>0</v>
      </c>
      <c r="K437" s="41">
        <v>35</v>
      </c>
      <c r="L437" s="41">
        <v>0</v>
      </c>
      <c r="M437" s="41">
        <v>35</v>
      </c>
      <c r="N437" s="41">
        <v>35</v>
      </c>
      <c r="O437" s="41">
        <v>35</v>
      </c>
      <c r="P437" t="s">
        <v>1660</v>
      </c>
      <c r="Q437" t="s">
        <v>1550</v>
      </c>
      <c r="R437" t="s">
        <v>1166</v>
      </c>
      <c r="S437" t="s">
        <v>1167</v>
      </c>
      <c r="T437" t="s">
        <v>1524</v>
      </c>
    </row>
    <row r="438" spans="1:20" x14ac:dyDescent="0.3">
      <c r="A438" t="s">
        <v>603</v>
      </c>
      <c r="B438" t="s">
        <v>1373</v>
      </c>
      <c r="C438" t="s">
        <v>974</v>
      </c>
      <c r="D438" t="s">
        <v>496</v>
      </c>
      <c r="E438" t="s">
        <v>1062</v>
      </c>
      <c r="F438" t="s">
        <v>947</v>
      </c>
      <c r="G438" t="s">
        <v>1063</v>
      </c>
      <c r="H438" t="s">
        <v>1531</v>
      </c>
      <c r="I438" t="s">
        <v>1529</v>
      </c>
      <c r="J438" s="41">
        <v>2333.33</v>
      </c>
      <c r="K438" s="41">
        <v>0</v>
      </c>
      <c r="L438" s="41">
        <v>0</v>
      </c>
      <c r="M438" s="41">
        <v>2333.33</v>
      </c>
      <c r="N438" s="41">
        <v>2333.33</v>
      </c>
      <c r="O438" s="41">
        <v>0</v>
      </c>
      <c r="P438" t="s">
        <v>1660</v>
      </c>
      <c r="Q438" t="s">
        <v>1641</v>
      </c>
      <c r="R438" t="s">
        <v>1166</v>
      </c>
      <c r="S438" t="s">
        <v>1167</v>
      </c>
      <c r="T438" t="s">
        <v>1532</v>
      </c>
    </row>
    <row r="439" spans="1:20" x14ac:dyDescent="0.3">
      <c r="A439" t="s">
        <v>603</v>
      </c>
      <c r="B439" t="s">
        <v>1373</v>
      </c>
      <c r="C439" t="s">
        <v>974</v>
      </c>
      <c r="D439" t="s">
        <v>496</v>
      </c>
      <c r="E439" t="s">
        <v>1062</v>
      </c>
      <c r="F439" t="s">
        <v>947</v>
      </c>
      <c r="G439" t="s">
        <v>1063</v>
      </c>
      <c r="H439" t="s">
        <v>1531</v>
      </c>
      <c r="I439" t="s">
        <v>1529</v>
      </c>
      <c r="J439" s="41">
        <v>2557.46</v>
      </c>
      <c r="K439" s="41">
        <v>0</v>
      </c>
      <c r="L439" s="41">
        <v>0</v>
      </c>
      <c r="M439" s="41">
        <v>2557.46</v>
      </c>
      <c r="N439" s="41">
        <v>2557.46</v>
      </c>
      <c r="O439" s="41">
        <v>0</v>
      </c>
      <c r="P439" t="s">
        <v>1660</v>
      </c>
      <c r="Q439" t="s">
        <v>1661</v>
      </c>
      <c r="R439" t="s">
        <v>1166</v>
      </c>
      <c r="S439" t="s">
        <v>1167</v>
      </c>
      <c r="T439" t="s">
        <v>1532</v>
      </c>
    </row>
    <row r="440" spans="1:20" x14ac:dyDescent="0.3">
      <c r="A440" t="s">
        <v>603</v>
      </c>
      <c r="B440" t="s">
        <v>1373</v>
      </c>
      <c r="C440" t="s">
        <v>974</v>
      </c>
      <c r="D440" t="s">
        <v>496</v>
      </c>
      <c r="E440" t="s">
        <v>1062</v>
      </c>
      <c r="F440" t="s">
        <v>947</v>
      </c>
      <c r="G440" t="s">
        <v>1063</v>
      </c>
      <c r="H440" t="s">
        <v>1531</v>
      </c>
      <c r="I440" t="s">
        <v>1529</v>
      </c>
      <c r="J440" s="41">
        <v>3166.67</v>
      </c>
      <c r="K440" s="41">
        <v>2500</v>
      </c>
      <c r="L440" s="41">
        <v>0</v>
      </c>
      <c r="M440" s="41">
        <v>5666.67</v>
      </c>
      <c r="N440" s="41">
        <v>5666.67</v>
      </c>
      <c r="O440" s="41">
        <v>2500</v>
      </c>
      <c r="P440" t="s">
        <v>1660</v>
      </c>
      <c r="Q440" t="s">
        <v>1662</v>
      </c>
      <c r="R440" t="s">
        <v>1166</v>
      </c>
      <c r="S440" t="s">
        <v>1167</v>
      </c>
      <c r="T440" t="s">
        <v>1532</v>
      </c>
    </row>
    <row r="441" spans="1:20" x14ac:dyDescent="0.3">
      <c r="A441" t="s">
        <v>603</v>
      </c>
      <c r="B441" t="s">
        <v>1373</v>
      </c>
      <c r="C441" t="s">
        <v>974</v>
      </c>
      <c r="D441" t="s">
        <v>496</v>
      </c>
      <c r="E441" t="s">
        <v>1097</v>
      </c>
      <c r="F441" t="s">
        <v>948</v>
      </c>
      <c r="G441" t="s">
        <v>1098</v>
      </c>
      <c r="H441" t="s">
        <v>1340</v>
      </c>
      <c r="I441" t="s">
        <v>1535</v>
      </c>
      <c r="J441" s="41">
        <v>400</v>
      </c>
      <c r="K441" s="41">
        <v>0</v>
      </c>
      <c r="L441" s="41">
        <v>0</v>
      </c>
      <c r="M441" s="41">
        <v>400</v>
      </c>
      <c r="N441" s="41">
        <v>400</v>
      </c>
      <c r="O441" s="41">
        <v>0</v>
      </c>
      <c r="P441" t="s">
        <v>1660</v>
      </c>
      <c r="Q441" t="s">
        <v>1644</v>
      </c>
      <c r="R441" t="s">
        <v>1166</v>
      </c>
      <c r="S441" t="s">
        <v>1167</v>
      </c>
      <c r="T441" t="s">
        <v>1341</v>
      </c>
    </row>
    <row r="442" spans="1:20" x14ac:dyDescent="0.3">
      <c r="A442" t="s">
        <v>603</v>
      </c>
      <c r="B442" t="s">
        <v>1373</v>
      </c>
      <c r="C442" t="s">
        <v>974</v>
      </c>
      <c r="D442" t="s">
        <v>496</v>
      </c>
      <c r="E442" t="s">
        <v>1099</v>
      </c>
      <c r="F442" t="s">
        <v>948</v>
      </c>
      <c r="G442" t="s">
        <v>1100</v>
      </c>
      <c r="H442" t="s">
        <v>576</v>
      </c>
      <c r="I442" t="s">
        <v>1648</v>
      </c>
      <c r="J442" s="41">
        <v>3500</v>
      </c>
      <c r="K442" s="41">
        <v>0</v>
      </c>
      <c r="L442" s="41">
        <v>0</v>
      </c>
      <c r="M442" s="41">
        <v>3500</v>
      </c>
      <c r="N442" s="41">
        <v>3500</v>
      </c>
      <c r="O442" s="41">
        <v>0</v>
      </c>
      <c r="P442" t="s">
        <v>1660</v>
      </c>
      <c r="Q442" t="s">
        <v>1663</v>
      </c>
      <c r="R442" t="s">
        <v>1192</v>
      </c>
      <c r="S442" t="s">
        <v>1193</v>
      </c>
      <c r="T442" t="s">
        <v>1539</v>
      </c>
    </row>
    <row r="443" spans="1:20" x14ac:dyDescent="0.3">
      <c r="A443" t="s">
        <v>603</v>
      </c>
      <c r="B443" t="s">
        <v>1373</v>
      </c>
      <c r="C443" t="s">
        <v>974</v>
      </c>
      <c r="D443" t="s">
        <v>496</v>
      </c>
      <c r="E443" t="s">
        <v>1099</v>
      </c>
      <c r="F443" t="s">
        <v>948</v>
      </c>
      <c r="G443" t="s">
        <v>1100</v>
      </c>
      <c r="H443" t="s">
        <v>576</v>
      </c>
      <c r="I443" t="s">
        <v>1537</v>
      </c>
      <c r="J443" s="41">
        <v>648</v>
      </c>
      <c r="K443" s="41">
        <v>0</v>
      </c>
      <c r="L443" s="41">
        <v>0</v>
      </c>
      <c r="M443" s="41">
        <v>648</v>
      </c>
      <c r="N443" s="41">
        <v>648</v>
      </c>
      <c r="O443" s="41">
        <v>0</v>
      </c>
      <c r="P443" t="s">
        <v>1660</v>
      </c>
      <c r="Q443" t="s">
        <v>1664</v>
      </c>
      <c r="R443" t="s">
        <v>1192</v>
      </c>
      <c r="S443" t="s">
        <v>1193</v>
      </c>
      <c r="T443" t="s">
        <v>1539</v>
      </c>
    </row>
    <row r="444" spans="1:20" x14ac:dyDescent="0.3">
      <c r="A444" t="s">
        <v>603</v>
      </c>
      <c r="B444" t="s">
        <v>1373</v>
      </c>
      <c r="C444" t="s">
        <v>974</v>
      </c>
      <c r="D444" t="s">
        <v>496</v>
      </c>
      <c r="E444" t="s">
        <v>1123</v>
      </c>
      <c r="F444" t="s">
        <v>717</v>
      </c>
      <c r="G444" t="s">
        <v>717</v>
      </c>
      <c r="H444" t="s">
        <v>1261</v>
      </c>
      <c r="I444" t="s">
        <v>1541</v>
      </c>
      <c r="J444" s="41">
        <v>0.34</v>
      </c>
      <c r="K444" s="41">
        <v>0</v>
      </c>
      <c r="L444" s="41">
        <v>0</v>
      </c>
      <c r="M444" s="41">
        <v>0.34</v>
      </c>
      <c r="N444" s="41">
        <v>0.34</v>
      </c>
      <c r="O444" s="41">
        <v>0</v>
      </c>
      <c r="P444" t="s">
        <v>1660</v>
      </c>
      <c r="Q444" t="s">
        <v>1649</v>
      </c>
      <c r="R444" t="s">
        <v>1166</v>
      </c>
      <c r="S444" t="s">
        <v>1167</v>
      </c>
      <c r="T444" t="s">
        <v>1262</v>
      </c>
    </row>
    <row r="445" spans="1:20" x14ac:dyDescent="0.3">
      <c r="A445" t="s">
        <v>603</v>
      </c>
      <c r="B445" t="s">
        <v>1373</v>
      </c>
      <c r="C445" t="s">
        <v>974</v>
      </c>
      <c r="D445" t="s">
        <v>496</v>
      </c>
      <c r="E445" t="s">
        <v>1123</v>
      </c>
      <c r="F445" t="s">
        <v>717</v>
      </c>
      <c r="G445" t="s">
        <v>717</v>
      </c>
      <c r="H445" t="s">
        <v>1261</v>
      </c>
      <c r="I445" t="s">
        <v>1406</v>
      </c>
      <c r="J445" s="41">
        <v>15</v>
      </c>
      <c r="K445" s="41">
        <v>0</v>
      </c>
      <c r="L445" s="41">
        <v>0</v>
      </c>
      <c r="M445" s="41">
        <v>15</v>
      </c>
      <c r="N445" s="41">
        <v>15</v>
      </c>
      <c r="O445" s="41">
        <v>0</v>
      </c>
      <c r="P445" t="s">
        <v>1660</v>
      </c>
      <c r="Q445" t="s">
        <v>1665</v>
      </c>
      <c r="R445" t="s">
        <v>1166</v>
      </c>
      <c r="S445" t="s">
        <v>1167</v>
      </c>
      <c r="T445" t="s">
        <v>1262</v>
      </c>
    </row>
    <row r="446" spans="1:20" x14ac:dyDescent="0.3">
      <c r="A446" t="s">
        <v>603</v>
      </c>
      <c r="B446" t="s">
        <v>1373</v>
      </c>
      <c r="C446" t="s">
        <v>974</v>
      </c>
      <c r="D446" t="s">
        <v>496</v>
      </c>
      <c r="E446" t="s">
        <v>1123</v>
      </c>
      <c r="F446" t="s">
        <v>717</v>
      </c>
      <c r="G446" t="s">
        <v>717</v>
      </c>
      <c r="H446" t="s">
        <v>1547</v>
      </c>
      <c r="I446" t="s">
        <v>1545</v>
      </c>
      <c r="J446" s="41">
        <v>27.1</v>
      </c>
      <c r="K446" s="41">
        <v>201.11</v>
      </c>
      <c r="L446" s="41">
        <v>0</v>
      </c>
      <c r="M446" s="41">
        <v>228.21</v>
      </c>
      <c r="N446" s="41">
        <v>228.21</v>
      </c>
      <c r="O446" s="41">
        <v>201.11</v>
      </c>
      <c r="P446" t="s">
        <v>1660</v>
      </c>
      <c r="Q446" t="s">
        <v>1666</v>
      </c>
      <c r="R446" t="s">
        <v>1166</v>
      </c>
      <c r="S446" t="s">
        <v>1167</v>
      </c>
      <c r="T446" t="s">
        <v>1548</v>
      </c>
    </row>
    <row r="447" spans="1:20" x14ac:dyDescent="0.3">
      <c r="A447" t="s">
        <v>603</v>
      </c>
      <c r="B447" t="s">
        <v>1373</v>
      </c>
      <c r="C447" t="s">
        <v>974</v>
      </c>
      <c r="D447" t="s">
        <v>496</v>
      </c>
      <c r="E447" t="s">
        <v>1123</v>
      </c>
      <c r="F447" t="s">
        <v>717</v>
      </c>
      <c r="G447" t="s">
        <v>717</v>
      </c>
      <c r="H447" t="s">
        <v>1547</v>
      </c>
      <c r="I447" t="s">
        <v>1382</v>
      </c>
      <c r="J447" s="41">
        <v>3.11</v>
      </c>
      <c r="K447" s="41">
        <v>0</v>
      </c>
      <c r="L447" s="41">
        <v>0</v>
      </c>
      <c r="M447" s="41">
        <v>3.11</v>
      </c>
      <c r="N447" s="41">
        <v>3.11</v>
      </c>
      <c r="O447" s="41">
        <v>0</v>
      </c>
      <c r="P447" t="s">
        <v>1660</v>
      </c>
      <c r="Q447" t="s">
        <v>1650</v>
      </c>
      <c r="R447" t="s">
        <v>1166</v>
      </c>
      <c r="S447" t="s">
        <v>1167</v>
      </c>
      <c r="T447" t="s">
        <v>1548</v>
      </c>
    </row>
    <row r="448" spans="1:20" x14ac:dyDescent="0.3">
      <c r="A448" t="s">
        <v>603</v>
      </c>
      <c r="B448" t="s">
        <v>1373</v>
      </c>
      <c r="C448" t="s">
        <v>974</v>
      </c>
      <c r="D448" t="s">
        <v>496</v>
      </c>
      <c r="E448" t="s">
        <v>1123</v>
      </c>
      <c r="F448" t="s">
        <v>717</v>
      </c>
      <c r="G448" t="s">
        <v>717</v>
      </c>
      <c r="H448" t="s">
        <v>1547</v>
      </c>
      <c r="I448" t="s">
        <v>1551</v>
      </c>
      <c r="J448" s="41">
        <v>404.75</v>
      </c>
      <c r="K448" s="41">
        <v>125.95</v>
      </c>
      <c r="L448" s="41">
        <v>0</v>
      </c>
      <c r="M448" s="41">
        <v>530.70000000000005</v>
      </c>
      <c r="N448" s="41">
        <v>530.70000000000005</v>
      </c>
      <c r="O448" s="41">
        <v>125.95</v>
      </c>
      <c r="P448" t="s">
        <v>1660</v>
      </c>
      <c r="Q448" t="s">
        <v>1651</v>
      </c>
      <c r="R448" t="s">
        <v>1166</v>
      </c>
      <c r="S448" t="s">
        <v>1167</v>
      </c>
      <c r="T448" t="s">
        <v>1548</v>
      </c>
    </row>
    <row r="449" spans="1:20" x14ac:dyDescent="0.3">
      <c r="A449" t="s">
        <v>603</v>
      </c>
      <c r="B449" t="s">
        <v>1373</v>
      </c>
      <c r="C449" t="s">
        <v>974</v>
      </c>
      <c r="D449" t="s">
        <v>496</v>
      </c>
      <c r="E449" t="s">
        <v>1123</v>
      </c>
      <c r="F449" t="s">
        <v>717</v>
      </c>
      <c r="G449" t="s">
        <v>717</v>
      </c>
      <c r="H449" t="s">
        <v>1547</v>
      </c>
      <c r="I449" t="s">
        <v>1406</v>
      </c>
      <c r="J449" s="41">
        <v>0.9</v>
      </c>
      <c r="K449" s="41">
        <v>0</v>
      </c>
      <c r="L449" s="41">
        <v>0</v>
      </c>
      <c r="M449" s="41">
        <v>0.9</v>
      </c>
      <c r="N449" s="41">
        <v>0.9</v>
      </c>
      <c r="O449" s="41">
        <v>0</v>
      </c>
      <c r="P449" t="s">
        <v>1660</v>
      </c>
      <c r="Q449" t="s">
        <v>1667</v>
      </c>
      <c r="R449" t="s">
        <v>1166</v>
      </c>
      <c r="S449" t="s">
        <v>1167</v>
      </c>
      <c r="T449" t="s">
        <v>1548</v>
      </c>
    </row>
    <row r="450" spans="1:20" x14ac:dyDescent="0.3">
      <c r="A450" t="s">
        <v>552</v>
      </c>
      <c r="B450" t="s">
        <v>658</v>
      </c>
      <c r="C450" t="s">
        <v>976</v>
      </c>
      <c r="D450" t="s">
        <v>496</v>
      </c>
      <c r="E450" t="s">
        <v>1060</v>
      </c>
      <c r="F450" t="s">
        <v>947</v>
      </c>
      <c r="G450" t="s">
        <v>1061</v>
      </c>
      <c r="H450" t="s">
        <v>1200</v>
      </c>
      <c r="I450" t="s">
        <v>1197</v>
      </c>
      <c r="J450" s="41">
        <v>2400</v>
      </c>
      <c r="K450" s="41">
        <v>1200</v>
      </c>
      <c r="L450" s="41">
        <v>0</v>
      </c>
      <c r="M450" s="41">
        <v>3600</v>
      </c>
      <c r="N450" s="41">
        <v>3600</v>
      </c>
      <c r="O450" s="41">
        <v>1200</v>
      </c>
      <c r="P450" t="s">
        <v>1668</v>
      </c>
      <c r="Q450" t="s">
        <v>1195</v>
      </c>
      <c r="R450" t="s">
        <v>1166</v>
      </c>
      <c r="S450" t="s">
        <v>1167</v>
      </c>
      <c r="T450" t="s">
        <v>1201</v>
      </c>
    </row>
    <row r="451" spans="1:20" x14ac:dyDescent="0.3">
      <c r="A451" t="s">
        <v>552</v>
      </c>
      <c r="B451" t="s">
        <v>658</v>
      </c>
      <c r="C451" t="s">
        <v>976</v>
      </c>
      <c r="D451" t="s">
        <v>496</v>
      </c>
      <c r="E451" t="s">
        <v>1075</v>
      </c>
      <c r="F451" t="s">
        <v>947</v>
      </c>
      <c r="G451" t="s">
        <v>1076</v>
      </c>
      <c r="H451" t="s">
        <v>1205</v>
      </c>
      <c r="J451" s="41">
        <v>600</v>
      </c>
      <c r="K451" s="41">
        <v>300</v>
      </c>
      <c r="L451" s="41">
        <v>0</v>
      </c>
      <c r="M451" s="41">
        <v>900</v>
      </c>
      <c r="N451" s="41">
        <v>900</v>
      </c>
      <c r="O451" s="41">
        <v>300</v>
      </c>
      <c r="P451" t="s">
        <v>1668</v>
      </c>
      <c r="Q451" t="s">
        <v>1202</v>
      </c>
      <c r="R451" t="s">
        <v>1166</v>
      </c>
      <c r="S451" t="s">
        <v>1167</v>
      </c>
      <c r="T451" t="s">
        <v>1206</v>
      </c>
    </row>
    <row r="452" spans="1:20" x14ac:dyDescent="0.3">
      <c r="A452" t="s">
        <v>552</v>
      </c>
      <c r="B452" t="s">
        <v>658</v>
      </c>
      <c r="C452" t="s">
        <v>976</v>
      </c>
      <c r="D452" t="s">
        <v>496</v>
      </c>
      <c r="E452" t="s">
        <v>1060</v>
      </c>
      <c r="F452" t="s">
        <v>947</v>
      </c>
      <c r="G452" t="s">
        <v>1061</v>
      </c>
      <c r="H452" t="s">
        <v>1210</v>
      </c>
      <c r="I452" t="s">
        <v>1197</v>
      </c>
      <c r="J452" s="41">
        <v>812.37</v>
      </c>
      <c r="K452" s="41">
        <v>400</v>
      </c>
      <c r="L452" s="41">
        <v>0</v>
      </c>
      <c r="M452" s="41">
        <v>1212.3699999999999</v>
      </c>
      <c r="N452" s="41">
        <v>1212.3699999999999</v>
      </c>
      <c r="O452" s="41">
        <v>400</v>
      </c>
      <c r="P452" t="s">
        <v>1668</v>
      </c>
      <c r="Q452" t="s">
        <v>1207</v>
      </c>
      <c r="R452" t="s">
        <v>1166</v>
      </c>
      <c r="S452" t="s">
        <v>1167</v>
      </c>
      <c r="T452" t="s">
        <v>1211</v>
      </c>
    </row>
    <row r="453" spans="1:20" x14ac:dyDescent="0.3">
      <c r="A453" t="s">
        <v>552</v>
      </c>
      <c r="B453" t="s">
        <v>658</v>
      </c>
      <c r="C453" t="s">
        <v>976</v>
      </c>
      <c r="D453" t="s">
        <v>496</v>
      </c>
      <c r="E453" t="s">
        <v>1062</v>
      </c>
      <c r="F453" t="s">
        <v>947</v>
      </c>
      <c r="G453" t="s">
        <v>1063</v>
      </c>
      <c r="H453" t="s">
        <v>1216</v>
      </c>
      <c r="I453" t="s">
        <v>1214</v>
      </c>
      <c r="J453" s="41">
        <v>222.59</v>
      </c>
      <c r="K453" s="41">
        <v>47.76</v>
      </c>
      <c r="L453" s="41">
        <v>0</v>
      </c>
      <c r="M453" s="41">
        <v>270.35000000000002</v>
      </c>
      <c r="N453" s="41">
        <v>270.35000000000002</v>
      </c>
      <c r="O453" s="41">
        <v>47.76</v>
      </c>
      <c r="P453" t="s">
        <v>1668</v>
      </c>
      <c r="Q453" t="s">
        <v>1212</v>
      </c>
      <c r="R453" t="s">
        <v>1166</v>
      </c>
      <c r="S453" t="s">
        <v>1167</v>
      </c>
      <c r="T453" t="s">
        <v>1217</v>
      </c>
    </row>
    <row r="454" spans="1:20" x14ac:dyDescent="0.3">
      <c r="A454" t="s">
        <v>552</v>
      </c>
      <c r="B454" t="s">
        <v>658</v>
      </c>
      <c r="C454" t="s">
        <v>976</v>
      </c>
      <c r="D454" t="s">
        <v>496</v>
      </c>
      <c r="E454" t="s">
        <v>1064</v>
      </c>
      <c r="F454" t="s">
        <v>947</v>
      </c>
      <c r="G454" t="s">
        <v>1065</v>
      </c>
      <c r="H454" t="s">
        <v>1222</v>
      </c>
      <c r="I454" t="s">
        <v>1220</v>
      </c>
      <c r="J454" s="41">
        <v>240.73</v>
      </c>
      <c r="K454" s="41">
        <v>12</v>
      </c>
      <c r="L454" s="41">
        <v>0</v>
      </c>
      <c r="M454" s="41">
        <v>252.73</v>
      </c>
      <c r="N454" s="41">
        <v>252.73</v>
      </c>
      <c r="O454" s="41">
        <v>12</v>
      </c>
      <c r="P454" t="s">
        <v>1668</v>
      </c>
      <c r="Q454" t="s">
        <v>1218</v>
      </c>
      <c r="R454" t="s">
        <v>1166</v>
      </c>
      <c r="S454" t="s">
        <v>1167</v>
      </c>
      <c r="T454" t="s">
        <v>1223</v>
      </c>
    </row>
    <row r="455" spans="1:20" x14ac:dyDescent="0.3">
      <c r="A455" t="s">
        <v>552</v>
      </c>
      <c r="B455" t="s">
        <v>658</v>
      </c>
      <c r="C455" t="s">
        <v>976</v>
      </c>
      <c r="D455" t="s">
        <v>496</v>
      </c>
      <c r="E455" t="s">
        <v>1064</v>
      </c>
      <c r="F455" t="s">
        <v>947</v>
      </c>
      <c r="G455" t="s">
        <v>1065</v>
      </c>
      <c r="H455" t="s">
        <v>1222</v>
      </c>
      <c r="I455" t="s">
        <v>1220</v>
      </c>
      <c r="J455" s="41">
        <v>0</v>
      </c>
      <c r="K455" s="41">
        <v>26.55</v>
      </c>
      <c r="L455" s="41">
        <v>0</v>
      </c>
      <c r="M455" s="41">
        <v>26.55</v>
      </c>
      <c r="N455" s="41">
        <v>26.55</v>
      </c>
      <c r="O455" s="41">
        <v>26.55</v>
      </c>
      <c r="P455" t="s">
        <v>1668</v>
      </c>
      <c r="Q455" t="s">
        <v>1224</v>
      </c>
      <c r="R455" t="s">
        <v>1166</v>
      </c>
      <c r="S455" t="s">
        <v>1167</v>
      </c>
      <c r="T455" t="s">
        <v>1223</v>
      </c>
    </row>
    <row r="456" spans="1:20" x14ac:dyDescent="0.3">
      <c r="A456" t="s">
        <v>552</v>
      </c>
      <c r="B456" t="s">
        <v>658</v>
      </c>
      <c r="C456" t="s">
        <v>976</v>
      </c>
      <c r="D456" t="s">
        <v>496</v>
      </c>
      <c r="E456" t="s">
        <v>1064</v>
      </c>
      <c r="F456" t="s">
        <v>947</v>
      </c>
      <c r="G456" t="s">
        <v>1065</v>
      </c>
      <c r="H456" t="s">
        <v>1229</v>
      </c>
      <c r="I456" t="s">
        <v>1227</v>
      </c>
      <c r="J456" s="41">
        <v>0</v>
      </c>
      <c r="K456" s="41">
        <v>64.790000000000006</v>
      </c>
      <c r="L456" s="41">
        <v>0</v>
      </c>
      <c r="M456" s="41">
        <v>64.790000000000006</v>
      </c>
      <c r="N456" s="41">
        <v>64.790000000000006</v>
      </c>
      <c r="O456" s="41">
        <v>64.790000000000006</v>
      </c>
      <c r="P456" t="s">
        <v>1668</v>
      </c>
      <c r="Q456" t="s">
        <v>1225</v>
      </c>
      <c r="R456" t="s">
        <v>1166</v>
      </c>
      <c r="S456" t="s">
        <v>1167</v>
      </c>
      <c r="T456" t="s">
        <v>1230</v>
      </c>
    </row>
    <row r="457" spans="1:20" x14ac:dyDescent="0.3">
      <c r="A457" t="s">
        <v>552</v>
      </c>
      <c r="B457" t="s">
        <v>658</v>
      </c>
      <c r="C457" t="s">
        <v>976</v>
      </c>
      <c r="D457" t="s">
        <v>496</v>
      </c>
      <c r="E457" t="s">
        <v>1068</v>
      </c>
      <c r="F457" t="s">
        <v>947</v>
      </c>
      <c r="G457" t="s">
        <v>568</v>
      </c>
      <c r="H457" t="s">
        <v>1235</v>
      </c>
      <c r="I457" t="s">
        <v>1238</v>
      </c>
      <c r="J457" s="41">
        <v>0</v>
      </c>
      <c r="K457" s="41">
        <v>70.81</v>
      </c>
      <c r="L457" s="41">
        <v>0</v>
      </c>
      <c r="M457" s="41">
        <v>70.81</v>
      </c>
      <c r="N457" s="41">
        <v>70.81</v>
      </c>
      <c r="O457" s="41">
        <v>70.81</v>
      </c>
      <c r="P457" t="s">
        <v>1668</v>
      </c>
      <c r="Q457" t="s">
        <v>1231</v>
      </c>
      <c r="R457" t="s">
        <v>1192</v>
      </c>
      <c r="S457" t="s">
        <v>1193</v>
      </c>
      <c r="T457" t="s">
        <v>1236</v>
      </c>
    </row>
    <row r="458" spans="1:20" x14ac:dyDescent="0.3">
      <c r="A458" t="s">
        <v>552</v>
      </c>
      <c r="B458" t="s">
        <v>658</v>
      </c>
      <c r="C458" t="s">
        <v>976</v>
      </c>
      <c r="D458" t="s">
        <v>496</v>
      </c>
      <c r="E458" t="s">
        <v>1079</v>
      </c>
      <c r="F458" t="s">
        <v>947</v>
      </c>
      <c r="G458" t="s">
        <v>1080</v>
      </c>
      <c r="H458" t="s">
        <v>1249</v>
      </c>
      <c r="I458" t="s">
        <v>1247</v>
      </c>
      <c r="J458" s="41">
        <v>0</v>
      </c>
      <c r="K458" s="41">
        <v>39.61</v>
      </c>
      <c r="L458" s="41">
        <v>0</v>
      </c>
      <c r="M458" s="41">
        <v>39.61</v>
      </c>
      <c r="N458" s="41">
        <v>39.61</v>
      </c>
      <c r="O458" s="41">
        <v>39.61</v>
      </c>
      <c r="P458" t="s">
        <v>1668</v>
      </c>
      <c r="Q458" t="s">
        <v>1574</v>
      </c>
      <c r="R458" t="s">
        <v>1166</v>
      </c>
      <c r="S458" t="s">
        <v>1167</v>
      </c>
      <c r="T458" t="s">
        <v>1250</v>
      </c>
    </row>
    <row r="459" spans="1:20" x14ac:dyDescent="0.3">
      <c r="A459" t="s">
        <v>552</v>
      </c>
      <c r="B459" t="s">
        <v>658</v>
      </c>
      <c r="C459" t="s">
        <v>976</v>
      </c>
      <c r="D459" t="s">
        <v>496</v>
      </c>
      <c r="E459" t="s">
        <v>1079</v>
      </c>
      <c r="F459" t="s">
        <v>947</v>
      </c>
      <c r="G459" t="s">
        <v>1080</v>
      </c>
      <c r="H459" t="s">
        <v>1249</v>
      </c>
      <c r="I459" t="s">
        <v>1252</v>
      </c>
      <c r="J459" s="41">
        <v>0</v>
      </c>
      <c r="K459" s="41">
        <v>74.31</v>
      </c>
      <c r="L459" s="41">
        <v>0</v>
      </c>
      <c r="M459" s="41">
        <v>74.31</v>
      </c>
      <c r="N459" s="41">
        <v>74.31</v>
      </c>
      <c r="O459" s="41">
        <v>74.31</v>
      </c>
      <c r="P459" t="s">
        <v>1668</v>
      </c>
      <c r="Q459" t="s">
        <v>1239</v>
      </c>
      <c r="R459" t="s">
        <v>1166</v>
      </c>
      <c r="S459" t="s">
        <v>1167</v>
      </c>
      <c r="T459" t="s">
        <v>1250</v>
      </c>
    </row>
    <row r="460" spans="1:20" x14ac:dyDescent="0.3">
      <c r="A460" t="s">
        <v>552</v>
      </c>
      <c r="B460" t="s">
        <v>658</v>
      </c>
      <c r="C460" t="s">
        <v>976</v>
      </c>
      <c r="D460" t="s">
        <v>496</v>
      </c>
      <c r="E460" t="s">
        <v>1079</v>
      </c>
      <c r="F460" t="s">
        <v>947</v>
      </c>
      <c r="G460" t="s">
        <v>1080</v>
      </c>
      <c r="H460" t="s">
        <v>1249</v>
      </c>
      <c r="I460" t="s">
        <v>1254</v>
      </c>
      <c r="J460" s="41">
        <v>15</v>
      </c>
      <c r="K460" s="41">
        <v>0</v>
      </c>
      <c r="L460" s="41">
        <v>0</v>
      </c>
      <c r="M460" s="41">
        <v>15</v>
      </c>
      <c r="N460" s="41">
        <v>15</v>
      </c>
      <c r="O460" s="41">
        <v>0</v>
      </c>
      <c r="P460" t="s">
        <v>1668</v>
      </c>
      <c r="Q460" t="s">
        <v>1575</v>
      </c>
      <c r="R460" t="s">
        <v>1166</v>
      </c>
      <c r="S460" t="s">
        <v>1167</v>
      </c>
      <c r="T460" t="s">
        <v>1250</v>
      </c>
    </row>
    <row r="461" spans="1:20" x14ac:dyDescent="0.3">
      <c r="A461" t="s">
        <v>552</v>
      </c>
      <c r="B461" t="s">
        <v>658</v>
      </c>
      <c r="C461" t="s">
        <v>976</v>
      </c>
      <c r="D461" t="s">
        <v>496</v>
      </c>
      <c r="E461" t="s">
        <v>1079</v>
      </c>
      <c r="F461" t="s">
        <v>947</v>
      </c>
      <c r="G461" t="s">
        <v>1080</v>
      </c>
      <c r="H461" t="s">
        <v>1249</v>
      </c>
      <c r="I461" t="s">
        <v>1256</v>
      </c>
      <c r="J461" s="41">
        <v>7</v>
      </c>
      <c r="K461" s="41">
        <v>0</v>
      </c>
      <c r="L461" s="41">
        <v>0</v>
      </c>
      <c r="M461" s="41">
        <v>7</v>
      </c>
      <c r="N461" s="41">
        <v>7</v>
      </c>
      <c r="O461" s="41">
        <v>0</v>
      </c>
      <c r="P461" t="s">
        <v>1668</v>
      </c>
      <c r="Q461" t="s">
        <v>1327</v>
      </c>
      <c r="R461" t="s">
        <v>1166</v>
      </c>
      <c r="S461" t="s">
        <v>1167</v>
      </c>
      <c r="T461" t="s">
        <v>1250</v>
      </c>
    </row>
    <row r="462" spans="1:20" x14ac:dyDescent="0.3">
      <c r="A462" t="s">
        <v>552</v>
      </c>
      <c r="B462" t="s">
        <v>658</v>
      </c>
      <c r="C462" t="s">
        <v>976</v>
      </c>
      <c r="D462" t="s">
        <v>496</v>
      </c>
      <c r="E462" t="s">
        <v>1123</v>
      </c>
      <c r="F462" t="s">
        <v>717</v>
      </c>
      <c r="G462" t="s">
        <v>717</v>
      </c>
      <c r="H462" t="s">
        <v>1261</v>
      </c>
      <c r="I462" t="s">
        <v>1259</v>
      </c>
      <c r="J462" s="41">
        <v>50</v>
      </c>
      <c r="K462" s="41">
        <v>30</v>
      </c>
      <c r="L462" s="41">
        <v>0</v>
      </c>
      <c r="M462" s="41">
        <v>80</v>
      </c>
      <c r="N462" s="41">
        <v>80</v>
      </c>
      <c r="O462" s="41">
        <v>30</v>
      </c>
      <c r="P462" t="s">
        <v>1668</v>
      </c>
      <c r="Q462" t="s">
        <v>1255</v>
      </c>
      <c r="R462" t="s">
        <v>1166</v>
      </c>
      <c r="S462" t="s">
        <v>1167</v>
      </c>
      <c r="T462" t="s">
        <v>1262</v>
      </c>
    </row>
    <row r="463" spans="1:20" x14ac:dyDescent="0.3">
      <c r="A463" t="s">
        <v>552</v>
      </c>
      <c r="B463" t="s">
        <v>1265</v>
      </c>
      <c r="C463" t="s">
        <v>975</v>
      </c>
      <c r="D463" t="s">
        <v>686</v>
      </c>
      <c r="E463" t="s">
        <v>1048</v>
      </c>
      <c r="F463" t="s">
        <v>1318</v>
      </c>
      <c r="G463" t="s">
        <v>1049</v>
      </c>
      <c r="H463" t="s">
        <v>1319</v>
      </c>
      <c r="I463" t="s">
        <v>1316</v>
      </c>
      <c r="J463" s="41">
        <v>-1808.92</v>
      </c>
      <c r="K463" s="41">
        <v>0</v>
      </c>
      <c r="L463" s="41">
        <v>0</v>
      </c>
      <c r="M463" s="41">
        <v>-1808.92</v>
      </c>
      <c r="N463" s="41">
        <v>1808.92</v>
      </c>
      <c r="O463" s="41">
        <v>0</v>
      </c>
      <c r="P463" t="s">
        <v>1669</v>
      </c>
      <c r="Q463" t="s">
        <v>1314</v>
      </c>
      <c r="R463" t="s">
        <v>1166</v>
      </c>
      <c r="S463" t="s">
        <v>1167</v>
      </c>
      <c r="T463" t="s">
        <v>1320</v>
      </c>
    </row>
    <row r="464" spans="1:20" x14ac:dyDescent="0.3">
      <c r="A464" t="s">
        <v>552</v>
      </c>
      <c r="B464" t="s">
        <v>1265</v>
      </c>
      <c r="C464" t="s">
        <v>975</v>
      </c>
      <c r="D464" t="s">
        <v>686</v>
      </c>
      <c r="E464" t="s">
        <v>1048</v>
      </c>
      <c r="F464" t="s">
        <v>1318</v>
      </c>
      <c r="G464" t="s">
        <v>1049</v>
      </c>
      <c r="H464" t="s">
        <v>1319</v>
      </c>
      <c r="I464" t="s">
        <v>1321</v>
      </c>
      <c r="J464" s="41">
        <v>-5636.09</v>
      </c>
      <c r="K464" s="41">
        <v>0</v>
      </c>
      <c r="L464" s="41">
        <v>2846.02</v>
      </c>
      <c r="M464" s="41">
        <v>-8482.11</v>
      </c>
      <c r="N464" s="41">
        <v>8482.11</v>
      </c>
      <c r="O464" s="41">
        <v>2846.02</v>
      </c>
      <c r="P464" t="s">
        <v>1669</v>
      </c>
      <c r="Q464" t="s">
        <v>1225</v>
      </c>
      <c r="R464" t="s">
        <v>1166</v>
      </c>
      <c r="S464" t="s">
        <v>1167</v>
      </c>
      <c r="T464" t="s">
        <v>1320</v>
      </c>
    </row>
    <row r="465" spans="1:20" x14ac:dyDescent="0.3">
      <c r="A465" t="s">
        <v>552</v>
      </c>
      <c r="B465" t="s">
        <v>1265</v>
      </c>
      <c r="C465" t="s">
        <v>975</v>
      </c>
      <c r="D465" t="s">
        <v>686</v>
      </c>
      <c r="E465" t="s">
        <v>1120</v>
      </c>
      <c r="F465" t="s">
        <v>1324</v>
      </c>
      <c r="G465" t="s">
        <v>811</v>
      </c>
      <c r="H465" t="s">
        <v>811</v>
      </c>
      <c r="I465" t="s">
        <v>1322</v>
      </c>
      <c r="J465" s="41">
        <v>-64960.94</v>
      </c>
      <c r="K465" s="41">
        <v>0</v>
      </c>
      <c r="L465" s="41">
        <v>0</v>
      </c>
      <c r="M465" s="41">
        <v>-64960.94</v>
      </c>
      <c r="N465" s="41">
        <v>64960.94</v>
      </c>
      <c r="O465" s="41">
        <v>0</v>
      </c>
      <c r="P465" t="s">
        <v>1669</v>
      </c>
      <c r="Q465" t="s">
        <v>1231</v>
      </c>
      <c r="R465" t="s">
        <v>1192</v>
      </c>
      <c r="S465" t="s">
        <v>1193</v>
      </c>
      <c r="T465" t="s">
        <v>1325</v>
      </c>
    </row>
    <row r="466" spans="1:20" x14ac:dyDescent="0.3">
      <c r="A466" t="s">
        <v>552</v>
      </c>
      <c r="B466" t="s">
        <v>1265</v>
      </c>
      <c r="C466" t="s">
        <v>975</v>
      </c>
      <c r="D466" t="s">
        <v>686</v>
      </c>
      <c r="E466" t="s">
        <v>1062</v>
      </c>
      <c r="F466" t="s">
        <v>947</v>
      </c>
      <c r="G466" t="s">
        <v>1063</v>
      </c>
      <c r="H466" t="s">
        <v>1216</v>
      </c>
      <c r="I466" t="s">
        <v>1326</v>
      </c>
      <c r="J466" s="41">
        <v>1015.35</v>
      </c>
      <c r="K466" s="41">
        <v>524.25</v>
      </c>
      <c r="L466" s="41">
        <v>0</v>
      </c>
      <c r="M466" s="41">
        <v>1539.6</v>
      </c>
      <c r="N466" s="41">
        <v>1539.6</v>
      </c>
      <c r="O466" s="41">
        <v>524.25</v>
      </c>
      <c r="P466" t="s">
        <v>1669</v>
      </c>
      <c r="Q466" t="s">
        <v>1239</v>
      </c>
      <c r="R466" t="s">
        <v>1166</v>
      </c>
      <c r="S466" t="s">
        <v>1167</v>
      </c>
      <c r="T466" t="s">
        <v>1217</v>
      </c>
    </row>
    <row r="467" spans="1:20" x14ac:dyDescent="0.3">
      <c r="A467" t="s">
        <v>552</v>
      </c>
      <c r="B467" t="s">
        <v>1265</v>
      </c>
      <c r="C467" t="s">
        <v>975</v>
      </c>
      <c r="D467" t="s">
        <v>686</v>
      </c>
      <c r="E467" t="s">
        <v>1062</v>
      </c>
      <c r="F467" t="s">
        <v>947</v>
      </c>
      <c r="G467" t="s">
        <v>1063</v>
      </c>
      <c r="H467" t="s">
        <v>1331</v>
      </c>
      <c r="I467" t="s">
        <v>1329</v>
      </c>
      <c r="J467" s="41">
        <v>700</v>
      </c>
      <c r="K467" s="41">
        <v>1100</v>
      </c>
      <c r="L467" s="41">
        <v>0</v>
      </c>
      <c r="M467" s="41">
        <v>1800</v>
      </c>
      <c r="N467" s="41">
        <v>1800</v>
      </c>
      <c r="O467" s="41">
        <v>1100</v>
      </c>
      <c r="P467" t="s">
        <v>1669</v>
      </c>
      <c r="Q467" t="s">
        <v>1327</v>
      </c>
      <c r="R467" t="s">
        <v>1166</v>
      </c>
      <c r="S467" t="s">
        <v>1167</v>
      </c>
      <c r="T467" t="s">
        <v>1332</v>
      </c>
    </row>
    <row r="468" spans="1:20" x14ac:dyDescent="0.3">
      <c r="A468" t="s">
        <v>552</v>
      </c>
      <c r="B468" t="s">
        <v>1265</v>
      </c>
      <c r="C468" t="s">
        <v>975</v>
      </c>
      <c r="D468" t="s">
        <v>686</v>
      </c>
      <c r="E468" t="s">
        <v>1095</v>
      </c>
      <c r="F468" t="s">
        <v>948</v>
      </c>
      <c r="G468" t="s">
        <v>1096</v>
      </c>
      <c r="H468" t="s">
        <v>1335</v>
      </c>
      <c r="I468" t="s">
        <v>1333</v>
      </c>
      <c r="J468" s="41">
        <v>2127</v>
      </c>
      <c r="K468" s="41">
        <v>0</v>
      </c>
      <c r="L468" s="41">
        <v>0</v>
      </c>
      <c r="M468" s="41">
        <v>2127</v>
      </c>
      <c r="N468" s="41">
        <v>2127</v>
      </c>
      <c r="O468" s="41">
        <v>0</v>
      </c>
      <c r="P468" t="s">
        <v>1669</v>
      </c>
      <c r="Q468" t="s">
        <v>1253</v>
      </c>
      <c r="R468" t="s">
        <v>1192</v>
      </c>
      <c r="S468" t="s">
        <v>1193</v>
      </c>
      <c r="T468" t="s">
        <v>1336</v>
      </c>
    </row>
    <row r="469" spans="1:20" x14ac:dyDescent="0.3">
      <c r="A469" t="s">
        <v>552</v>
      </c>
      <c r="B469" t="s">
        <v>1265</v>
      </c>
      <c r="C469" t="s">
        <v>975</v>
      </c>
      <c r="D469" t="s">
        <v>686</v>
      </c>
      <c r="E469" t="s">
        <v>1097</v>
      </c>
      <c r="F469" t="s">
        <v>948</v>
      </c>
      <c r="G469" t="s">
        <v>1098</v>
      </c>
      <c r="H469" t="s">
        <v>1340</v>
      </c>
      <c r="I469" t="s">
        <v>1338</v>
      </c>
      <c r="J469" s="41">
        <v>1706.19</v>
      </c>
      <c r="K469" s="41">
        <v>0</v>
      </c>
      <c r="L469" s="41">
        <v>0</v>
      </c>
      <c r="M469" s="41">
        <v>1706.19</v>
      </c>
      <c r="N469" s="41">
        <v>1706.19</v>
      </c>
      <c r="O469" s="41">
        <v>0</v>
      </c>
      <c r="P469" t="s">
        <v>1669</v>
      </c>
      <c r="Q469" t="s">
        <v>1337</v>
      </c>
      <c r="R469" t="s">
        <v>1166</v>
      </c>
      <c r="S469" t="s">
        <v>1167</v>
      </c>
      <c r="T469" t="s">
        <v>1341</v>
      </c>
    </row>
    <row r="470" spans="1:20" x14ac:dyDescent="0.3">
      <c r="A470" t="s">
        <v>552</v>
      </c>
      <c r="B470" t="s">
        <v>1265</v>
      </c>
      <c r="C470" t="s">
        <v>975</v>
      </c>
      <c r="D470" t="s">
        <v>686</v>
      </c>
      <c r="E470" t="s">
        <v>1101</v>
      </c>
      <c r="F470" t="s">
        <v>948</v>
      </c>
      <c r="G470" t="s">
        <v>1102</v>
      </c>
      <c r="H470" t="s">
        <v>1346</v>
      </c>
      <c r="I470" t="s">
        <v>1344</v>
      </c>
      <c r="J470" s="41">
        <v>0</v>
      </c>
      <c r="K470" s="41">
        <v>267.26</v>
      </c>
      <c r="L470" s="41">
        <v>0</v>
      </c>
      <c r="M470" s="41">
        <v>267.26</v>
      </c>
      <c r="N470" s="41">
        <v>267.26</v>
      </c>
      <c r="O470" s="41">
        <v>267.26</v>
      </c>
      <c r="P470" t="s">
        <v>1669</v>
      </c>
      <c r="Q470" t="s">
        <v>1342</v>
      </c>
      <c r="R470" t="s">
        <v>1166</v>
      </c>
      <c r="S470" t="s">
        <v>1167</v>
      </c>
      <c r="T470" t="s">
        <v>1347</v>
      </c>
    </row>
    <row r="471" spans="1:20" x14ac:dyDescent="0.3">
      <c r="A471" t="s">
        <v>552</v>
      </c>
      <c r="B471" t="s">
        <v>1265</v>
      </c>
      <c r="C471" t="s">
        <v>975</v>
      </c>
      <c r="D471" t="s">
        <v>686</v>
      </c>
      <c r="E471" t="s">
        <v>1101</v>
      </c>
      <c r="F471" t="s">
        <v>948</v>
      </c>
      <c r="G471" t="s">
        <v>1102</v>
      </c>
      <c r="H471" t="s">
        <v>1346</v>
      </c>
      <c r="I471" t="s">
        <v>1349</v>
      </c>
      <c r="J471" s="41">
        <v>80.8</v>
      </c>
      <c r="K471" s="41">
        <v>0</v>
      </c>
      <c r="L471" s="41">
        <v>0</v>
      </c>
      <c r="M471" s="41">
        <v>80.8</v>
      </c>
      <c r="N471" s="41">
        <v>80.8</v>
      </c>
      <c r="O471" s="41">
        <v>0</v>
      </c>
      <c r="P471" t="s">
        <v>1669</v>
      </c>
      <c r="Q471" t="s">
        <v>1348</v>
      </c>
      <c r="R471" t="s">
        <v>1166</v>
      </c>
      <c r="S471" t="s">
        <v>1167</v>
      </c>
      <c r="T471" t="s">
        <v>1347</v>
      </c>
    </row>
    <row r="472" spans="1:20" x14ac:dyDescent="0.3">
      <c r="A472" t="s">
        <v>552</v>
      </c>
      <c r="B472" t="s">
        <v>1265</v>
      </c>
      <c r="C472" t="s">
        <v>975</v>
      </c>
      <c r="D472" t="s">
        <v>686</v>
      </c>
      <c r="E472" t="s">
        <v>1101</v>
      </c>
      <c r="F472" t="s">
        <v>948</v>
      </c>
      <c r="G472" t="s">
        <v>1102</v>
      </c>
      <c r="H472" t="s">
        <v>1346</v>
      </c>
      <c r="I472" t="s">
        <v>1349</v>
      </c>
      <c r="J472" s="41">
        <v>0</v>
      </c>
      <c r="K472" s="41">
        <v>20.68</v>
      </c>
      <c r="L472" s="41">
        <v>0</v>
      </c>
      <c r="M472" s="41">
        <v>20.68</v>
      </c>
      <c r="N472" s="41">
        <v>20.68</v>
      </c>
      <c r="O472" s="41">
        <v>20.68</v>
      </c>
      <c r="P472" t="s">
        <v>1669</v>
      </c>
      <c r="Q472" t="s">
        <v>1350</v>
      </c>
      <c r="R472" t="s">
        <v>1166</v>
      </c>
      <c r="S472" t="s">
        <v>1167</v>
      </c>
      <c r="T472" t="s">
        <v>1347</v>
      </c>
    </row>
    <row r="473" spans="1:20" x14ac:dyDescent="0.3">
      <c r="A473" t="s">
        <v>552</v>
      </c>
      <c r="B473" t="s">
        <v>1265</v>
      </c>
      <c r="C473" t="s">
        <v>975</v>
      </c>
      <c r="D473" t="s">
        <v>686</v>
      </c>
      <c r="E473" t="s">
        <v>1101</v>
      </c>
      <c r="F473" t="s">
        <v>948</v>
      </c>
      <c r="G473" t="s">
        <v>1102</v>
      </c>
      <c r="H473" t="s">
        <v>1346</v>
      </c>
      <c r="I473" t="s">
        <v>1349</v>
      </c>
      <c r="J473" s="41">
        <v>114</v>
      </c>
      <c r="K473" s="41">
        <v>0</v>
      </c>
      <c r="L473" s="41">
        <v>0</v>
      </c>
      <c r="M473" s="41">
        <v>114</v>
      </c>
      <c r="N473" s="41">
        <v>114</v>
      </c>
      <c r="O473" s="41">
        <v>0</v>
      </c>
      <c r="P473" t="s">
        <v>1669</v>
      </c>
      <c r="Q473" t="s">
        <v>1351</v>
      </c>
      <c r="R473" t="s">
        <v>1166</v>
      </c>
      <c r="S473" t="s">
        <v>1167</v>
      </c>
      <c r="T473" t="s">
        <v>1347</v>
      </c>
    </row>
    <row r="474" spans="1:20" x14ac:dyDescent="0.3">
      <c r="A474" t="s">
        <v>552</v>
      </c>
      <c r="B474" t="s">
        <v>1265</v>
      </c>
      <c r="C474" t="s">
        <v>975</v>
      </c>
      <c r="D474" t="s">
        <v>686</v>
      </c>
      <c r="E474" t="s">
        <v>1101</v>
      </c>
      <c r="F474" t="s">
        <v>948</v>
      </c>
      <c r="G474" t="s">
        <v>1102</v>
      </c>
      <c r="H474" t="s">
        <v>1346</v>
      </c>
      <c r="I474" t="s">
        <v>1349</v>
      </c>
      <c r="J474" s="41">
        <v>520</v>
      </c>
      <c r="K474" s="41">
        <v>0</v>
      </c>
      <c r="L474" s="41">
        <v>0</v>
      </c>
      <c r="M474" s="41">
        <v>520</v>
      </c>
      <c r="N474" s="41">
        <v>520</v>
      </c>
      <c r="O474" s="41">
        <v>0</v>
      </c>
      <c r="P474" t="s">
        <v>1669</v>
      </c>
      <c r="Q474" t="s">
        <v>1352</v>
      </c>
      <c r="R474" t="s">
        <v>1166</v>
      </c>
      <c r="S474" t="s">
        <v>1167</v>
      </c>
      <c r="T474" t="s">
        <v>1347</v>
      </c>
    </row>
    <row r="475" spans="1:20" x14ac:dyDescent="0.3">
      <c r="A475" t="s">
        <v>552</v>
      </c>
      <c r="B475" t="s">
        <v>1265</v>
      </c>
      <c r="C475" t="s">
        <v>975</v>
      </c>
      <c r="D475" t="s">
        <v>686</v>
      </c>
      <c r="E475" t="s">
        <v>1101</v>
      </c>
      <c r="F475" t="s">
        <v>948</v>
      </c>
      <c r="G475" t="s">
        <v>1102</v>
      </c>
      <c r="H475" t="s">
        <v>1346</v>
      </c>
      <c r="I475" t="s">
        <v>1349</v>
      </c>
      <c r="J475" s="41">
        <v>6</v>
      </c>
      <c r="K475" s="41">
        <v>0</v>
      </c>
      <c r="L475" s="41">
        <v>0</v>
      </c>
      <c r="M475" s="41">
        <v>6</v>
      </c>
      <c r="N475" s="41">
        <v>6</v>
      </c>
      <c r="O475" s="41">
        <v>0</v>
      </c>
      <c r="P475" t="s">
        <v>1669</v>
      </c>
      <c r="Q475" t="s">
        <v>1353</v>
      </c>
      <c r="R475" t="s">
        <v>1166</v>
      </c>
      <c r="S475" t="s">
        <v>1167</v>
      </c>
      <c r="T475" t="s">
        <v>1347</v>
      </c>
    </row>
    <row r="476" spans="1:20" x14ac:dyDescent="0.3">
      <c r="A476" t="s">
        <v>552</v>
      </c>
      <c r="B476" t="s">
        <v>1265</v>
      </c>
      <c r="C476" t="s">
        <v>975</v>
      </c>
      <c r="D476" t="s">
        <v>686</v>
      </c>
      <c r="E476" t="s">
        <v>1101</v>
      </c>
      <c r="F476" t="s">
        <v>948</v>
      </c>
      <c r="G476" t="s">
        <v>1102</v>
      </c>
      <c r="H476" t="s">
        <v>1346</v>
      </c>
      <c r="I476" t="s">
        <v>1349</v>
      </c>
      <c r="J476" s="41">
        <v>0</v>
      </c>
      <c r="K476" s="41">
        <v>226.33</v>
      </c>
      <c r="L476" s="41">
        <v>0</v>
      </c>
      <c r="M476" s="41">
        <v>226.33</v>
      </c>
      <c r="N476" s="41">
        <v>226.33</v>
      </c>
      <c r="O476" s="41">
        <v>226.33</v>
      </c>
      <c r="P476" t="s">
        <v>1669</v>
      </c>
      <c r="Q476" t="s">
        <v>1354</v>
      </c>
      <c r="R476" t="s">
        <v>1166</v>
      </c>
      <c r="S476" t="s">
        <v>1167</v>
      </c>
      <c r="T476" t="s">
        <v>1347</v>
      </c>
    </row>
    <row r="477" spans="1:20" x14ac:dyDescent="0.3">
      <c r="A477" t="s">
        <v>552</v>
      </c>
      <c r="B477" t="s">
        <v>1265</v>
      </c>
      <c r="C477" t="s">
        <v>975</v>
      </c>
      <c r="D477" t="s">
        <v>686</v>
      </c>
      <c r="E477" t="s">
        <v>1101</v>
      </c>
      <c r="F477" t="s">
        <v>948</v>
      </c>
      <c r="G477" t="s">
        <v>1102</v>
      </c>
      <c r="H477" t="s">
        <v>1346</v>
      </c>
      <c r="I477" t="s">
        <v>1349</v>
      </c>
      <c r="J477" s="41">
        <v>280</v>
      </c>
      <c r="K477" s="41">
        <v>106.7</v>
      </c>
      <c r="L477" s="41">
        <v>0</v>
      </c>
      <c r="M477" s="41">
        <v>386.7</v>
      </c>
      <c r="N477" s="41">
        <v>386.7</v>
      </c>
      <c r="O477" s="41">
        <v>106.7</v>
      </c>
      <c r="P477" t="s">
        <v>1669</v>
      </c>
      <c r="Q477" t="s">
        <v>1355</v>
      </c>
      <c r="R477" t="s">
        <v>1166</v>
      </c>
      <c r="S477" t="s">
        <v>1167</v>
      </c>
      <c r="T477" t="s">
        <v>1347</v>
      </c>
    </row>
    <row r="478" spans="1:20" x14ac:dyDescent="0.3">
      <c r="A478" t="s">
        <v>552</v>
      </c>
      <c r="B478" t="s">
        <v>1265</v>
      </c>
      <c r="C478" t="s">
        <v>975</v>
      </c>
      <c r="D478" t="s">
        <v>686</v>
      </c>
      <c r="E478" t="s">
        <v>1101</v>
      </c>
      <c r="F478" t="s">
        <v>948</v>
      </c>
      <c r="G478" t="s">
        <v>1102</v>
      </c>
      <c r="H478" t="s">
        <v>1346</v>
      </c>
      <c r="I478" t="s">
        <v>1349</v>
      </c>
      <c r="J478" s="41">
        <v>0</v>
      </c>
      <c r="K478" s="41">
        <v>150.72</v>
      </c>
      <c r="L478" s="41">
        <v>0</v>
      </c>
      <c r="M478" s="41">
        <v>150.72</v>
      </c>
      <c r="N478" s="41">
        <v>150.72</v>
      </c>
      <c r="O478" s="41">
        <v>150.72</v>
      </c>
      <c r="P478" t="s">
        <v>1669</v>
      </c>
      <c r="Q478" t="s">
        <v>1356</v>
      </c>
      <c r="R478" t="s">
        <v>1166</v>
      </c>
      <c r="S478" t="s">
        <v>1167</v>
      </c>
      <c r="T478" t="s">
        <v>1347</v>
      </c>
    </row>
    <row r="479" spans="1:20" x14ac:dyDescent="0.3">
      <c r="A479" t="s">
        <v>552</v>
      </c>
      <c r="B479" t="s">
        <v>1265</v>
      </c>
      <c r="C479" t="s">
        <v>975</v>
      </c>
      <c r="D479" t="s">
        <v>686</v>
      </c>
      <c r="E479" t="s">
        <v>1101</v>
      </c>
      <c r="F479" t="s">
        <v>948</v>
      </c>
      <c r="G479" t="s">
        <v>1102</v>
      </c>
      <c r="H479" t="s">
        <v>1346</v>
      </c>
      <c r="I479" t="s">
        <v>1349</v>
      </c>
      <c r="J479" s="41">
        <v>24</v>
      </c>
      <c r="K479" s="41">
        <v>0</v>
      </c>
      <c r="L479" s="41">
        <v>0</v>
      </c>
      <c r="M479" s="41">
        <v>24</v>
      </c>
      <c r="N479" s="41">
        <v>24</v>
      </c>
      <c r="O479" s="41">
        <v>0</v>
      </c>
      <c r="P479" t="s">
        <v>1669</v>
      </c>
      <c r="Q479" t="s">
        <v>1357</v>
      </c>
      <c r="R479" t="s">
        <v>1166</v>
      </c>
      <c r="S479" t="s">
        <v>1167</v>
      </c>
      <c r="T479" t="s">
        <v>1347</v>
      </c>
    </row>
    <row r="480" spans="1:20" x14ac:dyDescent="0.3">
      <c r="A480" t="s">
        <v>552</v>
      </c>
      <c r="B480" t="s">
        <v>1265</v>
      </c>
      <c r="C480" t="s">
        <v>975</v>
      </c>
      <c r="D480" t="s">
        <v>686</v>
      </c>
      <c r="E480" t="s">
        <v>1101</v>
      </c>
      <c r="F480" t="s">
        <v>948</v>
      </c>
      <c r="G480" t="s">
        <v>1102</v>
      </c>
      <c r="H480" t="s">
        <v>1346</v>
      </c>
      <c r="I480" t="s">
        <v>1349</v>
      </c>
      <c r="J480" s="41">
        <v>24</v>
      </c>
      <c r="K480" s="41">
        <v>0</v>
      </c>
      <c r="L480" s="41">
        <v>0</v>
      </c>
      <c r="M480" s="41">
        <v>24</v>
      </c>
      <c r="N480" s="41">
        <v>24</v>
      </c>
      <c r="O480" s="41">
        <v>0</v>
      </c>
      <c r="P480" t="s">
        <v>1669</v>
      </c>
      <c r="Q480" t="s">
        <v>1358</v>
      </c>
      <c r="R480" t="s">
        <v>1166</v>
      </c>
      <c r="S480" t="s">
        <v>1167</v>
      </c>
      <c r="T480" t="s">
        <v>1347</v>
      </c>
    </row>
    <row r="481" spans="1:20" x14ac:dyDescent="0.3">
      <c r="A481" t="s">
        <v>552</v>
      </c>
      <c r="B481" t="s">
        <v>1265</v>
      </c>
      <c r="C481" t="s">
        <v>975</v>
      </c>
      <c r="D481" t="s">
        <v>686</v>
      </c>
      <c r="E481" t="s">
        <v>1103</v>
      </c>
      <c r="F481" t="s">
        <v>948</v>
      </c>
      <c r="G481" t="s">
        <v>1104</v>
      </c>
      <c r="H481" t="s">
        <v>1362</v>
      </c>
      <c r="I481" t="s">
        <v>1360</v>
      </c>
      <c r="J481" s="41">
        <v>0</v>
      </c>
      <c r="K481" s="41">
        <v>78</v>
      </c>
      <c r="L481" s="41">
        <v>0</v>
      </c>
      <c r="M481" s="41">
        <v>78</v>
      </c>
      <c r="N481" s="41">
        <v>78</v>
      </c>
      <c r="O481" s="41">
        <v>78</v>
      </c>
      <c r="P481" t="s">
        <v>1669</v>
      </c>
      <c r="Q481" t="s">
        <v>1359</v>
      </c>
      <c r="R481" t="s">
        <v>1166</v>
      </c>
      <c r="S481" t="s">
        <v>1167</v>
      </c>
      <c r="T481" t="s">
        <v>1363</v>
      </c>
    </row>
    <row r="482" spans="1:20" x14ac:dyDescent="0.3">
      <c r="A482" t="s">
        <v>552</v>
      </c>
      <c r="B482" t="s">
        <v>1265</v>
      </c>
      <c r="C482" t="s">
        <v>975</v>
      </c>
      <c r="D482" t="s">
        <v>686</v>
      </c>
      <c r="E482" t="s">
        <v>1105</v>
      </c>
      <c r="F482" t="s">
        <v>948</v>
      </c>
      <c r="G482" t="s">
        <v>1106</v>
      </c>
      <c r="H482" t="s">
        <v>576</v>
      </c>
      <c r="I482" t="s">
        <v>1365</v>
      </c>
      <c r="J482" s="41">
        <v>1.9</v>
      </c>
      <c r="K482" s="41">
        <v>0</v>
      </c>
      <c r="L482" s="41">
        <v>0</v>
      </c>
      <c r="M482" s="41">
        <v>1.9</v>
      </c>
      <c r="N482" s="41">
        <v>1.9</v>
      </c>
      <c r="O482" s="41">
        <v>0</v>
      </c>
      <c r="P482" t="s">
        <v>1669</v>
      </c>
      <c r="Q482" t="s">
        <v>1364</v>
      </c>
      <c r="R482" t="s">
        <v>1192</v>
      </c>
      <c r="S482" t="s">
        <v>1193</v>
      </c>
      <c r="T482" t="s">
        <v>1367</v>
      </c>
    </row>
    <row r="483" spans="1:20" x14ac:dyDescent="0.3">
      <c r="A483" t="s">
        <v>552</v>
      </c>
      <c r="B483" t="s">
        <v>1265</v>
      </c>
      <c r="C483" t="s">
        <v>975</v>
      </c>
      <c r="D483" t="s">
        <v>686</v>
      </c>
      <c r="E483" t="s">
        <v>1123</v>
      </c>
      <c r="F483" t="s">
        <v>717</v>
      </c>
      <c r="G483" t="s">
        <v>717</v>
      </c>
      <c r="H483" t="s">
        <v>1261</v>
      </c>
      <c r="I483" t="s">
        <v>1258</v>
      </c>
      <c r="J483" s="41">
        <v>33.06</v>
      </c>
      <c r="K483" s="41">
        <v>11</v>
      </c>
      <c r="L483" s="41">
        <v>0</v>
      </c>
      <c r="M483" s="41">
        <v>44.06</v>
      </c>
      <c r="N483" s="41">
        <v>44.06</v>
      </c>
      <c r="O483" s="41">
        <v>11</v>
      </c>
      <c r="P483" t="s">
        <v>1669</v>
      </c>
      <c r="Q483" t="s">
        <v>1368</v>
      </c>
      <c r="R483" t="s">
        <v>1166</v>
      </c>
      <c r="S483" t="s">
        <v>1167</v>
      </c>
      <c r="T483" t="s">
        <v>1262</v>
      </c>
    </row>
    <row r="484" spans="1:20" x14ac:dyDescent="0.3">
      <c r="A484" t="s">
        <v>552</v>
      </c>
      <c r="B484" t="s">
        <v>1265</v>
      </c>
      <c r="C484" t="s">
        <v>975</v>
      </c>
      <c r="D484" t="s">
        <v>686</v>
      </c>
      <c r="E484" t="s">
        <v>1123</v>
      </c>
      <c r="F484" t="s">
        <v>717</v>
      </c>
      <c r="G484" t="s">
        <v>717</v>
      </c>
      <c r="H484" t="s">
        <v>1261</v>
      </c>
      <c r="I484" t="s">
        <v>573</v>
      </c>
      <c r="J484" s="41">
        <v>5.2</v>
      </c>
      <c r="K484" s="41">
        <v>0.35</v>
      </c>
      <c r="L484" s="41">
        <v>0</v>
      </c>
      <c r="M484" s="41">
        <v>5.55</v>
      </c>
      <c r="N484" s="41">
        <v>5.55</v>
      </c>
      <c r="O484" s="41">
        <v>0.35</v>
      </c>
      <c r="P484" t="s">
        <v>1669</v>
      </c>
      <c r="Q484" t="s">
        <v>1369</v>
      </c>
      <c r="R484" t="s">
        <v>1166</v>
      </c>
      <c r="S484" t="s">
        <v>1167</v>
      </c>
      <c r="T484" t="s">
        <v>1262</v>
      </c>
    </row>
    <row r="485" spans="1:20" x14ac:dyDescent="0.3">
      <c r="A485" t="s">
        <v>552</v>
      </c>
      <c r="B485" t="s">
        <v>1265</v>
      </c>
      <c r="C485" t="s">
        <v>975</v>
      </c>
      <c r="D485" t="s">
        <v>686</v>
      </c>
      <c r="E485" t="s">
        <v>1123</v>
      </c>
      <c r="F485" t="s">
        <v>717</v>
      </c>
      <c r="G485" t="s">
        <v>717</v>
      </c>
      <c r="H485" t="s">
        <v>1261</v>
      </c>
      <c r="I485" t="s">
        <v>1371</v>
      </c>
      <c r="J485" s="41">
        <v>240</v>
      </c>
      <c r="K485" s="41">
        <v>80</v>
      </c>
      <c r="L485" s="41">
        <v>0</v>
      </c>
      <c r="M485" s="41">
        <v>320</v>
      </c>
      <c r="N485" s="41">
        <v>320</v>
      </c>
      <c r="O485" s="41">
        <v>80</v>
      </c>
      <c r="P485" t="s">
        <v>1669</v>
      </c>
      <c r="Q485" t="s">
        <v>1370</v>
      </c>
      <c r="R485" t="s">
        <v>1166</v>
      </c>
      <c r="S485" t="s">
        <v>1167</v>
      </c>
      <c r="T485" t="s">
        <v>1262</v>
      </c>
    </row>
    <row r="486" spans="1:20" x14ac:dyDescent="0.3">
      <c r="A486" t="s">
        <v>552</v>
      </c>
      <c r="B486" t="s">
        <v>1373</v>
      </c>
      <c r="C486" t="s">
        <v>974</v>
      </c>
      <c r="D486" t="s">
        <v>496</v>
      </c>
      <c r="E486" t="s">
        <v>1048</v>
      </c>
      <c r="F486" t="s">
        <v>1318</v>
      </c>
      <c r="G486" t="s">
        <v>1049</v>
      </c>
      <c r="H486" t="s">
        <v>1319</v>
      </c>
      <c r="I486" t="s">
        <v>1376</v>
      </c>
      <c r="J486" s="41">
        <v>-6730.35</v>
      </c>
      <c r="K486" s="41">
        <v>0</v>
      </c>
      <c r="L486" s="41">
        <v>3622</v>
      </c>
      <c r="M486" s="41">
        <v>-10352.35</v>
      </c>
      <c r="N486" s="41">
        <v>10352.35</v>
      </c>
      <c r="O486" s="41">
        <v>3622</v>
      </c>
      <c r="P486" t="s">
        <v>1670</v>
      </c>
      <c r="Q486" t="s">
        <v>1348</v>
      </c>
      <c r="R486" t="s">
        <v>1166</v>
      </c>
      <c r="S486" t="s">
        <v>1167</v>
      </c>
      <c r="T486" t="s">
        <v>1320</v>
      </c>
    </row>
    <row r="487" spans="1:20" x14ac:dyDescent="0.3">
      <c r="A487" t="s">
        <v>552</v>
      </c>
      <c r="B487" t="s">
        <v>1373</v>
      </c>
      <c r="C487" t="s">
        <v>974</v>
      </c>
      <c r="D487" t="s">
        <v>496</v>
      </c>
      <c r="E487" t="s">
        <v>1048</v>
      </c>
      <c r="F487" t="s">
        <v>1318</v>
      </c>
      <c r="G487" t="s">
        <v>1049</v>
      </c>
      <c r="H487" t="s">
        <v>1319</v>
      </c>
      <c r="I487" t="s">
        <v>1378</v>
      </c>
      <c r="J487" s="41">
        <v>-300</v>
      </c>
      <c r="K487" s="41">
        <v>0</v>
      </c>
      <c r="L487" s="41">
        <v>300</v>
      </c>
      <c r="M487" s="41">
        <v>-600</v>
      </c>
      <c r="N487" s="41">
        <v>600</v>
      </c>
      <c r="O487" s="41">
        <v>300</v>
      </c>
      <c r="P487" t="s">
        <v>1670</v>
      </c>
      <c r="Q487" t="s">
        <v>1350</v>
      </c>
      <c r="R487" t="s">
        <v>1166</v>
      </c>
      <c r="S487" t="s">
        <v>1167</v>
      </c>
      <c r="T487" t="s">
        <v>1320</v>
      </c>
    </row>
    <row r="488" spans="1:20" x14ac:dyDescent="0.3">
      <c r="A488" t="s">
        <v>552</v>
      </c>
      <c r="B488" t="s">
        <v>1373</v>
      </c>
      <c r="C488" t="s">
        <v>974</v>
      </c>
      <c r="D488" t="s">
        <v>496</v>
      </c>
      <c r="E488" t="s">
        <v>1048</v>
      </c>
      <c r="F488" t="s">
        <v>1318</v>
      </c>
      <c r="G488" t="s">
        <v>1049</v>
      </c>
      <c r="H488" t="s">
        <v>1319</v>
      </c>
      <c r="I488" t="s">
        <v>1379</v>
      </c>
      <c r="J488" s="41">
        <v>-217</v>
      </c>
      <c r="K488" s="41">
        <v>0</v>
      </c>
      <c r="L488" s="41">
        <v>0</v>
      </c>
      <c r="M488" s="41">
        <v>-217</v>
      </c>
      <c r="N488" s="41">
        <v>217</v>
      </c>
      <c r="O488" s="41">
        <v>0</v>
      </c>
      <c r="P488" t="s">
        <v>1670</v>
      </c>
      <c r="Q488" t="s">
        <v>1351</v>
      </c>
      <c r="R488" t="s">
        <v>1166</v>
      </c>
      <c r="S488" t="s">
        <v>1167</v>
      </c>
      <c r="T488" t="s">
        <v>1320</v>
      </c>
    </row>
    <row r="489" spans="1:20" x14ac:dyDescent="0.3">
      <c r="A489" t="s">
        <v>552</v>
      </c>
      <c r="B489" t="s">
        <v>1373</v>
      </c>
      <c r="C489" t="s">
        <v>974</v>
      </c>
      <c r="D489" t="s">
        <v>496</v>
      </c>
      <c r="E489" t="s">
        <v>1048</v>
      </c>
      <c r="F489" t="s">
        <v>1318</v>
      </c>
      <c r="G489" t="s">
        <v>1049</v>
      </c>
      <c r="H489" t="s">
        <v>1319</v>
      </c>
      <c r="I489" t="s">
        <v>1381</v>
      </c>
      <c r="J489" s="41">
        <v>-192.9</v>
      </c>
      <c r="K489" s="41">
        <v>0</v>
      </c>
      <c r="L489" s="41">
        <v>96.45</v>
      </c>
      <c r="M489" s="41">
        <v>-289.35000000000002</v>
      </c>
      <c r="N489" s="41">
        <v>289.35000000000002</v>
      </c>
      <c r="O489" s="41">
        <v>96.45</v>
      </c>
      <c r="P489" t="s">
        <v>1670</v>
      </c>
      <c r="Q489" t="s">
        <v>1352</v>
      </c>
      <c r="R489" t="s">
        <v>1166</v>
      </c>
      <c r="S489" t="s">
        <v>1167</v>
      </c>
      <c r="T489" t="s">
        <v>1320</v>
      </c>
    </row>
    <row r="490" spans="1:20" x14ac:dyDescent="0.3">
      <c r="A490" t="s">
        <v>552</v>
      </c>
      <c r="B490" t="s">
        <v>1373</v>
      </c>
      <c r="C490" t="s">
        <v>974</v>
      </c>
      <c r="D490" t="s">
        <v>496</v>
      </c>
      <c r="E490" t="s">
        <v>1048</v>
      </c>
      <c r="F490" t="s">
        <v>1318</v>
      </c>
      <c r="G490" t="s">
        <v>1049</v>
      </c>
      <c r="H490" t="s">
        <v>1319</v>
      </c>
      <c r="I490" t="s">
        <v>1382</v>
      </c>
      <c r="J490" s="41">
        <v>-110</v>
      </c>
      <c r="K490" s="41">
        <v>0</v>
      </c>
      <c r="L490" s="41">
        <v>55</v>
      </c>
      <c r="M490" s="41">
        <v>-165</v>
      </c>
      <c r="N490" s="41">
        <v>165</v>
      </c>
      <c r="O490" s="41">
        <v>55</v>
      </c>
      <c r="P490" t="s">
        <v>1670</v>
      </c>
      <c r="Q490" t="s">
        <v>1353</v>
      </c>
      <c r="R490" t="s">
        <v>1166</v>
      </c>
      <c r="S490" t="s">
        <v>1167</v>
      </c>
      <c r="T490" t="s">
        <v>1320</v>
      </c>
    </row>
    <row r="491" spans="1:20" x14ac:dyDescent="0.3">
      <c r="A491" t="s">
        <v>552</v>
      </c>
      <c r="B491" t="s">
        <v>1373</v>
      </c>
      <c r="C491" t="s">
        <v>974</v>
      </c>
      <c r="D491" t="s">
        <v>496</v>
      </c>
      <c r="E491" t="s">
        <v>1118</v>
      </c>
      <c r="F491" t="s">
        <v>1324</v>
      </c>
      <c r="G491" t="s">
        <v>1119</v>
      </c>
      <c r="H491" t="s">
        <v>1418</v>
      </c>
      <c r="I491" t="s">
        <v>1376</v>
      </c>
      <c r="J491" s="41">
        <v>-0.35</v>
      </c>
      <c r="K491" s="41">
        <v>0</v>
      </c>
      <c r="L491" s="41">
        <v>0</v>
      </c>
      <c r="M491" s="41">
        <v>-0.35</v>
      </c>
      <c r="N491" s="41">
        <v>0.35</v>
      </c>
      <c r="O491" s="41">
        <v>0</v>
      </c>
      <c r="P491" t="s">
        <v>1670</v>
      </c>
      <c r="Q491" t="s">
        <v>1357</v>
      </c>
      <c r="R491" t="s">
        <v>1166</v>
      </c>
      <c r="S491" t="s">
        <v>1167</v>
      </c>
      <c r="T491" t="s">
        <v>1419</v>
      </c>
    </row>
    <row r="492" spans="1:20" x14ac:dyDescent="0.3">
      <c r="A492" t="s">
        <v>552</v>
      </c>
      <c r="B492" t="s">
        <v>1373</v>
      </c>
      <c r="C492" t="s">
        <v>974</v>
      </c>
      <c r="D492" t="s">
        <v>496</v>
      </c>
      <c r="E492" t="s">
        <v>1118</v>
      </c>
      <c r="F492" t="s">
        <v>1324</v>
      </c>
      <c r="G492" t="s">
        <v>1119</v>
      </c>
      <c r="H492" t="s">
        <v>1418</v>
      </c>
      <c r="I492" t="s">
        <v>1378</v>
      </c>
      <c r="J492" s="41">
        <v>-83</v>
      </c>
      <c r="K492" s="41">
        <v>0</v>
      </c>
      <c r="L492" s="41">
        <v>0</v>
      </c>
      <c r="M492" s="41">
        <v>-83</v>
      </c>
      <c r="N492" s="41">
        <v>83</v>
      </c>
      <c r="O492" s="41">
        <v>0</v>
      </c>
      <c r="P492" t="s">
        <v>1670</v>
      </c>
      <c r="Q492" t="s">
        <v>1358</v>
      </c>
      <c r="R492" t="s">
        <v>1166</v>
      </c>
      <c r="S492" t="s">
        <v>1167</v>
      </c>
      <c r="T492" t="s">
        <v>1419</v>
      </c>
    </row>
    <row r="493" spans="1:20" x14ac:dyDescent="0.3">
      <c r="A493" t="s">
        <v>552</v>
      </c>
      <c r="B493" t="s">
        <v>1373</v>
      </c>
      <c r="C493" t="s">
        <v>974</v>
      </c>
      <c r="D493" t="s">
        <v>496</v>
      </c>
      <c r="E493" t="s">
        <v>1118</v>
      </c>
      <c r="F493" t="s">
        <v>1324</v>
      </c>
      <c r="G493" t="s">
        <v>1119</v>
      </c>
      <c r="H493" t="s">
        <v>1418</v>
      </c>
      <c r="I493" t="s">
        <v>1406</v>
      </c>
      <c r="J493" s="41">
        <v>-54.63</v>
      </c>
      <c r="K493" s="41">
        <v>0</v>
      </c>
      <c r="L493" s="41">
        <v>22.96</v>
      </c>
      <c r="M493" s="41">
        <v>-77.59</v>
      </c>
      <c r="N493" s="41">
        <v>77.59</v>
      </c>
      <c r="O493" s="41">
        <v>22.96</v>
      </c>
      <c r="P493" t="s">
        <v>1670</v>
      </c>
      <c r="Q493" t="s">
        <v>1565</v>
      </c>
      <c r="R493" t="s">
        <v>1166</v>
      </c>
      <c r="S493" t="s">
        <v>1167</v>
      </c>
      <c r="T493" t="s">
        <v>1419</v>
      </c>
    </row>
    <row r="494" spans="1:20" x14ac:dyDescent="0.3">
      <c r="A494" t="s">
        <v>552</v>
      </c>
      <c r="B494" t="s">
        <v>1373</v>
      </c>
      <c r="C494" t="s">
        <v>974</v>
      </c>
      <c r="D494" t="s">
        <v>496</v>
      </c>
      <c r="E494" t="s">
        <v>1060</v>
      </c>
      <c r="F494" t="s">
        <v>947</v>
      </c>
      <c r="G494" t="s">
        <v>1061</v>
      </c>
      <c r="H494" t="s">
        <v>1200</v>
      </c>
      <c r="I494" t="s">
        <v>1421</v>
      </c>
      <c r="J494" s="41">
        <v>5184.34</v>
      </c>
      <c r="K494" s="41">
        <v>2592.17</v>
      </c>
      <c r="L494" s="41">
        <v>0</v>
      </c>
      <c r="M494" s="41">
        <v>7776.51</v>
      </c>
      <c r="N494" s="41">
        <v>7776.51</v>
      </c>
      <c r="O494" s="41">
        <v>2592.17</v>
      </c>
      <c r="P494" t="s">
        <v>1670</v>
      </c>
      <c r="Q494" t="s">
        <v>1422</v>
      </c>
      <c r="R494" t="s">
        <v>1166</v>
      </c>
      <c r="S494" t="s">
        <v>1167</v>
      </c>
      <c r="T494" t="s">
        <v>1201</v>
      </c>
    </row>
    <row r="495" spans="1:20" x14ac:dyDescent="0.3">
      <c r="A495" t="s">
        <v>552</v>
      </c>
      <c r="B495" t="s">
        <v>1373</v>
      </c>
      <c r="C495" t="s">
        <v>974</v>
      </c>
      <c r="D495" t="s">
        <v>496</v>
      </c>
      <c r="E495" t="s">
        <v>1075</v>
      </c>
      <c r="F495" t="s">
        <v>947</v>
      </c>
      <c r="G495" t="s">
        <v>1076</v>
      </c>
      <c r="H495" t="s">
        <v>1205</v>
      </c>
      <c r="I495" t="s">
        <v>1423</v>
      </c>
      <c r="J495" s="41">
        <v>9.91</v>
      </c>
      <c r="K495" s="41">
        <v>16.899999999999999</v>
      </c>
      <c r="L495" s="41">
        <v>0</v>
      </c>
      <c r="M495" s="41">
        <v>26.81</v>
      </c>
      <c r="N495" s="41">
        <v>26.81</v>
      </c>
      <c r="O495" s="41">
        <v>16.899999999999999</v>
      </c>
      <c r="P495" t="s">
        <v>1670</v>
      </c>
      <c r="Q495" t="s">
        <v>1368</v>
      </c>
      <c r="R495" t="s">
        <v>1166</v>
      </c>
      <c r="S495" t="s">
        <v>1167</v>
      </c>
      <c r="T495" t="s">
        <v>1206</v>
      </c>
    </row>
    <row r="496" spans="1:20" x14ac:dyDescent="0.3">
      <c r="A496" t="s">
        <v>552</v>
      </c>
      <c r="B496" t="s">
        <v>1373</v>
      </c>
      <c r="C496" t="s">
        <v>974</v>
      </c>
      <c r="D496" t="s">
        <v>496</v>
      </c>
      <c r="E496" t="s">
        <v>1075</v>
      </c>
      <c r="F496" t="s">
        <v>947</v>
      </c>
      <c r="G496" t="s">
        <v>1076</v>
      </c>
      <c r="H496" t="s">
        <v>1205</v>
      </c>
      <c r="I496" t="s">
        <v>1425</v>
      </c>
      <c r="J496" s="41">
        <v>0</v>
      </c>
      <c r="K496" s="41">
        <v>35.04</v>
      </c>
      <c r="L496" s="41">
        <v>0</v>
      </c>
      <c r="M496" s="41">
        <v>35.04</v>
      </c>
      <c r="N496" s="41">
        <v>35.04</v>
      </c>
      <c r="O496" s="41">
        <v>35.04</v>
      </c>
      <c r="P496" t="s">
        <v>1670</v>
      </c>
      <c r="Q496" t="s">
        <v>1369</v>
      </c>
      <c r="R496" t="s">
        <v>1166</v>
      </c>
      <c r="S496" t="s">
        <v>1167</v>
      </c>
      <c r="T496" t="s">
        <v>1206</v>
      </c>
    </row>
    <row r="497" spans="1:20" x14ac:dyDescent="0.3">
      <c r="A497" t="s">
        <v>552</v>
      </c>
      <c r="B497" t="s">
        <v>1373</v>
      </c>
      <c r="C497" t="s">
        <v>974</v>
      </c>
      <c r="D497" t="s">
        <v>496</v>
      </c>
      <c r="E497" t="s">
        <v>1060</v>
      </c>
      <c r="F497" t="s">
        <v>947</v>
      </c>
      <c r="G497" t="s">
        <v>1061</v>
      </c>
      <c r="H497" t="s">
        <v>1430</v>
      </c>
      <c r="I497" t="s">
        <v>1428</v>
      </c>
      <c r="J497" s="41">
        <v>7600</v>
      </c>
      <c r="K497" s="41">
        <v>0</v>
      </c>
      <c r="L497" s="41">
        <v>0</v>
      </c>
      <c r="M497" s="41">
        <v>7600</v>
      </c>
      <c r="N497" s="41">
        <v>7600</v>
      </c>
      <c r="O497" s="41">
        <v>0</v>
      </c>
      <c r="P497" t="s">
        <v>1670</v>
      </c>
      <c r="Q497" t="s">
        <v>1426</v>
      </c>
      <c r="R497" t="s">
        <v>1192</v>
      </c>
      <c r="S497" t="s">
        <v>1193</v>
      </c>
      <c r="T497" t="s">
        <v>1431</v>
      </c>
    </row>
    <row r="498" spans="1:20" x14ac:dyDescent="0.3">
      <c r="A498" t="s">
        <v>552</v>
      </c>
      <c r="B498" t="s">
        <v>1373</v>
      </c>
      <c r="C498" t="s">
        <v>974</v>
      </c>
      <c r="D498" t="s">
        <v>496</v>
      </c>
      <c r="E498" t="s">
        <v>1060</v>
      </c>
      <c r="F498" t="s">
        <v>947</v>
      </c>
      <c r="G498" t="s">
        <v>1061</v>
      </c>
      <c r="H498" t="s">
        <v>1436</v>
      </c>
      <c r="I498" t="s">
        <v>1434</v>
      </c>
      <c r="J498" s="41">
        <v>0</v>
      </c>
      <c r="K498" s="41">
        <v>276.06</v>
      </c>
      <c r="L498" s="41">
        <v>0</v>
      </c>
      <c r="M498" s="41">
        <v>276.06</v>
      </c>
      <c r="N498" s="41">
        <v>276.06</v>
      </c>
      <c r="O498" s="41">
        <v>276.06</v>
      </c>
      <c r="P498" t="s">
        <v>1670</v>
      </c>
      <c r="Q498" t="s">
        <v>1432</v>
      </c>
      <c r="R498" t="s">
        <v>1166</v>
      </c>
      <c r="S498" t="s">
        <v>1167</v>
      </c>
      <c r="T498" t="s">
        <v>1437</v>
      </c>
    </row>
    <row r="499" spans="1:20" x14ac:dyDescent="0.3">
      <c r="A499" t="s">
        <v>552</v>
      </c>
      <c r="B499" t="s">
        <v>1373</v>
      </c>
      <c r="C499" t="s">
        <v>974</v>
      </c>
      <c r="D499" t="s">
        <v>496</v>
      </c>
      <c r="E499" t="s">
        <v>1060</v>
      </c>
      <c r="F499" t="s">
        <v>947</v>
      </c>
      <c r="G499" t="s">
        <v>1061</v>
      </c>
      <c r="H499" t="s">
        <v>1436</v>
      </c>
      <c r="I499" t="s">
        <v>1442</v>
      </c>
      <c r="J499" s="41">
        <v>0</v>
      </c>
      <c r="K499" s="41">
        <v>132.38</v>
      </c>
      <c r="L499" s="41">
        <v>0</v>
      </c>
      <c r="M499" s="41">
        <v>132.38</v>
      </c>
      <c r="N499" s="41">
        <v>132.38</v>
      </c>
      <c r="O499" s="41">
        <v>132.38</v>
      </c>
      <c r="P499" t="s">
        <v>1670</v>
      </c>
      <c r="Q499" t="s">
        <v>1438</v>
      </c>
      <c r="R499" t="s">
        <v>1166</v>
      </c>
      <c r="S499" t="s">
        <v>1167</v>
      </c>
      <c r="T499" t="s">
        <v>1437</v>
      </c>
    </row>
    <row r="500" spans="1:20" x14ac:dyDescent="0.3">
      <c r="A500" t="s">
        <v>552</v>
      </c>
      <c r="B500" t="s">
        <v>1373</v>
      </c>
      <c r="C500" t="s">
        <v>974</v>
      </c>
      <c r="D500" t="s">
        <v>496</v>
      </c>
      <c r="E500" t="s">
        <v>1060</v>
      </c>
      <c r="F500" t="s">
        <v>947</v>
      </c>
      <c r="G500" t="s">
        <v>1061</v>
      </c>
      <c r="H500" t="s">
        <v>1447</v>
      </c>
      <c r="I500" t="s">
        <v>1445</v>
      </c>
      <c r="J500" s="41">
        <v>122.93</v>
      </c>
      <c r="K500" s="41">
        <v>0</v>
      </c>
      <c r="L500" s="41">
        <v>0</v>
      </c>
      <c r="M500" s="41">
        <v>122.93</v>
      </c>
      <c r="N500" s="41">
        <v>122.93</v>
      </c>
      <c r="O500" s="41">
        <v>0</v>
      </c>
      <c r="P500" t="s">
        <v>1670</v>
      </c>
      <c r="Q500" t="s">
        <v>1441</v>
      </c>
      <c r="R500" t="s">
        <v>1166</v>
      </c>
      <c r="S500" t="s">
        <v>1167</v>
      </c>
      <c r="T500" t="s">
        <v>1448</v>
      </c>
    </row>
    <row r="501" spans="1:20" x14ac:dyDescent="0.3">
      <c r="A501" t="s">
        <v>552</v>
      </c>
      <c r="B501" t="s">
        <v>1373</v>
      </c>
      <c r="C501" t="s">
        <v>974</v>
      </c>
      <c r="D501" t="s">
        <v>496</v>
      </c>
      <c r="E501" t="s">
        <v>1060</v>
      </c>
      <c r="F501" t="s">
        <v>947</v>
      </c>
      <c r="G501" t="s">
        <v>1061</v>
      </c>
      <c r="H501" t="s">
        <v>1451</v>
      </c>
      <c r="I501" t="s">
        <v>1421</v>
      </c>
      <c r="J501" s="41">
        <v>1571.66</v>
      </c>
      <c r="K501" s="41">
        <v>670.33</v>
      </c>
      <c r="L501" s="41">
        <v>0</v>
      </c>
      <c r="M501" s="41">
        <v>2241.9899999999998</v>
      </c>
      <c r="N501" s="41">
        <v>2241.9899999999998</v>
      </c>
      <c r="O501" s="41">
        <v>670.33</v>
      </c>
      <c r="P501" t="s">
        <v>1670</v>
      </c>
      <c r="Q501" t="s">
        <v>1443</v>
      </c>
      <c r="R501" t="s">
        <v>1192</v>
      </c>
      <c r="S501" t="s">
        <v>1193</v>
      </c>
      <c r="T501" t="s">
        <v>1452</v>
      </c>
    </row>
    <row r="502" spans="1:20" x14ac:dyDescent="0.3">
      <c r="A502" t="s">
        <v>552</v>
      </c>
      <c r="B502" t="s">
        <v>1373</v>
      </c>
      <c r="C502" t="s">
        <v>974</v>
      </c>
      <c r="D502" t="s">
        <v>496</v>
      </c>
      <c r="E502" t="s">
        <v>1062</v>
      </c>
      <c r="F502" t="s">
        <v>947</v>
      </c>
      <c r="G502" t="s">
        <v>1063</v>
      </c>
      <c r="H502" t="s">
        <v>1331</v>
      </c>
      <c r="I502" t="s">
        <v>1454</v>
      </c>
      <c r="J502" s="41">
        <v>445</v>
      </c>
      <c r="K502" s="41">
        <v>0</v>
      </c>
      <c r="L502" s="41">
        <v>0</v>
      </c>
      <c r="M502" s="41">
        <v>445</v>
      </c>
      <c r="N502" s="41">
        <v>445</v>
      </c>
      <c r="O502" s="41">
        <v>0</v>
      </c>
      <c r="P502" t="s">
        <v>1670</v>
      </c>
      <c r="Q502" t="s">
        <v>1579</v>
      </c>
      <c r="R502" t="s">
        <v>1166</v>
      </c>
      <c r="S502" t="s">
        <v>1167</v>
      </c>
      <c r="T502" t="s">
        <v>1332</v>
      </c>
    </row>
    <row r="503" spans="1:20" x14ac:dyDescent="0.3">
      <c r="A503" t="s">
        <v>552</v>
      </c>
      <c r="B503" t="s">
        <v>1373</v>
      </c>
      <c r="C503" t="s">
        <v>974</v>
      </c>
      <c r="D503" t="s">
        <v>496</v>
      </c>
      <c r="E503" t="s">
        <v>1064</v>
      </c>
      <c r="F503" t="s">
        <v>947</v>
      </c>
      <c r="G503" t="s">
        <v>1065</v>
      </c>
      <c r="H503" t="s">
        <v>1222</v>
      </c>
      <c r="I503" t="s">
        <v>1456</v>
      </c>
      <c r="J503" s="41">
        <v>4021.87</v>
      </c>
      <c r="K503" s="41">
        <v>2.1800000000000002</v>
      </c>
      <c r="L503" s="41">
        <v>0</v>
      </c>
      <c r="M503" s="41">
        <v>4024.05</v>
      </c>
      <c r="N503" s="41">
        <v>4024.05</v>
      </c>
      <c r="O503" s="41">
        <v>2.1800000000000002</v>
      </c>
      <c r="P503" t="s">
        <v>1670</v>
      </c>
      <c r="Q503" t="s">
        <v>1570</v>
      </c>
      <c r="R503" t="s">
        <v>1166</v>
      </c>
      <c r="S503" t="s">
        <v>1167</v>
      </c>
      <c r="T503" t="s">
        <v>1223</v>
      </c>
    </row>
    <row r="504" spans="1:20" x14ac:dyDescent="0.3">
      <c r="A504" t="s">
        <v>552</v>
      </c>
      <c r="B504" t="s">
        <v>1373</v>
      </c>
      <c r="C504" t="s">
        <v>974</v>
      </c>
      <c r="D504" t="s">
        <v>496</v>
      </c>
      <c r="E504" t="s">
        <v>1069</v>
      </c>
      <c r="F504" t="s">
        <v>947</v>
      </c>
      <c r="G504" t="s">
        <v>1070</v>
      </c>
      <c r="H504" t="s">
        <v>1243</v>
      </c>
      <c r="I504" t="s">
        <v>1458</v>
      </c>
      <c r="J504" s="41">
        <v>225.35</v>
      </c>
      <c r="K504" s="41">
        <v>0</v>
      </c>
      <c r="L504" s="41">
        <v>0</v>
      </c>
      <c r="M504" s="41">
        <v>225.35</v>
      </c>
      <c r="N504" s="41">
        <v>225.35</v>
      </c>
      <c r="O504" s="41">
        <v>0</v>
      </c>
      <c r="P504" t="s">
        <v>1670</v>
      </c>
      <c r="Q504" t="s">
        <v>1600</v>
      </c>
      <c r="R504" t="s">
        <v>1166</v>
      </c>
      <c r="S504" t="s">
        <v>1193</v>
      </c>
      <c r="T504" t="s">
        <v>1244</v>
      </c>
    </row>
    <row r="505" spans="1:20" x14ac:dyDescent="0.3">
      <c r="A505" t="s">
        <v>552</v>
      </c>
      <c r="B505" t="s">
        <v>1373</v>
      </c>
      <c r="C505" t="s">
        <v>974</v>
      </c>
      <c r="D505" t="s">
        <v>496</v>
      </c>
      <c r="E505" t="s">
        <v>1069</v>
      </c>
      <c r="F505" t="s">
        <v>947</v>
      </c>
      <c r="G505" t="s">
        <v>1070</v>
      </c>
      <c r="H505" t="s">
        <v>1243</v>
      </c>
      <c r="I505" t="s">
        <v>1460</v>
      </c>
      <c r="J505" s="41">
        <v>191.4</v>
      </c>
      <c r="K505" s="41">
        <v>0</v>
      </c>
      <c r="L505" s="41">
        <v>0</v>
      </c>
      <c r="M505" s="41">
        <v>191.4</v>
      </c>
      <c r="N505" s="41">
        <v>191.4</v>
      </c>
      <c r="O505" s="41">
        <v>0</v>
      </c>
      <c r="P505" t="s">
        <v>1670</v>
      </c>
      <c r="Q505" t="s">
        <v>1580</v>
      </c>
      <c r="R505" t="s">
        <v>1166</v>
      </c>
      <c r="S505" t="s">
        <v>1193</v>
      </c>
      <c r="T505" t="s">
        <v>1244</v>
      </c>
    </row>
    <row r="506" spans="1:20" x14ac:dyDescent="0.3">
      <c r="A506" t="s">
        <v>552</v>
      </c>
      <c r="B506" t="s">
        <v>1373</v>
      </c>
      <c r="C506" t="s">
        <v>974</v>
      </c>
      <c r="D506" t="s">
        <v>496</v>
      </c>
      <c r="E506" t="s">
        <v>1069</v>
      </c>
      <c r="F506" t="s">
        <v>947</v>
      </c>
      <c r="G506" t="s">
        <v>1070</v>
      </c>
      <c r="H506" t="s">
        <v>1243</v>
      </c>
      <c r="I506" t="s">
        <v>1464</v>
      </c>
      <c r="J506" s="41">
        <v>40</v>
      </c>
      <c r="K506" s="41">
        <v>20</v>
      </c>
      <c r="L506" s="41">
        <v>0</v>
      </c>
      <c r="M506" s="41">
        <v>60</v>
      </c>
      <c r="N506" s="41">
        <v>60</v>
      </c>
      <c r="O506" s="41">
        <v>20</v>
      </c>
      <c r="P506" t="s">
        <v>1670</v>
      </c>
      <c r="Q506" t="s">
        <v>1457</v>
      </c>
      <c r="R506" t="s">
        <v>1166</v>
      </c>
      <c r="S506" t="s">
        <v>1193</v>
      </c>
      <c r="T506" t="s">
        <v>1244</v>
      </c>
    </row>
    <row r="507" spans="1:20" x14ac:dyDescent="0.3">
      <c r="A507" t="s">
        <v>552</v>
      </c>
      <c r="B507" t="s">
        <v>1373</v>
      </c>
      <c r="C507" t="s">
        <v>974</v>
      </c>
      <c r="D507" t="s">
        <v>496</v>
      </c>
      <c r="E507" t="s">
        <v>1073</v>
      </c>
      <c r="F507" t="s">
        <v>947</v>
      </c>
      <c r="G507" t="s">
        <v>1074</v>
      </c>
      <c r="H507" t="s">
        <v>1471</v>
      </c>
      <c r="I507" t="s">
        <v>1469</v>
      </c>
      <c r="J507" s="41">
        <v>22.9</v>
      </c>
      <c r="K507" s="41">
        <v>11.39</v>
      </c>
      <c r="L507" s="41">
        <v>0</v>
      </c>
      <c r="M507" s="41">
        <v>34.29</v>
      </c>
      <c r="N507" s="41">
        <v>34.29</v>
      </c>
      <c r="O507" s="41">
        <v>11.39</v>
      </c>
      <c r="P507" t="s">
        <v>1670</v>
      </c>
      <c r="Q507" t="s">
        <v>1461</v>
      </c>
      <c r="R507" t="s">
        <v>1166</v>
      </c>
      <c r="S507" t="s">
        <v>1167</v>
      </c>
      <c r="T507" t="s">
        <v>1472</v>
      </c>
    </row>
    <row r="508" spans="1:20" x14ac:dyDescent="0.3">
      <c r="A508" t="s">
        <v>552</v>
      </c>
      <c r="B508" t="s">
        <v>1373</v>
      </c>
      <c r="C508" t="s">
        <v>974</v>
      </c>
      <c r="D508" t="s">
        <v>496</v>
      </c>
      <c r="E508" t="s">
        <v>1077</v>
      </c>
      <c r="F508" t="s">
        <v>947</v>
      </c>
      <c r="G508" t="s">
        <v>1078</v>
      </c>
      <c r="H508" t="s">
        <v>576</v>
      </c>
      <c r="I508" t="s">
        <v>1474</v>
      </c>
      <c r="J508" s="41">
        <v>405.87</v>
      </c>
      <c r="K508" s="41">
        <v>172.4</v>
      </c>
      <c r="L508" s="41">
        <v>0</v>
      </c>
      <c r="M508" s="41">
        <v>578.27</v>
      </c>
      <c r="N508" s="41">
        <v>578.27</v>
      </c>
      <c r="O508" s="41">
        <v>172.4</v>
      </c>
      <c r="P508" t="s">
        <v>1670</v>
      </c>
      <c r="Q508" t="s">
        <v>1465</v>
      </c>
      <c r="R508" t="s">
        <v>1192</v>
      </c>
      <c r="S508" t="s">
        <v>1193</v>
      </c>
      <c r="T508" t="s">
        <v>1476</v>
      </c>
    </row>
    <row r="509" spans="1:20" x14ac:dyDescent="0.3">
      <c r="A509" t="s">
        <v>552</v>
      </c>
      <c r="B509" t="s">
        <v>1373</v>
      </c>
      <c r="C509" t="s">
        <v>974</v>
      </c>
      <c r="D509" t="s">
        <v>496</v>
      </c>
      <c r="E509" t="s">
        <v>1079</v>
      </c>
      <c r="F509" t="s">
        <v>947</v>
      </c>
      <c r="G509" t="s">
        <v>1080</v>
      </c>
      <c r="H509" t="s">
        <v>1480</v>
      </c>
      <c r="I509" t="s">
        <v>1425</v>
      </c>
      <c r="J509" s="41">
        <v>0</v>
      </c>
      <c r="K509" s="41">
        <v>35.1</v>
      </c>
      <c r="L509" s="41">
        <v>0</v>
      </c>
      <c r="M509" s="41">
        <v>35.1</v>
      </c>
      <c r="N509" s="41">
        <v>35.1</v>
      </c>
      <c r="O509" s="41">
        <v>35.1</v>
      </c>
      <c r="P509" t="s">
        <v>1670</v>
      </c>
      <c r="Q509" t="s">
        <v>1613</v>
      </c>
      <c r="R509" t="s">
        <v>1166</v>
      </c>
      <c r="S509" t="s">
        <v>1193</v>
      </c>
      <c r="T509" t="s">
        <v>1481</v>
      </c>
    </row>
    <row r="510" spans="1:20" x14ac:dyDescent="0.3">
      <c r="A510" t="s">
        <v>552</v>
      </c>
      <c r="B510" t="s">
        <v>1373</v>
      </c>
      <c r="C510" t="s">
        <v>974</v>
      </c>
      <c r="D510" t="s">
        <v>496</v>
      </c>
      <c r="E510" t="s">
        <v>1079</v>
      </c>
      <c r="F510" t="s">
        <v>947</v>
      </c>
      <c r="G510" t="s">
        <v>1080</v>
      </c>
      <c r="H510" t="s">
        <v>1480</v>
      </c>
      <c r="I510" t="s">
        <v>1483</v>
      </c>
      <c r="J510" s="41">
        <v>50.73</v>
      </c>
      <c r="K510" s="41">
        <v>31.85</v>
      </c>
      <c r="L510" s="41">
        <v>0</v>
      </c>
      <c r="M510" s="41">
        <v>82.58</v>
      </c>
      <c r="N510" s="41">
        <v>82.58</v>
      </c>
      <c r="O510" s="41">
        <v>31.85</v>
      </c>
      <c r="P510" t="s">
        <v>1670</v>
      </c>
      <c r="Q510" t="s">
        <v>1473</v>
      </c>
      <c r="R510" t="s">
        <v>1166</v>
      </c>
      <c r="S510" t="s">
        <v>1193</v>
      </c>
      <c r="T510" t="s">
        <v>1481</v>
      </c>
    </row>
    <row r="511" spans="1:20" x14ac:dyDescent="0.3">
      <c r="A511" t="s">
        <v>552</v>
      </c>
      <c r="B511" t="s">
        <v>1373</v>
      </c>
      <c r="C511" t="s">
        <v>974</v>
      </c>
      <c r="D511" t="s">
        <v>496</v>
      </c>
      <c r="E511" t="s">
        <v>1081</v>
      </c>
      <c r="F511" t="s">
        <v>947</v>
      </c>
      <c r="G511" t="s">
        <v>1082</v>
      </c>
      <c r="H511" t="s">
        <v>1488</v>
      </c>
      <c r="I511" t="s">
        <v>1486</v>
      </c>
      <c r="J511" s="41">
        <v>0</v>
      </c>
      <c r="K511" s="41">
        <v>125.13</v>
      </c>
      <c r="L511" s="41">
        <v>0</v>
      </c>
      <c r="M511" s="41">
        <v>125.13</v>
      </c>
      <c r="N511" s="41">
        <v>125.13</v>
      </c>
      <c r="O511" s="41">
        <v>125.13</v>
      </c>
      <c r="P511" t="s">
        <v>1670</v>
      </c>
      <c r="Q511" t="s">
        <v>1614</v>
      </c>
      <c r="R511" t="s">
        <v>1166</v>
      </c>
      <c r="S511" t="s">
        <v>1193</v>
      </c>
      <c r="T511" t="s">
        <v>1489</v>
      </c>
    </row>
    <row r="512" spans="1:20" x14ac:dyDescent="0.3">
      <c r="A512" t="s">
        <v>552</v>
      </c>
      <c r="B512" t="s">
        <v>1373</v>
      </c>
      <c r="C512" t="s">
        <v>974</v>
      </c>
      <c r="D512" t="s">
        <v>496</v>
      </c>
      <c r="E512" t="s">
        <v>1081</v>
      </c>
      <c r="F512" t="s">
        <v>947</v>
      </c>
      <c r="G512" t="s">
        <v>1082</v>
      </c>
      <c r="H512" t="s">
        <v>1488</v>
      </c>
      <c r="I512" t="s">
        <v>1491</v>
      </c>
      <c r="J512" s="41">
        <v>0</v>
      </c>
      <c r="K512" s="41">
        <v>63.15</v>
      </c>
      <c r="L512" s="41">
        <v>0</v>
      </c>
      <c r="M512" s="41">
        <v>63.15</v>
      </c>
      <c r="N512" s="41">
        <v>63.15</v>
      </c>
      <c r="O512" s="41">
        <v>63.15</v>
      </c>
      <c r="P512" t="s">
        <v>1670</v>
      </c>
      <c r="Q512" t="s">
        <v>1477</v>
      </c>
      <c r="R512" t="s">
        <v>1166</v>
      </c>
      <c r="S512" t="s">
        <v>1193</v>
      </c>
      <c r="T512" t="s">
        <v>1489</v>
      </c>
    </row>
    <row r="513" spans="1:20" x14ac:dyDescent="0.3">
      <c r="A513" t="s">
        <v>552</v>
      </c>
      <c r="B513" t="s">
        <v>1373</v>
      </c>
      <c r="C513" t="s">
        <v>974</v>
      </c>
      <c r="D513" t="s">
        <v>496</v>
      </c>
      <c r="E513" t="s">
        <v>1081</v>
      </c>
      <c r="F513" t="s">
        <v>947</v>
      </c>
      <c r="G513" t="s">
        <v>1082</v>
      </c>
      <c r="H513" t="s">
        <v>1488</v>
      </c>
      <c r="I513" t="s">
        <v>1505</v>
      </c>
      <c r="J513" s="41">
        <v>177.68</v>
      </c>
      <c r="K513" s="41">
        <v>0</v>
      </c>
      <c r="L513" s="41">
        <v>0</v>
      </c>
      <c r="M513" s="41">
        <v>177.68</v>
      </c>
      <c r="N513" s="41">
        <v>177.68</v>
      </c>
      <c r="O513" s="41">
        <v>0</v>
      </c>
      <c r="P513" t="s">
        <v>1670</v>
      </c>
      <c r="Q513" t="s">
        <v>1482</v>
      </c>
      <c r="R513" t="s">
        <v>1166</v>
      </c>
      <c r="S513" t="s">
        <v>1193</v>
      </c>
      <c r="T513" t="s">
        <v>1489</v>
      </c>
    </row>
    <row r="514" spans="1:20" x14ac:dyDescent="0.3">
      <c r="A514" t="s">
        <v>552</v>
      </c>
      <c r="B514" t="s">
        <v>1373</v>
      </c>
      <c r="C514" t="s">
        <v>974</v>
      </c>
      <c r="D514" t="s">
        <v>496</v>
      </c>
      <c r="E514" t="s">
        <v>1081</v>
      </c>
      <c r="F514" t="s">
        <v>947</v>
      </c>
      <c r="G514" t="s">
        <v>1082</v>
      </c>
      <c r="H514" t="s">
        <v>1488</v>
      </c>
      <c r="I514" t="s">
        <v>1507</v>
      </c>
      <c r="J514" s="41">
        <v>248</v>
      </c>
      <c r="K514" s="41">
        <v>0</v>
      </c>
      <c r="L514" s="41">
        <v>0</v>
      </c>
      <c r="M514" s="41">
        <v>248</v>
      </c>
      <c r="N514" s="41">
        <v>248</v>
      </c>
      <c r="O514" s="41">
        <v>0</v>
      </c>
      <c r="P514" t="s">
        <v>1670</v>
      </c>
      <c r="Q514" t="s">
        <v>1582</v>
      </c>
      <c r="R514" t="s">
        <v>1166</v>
      </c>
      <c r="S514" t="s">
        <v>1193</v>
      </c>
      <c r="T514" t="s">
        <v>1489</v>
      </c>
    </row>
    <row r="515" spans="1:20" x14ac:dyDescent="0.3">
      <c r="A515" t="s">
        <v>552</v>
      </c>
      <c r="B515" t="s">
        <v>1373</v>
      </c>
      <c r="C515" t="s">
        <v>974</v>
      </c>
      <c r="D515" t="s">
        <v>496</v>
      </c>
      <c r="E515" t="s">
        <v>1081</v>
      </c>
      <c r="F515" t="s">
        <v>947</v>
      </c>
      <c r="G515" t="s">
        <v>1082</v>
      </c>
      <c r="H515" t="s">
        <v>1488</v>
      </c>
      <c r="I515" t="s">
        <v>1509</v>
      </c>
      <c r="J515" s="41">
        <v>30.09</v>
      </c>
      <c r="K515" s="41">
        <v>0</v>
      </c>
      <c r="L515" s="41">
        <v>0</v>
      </c>
      <c r="M515" s="41">
        <v>30.09</v>
      </c>
      <c r="N515" s="41">
        <v>30.09</v>
      </c>
      <c r="O515" s="41">
        <v>0</v>
      </c>
      <c r="P515" t="s">
        <v>1670</v>
      </c>
      <c r="Q515" t="s">
        <v>1484</v>
      </c>
      <c r="R515" t="s">
        <v>1166</v>
      </c>
      <c r="S515" t="s">
        <v>1193</v>
      </c>
      <c r="T515" t="s">
        <v>1489</v>
      </c>
    </row>
    <row r="516" spans="1:20" x14ac:dyDescent="0.3">
      <c r="A516" t="s">
        <v>552</v>
      </c>
      <c r="B516" t="s">
        <v>1373</v>
      </c>
      <c r="C516" t="s">
        <v>974</v>
      </c>
      <c r="D516" t="s">
        <v>496</v>
      </c>
      <c r="E516" t="s">
        <v>1081</v>
      </c>
      <c r="F516" t="s">
        <v>947</v>
      </c>
      <c r="G516" t="s">
        <v>1082</v>
      </c>
      <c r="H516" t="s">
        <v>1488</v>
      </c>
      <c r="I516" t="s">
        <v>1513</v>
      </c>
      <c r="J516" s="41">
        <v>0</v>
      </c>
      <c r="K516" s="41">
        <v>7.03</v>
      </c>
      <c r="L516" s="41">
        <v>0</v>
      </c>
      <c r="M516" s="41">
        <v>7.03</v>
      </c>
      <c r="N516" s="41">
        <v>7.03</v>
      </c>
      <c r="O516" s="41">
        <v>7.03</v>
      </c>
      <c r="P516" t="s">
        <v>1670</v>
      </c>
      <c r="Q516" t="s">
        <v>1490</v>
      </c>
      <c r="R516" t="s">
        <v>1166</v>
      </c>
      <c r="S516" t="s">
        <v>1193</v>
      </c>
      <c r="T516" t="s">
        <v>1489</v>
      </c>
    </row>
    <row r="517" spans="1:20" x14ac:dyDescent="0.3">
      <c r="A517" t="s">
        <v>552</v>
      </c>
      <c r="B517" t="s">
        <v>1373</v>
      </c>
      <c r="C517" t="s">
        <v>974</v>
      </c>
      <c r="D517" t="s">
        <v>496</v>
      </c>
      <c r="E517" t="s">
        <v>1081</v>
      </c>
      <c r="F517" t="s">
        <v>947</v>
      </c>
      <c r="G517" t="s">
        <v>1082</v>
      </c>
      <c r="H517" t="s">
        <v>1488</v>
      </c>
      <c r="I517" t="s">
        <v>1519</v>
      </c>
      <c r="J517" s="41">
        <v>0</v>
      </c>
      <c r="K517" s="41">
        <v>72.540000000000006</v>
      </c>
      <c r="L517" s="41">
        <v>0</v>
      </c>
      <c r="M517" s="41">
        <v>72.540000000000006</v>
      </c>
      <c r="N517" s="41">
        <v>72.540000000000006</v>
      </c>
      <c r="O517" s="41">
        <v>72.540000000000006</v>
      </c>
      <c r="P517" t="s">
        <v>1670</v>
      </c>
      <c r="Q517" t="s">
        <v>1492</v>
      </c>
      <c r="R517" t="s">
        <v>1166</v>
      </c>
      <c r="S517" t="s">
        <v>1193</v>
      </c>
      <c r="T517" t="s">
        <v>1489</v>
      </c>
    </row>
    <row r="518" spans="1:20" x14ac:dyDescent="0.3">
      <c r="A518" t="s">
        <v>552</v>
      </c>
      <c r="B518" t="s">
        <v>1373</v>
      </c>
      <c r="C518" t="s">
        <v>974</v>
      </c>
      <c r="D518" t="s">
        <v>496</v>
      </c>
      <c r="E518" t="s">
        <v>1062</v>
      </c>
      <c r="F518" t="s">
        <v>947</v>
      </c>
      <c r="G518" t="s">
        <v>1063</v>
      </c>
      <c r="H518" t="s">
        <v>1531</v>
      </c>
      <c r="I518" t="s">
        <v>1529</v>
      </c>
      <c r="J518" s="41">
        <v>0</v>
      </c>
      <c r="K518" s="41">
        <v>2557.46</v>
      </c>
      <c r="L518" s="41">
        <v>0</v>
      </c>
      <c r="M518" s="41">
        <v>2557.46</v>
      </c>
      <c r="N518" s="41">
        <v>2557.46</v>
      </c>
      <c r="O518" s="41">
        <v>2557.46</v>
      </c>
      <c r="P518" t="s">
        <v>1670</v>
      </c>
      <c r="Q518" t="s">
        <v>1498</v>
      </c>
      <c r="R518" t="s">
        <v>1166</v>
      </c>
      <c r="S518" t="s">
        <v>1167</v>
      </c>
      <c r="T518" t="s">
        <v>1532</v>
      </c>
    </row>
    <row r="519" spans="1:20" x14ac:dyDescent="0.3">
      <c r="A519" t="s">
        <v>552</v>
      </c>
      <c r="B519" t="s">
        <v>1373</v>
      </c>
      <c r="C519" t="s">
        <v>974</v>
      </c>
      <c r="D519" t="s">
        <v>496</v>
      </c>
      <c r="E519" t="s">
        <v>1062</v>
      </c>
      <c r="F519" t="s">
        <v>947</v>
      </c>
      <c r="G519" t="s">
        <v>1063</v>
      </c>
      <c r="H519" t="s">
        <v>1531</v>
      </c>
      <c r="I519" t="s">
        <v>1529</v>
      </c>
      <c r="J519" s="41">
        <v>1500</v>
      </c>
      <c r="K519" s="41">
        <v>0</v>
      </c>
      <c r="L519" s="41">
        <v>0</v>
      </c>
      <c r="M519" s="41">
        <v>1500</v>
      </c>
      <c r="N519" s="41">
        <v>1500</v>
      </c>
      <c r="O519" s="41">
        <v>0</v>
      </c>
      <c r="P519" t="s">
        <v>1670</v>
      </c>
      <c r="Q519" t="s">
        <v>1500</v>
      </c>
      <c r="R519" t="s">
        <v>1166</v>
      </c>
      <c r="S519" t="s">
        <v>1167</v>
      </c>
      <c r="T519" t="s">
        <v>1532</v>
      </c>
    </row>
    <row r="520" spans="1:20" x14ac:dyDescent="0.3">
      <c r="A520" t="s">
        <v>552</v>
      </c>
      <c r="B520" t="s">
        <v>1373</v>
      </c>
      <c r="C520" t="s">
        <v>974</v>
      </c>
      <c r="D520" t="s">
        <v>496</v>
      </c>
      <c r="E520" t="s">
        <v>1097</v>
      </c>
      <c r="F520" t="s">
        <v>948</v>
      </c>
      <c r="G520" t="s">
        <v>1098</v>
      </c>
      <c r="H520" t="s">
        <v>1340</v>
      </c>
      <c r="I520" t="s">
        <v>1535</v>
      </c>
      <c r="J520" s="41">
        <v>0</v>
      </c>
      <c r="K520" s="41">
        <v>400</v>
      </c>
      <c r="L520" s="41">
        <v>0</v>
      </c>
      <c r="M520" s="41">
        <v>400</v>
      </c>
      <c r="N520" s="41">
        <v>400</v>
      </c>
      <c r="O520" s="41">
        <v>400</v>
      </c>
      <c r="P520" t="s">
        <v>1670</v>
      </c>
      <c r="Q520" t="s">
        <v>1506</v>
      </c>
      <c r="R520" t="s">
        <v>1166</v>
      </c>
      <c r="S520" t="s">
        <v>1167</v>
      </c>
      <c r="T520" t="s">
        <v>1341</v>
      </c>
    </row>
    <row r="521" spans="1:20" x14ac:dyDescent="0.3">
      <c r="A521" t="s">
        <v>552</v>
      </c>
      <c r="B521" t="s">
        <v>1373</v>
      </c>
      <c r="C521" t="s">
        <v>974</v>
      </c>
      <c r="D521" t="s">
        <v>496</v>
      </c>
      <c r="E521" t="s">
        <v>1099</v>
      </c>
      <c r="F521" t="s">
        <v>948</v>
      </c>
      <c r="G521" t="s">
        <v>1100</v>
      </c>
      <c r="H521" t="s">
        <v>576</v>
      </c>
      <c r="I521" t="s">
        <v>1537</v>
      </c>
      <c r="J521" s="41">
        <v>648</v>
      </c>
      <c r="K521" s="41">
        <v>0</v>
      </c>
      <c r="L521" s="41">
        <v>0</v>
      </c>
      <c r="M521" s="41">
        <v>648</v>
      </c>
      <c r="N521" s="41">
        <v>648</v>
      </c>
      <c r="O521" s="41">
        <v>0</v>
      </c>
      <c r="P521" t="s">
        <v>1670</v>
      </c>
      <c r="Q521" t="s">
        <v>1510</v>
      </c>
      <c r="R521" t="s">
        <v>1192</v>
      </c>
      <c r="S521" t="s">
        <v>1193</v>
      </c>
      <c r="T521" t="s">
        <v>1539</v>
      </c>
    </row>
    <row r="522" spans="1:20" x14ac:dyDescent="0.3">
      <c r="A522" t="s">
        <v>552</v>
      </c>
      <c r="B522" t="s">
        <v>1373</v>
      </c>
      <c r="C522" t="s">
        <v>974</v>
      </c>
      <c r="D522" t="s">
        <v>496</v>
      </c>
      <c r="E522" t="s">
        <v>1123</v>
      </c>
      <c r="F522" t="s">
        <v>717</v>
      </c>
      <c r="G522" t="s">
        <v>717</v>
      </c>
      <c r="H522" t="s">
        <v>1547</v>
      </c>
      <c r="I522" t="s">
        <v>1545</v>
      </c>
      <c r="J522" s="41">
        <v>5.22</v>
      </c>
      <c r="K522" s="41">
        <v>5.22</v>
      </c>
      <c r="L522" s="41">
        <v>0</v>
      </c>
      <c r="M522" s="41">
        <v>10.44</v>
      </c>
      <c r="N522" s="41">
        <v>10.44</v>
      </c>
      <c r="O522" s="41">
        <v>5.22</v>
      </c>
      <c r="P522" t="s">
        <v>1670</v>
      </c>
      <c r="Q522" t="s">
        <v>1518</v>
      </c>
      <c r="R522" t="s">
        <v>1166</v>
      </c>
      <c r="S522" t="s">
        <v>1167</v>
      </c>
      <c r="T522" t="s">
        <v>1548</v>
      </c>
    </row>
    <row r="523" spans="1:20" x14ac:dyDescent="0.3">
      <c r="A523" t="s">
        <v>552</v>
      </c>
      <c r="B523" t="s">
        <v>1373</v>
      </c>
      <c r="C523" t="s">
        <v>974</v>
      </c>
      <c r="D523" t="s">
        <v>496</v>
      </c>
      <c r="E523" t="s">
        <v>1123</v>
      </c>
      <c r="F523" t="s">
        <v>717</v>
      </c>
      <c r="G523" t="s">
        <v>717</v>
      </c>
      <c r="H523" t="s">
        <v>1547</v>
      </c>
      <c r="I523" t="s">
        <v>1382</v>
      </c>
      <c r="J523" s="41">
        <v>0</v>
      </c>
      <c r="K523" s="41">
        <v>3.11</v>
      </c>
      <c r="L523" s="41">
        <v>0</v>
      </c>
      <c r="M523" s="41">
        <v>3.11</v>
      </c>
      <c r="N523" s="41">
        <v>3.11</v>
      </c>
      <c r="O523" s="41">
        <v>3.11</v>
      </c>
      <c r="P523" t="s">
        <v>1670</v>
      </c>
      <c r="Q523" t="s">
        <v>1624</v>
      </c>
      <c r="R523" t="s">
        <v>1166</v>
      </c>
      <c r="S523" t="s">
        <v>1167</v>
      </c>
      <c r="T523" t="s">
        <v>1548</v>
      </c>
    </row>
    <row r="524" spans="1:20" x14ac:dyDescent="0.3">
      <c r="A524" t="s">
        <v>552</v>
      </c>
      <c r="B524" t="s">
        <v>1373</v>
      </c>
      <c r="C524" t="s">
        <v>974</v>
      </c>
      <c r="D524" t="s">
        <v>496</v>
      </c>
      <c r="E524" t="s">
        <v>1123</v>
      </c>
      <c r="F524" t="s">
        <v>717</v>
      </c>
      <c r="G524" t="s">
        <v>717</v>
      </c>
      <c r="H524" t="s">
        <v>1547</v>
      </c>
      <c r="I524" t="s">
        <v>1551</v>
      </c>
      <c r="J524" s="41">
        <v>152.85</v>
      </c>
      <c r="K524" s="41">
        <v>0</v>
      </c>
      <c r="L524" s="41">
        <v>0</v>
      </c>
      <c r="M524" s="41">
        <v>152.85</v>
      </c>
      <c r="N524" s="41">
        <v>152.85</v>
      </c>
      <c r="O524" s="41">
        <v>0</v>
      </c>
      <c r="P524" t="s">
        <v>1670</v>
      </c>
      <c r="Q524" t="s">
        <v>1520</v>
      </c>
      <c r="R524" t="s">
        <v>1166</v>
      </c>
      <c r="S524" t="s">
        <v>1167</v>
      </c>
      <c r="T524" t="s">
        <v>1548</v>
      </c>
    </row>
    <row r="525" spans="1:20" x14ac:dyDescent="0.3">
      <c r="A525" t="s">
        <v>552</v>
      </c>
      <c r="B525" t="s">
        <v>1373</v>
      </c>
      <c r="C525" t="s">
        <v>974</v>
      </c>
      <c r="D525" t="s">
        <v>496</v>
      </c>
      <c r="E525" t="s">
        <v>1123</v>
      </c>
      <c r="F525" t="s">
        <v>717</v>
      </c>
      <c r="G525" t="s">
        <v>717</v>
      </c>
      <c r="H525" t="s">
        <v>1547</v>
      </c>
      <c r="I525" t="s">
        <v>1406</v>
      </c>
      <c r="J525" s="41">
        <v>0.9</v>
      </c>
      <c r="K525" s="41">
        <v>0</v>
      </c>
      <c r="L525" s="41">
        <v>0</v>
      </c>
      <c r="M525" s="41">
        <v>0.9</v>
      </c>
      <c r="N525" s="41">
        <v>0.9</v>
      </c>
      <c r="O525" s="41">
        <v>0</v>
      </c>
      <c r="P525" t="s">
        <v>1670</v>
      </c>
      <c r="Q525" t="s">
        <v>1525</v>
      </c>
      <c r="R525" t="s">
        <v>1166</v>
      </c>
      <c r="S525" t="s">
        <v>1167</v>
      </c>
      <c r="T525" t="s">
        <v>1548</v>
      </c>
    </row>
    <row r="526" spans="1:20" x14ac:dyDescent="0.3">
      <c r="A526" t="s">
        <v>554</v>
      </c>
      <c r="B526" t="s">
        <v>658</v>
      </c>
      <c r="C526" t="s">
        <v>976</v>
      </c>
      <c r="D526" t="s">
        <v>496</v>
      </c>
      <c r="E526" t="s">
        <v>1060</v>
      </c>
      <c r="F526" t="s">
        <v>947</v>
      </c>
      <c r="G526" t="s">
        <v>1061</v>
      </c>
      <c r="H526" t="s">
        <v>1200</v>
      </c>
      <c r="I526" t="s">
        <v>1197</v>
      </c>
      <c r="J526" s="41">
        <v>4800</v>
      </c>
      <c r="K526" s="41">
        <v>600</v>
      </c>
      <c r="L526" s="41">
        <v>0</v>
      </c>
      <c r="M526" s="41">
        <v>5400</v>
      </c>
      <c r="N526" s="41">
        <v>5400</v>
      </c>
      <c r="O526" s="41">
        <v>600</v>
      </c>
      <c r="P526" t="s">
        <v>1671</v>
      </c>
      <c r="Q526" t="s">
        <v>1195</v>
      </c>
      <c r="R526" t="s">
        <v>1166</v>
      </c>
      <c r="S526" t="s">
        <v>1167</v>
      </c>
      <c r="T526" t="s">
        <v>1201</v>
      </c>
    </row>
    <row r="527" spans="1:20" x14ac:dyDescent="0.3">
      <c r="A527" t="s">
        <v>554</v>
      </c>
      <c r="B527" t="s">
        <v>658</v>
      </c>
      <c r="C527" t="s">
        <v>976</v>
      </c>
      <c r="D527" t="s">
        <v>496</v>
      </c>
      <c r="E527" t="s">
        <v>1075</v>
      </c>
      <c r="F527" t="s">
        <v>947</v>
      </c>
      <c r="G527" t="s">
        <v>1076</v>
      </c>
      <c r="H527" t="s">
        <v>1205</v>
      </c>
      <c r="J527" s="41">
        <v>1200</v>
      </c>
      <c r="K527" s="41">
        <v>300</v>
      </c>
      <c r="L527" s="41">
        <v>0</v>
      </c>
      <c r="M527" s="41">
        <v>1500</v>
      </c>
      <c r="N527" s="41">
        <v>1500</v>
      </c>
      <c r="O527" s="41">
        <v>300</v>
      </c>
      <c r="P527" t="s">
        <v>1671</v>
      </c>
      <c r="Q527" t="s">
        <v>1202</v>
      </c>
      <c r="R527" t="s">
        <v>1166</v>
      </c>
      <c r="S527" t="s">
        <v>1167</v>
      </c>
      <c r="T527" t="s">
        <v>1206</v>
      </c>
    </row>
    <row r="528" spans="1:20" x14ac:dyDescent="0.3">
      <c r="A528" t="s">
        <v>554</v>
      </c>
      <c r="B528" t="s">
        <v>658</v>
      </c>
      <c r="C528" t="s">
        <v>976</v>
      </c>
      <c r="D528" t="s">
        <v>496</v>
      </c>
      <c r="E528" t="s">
        <v>1060</v>
      </c>
      <c r="F528" t="s">
        <v>947</v>
      </c>
      <c r="G528" t="s">
        <v>1061</v>
      </c>
      <c r="H528" t="s">
        <v>1210</v>
      </c>
      <c r="I528" t="s">
        <v>1197</v>
      </c>
      <c r="J528" s="41">
        <v>1612.37</v>
      </c>
      <c r="K528" s="41">
        <v>400</v>
      </c>
      <c r="L528" s="41">
        <v>0</v>
      </c>
      <c r="M528" s="41">
        <v>2012.37</v>
      </c>
      <c r="N528" s="41">
        <v>2012.37</v>
      </c>
      <c r="O528" s="41">
        <v>400</v>
      </c>
      <c r="P528" t="s">
        <v>1671</v>
      </c>
      <c r="Q528" t="s">
        <v>1207</v>
      </c>
      <c r="R528" t="s">
        <v>1166</v>
      </c>
      <c r="S528" t="s">
        <v>1167</v>
      </c>
      <c r="T528" t="s">
        <v>1211</v>
      </c>
    </row>
    <row r="529" spans="1:20" x14ac:dyDescent="0.3">
      <c r="A529" t="s">
        <v>554</v>
      </c>
      <c r="B529" t="s">
        <v>658</v>
      </c>
      <c r="C529" t="s">
        <v>976</v>
      </c>
      <c r="D529" t="s">
        <v>496</v>
      </c>
      <c r="E529" t="s">
        <v>1062</v>
      </c>
      <c r="F529" t="s">
        <v>947</v>
      </c>
      <c r="G529" t="s">
        <v>1063</v>
      </c>
      <c r="H529" t="s">
        <v>1216</v>
      </c>
      <c r="I529" t="s">
        <v>1214</v>
      </c>
      <c r="J529" s="41">
        <v>270.35000000000002</v>
      </c>
      <c r="K529" s="41">
        <v>0</v>
      </c>
      <c r="L529" s="41">
        <v>0</v>
      </c>
      <c r="M529" s="41">
        <v>270.35000000000002</v>
      </c>
      <c r="N529" s="41">
        <v>270.35000000000002</v>
      </c>
      <c r="O529" s="41">
        <v>0</v>
      </c>
      <c r="P529" t="s">
        <v>1671</v>
      </c>
      <c r="Q529" t="s">
        <v>1212</v>
      </c>
      <c r="R529" t="s">
        <v>1166</v>
      </c>
      <c r="S529" t="s">
        <v>1167</v>
      </c>
      <c r="T529" t="s">
        <v>1217</v>
      </c>
    </row>
    <row r="530" spans="1:20" x14ac:dyDescent="0.3">
      <c r="A530" t="s">
        <v>554</v>
      </c>
      <c r="B530" t="s">
        <v>658</v>
      </c>
      <c r="C530" t="s">
        <v>976</v>
      </c>
      <c r="D530" t="s">
        <v>496</v>
      </c>
      <c r="E530" t="s">
        <v>1064</v>
      </c>
      <c r="F530" t="s">
        <v>947</v>
      </c>
      <c r="G530" t="s">
        <v>1065</v>
      </c>
      <c r="H530" t="s">
        <v>1222</v>
      </c>
      <c r="I530" t="s">
        <v>1220</v>
      </c>
      <c r="J530" s="41">
        <v>252.73</v>
      </c>
      <c r="K530" s="41">
        <v>0</v>
      </c>
      <c r="L530" s="41">
        <v>0</v>
      </c>
      <c r="M530" s="41">
        <v>252.73</v>
      </c>
      <c r="N530" s="41">
        <v>252.73</v>
      </c>
      <c r="O530" s="41">
        <v>0</v>
      </c>
      <c r="P530" t="s">
        <v>1671</v>
      </c>
      <c r="Q530" t="s">
        <v>1218</v>
      </c>
      <c r="R530" t="s">
        <v>1166</v>
      </c>
      <c r="S530" t="s">
        <v>1167</v>
      </c>
      <c r="T530" t="s">
        <v>1223</v>
      </c>
    </row>
    <row r="531" spans="1:20" x14ac:dyDescent="0.3">
      <c r="A531" t="s">
        <v>554</v>
      </c>
      <c r="B531" t="s">
        <v>658</v>
      </c>
      <c r="C531" t="s">
        <v>976</v>
      </c>
      <c r="D531" t="s">
        <v>496</v>
      </c>
      <c r="E531" t="s">
        <v>1064</v>
      </c>
      <c r="F531" t="s">
        <v>947</v>
      </c>
      <c r="G531" t="s">
        <v>1065</v>
      </c>
      <c r="H531" t="s">
        <v>1222</v>
      </c>
      <c r="I531" t="s">
        <v>1220</v>
      </c>
      <c r="J531" s="41">
        <v>142.19</v>
      </c>
      <c r="K531" s="41">
        <v>0</v>
      </c>
      <c r="L531" s="41">
        <v>0</v>
      </c>
      <c r="M531" s="41">
        <v>142.19</v>
      </c>
      <c r="N531" s="41">
        <v>142.19</v>
      </c>
      <c r="O531" s="41">
        <v>0</v>
      </c>
      <c r="P531" t="s">
        <v>1671</v>
      </c>
      <c r="Q531" t="s">
        <v>1224</v>
      </c>
      <c r="R531" t="s">
        <v>1166</v>
      </c>
      <c r="S531" t="s">
        <v>1167</v>
      </c>
      <c r="T531" t="s">
        <v>1223</v>
      </c>
    </row>
    <row r="532" spans="1:20" x14ac:dyDescent="0.3">
      <c r="A532" t="s">
        <v>554</v>
      </c>
      <c r="B532" t="s">
        <v>658</v>
      </c>
      <c r="C532" t="s">
        <v>976</v>
      </c>
      <c r="D532" t="s">
        <v>496</v>
      </c>
      <c r="E532" t="s">
        <v>1064</v>
      </c>
      <c r="F532" t="s">
        <v>947</v>
      </c>
      <c r="G532" t="s">
        <v>1065</v>
      </c>
      <c r="H532" t="s">
        <v>1229</v>
      </c>
      <c r="I532" t="s">
        <v>1227</v>
      </c>
      <c r="J532" s="41">
        <v>64.790000000000006</v>
      </c>
      <c r="K532" s="41">
        <v>0</v>
      </c>
      <c r="L532" s="41">
        <v>0</v>
      </c>
      <c r="M532" s="41">
        <v>64.790000000000006</v>
      </c>
      <c r="N532" s="41">
        <v>64.790000000000006</v>
      </c>
      <c r="O532" s="41">
        <v>0</v>
      </c>
      <c r="P532" t="s">
        <v>1671</v>
      </c>
      <c r="Q532" t="s">
        <v>1225</v>
      </c>
      <c r="R532" t="s">
        <v>1166</v>
      </c>
      <c r="S532" t="s">
        <v>1167</v>
      </c>
      <c r="T532" t="s">
        <v>1230</v>
      </c>
    </row>
    <row r="533" spans="1:20" x14ac:dyDescent="0.3">
      <c r="A533" t="s">
        <v>554</v>
      </c>
      <c r="B533" t="s">
        <v>658</v>
      </c>
      <c r="C533" t="s">
        <v>976</v>
      </c>
      <c r="D533" t="s">
        <v>496</v>
      </c>
      <c r="E533" t="s">
        <v>1068</v>
      </c>
      <c r="F533" t="s">
        <v>947</v>
      </c>
      <c r="G533" t="s">
        <v>568</v>
      </c>
      <c r="H533" t="s">
        <v>1235</v>
      </c>
      <c r="I533" t="s">
        <v>1233</v>
      </c>
      <c r="J533" s="41">
        <v>9205.7199999999993</v>
      </c>
      <c r="K533" s="41">
        <v>0</v>
      </c>
      <c r="L533" s="41">
        <v>0</v>
      </c>
      <c r="M533" s="41">
        <v>9205.7199999999993</v>
      </c>
      <c r="N533" s="41">
        <v>9205.7199999999993</v>
      </c>
      <c r="O533" s="41">
        <v>0</v>
      </c>
      <c r="P533" t="s">
        <v>1671</v>
      </c>
      <c r="Q533" t="s">
        <v>1231</v>
      </c>
      <c r="R533" t="s">
        <v>1192</v>
      </c>
      <c r="S533" t="s">
        <v>1193</v>
      </c>
      <c r="T533" t="s">
        <v>1236</v>
      </c>
    </row>
    <row r="534" spans="1:20" x14ac:dyDescent="0.3">
      <c r="A534" t="s">
        <v>554</v>
      </c>
      <c r="B534" t="s">
        <v>658</v>
      </c>
      <c r="C534" t="s">
        <v>976</v>
      </c>
      <c r="D534" t="s">
        <v>496</v>
      </c>
      <c r="E534" t="s">
        <v>1068</v>
      </c>
      <c r="F534" t="s">
        <v>947</v>
      </c>
      <c r="G534" t="s">
        <v>568</v>
      </c>
      <c r="H534" t="s">
        <v>1235</v>
      </c>
      <c r="I534" t="s">
        <v>1238</v>
      </c>
      <c r="J534" s="41">
        <v>70.81</v>
      </c>
      <c r="K534" s="41">
        <v>0</v>
      </c>
      <c r="L534" s="41">
        <v>0</v>
      </c>
      <c r="M534" s="41">
        <v>70.81</v>
      </c>
      <c r="N534" s="41">
        <v>70.81</v>
      </c>
      <c r="O534" s="41">
        <v>0</v>
      </c>
      <c r="P534" t="s">
        <v>1671</v>
      </c>
      <c r="Q534" t="s">
        <v>1237</v>
      </c>
      <c r="R534" t="s">
        <v>1192</v>
      </c>
      <c r="S534" t="s">
        <v>1193</v>
      </c>
      <c r="T534" t="s">
        <v>1236</v>
      </c>
    </row>
    <row r="535" spans="1:20" x14ac:dyDescent="0.3">
      <c r="A535" t="s">
        <v>554</v>
      </c>
      <c r="B535" t="s">
        <v>658</v>
      </c>
      <c r="C535" t="s">
        <v>976</v>
      </c>
      <c r="D535" t="s">
        <v>496</v>
      </c>
      <c r="E535" t="s">
        <v>1069</v>
      </c>
      <c r="F535" t="s">
        <v>947</v>
      </c>
      <c r="G535" t="s">
        <v>1070</v>
      </c>
      <c r="H535" t="s">
        <v>1243</v>
      </c>
      <c r="I535" t="s">
        <v>1241</v>
      </c>
      <c r="J535" s="41">
        <v>57.71</v>
      </c>
      <c r="K535" s="41">
        <v>57.8</v>
      </c>
      <c r="L535" s="41">
        <v>0</v>
      </c>
      <c r="M535" s="41">
        <v>115.51</v>
      </c>
      <c r="N535" s="41">
        <v>115.51</v>
      </c>
      <c r="O535" s="41">
        <v>57.8</v>
      </c>
      <c r="P535" t="s">
        <v>1671</v>
      </c>
      <c r="Q535" t="s">
        <v>1239</v>
      </c>
      <c r="R535" t="s">
        <v>1166</v>
      </c>
      <c r="S535" t="s">
        <v>1193</v>
      </c>
      <c r="T535" t="s">
        <v>1244</v>
      </c>
    </row>
    <row r="536" spans="1:20" x14ac:dyDescent="0.3">
      <c r="A536" t="s">
        <v>554</v>
      </c>
      <c r="B536" t="s">
        <v>658</v>
      </c>
      <c r="C536" t="s">
        <v>976</v>
      </c>
      <c r="D536" t="s">
        <v>496</v>
      </c>
      <c r="E536" t="s">
        <v>1079</v>
      </c>
      <c r="F536" t="s">
        <v>947</v>
      </c>
      <c r="G536" t="s">
        <v>1080</v>
      </c>
      <c r="H536" t="s">
        <v>1249</v>
      </c>
      <c r="I536" t="s">
        <v>1247</v>
      </c>
      <c r="J536" s="41">
        <v>39.61</v>
      </c>
      <c r="K536" s="41">
        <v>0</v>
      </c>
      <c r="L536" s="41">
        <v>0</v>
      </c>
      <c r="M536" s="41">
        <v>39.61</v>
      </c>
      <c r="N536" s="41">
        <v>39.61</v>
      </c>
      <c r="O536" s="41">
        <v>0</v>
      </c>
      <c r="P536" t="s">
        <v>1671</v>
      </c>
      <c r="Q536" t="s">
        <v>1245</v>
      </c>
      <c r="R536" t="s">
        <v>1166</v>
      </c>
      <c r="S536" t="s">
        <v>1167</v>
      </c>
      <c r="T536" t="s">
        <v>1250</v>
      </c>
    </row>
    <row r="537" spans="1:20" x14ac:dyDescent="0.3">
      <c r="A537" t="s">
        <v>554</v>
      </c>
      <c r="B537" t="s">
        <v>658</v>
      </c>
      <c r="C537" t="s">
        <v>976</v>
      </c>
      <c r="D537" t="s">
        <v>496</v>
      </c>
      <c r="E537" t="s">
        <v>1079</v>
      </c>
      <c r="F537" t="s">
        <v>947</v>
      </c>
      <c r="G537" t="s">
        <v>1080</v>
      </c>
      <c r="H537" t="s">
        <v>1249</v>
      </c>
      <c r="I537" t="s">
        <v>1252</v>
      </c>
      <c r="J537" s="41">
        <v>74.31</v>
      </c>
      <c r="K537" s="41">
        <v>0</v>
      </c>
      <c r="L537" s="41">
        <v>0</v>
      </c>
      <c r="M537" s="41">
        <v>74.31</v>
      </c>
      <c r="N537" s="41">
        <v>74.31</v>
      </c>
      <c r="O537" s="41">
        <v>0</v>
      </c>
      <c r="P537" t="s">
        <v>1671</v>
      </c>
      <c r="Q537" t="s">
        <v>1251</v>
      </c>
      <c r="R537" t="s">
        <v>1166</v>
      </c>
      <c r="S537" t="s">
        <v>1167</v>
      </c>
      <c r="T537" t="s">
        <v>1250</v>
      </c>
    </row>
    <row r="538" spans="1:20" x14ac:dyDescent="0.3">
      <c r="A538" t="s">
        <v>554</v>
      </c>
      <c r="B538" t="s">
        <v>658</v>
      </c>
      <c r="C538" t="s">
        <v>976</v>
      </c>
      <c r="D538" t="s">
        <v>496</v>
      </c>
      <c r="E538" t="s">
        <v>1079</v>
      </c>
      <c r="F538" t="s">
        <v>947</v>
      </c>
      <c r="G538" t="s">
        <v>1080</v>
      </c>
      <c r="H538" t="s">
        <v>1249</v>
      </c>
      <c r="I538" t="s">
        <v>1254</v>
      </c>
      <c r="J538" s="41">
        <v>15</v>
      </c>
      <c r="K538" s="41">
        <v>0</v>
      </c>
      <c r="L538" s="41">
        <v>0</v>
      </c>
      <c r="M538" s="41">
        <v>15</v>
      </c>
      <c r="N538" s="41">
        <v>15</v>
      </c>
      <c r="O538" s="41">
        <v>0</v>
      </c>
      <c r="P538" t="s">
        <v>1671</v>
      </c>
      <c r="Q538" t="s">
        <v>1253</v>
      </c>
      <c r="R538" t="s">
        <v>1166</v>
      </c>
      <c r="S538" t="s">
        <v>1167</v>
      </c>
      <c r="T538" t="s">
        <v>1250</v>
      </c>
    </row>
    <row r="539" spans="1:20" x14ac:dyDescent="0.3">
      <c r="A539" t="s">
        <v>554</v>
      </c>
      <c r="B539" t="s">
        <v>658</v>
      </c>
      <c r="C539" t="s">
        <v>976</v>
      </c>
      <c r="D539" t="s">
        <v>496</v>
      </c>
      <c r="E539" t="s">
        <v>1079</v>
      </c>
      <c r="F539" t="s">
        <v>947</v>
      </c>
      <c r="G539" t="s">
        <v>1080</v>
      </c>
      <c r="H539" t="s">
        <v>1249</v>
      </c>
      <c r="I539" t="s">
        <v>1256</v>
      </c>
      <c r="J539" s="41">
        <v>7</v>
      </c>
      <c r="K539" s="41">
        <v>0</v>
      </c>
      <c r="L539" s="41">
        <v>0</v>
      </c>
      <c r="M539" s="41">
        <v>7</v>
      </c>
      <c r="N539" s="41">
        <v>7</v>
      </c>
      <c r="O539" s="41">
        <v>0</v>
      </c>
      <c r="P539" t="s">
        <v>1671</v>
      </c>
      <c r="Q539" t="s">
        <v>1255</v>
      </c>
      <c r="R539" t="s">
        <v>1166</v>
      </c>
      <c r="S539" t="s">
        <v>1167</v>
      </c>
      <c r="T539" t="s">
        <v>1250</v>
      </c>
    </row>
    <row r="540" spans="1:20" x14ac:dyDescent="0.3">
      <c r="A540" t="s">
        <v>554</v>
      </c>
      <c r="B540" t="s">
        <v>658</v>
      </c>
      <c r="C540" t="s">
        <v>976</v>
      </c>
      <c r="D540" t="s">
        <v>496</v>
      </c>
      <c r="E540" t="s">
        <v>1123</v>
      </c>
      <c r="F540" t="s">
        <v>717</v>
      </c>
      <c r="G540" t="s">
        <v>717</v>
      </c>
      <c r="H540" t="s">
        <v>1261</v>
      </c>
      <c r="I540" t="s">
        <v>1259</v>
      </c>
      <c r="J540" s="41">
        <v>120</v>
      </c>
      <c r="K540" s="41">
        <v>30</v>
      </c>
      <c r="L540" s="41">
        <v>0</v>
      </c>
      <c r="M540" s="41">
        <v>150</v>
      </c>
      <c r="N540" s="41">
        <v>150</v>
      </c>
      <c r="O540" s="41">
        <v>30</v>
      </c>
      <c r="P540" t="s">
        <v>1671</v>
      </c>
      <c r="Q540" t="s">
        <v>1257</v>
      </c>
      <c r="R540" t="s">
        <v>1166</v>
      </c>
      <c r="S540" t="s">
        <v>1167</v>
      </c>
      <c r="T540" t="s">
        <v>1262</v>
      </c>
    </row>
    <row r="541" spans="1:20" x14ac:dyDescent="0.3">
      <c r="A541" t="s">
        <v>554</v>
      </c>
      <c r="B541" t="s">
        <v>658</v>
      </c>
      <c r="C541" t="s">
        <v>976</v>
      </c>
      <c r="D541" t="s">
        <v>496</v>
      </c>
      <c r="E541" t="s">
        <v>1123</v>
      </c>
      <c r="F541" t="s">
        <v>717</v>
      </c>
      <c r="G541" t="s">
        <v>717</v>
      </c>
      <c r="H541" t="s">
        <v>1261</v>
      </c>
      <c r="I541" t="s">
        <v>1259</v>
      </c>
      <c r="J541" s="41">
        <v>0</v>
      </c>
      <c r="K541" s="41">
        <v>6</v>
      </c>
      <c r="L541" s="41">
        <v>0</v>
      </c>
      <c r="M541" s="41">
        <v>6</v>
      </c>
      <c r="N541" s="41">
        <v>6</v>
      </c>
      <c r="O541" s="41">
        <v>6</v>
      </c>
      <c r="P541" t="s">
        <v>1671</v>
      </c>
      <c r="Q541" t="s">
        <v>1342</v>
      </c>
      <c r="R541" t="s">
        <v>1166</v>
      </c>
      <c r="S541" t="s">
        <v>1167</v>
      </c>
      <c r="T541" t="s">
        <v>1262</v>
      </c>
    </row>
    <row r="542" spans="1:20" x14ac:dyDescent="0.3">
      <c r="A542" t="s">
        <v>554</v>
      </c>
      <c r="B542" t="s">
        <v>1265</v>
      </c>
      <c r="C542" t="s">
        <v>975</v>
      </c>
      <c r="D542" t="s">
        <v>686</v>
      </c>
      <c r="E542" t="s">
        <v>1048</v>
      </c>
      <c r="F542" t="s">
        <v>1318</v>
      </c>
      <c r="G542" t="s">
        <v>1049</v>
      </c>
      <c r="H542" t="s">
        <v>1319</v>
      </c>
      <c r="I542" t="s">
        <v>1316</v>
      </c>
      <c r="J542" s="41">
        <v>-1808.92</v>
      </c>
      <c r="K542" s="41">
        <v>0</v>
      </c>
      <c r="L542" s="41">
        <v>0</v>
      </c>
      <c r="M542" s="41">
        <v>-1808.92</v>
      </c>
      <c r="N542" s="41">
        <v>1808.92</v>
      </c>
      <c r="O542" s="41">
        <v>0</v>
      </c>
      <c r="P542" t="s">
        <v>1672</v>
      </c>
      <c r="Q542" t="s">
        <v>1562</v>
      </c>
      <c r="R542" t="s">
        <v>1166</v>
      </c>
      <c r="S542" t="s">
        <v>1167</v>
      </c>
      <c r="T542" t="s">
        <v>1320</v>
      </c>
    </row>
    <row r="543" spans="1:20" x14ac:dyDescent="0.3">
      <c r="A543" t="s">
        <v>554</v>
      </c>
      <c r="B543" t="s">
        <v>1265</v>
      </c>
      <c r="C543" t="s">
        <v>975</v>
      </c>
      <c r="D543" t="s">
        <v>686</v>
      </c>
      <c r="E543" t="s">
        <v>1048</v>
      </c>
      <c r="F543" t="s">
        <v>1318</v>
      </c>
      <c r="G543" t="s">
        <v>1049</v>
      </c>
      <c r="H543" t="s">
        <v>1319</v>
      </c>
      <c r="I543" t="s">
        <v>1321</v>
      </c>
      <c r="J543" s="41">
        <v>-8482.11</v>
      </c>
      <c r="K543" s="41">
        <v>0</v>
      </c>
      <c r="L543" s="41">
        <v>2813.98</v>
      </c>
      <c r="M543" s="41">
        <v>-11296.09</v>
      </c>
      <c r="N543" s="41">
        <v>11296.09</v>
      </c>
      <c r="O543" s="41">
        <v>2813.98</v>
      </c>
      <c r="P543" t="s">
        <v>1672</v>
      </c>
      <c r="Q543" t="s">
        <v>1314</v>
      </c>
      <c r="R543" t="s">
        <v>1166</v>
      </c>
      <c r="S543" t="s">
        <v>1167</v>
      </c>
      <c r="T543" t="s">
        <v>1320</v>
      </c>
    </row>
    <row r="544" spans="1:20" x14ac:dyDescent="0.3">
      <c r="A544" t="s">
        <v>554</v>
      </c>
      <c r="B544" t="s">
        <v>1265</v>
      </c>
      <c r="C544" t="s">
        <v>975</v>
      </c>
      <c r="D544" t="s">
        <v>686</v>
      </c>
      <c r="E544" t="s">
        <v>1120</v>
      </c>
      <c r="F544" t="s">
        <v>1324</v>
      </c>
      <c r="G544" t="s">
        <v>811</v>
      </c>
      <c r="H544" t="s">
        <v>811</v>
      </c>
      <c r="I544" t="s">
        <v>1322</v>
      </c>
      <c r="J544" s="41">
        <v>-64960.94</v>
      </c>
      <c r="K544" s="41">
        <v>0</v>
      </c>
      <c r="L544" s="41">
        <v>0</v>
      </c>
      <c r="M544" s="41">
        <v>-64960.94</v>
      </c>
      <c r="N544" s="41">
        <v>64960.94</v>
      </c>
      <c r="O544" s="41">
        <v>0</v>
      </c>
      <c r="P544" t="s">
        <v>1672</v>
      </c>
      <c r="Q544" t="s">
        <v>1584</v>
      </c>
      <c r="R544" t="s">
        <v>1192</v>
      </c>
      <c r="S544" t="s">
        <v>1193</v>
      </c>
      <c r="T544" t="s">
        <v>1325</v>
      </c>
    </row>
    <row r="545" spans="1:20" x14ac:dyDescent="0.3">
      <c r="A545" t="s">
        <v>554</v>
      </c>
      <c r="B545" t="s">
        <v>1265</v>
      </c>
      <c r="C545" t="s">
        <v>975</v>
      </c>
      <c r="D545" t="s">
        <v>686</v>
      </c>
      <c r="E545" t="s">
        <v>1062</v>
      </c>
      <c r="F545" t="s">
        <v>947</v>
      </c>
      <c r="G545" t="s">
        <v>1063</v>
      </c>
      <c r="H545" t="s">
        <v>1216</v>
      </c>
      <c r="I545" t="s">
        <v>1326</v>
      </c>
      <c r="J545" s="41">
        <v>1539.6</v>
      </c>
      <c r="K545" s="41">
        <v>529.35</v>
      </c>
      <c r="L545" s="41">
        <v>0</v>
      </c>
      <c r="M545" s="41">
        <v>2068.9499999999998</v>
      </c>
      <c r="N545" s="41">
        <v>2068.9499999999998</v>
      </c>
      <c r="O545" s="41">
        <v>529.35</v>
      </c>
      <c r="P545" t="s">
        <v>1672</v>
      </c>
      <c r="Q545" t="s">
        <v>1574</v>
      </c>
      <c r="R545" t="s">
        <v>1166</v>
      </c>
      <c r="S545" t="s">
        <v>1167</v>
      </c>
      <c r="T545" t="s">
        <v>1217</v>
      </c>
    </row>
    <row r="546" spans="1:20" x14ac:dyDescent="0.3">
      <c r="A546" t="s">
        <v>554</v>
      </c>
      <c r="B546" t="s">
        <v>1265</v>
      </c>
      <c r="C546" t="s">
        <v>975</v>
      </c>
      <c r="D546" t="s">
        <v>686</v>
      </c>
      <c r="E546" t="s">
        <v>1062</v>
      </c>
      <c r="F546" t="s">
        <v>947</v>
      </c>
      <c r="G546" t="s">
        <v>1063</v>
      </c>
      <c r="H546" t="s">
        <v>1331</v>
      </c>
      <c r="I546" t="s">
        <v>1329</v>
      </c>
      <c r="J546" s="41">
        <v>1800</v>
      </c>
      <c r="K546" s="41">
        <v>700</v>
      </c>
      <c r="L546" s="41">
        <v>0</v>
      </c>
      <c r="M546" s="41">
        <v>2500</v>
      </c>
      <c r="N546" s="41">
        <v>2500</v>
      </c>
      <c r="O546" s="41">
        <v>700</v>
      </c>
      <c r="P546" t="s">
        <v>1672</v>
      </c>
      <c r="Q546" t="s">
        <v>1575</v>
      </c>
      <c r="R546" t="s">
        <v>1166</v>
      </c>
      <c r="S546" t="s">
        <v>1167</v>
      </c>
      <c r="T546" t="s">
        <v>1332</v>
      </c>
    </row>
    <row r="547" spans="1:20" x14ac:dyDescent="0.3">
      <c r="A547" t="s">
        <v>554</v>
      </c>
      <c r="B547" t="s">
        <v>1265</v>
      </c>
      <c r="C547" t="s">
        <v>975</v>
      </c>
      <c r="D547" t="s">
        <v>686</v>
      </c>
      <c r="E547" t="s">
        <v>1095</v>
      </c>
      <c r="F547" t="s">
        <v>948</v>
      </c>
      <c r="G547" t="s">
        <v>1096</v>
      </c>
      <c r="H547" t="s">
        <v>1588</v>
      </c>
      <c r="I547" t="s">
        <v>1586</v>
      </c>
      <c r="J547" s="41">
        <v>0</v>
      </c>
      <c r="K547" s="41">
        <v>7400.3</v>
      </c>
      <c r="L547" s="41">
        <v>0</v>
      </c>
      <c r="M547" s="41">
        <v>7400.3</v>
      </c>
      <c r="N547" s="41">
        <v>7400.3</v>
      </c>
      <c r="O547" s="41">
        <v>7400.3</v>
      </c>
      <c r="P547" t="s">
        <v>1672</v>
      </c>
      <c r="Q547" t="s">
        <v>1251</v>
      </c>
      <c r="R547" t="s">
        <v>1192</v>
      </c>
      <c r="S547" t="s">
        <v>1193</v>
      </c>
      <c r="T547" t="s">
        <v>1589</v>
      </c>
    </row>
    <row r="548" spans="1:20" x14ac:dyDescent="0.3">
      <c r="A548" t="s">
        <v>554</v>
      </c>
      <c r="B548" t="s">
        <v>1265</v>
      </c>
      <c r="C548" t="s">
        <v>975</v>
      </c>
      <c r="D548" t="s">
        <v>686</v>
      </c>
      <c r="E548" t="s">
        <v>1095</v>
      </c>
      <c r="F548" t="s">
        <v>948</v>
      </c>
      <c r="G548" t="s">
        <v>1096</v>
      </c>
      <c r="H548" t="s">
        <v>1588</v>
      </c>
      <c r="I548" t="s">
        <v>1586</v>
      </c>
      <c r="J548" s="41">
        <v>0</v>
      </c>
      <c r="K548" s="41">
        <v>15383.22</v>
      </c>
      <c r="L548" s="41">
        <v>0</v>
      </c>
      <c r="M548" s="41">
        <v>15383.22</v>
      </c>
      <c r="N548" s="41">
        <v>15383.22</v>
      </c>
      <c r="O548" s="41">
        <v>15383.22</v>
      </c>
      <c r="P548" t="s">
        <v>1672</v>
      </c>
      <c r="Q548" t="s">
        <v>1253</v>
      </c>
      <c r="R548" t="s">
        <v>1192</v>
      </c>
      <c r="S548" t="s">
        <v>1193</v>
      </c>
      <c r="T548" t="s">
        <v>1589</v>
      </c>
    </row>
    <row r="549" spans="1:20" x14ac:dyDescent="0.3">
      <c r="A549" t="s">
        <v>554</v>
      </c>
      <c r="B549" t="s">
        <v>1265</v>
      </c>
      <c r="C549" t="s">
        <v>975</v>
      </c>
      <c r="D549" t="s">
        <v>686</v>
      </c>
      <c r="E549" t="s">
        <v>1095</v>
      </c>
      <c r="F549" t="s">
        <v>948</v>
      </c>
      <c r="G549" t="s">
        <v>1096</v>
      </c>
      <c r="H549" t="s">
        <v>1588</v>
      </c>
      <c r="I549" t="s">
        <v>1586</v>
      </c>
      <c r="J549" s="41">
        <v>0</v>
      </c>
      <c r="K549" s="41">
        <v>7400.3</v>
      </c>
      <c r="L549" s="41">
        <v>0</v>
      </c>
      <c r="M549" s="41">
        <v>7400.3</v>
      </c>
      <c r="N549" s="41">
        <v>7400.3</v>
      </c>
      <c r="O549" s="41">
        <v>7400.3</v>
      </c>
      <c r="P549" t="s">
        <v>1672</v>
      </c>
      <c r="Q549" t="s">
        <v>1255</v>
      </c>
      <c r="R549" t="s">
        <v>1192</v>
      </c>
      <c r="S549" t="s">
        <v>1193</v>
      </c>
      <c r="T549" t="s">
        <v>1589</v>
      </c>
    </row>
    <row r="550" spans="1:20" x14ac:dyDescent="0.3">
      <c r="A550" t="s">
        <v>554</v>
      </c>
      <c r="B550" t="s">
        <v>1265</v>
      </c>
      <c r="C550" t="s">
        <v>975</v>
      </c>
      <c r="D550" t="s">
        <v>686</v>
      </c>
      <c r="E550" t="s">
        <v>1095</v>
      </c>
      <c r="F550" t="s">
        <v>948</v>
      </c>
      <c r="G550" t="s">
        <v>1096</v>
      </c>
      <c r="H550" t="s">
        <v>1335</v>
      </c>
      <c r="I550" t="s">
        <v>1333</v>
      </c>
      <c r="J550" s="41">
        <v>2127</v>
      </c>
      <c r="K550" s="41">
        <v>0</v>
      </c>
      <c r="L550" s="41">
        <v>0</v>
      </c>
      <c r="M550" s="41">
        <v>2127</v>
      </c>
      <c r="N550" s="41">
        <v>2127</v>
      </c>
      <c r="O550" s="41">
        <v>0</v>
      </c>
      <c r="P550" t="s">
        <v>1672</v>
      </c>
      <c r="Q550" t="s">
        <v>1337</v>
      </c>
      <c r="R550" t="s">
        <v>1192</v>
      </c>
      <c r="S550" t="s">
        <v>1193</v>
      </c>
      <c r="T550" t="s">
        <v>1336</v>
      </c>
    </row>
    <row r="551" spans="1:20" x14ac:dyDescent="0.3">
      <c r="A551" t="s">
        <v>554</v>
      </c>
      <c r="B551" t="s">
        <v>1265</v>
      </c>
      <c r="C551" t="s">
        <v>975</v>
      </c>
      <c r="D551" t="s">
        <v>686</v>
      </c>
      <c r="E551" t="s">
        <v>1097</v>
      </c>
      <c r="F551" t="s">
        <v>948</v>
      </c>
      <c r="G551" t="s">
        <v>1098</v>
      </c>
      <c r="H551" t="s">
        <v>1340</v>
      </c>
      <c r="I551" t="s">
        <v>1338</v>
      </c>
      <c r="J551" s="41">
        <v>1706.19</v>
      </c>
      <c r="K551" s="41">
        <v>0</v>
      </c>
      <c r="L551" s="41">
        <v>0</v>
      </c>
      <c r="M551" s="41">
        <v>1706.19</v>
      </c>
      <c r="N551" s="41">
        <v>1706.19</v>
      </c>
      <c r="O551" s="41">
        <v>0</v>
      </c>
      <c r="P551" t="s">
        <v>1672</v>
      </c>
      <c r="Q551" t="s">
        <v>1342</v>
      </c>
      <c r="R551" t="s">
        <v>1166</v>
      </c>
      <c r="S551" t="s">
        <v>1167</v>
      </c>
      <c r="T551" t="s">
        <v>1341</v>
      </c>
    </row>
    <row r="552" spans="1:20" x14ac:dyDescent="0.3">
      <c r="A552" t="s">
        <v>554</v>
      </c>
      <c r="B552" t="s">
        <v>1265</v>
      </c>
      <c r="C552" t="s">
        <v>975</v>
      </c>
      <c r="D552" t="s">
        <v>686</v>
      </c>
      <c r="E552" t="s">
        <v>1101</v>
      </c>
      <c r="F552" t="s">
        <v>948</v>
      </c>
      <c r="G552" t="s">
        <v>1102</v>
      </c>
      <c r="H552" t="s">
        <v>1346</v>
      </c>
      <c r="I552" t="s">
        <v>1344</v>
      </c>
      <c r="J552" s="41">
        <v>267.26</v>
      </c>
      <c r="K552" s="41">
        <v>0</v>
      </c>
      <c r="L552" s="41">
        <v>0</v>
      </c>
      <c r="M552" s="41">
        <v>267.26</v>
      </c>
      <c r="N552" s="41">
        <v>267.26</v>
      </c>
      <c r="O552" s="41">
        <v>0</v>
      </c>
      <c r="P552" t="s">
        <v>1672</v>
      </c>
      <c r="Q552" t="s">
        <v>1351</v>
      </c>
      <c r="R552" t="s">
        <v>1166</v>
      </c>
      <c r="S552" t="s">
        <v>1167</v>
      </c>
      <c r="T552" t="s">
        <v>1347</v>
      </c>
    </row>
    <row r="553" spans="1:20" x14ac:dyDescent="0.3">
      <c r="A553" t="s">
        <v>554</v>
      </c>
      <c r="B553" t="s">
        <v>1265</v>
      </c>
      <c r="C553" t="s">
        <v>975</v>
      </c>
      <c r="D553" t="s">
        <v>686</v>
      </c>
      <c r="E553" t="s">
        <v>1101</v>
      </c>
      <c r="F553" t="s">
        <v>948</v>
      </c>
      <c r="G553" t="s">
        <v>1102</v>
      </c>
      <c r="H553" t="s">
        <v>1346</v>
      </c>
      <c r="I553" t="s">
        <v>1349</v>
      </c>
      <c r="J553" s="41">
        <v>80.8</v>
      </c>
      <c r="K553" s="41">
        <v>0</v>
      </c>
      <c r="L553" s="41">
        <v>0</v>
      </c>
      <c r="M553" s="41">
        <v>80.8</v>
      </c>
      <c r="N553" s="41">
        <v>80.8</v>
      </c>
      <c r="O553" s="41">
        <v>0</v>
      </c>
      <c r="P553" t="s">
        <v>1672</v>
      </c>
      <c r="Q553" t="s">
        <v>1352</v>
      </c>
      <c r="R553" t="s">
        <v>1166</v>
      </c>
      <c r="S553" t="s">
        <v>1167</v>
      </c>
      <c r="T553" t="s">
        <v>1347</v>
      </c>
    </row>
    <row r="554" spans="1:20" x14ac:dyDescent="0.3">
      <c r="A554" t="s">
        <v>554</v>
      </c>
      <c r="B554" t="s">
        <v>1265</v>
      </c>
      <c r="C554" t="s">
        <v>975</v>
      </c>
      <c r="D554" t="s">
        <v>686</v>
      </c>
      <c r="E554" t="s">
        <v>1101</v>
      </c>
      <c r="F554" t="s">
        <v>948</v>
      </c>
      <c r="G554" t="s">
        <v>1102</v>
      </c>
      <c r="H554" t="s">
        <v>1346</v>
      </c>
      <c r="I554" t="s">
        <v>1349</v>
      </c>
      <c r="J554" s="41">
        <v>20.68</v>
      </c>
      <c r="K554" s="41">
        <v>0</v>
      </c>
      <c r="L554" s="41">
        <v>0</v>
      </c>
      <c r="M554" s="41">
        <v>20.68</v>
      </c>
      <c r="N554" s="41">
        <v>20.68</v>
      </c>
      <c r="O554" s="41">
        <v>0</v>
      </c>
      <c r="P554" t="s">
        <v>1672</v>
      </c>
      <c r="Q554" t="s">
        <v>1353</v>
      </c>
      <c r="R554" t="s">
        <v>1166</v>
      </c>
      <c r="S554" t="s">
        <v>1167</v>
      </c>
      <c r="T554" t="s">
        <v>1347</v>
      </c>
    </row>
    <row r="555" spans="1:20" x14ac:dyDescent="0.3">
      <c r="A555" t="s">
        <v>554</v>
      </c>
      <c r="B555" t="s">
        <v>1265</v>
      </c>
      <c r="C555" t="s">
        <v>975</v>
      </c>
      <c r="D555" t="s">
        <v>686</v>
      </c>
      <c r="E555" t="s">
        <v>1101</v>
      </c>
      <c r="F555" t="s">
        <v>948</v>
      </c>
      <c r="G555" t="s">
        <v>1102</v>
      </c>
      <c r="H555" t="s">
        <v>1346</v>
      </c>
      <c r="I555" t="s">
        <v>1349</v>
      </c>
      <c r="J555" s="41">
        <v>114</v>
      </c>
      <c r="K555" s="41">
        <v>0</v>
      </c>
      <c r="L555" s="41">
        <v>0</v>
      </c>
      <c r="M555" s="41">
        <v>114</v>
      </c>
      <c r="N555" s="41">
        <v>114</v>
      </c>
      <c r="O555" s="41">
        <v>0</v>
      </c>
      <c r="P555" t="s">
        <v>1672</v>
      </c>
      <c r="Q555" t="s">
        <v>1354</v>
      </c>
      <c r="R555" t="s">
        <v>1166</v>
      </c>
      <c r="S555" t="s">
        <v>1167</v>
      </c>
      <c r="T555" t="s">
        <v>1347</v>
      </c>
    </row>
    <row r="556" spans="1:20" x14ac:dyDescent="0.3">
      <c r="A556" t="s">
        <v>554</v>
      </c>
      <c r="B556" t="s">
        <v>1265</v>
      </c>
      <c r="C556" t="s">
        <v>975</v>
      </c>
      <c r="D556" t="s">
        <v>686</v>
      </c>
      <c r="E556" t="s">
        <v>1101</v>
      </c>
      <c r="F556" t="s">
        <v>948</v>
      </c>
      <c r="G556" t="s">
        <v>1102</v>
      </c>
      <c r="H556" t="s">
        <v>1346</v>
      </c>
      <c r="I556" t="s">
        <v>1349</v>
      </c>
      <c r="J556" s="41">
        <v>520</v>
      </c>
      <c r="K556" s="41">
        <v>0</v>
      </c>
      <c r="L556" s="41">
        <v>0</v>
      </c>
      <c r="M556" s="41">
        <v>520</v>
      </c>
      <c r="N556" s="41">
        <v>520</v>
      </c>
      <c r="O556" s="41">
        <v>0</v>
      </c>
      <c r="P556" t="s">
        <v>1672</v>
      </c>
      <c r="Q556" t="s">
        <v>1355</v>
      </c>
      <c r="R556" t="s">
        <v>1166</v>
      </c>
      <c r="S556" t="s">
        <v>1167</v>
      </c>
      <c r="T556" t="s">
        <v>1347</v>
      </c>
    </row>
    <row r="557" spans="1:20" x14ac:dyDescent="0.3">
      <c r="A557" t="s">
        <v>554</v>
      </c>
      <c r="B557" t="s">
        <v>1265</v>
      </c>
      <c r="C557" t="s">
        <v>975</v>
      </c>
      <c r="D557" t="s">
        <v>686</v>
      </c>
      <c r="E557" t="s">
        <v>1101</v>
      </c>
      <c r="F557" t="s">
        <v>948</v>
      </c>
      <c r="G557" t="s">
        <v>1102</v>
      </c>
      <c r="H557" t="s">
        <v>1346</v>
      </c>
      <c r="I557" t="s">
        <v>1349</v>
      </c>
      <c r="J557" s="41">
        <v>6</v>
      </c>
      <c r="K557" s="41">
        <v>0</v>
      </c>
      <c r="L557" s="41">
        <v>0</v>
      </c>
      <c r="M557" s="41">
        <v>6</v>
      </c>
      <c r="N557" s="41">
        <v>6</v>
      </c>
      <c r="O557" s="41">
        <v>0</v>
      </c>
      <c r="P557" t="s">
        <v>1672</v>
      </c>
      <c r="Q557" t="s">
        <v>1356</v>
      </c>
      <c r="R557" t="s">
        <v>1166</v>
      </c>
      <c r="S557" t="s">
        <v>1167</v>
      </c>
      <c r="T557" t="s">
        <v>1347</v>
      </c>
    </row>
    <row r="558" spans="1:20" x14ac:dyDescent="0.3">
      <c r="A558" t="s">
        <v>554</v>
      </c>
      <c r="B558" t="s">
        <v>1265</v>
      </c>
      <c r="C558" t="s">
        <v>975</v>
      </c>
      <c r="D558" t="s">
        <v>686</v>
      </c>
      <c r="E558" t="s">
        <v>1101</v>
      </c>
      <c r="F558" t="s">
        <v>948</v>
      </c>
      <c r="G558" t="s">
        <v>1102</v>
      </c>
      <c r="H558" t="s">
        <v>1346</v>
      </c>
      <c r="I558" t="s">
        <v>1349</v>
      </c>
      <c r="J558" s="41">
        <v>226.33</v>
      </c>
      <c r="K558" s="41">
        <v>0</v>
      </c>
      <c r="L558" s="41">
        <v>0</v>
      </c>
      <c r="M558" s="41">
        <v>226.33</v>
      </c>
      <c r="N558" s="41">
        <v>226.33</v>
      </c>
      <c r="O558" s="41">
        <v>0</v>
      </c>
      <c r="P558" t="s">
        <v>1672</v>
      </c>
      <c r="Q558" t="s">
        <v>1357</v>
      </c>
      <c r="R558" t="s">
        <v>1166</v>
      </c>
      <c r="S558" t="s">
        <v>1167</v>
      </c>
      <c r="T558" t="s">
        <v>1347</v>
      </c>
    </row>
    <row r="559" spans="1:20" x14ac:dyDescent="0.3">
      <c r="A559" t="s">
        <v>554</v>
      </c>
      <c r="B559" t="s">
        <v>1265</v>
      </c>
      <c r="C559" t="s">
        <v>975</v>
      </c>
      <c r="D559" t="s">
        <v>686</v>
      </c>
      <c r="E559" t="s">
        <v>1101</v>
      </c>
      <c r="F559" t="s">
        <v>948</v>
      </c>
      <c r="G559" t="s">
        <v>1102</v>
      </c>
      <c r="H559" t="s">
        <v>1346</v>
      </c>
      <c r="I559" t="s">
        <v>1349</v>
      </c>
      <c r="J559" s="41">
        <v>386.7</v>
      </c>
      <c r="K559" s="41">
        <v>0</v>
      </c>
      <c r="L559" s="41">
        <v>0</v>
      </c>
      <c r="M559" s="41">
        <v>386.7</v>
      </c>
      <c r="N559" s="41">
        <v>386.7</v>
      </c>
      <c r="O559" s="41">
        <v>0</v>
      </c>
      <c r="P559" t="s">
        <v>1672</v>
      </c>
      <c r="Q559" t="s">
        <v>1358</v>
      </c>
      <c r="R559" t="s">
        <v>1166</v>
      </c>
      <c r="S559" t="s">
        <v>1167</v>
      </c>
      <c r="T559" t="s">
        <v>1347</v>
      </c>
    </row>
    <row r="560" spans="1:20" x14ac:dyDescent="0.3">
      <c r="A560" t="s">
        <v>554</v>
      </c>
      <c r="B560" t="s">
        <v>1265</v>
      </c>
      <c r="C560" t="s">
        <v>975</v>
      </c>
      <c r="D560" t="s">
        <v>686</v>
      </c>
      <c r="E560" t="s">
        <v>1101</v>
      </c>
      <c r="F560" t="s">
        <v>948</v>
      </c>
      <c r="G560" t="s">
        <v>1102</v>
      </c>
      <c r="H560" t="s">
        <v>1346</v>
      </c>
      <c r="I560" t="s">
        <v>1349</v>
      </c>
      <c r="J560" s="41">
        <v>150.72</v>
      </c>
      <c r="K560" s="41">
        <v>0</v>
      </c>
      <c r="L560" s="41">
        <v>0</v>
      </c>
      <c r="M560" s="41">
        <v>150.72</v>
      </c>
      <c r="N560" s="41">
        <v>150.72</v>
      </c>
      <c r="O560" s="41">
        <v>0</v>
      </c>
      <c r="P560" t="s">
        <v>1672</v>
      </c>
      <c r="Q560" t="s">
        <v>1565</v>
      </c>
      <c r="R560" t="s">
        <v>1166</v>
      </c>
      <c r="S560" t="s">
        <v>1167</v>
      </c>
      <c r="T560" t="s">
        <v>1347</v>
      </c>
    </row>
    <row r="561" spans="1:20" x14ac:dyDescent="0.3">
      <c r="A561" t="s">
        <v>554</v>
      </c>
      <c r="B561" t="s">
        <v>1265</v>
      </c>
      <c r="C561" t="s">
        <v>975</v>
      </c>
      <c r="D561" t="s">
        <v>686</v>
      </c>
      <c r="E561" t="s">
        <v>1101</v>
      </c>
      <c r="F561" t="s">
        <v>948</v>
      </c>
      <c r="G561" t="s">
        <v>1102</v>
      </c>
      <c r="H561" t="s">
        <v>1346</v>
      </c>
      <c r="I561" t="s">
        <v>1349</v>
      </c>
      <c r="J561" s="41">
        <v>24</v>
      </c>
      <c r="K561" s="41">
        <v>0</v>
      </c>
      <c r="L561" s="41">
        <v>0</v>
      </c>
      <c r="M561" s="41">
        <v>24</v>
      </c>
      <c r="N561" s="41">
        <v>24</v>
      </c>
      <c r="O561" s="41">
        <v>0</v>
      </c>
      <c r="P561" t="s">
        <v>1672</v>
      </c>
      <c r="Q561" t="s">
        <v>1566</v>
      </c>
      <c r="R561" t="s">
        <v>1166</v>
      </c>
      <c r="S561" t="s">
        <v>1167</v>
      </c>
      <c r="T561" t="s">
        <v>1347</v>
      </c>
    </row>
    <row r="562" spans="1:20" x14ac:dyDescent="0.3">
      <c r="A562" t="s">
        <v>554</v>
      </c>
      <c r="B562" t="s">
        <v>1265</v>
      </c>
      <c r="C562" t="s">
        <v>975</v>
      </c>
      <c r="D562" t="s">
        <v>686</v>
      </c>
      <c r="E562" t="s">
        <v>1101</v>
      </c>
      <c r="F562" t="s">
        <v>948</v>
      </c>
      <c r="G562" t="s">
        <v>1102</v>
      </c>
      <c r="H562" t="s">
        <v>1346</v>
      </c>
      <c r="I562" t="s">
        <v>1349</v>
      </c>
      <c r="J562" s="41">
        <v>24</v>
      </c>
      <c r="K562" s="41">
        <v>0</v>
      </c>
      <c r="L562" s="41">
        <v>0</v>
      </c>
      <c r="M562" s="41">
        <v>24</v>
      </c>
      <c r="N562" s="41">
        <v>24</v>
      </c>
      <c r="O562" s="41">
        <v>0</v>
      </c>
      <c r="P562" t="s">
        <v>1672</v>
      </c>
      <c r="Q562" t="s">
        <v>1359</v>
      </c>
      <c r="R562" t="s">
        <v>1166</v>
      </c>
      <c r="S562" t="s">
        <v>1167</v>
      </c>
      <c r="T562" t="s">
        <v>1347</v>
      </c>
    </row>
    <row r="563" spans="1:20" x14ac:dyDescent="0.3">
      <c r="A563" t="s">
        <v>554</v>
      </c>
      <c r="B563" t="s">
        <v>1265</v>
      </c>
      <c r="C563" t="s">
        <v>975</v>
      </c>
      <c r="D563" t="s">
        <v>686</v>
      </c>
      <c r="E563" t="s">
        <v>1101</v>
      </c>
      <c r="F563" t="s">
        <v>948</v>
      </c>
      <c r="G563" t="s">
        <v>1102</v>
      </c>
      <c r="H563" t="s">
        <v>1594</v>
      </c>
      <c r="I563" t="s">
        <v>1592</v>
      </c>
      <c r="J563" s="41">
        <v>0</v>
      </c>
      <c r="K563" s="41">
        <v>5146.2</v>
      </c>
      <c r="L563" s="41">
        <v>0</v>
      </c>
      <c r="M563" s="41">
        <v>5146.2</v>
      </c>
      <c r="N563" s="41">
        <v>5146.2</v>
      </c>
      <c r="O563" s="41">
        <v>5146.2</v>
      </c>
      <c r="P563" t="s">
        <v>1672</v>
      </c>
      <c r="Q563" t="s">
        <v>1364</v>
      </c>
      <c r="R563" t="s">
        <v>1166</v>
      </c>
      <c r="S563" t="s">
        <v>1167</v>
      </c>
      <c r="T563" t="s">
        <v>1102</v>
      </c>
    </row>
    <row r="564" spans="1:20" x14ac:dyDescent="0.3">
      <c r="A564" t="s">
        <v>554</v>
      </c>
      <c r="B564" t="s">
        <v>1265</v>
      </c>
      <c r="C564" t="s">
        <v>975</v>
      </c>
      <c r="D564" t="s">
        <v>686</v>
      </c>
      <c r="E564" t="s">
        <v>1103</v>
      </c>
      <c r="F564" t="s">
        <v>948</v>
      </c>
      <c r="G564" t="s">
        <v>1104</v>
      </c>
      <c r="H564" t="s">
        <v>1362</v>
      </c>
      <c r="I564" t="s">
        <v>1360</v>
      </c>
      <c r="J564" s="41">
        <v>78</v>
      </c>
      <c r="K564" s="41">
        <v>0</v>
      </c>
      <c r="L564" s="41">
        <v>0</v>
      </c>
      <c r="M564" s="41">
        <v>78</v>
      </c>
      <c r="N564" s="41">
        <v>78</v>
      </c>
      <c r="O564" s="41">
        <v>0</v>
      </c>
      <c r="P564" t="s">
        <v>1672</v>
      </c>
      <c r="Q564" t="s">
        <v>1368</v>
      </c>
      <c r="R564" t="s">
        <v>1166</v>
      </c>
      <c r="S564" t="s">
        <v>1167</v>
      </c>
      <c r="T564" t="s">
        <v>1363</v>
      </c>
    </row>
    <row r="565" spans="1:20" x14ac:dyDescent="0.3">
      <c r="A565" t="s">
        <v>554</v>
      </c>
      <c r="B565" t="s">
        <v>1265</v>
      </c>
      <c r="C565" t="s">
        <v>975</v>
      </c>
      <c r="D565" t="s">
        <v>686</v>
      </c>
      <c r="E565" t="s">
        <v>1105</v>
      </c>
      <c r="F565" t="s">
        <v>948</v>
      </c>
      <c r="G565" t="s">
        <v>1106</v>
      </c>
      <c r="H565" t="s">
        <v>576</v>
      </c>
      <c r="I565" t="s">
        <v>1365</v>
      </c>
      <c r="J565" s="41">
        <v>1.9</v>
      </c>
      <c r="K565" s="41">
        <v>0</v>
      </c>
      <c r="L565" s="41">
        <v>0</v>
      </c>
      <c r="M565" s="41">
        <v>1.9</v>
      </c>
      <c r="N565" s="41">
        <v>1.9</v>
      </c>
      <c r="O565" s="41">
        <v>0</v>
      </c>
      <c r="P565" t="s">
        <v>1672</v>
      </c>
      <c r="Q565" t="s">
        <v>1370</v>
      </c>
      <c r="R565" t="s">
        <v>1192</v>
      </c>
      <c r="S565" t="s">
        <v>1193</v>
      </c>
      <c r="T565" t="s">
        <v>1367</v>
      </c>
    </row>
    <row r="566" spans="1:20" x14ac:dyDescent="0.3">
      <c r="A566" t="s">
        <v>554</v>
      </c>
      <c r="B566" t="s">
        <v>1265</v>
      </c>
      <c r="C566" t="s">
        <v>975</v>
      </c>
      <c r="D566" t="s">
        <v>686</v>
      </c>
      <c r="E566" t="s">
        <v>1123</v>
      </c>
      <c r="F566" t="s">
        <v>717</v>
      </c>
      <c r="G566" t="s">
        <v>717</v>
      </c>
      <c r="H566" t="s">
        <v>1261</v>
      </c>
      <c r="I566" t="s">
        <v>1258</v>
      </c>
      <c r="J566" s="41">
        <v>44.06</v>
      </c>
      <c r="K566" s="41">
        <v>183.1</v>
      </c>
      <c r="L566" s="41">
        <v>0</v>
      </c>
      <c r="M566" s="41">
        <v>227.16</v>
      </c>
      <c r="N566" s="41">
        <v>227.16</v>
      </c>
      <c r="O566" s="41">
        <v>183.1</v>
      </c>
      <c r="P566" t="s">
        <v>1672</v>
      </c>
      <c r="Q566" t="s">
        <v>1432</v>
      </c>
      <c r="R566" t="s">
        <v>1166</v>
      </c>
      <c r="S566" t="s">
        <v>1167</v>
      </c>
      <c r="T566" t="s">
        <v>1262</v>
      </c>
    </row>
    <row r="567" spans="1:20" x14ac:dyDescent="0.3">
      <c r="A567" t="s">
        <v>554</v>
      </c>
      <c r="B567" t="s">
        <v>1265</v>
      </c>
      <c r="C567" t="s">
        <v>975</v>
      </c>
      <c r="D567" t="s">
        <v>686</v>
      </c>
      <c r="E567" t="s">
        <v>1123</v>
      </c>
      <c r="F567" t="s">
        <v>717</v>
      </c>
      <c r="G567" t="s">
        <v>717</v>
      </c>
      <c r="H567" t="s">
        <v>1261</v>
      </c>
      <c r="I567" t="s">
        <v>1258</v>
      </c>
      <c r="J567" s="41">
        <v>0</v>
      </c>
      <c r="K567" s="41">
        <v>4.29</v>
      </c>
      <c r="L567" s="41">
        <v>0</v>
      </c>
      <c r="M567" s="41">
        <v>4.29</v>
      </c>
      <c r="N567" s="41">
        <v>4.29</v>
      </c>
      <c r="O567" s="41">
        <v>4.29</v>
      </c>
      <c r="P567" t="s">
        <v>1672</v>
      </c>
      <c r="Q567" t="s">
        <v>1438</v>
      </c>
      <c r="R567" t="s">
        <v>1166</v>
      </c>
      <c r="S567" t="s">
        <v>1167</v>
      </c>
      <c r="T567" t="s">
        <v>1262</v>
      </c>
    </row>
    <row r="568" spans="1:20" x14ac:dyDescent="0.3">
      <c r="A568" t="s">
        <v>554</v>
      </c>
      <c r="B568" t="s">
        <v>1265</v>
      </c>
      <c r="C568" t="s">
        <v>975</v>
      </c>
      <c r="D568" t="s">
        <v>686</v>
      </c>
      <c r="E568" t="s">
        <v>1123</v>
      </c>
      <c r="F568" t="s">
        <v>717</v>
      </c>
      <c r="G568" t="s">
        <v>717</v>
      </c>
      <c r="H568" t="s">
        <v>1261</v>
      </c>
      <c r="I568" t="s">
        <v>1258</v>
      </c>
      <c r="J568" s="41">
        <v>0</v>
      </c>
      <c r="K568" s="41">
        <v>172.1</v>
      </c>
      <c r="L568" s="41">
        <v>0</v>
      </c>
      <c r="M568" s="41">
        <v>172.1</v>
      </c>
      <c r="N568" s="41">
        <v>172.1</v>
      </c>
      <c r="O568" s="41">
        <v>172.1</v>
      </c>
      <c r="P568" t="s">
        <v>1672</v>
      </c>
      <c r="Q568" t="s">
        <v>1439</v>
      </c>
      <c r="R568" t="s">
        <v>1166</v>
      </c>
      <c r="S568" t="s">
        <v>1167</v>
      </c>
      <c r="T568" t="s">
        <v>1262</v>
      </c>
    </row>
    <row r="569" spans="1:20" x14ac:dyDescent="0.3">
      <c r="A569" t="s">
        <v>554</v>
      </c>
      <c r="B569" t="s">
        <v>1265</v>
      </c>
      <c r="C569" t="s">
        <v>975</v>
      </c>
      <c r="D569" t="s">
        <v>686</v>
      </c>
      <c r="E569" t="s">
        <v>1123</v>
      </c>
      <c r="F569" t="s">
        <v>717</v>
      </c>
      <c r="G569" t="s">
        <v>717</v>
      </c>
      <c r="H569" t="s">
        <v>1261</v>
      </c>
      <c r="I569" t="s">
        <v>573</v>
      </c>
      <c r="J569" s="41">
        <v>5.55</v>
      </c>
      <c r="K569" s="41">
        <v>1.85</v>
      </c>
      <c r="L569" s="41">
        <v>0</v>
      </c>
      <c r="M569" s="41">
        <v>7.4</v>
      </c>
      <c r="N569" s="41">
        <v>7.4</v>
      </c>
      <c r="O569" s="41">
        <v>1.85</v>
      </c>
      <c r="P569" t="s">
        <v>1672</v>
      </c>
      <c r="Q569" t="s">
        <v>1441</v>
      </c>
      <c r="R569" t="s">
        <v>1166</v>
      </c>
      <c r="S569" t="s">
        <v>1167</v>
      </c>
      <c r="T569" t="s">
        <v>1262</v>
      </c>
    </row>
    <row r="570" spans="1:20" x14ac:dyDescent="0.3">
      <c r="A570" t="s">
        <v>554</v>
      </c>
      <c r="B570" t="s">
        <v>1265</v>
      </c>
      <c r="C570" t="s">
        <v>975</v>
      </c>
      <c r="D570" t="s">
        <v>686</v>
      </c>
      <c r="E570" t="s">
        <v>1123</v>
      </c>
      <c r="F570" t="s">
        <v>717</v>
      </c>
      <c r="G570" t="s">
        <v>717</v>
      </c>
      <c r="H570" t="s">
        <v>1261</v>
      </c>
      <c r="I570" t="s">
        <v>1371</v>
      </c>
      <c r="J570" s="41">
        <v>320</v>
      </c>
      <c r="K570" s="41">
        <v>121.87</v>
      </c>
      <c r="L570" s="41">
        <v>0</v>
      </c>
      <c r="M570" s="41">
        <v>441.87</v>
      </c>
      <c r="N570" s="41">
        <v>441.87</v>
      </c>
      <c r="O570" s="41">
        <v>121.87</v>
      </c>
      <c r="P570" t="s">
        <v>1672</v>
      </c>
      <c r="Q570" t="s">
        <v>1567</v>
      </c>
      <c r="R570" t="s">
        <v>1166</v>
      </c>
      <c r="S570" t="s">
        <v>1167</v>
      </c>
      <c r="T570" t="s">
        <v>1262</v>
      </c>
    </row>
    <row r="571" spans="1:20" x14ac:dyDescent="0.3">
      <c r="A571" t="s">
        <v>554</v>
      </c>
      <c r="B571" t="s">
        <v>1265</v>
      </c>
      <c r="C571" t="s">
        <v>975</v>
      </c>
      <c r="D571" t="s">
        <v>686</v>
      </c>
      <c r="E571" t="s">
        <v>1123</v>
      </c>
      <c r="F571" t="s">
        <v>717</v>
      </c>
      <c r="G571" t="s">
        <v>717</v>
      </c>
      <c r="H571" t="s">
        <v>1547</v>
      </c>
      <c r="I571" t="s">
        <v>1602</v>
      </c>
      <c r="J571" s="41">
        <v>0</v>
      </c>
      <c r="K571" s="41">
        <v>4.29</v>
      </c>
      <c r="L571" s="41">
        <v>0</v>
      </c>
      <c r="M571" s="41">
        <v>4.29</v>
      </c>
      <c r="N571" s="41">
        <v>4.29</v>
      </c>
      <c r="O571" s="41">
        <v>4.29</v>
      </c>
      <c r="P571" t="s">
        <v>1672</v>
      </c>
      <c r="Q571" t="s">
        <v>1568</v>
      </c>
      <c r="R571" t="s">
        <v>1166</v>
      </c>
      <c r="S571" t="s">
        <v>1167</v>
      </c>
      <c r="T571" t="s">
        <v>1548</v>
      </c>
    </row>
    <row r="572" spans="1:20" x14ac:dyDescent="0.3">
      <c r="A572" t="s">
        <v>554</v>
      </c>
      <c r="B572" t="s">
        <v>1265</v>
      </c>
      <c r="C572" t="s">
        <v>975</v>
      </c>
      <c r="D572" t="s">
        <v>686</v>
      </c>
      <c r="E572" t="s">
        <v>1123</v>
      </c>
      <c r="F572" t="s">
        <v>717</v>
      </c>
      <c r="G572" t="s">
        <v>717</v>
      </c>
      <c r="H572" t="s">
        <v>1547</v>
      </c>
      <c r="I572" t="s">
        <v>1602</v>
      </c>
      <c r="J572" s="41">
        <v>0</v>
      </c>
      <c r="K572" s="41">
        <v>0</v>
      </c>
      <c r="L572" s="41">
        <v>4.29</v>
      </c>
      <c r="M572" s="41">
        <v>-4.29</v>
      </c>
      <c r="N572" s="41">
        <v>-4.29</v>
      </c>
      <c r="O572" s="41">
        <v>-4.29</v>
      </c>
      <c r="P572" t="s">
        <v>1672</v>
      </c>
      <c r="Q572" t="s">
        <v>1449</v>
      </c>
      <c r="R572" t="s">
        <v>1166</v>
      </c>
      <c r="S572" t="s">
        <v>1167</v>
      </c>
      <c r="T572" t="s">
        <v>1548</v>
      </c>
    </row>
    <row r="573" spans="1:20" x14ac:dyDescent="0.3">
      <c r="A573" t="s">
        <v>554</v>
      </c>
      <c r="B573" t="s">
        <v>1373</v>
      </c>
      <c r="C573" t="s">
        <v>974</v>
      </c>
      <c r="D573" t="s">
        <v>496</v>
      </c>
      <c r="E573" t="s">
        <v>1048</v>
      </c>
      <c r="F573" t="s">
        <v>1318</v>
      </c>
      <c r="G573" t="s">
        <v>1049</v>
      </c>
      <c r="H573" t="s">
        <v>1319</v>
      </c>
      <c r="I573" t="s">
        <v>1376</v>
      </c>
      <c r="J573" s="41">
        <v>-15893.35</v>
      </c>
      <c r="K573" s="41">
        <v>0</v>
      </c>
      <c r="L573" s="41">
        <v>5255</v>
      </c>
      <c r="M573" s="41">
        <v>-21148.35</v>
      </c>
      <c r="N573" s="41">
        <v>21148.35</v>
      </c>
      <c r="O573" s="41">
        <v>5255</v>
      </c>
      <c r="P573" t="s">
        <v>1673</v>
      </c>
      <c r="Q573" t="s">
        <v>1257</v>
      </c>
      <c r="R573" t="s">
        <v>1166</v>
      </c>
      <c r="S573" t="s">
        <v>1167</v>
      </c>
      <c r="T573" t="s">
        <v>1320</v>
      </c>
    </row>
    <row r="574" spans="1:20" x14ac:dyDescent="0.3">
      <c r="A574" t="s">
        <v>554</v>
      </c>
      <c r="B574" t="s">
        <v>1373</v>
      </c>
      <c r="C574" t="s">
        <v>974</v>
      </c>
      <c r="D574" t="s">
        <v>496</v>
      </c>
      <c r="E574" t="s">
        <v>1048</v>
      </c>
      <c r="F574" t="s">
        <v>1318</v>
      </c>
      <c r="G574" t="s">
        <v>1049</v>
      </c>
      <c r="H574" t="s">
        <v>1319</v>
      </c>
      <c r="I574" t="s">
        <v>1378</v>
      </c>
      <c r="J574" s="41">
        <v>-900</v>
      </c>
      <c r="K574" s="41">
        <v>0</v>
      </c>
      <c r="L574" s="41">
        <v>300</v>
      </c>
      <c r="M574" s="41">
        <v>-1200</v>
      </c>
      <c r="N574" s="41">
        <v>1200</v>
      </c>
      <c r="O574" s="41">
        <v>300</v>
      </c>
      <c r="P574" t="s">
        <v>1673</v>
      </c>
      <c r="Q574" t="s">
        <v>1342</v>
      </c>
      <c r="R574" t="s">
        <v>1166</v>
      </c>
      <c r="S574" t="s">
        <v>1167</v>
      </c>
      <c r="T574" t="s">
        <v>1320</v>
      </c>
    </row>
    <row r="575" spans="1:20" x14ac:dyDescent="0.3">
      <c r="A575" t="s">
        <v>554</v>
      </c>
      <c r="B575" t="s">
        <v>1373</v>
      </c>
      <c r="C575" t="s">
        <v>974</v>
      </c>
      <c r="D575" t="s">
        <v>496</v>
      </c>
      <c r="E575" t="s">
        <v>1048</v>
      </c>
      <c r="F575" t="s">
        <v>1318</v>
      </c>
      <c r="G575" t="s">
        <v>1049</v>
      </c>
      <c r="H575" t="s">
        <v>1319</v>
      </c>
      <c r="I575" t="s">
        <v>1387</v>
      </c>
      <c r="J575" s="41">
        <v>0</v>
      </c>
      <c r="K575" s="41">
        <v>0</v>
      </c>
      <c r="L575" s="41">
        <v>4010</v>
      </c>
      <c r="M575" s="41">
        <v>-4010</v>
      </c>
      <c r="N575" s="41">
        <v>4010</v>
      </c>
      <c r="O575" s="41">
        <v>4010</v>
      </c>
      <c r="P575" t="s">
        <v>1673</v>
      </c>
      <c r="Q575" t="s">
        <v>1348</v>
      </c>
      <c r="R575" t="s">
        <v>1166</v>
      </c>
      <c r="S575" t="s">
        <v>1167</v>
      </c>
      <c r="T575" t="s">
        <v>1320</v>
      </c>
    </row>
    <row r="576" spans="1:20" x14ac:dyDescent="0.3">
      <c r="A576" t="s">
        <v>554</v>
      </c>
      <c r="B576" t="s">
        <v>1373</v>
      </c>
      <c r="C576" t="s">
        <v>974</v>
      </c>
      <c r="D576" t="s">
        <v>496</v>
      </c>
      <c r="E576" t="s">
        <v>1048</v>
      </c>
      <c r="F576" t="s">
        <v>1318</v>
      </c>
      <c r="G576" t="s">
        <v>1049</v>
      </c>
      <c r="H576" t="s">
        <v>1319</v>
      </c>
      <c r="I576" t="s">
        <v>1379</v>
      </c>
      <c r="J576" s="41">
        <v>-217</v>
      </c>
      <c r="K576" s="41">
        <v>0</v>
      </c>
      <c r="L576" s="41">
        <v>0</v>
      </c>
      <c r="M576" s="41">
        <v>-217</v>
      </c>
      <c r="N576" s="41">
        <v>217</v>
      </c>
      <c r="O576" s="41">
        <v>0</v>
      </c>
      <c r="P576" t="s">
        <v>1673</v>
      </c>
      <c r="Q576" t="s">
        <v>1350</v>
      </c>
      <c r="R576" t="s">
        <v>1166</v>
      </c>
      <c r="S576" t="s">
        <v>1167</v>
      </c>
      <c r="T576" t="s">
        <v>1320</v>
      </c>
    </row>
    <row r="577" spans="1:20" x14ac:dyDescent="0.3">
      <c r="A577" t="s">
        <v>554</v>
      </c>
      <c r="B577" t="s">
        <v>1373</v>
      </c>
      <c r="C577" t="s">
        <v>974</v>
      </c>
      <c r="D577" t="s">
        <v>496</v>
      </c>
      <c r="E577" t="s">
        <v>1048</v>
      </c>
      <c r="F577" t="s">
        <v>1318</v>
      </c>
      <c r="G577" t="s">
        <v>1049</v>
      </c>
      <c r="H577" t="s">
        <v>1319</v>
      </c>
      <c r="I577" t="s">
        <v>1381</v>
      </c>
      <c r="J577" s="41">
        <v>-385.8</v>
      </c>
      <c r="K577" s="41">
        <v>0</v>
      </c>
      <c r="L577" s="41">
        <v>96.45</v>
      </c>
      <c r="M577" s="41">
        <v>-482.25</v>
      </c>
      <c r="N577" s="41">
        <v>482.25</v>
      </c>
      <c r="O577" s="41">
        <v>96.45</v>
      </c>
      <c r="P577" t="s">
        <v>1673</v>
      </c>
      <c r="Q577" t="s">
        <v>1351</v>
      </c>
      <c r="R577" t="s">
        <v>1166</v>
      </c>
      <c r="S577" t="s">
        <v>1167</v>
      </c>
      <c r="T577" t="s">
        <v>1320</v>
      </c>
    </row>
    <row r="578" spans="1:20" x14ac:dyDescent="0.3">
      <c r="A578" t="s">
        <v>554</v>
      </c>
      <c r="B578" t="s">
        <v>1373</v>
      </c>
      <c r="C578" t="s">
        <v>974</v>
      </c>
      <c r="D578" t="s">
        <v>496</v>
      </c>
      <c r="E578" t="s">
        <v>1048</v>
      </c>
      <c r="F578" t="s">
        <v>1318</v>
      </c>
      <c r="G578" t="s">
        <v>1049</v>
      </c>
      <c r="H578" t="s">
        <v>1319</v>
      </c>
      <c r="I578" t="s">
        <v>1382</v>
      </c>
      <c r="J578" s="41">
        <v>-220</v>
      </c>
      <c r="K578" s="41">
        <v>0</v>
      </c>
      <c r="L578" s="41">
        <v>55</v>
      </c>
      <c r="M578" s="41">
        <v>-275</v>
      </c>
      <c r="N578" s="41">
        <v>275</v>
      </c>
      <c r="O578" s="41">
        <v>55</v>
      </c>
      <c r="P578" t="s">
        <v>1673</v>
      </c>
      <c r="Q578" t="s">
        <v>1352</v>
      </c>
      <c r="R578" t="s">
        <v>1166</v>
      </c>
      <c r="S578" t="s">
        <v>1167</v>
      </c>
      <c r="T578" t="s">
        <v>1320</v>
      </c>
    </row>
    <row r="579" spans="1:20" x14ac:dyDescent="0.3">
      <c r="A579" t="s">
        <v>554</v>
      </c>
      <c r="B579" t="s">
        <v>1373</v>
      </c>
      <c r="C579" t="s">
        <v>974</v>
      </c>
      <c r="D579" t="s">
        <v>496</v>
      </c>
      <c r="E579" t="s">
        <v>1118</v>
      </c>
      <c r="F579" t="s">
        <v>1324</v>
      </c>
      <c r="G579" t="s">
        <v>1119</v>
      </c>
      <c r="H579" t="s">
        <v>1418</v>
      </c>
      <c r="I579" t="s">
        <v>1376</v>
      </c>
      <c r="J579" s="41">
        <v>-0.35</v>
      </c>
      <c r="K579" s="41">
        <v>0</v>
      </c>
      <c r="L579" s="41">
        <v>0</v>
      </c>
      <c r="M579" s="41">
        <v>-0.35</v>
      </c>
      <c r="N579" s="41">
        <v>0.35</v>
      </c>
      <c r="O579" s="41">
        <v>0</v>
      </c>
      <c r="P579" t="s">
        <v>1673</v>
      </c>
      <c r="Q579" t="s">
        <v>1356</v>
      </c>
      <c r="R579" t="s">
        <v>1166</v>
      </c>
      <c r="S579" t="s">
        <v>1167</v>
      </c>
      <c r="T579" t="s">
        <v>1419</v>
      </c>
    </row>
    <row r="580" spans="1:20" x14ac:dyDescent="0.3">
      <c r="A580" t="s">
        <v>554</v>
      </c>
      <c r="B580" t="s">
        <v>1373</v>
      </c>
      <c r="C580" t="s">
        <v>974</v>
      </c>
      <c r="D580" t="s">
        <v>496</v>
      </c>
      <c r="E580" t="s">
        <v>1118</v>
      </c>
      <c r="F580" t="s">
        <v>1324</v>
      </c>
      <c r="G580" t="s">
        <v>1119</v>
      </c>
      <c r="H580" t="s">
        <v>1418</v>
      </c>
      <c r="I580" t="s">
        <v>1378</v>
      </c>
      <c r="J580" s="41">
        <v>-83</v>
      </c>
      <c r="K580" s="41">
        <v>0</v>
      </c>
      <c r="L580" s="41">
        <v>0</v>
      </c>
      <c r="M580" s="41">
        <v>-83</v>
      </c>
      <c r="N580" s="41">
        <v>83</v>
      </c>
      <c r="O580" s="41">
        <v>0</v>
      </c>
      <c r="P580" t="s">
        <v>1673</v>
      </c>
      <c r="Q580" t="s">
        <v>1357</v>
      </c>
      <c r="R580" t="s">
        <v>1166</v>
      </c>
      <c r="S580" t="s">
        <v>1167</v>
      </c>
      <c r="T580" t="s">
        <v>1419</v>
      </c>
    </row>
    <row r="581" spans="1:20" x14ac:dyDescent="0.3">
      <c r="A581" t="s">
        <v>554</v>
      </c>
      <c r="B581" t="s">
        <v>1373</v>
      </c>
      <c r="C581" t="s">
        <v>974</v>
      </c>
      <c r="D581" t="s">
        <v>496</v>
      </c>
      <c r="E581" t="s">
        <v>1118</v>
      </c>
      <c r="F581" t="s">
        <v>1324</v>
      </c>
      <c r="G581" t="s">
        <v>1119</v>
      </c>
      <c r="H581" t="s">
        <v>1418</v>
      </c>
      <c r="I581" t="s">
        <v>1406</v>
      </c>
      <c r="J581" s="41">
        <v>-128.77000000000001</v>
      </c>
      <c r="K581" s="41">
        <v>0</v>
      </c>
      <c r="L581" s="41">
        <v>188.15</v>
      </c>
      <c r="M581" s="41">
        <v>-316.92</v>
      </c>
      <c r="N581" s="41">
        <v>316.92</v>
      </c>
      <c r="O581" s="41">
        <v>188.15</v>
      </c>
      <c r="P581" t="s">
        <v>1673</v>
      </c>
      <c r="Q581" t="s">
        <v>1358</v>
      </c>
      <c r="R581" t="s">
        <v>1166</v>
      </c>
      <c r="S581" t="s">
        <v>1167</v>
      </c>
      <c r="T581" t="s">
        <v>1419</v>
      </c>
    </row>
    <row r="582" spans="1:20" x14ac:dyDescent="0.3">
      <c r="A582" t="s">
        <v>554</v>
      </c>
      <c r="B582" t="s">
        <v>1373</v>
      </c>
      <c r="C582" t="s">
        <v>974</v>
      </c>
      <c r="D582" t="s">
        <v>496</v>
      </c>
      <c r="E582" t="s">
        <v>1060</v>
      </c>
      <c r="F582" t="s">
        <v>947</v>
      </c>
      <c r="G582" t="s">
        <v>1061</v>
      </c>
      <c r="H582" t="s">
        <v>1200</v>
      </c>
      <c r="I582" t="s">
        <v>1421</v>
      </c>
      <c r="J582" s="41">
        <v>10368.68</v>
      </c>
      <c r="K582" s="41">
        <v>2592.17</v>
      </c>
      <c r="L582" s="41">
        <v>0</v>
      </c>
      <c r="M582" s="41">
        <v>12960.85</v>
      </c>
      <c r="N582" s="41">
        <v>12960.85</v>
      </c>
      <c r="O582" s="41">
        <v>2592.17</v>
      </c>
      <c r="P582" t="s">
        <v>1673</v>
      </c>
      <c r="Q582" t="s">
        <v>1364</v>
      </c>
      <c r="R582" t="s">
        <v>1166</v>
      </c>
      <c r="S582" t="s">
        <v>1167</v>
      </c>
      <c r="T582" t="s">
        <v>1201</v>
      </c>
    </row>
    <row r="583" spans="1:20" x14ac:dyDescent="0.3">
      <c r="A583" t="s">
        <v>554</v>
      </c>
      <c r="B583" t="s">
        <v>1373</v>
      </c>
      <c r="C583" t="s">
        <v>974</v>
      </c>
      <c r="D583" t="s">
        <v>496</v>
      </c>
      <c r="E583" t="s">
        <v>1075</v>
      </c>
      <c r="F583" t="s">
        <v>947</v>
      </c>
      <c r="G583" t="s">
        <v>1076</v>
      </c>
      <c r="H583" t="s">
        <v>1205</v>
      </c>
      <c r="I583" t="s">
        <v>1607</v>
      </c>
      <c r="J583" s="41">
        <v>0</v>
      </c>
      <c r="K583" s="41">
        <v>78.430000000000007</v>
      </c>
      <c r="L583" s="41">
        <v>0</v>
      </c>
      <c r="M583" s="41">
        <v>78.430000000000007</v>
      </c>
      <c r="N583" s="41">
        <v>78.430000000000007</v>
      </c>
      <c r="O583" s="41">
        <v>78.430000000000007</v>
      </c>
      <c r="P583" t="s">
        <v>1673</v>
      </c>
      <c r="Q583" t="s">
        <v>1424</v>
      </c>
      <c r="R583" t="s">
        <v>1166</v>
      </c>
      <c r="S583" t="s">
        <v>1167</v>
      </c>
      <c r="T583" t="s">
        <v>1206</v>
      </c>
    </row>
    <row r="584" spans="1:20" x14ac:dyDescent="0.3">
      <c r="A584" t="s">
        <v>554</v>
      </c>
      <c r="B584" t="s">
        <v>1373</v>
      </c>
      <c r="C584" t="s">
        <v>974</v>
      </c>
      <c r="D584" t="s">
        <v>496</v>
      </c>
      <c r="E584" t="s">
        <v>1075</v>
      </c>
      <c r="F584" t="s">
        <v>947</v>
      </c>
      <c r="G584" t="s">
        <v>1076</v>
      </c>
      <c r="H584" t="s">
        <v>1205</v>
      </c>
      <c r="I584" t="s">
        <v>1423</v>
      </c>
      <c r="J584" s="41">
        <v>64.790000000000006</v>
      </c>
      <c r="K584" s="41">
        <v>0</v>
      </c>
      <c r="L584" s="41">
        <v>0</v>
      </c>
      <c r="M584" s="41">
        <v>64.790000000000006</v>
      </c>
      <c r="N584" s="41">
        <v>64.790000000000006</v>
      </c>
      <c r="O584" s="41">
        <v>0</v>
      </c>
      <c r="P584" t="s">
        <v>1673</v>
      </c>
      <c r="Q584" t="s">
        <v>1368</v>
      </c>
      <c r="R584" t="s">
        <v>1166</v>
      </c>
      <c r="S584" t="s">
        <v>1167</v>
      </c>
      <c r="T584" t="s">
        <v>1206</v>
      </c>
    </row>
    <row r="585" spans="1:20" x14ac:dyDescent="0.3">
      <c r="A585" t="s">
        <v>554</v>
      </c>
      <c r="B585" t="s">
        <v>1373</v>
      </c>
      <c r="C585" t="s">
        <v>974</v>
      </c>
      <c r="D585" t="s">
        <v>496</v>
      </c>
      <c r="E585" t="s">
        <v>1075</v>
      </c>
      <c r="F585" t="s">
        <v>947</v>
      </c>
      <c r="G585" t="s">
        <v>1076</v>
      </c>
      <c r="H585" t="s">
        <v>1205</v>
      </c>
      <c r="I585" t="s">
        <v>1425</v>
      </c>
      <c r="J585" s="41">
        <v>35.04</v>
      </c>
      <c r="K585" s="41">
        <v>0</v>
      </c>
      <c r="L585" s="41">
        <v>0</v>
      </c>
      <c r="M585" s="41">
        <v>35.04</v>
      </c>
      <c r="N585" s="41">
        <v>35.04</v>
      </c>
      <c r="O585" s="41">
        <v>0</v>
      </c>
      <c r="P585" t="s">
        <v>1673</v>
      </c>
      <c r="Q585" t="s">
        <v>1369</v>
      </c>
      <c r="R585" t="s">
        <v>1166</v>
      </c>
      <c r="S585" t="s">
        <v>1167</v>
      </c>
      <c r="T585" t="s">
        <v>1206</v>
      </c>
    </row>
    <row r="586" spans="1:20" x14ac:dyDescent="0.3">
      <c r="A586" t="s">
        <v>554</v>
      </c>
      <c r="B586" t="s">
        <v>1373</v>
      </c>
      <c r="C586" t="s">
        <v>974</v>
      </c>
      <c r="D586" t="s">
        <v>496</v>
      </c>
      <c r="E586" t="s">
        <v>1075</v>
      </c>
      <c r="F586" t="s">
        <v>947</v>
      </c>
      <c r="G586" t="s">
        <v>1076</v>
      </c>
      <c r="H586" t="s">
        <v>1205</v>
      </c>
      <c r="I586" t="s">
        <v>1400</v>
      </c>
      <c r="J586" s="41">
        <v>22.14</v>
      </c>
      <c r="K586" s="41">
        <v>0</v>
      </c>
      <c r="L586" s="41">
        <v>0</v>
      </c>
      <c r="M586" s="41">
        <v>22.14</v>
      </c>
      <c r="N586" s="41">
        <v>22.14</v>
      </c>
      <c r="O586" s="41">
        <v>0</v>
      </c>
      <c r="P586" t="s">
        <v>1673</v>
      </c>
      <c r="Q586" t="s">
        <v>1370</v>
      </c>
      <c r="R586" t="s">
        <v>1166</v>
      </c>
      <c r="S586" t="s">
        <v>1167</v>
      </c>
      <c r="T586" t="s">
        <v>1206</v>
      </c>
    </row>
    <row r="587" spans="1:20" x14ac:dyDescent="0.3">
      <c r="A587" t="s">
        <v>554</v>
      </c>
      <c r="B587" t="s">
        <v>1373</v>
      </c>
      <c r="C587" t="s">
        <v>974</v>
      </c>
      <c r="D587" t="s">
        <v>496</v>
      </c>
      <c r="E587" t="s">
        <v>1075</v>
      </c>
      <c r="F587" t="s">
        <v>947</v>
      </c>
      <c r="G587" t="s">
        <v>1076</v>
      </c>
      <c r="H587" t="s">
        <v>1205</v>
      </c>
      <c r="I587" t="s">
        <v>1425</v>
      </c>
      <c r="J587" s="41">
        <v>13.54</v>
      </c>
      <c r="K587" s="41">
        <v>0</v>
      </c>
      <c r="L587" s="41">
        <v>0</v>
      </c>
      <c r="M587" s="41">
        <v>13.54</v>
      </c>
      <c r="N587" s="41">
        <v>13.54</v>
      </c>
      <c r="O587" s="41">
        <v>0</v>
      </c>
      <c r="P587" t="s">
        <v>1673</v>
      </c>
      <c r="Q587" t="s">
        <v>1426</v>
      </c>
      <c r="R587" t="s">
        <v>1166</v>
      </c>
      <c r="S587" t="s">
        <v>1167</v>
      </c>
      <c r="T587" t="s">
        <v>1206</v>
      </c>
    </row>
    <row r="588" spans="1:20" x14ac:dyDescent="0.3">
      <c r="A588" t="s">
        <v>554</v>
      </c>
      <c r="B588" t="s">
        <v>1373</v>
      </c>
      <c r="C588" t="s">
        <v>974</v>
      </c>
      <c r="D588" t="s">
        <v>496</v>
      </c>
      <c r="E588" t="s">
        <v>1060</v>
      </c>
      <c r="F588" t="s">
        <v>947</v>
      </c>
      <c r="G588" t="s">
        <v>1061</v>
      </c>
      <c r="H588" t="s">
        <v>1430</v>
      </c>
      <c r="I588" t="s">
        <v>1428</v>
      </c>
      <c r="J588" s="41">
        <v>7600</v>
      </c>
      <c r="K588" s="41">
        <v>0</v>
      </c>
      <c r="L588" s="41">
        <v>0</v>
      </c>
      <c r="M588" s="41">
        <v>7600</v>
      </c>
      <c r="N588" s="41">
        <v>7600</v>
      </c>
      <c r="O588" s="41">
        <v>0</v>
      </c>
      <c r="P588" t="s">
        <v>1673</v>
      </c>
      <c r="Q588" t="s">
        <v>1432</v>
      </c>
      <c r="R588" t="s">
        <v>1192</v>
      </c>
      <c r="S588" t="s">
        <v>1193</v>
      </c>
      <c r="T588" t="s">
        <v>1431</v>
      </c>
    </row>
    <row r="589" spans="1:20" x14ac:dyDescent="0.3">
      <c r="A589" t="s">
        <v>554</v>
      </c>
      <c r="B589" t="s">
        <v>1373</v>
      </c>
      <c r="C589" t="s">
        <v>974</v>
      </c>
      <c r="D589" t="s">
        <v>496</v>
      </c>
      <c r="E589" t="s">
        <v>1060</v>
      </c>
      <c r="F589" t="s">
        <v>947</v>
      </c>
      <c r="G589" t="s">
        <v>1061</v>
      </c>
      <c r="H589" t="s">
        <v>1436</v>
      </c>
      <c r="I589" t="s">
        <v>1434</v>
      </c>
      <c r="J589" s="41">
        <v>276.06</v>
      </c>
      <c r="K589" s="41">
        <v>0</v>
      </c>
      <c r="L589" s="41">
        <v>0</v>
      </c>
      <c r="M589" s="41">
        <v>276.06</v>
      </c>
      <c r="N589" s="41">
        <v>276.06</v>
      </c>
      <c r="O589" s="41">
        <v>0</v>
      </c>
      <c r="P589" t="s">
        <v>1673</v>
      </c>
      <c r="Q589" t="s">
        <v>1439</v>
      </c>
      <c r="R589" t="s">
        <v>1166</v>
      </c>
      <c r="S589" t="s">
        <v>1167</v>
      </c>
      <c r="T589" t="s">
        <v>1437</v>
      </c>
    </row>
    <row r="590" spans="1:20" x14ac:dyDescent="0.3">
      <c r="A590" t="s">
        <v>554</v>
      </c>
      <c r="B590" t="s">
        <v>1373</v>
      </c>
      <c r="C590" t="s">
        <v>974</v>
      </c>
      <c r="D590" t="s">
        <v>496</v>
      </c>
      <c r="E590" t="s">
        <v>1060</v>
      </c>
      <c r="F590" t="s">
        <v>947</v>
      </c>
      <c r="G590" t="s">
        <v>1061</v>
      </c>
      <c r="H590" t="s">
        <v>1436</v>
      </c>
      <c r="I590" t="s">
        <v>1405</v>
      </c>
      <c r="J590" s="41">
        <v>13.9</v>
      </c>
      <c r="K590" s="41">
        <v>0</v>
      </c>
      <c r="L590" s="41">
        <v>0</v>
      </c>
      <c r="M590" s="41">
        <v>13.9</v>
      </c>
      <c r="N590" s="41">
        <v>13.9</v>
      </c>
      <c r="O590" s="41">
        <v>0</v>
      </c>
      <c r="P590" t="s">
        <v>1673</v>
      </c>
      <c r="Q590" t="s">
        <v>1441</v>
      </c>
      <c r="R590" t="s">
        <v>1166</v>
      </c>
      <c r="S590" t="s">
        <v>1167</v>
      </c>
      <c r="T590" t="s">
        <v>1437</v>
      </c>
    </row>
    <row r="591" spans="1:20" x14ac:dyDescent="0.3">
      <c r="A591" t="s">
        <v>554</v>
      </c>
      <c r="B591" t="s">
        <v>1373</v>
      </c>
      <c r="C591" t="s">
        <v>974</v>
      </c>
      <c r="D591" t="s">
        <v>496</v>
      </c>
      <c r="E591" t="s">
        <v>1060</v>
      </c>
      <c r="F591" t="s">
        <v>947</v>
      </c>
      <c r="G591" t="s">
        <v>1061</v>
      </c>
      <c r="H591" t="s">
        <v>1436</v>
      </c>
      <c r="I591" t="s">
        <v>1440</v>
      </c>
      <c r="J591" s="41">
        <v>15.3</v>
      </c>
      <c r="K591" s="41">
        <v>0</v>
      </c>
      <c r="L591" s="41">
        <v>0</v>
      </c>
      <c r="M591" s="41">
        <v>15.3</v>
      </c>
      <c r="N591" s="41">
        <v>15.3</v>
      </c>
      <c r="O591" s="41">
        <v>0</v>
      </c>
      <c r="P591" t="s">
        <v>1673</v>
      </c>
      <c r="Q591" t="s">
        <v>1567</v>
      </c>
      <c r="R591" t="s">
        <v>1166</v>
      </c>
      <c r="S591" t="s">
        <v>1167</v>
      </c>
      <c r="T591" t="s">
        <v>1437</v>
      </c>
    </row>
    <row r="592" spans="1:20" x14ac:dyDescent="0.3">
      <c r="A592" t="s">
        <v>554</v>
      </c>
      <c r="B592" t="s">
        <v>1373</v>
      </c>
      <c r="C592" t="s">
        <v>974</v>
      </c>
      <c r="D592" t="s">
        <v>496</v>
      </c>
      <c r="E592" t="s">
        <v>1060</v>
      </c>
      <c r="F592" t="s">
        <v>947</v>
      </c>
      <c r="G592" t="s">
        <v>1061</v>
      </c>
      <c r="H592" t="s">
        <v>1436</v>
      </c>
      <c r="I592" t="s">
        <v>1442</v>
      </c>
      <c r="J592" s="41">
        <v>1507.28</v>
      </c>
      <c r="K592" s="41">
        <v>846.65</v>
      </c>
      <c r="L592" s="41">
        <v>540.91999999999996</v>
      </c>
      <c r="M592" s="41">
        <v>1813.01</v>
      </c>
      <c r="N592" s="41">
        <v>1813.01</v>
      </c>
      <c r="O592" s="41">
        <v>305.73</v>
      </c>
      <c r="P592" t="s">
        <v>1673</v>
      </c>
      <c r="Q592" t="s">
        <v>1443</v>
      </c>
      <c r="R592" t="s">
        <v>1166</v>
      </c>
      <c r="S592" t="s">
        <v>1167</v>
      </c>
      <c r="T592" t="s">
        <v>1437</v>
      </c>
    </row>
    <row r="593" spans="1:20" x14ac:dyDescent="0.3">
      <c r="A593" t="s">
        <v>554</v>
      </c>
      <c r="B593" t="s">
        <v>1373</v>
      </c>
      <c r="C593" t="s">
        <v>974</v>
      </c>
      <c r="D593" t="s">
        <v>496</v>
      </c>
      <c r="E593" t="s">
        <v>1060</v>
      </c>
      <c r="F593" t="s">
        <v>947</v>
      </c>
      <c r="G593" t="s">
        <v>1061</v>
      </c>
      <c r="H593" t="s">
        <v>1436</v>
      </c>
      <c r="I593" t="s">
        <v>1608</v>
      </c>
      <c r="J593" s="41">
        <v>0</v>
      </c>
      <c r="K593" s="41">
        <v>139.1</v>
      </c>
      <c r="L593" s="41">
        <v>0</v>
      </c>
      <c r="M593" s="41">
        <v>139.1</v>
      </c>
      <c r="N593" s="41">
        <v>139.1</v>
      </c>
      <c r="O593" s="41">
        <v>139.1</v>
      </c>
      <c r="P593" t="s">
        <v>1673</v>
      </c>
      <c r="Q593" t="s">
        <v>1568</v>
      </c>
      <c r="R593" t="s">
        <v>1166</v>
      </c>
      <c r="S593" t="s">
        <v>1167</v>
      </c>
      <c r="T593" t="s">
        <v>1437</v>
      </c>
    </row>
    <row r="594" spans="1:20" x14ac:dyDescent="0.3">
      <c r="A594" t="s">
        <v>554</v>
      </c>
      <c r="B594" t="s">
        <v>1373</v>
      </c>
      <c r="C594" t="s">
        <v>974</v>
      </c>
      <c r="D594" t="s">
        <v>496</v>
      </c>
      <c r="E594" t="s">
        <v>1060</v>
      </c>
      <c r="F594" t="s">
        <v>947</v>
      </c>
      <c r="G594" t="s">
        <v>1061</v>
      </c>
      <c r="H594" t="s">
        <v>1436</v>
      </c>
      <c r="I594" t="s">
        <v>1406</v>
      </c>
      <c r="J594" s="41">
        <v>0</v>
      </c>
      <c r="K594" s="41">
        <v>0</v>
      </c>
      <c r="L594" s="41">
        <v>540.91999999999996</v>
      </c>
      <c r="M594" s="41">
        <v>-540.91999999999996</v>
      </c>
      <c r="N594" s="41">
        <v>-540.91999999999996</v>
      </c>
      <c r="O594" s="41">
        <v>-540.91999999999996</v>
      </c>
      <c r="P594" t="s">
        <v>1673</v>
      </c>
      <c r="Q594" t="s">
        <v>1449</v>
      </c>
      <c r="R594" t="s">
        <v>1166</v>
      </c>
      <c r="S594" t="s">
        <v>1167</v>
      </c>
      <c r="T594" t="s">
        <v>1437</v>
      </c>
    </row>
    <row r="595" spans="1:20" x14ac:dyDescent="0.3">
      <c r="A595" t="s">
        <v>554</v>
      </c>
      <c r="B595" t="s">
        <v>1373</v>
      </c>
      <c r="C595" t="s">
        <v>974</v>
      </c>
      <c r="D595" t="s">
        <v>496</v>
      </c>
      <c r="E595" t="s">
        <v>1060</v>
      </c>
      <c r="F595" t="s">
        <v>947</v>
      </c>
      <c r="G595" t="s">
        <v>1061</v>
      </c>
      <c r="H595" t="s">
        <v>1447</v>
      </c>
      <c r="I595" t="s">
        <v>1445</v>
      </c>
      <c r="J595" s="41">
        <v>122.93</v>
      </c>
      <c r="K595" s="41">
        <v>0</v>
      </c>
      <c r="L595" s="41">
        <v>0</v>
      </c>
      <c r="M595" s="41">
        <v>122.93</v>
      </c>
      <c r="N595" s="41">
        <v>122.93</v>
      </c>
      <c r="O595" s="41">
        <v>0</v>
      </c>
      <c r="P595" t="s">
        <v>1673</v>
      </c>
      <c r="Q595" t="s">
        <v>1569</v>
      </c>
      <c r="R595" t="s">
        <v>1166</v>
      </c>
      <c r="S595" t="s">
        <v>1167</v>
      </c>
      <c r="T595" t="s">
        <v>1448</v>
      </c>
    </row>
    <row r="596" spans="1:20" x14ac:dyDescent="0.3">
      <c r="A596" t="s">
        <v>554</v>
      </c>
      <c r="B596" t="s">
        <v>1373</v>
      </c>
      <c r="C596" t="s">
        <v>974</v>
      </c>
      <c r="D596" t="s">
        <v>496</v>
      </c>
      <c r="E596" t="s">
        <v>1060</v>
      </c>
      <c r="F596" t="s">
        <v>947</v>
      </c>
      <c r="G596" t="s">
        <v>1061</v>
      </c>
      <c r="H596" t="s">
        <v>1447</v>
      </c>
      <c r="I596" t="s">
        <v>1442</v>
      </c>
      <c r="J596" s="41">
        <v>0</v>
      </c>
      <c r="K596" s="41">
        <v>56.7</v>
      </c>
      <c r="L596" s="41">
        <v>0</v>
      </c>
      <c r="M596" s="41">
        <v>56.7</v>
      </c>
      <c r="N596" s="41">
        <v>56.7</v>
      </c>
      <c r="O596" s="41">
        <v>56.7</v>
      </c>
      <c r="P596" t="s">
        <v>1673</v>
      </c>
      <c r="Q596" t="s">
        <v>1453</v>
      </c>
      <c r="R596" t="s">
        <v>1166</v>
      </c>
      <c r="S596" t="s">
        <v>1167</v>
      </c>
      <c r="T596" t="s">
        <v>1448</v>
      </c>
    </row>
    <row r="597" spans="1:20" x14ac:dyDescent="0.3">
      <c r="A597" t="s">
        <v>554</v>
      </c>
      <c r="B597" t="s">
        <v>1373</v>
      </c>
      <c r="C597" t="s">
        <v>974</v>
      </c>
      <c r="D597" t="s">
        <v>496</v>
      </c>
      <c r="E597" t="s">
        <v>1060</v>
      </c>
      <c r="F597" t="s">
        <v>947</v>
      </c>
      <c r="G597" t="s">
        <v>1061</v>
      </c>
      <c r="H597" t="s">
        <v>1451</v>
      </c>
      <c r="I597" t="s">
        <v>1421</v>
      </c>
      <c r="J597" s="41">
        <v>2879.32</v>
      </c>
      <c r="K597" s="41">
        <v>637.33000000000004</v>
      </c>
      <c r="L597" s="41">
        <v>0</v>
      </c>
      <c r="M597" s="41">
        <v>3516.65</v>
      </c>
      <c r="N597" s="41">
        <v>3516.65</v>
      </c>
      <c r="O597" s="41">
        <v>637.33000000000004</v>
      </c>
      <c r="P597" t="s">
        <v>1673</v>
      </c>
      <c r="Q597" t="s">
        <v>1571</v>
      </c>
      <c r="R597" t="s">
        <v>1192</v>
      </c>
      <c r="S597" t="s">
        <v>1193</v>
      </c>
      <c r="T597" t="s">
        <v>1452</v>
      </c>
    </row>
    <row r="598" spans="1:20" x14ac:dyDescent="0.3">
      <c r="A598" t="s">
        <v>554</v>
      </c>
      <c r="B598" t="s">
        <v>1373</v>
      </c>
      <c r="C598" t="s">
        <v>974</v>
      </c>
      <c r="D598" t="s">
        <v>496</v>
      </c>
      <c r="E598" t="s">
        <v>1062</v>
      </c>
      <c r="F598" t="s">
        <v>947</v>
      </c>
      <c r="G598" t="s">
        <v>1063</v>
      </c>
      <c r="H598" t="s">
        <v>1331</v>
      </c>
      <c r="I598" t="s">
        <v>1454</v>
      </c>
      <c r="J598" s="41">
        <v>445</v>
      </c>
      <c r="K598" s="41">
        <v>0</v>
      </c>
      <c r="L598" s="41">
        <v>0</v>
      </c>
      <c r="M598" s="41">
        <v>445</v>
      </c>
      <c r="N598" s="41">
        <v>445</v>
      </c>
      <c r="O598" s="41">
        <v>0</v>
      </c>
      <c r="P598" t="s">
        <v>1673</v>
      </c>
      <c r="Q598" t="s">
        <v>1580</v>
      </c>
      <c r="R598" t="s">
        <v>1166</v>
      </c>
      <c r="S598" t="s">
        <v>1167</v>
      </c>
      <c r="T598" t="s">
        <v>1332</v>
      </c>
    </row>
    <row r="599" spans="1:20" x14ac:dyDescent="0.3">
      <c r="A599" t="s">
        <v>554</v>
      </c>
      <c r="B599" t="s">
        <v>1373</v>
      </c>
      <c r="C599" t="s">
        <v>974</v>
      </c>
      <c r="D599" t="s">
        <v>496</v>
      </c>
      <c r="E599" t="s">
        <v>1064</v>
      </c>
      <c r="F599" t="s">
        <v>947</v>
      </c>
      <c r="G599" t="s">
        <v>1065</v>
      </c>
      <c r="H599" t="s">
        <v>1222</v>
      </c>
      <c r="I599" t="s">
        <v>1456</v>
      </c>
      <c r="J599" s="41">
        <v>4024.05</v>
      </c>
      <c r="K599" s="41">
        <v>0</v>
      </c>
      <c r="L599" s="41">
        <v>0</v>
      </c>
      <c r="M599" s="41">
        <v>4024.05</v>
      </c>
      <c r="N599" s="41">
        <v>4024.05</v>
      </c>
      <c r="O599" s="41">
        <v>0</v>
      </c>
      <c r="P599" t="s">
        <v>1673</v>
      </c>
      <c r="Q599" t="s">
        <v>1461</v>
      </c>
      <c r="R599" t="s">
        <v>1166</v>
      </c>
      <c r="S599" t="s">
        <v>1167</v>
      </c>
      <c r="T599" t="s">
        <v>1223</v>
      </c>
    </row>
    <row r="600" spans="1:20" x14ac:dyDescent="0.3">
      <c r="A600" t="s">
        <v>554</v>
      </c>
      <c r="B600" t="s">
        <v>1373</v>
      </c>
      <c r="C600" t="s">
        <v>974</v>
      </c>
      <c r="D600" t="s">
        <v>496</v>
      </c>
      <c r="E600" t="s">
        <v>1069</v>
      </c>
      <c r="F600" t="s">
        <v>947</v>
      </c>
      <c r="G600" t="s">
        <v>1070</v>
      </c>
      <c r="H600" t="s">
        <v>1243</v>
      </c>
      <c r="I600" t="s">
        <v>1458</v>
      </c>
      <c r="J600" s="41">
        <v>225.35</v>
      </c>
      <c r="K600" s="41">
        <v>0</v>
      </c>
      <c r="L600" s="41">
        <v>0</v>
      </c>
      <c r="M600" s="41">
        <v>225.35</v>
      </c>
      <c r="N600" s="41">
        <v>225.35</v>
      </c>
      <c r="O600" s="41">
        <v>0</v>
      </c>
      <c r="P600" t="s">
        <v>1673</v>
      </c>
      <c r="Q600" t="s">
        <v>1581</v>
      </c>
      <c r="R600" t="s">
        <v>1166</v>
      </c>
      <c r="S600" t="s">
        <v>1193</v>
      </c>
      <c r="T600" t="s">
        <v>1244</v>
      </c>
    </row>
    <row r="601" spans="1:20" x14ac:dyDescent="0.3">
      <c r="A601" t="s">
        <v>554</v>
      </c>
      <c r="B601" t="s">
        <v>1373</v>
      </c>
      <c r="C601" t="s">
        <v>974</v>
      </c>
      <c r="D601" t="s">
        <v>496</v>
      </c>
      <c r="E601" t="s">
        <v>1069</v>
      </c>
      <c r="F601" t="s">
        <v>947</v>
      </c>
      <c r="G601" t="s">
        <v>1070</v>
      </c>
      <c r="H601" t="s">
        <v>1243</v>
      </c>
      <c r="I601" t="s">
        <v>1460</v>
      </c>
      <c r="J601" s="41">
        <v>191.4</v>
      </c>
      <c r="K601" s="41">
        <v>0</v>
      </c>
      <c r="L601" s="41">
        <v>0</v>
      </c>
      <c r="M601" s="41">
        <v>191.4</v>
      </c>
      <c r="N601" s="41">
        <v>191.4</v>
      </c>
      <c r="O601" s="41">
        <v>0</v>
      </c>
      <c r="P601" t="s">
        <v>1673</v>
      </c>
      <c r="Q601" t="s">
        <v>1467</v>
      </c>
      <c r="R601" t="s">
        <v>1166</v>
      </c>
      <c r="S601" t="s">
        <v>1193</v>
      </c>
      <c r="T601" t="s">
        <v>1244</v>
      </c>
    </row>
    <row r="602" spans="1:20" x14ac:dyDescent="0.3">
      <c r="A602" t="s">
        <v>554</v>
      </c>
      <c r="B602" t="s">
        <v>1373</v>
      </c>
      <c r="C602" t="s">
        <v>974</v>
      </c>
      <c r="D602" t="s">
        <v>496</v>
      </c>
      <c r="E602" t="s">
        <v>1069</v>
      </c>
      <c r="F602" t="s">
        <v>947</v>
      </c>
      <c r="G602" t="s">
        <v>1070</v>
      </c>
      <c r="H602" t="s">
        <v>1243</v>
      </c>
      <c r="I602" t="s">
        <v>1462</v>
      </c>
      <c r="J602" s="41">
        <v>32.1</v>
      </c>
      <c r="K602" s="41">
        <v>0</v>
      </c>
      <c r="L602" s="41">
        <v>0</v>
      </c>
      <c r="M602" s="41">
        <v>32.1</v>
      </c>
      <c r="N602" s="41">
        <v>32.1</v>
      </c>
      <c r="O602" s="41">
        <v>0</v>
      </c>
      <c r="P602" t="s">
        <v>1673</v>
      </c>
      <c r="Q602" t="s">
        <v>1613</v>
      </c>
      <c r="R602" t="s">
        <v>1166</v>
      </c>
      <c r="S602" t="s">
        <v>1193</v>
      </c>
      <c r="T602" t="s">
        <v>1244</v>
      </c>
    </row>
    <row r="603" spans="1:20" x14ac:dyDescent="0.3">
      <c r="A603" t="s">
        <v>554</v>
      </c>
      <c r="B603" t="s">
        <v>1373</v>
      </c>
      <c r="C603" t="s">
        <v>974</v>
      </c>
      <c r="D603" t="s">
        <v>496</v>
      </c>
      <c r="E603" t="s">
        <v>1069</v>
      </c>
      <c r="F603" t="s">
        <v>947</v>
      </c>
      <c r="G603" t="s">
        <v>1070</v>
      </c>
      <c r="H603" t="s">
        <v>1243</v>
      </c>
      <c r="I603" t="s">
        <v>1464</v>
      </c>
      <c r="J603" s="41">
        <v>80</v>
      </c>
      <c r="K603" s="41">
        <v>0</v>
      </c>
      <c r="L603" s="41">
        <v>0</v>
      </c>
      <c r="M603" s="41">
        <v>80</v>
      </c>
      <c r="N603" s="41">
        <v>80</v>
      </c>
      <c r="O603" s="41">
        <v>0</v>
      </c>
      <c r="P603" t="s">
        <v>1673</v>
      </c>
      <c r="Q603" t="s">
        <v>1473</v>
      </c>
      <c r="R603" t="s">
        <v>1166</v>
      </c>
      <c r="S603" t="s">
        <v>1193</v>
      </c>
      <c r="T603" t="s">
        <v>1244</v>
      </c>
    </row>
    <row r="604" spans="1:20" x14ac:dyDescent="0.3">
      <c r="A604" t="s">
        <v>554</v>
      </c>
      <c r="B604" t="s">
        <v>1373</v>
      </c>
      <c r="C604" t="s">
        <v>974</v>
      </c>
      <c r="D604" t="s">
        <v>496</v>
      </c>
      <c r="E604" t="s">
        <v>1069</v>
      </c>
      <c r="F604" t="s">
        <v>947</v>
      </c>
      <c r="G604" t="s">
        <v>1070</v>
      </c>
      <c r="H604" t="s">
        <v>1243</v>
      </c>
      <c r="I604" t="s">
        <v>1619</v>
      </c>
      <c r="J604" s="41">
        <v>0</v>
      </c>
      <c r="K604" s="41">
        <v>7500</v>
      </c>
      <c r="L604" s="41">
        <v>0</v>
      </c>
      <c r="M604" s="41">
        <v>7500</v>
      </c>
      <c r="N604" s="41">
        <v>7500</v>
      </c>
      <c r="O604" s="41">
        <v>7500</v>
      </c>
      <c r="P604" t="s">
        <v>1673</v>
      </c>
      <c r="Q604" t="s">
        <v>1572</v>
      </c>
      <c r="R604" t="s">
        <v>1166</v>
      </c>
      <c r="S604" t="s">
        <v>1193</v>
      </c>
      <c r="T604" t="s">
        <v>1244</v>
      </c>
    </row>
    <row r="605" spans="1:20" x14ac:dyDescent="0.3">
      <c r="A605" t="s">
        <v>554</v>
      </c>
      <c r="B605" t="s">
        <v>1373</v>
      </c>
      <c r="C605" t="s">
        <v>974</v>
      </c>
      <c r="D605" t="s">
        <v>496</v>
      </c>
      <c r="E605" t="s">
        <v>1069</v>
      </c>
      <c r="F605" t="s">
        <v>947</v>
      </c>
      <c r="G605" t="s">
        <v>1070</v>
      </c>
      <c r="H605" t="s">
        <v>1243</v>
      </c>
      <c r="I605" t="s">
        <v>1466</v>
      </c>
      <c r="J605" s="41">
        <v>957.65</v>
      </c>
      <c r="K605" s="41">
        <v>69.55</v>
      </c>
      <c r="L605" s="41">
        <v>0</v>
      </c>
      <c r="M605" s="41">
        <v>1027.2</v>
      </c>
      <c r="N605" s="41">
        <v>1027.2</v>
      </c>
      <c r="O605" s="41">
        <v>69.55</v>
      </c>
      <c r="P605" t="s">
        <v>1673</v>
      </c>
      <c r="Q605" t="s">
        <v>1614</v>
      </c>
      <c r="R605" t="s">
        <v>1166</v>
      </c>
      <c r="S605" t="s">
        <v>1193</v>
      </c>
      <c r="T605" t="s">
        <v>1244</v>
      </c>
    </row>
    <row r="606" spans="1:20" x14ac:dyDescent="0.3">
      <c r="A606" t="s">
        <v>554</v>
      </c>
      <c r="B606" t="s">
        <v>1373</v>
      </c>
      <c r="C606" t="s">
        <v>974</v>
      </c>
      <c r="D606" t="s">
        <v>496</v>
      </c>
      <c r="E606" t="s">
        <v>1069</v>
      </c>
      <c r="F606" t="s">
        <v>947</v>
      </c>
      <c r="G606" t="s">
        <v>1070</v>
      </c>
      <c r="H606" t="s">
        <v>1243</v>
      </c>
      <c r="I606" t="s">
        <v>1563</v>
      </c>
      <c r="J606" s="41">
        <v>0</v>
      </c>
      <c r="K606" s="41">
        <v>191.53</v>
      </c>
      <c r="L606" s="41">
        <v>0</v>
      </c>
      <c r="M606" s="41">
        <v>191.53</v>
      </c>
      <c r="N606" s="41">
        <v>191.53</v>
      </c>
      <c r="O606" s="41">
        <v>191.53</v>
      </c>
      <c r="P606" t="s">
        <v>1673</v>
      </c>
      <c r="Q606" t="s">
        <v>1477</v>
      </c>
      <c r="R606" t="s">
        <v>1166</v>
      </c>
      <c r="S606" t="s">
        <v>1193</v>
      </c>
      <c r="T606" t="s">
        <v>1244</v>
      </c>
    </row>
    <row r="607" spans="1:20" x14ac:dyDescent="0.3">
      <c r="A607" t="s">
        <v>554</v>
      </c>
      <c r="B607" t="s">
        <v>1373</v>
      </c>
      <c r="C607" t="s">
        <v>974</v>
      </c>
      <c r="D607" t="s">
        <v>496</v>
      </c>
      <c r="E607" t="s">
        <v>1071</v>
      </c>
      <c r="F607" t="s">
        <v>947</v>
      </c>
      <c r="G607" t="s">
        <v>1072</v>
      </c>
      <c r="H607" t="s">
        <v>1622</v>
      </c>
      <c r="I607" t="s">
        <v>1462</v>
      </c>
      <c r="J607" s="41">
        <v>0</v>
      </c>
      <c r="K607" s="41">
        <v>153.6</v>
      </c>
      <c r="L607" s="41">
        <v>0</v>
      </c>
      <c r="M607" s="41">
        <v>153.6</v>
      </c>
      <c r="N607" s="41">
        <v>153.6</v>
      </c>
      <c r="O607" s="41">
        <v>153.6</v>
      </c>
      <c r="P607" t="s">
        <v>1673</v>
      </c>
      <c r="Q607" t="s">
        <v>1582</v>
      </c>
      <c r="R607" t="s">
        <v>1166</v>
      </c>
      <c r="S607" t="s">
        <v>1167</v>
      </c>
      <c r="T607" t="s">
        <v>1623</v>
      </c>
    </row>
    <row r="608" spans="1:20" x14ac:dyDescent="0.3">
      <c r="A608" t="s">
        <v>554</v>
      </c>
      <c r="B608" t="s">
        <v>1373</v>
      </c>
      <c r="C608" t="s">
        <v>974</v>
      </c>
      <c r="D608" t="s">
        <v>496</v>
      </c>
      <c r="E608" t="s">
        <v>1073</v>
      </c>
      <c r="F608" t="s">
        <v>947</v>
      </c>
      <c r="G608" t="s">
        <v>1074</v>
      </c>
      <c r="H608" t="s">
        <v>1471</v>
      </c>
      <c r="I608" t="s">
        <v>1469</v>
      </c>
      <c r="J608" s="41">
        <v>45.83</v>
      </c>
      <c r="K608" s="41">
        <v>11.49</v>
      </c>
      <c r="L608" s="41">
        <v>0</v>
      </c>
      <c r="M608" s="41">
        <v>57.32</v>
      </c>
      <c r="N608" s="41">
        <v>57.32</v>
      </c>
      <c r="O608" s="41">
        <v>11.49</v>
      </c>
      <c r="P608" t="s">
        <v>1673</v>
      </c>
      <c r="Q608" t="s">
        <v>1490</v>
      </c>
      <c r="R608" t="s">
        <v>1166</v>
      </c>
      <c r="S608" t="s">
        <v>1167</v>
      </c>
      <c r="T608" t="s">
        <v>1472</v>
      </c>
    </row>
    <row r="609" spans="1:20" x14ac:dyDescent="0.3">
      <c r="A609" t="s">
        <v>554</v>
      </c>
      <c r="B609" t="s">
        <v>1373</v>
      </c>
      <c r="C609" t="s">
        <v>974</v>
      </c>
      <c r="D609" t="s">
        <v>496</v>
      </c>
      <c r="E609" t="s">
        <v>1077</v>
      </c>
      <c r="F609" t="s">
        <v>947</v>
      </c>
      <c r="G609" t="s">
        <v>1078</v>
      </c>
      <c r="H609" t="s">
        <v>576</v>
      </c>
      <c r="I609" t="s">
        <v>1474</v>
      </c>
      <c r="J609" s="41">
        <v>759.94</v>
      </c>
      <c r="K609" s="41">
        <v>14.05</v>
      </c>
      <c r="L609" s="41">
        <v>0</v>
      </c>
      <c r="M609" s="41">
        <v>773.99</v>
      </c>
      <c r="N609" s="41">
        <v>773.99</v>
      </c>
      <c r="O609" s="41">
        <v>14.05</v>
      </c>
      <c r="P609" t="s">
        <v>1673</v>
      </c>
      <c r="Q609" t="s">
        <v>1493</v>
      </c>
      <c r="R609" t="s">
        <v>1192</v>
      </c>
      <c r="S609" t="s">
        <v>1193</v>
      </c>
      <c r="T609" t="s">
        <v>1476</v>
      </c>
    </row>
    <row r="610" spans="1:20" x14ac:dyDescent="0.3">
      <c r="A610" t="s">
        <v>554</v>
      </c>
      <c r="B610" t="s">
        <v>1373</v>
      </c>
      <c r="C610" t="s">
        <v>974</v>
      </c>
      <c r="D610" t="s">
        <v>496</v>
      </c>
      <c r="E610" t="s">
        <v>1079</v>
      </c>
      <c r="F610" t="s">
        <v>947</v>
      </c>
      <c r="G610" t="s">
        <v>1080</v>
      </c>
      <c r="H610" t="s">
        <v>1480</v>
      </c>
      <c r="I610" t="s">
        <v>1425</v>
      </c>
      <c r="J610" s="41">
        <v>35.1</v>
      </c>
      <c r="K610" s="41">
        <v>0</v>
      </c>
      <c r="L610" s="41">
        <v>0</v>
      </c>
      <c r="M610" s="41">
        <v>35.1</v>
      </c>
      <c r="N610" s="41">
        <v>35.1</v>
      </c>
      <c r="O610" s="41">
        <v>0</v>
      </c>
      <c r="P610" t="s">
        <v>1673</v>
      </c>
      <c r="Q610" t="s">
        <v>1498</v>
      </c>
      <c r="R610" t="s">
        <v>1166</v>
      </c>
      <c r="S610" t="s">
        <v>1193</v>
      </c>
      <c r="T610" t="s">
        <v>1481</v>
      </c>
    </row>
    <row r="611" spans="1:20" x14ac:dyDescent="0.3">
      <c r="A611" t="s">
        <v>554</v>
      </c>
      <c r="B611" t="s">
        <v>1373</v>
      </c>
      <c r="C611" t="s">
        <v>974</v>
      </c>
      <c r="D611" t="s">
        <v>496</v>
      </c>
      <c r="E611" t="s">
        <v>1079</v>
      </c>
      <c r="F611" t="s">
        <v>947</v>
      </c>
      <c r="G611" t="s">
        <v>1080</v>
      </c>
      <c r="H611" t="s">
        <v>1480</v>
      </c>
      <c r="I611" t="s">
        <v>1483</v>
      </c>
      <c r="J611" s="41">
        <v>82.58</v>
      </c>
      <c r="K611" s="41">
        <v>0</v>
      </c>
      <c r="L611" s="41">
        <v>0</v>
      </c>
      <c r="M611" s="41">
        <v>82.58</v>
      </c>
      <c r="N611" s="41">
        <v>82.58</v>
      </c>
      <c r="O611" s="41">
        <v>0</v>
      </c>
      <c r="P611" t="s">
        <v>1673</v>
      </c>
      <c r="Q611" t="s">
        <v>1500</v>
      </c>
      <c r="R611" t="s">
        <v>1166</v>
      </c>
      <c r="S611" t="s">
        <v>1193</v>
      </c>
      <c r="T611" t="s">
        <v>1481</v>
      </c>
    </row>
    <row r="612" spans="1:20" x14ac:dyDescent="0.3">
      <c r="A612" t="s">
        <v>554</v>
      </c>
      <c r="B612" t="s">
        <v>1373</v>
      </c>
      <c r="C612" t="s">
        <v>974</v>
      </c>
      <c r="D612" t="s">
        <v>496</v>
      </c>
      <c r="E612" t="s">
        <v>1081</v>
      </c>
      <c r="F612" t="s">
        <v>947</v>
      </c>
      <c r="G612" t="s">
        <v>1082</v>
      </c>
      <c r="H612" t="s">
        <v>1488</v>
      </c>
      <c r="I612" t="s">
        <v>1486</v>
      </c>
      <c r="J612" s="41">
        <v>254.29</v>
      </c>
      <c r="K612" s="41">
        <v>0</v>
      </c>
      <c r="L612" s="41">
        <v>0</v>
      </c>
      <c r="M612" s="41">
        <v>254.29</v>
      </c>
      <c r="N612" s="41">
        <v>254.29</v>
      </c>
      <c r="O612" s="41">
        <v>0</v>
      </c>
      <c r="P612" t="s">
        <v>1673</v>
      </c>
      <c r="Q612" t="s">
        <v>1504</v>
      </c>
      <c r="R612" t="s">
        <v>1166</v>
      </c>
      <c r="S612" t="s">
        <v>1193</v>
      </c>
      <c r="T612" t="s">
        <v>1489</v>
      </c>
    </row>
    <row r="613" spans="1:20" x14ac:dyDescent="0.3">
      <c r="A613" t="s">
        <v>554</v>
      </c>
      <c r="B613" t="s">
        <v>1373</v>
      </c>
      <c r="C613" t="s">
        <v>974</v>
      </c>
      <c r="D613" t="s">
        <v>496</v>
      </c>
      <c r="E613" t="s">
        <v>1081</v>
      </c>
      <c r="F613" t="s">
        <v>947</v>
      </c>
      <c r="G613" t="s">
        <v>1082</v>
      </c>
      <c r="H613" t="s">
        <v>1488</v>
      </c>
      <c r="I613" t="s">
        <v>1491</v>
      </c>
      <c r="J613" s="41">
        <v>63.15</v>
      </c>
      <c r="K613" s="41">
        <v>0</v>
      </c>
      <c r="L613" s="41">
        <v>0</v>
      </c>
      <c r="M613" s="41">
        <v>63.15</v>
      </c>
      <c r="N613" s="41">
        <v>63.15</v>
      </c>
      <c r="O613" s="41">
        <v>0</v>
      </c>
      <c r="P613" t="s">
        <v>1673</v>
      </c>
      <c r="Q613" t="s">
        <v>1506</v>
      </c>
      <c r="R613" t="s">
        <v>1166</v>
      </c>
      <c r="S613" t="s">
        <v>1193</v>
      </c>
      <c r="T613" t="s">
        <v>1489</v>
      </c>
    </row>
    <row r="614" spans="1:20" x14ac:dyDescent="0.3">
      <c r="A614" t="s">
        <v>554</v>
      </c>
      <c r="B614" t="s">
        <v>1373</v>
      </c>
      <c r="C614" t="s">
        <v>974</v>
      </c>
      <c r="D614" t="s">
        <v>496</v>
      </c>
      <c r="E614" t="s">
        <v>1081</v>
      </c>
      <c r="F614" t="s">
        <v>947</v>
      </c>
      <c r="G614" t="s">
        <v>1082</v>
      </c>
      <c r="H614" t="s">
        <v>1488</v>
      </c>
      <c r="I614" t="s">
        <v>1491</v>
      </c>
      <c r="J614" s="41">
        <v>55.93</v>
      </c>
      <c r="K614" s="41">
        <v>0</v>
      </c>
      <c r="L614" s="41">
        <v>0</v>
      </c>
      <c r="M614" s="41">
        <v>55.93</v>
      </c>
      <c r="N614" s="41">
        <v>55.93</v>
      </c>
      <c r="O614" s="41">
        <v>0</v>
      </c>
      <c r="P614" t="s">
        <v>1673</v>
      </c>
      <c r="Q614" t="s">
        <v>1508</v>
      </c>
      <c r="R614" t="s">
        <v>1166</v>
      </c>
      <c r="S614" t="s">
        <v>1193</v>
      </c>
      <c r="T614" t="s">
        <v>1489</v>
      </c>
    </row>
    <row r="615" spans="1:20" x14ac:dyDescent="0.3">
      <c r="A615" t="s">
        <v>554</v>
      </c>
      <c r="B615" t="s">
        <v>1373</v>
      </c>
      <c r="C615" t="s">
        <v>974</v>
      </c>
      <c r="D615" t="s">
        <v>496</v>
      </c>
      <c r="E615" t="s">
        <v>1081</v>
      </c>
      <c r="F615" t="s">
        <v>947</v>
      </c>
      <c r="G615" t="s">
        <v>1082</v>
      </c>
      <c r="H615" t="s">
        <v>1488</v>
      </c>
      <c r="I615" t="s">
        <v>1405</v>
      </c>
      <c r="J615" s="41">
        <v>145.96</v>
      </c>
      <c r="K615" s="41">
        <v>0</v>
      </c>
      <c r="L615" s="41">
        <v>0</v>
      </c>
      <c r="M615" s="41">
        <v>145.96</v>
      </c>
      <c r="N615" s="41">
        <v>145.96</v>
      </c>
      <c r="O615" s="41">
        <v>0</v>
      </c>
      <c r="P615" t="s">
        <v>1673</v>
      </c>
      <c r="Q615" t="s">
        <v>1510</v>
      </c>
      <c r="R615" t="s">
        <v>1166</v>
      </c>
      <c r="S615" t="s">
        <v>1193</v>
      </c>
      <c r="T615" t="s">
        <v>1489</v>
      </c>
    </row>
    <row r="616" spans="1:20" x14ac:dyDescent="0.3">
      <c r="A616" t="s">
        <v>554</v>
      </c>
      <c r="B616" t="s">
        <v>1373</v>
      </c>
      <c r="C616" t="s">
        <v>974</v>
      </c>
      <c r="D616" t="s">
        <v>496</v>
      </c>
      <c r="E616" t="s">
        <v>1081</v>
      </c>
      <c r="F616" t="s">
        <v>947</v>
      </c>
      <c r="G616" t="s">
        <v>1082</v>
      </c>
      <c r="H616" t="s">
        <v>1488</v>
      </c>
      <c r="I616" t="s">
        <v>1495</v>
      </c>
      <c r="J616" s="41">
        <v>92.97</v>
      </c>
      <c r="K616" s="41">
        <v>0</v>
      </c>
      <c r="L616" s="41">
        <v>0</v>
      </c>
      <c r="M616" s="41">
        <v>92.97</v>
      </c>
      <c r="N616" s="41">
        <v>92.97</v>
      </c>
      <c r="O616" s="41">
        <v>0</v>
      </c>
      <c r="P616" t="s">
        <v>1673</v>
      </c>
      <c r="Q616" t="s">
        <v>1512</v>
      </c>
      <c r="R616" t="s">
        <v>1166</v>
      </c>
      <c r="S616" t="s">
        <v>1193</v>
      </c>
      <c r="T616" t="s">
        <v>1489</v>
      </c>
    </row>
    <row r="617" spans="1:20" x14ac:dyDescent="0.3">
      <c r="A617" t="s">
        <v>554</v>
      </c>
      <c r="B617" t="s">
        <v>1373</v>
      </c>
      <c r="C617" t="s">
        <v>974</v>
      </c>
      <c r="D617" t="s">
        <v>496</v>
      </c>
      <c r="E617" t="s">
        <v>1081</v>
      </c>
      <c r="F617" t="s">
        <v>947</v>
      </c>
      <c r="G617" t="s">
        <v>1082</v>
      </c>
      <c r="H617" t="s">
        <v>1488</v>
      </c>
      <c r="I617" t="s">
        <v>1497</v>
      </c>
      <c r="J617" s="41">
        <v>122.49</v>
      </c>
      <c r="K617" s="41">
        <v>0</v>
      </c>
      <c r="L617" s="41">
        <v>0</v>
      </c>
      <c r="M617" s="41">
        <v>122.49</v>
      </c>
      <c r="N617" s="41">
        <v>122.49</v>
      </c>
      <c r="O617" s="41">
        <v>0</v>
      </c>
      <c r="P617" t="s">
        <v>1673</v>
      </c>
      <c r="Q617" t="s">
        <v>1514</v>
      </c>
      <c r="R617" t="s">
        <v>1166</v>
      </c>
      <c r="S617" t="s">
        <v>1193</v>
      </c>
      <c r="T617" t="s">
        <v>1489</v>
      </c>
    </row>
    <row r="618" spans="1:20" x14ac:dyDescent="0.3">
      <c r="A618" t="s">
        <v>554</v>
      </c>
      <c r="B618" t="s">
        <v>1373</v>
      </c>
      <c r="C618" t="s">
        <v>974</v>
      </c>
      <c r="D618" t="s">
        <v>496</v>
      </c>
      <c r="E618" t="s">
        <v>1081</v>
      </c>
      <c r="F618" t="s">
        <v>947</v>
      </c>
      <c r="G618" t="s">
        <v>1082</v>
      </c>
      <c r="H618" t="s">
        <v>1488</v>
      </c>
      <c r="I618" t="s">
        <v>1499</v>
      </c>
      <c r="J618" s="41">
        <v>184.6</v>
      </c>
      <c r="K618" s="41">
        <v>0</v>
      </c>
      <c r="L618" s="41">
        <v>0</v>
      </c>
      <c r="M618" s="41">
        <v>184.6</v>
      </c>
      <c r="N618" s="41">
        <v>184.6</v>
      </c>
      <c r="O618" s="41">
        <v>0</v>
      </c>
      <c r="P618" t="s">
        <v>1673</v>
      </c>
      <c r="Q618" t="s">
        <v>1516</v>
      </c>
      <c r="R618" t="s">
        <v>1166</v>
      </c>
      <c r="S618" t="s">
        <v>1193</v>
      </c>
      <c r="T618" t="s">
        <v>1489</v>
      </c>
    </row>
    <row r="619" spans="1:20" x14ac:dyDescent="0.3">
      <c r="A619" t="s">
        <v>554</v>
      </c>
      <c r="B619" t="s">
        <v>1373</v>
      </c>
      <c r="C619" t="s">
        <v>974</v>
      </c>
      <c r="D619" t="s">
        <v>496</v>
      </c>
      <c r="E619" t="s">
        <v>1081</v>
      </c>
      <c r="F619" t="s">
        <v>947</v>
      </c>
      <c r="G619" t="s">
        <v>1082</v>
      </c>
      <c r="H619" t="s">
        <v>1488</v>
      </c>
      <c r="I619" t="s">
        <v>1501</v>
      </c>
      <c r="J619" s="41">
        <v>80.39</v>
      </c>
      <c r="K619" s="41">
        <v>0</v>
      </c>
      <c r="L619" s="41">
        <v>0</v>
      </c>
      <c r="M619" s="41">
        <v>80.39</v>
      </c>
      <c r="N619" s="41">
        <v>80.39</v>
      </c>
      <c r="O619" s="41">
        <v>0</v>
      </c>
      <c r="P619" t="s">
        <v>1673</v>
      </c>
      <c r="Q619" t="s">
        <v>1518</v>
      </c>
      <c r="R619" t="s">
        <v>1166</v>
      </c>
      <c r="S619" t="s">
        <v>1193</v>
      </c>
      <c r="T619" t="s">
        <v>1489</v>
      </c>
    </row>
    <row r="620" spans="1:20" x14ac:dyDescent="0.3">
      <c r="A620" t="s">
        <v>554</v>
      </c>
      <c r="B620" t="s">
        <v>1373</v>
      </c>
      <c r="C620" t="s">
        <v>974</v>
      </c>
      <c r="D620" t="s">
        <v>496</v>
      </c>
      <c r="E620" t="s">
        <v>1081</v>
      </c>
      <c r="F620" t="s">
        <v>947</v>
      </c>
      <c r="G620" t="s">
        <v>1082</v>
      </c>
      <c r="H620" t="s">
        <v>1488</v>
      </c>
      <c r="I620" t="s">
        <v>1503</v>
      </c>
      <c r="J620" s="41">
        <v>34.92</v>
      </c>
      <c r="K620" s="41">
        <v>179.4</v>
      </c>
      <c r="L620" s="41">
        <v>0</v>
      </c>
      <c r="M620" s="41">
        <v>214.32</v>
      </c>
      <c r="N620" s="41">
        <v>214.32</v>
      </c>
      <c r="O620" s="41">
        <v>179.4</v>
      </c>
      <c r="P620" t="s">
        <v>1673</v>
      </c>
      <c r="Q620" t="s">
        <v>1624</v>
      </c>
      <c r="R620" t="s">
        <v>1166</v>
      </c>
      <c r="S620" t="s">
        <v>1193</v>
      </c>
      <c r="T620" t="s">
        <v>1489</v>
      </c>
    </row>
    <row r="621" spans="1:20" x14ac:dyDescent="0.3">
      <c r="A621" t="s">
        <v>554</v>
      </c>
      <c r="B621" t="s">
        <v>1373</v>
      </c>
      <c r="C621" t="s">
        <v>974</v>
      </c>
      <c r="D621" t="s">
        <v>496</v>
      </c>
      <c r="E621" t="s">
        <v>1081</v>
      </c>
      <c r="F621" t="s">
        <v>947</v>
      </c>
      <c r="G621" t="s">
        <v>1082</v>
      </c>
      <c r="H621" t="s">
        <v>1488</v>
      </c>
      <c r="I621" t="s">
        <v>1505</v>
      </c>
      <c r="J621" s="41">
        <v>177.68</v>
      </c>
      <c r="K621" s="41">
        <v>0</v>
      </c>
      <c r="L621" s="41">
        <v>0</v>
      </c>
      <c r="M621" s="41">
        <v>177.68</v>
      </c>
      <c r="N621" s="41">
        <v>177.68</v>
      </c>
      <c r="O621" s="41">
        <v>0</v>
      </c>
      <c r="P621" t="s">
        <v>1673</v>
      </c>
      <c r="Q621" t="s">
        <v>1520</v>
      </c>
      <c r="R621" t="s">
        <v>1166</v>
      </c>
      <c r="S621" t="s">
        <v>1193</v>
      </c>
      <c r="T621" t="s">
        <v>1489</v>
      </c>
    </row>
    <row r="622" spans="1:20" x14ac:dyDescent="0.3">
      <c r="A622" t="s">
        <v>554</v>
      </c>
      <c r="B622" t="s">
        <v>1373</v>
      </c>
      <c r="C622" t="s">
        <v>974</v>
      </c>
      <c r="D622" t="s">
        <v>496</v>
      </c>
      <c r="E622" t="s">
        <v>1081</v>
      </c>
      <c r="F622" t="s">
        <v>947</v>
      </c>
      <c r="G622" t="s">
        <v>1082</v>
      </c>
      <c r="H622" t="s">
        <v>1488</v>
      </c>
      <c r="I622" t="s">
        <v>1507</v>
      </c>
      <c r="J622" s="41">
        <v>248</v>
      </c>
      <c r="K622" s="41">
        <v>0</v>
      </c>
      <c r="L622" s="41">
        <v>0</v>
      </c>
      <c r="M622" s="41">
        <v>248</v>
      </c>
      <c r="N622" s="41">
        <v>248</v>
      </c>
      <c r="O622" s="41">
        <v>0</v>
      </c>
      <c r="P622" t="s">
        <v>1673</v>
      </c>
      <c r="Q622" t="s">
        <v>1525</v>
      </c>
      <c r="R622" t="s">
        <v>1166</v>
      </c>
      <c r="S622" t="s">
        <v>1193</v>
      </c>
      <c r="T622" t="s">
        <v>1489</v>
      </c>
    </row>
    <row r="623" spans="1:20" x14ac:dyDescent="0.3">
      <c r="A623" t="s">
        <v>554</v>
      </c>
      <c r="B623" t="s">
        <v>1373</v>
      </c>
      <c r="C623" t="s">
        <v>974</v>
      </c>
      <c r="D623" t="s">
        <v>496</v>
      </c>
      <c r="E623" t="s">
        <v>1081</v>
      </c>
      <c r="F623" t="s">
        <v>947</v>
      </c>
      <c r="G623" t="s">
        <v>1082</v>
      </c>
      <c r="H623" t="s">
        <v>1488</v>
      </c>
      <c r="I623" t="s">
        <v>1509</v>
      </c>
      <c r="J623" s="41">
        <v>30.09</v>
      </c>
      <c r="K623" s="41">
        <v>0</v>
      </c>
      <c r="L623" s="41">
        <v>0</v>
      </c>
      <c r="M623" s="41">
        <v>30.09</v>
      </c>
      <c r="N623" s="41">
        <v>30.09</v>
      </c>
      <c r="O623" s="41">
        <v>0</v>
      </c>
      <c r="P623" t="s">
        <v>1673</v>
      </c>
      <c r="Q623" t="s">
        <v>1625</v>
      </c>
      <c r="R623" t="s">
        <v>1166</v>
      </c>
      <c r="S623" t="s">
        <v>1193</v>
      </c>
      <c r="T623" t="s">
        <v>1489</v>
      </c>
    </row>
    <row r="624" spans="1:20" x14ac:dyDescent="0.3">
      <c r="A624" t="s">
        <v>554</v>
      </c>
      <c r="B624" t="s">
        <v>1373</v>
      </c>
      <c r="C624" t="s">
        <v>974</v>
      </c>
      <c r="D624" t="s">
        <v>496</v>
      </c>
      <c r="E624" t="s">
        <v>1081</v>
      </c>
      <c r="F624" t="s">
        <v>947</v>
      </c>
      <c r="G624" t="s">
        <v>1082</v>
      </c>
      <c r="H624" t="s">
        <v>1488</v>
      </c>
      <c r="I624" t="s">
        <v>1511</v>
      </c>
      <c r="J624" s="41">
        <v>182.88</v>
      </c>
      <c r="K624" s="41">
        <v>0</v>
      </c>
      <c r="L624" s="41">
        <v>0</v>
      </c>
      <c r="M624" s="41">
        <v>182.88</v>
      </c>
      <c r="N624" s="41">
        <v>182.88</v>
      </c>
      <c r="O624" s="41">
        <v>0</v>
      </c>
      <c r="P624" t="s">
        <v>1673</v>
      </c>
      <c r="Q624" t="s">
        <v>1626</v>
      </c>
      <c r="R624" t="s">
        <v>1166</v>
      </c>
      <c r="S624" t="s">
        <v>1193</v>
      </c>
      <c r="T624" t="s">
        <v>1489</v>
      </c>
    </row>
    <row r="625" spans="1:20" x14ac:dyDescent="0.3">
      <c r="A625" t="s">
        <v>554</v>
      </c>
      <c r="B625" t="s">
        <v>1373</v>
      </c>
      <c r="C625" t="s">
        <v>974</v>
      </c>
      <c r="D625" t="s">
        <v>496</v>
      </c>
      <c r="E625" t="s">
        <v>1081</v>
      </c>
      <c r="F625" t="s">
        <v>947</v>
      </c>
      <c r="G625" t="s">
        <v>1082</v>
      </c>
      <c r="H625" t="s">
        <v>1488</v>
      </c>
      <c r="I625" t="s">
        <v>1513</v>
      </c>
      <c r="J625" s="41">
        <v>7.03</v>
      </c>
      <c r="K625" s="41">
        <v>0</v>
      </c>
      <c r="L625" s="41">
        <v>0</v>
      </c>
      <c r="M625" s="41">
        <v>7.03</v>
      </c>
      <c r="N625" s="41">
        <v>7.03</v>
      </c>
      <c r="O625" s="41">
        <v>0</v>
      </c>
      <c r="P625" t="s">
        <v>1673</v>
      </c>
      <c r="Q625" t="s">
        <v>1627</v>
      </c>
      <c r="R625" t="s">
        <v>1166</v>
      </c>
      <c r="S625" t="s">
        <v>1193</v>
      </c>
      <c r="T625" t="s">
        <v>1489</v>
      </c>
    </row>
    <row r="626" spans="1:20" x14ac:dyDescent="0.3">
      <c r="A626" t="s">
        <v>554</v>
      </c>
      <c r="B626" t="s">
        <v>1373</v>
      </c>
      <c r="C626" t="s">
        <v>974</v>
      </c>
      <c r="D626" t="s">
        <v>496</v>
      </c>
      <c r="E626" t="s">
        <v>1081</v>
      </c>
      <c r="F626" t="s">
        <v>947</v>
      </c>
      <c r="G626" t="s">
        <v>1082</v>
      </c>
      <c r="H626" t="s">
        <v>1488</v>
      </c>
      <c r="I626" t="s">
        <v>1515</v>
      </c>
      <c r="J626" s="41">
        <v>127.26</v>
      </c>
      <c r="K626" s="41">
        <v>0</v>
      </c>
      <c r="L626" s="41">
        <v>0</v>
      </c>
      <c r="M626" s="41">
        <v>127.26</v>
      </c>
      <c r="N626" s="41">
        <v>127.26</v>
      </c>
      <c r="O626" s="41">
        <v>0</v>
      </c>
      <c r="P626" t="s">
        <v>1673</v>
      </c>
      <c r="Q626" t="s">
        <v>1527</v>
      </c>
      <c r="R626" t="s">
        <v>1166</v>
      </c>
      <c r="S626" t="s">
        <v>1193</v>
      </c>
      <c r="T626" t="s">
        <v>1489</v>
      </c>
    </row>
    <row r="627" spans="1:20" x14ac:dyDescent="0.3">
      <c r="A627" t="s">
        <v>554</v>
      </c>
      <c r="B627" t="s">
        <v>1373</v>
      </c>
      <c r="C627" t="s">
        <v>974</v>
      </c>
      <c r="D627" t="s">
        <v>496</v>
      </c>
      <c r="E627" t="s">
        <v>1081</v>
      </c>
      <c r="F627" t="s">
        <v>947</v>
      </c>
      <c r="G627" t="s">
        <v>1082</v>
      </c>
      <c r="H627" t="s">
        <v>1488</v>
      </c>
      <c r="I627" t="s">
        <v>1517</v>
      </c>
      <c r="J627" s="41">
        <v>27.93</v>
      </c>
      <c r="K627" s="41">
        <v>0</v>
      </c>
      <c r="L627" s="41">
        <v>0</v>
      </c>
      <c r="M627" s="41">
        <v>27.93</v>
      </c>
      <c r="N627" s="41">
        <v>27.93</v>
      </c>
      <c r="O627" s="41">
        <v>0</v>
      </c>
      <c r="P627" t="s">
        <v>1673</v>
      </c>
      <c r="Q627" t="s">
        <v>1533</v>
      </c>
      <c r="R627" t="s">
        <v>1166</v>
      </c>
      <c r="S627" t="s">
        <v>1193</v>
      </c>
      <c r="T627" t="s">
        <v>1489</v>
      </c>
    </row>
    <row r="628" spans="1:20" x14ac:dyDescent="0.3">
      <c r="A628" t="s">
        <v>554</v>
      </c>
      <c r="B628" t="s">
        <v>1373</v>
      </c>
      <c r="C628" t="s">
        <v>974</v>
      </c>
      <c r="D628" t="s">
        <v>496</v>
      </c>
      <c r="E628" t="s">
        <v>1081</v>
      </c>
      <c r="F628" t="s">
        <v>947</v>
      </c>
      <c r="G628" t="s">
        <v>1082</v>
      </c>
      <c r="H628" t="s">
        <v>1488</v>
      </c>
      <c r="I628" t="s">
        <v>1519</v>
      </c>
      <c r="J628" s="41">
        <v>72.540000000000006</v>
      </c>
      <c r="K628" s="41">
        <v>0</v>
      </c>
      <c r="L628" s="41">
        <v>0</v>
      </c>
      <c r="M628" s="41">
        <v>72.540000000000006</v>
      </c>
      <c r="N628" s="41">
        <v>72.540000000000006</v>
      </c>
      <c r="O628" s="41">
        <v>0</v>
      </c>
      <c r="P628" t="s">
        <v>1673</v>
      </c>
      <c r="Q628" t="s">
        <v>1628</v>
      </c>
      <c r="R628" t="s">
        <v>1166</v>
      </c>
      <c r="S628" t="s">
        <v>1193</v>
      </c>
      <c r="T628" t="s">
        <v>1489</v>
      </c>
    </row>
    <row r="629" spans="1:20" x14ac:dyDescent="0.3">
      <c r="A629" t="s">
        <v>554</v>
      </c>
      <c r="B629" t="s">
        <v>1373</v>
      </c>
      <c r="C629" t="s">
        <v>974</v>
      </c>
      <c r="D629" t="s">
        <v>496</v>
      </c>
      <c r="E629" t="s">
        <v>1081</v>
      </c>
      <c r="F629" t="s">
        <v>947</v>
      </c>
      <c r="G629" t="s">
        <v>1082</v>
      </c>
      <c r="H629" t="s">
        <v>1488</v>
      </c>
      <c r="I629" t="s">
        <v>1636</v>
      </c>
      <c r="J629" s="41">
        <v>0</v>
      </c>
      <c r="K629" s="41">
        <v>236.25</v>
      </c>
      <c r="L629" s="41">
        <v>0</v>
      </c>
      <c r="M629" s="41">
        <v>236.25</v>
      </c>
      <c r="N629" s="41">
        <v>236.25</v>
      </c>
      <c r="O629" s="41">
        <v>236.25</v>
      </c>
      <c r="P629" t="s">
        <v>1673</v>
      </c>
      <c r="Q629" t="s">
        <v>1629</v>
      </c>
      <c r="R629" t="s">
        <v>1166</v>
      </c>
      <c r="S629" t="s">
        <v>1193</v>
      </c>
      <c r="T629" t="s">
        <v>1489</v>
      </c>
    </row>
    <row r="630" spans="1:20" x14ac:dyDescent="0.3">
      <c r="A630" t="s">
        <v>554</v>
      </c>
      <c r="B630" t="s">
        <v>1373</v>
      </c>
      <c r="C630" t="s">
        <v>974</v>
      </c>
      <c r="D630" t="s">
        <v>496</v>
      </c>
      <c r="E630" t="s">
        <v>1081</v>
      </c>
      <c r="F630" t="s">
        <v>947</v>
      </c>
      <c r="G630" t="s">
        <v>1082</v>
      </c>
      <c r="H630" t="s">
        <v>1488</v>
      </c>
      <c r="I630" t="s">
        <v>1637</v>
      </c>
      <c r="J630" s="41">
        <v>0</v>
      </c>
      <c r="K630" s="41">
        <v>259.2</v>
      </c>
      <c r="L630" s="41">
        <v>0</v>
      </c>
      <c r="M630" s="41">
        <v>259.2</v>
      </c>
      <c r="N630" s="41">
        <v>259.2</v>
      </c>
      <c r="O630" s="41">
        <v>259.2</v>
      </c>
      <c r="P630" t="s">
        <v>1673</v>
      </c>
      <c r="Q630" t="s">
        <v>1534</v>
      </c>
      <c r="R630" t="s">
        <v>1166</v>
      </c>
      <c r="S630" t="s">
        <v>1193</v>
      </c>
      <c r="T630" t="s">
        <v>1489</v>
      </c>
    </row>
    <row r="631" spans="1:20" x14ac:dyDescent="0.3">
      <c r="A631" t="s">
        <v>554</v>
      </c>
      <c r="B631" t="s">
        <v>1373</v>
      </c>
      <c r="C631" t="s">
        <v>974</v>
      </c>
      <c r="D631" t="s">
        <v>496</v>
      </c>
      <c r="E631" t="s">
        <v>1083</v>
      </c>
      <c r="F631" t="s">
        <v>947</v>
      </c>
      <c r="G631" t="s">
        <v>1084</v>
      </c>
      <c r="H631" t="s">
        <v>1524</v>
      </c>
      <c r="I631" t="s">
        <v>1522</v>
      </c>
      <c r="J631" s="41">
        <v>10</v>
      </c>
      <c r="K631" s="41">
        <v>0</v>
      </c>
      <c r="L631" s="41">
        <v>0</v>
      </c>
      <c r="M631" s="41">
        <v>10</v>
      </c>
      <c r="N631" s="41">
        <v>10</v>
      </c>
      <c r="O631" s="41">
        <v>0</v>
      </c>
      <c r="P631" t="s">
        <v>1673</v>
      </c>
      <c r="Q631" t="s">
        <v>1536</v>
      </c>
      <c r="R631" t="s">
        <v>1166</v>
      </c>
      <c r="S631" t="s">
        <v>1167</v>
      </c>
      <c r="T631" t="s">
        <v>1524</v>
      </c>
    </row>
    <row r="632" spans="1:20" x14ac:dyDescent="0.3">
      <c r="A632" t="s">
        <v>554</v>
      </c>
      <c r="B632" t="s">
        <v>1373</v>
      </c>
      <c r="C632" t="s">
        <v>974</v>
      </c>
      <c r="D632" t="s">
        <v>496</v>
      </c>
      <c r="E632" t="s">
        <v>1083</v>
      </c>
      <c r="F632" t="s">
        <v>947</v>
      </c>
      <c r="G632" t="s">
        <v>1084</v>
      </c>
      <c r="H632" t="s">
        <v>1524</v>
      </c>
      <c r="I632" t="s">
        <v>1526</v>
      </c>
      <c r="J632" s="41">
        <v>12.75</v>
      </c>
      <c r="K632" s="41">
        <v>0</v>
      </c>
      <c r="L632" s="41">
        <v>0</v>
      </c>
      <c r="M632" s="41">
        <v>12.75</v>
      </c>
      <c r="N632" s="41">
        <v>12.75</v>
      </c>
      <c r="O632" s="41">
        <v>0</v>
      </c>
      <c r="P632" t="s">
        <v>1673</v>
      </c>
      <c r="Q632" t="s">
        <v>1631</v>
      </c>
      <c r="R632" t="s">
        <v>1166</v>
      </c>
      <c r="S632" t="s">
        <v>1167</v>
      </c>
      <c r="T632" t="s">
        <v>1524</v>
      </c>
    </row>
    <row r="633" spans="1:20" x14ac:dyDescent="0.3">
      <c r="A633" t="s">
        <v>554</v>
      </c>
      <c r="B633" t="s">
        <v>1373</v>
      </c>
      <c r="C633" t="s">
        <v>974</v>
      </c>
      <c r="D633" t="s">
        <v>496</v>
      </c>
      <c r="E633" t="s">
        <v>1062</v>
      </c>
      <c r="F633" t="s">
        <v>947</v>
      </c>
      <c r="G633" t="s">
        <v>1063</v>
      </c>
      <c r="H633" t="s">
        <v>1531</v>
      </c>
      <c r="I633" t="s">
        <v>1529</v>
      </c>
      <c r="J633" s="41">
        <v>0</v>
      </c>
      <c r="K633" s="41">
        <v>2333.33</v>
      </c>
      <c r="L633" s="41">
        <v>0</v>
      </c>
      <c r="M633" s="41">
        <v>2333.33</v>
      </c>
      <c r="N633" s="41">
        <v>2333.33</v>
      </c>
      <c r="O633" s="41">
        <v>2333.33</v>
      </c>
      <c r="P633" t="s">
        <v>1673</v>
      </c>
      <c r="Q633" t="s">
        <v>1542</v>
      </c>
      <c r="R633" t="s">
        <v>1166</v>
      </c>
      <c r="S633" t="s">
        <v>1167</v>
      </c>
      <c r="T633" t="s">
        <v>1532</v>
      </c>
    </row>
    <row r="634" spans="1:20" x14ac:dyDescent="0.3">
      <c r="A634" t="s">
        <v>554</v>
      </c>
      <c r="B634" t="s">
        <v>1373</v>
      </c>
      <c r="C634" t="s">
        <v>974</v>
      </c>
      <c r="D634" t="s">
        <v>496</v>
      </c>
      <c r="E634" t="s">
        <v>1062</v>
      </c>
      <c r="F634" t="s">
        <v>947</v>
      </c>
      <c r="G634" t="s">
        <v>1063</v>
      </c>
      <c r="H634" t="s">
        <v>1531</v>
      </c>
      <c r="I634" t="s">
        <v>1529</v>
      </c>
      <c r="J634" s="41">
        <v>2557.46</v>
      </c>
      <c r="K634" s="41">
        <v>0</v>
      </c>
      <c r="L634" s="41">
        <v>0</v>
      </c>
      <c r="M634" s="41">
        <v>2557.46</v>
      </c>
      <c r="N634" s="41">
        <v>2557.46</v>
      </c>
      <c r="O634" s="41">
        <v>0</v>
      </c>
      <c r="P634" t="s">
        <v>1673</v>
      </c>
      <c r="Q634" t="s">
        <v>1635</v>
      </c>
      <c r="R634" t="s">
        <v>1166</v>
      </c>
      <c r="S634" t="s">
        <v>1167</v>
      </c>
      <c r="T634" t="s">
        <v>1532</v>
      </c>
    </row>
    <row r="635" spans="1:20" x14ac:dyDescent="0.3">
      <c r="A635" t="s">
        <v>554</v>
      </c>
      <c r="B635" t="s">
        <v>1373</v>
      </c>
      <c r="C635" t="s">
        <v>974</v>
      </c>
      <c r="D635" t="s">
        <v>496</v>
      </c>
      <c r="E635" t="s">
        <v>1062</v>
      </c>
      <c r="F635" t="s">
        <v>947</v>
      </c>
      <c r="G635" t="s">
        <v>1063</v>
      </c>
      <c r="H635" t="s">
        <v>1531</v>
      </c>
      <c r="I635" t="s">
        <v>1529</v>
      </c>
      <c r="J635" s="41">
        <v>1500</v>
      </c>
      <c r="K635" s="41">
        <v>1666.67</v>
      </c>
      <c r="L635" s="41">
        <v>0</v>
      </c>
      <c r="M635" s="41">
        <v>3166.67</v>
      </c>
      <c r="N635" s="41">
        <v>3166.67</v>
      </c>
      <c r="O635" s="41">
        <v>1666.67</v>
      </c>
      <c r="P635" t="s">
        <v>1673</v>
      </c>
      <c r="Q635" t="s">
        <v>1543</v>
      </c>
      <c r="R635" t="s">
        <v>1166</v>
      </c>
      <c r="S635" t="s">
        <v>1167</v>
      </c>
      <c r="T635" t="s">
        <v>1532</v>
      </c>
    </row>
    <row r="636" spans="1:20" x14ac:dyDescent="0.3">
      <c r="A636" t="s">
        <v>554</v>
      </c>
      <c r="B636" t="s">
        <v>1373</v>
      </c>
      <c r="C636" t="s">
        <v>974</v>
      </c>
      <c r="D636" t="s">
        <v>496</v>
      </c>
      <c r="E636" t="s">
        <v>1097</v>
      </c>
      <c r="F636" t="s">
        <v>948</v>
      </c>
      <c r="G636" t="s">
        <v>1098</v>
      </c>
      <c r="H636" t="s">
        <v>1340</v>
      </c>
      <c r="I636" t="s">
        <v>1535</v>
      </c>
      <c r="J636" s="41">
        <v>400</v>
      </c>
      <c r="K636" s="41">
        <v>0</v>
      </c>
      <c r="L636" s="41">
        <v>0</v>
      </c>
      <c r="M636" s="41">
        <v>400</v>
      </c>
      <c r="N636" s="41">
        <v>400</v>
      </c>
      <c r="O636" s="41">
        <v>0</v>
      </c>
      <c r="P636" t="s">
        <v>1673</v>
      </c>
      <c r="Q636" t="s">
        <v>1552</v>
      </c>
      <c r="R636" t="s">
        <v>1166</v>
      </c>
      <c r="S636" t="s">
        <v>1167</v>
      </c>
      <c r="T636" t="s">
        <v>1341</v>
      </c>
    </row>
    <row r="637" spans="1:20" x14ac:dyDescent="0.3">
      <c r="A637" t="s">
        <v>554</v>
      </c>
      <c r="B637" t="s">
        <v>1373</v>
      </c>
      <c r="C637" t="s">
        <v>974</v>
      </c>
      <c r="D637" t="s">
        <v>496</v>
      </c>
      <c r="E637" t="s">
        <v>1099</v>
      </c>
      <c r="F637" t="s">
        <v>948</v>
      </c>
      <c r="G637" t="s">
        <v>1100</v>
      </c>
      <c r="H637" t="s">
        <v>576</v>
      </c>
      <c r="I637" t="s">
        <v>1648</v>
      </c>
      <c r="J637" s="41">
        <v>0</v>
      </c>
      <c r="K637" s="41">
        <v>3500</v>
      </c>
      <c r="L637" s="41">
        <v>0</v>
      </c>
      <c r="M637" s="41">
        <v>3500</v>
      </c>
      <c r="N637" s="41">
        <v>3500</v>
      </c>
      <c r="O637" s="41">
        <v>3500</v>
      </c>
      <c r="P637" t="s">
        <v>1673</v>
      </c>
      <c r="Q637" t="s">
        <v>1640</v>
      </c>
      <c r="R637" t="s">
        <v>1192</v>
      </c>
      <c r="S637" t="s">
        <v>1193</v>
      </c>
      <c r="T637" t="s">
        <v>1539</v>
      </c>
    </row>
    <row r="638" spans="1:20" x14ac:dyDescent="0.3">
      <c r="A638" t="s">
        <v>554</v>
      </c>
      <c r="B638" t="s">
        <v>1373</v>
      </c>
      <c r="C638" t="s">
        <v>974</v>
      </c>
      <c r="D638" t="s">
        <v>496</v>
      </c>
      <c r="E638" t="s">
        <v>1099</v>
      </c>
      <c r="F638" t="s">
        <v>948</v>
      </c>
      <c r="G638" t="s">
        <v>1100</v>
      </c>
      <c r="H638" t="s">
        <v>576</v>
      </c>
      <c r="I638" t="s">
        <v>1537</v>
      </c>
      <c r="J638" s="41">
        <v>648</v>
      </c>
      <c r="K638" s="41">
        <v>0</v>
      </c>
      <c r="L638" s="41">
        <v>0</v>
      </c>
      <c r="M638" s="41">
        <v>648</v>
      </c>
      <c r="N638" s="41">
        <v>648</v>
      </c>
      <c r="O638" s="41">
        <v>0</v>
      </c>
      <c r="P638" t="s">
        <v>1673</v>
      </c>
      <c r="Q638" t="s">
        <v>1641</v>
      </c>
      <c r="R638" t="s">
        <v>1192</v>
      </c>
      <c r="S638" t="s">
        <v>1193</v>
      </c>
      <c r="T638" t="s">
        <v>1539</v>
      </c>
    </row>
    <row r="639" spans="1:20" x14ac:dyDescent="0.3">
      <c r="A639" t="s">
        <v>554</v>
      </c>
      <c r="B639" t="s">
        <v>1373</v>
      </c>
      <c r="C639" t="s">
        <v>974</v>
      </c>
      <c r="D639" t="s">
        <v>496</v>
      </c>
      <c r="E639" t="s">
        <v>1123</v>
      </c>
      <c r="F639" t="s">
        <v>717</v>
      </c>
      <c r="G639" t="s">
        <v>717</v>
      </c>
      <c r="H639" t="s">
        <v>1261</v>
      </c>
      <c r="I639" t="s">
        <v>1541</v>
      </c>
      <c r="J639" s="41">
        <v>0.34</v>
      </c>
      <c r="K639" s="41">
        <v>0</v>
      </c>
      <c r="L639" s="41">
        <v>0</v>
      </c>
      <c r="M639" s="41">
        <v>0.34</v>
      </c>
      <c r="N639" s="41">
        <v>0.34</v>
      </c>
      <c r="O639" s="41">
        <v>0</v>
      </c>
      <c r="P639" t="s">
        <v>1673</v>
      </c>
      <c r="Q639" t="s">
        <v>1643</v>
      </c>
      <c r="R639" t="s">
        <v>1166</v>
      </c>
      <c r="S639" t="s">
        <v>1167</v>
      </c>
      <c r="T639" t="s">
        <v>1262</v>
      </c>
    </row>
    <row r="640" spans="1:20" x14ac:dyDescent="0.3">
      <c r="A640" t="s">
        <v>554</v>
      </c>
      <c r="B640" t="s">
        <v>1373</v>
      </c>
      <c r="C640" t="s">
        <v>974</v>
      </c>
      <c r="D640" t="s">
        <v>496</v>
      </c>
      <c r="E640" t="s">
        <v>1123</v>
      </c>
      <c r="F640" t="s">
        <v>717</v>
      </c>
      <c r="G640" t="s">
        <v>717</v>
      </c>
      <c r="H640" t="s">
        <v>1261</v>
      </c>
      <c r="I640" t="s">
        <v>1406</v>
      </c>
      <c r="J640" s="41">
        <v>15</v>
      </c>
      <c r="K640" s="41">
        <v>0</v>
      </c>
      <c r="L640" s="41">
        <v>0</v>
      </c>
      <c r="M640" s="41">
        <v>15</v>
      </c>
      <c r="N640" s="41">
        <v>15</v>
      </c>
      <c r="O640" s="41">
        <v>0</v>
      </c>
      <c r="P640" t="s">
        <v>1673</v>
      </c>
      <c r="Q640" t="s">
        <v>1644</v>
      </c>
      <c r="R640" t="s">
        <v>1166</v>
      </c>
      <c r="S640" t="s">
        <v>1167</v>
      </c>
      <c r="T640" t="s">
        <v>1262</v>
      </c>
    </row>
    <row r="641" spans="1:20" x14ac:dyDescent="0.3">
      <c r="A641" t="s">
        <v>554</v>
      </c>
      <c r="B641" t="s">
        <v>1373</v>
      </c>
      <c r="C641" t="s">
        <v>974</v>
      </c>
      <c r="D641" t="s">
        <v>496</v>
      </c>
      <c r="E641" t="s">
        <v>1123</v>
      </c>
      <c r="F641" t="s">
        <v>717</v>
      </c>
      <c r="G641" t="s">
        <v>717</v>
      </c>
      <c r="H641" t="s">
        <v>1547</v>
      </c>
      <c r="I641" t="s">
        <v>1545</v>
      </c>
      <c r="J641" s="41">
        <v>18.38</v>
      </c>
      <c r="K641" s="41">
        <v>8.7200000000000006</v>
      </c>
      <c r="L641" s="41">
        <v>0</v>
      </c>
      <c r="M641" s="41">
        <v>27.1</v>
      </c>
      <c r="N641" s="41">
        <v>27.1</v>
      </c>
      <c r="O641" s="41">
        <v>8.7200000000000006</v>
      </c>
      <c r="P641" t="s">
        <v>1673</v>
      </c>
      <c r="Q641" t="s">
        <v>1663</v>
      </c>
      <c r="R641" t="s">
        <v>1166</v>
      </c>
      <c r="S641" t="s">
        <v>1167</v>
      </c>
      <c r="T641" t="s">
        <v>1548</v>
      </c>
    </row>
    <row r="642" spans="1:20" x14ac:dyDescent="0.3">
      <c r="A642" t="s">
        <v>554</v>
      </c>
      <c r="B642" t="s">
        <v>1373</v>
      </c>
      <c r="C642" t="s">
        <v>974</v>
      </c>
      <c r="D642" t="s">
        <v>496</v>
      </c>
      <c r="E642" t="s">
        <v>1123</v>
      </c>
      <c r="F642" t="s">
        <v>717</v>
      </c>
      <c r="G642" t="s">
        <v>717</v>
      </c>
      <c r="H642" t="s">
        <v>1547</v>
      </c>
      <c r="I642" t="s">
        <v>1382</v>
      </c>
      <c r="J642" s="41">
        <v>3.11</v>
      </c>
      <c r="K642" s="41">
        <v>0</v>
      </c>
      <c r="L642" s="41">
        <v>0</v>
      </c>
      <c r="M642" s="41">
        <v>3.11</v>
      </c>
      <c r="N642" s="41">
        <v>3.11</v>
      </c>
      <c r="O642" s="41">
        <v>0</v>
      </c>
      <c r="P642" t="s">
        <v>1673</v>
      </c>
      <c r="Q642" t="s">
        <v>1664</v>
      </c>
      <c r="R642" t="s">
        <v>1166</v>
      </c>
      <c r="S642" t="s">
        <v>1167</v>
      </c>
      <c r="T642" t="s">
        <v>1548</v>
      </c>
    </row>
    <row r="643" spans="1:20" x14ac:dyDescent="0.3">
      <c r="A643" t="s">
        <v>554</v>
      </c>
      <c r="B643" t="s">
        <v>1373</v>
      </c>
      <c r="C643" t="s">
        <v>974</v>
      </c>
      <c r="D643" t="s">
        <v>496</v>
      </c>
      <c r="E643" t="s">
        <v>1123</v>
      </c>
      <c r="F643" t="s">
        <v>717</v>
      </c>
      <c r="G643" t="s">
        <v>717</v>
      </c>
      <c r="H643" t="s">
        <v>1547</v>
      </c>
      <c r="I643" t="s">
        <v>1551</v>
      </c>
      <c r="J643" s="41">
        <v>152.85</v>
      </c>
      <c r="K643" s="41">
        <v>251.9</v>
      </c>
      <c r="L643" s="41">
        <v>0</v>
      </c>
      <c r="M643" s="41">
        <v>404.75</v>
      </c>
      <c r="N643" s="41">
        <v>404.75</v>
      </c>
      <c r="O643" s="41">
        <v>251.9</v>
      </c>
      <c r="P643" t="s">
        <v>1673</v>
      </c>
      <c r="Q643" t="s">
        <v>1646</v>
      </c>
      <c r="R643" t="s">
        <v>1166</v>
      </c>
      <c r="S643" t="s">
        <v>1167</v>
      </c>
      <c r="T643" t="s">
        <v>1548</v>
      </c>
    </row>
    <row r="644" spans="1:20" x14ac:dyDescent="0.3">
      <c r="A644" t="s">
        <v>554</v>
      </c>
      <c r="B644" t="s">
        <v>1373</v>
      </c>
      <c r="C644" t="s">
        <v>974</v>
      </c>
      <c r="D644" t="s">
        <v>496</v>
      </c>
      <c r="E644" t="s">
        <v>1123</v>
      </c>
      <c r="F644" t="s">
        <v>717</v>
      </c>
      <c r="G644" t="s">
        <v>717</v>
      </c>
      <c r="H644" t="s">
        <v>1547</v>
      </c>
      <c r="I644" t="s">
        <v>1406</v>
      </c>
      <c r="J644" s="41">
        <v>0.9</v>
      </c>
      <c r="K644" s="41">
        <v>0</v>
      </c>
      <c r="L644" s="41">
        <v>0</v>
      </c>
      <c r="M644" s="41">
        <v>0.9</v>
      </c>
      <c r="N644" s="41">
        <v>0.9</v>
      </c>
      <c r="O644" s="41">
        <v>0</v>
      </c>
      <c r="P644" t="s">
        <v>1673</v>
      </c>
      <c r="Q644" t="s">
        <v>1674</v>
      </c>
      <c r="R644" t="s">
        <v>1166</v>
      </c>
      <c r="S644" t="s">
        <v>1167</v>
      </c>
      <c r="T644" t="s">
        <v>1548</v>
      </c>
    </row>
    <row r="645" spans="1:20" x14ac:dyDescent="0.3">
      <c r="A645" t="s">
        <v>624</v>
      </c>
      <c r="B645" t="s">
        <v>522</v>
      </c>
      <c r="C645" t="s">
        <v>25</v>
      </c>
      <c r="D645" t="s">
        <v>451</v>
      </c>
      <c r="E645" t="s">
        <v>1048</v>
      </c>
      <c r="F645" t="s">
        <v>1318</v>
      </c>
      <c r="G645" t="s">
        <v>1049</v>
      </c>
      <c r="H645" t="s">
        <v>1779</v>
      </c>
      <c r="I645" t="s">
        <v>943</v>
      </c>
      <c r="K645" s="41">
        <v>0</v>
      </c>
      <c r="L645" s="41">
        <v>0</v>
      </c>
      <c r="M645" s="41">
        <v>5615511389</v>
      </c>
      <c r="N645" s="41">
        <v>5615511389</v>
      </c>
      <c r="O645" s="41">
        <v>0</v>
      </c>
      <c r="P645" t="s">
        <v>865</v>
      </c>
      <c r="Q645" t="s">
        <v>1776</v>
      </c>
      <c r="R645" t="s">
        <v>1166</v>
      </c>
      <c r="S645" t="s">
        <v>1167</v>
      </c>
      <c r="T645" t="s">
        <v>1780</v>
      </c>
    </row>
    <row r="646" spans="1:20" x14ac:dyDescent="0.3">
      <c r="A646" t="s">
        <v>624</v>
      </c>
      <c r="B646" t="s">
        <v>522</v>
      </c>
      <c r="C646" t="s">
        <v>25</v>
      </c>
      <c r="D646" t="s">
        <v>451</v>
      </c>
      <c r="E646" t="s">
        <v>1050</v>
      </c>
      <c r="F646" t="s">
        <v>1783</v>
      </c>
      <c r="G646" t="s">
        <v>944</v>
      </c>
      <c r="H646" t="s">
        <v>944</v>
      </c>
      <c r="I646" t="s">
        <v>944</v>
      </c>
      <c r="K646" s="41">
        <v>0</v>
      </c>
      <c r="L646" s="41">
        <v>0</v>
      </c>
      <c r="M646" s="41">
        <v>-463278090</v>
      </c>
      <c r="N646" s="41">
        <v>-463278090</v>
      </c>
      <c r="O646" s="41">
        <v>0</v>
      </c>
      <c r="P646" t="s">
        <v>865</v>
      </c>
      <c r="Q646" t="s">
        <v>1776</v>
      </c>
      <c r="R646" t="s">
        <v>1166</v>
      </c>
      <c r="S646" t="s">
        <v>1167</v>
      </c>
      <c r="T646" t="s">
        <v>1780</v>
      </c>
    </row>
    <row r="647" spans="1:20" x14ac:dyDescent="0.3">
      <c r="A647" t="s">
        <v>624</v>
      </c>
      <c r="B647" t="s">
        <v>522</v>
      </c>
      <c r="C647" t="s">
        <v>25</v>
      </c>
      <c r="D647" t="s">
        <v>451</v>
      </c>
      <c r="E647" t="s">
        <v>1054</v>
      </c>
      <c r="F647" t="s">
        <v>945</v>
      </c>
      <c r="G647" t="s">
        <v>945</v>
      </c>
      <c r="H647" t="s">
        <v>1789</v>
      </c>
      <c r="I647" t="s">
        <v>1787</v>
      </c>
      <c r="K647" s="41">
        <v>0</v>
      </c>
      <c r="L647" s="41">
        <v>0</v>
      </c>
      <c r="M647" s="41">
        <v>2442623347</v>
      </c>
      <c r="N647" s="41">
        <v>2442623347</v>
      </c>
      <c r="O647" s="41">
        <v>0</v>
      </c>
      <c r="P647" t="s">
        <v>865</v>
      </c>
      <c r="Q647" t="s">
        <v>1785</v>
      </c>
      <c r="R647" t="s">
        <v>1166</v>
      </c>
      <c r="S647" t="s">
        <v>1167</v>
      </c>
      <c r="T647" t="s">
        <v>1790</v>
      </c>
    </row>
    <row r="648" spans="1:20" x14ac:dyDescent="0.3">
      <c r="A648" t="s">
        <v>624</v>
      </c>
      <c r="B648" t="s">
        <v>522</v>
      </c>
      <c r="C648" t="s">
        <v>25</v>
      </c>
      <c r="D648" t="s">
        <v>451</v>
      </c>
      <c r="E648" t="s">
        <v>1056</v>
      </c>
      <c r="F648" t="s">
        <v>1795</v>
      </c>
      <c r="G648" t="s">
        <v>1796</v>
      </c>
      <c r="H648" t="s">
        <v>1797</v>
      </c>
      <c r="I648" t="s">
        <v>1793</v>
      </c>
      <c r="K648" s="41">
        <v>0</v>
      </c>
      <c r="L648" s="41">
        <v>0</v>
      </c>
      <c r="M648" s="41">
        <v>-1</v>
      </c>
      <c r="N648" s="41">
        <v>-1</v>
      </c>
      <c r="O648" s="41">
        <v>0</v>
      </c>
      <c r="P648" t="s">
        <v>865</v>
      </c>
      <c r="Q648" t="s">
        <v>1791</v>
      </c>
      <c r="R648" t="s">
        <v>1166</v>
      </c>
      <c r="S648" t="s">
        <v>1167</v>
      </c>
      <c r="T648" t="s">
        <v>1798</v>
      </c>
    </row>
    <row r="649" spans="1:20" x14ac:dyDescent="0.3">
      <c r="A649" t="s">
        <v>624</v>
      </c>
      <c r="B649" t="s">
        <v>522</v>
      </c>
      <c r="C649" t="s">
        <v>25</v>
      </c>
      <c r="D649" t="s">
        <v>451</v>
      </c>
      <c r="E649" t="s">
        <v>1085</v>
      </c>
      <c r="F649" t="s">
        <v>947</v>
      </c>
      <c r="G649" t="s">
        <v>1086</v>
      </c>
      <c r="H649" t="s">
        <v>1802</v>
      </c>
      <c r="I649" t="s">
        <v>947</v>
      </c>
      <c r="K649" s="41">
        <v>0</v>
      </c>
      <c r="L649" s="41">
        <v>0</v>
      </c>
      <c r="M649" s="41">
        <v>797478918</v>
      </c>
      <c r="N649" s="41">
        <v>797478918</v>
      </c>
      <c r="O649" s="41">
        <v>0</v>
      </c>
      <c r="P649" t="s">
        <v>865</v>
      </c>
      <c r="Q649" t="s">
        <v>1799</v>
      </c>
      <c r="R649" t="s">
        <v>1166</v>
      </c>
      <c r="S649" t="s">
        <v>1167</v>
      </c>
      <c r="T649" t="s">
        <v>1803</v>
      </c>
    </row>
    <row r="650" spans="1:20" x14ac:dyDescent="0.3">
      <c r="A650" t="s">
        <v>624</v>
      </c>
      <c r="B650" t="s">
        <v>522</v>
      </c>
      <c r="C650" t="s">
        <v>25</v>
      </c>
      <c r="D650" t="s">
        <v>451</v>
      </c>
      <c r="E650" t="s">
        <v>1107</v>
      </c>
      <c r="F650" t="s">
        <v>948</v>
      </c>
      <c r="G650" t="s">
        <v>1108</v>
      </c>
      <c r="H650" t="s">
        <v>1806</v>
      </c>
      <c r="I650" t="s">
        <v>948</v>
      </c>
      <c r="K650" s="41">
        <v>0</v>
      </c>
      <c r="L650" s="41">
        <v>0</v>
      </c>
      <c r="M650" s="41">
        <v>959736563</v>
      </c>
      <c r="N650" s="41">
        <v>959736563</v>
      </c>
      <c r="O650" s="41">
        <v>0</v>
      </c>
      <c r="P650" t="s">
        <v>865</v>
      </c>
      <c r="Q650" t="s">
        <v>1799</v>
      </c>
      <c r="R650" t="s">
        <v>1166</v>
      </c>
      <c r="S650" t="s">
        <v>1167</v>
      </c>
      <c r="T650" t="s">
        <v>1803</v>
      </c>
    </row>
    <row r="651" spans="1:20" x14ac:dyDescent="0.3">
      <c r="A651" t="s">
        <v>624</v>
      </c>
      <c r="B651" t="s">
        <v>522</v>
      </c>
      <c r="C651" t="s">
        <v>25</v>
      </c>
      <c r="D651" t="s">
        <v>451</v>
      </c>
      <c r="E651" t="s">
        <v>1090</v>
      </c>
      <c r="F651" t="s">
        <v>1809</v>
      </c>
      <c r="G651" t="s">
        <v>1091</v>
      </c>
      <c r="H651" t="s">
        <v>1810</v>
      </c>
      <c r="I651" t="s">
        <v>949</v>
      </c>
      <c r="K651" s="41">
        <v>0</v>
      </c>
      <c r="L651" s="41">
        <v>0</v>
      </c>
      <c r="M651" s="41">
        <v>676358287</v>
      </c>
      <c r="N651" s="41">
        <v>676358287</v>
      </c>
      <c r="O651" s="41">
        <v>0</v>
      </c>
      <c r="P651" t="s">
        <v>865</v>
      </c>
      <c r="Q651" t="s">
        <v>1799</v>
      </c>
      <c r="R651" t="s">
        <v>1166</v>
      </c>
      <c r="S651" t="s">
        <v>1167</v>
      </c>
      <c r="T651" t="s">
        <v>1803</v>
      </c>
    </row>
    <row r="652" spans="1:20" x14ac:dyDescent="0.3">
      <c r="A652" t="s">
        <v>624</v>
      </c>
      <c r="B652" t="s">
        <v>522</v>
      </c>
      <c r="C652" t="s">
        <v>25</v>
      </c>
      <c r="D652" t="s">
        <v>451</v>
      </c>
      <c r="E652" t="s">
        <v>1111</v>
      </c>
      <c r="F652" t="s">
        <v>1795</v>
      </c>
      <c r="G652" t="s">
        <v>1814</v>
      </c>
      <c r="H652" t="s">
        <v>1797</v>
      </c>
      <c r="I652" t="s">
        <v>1812</v>
      </c>
      <c r="K652" s="41">
        <v>0</v>
      </c>
      <c r="L652" s="41">
        <v>0</v>
      </c>
      <c r="M652" s="41">
        <v>1</v>
      </c>
      <c r="N652" s="41">
        <v>1</v>
      </c>
      <c r="O652" s="41">
        <v>0</v>
      </c>
      <c r="P652" t="s">
        <v>865</v>
      </c>
      <c r="Q652" t="s">
        <v>1791</v>
      </c>
      <c r="R652" t="s">
        <v>1166</v>
      </c>
      <c r="S652" t="s">
        <v>1167</v>
      </c>
      <c r="T652" t="s">
        <v>1815</v>
      </c>
    </row>
    <row r="653" spans="1:20" x14ac:dyDescent="0.3">
      <c r="A653" t="s">
        <v>624</v>
      </c>
      <c r="B653" t="s">
        <v>522</v>
      </c>
      <c r="C653" t="s">
        <v>25</v>
      </c>
      <c r="D653" t="s">
        <v>451</v>
      </c>
      <c r="E653" t="s">
        <v>1118</v>
      </c>
      <c r="F653" t="s">
        <v>1324</v>
      </c>
      <c r="G653" t="s">
        <v>1119</v>
      </c>
      <c r="H653" t="s">
        <v>561</v>
      </c>
      <c r="I653" t="s">
        <v>1818</v>
      </c>
      <c r="K653" s="41">
        <v>0</v>
      </c>
      <c r="L653" s="41">
        <v>0</v>
      </c>
      <c r="M653" s="41">
        <v>10800447</v>
      </c>
      <c r="N653" s="41">
        <v>10800447</v>
      </c>
      <c r="O653" s="41">
        <v>0</v>
      </c>
      <c r="P653" t="s">
        <v>865</v>
      </c>
      <c r="Q653" t="s">
        <v>1816</v>
      </c>
      <c r="R653" t="s">
        <v>1166</v>
      </c>
      <c r="S653" t="s">
        <v>1167</v>
      </c>
      <c r="T653" t="s">
        <v>1820</v>
      </c>
    </row>
    <row r="654" spans="1:20" x14ac:dyDescent="0.3">
      <c r="A654" t="s">
        <v>624</v>
      </c>
      <c r="B654" t="s">
        <v>522</v>
      </c>
      <c r="C654" t="s">
        <v>25</v>
      </c>
      <c r="D654" t="s">
        <v>451</v>
      </c>
      <c r="E654" t="s">
        <v>1123</v>
      </c>
      <c r="F654" t="s">
        <v>717</v>
      </c>
      <c r="G654" t="s">
        <v>717</v>
      </c>
      <c r="H654" t="s">
        <v>1825</v>
      </c>
      <c r="I654" t="s">
        <v>1823</v>
      </c>
      <c r="K654" s="41">
        <v>0</v>
      </c>
      <c r="L654" s="41">
        <v>0</v>
      </c>
      <c r="M654" s="41">
        <v>40108353</v>
      </c>
      <c r="N654" s="41">
        <v>40108353</v>
      </c>
      <c r="O654" s="41">
        <v>0</v>
      </c>
      <c r="P654" t="s">
        <v>865</v>
      </c>
      <c r="Q654" t="s">
        <v>1821</v>
      </c>
      <c r="R654" t="s">
        <v>1166</v>
      </c>
      <c r="S654" t="s">
        <v>1193</v>
      </c>
      <c r="T654" t="s">
        <v>1826</v>
      </c>
    </row>
    <row r="655" spans="1:20" x14ac:dyDescent="0.3">
      <c r="A655" t="s">
        <v>624</v>
      </c>
      <c r="B655" t="s">
        <v>522</v>
      </c>
      <c r="C655" t="s">
        <v>25</v>
      </c>
      <c r="D655" t="s">
        <v>451</v>
      </c>
      <c r="E655" t="s">
        <v>1124</v>
      </c>
      <c r="F655" t="s">
        <v>1829</v>
      </c>
      <c r="G655" t="s">
        <v>1125</v>
      </c>
      <c r="H655" t="s">
        <v>1125</v>
      </c>
      <c r="I655" t="s">
        <v>1125</v>
      </c>
      <c r="K655" s="41">
        <v>0</v>
      </c>
      <c r="L655" s="41">
        <v>0</v>
      </c>
      <c r="M655" s="41">
        <v>0</v>
      </c>
      <c r="O655" s="41">
        <v>0</v>
      </c>
      <c r="P655" t="s">
        <v>865</v>
      </c>
      <c r="Q655" t="s">
        <v>964</v>
      </c>
      <c r="R655" t="s">
        <v>1166</v>
      </c>
      <c r="S655" t="s">
        <v>1167</v>
      </c>
      <c r="T655" t="s">
        <v>1830</v>
      </c>
    </row>
    <row r="656" spans="1:20" x14ac:dyDescent="0.3">
      <c r="A656" t="s">
        <v>624</v>
      </c>
      <c r="B656" t="s">
        <v>522</v>
      </c>
      <c r="C656" t="s">
        <v>25</v>
      </c>
      <c r="D656" t="s">
        <v>451</v>
      </c>
      <c r="E656" t="s">
        <v>1128</v>
      </c>
      <c r="F656" t="s">
        <v>1795</v>
      </c>
      <c r="G656" t="s">
        <v>1834</v>
      </c>
      <c r="H656" t="s">
        <v>1774</v>
      </c>
      <c r="I656" t="s">
        <v>1832</v>
      </c>
      <c r="K656" s="41">
        <v>0</v>
      </c>
      <c r="L656" s="41">
        <v>0</v>
      </c>
      <c r="M656" s="41">
        <v>1</v>
      </c>
      <c r="N656" s="41">
        <v>1</v>
      </c>
      <c r="O656" s="41">
        <v>0</v>
      </c>
      <c r="P656" t="s">
        <v>865</v>
      </c>
      <c r="Q656" t="s">
        <v>1791</v>
      </c>
      <c r="R656" t="s">
        <v>1166</v>
      </c>
      <c r="S656" t="s">
        <v>1167</v>
      </c>
      <c r="T656" t="s">
        <v>1835</v>
      </c>
    </row>
    <row r="657" spans="1:20" x14ac:dyDescent="0.3">
      <c r="A657" t="s">
        <v>624</v>
      </c>
      <c r="B657" t="s">
        <v>658</v>
      </c>
      <c r="C657" t="s">
        <v>976</v>
      </c>
      <c r="D657" t="s">
        <v>496</v>
      </c>
      <c r="E657" t="s">
        <v>1048</v>
      </c>
      <c r="F657" t="s">
        <v>1318</v>
      </c>
      <c r="G657" t="s">
        <v>1049</v>
      </c>
      <c r="H657" t="s">
        <v>1319</v>
      </c>
      <c r="I657" t="s">
        <v>1241</v>
      </c>
      <c r="J657" s="41">
        <v>0</v>
      </c>
      <c r="K657" s="41">
        <v>0</v>
      </c>
      <c r="L657" s="41">
        <v>134104</v>
      </c>
      <c r="M657" s="41">
        <v>-134104</v>
      </c>
      <c r="N657" s="41">
        <v>134104</v>
      </c>
      <c r="O657" s="41">
        <v>134104</v>
      </c>
      <c r="P657" t="s">
        <v>1836</v>
      </c>
      <c r="Q657" t="s">
        <v>1207</v>
      </c>
      <c r="R657" t="s">
        <v>1166</v>
      </c>
      <c r="S657" t="s">
        <v>1167</v>
      </c>
      <c r="T657" t="s">
        <v>1320</v>
      </c>
    </row>
    <row r="658" spans="1:20" x14ac:dyDescent="0.3">
      <c r="A658" t="s">
        <v>624</v>
      </c>
      <c r="B658" t="s">
        <v>658</v>
      </c>
      <c r="C658" t="s">
        <v>976</v>
      </c>
      <c r="D658" t="s">
        <v>496</v>
      </c>
      <c r="E658" t="s">
        <v>1060</v>
      </c>
      <c r="F658" t="s">
        <v>947</v>
      </c>
      <c r="G658" t="s">
        <v>1061</v>
      </c>
      <c r="H658" t="s">
        <v>1200</v>
      </c>
      <c r="I658" t="s">
        <v>1197</v>
      </c>
      <c r="J658" s="41">
        <v>7250</v>
      </c>
      <c r="K658" s="41">
        <v>2230</v>
      </c>
      <c r="L658" s="41">
        <v>0</v>
      </c>
      <c r="M658" s="41">
        <v>9480</v>
      </c>
      <c r="N658" s="41">
        <v>9480</v>
      </c>
      <c r="O658" s="41">
        <v>2230</v>
      </c>
      <c r="P658" t="s">
        <v>1836</v>
      </c>
      <c r="Q658" t="s">
        <v>1309</v>
      </c>
      <c r="R658" t="s">
        <v>1166</v>
      </c>
      <c r="S658" t="s">
        <v>1167</v>
      </c>
      <c r="T658" t="s">
        <v>1201</v>
      </c>
    </row>
    <row r="659" spans="1:20" x14ac:dyDescent="0.3">
      <c r="A659" t="s">
        <v>624</v>
      </c>
      <c r="B659" t="s">
        <v>658</v>
      </c>
      <c r="C659" t="s">
        <v>976</v>
      </c>
      <c r="D659" t="s">
        <v>496</v>
      </c>
      <c r="E659" t="s">
        <v>1075</v>
      </c>
      <c r="F659" t="s">
        <v>947</v>
      </c>
      <c r="G659" t="s">
        <v>1076</v>
      </c>
      <c r="H659" t="s">
        <v>1205</v>
      </c>
      <c r="J659" s="41">
        <v>1800</v>
      </c>
      <c r="K659" s="41">
        <v>300</v>
      </c>
      <c r="L659" s="41">
        <v>0</v>
      </c>
      <c r="M659" s="41">
        <v>2100</v>
      </c>
      <c r="N659" s="41">
        <v>2100</v>
      </c>
      <c r="O659" s="41">
        <v>300</v>
      </c>
      <c r="P659" t="s">
        <v>1836</v>
      </c>
      <c r="Q659" t="s">
        <v>1224</v>
      </c>
      <c r="R659" t="s">
        <v>1166</v>
      </c>
      <c r="S659" t="s">
        <v>1167</v>
      </c>
      <c r="T659" t="s">
        <v>1206</v>
      </c>
    </row>
    <row r="660" spans="1:20" x14ac:dyDescent="0.3">
      <c r="A660" t="s">
        <v>624</v>
      </c>
      <c r="B660" t="s">
        <v>658</v>
      </c>
      <c r="C660" t="s">
        <v>976</v>
      </c>
      <c r="D660" t="s">
        <v>496</v>
      </c>
      <c r="E660" t="s">
        <v>1060</v>
      </c>
      <c r="F660" t="s">
        <v>947</v>
      </c>
      <c r="G660" t="s">
        <v>1061</v>
      </c>
      <c r="H660" t="s">
        <v>1210</v>
      </c>
      <c r="I660" t="s">
        <v>1197</v>
      </c>
      <c r="J660" s="41">
        <v>2412.37</v>
      </c>
      <c r="K660" s="41">
        <v>400</v>
      </c>
      <c r="L660" s="41">
        <v>0</v>
      </c>
      <c r="M660" s="41">
        <v>2812.37</v>
      </c>
      <c r="N660" s="41">
        <v>2812.37</v>
      </c>
      <c r="O660" s="41">
        <v>400</v>
      </c>
      <c r="P660" t="s">
        <v>1836</v>
      </c>
      <c r="Q660" t="s">
        <v>1314</v>
      </c>
      <c r="R660" t="s">
        <v>1166</v>
      </c>
      <c r="S660" t="s">
        <v>1167</v>
      </c>
      <c r="T660" t="s">
        <v>1211</v>
      </c>
    </row>
    <row r="661" spans="1:20" x14ac:dyDescent="0.3">
      <c r="A661" t="s">
        <v>624</v>
      </c>
      <c r="B661" t="s">
        <v>658</v>
      </c>
      <c r="C661" t="s">
        <v>976</v>
      </c>
      <c r="D661" t="s">
        <v>496</v>
      </c>
      <c r="E661" t="s">
        <v>1062</v>
      </c>
      <c r="F661" t="s">
        <v>947</v>
      </c>
      <c r="G661" t="s">
        <v>1063</v>
      </c>
      <c r="H661" t="s">
        <v>1216</v>
      </c>
      <c r="I661" t="s">
        <v>1214</v>
      </c>
      <c r="J661" s="41">
        <v>270.35000000000002</v>
      </c>
      <c r="K661" s="41">
        <v>0</v>
      </c>
      <c r="L661" s="41">
        <v>0</v>
      </c>
      <c r="M661" s="41">
        <v>270.35000000000002</v>
      </c>
      <c r="N661" s="41">
        <v>270.35000000000002</v>
      </c>
      <c r="O661" s="41">
        <v>0</v>
      </c>
      <c r="P661" t="s">
        <v>1836</v>
      </c>
      <c r="Q661" t="s">
        <v>1584</v>
      </c>
      <c r="R661" t="s">
        <v>1166</v>
      </c>
      <c r="S661" t="s">
        <v>1167</v>
      </c>
      <c r="T661" t="s">
        <v>1217</v>
      </c>
    </row>
    <row r="662" spans="1:20" x14ac:dyDescent="0.3">
      <c r="A662" t="s">
        <v>624</v>
      </c>
      <c r="B662" t="s">
        <v>658</v>
      </c>
      <c r="C662" t="s">
        <v>976</v>
      </c>
      <c r="D662" t="s">
        <v>496</v>
      </c>
      <c r="E662" t="s">
        <v>1064</v>
      </c>
      <c r="F662" t="s">
        <v>947</v>
      </c>
      <c r="G662" t="s">
        <v>1065</v>
      </c>
      <c r="H662" t="s">
        <v>1222</v>
      </c>
      <c r="I662" t="s">
        <v>1220</v>
      </c>
      <c r="J662" s="41">
        <v>252.73</v>
      </c>
      <c r="K662" s="41">
        <v>0</v>
      </c>
      <c r="L662" s="41">
        <v>0</v>
      </c>
      <c r="M662" s="41">
        <v>252.73</v>
      </c>
      <c r="N662" s="41">
        <v>252.73</v>
      </c>
      <c r="O662" s="41">
        <v>0</v>
      </c>
      <c r="P662" t="s">
        <v>1836</v>
      </c>
      <c r="Q662" t="s">
        <v>1412</v>
      </c>
      <c r="R662" t="s">
        <v>1166</v>
      </c>
      <c r="S662" t="s">
        <v>1167</v>
      </c>
      <c r="T662" t="s">
        <v>1223</v>
      </c>
    </row>
    <row r="663" spans="1:20" x14ac:dyDescent="0.3">
      <c r="A663" t="s">
        <v>624</v>
      </c>
      <c r="B663" t="s">
        <v>658</v>
      </c>
      <c r="C663" t="s">
        <v>976</v>
      </c>
      <c r="D663" t="s">
        <v>496</v>
      </c>
      <c r="E663" t="s">
        <v>1064</v>
      </c>
      <c r="F663" t="s">
        <v>947</v>
      </c>
      <c r="G663" t="s">
        <v>1065</v>
      </c>
      <c r="H663" t="s">
        <v>1222</v>
      </c>
      <c r="I663" t="s">
        <v>1220</v>
      </c>
      <c r="J663" s="41">
        <v>142.19</v>
      </c>
      <c r="K663" s="41">
        <v>116.94</v>
      </c>
      <c r="L663" s="41">
        <v>0</v>
      </c>
      <c r="M663" s="41">
        <v>259.13</v>
      </c>
      <c r="N663" s="41">
        <v>259.13</v>
      </c>
      <c r="O663" s="41">
        <v>116.94</v>
      </c>
      <c r="P663" t="s">
        <v>1836</v>
      </c>
      <c r="Q663" t="s">
        <v>1574</v>
      </c>
      <c r="R663" t="s">
        <v>1166</v>
      </c>
      <c r="S663" t="s">
        <v>1167</v>
      </c>
      <c r="T663" t="s">
        <v>1223</v>
      </c>
    </row>
    <row r="664" spans="1:20" x14ac:dyDescent="0.3">
      <c r="A664" t="s">
        <v>624</v>
      </c>
      <c r="B664" t="s">
        <v>658</v>
      </c>
      <c r="C664" t="s">
        <v>976</v>
      </c>
      <c r="D664" t="s">
        <v>496</v>
      </c>
      <c r="E664" t="s">
        <v>1064</v>
      </c>
      <c r="F664" t="s">
        <v>947</v>
      </c>
      <c r="G664" t="s">
        <v>1065</v>
      </c>
      <c r="H664" t="s">
        <v>1229</v>
      </c>
      <c r="I664" t="s">
        <v>1227</v>
      </c>
      <c r="J664" s="41">
        <v>64.790000000000006</v>
      </c>
      <c r="K664" s="41">
        <v>0</v>
      </c>
      <c r="L664" s="41">
        <v>0</v>
      </c>
      <c r="M664" s="41">
        <v>64.790000000000006</v>
      </c>
      <c r="N664" s="41">
        <v>64.790000000000006</v>
      </c>
      <c r="O664" s="41">
        <v>0</v>
      </c>
      <c r="P664" t="s">
        <v>1836</v>
      </c>
      <c r="Q664" t="s">
        <v>1327</v>
      </c>
      <c r="R664" t="s">
        <v>1166</v>
      </c>
      <c r="S664" t="s">
        <v>1167</v>
      </c>
      <c r="T664" t="s">
        <v>1230</v>
      </c>
    </row>
    <row r="665" spans="1:20" x14ac:dyDescent="0.3">
      <c r="A665" t="s">
        <v>624</v>
      </c>
      <c r="B665" t="s">
        <v>658</v>
      </c>
      <c r="C665" t="s">
        <v>976</v>
      </c>
      <c r="D665" t="s">
        <v>496</v>
      </c>
      <c r="E665" t="s">
        <v>1068</v>
      </c>
      <c r="F665" t="s">
        <v>947</v>
      </c>
      <c r="G665" t="s">
        <v>568</v>
      </c>
      <c r="H665" t="s">
        <v>1235</v>
      </c>
      <c r="I665" t="s">
        <v>1233</v>
      </c>
      <c r="J665" s="41">
        <v>9205.7199999999993</v>
      </c>
      <c r="K665" s="41">
        <v>0</v>
      </c>
      <c r="L665" s="41">
        <v>0</v>
      </c>
      <c r="M665" s="41">
        <v>9205.7199999999993</v>
      </c>
      <c r="N665" s="41">
        <v>9205.7199999999993</v>
      </c>
      <c r="O665" s="41">
        <v>0</v>
      </c>
      <c r="P665" t="s">
        <v>1836</v>
      </c>
      <c r="Q665" t="s">
        <v>1253</v>
      </c>
      <c r="R665" t="s">
        <v>1192</v>
      </c>
      <c r="S665" t="s">
        <v>1193</v>
      </c>
      <c r="T665" t="s">
        <v>1236</v>
      </c>
    </row>
    <row r="666" spans="1:20" x14ac:dyDescent="0.3">
      <c r="A666" t="s">
        <v>624</v>
      </c>
      <c r="B666" t="s">
        <v>658</v>
      </c>
      <c r="C666" t="s">
        <v>976</v>
      </c>
      <c r="D666" t="s">
        <v>496</v>
      </c>
      <c r="E666" t="s">
        <v>1068</v>
      </c>
      <c r="F666" t="s">
        <v>947</v>
      </c>
      <c r="G666" t="s">
        <v>568</v>
      </c>
      <c r="H666" t="s">
        <v>1235</v>
      </c>
      <c r="I666" t="s">
        <v>1238</v>
      </c>
      <c r="J666" s="41">
        <v>70.81</v>
      </c>
      <c r="K666" s="41">
        <v>0</v>
      </c>
      <c r="L666" s="41">
        <v>0</v>
      </c>
      <c r="M666" s="41">
        <v>70.81</v>
      </c>
      <c r="N666" s="41">
        <v>70.81</v>
      </c>
      <c r="O666" s="41">
        <v>0</v>
      </c>
      <c r="P666" t="s">
        <v>1836</v>
      </c>
      <c r="Q666" t="s">
        <v>1255</v>
      </c>
      <c r="R666" t="s">
        <v>1192</v>
      </c>
      <c r="S666" t="s">
        <v>1193</v>
      </c>
      <c r="T666" t="s">
        <v>1236</v>
      </c>
    </row>
    <row r="667" spans="1:20" x14ac:dyDescent="0.3">
      <c r="A667" t="s">
        <v>624</v>
      </c>
      <c r="B667" t="s">
        <v>658</v>
      </c>
      <c r="C667" t="s">
        <v>976</v>
      </c>
      <c r="D667" t="s">
        <v>496</v>
      </c>
      <c r="E667" t="s">
        <v>1069</v>
      </c>
      <c r="F667" t="s">
        <v>947</v>
      </c>
      <c r="G667" t="s">
        <v>1070</v>
      </c>
      <c r="H667" t="s">
        <v>1243</v>
      </c>
      <c r="I667" t="s">
        <v>1241</v>
      </c>
      <c r="J667" s="41">
        <v>115.51</v>
      </c>
      <c r="K667" s="41">
        <v>0</v>
      </c>
      <c r="L667" s="41">
        <v>0</v>
      </c>
      <c r="M667" s="41">
        <v>115.51</v>
      </c>
      <c r="N667" s="41">
        <v>115.51</v>
      </c>
      <c r="O667" s="41">
        <v>0</v>
      </c>
      <c r="P667" t="s">
        <v>1836</v>
      </c>
      <c r="Q667" t="s">
        <v>1564</v>
      </c>
      <c r="R667" t="s">
        <v>1166</v>
      </c>
      <c r="S667" t="s">
        <v>1193</v>
      </c>
      <c r="T667" t="s">
        <v>1244</v>
      </c>
    </row>
    <row r="668" spans="1:20" x14ac:dyDescent="0.3">
      <c r="A668" t="s">
        <v>624</v>
      </c>
      <c r="B668" t="s">
        <v>658</v>
      </c>
      <c r="C668" t="s">
        <v>976</v>
      </c>
      <c r="D668" t="s">
        <v>496</v>
      </c>
      <c r="E668" t="s">
        <v>1069</v>
      </c>
      <c r="F668" t="s">
        <v>947</v>
      </c>
      <c r="G668" t="s">
        <v>1070</v>
      </c>
      <c r="H668" t="s">
        <v>1243</v>
      </c>
      <c r="I668" t="s">
        <v>1657</v>
      </c>
      <c r="J668" s="41">
        <v>34.299999999999997</v>
      </c>
      <c r="K668" s="41">
        <v>0</v>
      </c>
      <c r="L668" s="41">
        <v>0</v>
      </c>
      <c r="M668" s="41">
        <v>34.299999999999997</v>
      </c>
      <c r="N668" s="41">
        <v>34.299999999999997</v>
      </c>
      <c r="O668" s="41">
        <v>0</v>
      </c>
      <c r="P668" t="s">
        <v>1836</v>
      </c>
      <c r="Q668" t="s">
        <v>1257</v>
      </c>
      <c r="R668" t="s">
        <v>1166</v>
      </c>
      <c r="S668" t="s">
        <v>1193</v>
      </c>
      <c r="T668" t="s">
        <v>1244</v>
      </c>
    </row>
    <row r="669" spans="1:20" x14ac:dyDescent="0.3">
      <c r="A669" t="s">
        <v>624</v>
      </c>
      <c r="B669" t="s">
        <v>658</v>
      </c>
      <c r="C669" t="s">
        <v>976</v>
      </c>
      <c r="D669" t="s">
        <v>496</v>
      </c>
      <c r="E669" t="s">
        <v>1079</v>
      </c>
      <c r="F669" t="s">
        <v>947</v>
      </c>
      <c r="G669" t="s">
        <v>1080</v>
      </c>
      <c r="H669" t="s">
        <v>1249</v>
      </c>
      <c r="I669" t="s">
        <v>1658</v>
      </c>
      <c r="J669" s="41">
        <v>37.69</v>
      </c>
      <c r="K669" s="41">
        <v>0</v>
      </c>
      <c r="L669" s="41">
        <v>0</v>
      </c>
      <c r="M669" s="41">
        <v>37.69</v>
      </c>
      <c r="N669" s="41">
        <v>37.69</v>
      </c>
      <c r="O669" s="41">
        <v>0</v>
      </c>
      <c r="P669" t="s">
        <v>1836</v>
      </c>
      <c r="Q669" t="s">
        <v>1350</v>
      </c>
      <c r="R669" t="s">
        <v>1166</v>
      </c>
      <c r="S669" t="s">
        <v>1167</v>
      </c>
      <c r="T669" t="s">
        <v>1250</v>
      </c>
    </row>
    <row r="670" spans="1:20" x14ac:dyDescent="0.3">
      <c r="A670" t="s">
        <v>624</v>
      </c>
      <c r="B670" t="s">
        <v>658</v>
      </c>
      <c r="C670" t="s">
        <v>976</v>
      </c>
      <c r="D670" t="s">
        <v>496</v>
      </c>
      <c r="E670" t="s">
        <v>1079</v>
      </c>
      <c r="F670" t="s">
        <v>947</v>
      </c>
      <c r="G670" t="s">
        <v>1080</v>
      </c>
      <c r="H670" t="s">
        <v>1249</v>
      </c>
      <c r="I670" t="s">
        <v>1247</v>
      </c>
      <c r="J670" s="41">
        <v>39.61</v>
      </c>
      <c r="K670" s="41">
        <v>0</v>
      </c>
      <c r="L670" s="41">
        <v>0</v>
      </c>
      <c r="M670" s="41">
        <v>39.61</v>
      </c>
      <c r="N670" s="41">
        <v>39.61</v>
      </c>
      <c r="O670" s="41">
        <v>0</v>
      </c>
      <c r="P670" t="s">
        <v>1836</v>
      </c>
      <c r="Q670" t="s">
        <v>1351</v>
      </c>
      <c r="R670" t="s">
        <v>1166</v>
      </c>
      <c r="S670" t="s">
        <v>1167</v>
      </c>
      <c r="T670" t="s">
        <v>1250</v>
      </c>
    </row>
    <row r="671" spans="1:20" x14ac:dyDescent="0.3">
      <c r="A671" t="s">
        <v>624</v>
      </c>
      <c r="B671" t="s">
        <v>658</v>
      </c>
      <c r="C671" t="s">
        <v>976</v>
      </c>
      <c r="D671" t="s">
        <v>496</v>
      </c>
      <c r="E671" t="s">
        <v>1079</v>
      </c>
      <c r="F671" t="s">
        <v>947</v>
      </c>
      <c r="G671" t="s">
        <v>1080</v>
      </c>
      <c r="H671" t="s">
        <v>1249</v>
      </c>
      <c r="I671" t="s">
        <v>1252</v>
      </c>
      <c r="J671" s="41">
        <v>74.31</v>
      </c>
      <c r="K671" s="41">
        <v>0</v>
      </c>
      <c r="L671" s="41">
        <v>0</v>
      </c>
      <c r="M671" s="41">
        <v>74.31</v>
      </c>
      <c r="N671" s="41">
        <v>74.31</v>
      </c>
      <c r="O671" s="41">
        <v>0</v>
      </c>
      <c r="P671" t="s">
        <v>1836</v>
      </c>
      <c r="Q671" t="s">
        <v>1352</v>
      </c>
      <c r="R671" t="s">
        <v>1166</v>
      </c>
      <c r="S671" t="s">
        <v>1167</v>
      </c>
      <c r="T671" t="s">
        <v>1250</v>
      </c>
    </row>
    <row r="672" spans="1:20" x14ac:dyDescent="0.3">
      <c r="A672" t="s">
        <v>624</v>
      </c>
      <c r="B672" t="s">
        <v>658</v>
      </c>
      <c r="C672" t="s">
        <v>976</v>
      </c>
      <c r="D672" t="s">
        <v>496</v>
      </c>
      <c r="E672" t="s">
        <v>1079</v>
      </c>
      <c r="F672" t="s">
        <v>947</v>
      </c>
      <c r="G672" t="s">
        <v>1080</v>
      </c>
      <c r="H672" t="s">
        <v>1249</v>
      </c>
      <c r="I672" t="s">
        <v>1254</v>
      </c>
      <c r="J672" s="41">
        <v>15</v>
      </c>
      <c r="K672" s="41">
        <v>0</v>
      </c>
      <c r="L672" s="41">
        <v>0</v>
      </c>
      <c r="M672" s="41">
        <v>15</v>
      </c>
      <c r="N672" s="41">
        <v>15</v>
      </c>
      <c r="O672" s="41">
        <v>0</v>
      </c>
      <c r="P672" t="s">
        <v>1836</v>
      </c>
      <c r="Q672" t="s">
        <v>1353</v>
      </c>
      <c r="R672" t="s">
        <v>1166</v>
      </c>
      <c r="S672" t="s">
        <v>1167</v>
      </c>
      <c r="T672" t="s">
        <v>1250</v>
      </c>
    </row>
    <row r="673" spans="1:20" x14ac:dyDescent="0.3">
      <c r="A673" t="s">
        <v>624</v>
      </c>
      <c r="B673" t="s">
        <v>658</v>
      </c>
      <c r="C673" t="s">
        <v>976</v>
      </c>
      <c r="D673" t="s">
        <v>496</v>
      </c>
      <c r="E673" t="s">
        <v>1079</v>
      </c>
      <c r="F673" t="s">
        <v>947</v>
      </c>
      <c r="G673" t="s">
        <v>1080</v>
      </c>
      <c r="H673" t="s">
        <v>1249</v>
      </c>
      <c r="I673" t="s">
        <v>1256</v>
      </c>
      <c r="J673" s="41">
        <v>7</v>
      </c>
      <c r="K673" s="41">
        <v>0</v>
      </c>
      <c r="L673" s="41">
        <v>0</v>
      </c>
      <c r="M673" s="41">
        <v>7</v>
      </c>
      <c r="N673" s="41">
        <v>7</v>
      </c>
      <c r="O673" s="41">
        <v>0</v>
      </c>
      <c r="P673" t="s">
        <v>1836</v>
      </c>
      <c r="Q673" t="s">
        <v>1354</v>
      </c>
      <c r="R673" t="s">
        <v>1166</v>
      </c>
      <c r="S673" t="s">
        <v>1167</v>
      </c>
      <c r="T673" t="s">
        <v>1250</v>
      </c>
    </row>
    <row r="674" spans="1:20" x14ac:dyDescent="0.3">
      <c r="A674" t="s">
        <v>624</v>
      </c>
      <c r="B674" t="s">
        <v>658</v>
      </c>
      <c r="C674" t="s">
        <v>976</v>
      </c>
      <c r="D674" t="s">
        <v>496</v>
      </c>
      <c r="E674" t="s">
        <v>1123</v>
      </c>
      <c r="F674" t="s">
        <v>717</v>
      </c>
      <c r="G674" t="s">
        <v>717</v>
      </c>
      <c r="H674" t="s">
        <v>1261</v>
      </c>
      <c r="I674" t="s">
        <v>1259</v>
      </c>
      <c r="J674" s="41">
        <v>200</v>
      </c>
      <c r="K674" s="41">
        <v>30</v>
      </c>
      <c r="L674" s="41">
        <v>0</v>
      </c>
      <c r="M674" s="41">
        <v>230</v>
      </c>
      <c r="N674" s="41">
        <v>230</v>
      </c>
      <c r="O674" s="41">
        <v>30</v>
      </c>
      <c r="P674" t="s">
        <v>1836</v>
      </c>
      <c r="Q674" t="s">
        <v>1358</v>
      </c>
      <c r="R674" t="s">
        <v>1166</v>
      </c>
      <c r="S674" t="s">
        <v>1167</v>
      </c>
      <c r="T674" t="s">
        <v>1262</v>
      </c>
    </row>
    <row r="675" spans="1:20" x14ac:dyDescent="0.3">
      <c r="A675" t="s">
        <v>624</v>
      </c>
      <c r="B675" t="s">
        <v>658</v>
      </c>
      <c r="C675" t="s">
        <v>976</v>
      </c>
      <c r="D675" t="s">
        <v>496</v>
      </c>
      <c r="E675" t="s">
        <v>1123</v>
      </c>
      <c r="F675" t="s">
        <v>717</v>
      </c>
      <c r="G675" t="s">
        <v>717</v>
      </c>
      <c r="H675" t="s">
        <v>1261</v>
      </c>
      <c r="I675" t="s">
        <v>1259</v>
      </c>
      <c r="J675" s="41">
        <v>6</v>
      </c>
      <c r="K675" s="41">
        <v>0</v>
      </c>
      <c r="L675" s="41">
        <v>0</v>
      </c>
      <c r="M675" s="41">
        <v>6</v>
      </c>
      <c r="N675" s="41">
        <v>6</v>
      </c>
      <c r="O675" s="41">
        <v>0</v>
      </c>
      <c r="P675" t="s">
        <v>1836</v>
      </c>
      <c r="Q675" t="s">
        <v>1565</v>
      </c>
      <c r="R675" t="s">
        <v>1166</v>
      </c>
      <c r="S675" t="s">
        <v>1167</v>
      </c>
      <c r="T675" t="s">
        <v>1262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N588"/>
  <sheetViews>
    <sheetView workbookViewId="0"/>
  </sheetViews>
  <sheetFormatPr defaultRowHeight="14.4" x14ac:dyDescent="0.3"/>
  <cols>
    <col min="1" max="1" width="10" customWidth="1"/>
    <col min="2" max="2" width="16" customWidth="1"/>
    <col min="3" max="4" width="10" customWidth="1"/>
    <col min="5" max="5" width="14" customWidth="1"/>
    <col min="6" max="6" width="38" customWidth="1"/>
    <col min="7" max="7" width="21" customWidth="1"/>
    <col min="8" max="8" width="19" customWidth="1"/>
    <col min="9" max="9" width="16" customWidth="1"/>
    <col min="10" max="11" width="11" customWidth="1"/>
    <col min="12" max="12" width="24" customWidth="1"/>
    <col min="13" max="13" width="15" customWidth="1"/>
    <col min="14" max="14" width="38" customWidth="1"/>
  </cols>
  <sheetData>
    <row r="1" spans="1:14" x14ac:dyDescent="0.3">
      <c r="A1" s="50" t="s">
        <v>17</v>
      </c>
      <c r="B1" s="50" t="s">
        <v>27</v>
      </c>
      <c r="C1" s="50" t="s">
        <v>2249</v>
      </c>
      <c r="D1" s="50" t="s">
        <v>38</v>
      </c>
      <c r="E1" s="50" t="s">
        <v>2215</v>
      </c>
      <c r="F1" s="50" t="s">
        <v>2216</v>
      </c>
      <c r="G1" s="50" t="s">
        <v>2218</v>
      </c>
      <c r="H1" s="50" t="s">
        <v>2219</v>
      </c>
      <c r="I1" s="50" t="s">
        <v>2220</v>
      </c>
      <c r="J1" s="50" t="s">
        <v>2264</v>
      </c>
      <c r="K1" s="50" t="s">
        <v>2265</v>
      </c>
      <c r="L1" s="50" t="s">
        <v>743</v>
      </c>
      <c r="M1" s="50" t="s">
        <v>2266</v>
      </c>
      <c r="N1" s="50" t="s">
        <v>2267</v>
      </c>
    </row>
    <row r="2" spans="1:14" x14ac:dyDescent="0.3">
      <c r="A2" t="s">
        <v>553</v>
      </c>
      <c r="B2" t="s">
        <v>658</v>
      </c>
      <c r="C2" t="s">
        <v>976</v>
      </c>
      <c r="D2" t="s">
        <v>496</v>
      </c>
      <c r="E2" t="s">
        <v>1060</v>
      </c>
      <c r="F2" t="s">
        <v>1061</v>
      </c>
      <c r="G2" t="s">
        <v>309</v>
      </c>
      <c r="H2" t="s">
        <v>565</v>
      </c>
      <c r="I2" t="s">
        <v>2225</v>
      </c>
      <c r="J2" s="41">
        <v>1200</v>
      </c>
      <c r="K2" s="41">
        <v>4800</v>
      </c>
      <c r="L2" t="s">
        <v>1157</v>
      </c>
      <c r="M2" t="s">
        <v>2227</v>
      </c>
      <c r="N2" t="s">
        <v>2268</v>
      </c>
    </row>
    <row r="3" spans="1:14" x14ac:dyDescent="0.3">
      <c r="A3" t="s">
        <v>553</v>
      </c>
      <c r="B3" t="s">
        <v>658</v>
      </c>
      <c r="C3" t="s">
        <v>976</v>
      </c>
      <c r="D3" t="s">
        <v>496</v>
      </c>
      <c r="E3" t="s">
        <v>1075</v>
      </c>
      <c r="F3" t="s">
        <v>1076</v>
      </c>
      <c r="G3" t="s">
        <v>309</v>
      </c>
      <c r="H3" t="s">
        <v>570</v>
      </c>
      <c r="I3" t="s">
        <v>2225</v>
      </c>
      <c r="J3" s="41">
        <v>300</v>
      </c>
      <c r="K3" s="41">
        <v>1200</v>
      </c>
      <c r="L3" t="s">
        <v>1157</v>
      </c>
      <c r="M3" t="s">
        <v>2227</v>
      </c>
      <c r="N3" t="s">
        <v>2268</v>
      </c>
    </row>
    <row r="4" spans="1:14" x14ac:dyDescent="0.3">
      <c r="A4" t="s">
        <v>553</v>
      </c>
      <c r="B4" t="s">
        <v>658</v>
      </c>
      <c r="C4" t="s">
        <v>976</v>
      </c>
      <c r="D4" t="s">
        <v>496</v>
      </c>
      <c r="E4" t="s">
        <v>1060</v>
      </c>
      <c r="F4" t="s">
        <v>1061</v>
      </c>
      <c r="G4" t="s">
        <v>309</v>
      </c>
      <c r="H4" t="s">
        <v>565</v>
      </c>
      <c r="I4" t="s">
        <v>2225</v>
      </c>
      <c r="J4" s="41">
        <v>400</v>
      </c>
      <c r="K4" s="41">
        <v>1612.37</v>
      </c>
      <c r="L4" t="s">
        <v>1157</v>
      </c>
      <c r="M4" t="s">
        <v>2227</v>
      </c>
      <c r="N4" t="s">
        <v>2268</v>
      </c>
    </row>
    <row r="5" spans="1:14" x14ac:dyDescent="0.3">
      <c r="A5" t="s">
        <v>553</v>
      </c>
      <c r="B5" t="s">
        <v>658</v>
      </c>
      <c r="C5" t="s">
        <v>976</v>
      </c>
      <c r="D5" t="s">
        <v>496</v>
      </c>
      <c r="E5" t="s">
        <v>1062</v>
      </c>
      <c r="F5" t="s">
        <v>1063</v>
      </c>
      <c r="G5" t="s">
        <v>309</v>
      </c>
      <c r="H5" t="s">
        <v>566</v>
      </c>
      <c r="I5" t="s">
        <v>2225</v>
      </c>
      <c r="J5" s="41">
        <v>0</v>
      </c>
      <c r="K5" s="41">
        <v>270.35000000000002</v>
      </c>
      <c r="L5" t="s">
        <v>1157</v>
      </c>
      <c r="M5" t="s">
        <v>2227</v>
      </c>
      <c r="N5" t="s">
        <v>2268</v>
      </c>
    </row>
    <row r="6" spans="1:14" x14ac:dyDescent="0.3">
      <c r="A6" t="s">
        <v>553</v>
      </c>
      <c r="B6" t="s">
        <v>658</v>
      </c>
      <c r="C6" t="s">
        <v>976</v>
      </c>
      <c r="D6" t="s">
        <v>496</v>
      </c>
      <c r="E6" t="s">
        <v>1064</v>
      </c>
      <c r="F6" t="s">
        <v>1065</v>
      </c>
      <c r="G6" t="s">
        <v>309</v>
      </c>
      <c r="H6" t="s">
        <v>571</v>
      </c>
      <c r="I6" t="s">
        <v>2225</v>
      </c>
      <c r="J6" s="41">
        <v>0</v>
      </c>
      <c r="K6" s="41">
        <v>252.73</v>
      </c>
      <c r="L6" t="s">
        <v>1157</v>
      </c>
      <c r="M6" t="s">
        <v>2227</v>
      </c>
      <c r="N6" t="s">
        <v>2268</v>
      </c>
    </row>
    <row r="7" spans="1:14" x14ac:dyDescent="0.3">
      <c r="A7" t="s">
        <v>553</v>
      </c>
      <c r="B7" t="s">
        <v>658</v>
      </c>
      <c r="C7" t="s">
        <v>976</v>
      </c>
      <c r="D7" t="s">
        <v>496</v>
      </c>
      <c r="E7" t="s">
        <v>1064</v>
      </c>
      <c r="F7" t="s">
        <v>1065</v>
      </c>
      <c r="G7" t="s">
        <v>309</v>
      </c>
      <c r="H7" t="s">
        <v>571</v>
      </c>
      <c r="I7" t="s">
        <v>2225</v>
      </c>
      <c r="J7" s="41">
        <v>115.64</v>
      </c>
      <c r="K7" s="41">
        <v>142.19</v>
      </c>
      <c r="L7" t="s">
        <v>1157</v>
      </c>
      <c r="M7" t="s">
        <v>2227</v>
      </c>
      <c r="N7" t="s">
        <v>2268</v>
      </c>
    </row>
    <row r="8" spans="1:14" x14ac:dyDescent="0.3">
      <c r="A8" t="s">
        <v>553</v>
      </c>
      <c r="B8" t="s">
        <v>658</v>
      </c>
      <c r="C8" t="s">
        <v>976</v>
      </c>
      <c r="D8" t="s">
        <v>496</v>
      </c>
      <c r="E8" t="s">
        <v>1064</v>
      </c>
      <c r="F8" t="s">
        <v>1065</v>
      </c>
      <c r="G8" t="s">
        <v>309</v>
      </c>
      <c r="H8" t="s">
        <v>571</v>
      </c>
      <c r="I8" t="s">
        <v>2225</v>
      </c>
      <c r="J8" s="41">
        <v>0</v>
      </c>
      <c r="K8" s="41">
        <v>64.790000000000006</v>
      </c>
      <c r="L8" t="s">
        <v>1157</v>
      </c>
      <c r="M8" t="s">
        <v>2227</v>
      </c>
      <c r="N8" t="s">
        <v>2268</v>
      </c>
    </row>
    <row r="9" spans="1:14" x14ac:dyDescent="0.3">
      <c r="A9" t="s">
        <v>553</v>
      </c>
      <c r="B9" t="s">
        <v>658</v>
      </c>
      <c r="C9" t="s">
        <v>976</v>
      </c>
      <c r="D9" t="s">
        <v>496</v>
      </c>
      <c r="E9" t="s">
        <v>1068</v>
      </c>
      <c r="F9" t="s">
        <v>568</v>
      </c>
      <c r="G9" t="s">
        <v>309</v>
      </c>
      <c r="H9" t="s">
        <v>568</v>
      </c>
      <c r="I9" t="s">
        <v>2225</v>
      </c>
      <c r="J9" s="41">
        <v>9205.7199999999993</v>
      </c>
      <c r="K9" s="41">
        <v>9205.7199999999993</v>
      </c>
      <c r="L9" t="s">
        <v>1157</v>
      </c>
      <c r="M9" t="s">
        <v>2227</v>
      </c>
      <c r="N9" t="s">
        <v>2268</v>
      </c>
    </row>
    <row r="10" spans="1:14" x14ac:dyDescent="0.3">
      <c r="A10" t="s">
        <v>553</v>
      </c>
      <c r="B10" t="s">
        <v>658</v>
      </c>
      <c r="C10" t="s">
        <v>976</v>
      </c>
      <c r="D10" t="s">
        <v>496</v>
      </c>
      <c r="E10" t="s">
        <v>1068</v>
      </c>
      <c r="F10" t="s">
        <v>568</v>
      </c>
      <c r="G10" t="s">
        <v>309</v>
      </c>
      <c r="H10" t="s">
        <v>568</v>
      </c>
      <c r="I10" t="s">
        <v>2225</v>
      </c>
      <c r="J10" s="41">
        <v>0</v>
      </c>
      <c r="K10" s="41">
        <v>70.81</v>
      </c>
      <c r="L10" t="s">
        <v>1157</v>
      </c>
      <c r="M10" t="s">
        <v>2227</v>
      </c>
      <c r="N10" t="s">
        <v>2268</v>
      </c>
    </row>
    <row r="11" spans="1:14" x14ac:dyDescent="0.3">
      <c r="A11" t="s">
        <v>553</v>
      </c>
      <c r="B11" t="s">
        <v>658</v>
      </c>
      <c r="C11" t="s">
        <v>976</v>
      </c>
      <c r="D11" t="s">
        <v>496</v>
      </c>
      <c r="E11" t="s">
        <v>1069</v>
      </c>
      <c r="F11" t="s">
        <v>1070</v>
      </c>
      <c r="G11" t="s">
        <v>309</v>
      </c>
      <c r="H11" t="s">
        <v>569</v>
      </c>
      <c r="I11" t="s">
        <v>2225</v>
      </c>
      <c r="J11" s="41">
        <v>57.71</v>
      </c>
      <c r="K11" s="41">
        <v>57.71</v>
      </c>
      <c r="L11" t="s">
        <v>1157</v>
      </c>
      <c r="M11" t="s">
        <v>2227</v>
      </c>
      <c r="N11" t="s">
        <v>2268</v>
      </c>
    </row>
    <row r="12" spans="1:14" x14ac:dyDescent="0.3">
      <c r="A12" t="s">
        <v>553</v>
      </c>
      <c r="B12" t="s">
        <v>658</v>
      </c>
      <c r="C12" t="s">
        <v>976</v>
      </c>
      <c r="D12" t="s">
        <v>496</v>
      </c>
      <c r="E12" t="s">
        <v>1079</v>
      </c>
      <c r="F12" t="s">
        <v>1080</v>
      </c>
      <c r="G12" t="s">
        <v>309</v>
      </c>
      <c r="H12" t="s">
        <v>571</v>
      </c>
      <c r="I12" t="s">
        <v>2225</v>
      </c>
      <c r="J12" s="41">
        <v>0</v>
      </c>
      <c r="K12" s="41">
        <v>39.61</v>
      </c>
      <c r="L12" t="s">
        <v>1157</v>
      </c>
      <c r="M12" t="s">
        <v>2227</v>
      </c>
      <c r="N12" t="s">
        <v>2268</v>
      </c>
    </row>
    <row r="13" spans="1:14" x14ac:dyDescent="0.3">
      <c r="A13" t="s">
        <v>553</v>
      </c>
      <c r="B13" t="s">
        <v>658</v>
      </c>
      <c r="C13" t="s">
        <v>976</v>
      </c>
      <c r="D13" t="s">
        <v>496</v>
      </c>
      <c r="E13" t="s">
        <v>1079</v>
      </c>
      <c r="F13" t="s">
        <v>1080</v>
      </c>
      <c r="G13" t="s">
        <v>309</v>
      </c>
      <c r="H13" t="s">
        <v>571</v>
      </c>
      <c r="I13" t="s">
        <v>2225</v>
      </c>
      <c r="J13" s="41">
        <v>0</v>
      </c>
      <c r="K13" s="41">
        <v>74.31</v>
      </c>
      <c r="L13" t="s">
        <v>1157</v>
      </c>
      <c r="M13" t="s">
        <v>2227</v>
      </c>
      <c r="N13" t="s">
        <v>2268</v>
      </c>
    </row>
    <row r="14" spans="1:14" x14ac:dyDescent="0.3">
      <c r="A14" t="s">
        <v>553</v>
      </c>
      <c r="B14" t="s">
        <v>658</v>
      </c>
      <c r="C14" t="s">
        <v>976</v>
      </c>
      <c r="D14" t="s">
        <v>496</v>
      </c>
      <c r="E14" t="s">
        <v>1079</v>
      </c>
      <c r="F14" t="s">
        <v>1080</v>
      </c>
      <c r="G14" t="s">
        <v>309</v>
      </c>
      <c r="H14" t="s">
        <v>571</v>
      </c>
      <c r="I14" t="s">
        <v>2225</v>
      </c>
      <c r="J14" s="41">
        <v>0</v>
      </c>
      <c r="K14" s="41">
        <v>15</v>
      </c>
      <c r="L14" t="s">
        <v>1157</v>
      </c>
      <c r="M14" t="s">
        <v>2227</v>
      </c>
      <c r="N14" t="s">
        <v>2268</v>
      </c>
    </row>
    <row r="15" spans="1:14" x14ac:dyDescent="0.3">
      <c r="A15" t="s">
        <v>553</v>
      </c>
      <c r="B15" t="s">
        <v>658</v>
      </c>
      <c r="C15" t="s">
        <v>976</v>
      </c>
      <c r="D15" t="s">
        <v>496</v>
      </c>
      <c r="E15" t="s">
        <v>1079</v>
      </c>
      <c r="F15" t="s">
        <v>1080</v>
      </c>
      <c r="G15" t="s">
        <v>309</v>
      </c>
      <c r="H15" t="s">
        <v>571</v>
      </c>
      <c r="I15" t="s">
        <v>2225</v>
      </c>
      <c r="J15" s="41">
        <v>0</v>
      </c>
      <c r="K15" s="41">
        <v>7</v>
      </c>
      <c r="L15" t="s">
        <v>1157</v>
      </c>
      <c r="M15" t="s">
        <v>2227</v>
      </c>
      <c r="N15" t="s">
        <v>2268</v>
      </c>
    </row>
    <row r="16" spans="1:14" x14ac:dyDescent="0.3">
      <c r="A16" t="s">
        <v>553</v>
      </c>
      <c r="B16" t="s">
        <v>658</v>
      </c>
      <c r="C16" t="s">
        <v>976</v>
      </c>
      <c r="D16" t="s">
        <v>496</v>
      </c>
      <c r="E16" t="s">
        <v>1123</v>
      </c>
      <c r="F16" t="s">
        <v>717</v>
      </c>
      <c r="G16" t="s">
        <v>304</v>
      </c>
      <c r="H16" t="s">
        <v>561</v>
      </c>
      <c r="I16" t="s">
        <v>561</v>
      </c>
      <c r="J16" s="41">
        <v>40</v>
      </c>
      <c r="K16" s="41">
        <v>120</v>
      </c>
      <c r="L16" t="s">
        <v>1157</v>
      </c>
      <c r="M16" t="s">
        <v>2227</v>
      </c>
      <c r="N16" t="s">
        <v>2268</v>
      </c>
    </row>
    <row r="17" spans="1:14" x14ac:dyDescent="0.3">
      <c r="A17" t="s">
        <v>553</v>
      </c>
      <c r="B17" t="s">
        <v>1265</v>
      </c>
      <c r="C17" t="s">
        <v>975</v>
      </c>
      <c r="D17" t="s">
        <v>686</v>
      </c>
      <c r="E17" t="s">
        <v>1062</v>
      </c>
      <c r="F17" t="s">
        <v>1063</v>
      </c>
      <c r="G17" t="s">
        <v>309</v>
      </c>
      <c r="H17" t="s">
        <v>566</v>
      </c>
      <c r="I17" t="s">
        <v>2225</v>
      </c>
      <c r="J17" s="41">
        <v>524.25</v>
      </c>
      <c r="K17" s="41">
        <v>1539.6</v>
      </c>
      <c r="L17" t="s">
        <v>1263</v>
      </c>
      <c r="M17" t="s">
        <v>2227</v>
      </c>
      <c r="N17" t="s">
        <v>2268</v>
      </c>
    </row>
    <row r="18" spans="1:14" x14ac:dyDescent="0.3">
      <c r="A18" t="s">
        <v>553</v>
      </c>
      <c r="B18" t="s">
        <v>1265</v>
      </c>
      <c r="C18" t="s">
        <v>975</v>
      </c>
      <c r="D18" t="s">
        <v>686</v>
      </c>
      <c r="E18" t="s">
        <v>1062</v>
      </c>
      <c r="F18" t="s">
        <v>1063</v>
      </c>
      <c r="G18" t="s">
        <v>309</v>
      </c>
      <c r="H18" t="s">
        <v>566</v>
      </c>
      <c r="I18" t="s">
        <v>2225</v>
      </c>
      <c r="J18" s="41">
        <v>1100</v>
      </c>
      <c r="K18" s="41">
        <v>1800</v>
      </c>
      <c r="L18" t="s">
        <v>1263</v>
      </c>
      <c r="M18" t="s">
        <v>2227</v>
      </c>
      <c r="N18" t="s">
        <v>2268</v>
      </c>
    </row>
    <row r="19" spans="1:14" x14ac:dyDescent="0.3">
      <c r="A19" t="s">
        <v>553</v>
      </c>
      <c r="B19" t="s">
        <v>1265</v>
      </c>
      <c r="C19" t="s">
        <v>975</v>
      </c>
      <c r="D19" t="s">
        <v>686</v>
      </c>
      <c r="E19" t="s">
        <v>1095</v>
      </c>
      <c r="F19" t="s">
        <v>1096</v>
      </c>
      <c r="G19" t="s">
        <v>377</v>
      </c>
      <c r="H19" t="s">
        <v>566</v>
      </c>
      <c r="I19" t="s">
        <v>190</v>
      </c>
      <c r="J19" s="41">
        <v>0</v>
      </c>
      <c r="K19" s="41">
        <v>2127</v>
      </c>
      <c r="L19" t="s">
        <v>1263</v>
      </c>
      <c r="M19" t="s">
        <v>2227</v>
      </c>
      <c r="N19" t="s">
        <v>2268</v>
      </c>
    </row>
    <row r="20" spans="1:14" x14ac:dyDescent="0.3">
      <c r="A20" t="s">
        <v>553</v>
      </c>
      <c r="B20" t="s">
        <v>1265</v>
      </c>
      <c r="C20" t="s">
        <v>975</v>
      </c>
      <c r="D20" t="s">
        <v>686</v>
      </c>
      <c r="E20" t="s">
        <v>1097</v>
      </c>
      <c r="F20" t="s">
        <v>1098</v>
      </c>
      <c r="G20" t="s">
        <v>377</v>
      </c>
      <c r="H20" t="s">
        <v>569</v>
      </c>
      <c r="I20" t="s">
        <v>190</v>
      </c>
      <c r="J20" s="41">
        <v>0</v>
      </c>
      <c r="K20" s="41">
        <v>1706.19</v>
      </c>
      <c r="L20" t="s">
        <v>1263</v>
      </c>
      <c r="M20" t="s">
        <v>2227</v>
      </c>
      <c r="N20" t="s">
        <v>2268</v>
      </c>
    </row>
    <row r="21" spans="1:14" x14ac:dyDescent="0.3">
      <c r="A21" t="s">
        <v>553</v>
      </c>
      <c r="B21" t="s">
        <v>1265</v>
      </c>
      <c r="C21" t="s">
        <v>975</v>
      </c>
      <c r="D21" t="s">
        <v>686</v>
      </c>
      <c r="E21" t="s">
        <v>1101</v>
      </c>
      <c r="F21" t="s">
        <v>1102</v>
      </c>
      <c r="G21" t="s">
        <v>377</v>
      </c>
      <c r="H21" t="s">
        <v>570</v>
      </c>
      <c r="I21" t="s">
        <v>190</v>
      </c>
      <c r="J21" s="41">
        <v>267.26</v>
      </c>
      <c r="K21" s="41">
        <v>267.26</v>
      </c>
      <c r="L21" t="s">
        <v>1263</v>
      </c>
      <c r="M21" t="s">
        <v>2227</v>
      </c>
      <c r="N21" t="s">
        <v>2268</v>
      </c>
    </row>
    <row r="22" spans="1:14" x14ac:dyDescent="0.3">
      <c r="A22" t="s">
        <v>553</v>
      </c>
      <c r="B22" t="s">
        <v>1265</v>
      </c>
      <c r="C22" t="s">
        <v>975</v>
      </c>
      <c r="D22" t="s">
        <v>686</v>
      </c>
      <c r="E22" t="s">
        <v>1101</v>
      </c>
      <c r="F22" t="s">
        <v>1102</v>
      </c>
      <c r="G22" t="s">
        <v>377</v>
      </c>
      <c r="H22" t="s">
        <v>570</v>
      </c>
      <c r="I22" t="s">
        <v>190</v>
      </c>
      <c r="J22" s="41">
        <v>0</v>
      </c>
      <c r="K22" s="41">
        <v>80.8</v>
      </c>
      <c r="L22" t="s">
        <v>1263</v>
      </c>
      <c r="M22" t="s">
        <v>2227</v>
      </c>
      <c r="N22" t="s">
        <v>2268</v>
      </c>
    </row>
    <row r="23" spans="1:14" x14ac:dyDescent="0.3">
      <c r="A23" t="s">
        <v>553</v>
      </c>
      <c r="B23" t="s">
        <v>1265</v>
      </c>
      <c r="C23" t="s">
        <v>975</v>
      </c>
      <c r="D23" t="s">
        <v>686</v>
      </c>
      <c r="E23" t="s">
        <v>1101</v>
      </c>
      <c r="F23" t="s">
        <v>1102</v>
      </c>
      <c r="G23" t="s">
        <v>377</v>
      </c>
      <c r="H23" t="s">
        <v>570</v>
      </c>
      <c r="I23" t="s">
        <v>190</v>
      </c>
      <c r="J23" s="41">
        <v>20.68</v>
      </c>
      <c r="K23" s="41">
        <v>20.68</v>
      </c>
      <c r="L23" t="s">
        <v>1263</v>
      </c>
      <c r="M23" t="s">
        <v>2227</v>
      </c>
      <c r="N23" t="s">
        <v>2268</v>
      </c>
    </row>
    <row r="24" spans="1:14" x14ac:dyDescent="0.3">
      <c r="A24" t="s">
        <v>553</v>
      </c>
      <c r="B24" t="s">
        <v>1265</v>
      </c>
      <c r="C24" t="s">
        <v>975</v>
      </c>
      <c r="D24" t="s">
        <v>686</v>
      </c>
      <c r="E24" t="s">
        <v>1101</v>
      </c>
      <c r="F24" t="s">
        <v>1102</v>
      </c>
      <c r="G24" t="s">
        <v>377</v>
      </c>
      <c r="H24" t="s">
        <v>570</v>
      </c>
      <c r="I24" t="s">
        <v>190</v>
      </c>
      <c r="J24" s="41">
        <v>0</v>
      </c>
      <c r="K24" s="41">
        <v>114</v>
      </c>
      <c r="L24" t="s">
        <v>1263</v>
      </c>
      <c r="M24" t="s">
        <v>2227</v>
      </c>
      <c r="N24" t="s">
        <v>2268</v>
      </c>
    </row>
    <row r="25" spans="1:14" x14ac:dyDescent="0.3">
      <c r="A25" t="s">
        <v>553</v>
      </c>
      <c r="B25" t="s">
        <v>1265</v>
      </c>
      <c r="C25" t="s">
        <v>975</v>
      </c>
      <c r="D25" t="s">
        <v>686</v>
      </c>
      <c r="E25" t="s">
        <v>1101</v>
      </c>
      <c r="F25" t="s">
        <v>1102</v>
      </c>
      <c r="G25" t="s">
        <v>377</v>
      </c>
      <c r="H25" t="s">
        <v>570</v>
      </c>
      <c r="I25" t="s">
        <v>190</v>
      </c>
      <c r="J25" s="41">
        <v>0</v>
      </c>
      <c r="K25" s="41">
        <v>520</v>
      </c>
      <c r="L25" t="s">
        <v>1263</v>
      </c>
      <c r="M25" t="s">
        <v>2227</v>
      </c>
      <c r="N25" t="s">
        <v>2268</v>
      </c>
    </row>
    <row r="26" spans="1:14" x14ac:dyDescent="0.3">
      <c r="A26" t="s">
        <v>553</v>
      </c>
      <c r="B26" t="s">
        <v>1265</v>
      </c>
      <c r="C26" t="s">
        <v>975</v>
      </c>
      <c r="D26" t="s">
        <v>686</v>
      </c>
      <c r="E26" t="s">
        <v>1101</v>
      </c>
      <c r="F26" t="s">
        <v>1102</v>
      </c>
      <c r="G26" t="s">
        <v>377</v>
      </c>
      <c r="H26" t="s">
        <v>570</v>
      </c>
      <c r="I26" t="s">
        <v>190</v>
      </c>
      <c r="J26" s="41">
        <v>0</v>
      </c>
      <c r="K26" s="41">
        <v>6</v>
      </c>
      <c r="L26" t="s">
        <v>1263</v>
      </c>
      <c r="M26" t="s">
        <v>2227</v>
      </c>
      <c r="N26" t="s">
        <v>2268</v>
      </c>
    </row>
    <row r="27" spans="1:14" x14ac:dyDescent="0.3">
      <c r="A27" t="s">
        <v>553</v>
      </c>
      <c r="B27" t="s">
        <v>1265</v>
      </c>
      <c r="C27" t="s">
        <v>975</v>
      </c>
      <c r="D27" t="s">
        <v>686</v>
      </c>
      <c r="E27" t="s">
        <v>1101</v>
      </c>
      <c r="F27" t="s">
        <v>1102</v>
      </c>
      <c r="G27" t="s">
        <v>377</v>
      </c>
      <c r="H27" t="s">
        <v>570</v>
      </c>
      <c r="I27" t="s">
        <v>190</v>
      </c>
      <c r="J27" s="41">
        <v>226.33</v>
      </c>
      <c r="K27" s="41">
        <v>226.33</v>
      </c>
      <c r="L27" t="s">
        <v>1263</v>
      </c>
      <c r="M27" t="s">
        <v>2227</v>
      </c>
      <c r="N27" t="s">
        <v>2268</v>
      </c>
    </row>
    <row r="28" spans="1:14" x14ac:dyDescent="0.3">
      <c r="A28" t="s">
        <v>553</v>
      </c>
      <c r="B28" t="s">
        <v>1265</v>
      </c>
      <c r="C28" t="s">
        <v>975</v>
      </c>
      <c r="D28" t="s">
        <v>686</v>
      </c>
      <c r="E28" t="s">
        <v>1101</v>
      </c>
      <c r="F28" t="s">
        <v>1102</v>
      </c>
      <c r="G28" t="s">
        <v>377</v>
      </c>
      <c r="H28" t="s">
        <v>570</v>
      </c>
      <c r="I28" t="s">
        <v>190</v>
      </c>
      <c r="J28" s="41">
        <v>106.7</v>
      </c>
      <c r="K28" s="41">
        <v>386.7</v>
      </c>
      <c r="L28" t="s">
        <v>1263</v>
      </c>
      <c r="M28" t="s">
        <v>2227</v>
      </c>
      <c r="N28" t="s">
        <v>2268</v>
      </c>
    </row>
    <row r="29" spans="1:14" x14ac:dyDescent="0.3">
      <c r="A29" t="s">
        <v>553</v>
      </c>
      <c r="B29" t="s">
        <v>1265</v>
      </c>
      <c r="C29" t="s">
        <v>975</v>
      </c>
      <c r="D29" t="s">
        <v>686</v>
      </c>
      <c r="E29" t="s">
        <v>1101</v>
      </c>
      <c r="F29" t="s">
        <v>1102</v>
      </c>
      <c r="G29" t="s">
        <v>377</v>
      </c>
      <c r="H29" t="s">
        <v>570</v>
      </c>
      <c r="I29" t="s">
        <v>190</v>
      </c>
      <c r="J29" s="41">
        <v>150.72</v>
      </c>
      <c r="K29" s="41">
        <v>150.72</v>
      </c>
      <c r="L29" t="s">
        <v>1263</v>
      </c>
      <c r="M29" t="s">
        <v>2227</v>
      </c>
      <c r="N29" t="s">
        <v>2268</v>
      </c>
    </row>
    <row r="30" spans="1:14" x14ac:dyDescent="0.3">
      <c r="A30" t="s">
        <v>553</v>
      </c>
      <c r="B30" t="s">
        <v>1265</v>
      </c>
      <c r="C30" t="s">
        <v>975</v>
      </c>
      <c r="D30" t="s">
        <v>686</v>
      </c>
      <c r="E30" t="s">
        <v>1101</v>
      </c>
      <c r="F30" t="s">
        <v>1102</v>
      </c>
      <c r="G30" t="s">
        <v>377</v>
      </c>
      <c r="H30" t="s">
        <v>570</v>
      </c>
      <c r="I30" t="s">
        <v>190</v>
      </c>
      <c r="J30" s="41">
        <v>0</v>
      </c>
      <c r="K30" s="41">
        <v>24</v>
      </c>
      <c r="L30" t="s">
        <v>1263</v>
      </c>
      <c r="M30" t="s">
        <v>2227</v>
      </c>
      <c r="N30" t="s">
        <v>2268</v>
      </c>
    </row>
    <row r="31" spans="1:14" x14ac:dyDescent="0.3">
      <c r="A31" t="s">
        <v>553</v>
      </c>
      <c r="B31" t="s">
        <v>1265</v>
      </c>
      <c r="C31" t="s">
        <v>975</v>
      </c>
      <c r="D31" t="s">
        <v>686</v>
      </c>
      <c r="E31" t="s">
        <v>1101</v>
      </c>
      <c r="F31" t="s">
        <v>1102</v>
      </c>
      <c r="G31" t="s">
        <v>377</v>
      </c>
      <c r="H31" t="s">
        <v>570</v>
      </c>
      <c r="I31" t="s">
        <v>190</v>
      </c>
      <c r="J31" s="41">
        <v>0</v>
      </c>
      <c r="K31" s="41">
        <v>24</v>
      </c>
      <c r="L31" t="s">
        <v>1263</v>
      </c>
      <c r="M31" t="s">
        <v>2227</v>
      </c>
      <c r="N31" t="s">
        <v>2268</v>
      </c>
    </row>
    <row r="32" spans="1:14" x14ac:dyDescent="0.3">
      <c r="A32" t="s">
        <v>553</v>
      </c>
      <c r="B32" t="s">
        <v>1265</v>
      </c>
      <c r="C32" t="s">
        <v>975</v>
      </c>
      <c r="D32" t="s">
        <v>686</v>
      </c>
      <c r="E32" t="s">
        <v>1103</v>
      </c>
      <c r="F32" t="s">
        <v>1104</v>
      </c>
      <c r="G32" t="s">
        <v>377</v>
      </c>
      <c r="H32" t="s">
        <v>570</v>
      </c>
      <c r="I32" t="s">
        <v>190</v>
      </c>
      <c r="J32" s="41">
        <v>78</v>
      </c>
      <c r="K32" s="41">
        <v>78</v>
      </c>
      <c r="L32" t="s">
        <v>1263</v>
      </c>
      <c r="M32" t="s">
        <v>2227</v>
      </c>
      <c r="N32" t="s">
        <v>2268</v>
      </c>
    </row>
    <row r="33" spans="1:14" x14ac:dyDescent="0.3">
      <c r="A33" t="s">
        <v>553</v>
      </c>
      <c r="B33" t="s">
        <v>1265</v>
      </c>
      <c r="C33" t="s">
        <v>975</v>
      </c>
      <c r="D33" t="s">
        <v>686</v>
      </c>
      <c r="E33" t="s">
        <v>1105</v>
      </c>
      <c r="F33" t="s">
        <v>1106</v>
      </c>
      <c r="G33" t="s">
        <v>377</v>
      </c>
      <c r="H33" t="s">
        <v>571</v>
      </c>
      <c r="I33" t="s">
        <v>190</v>
      </c>
      <c r="J33" s="41">
        <v>0</v>
      </c>
      <c r="K33" s="41">
        <v>1.9</v>
      </c>
      <c r="L33" t="s">
        <v>1263</v>
      </c>
      <c r="M33" t="s">
        <v>1155</v>
      </c>
      <c r="N33" t="s">
        <v>2268</v>
      </c>
    </row>
    <row r="34" spans="1:14" x14ac:dyDescent="0.3">
      <c r="A34" t="s">
        <v>553</v>
      </c>
      <c r="B34" t="s">
        <v>1265</v>
      </c>
      <c r="C34" t="s">
        <v>975</v>
      </c>
      <c r="D34" t="s">
        <v>686</v>
      </c>
      <c r="E34" t="s">
        <v>1123</v>
      </c>
      <c r="F34" t="s">
        <v>717</v>
      </c>
      <c r="G34" t="s">
        <v>304</v>
      </c>
      <c r="H34" t="s">
        <v>561</v>
      </c>
      <c r="I34" t="s">
        <v>561</v>
      </c>
      <c r="J34" s="41">
        <v>11</v>
      </c>
      <c r="K34" s="41">
        <v>44.06</v>
      </c>
      <c r="L34" t="s">
        <v>1263</v>
      </c>
      <c r="M34" t="s">
        <v>2227</v>
      </c>
      <c r="N34" t="s">
        <v>2268</v>
      </c>
    </row>
    <row r="35" spans="1:14" x14ac:dyDescent="0.3">
      <c r="A35" t="s">
        <v>553</v>
      </c>
      <c r="B35" t="s">
        <v>1265</v>
      </c>
      <c r="C35" t="s">
        <v>975</v>
      </c>
      <c r="D35" t="s">
        <v>686</v>
      </c>
      <c r="E35" t="s">
        <v>1123</v>
      </c>
      <c r="F35" t="s">
        <v>717</v>
      </c>
      <c r="G35" t="s">
        <v>304</v>
      </c>
      <c r="H35" t="s">
        <v>561</v>
      </c>
      <c r="I35" t="s">
        <v>561</v>
      </c>
      <c r="J35" s="41">
        <v>0.35</v>
      </c>
      <c r="K35" s="41">
        <v>5.55</v>
      </c>
      <c r="L35" t="s">
        <v>1263</v>
      </c>
      <c r="M35" t="s">
        <v>2227</v>
      </c>
      <c r="N35" t="s">
        <v>2268</v>
      </c>
    </row>
    <row r="36" spans="1:14" x14ac:dyDescent="0.3">
      <c r="A36" t="s">
        <v>553</v>
      </c>
      <c r="B36" t="s">
        <v>1265</v>
      </c>
      <c r="C36" t="s">
        <v>975</v>
      </c>
      <c r="D36" t="s">
        <v>686</v>
      </c>
      <c r="E36" t="s">
        <v>1123</v>
      </c>
      <c r="F36" t="s">
        <v>717</v>
      </c>
      <c r="G36" t="s">
        <v>304</v>
      </c>
      <c r="H36" t="s">
        <v>561</v>
      </c>
      <c r="I36" t="s">
        <v>561</v>
      </c>
      <c r="J36" s="41">
        <v>80</v>
      </c>
      <c r="K36" s="41">
        <v>320</v>
      </c>
      <c r="L36" t="s">
        <v>1263</v>
      </c>
      <c r="M36" t="s">
        <v>2227</v>
      </c>
      <c r="N36" t="s">
        <v>2268</v>
      </c>
    </row>
    <row r="37" spans="1:14" x14ac:dyDescent="0.3">
      <c r="A37" t="s">
        <v>553</v>
      </c>
      <c r="B37" t="s">
        <v>1373</v>
      </c>
      <c r="C37" t="s">
        <v>974</v>
      </c>
      <c r="D37" t="s">
        <v>496</v>
      </c>
      <c r="E37" t="s">
        <v>1060</v>
      </c>
      <c r="F37" t="s">
        <v>1061</v>
      </c>
      <c r="G37" t="s">
        <v>309</v>
      </c>
      <c r="H37" t="s">
        <v>565</v>
      </c>
      <c r="I37" t="s">
        <v>2225</v>
      </c>
      <c r="J37" s="41">
        <v>2592.17</v>
      </c>
      <c r="K37" s="41">
        <v>10368.68</v>
      </c>
      <c r="L37" t="s">
        <v>1372</v>
      </c>
      <c r="M37" t="s">
        <v>2227</v>
      </c>
      <c r="N37" t="s">
        <v>2268</v>
      </c>
    </row>
    <row r="38" spans="1:14" x14ac:dyDescent="0.3">
      <c r="A38" t="s">
        <v>553</v>
      </c>
      <c r="B38" t="s">
        <v>1373</v>
      </c>
      <c r="C38" t="s">
        <v>974</v>
      </c>
      <c r="D38" t="s">
        <v>496</v>
      </c>
      <c r="E38" t="s">
        <v>1075</v>
      </c>
      <c r="F38" t="s">
        <v>1076</v>
      </c>
      <c r="G38" t="s">
        <v>309</v>
      </c>
      <c r="H38" t="s">
        <v>570</v>
      </c>
      <c r="I38" t="s">
        <v>2225</v>
      </c>
      <c r="J38" s="41">
        <v>37.979999999999997</v>
      </c>
      <c r="K38" s="41">
        <v>64.790000000000006</v>
      </c>
      <c r="L38" t="s">
        <v>1372</v>
      </c>
      <c r="M38" t="s">
        <v>2227</v>
      </c>
      <c r="N38" t="s">
        <v>2268</v>
      </c>
    </row>
    <row r="39" spans="1:14" x14ac:dyDescent="0.3">
      <c r="A39" t="s">
        <v>553</v>
      </c>
      <c r="B39" t="s">
        <v>1373</v>
      </c>
      <c r="C39" t="s">
        <v>974</v>
      </c>
      <c r="D39" t="s">
        <v>496</v>
      </c>
      <c r="E39" t="s">
        <v>1075</v>
      </c>
      <c r="F39" t="s">
        <v>1076</v>
      </c>
      <c r="G39" t="s">
        <v>309</v>
      </c>
      <c r="H39" t="s">
        <v>570</v>
      </c>
      <c r="I39" t="s">
        <v>2225</v>
      </c>
      <c r="J39" s="41">
        <v>0</v>
      </c>
      <c r="K39" s="41">
        <v>35.04</v>
      </c>
      <c r="L39" t="s">
        <v>1372</v>
      </c>
      <c r="M39" t="s">
        <v>2227</v>
      </c>
      <c r="N39" t="s">
        <v>2268</v>
      </c>
    </row>
    <row r="40" spans="1:14" x14ac:dyDescent="0.3">
      <c r="A40" t="s">
        <v>553</v>
      </c>
      <c r="B40" t="s">
        <v>1373</v>
      </c>
      <c r="C40" t="s">
        <v>974</v>
      </c>
      <c r="D40" t="s">
        <v>496</v>
      </c>
      <c r="E40" t="s">
        <v>1075</v>
      </c>
      <c r="F40" t="s">
        <v>1076</v>
      </c>
      <c r="G40" t="s">
        <v>309</v>
      </c>
      <c r="H40" t="s">
        <v>570</v>
      </c>
      <c r="I40" t="s">
        <v>2225</v>
      </c>
      <c r="J40" s="41">
        <v>22.14</v>
      </c>
      <c r="K40" s="41">
        <v>22.14</v>
      </c>
      <c r="L40" t="s">
        <v>1372</v>
      </c>
      <c r="M40" t="s">
        <v>2227</v>
      </c>
      <c r="N40" t="s">
        <v>2268</v>
      </c>
    </row>
    <row r="41" spans="1:14" x14ac:dyDescent="0.3">
      <c r="A41" t="s">
        <v>553</v>
      </c>
      <c r="B41" t="s">
        <v>1373</v>
      </c>
      <c r="C41" t="s">
        <v>974</v>
      </c>
      <c r="D41" t="s">
        <v>496</v>
      </c>
      <c r="E41" t="s">
        <v>1075</v>
      </c>
      <c r="F41" t="s">
        <v>1076</v>
      </c>
      <c r="G41" t="s">
        <v>309</v>
      </c>
      <c r="H41" t="s">
        <v>570</v>
      </c>
      <c r="I41" t="s">
        <v>2225</v>
      </c>
      <c r="J41" s="41">
        <v>13.54</v>
      </c>
      <c r="K41" s="41">
        <v>13.54</v>
      </c>
      <c r="L41" t="s">
        <v>1372</v>
      </c>
      <c r="M41" t="s">
        <v>2227</v>
      </c>
      <c r="N41" t="s">
        <v>2268</v>
      </c>
    </row>
    <row r="42" spans="1:14" x14ac:dyDescent="0.3">
      <c r="A42" t="s">
        <v>553</v>
      </c>
      <c r="B42" t="s">
        <v>1373</v>
      </c>
      <c r="C42" t="s">
        <v>974</v>
      </c>
      <c r="D42" t="s">
        <v>496</v>
      </c>
      <c r="E42" t="s">
        <v>1060</v>
      </c>
      <c r="F42" t="s">
        <v>1061</v>
      </c>
      <c r="G42" t="s">
        <v>309</v>
      </c>
      <c r="H42" t="s">
        <v>565</v>
      </c>
      <c r="I42" t="s">
        <v>2225</v>
      </c>
      <c r="J42" s="41">
        <v>0</v>
      </c>
      <c r="K42" s="41">
        <v>7600</v>
      </c>
      <c r="L42" t="s">
        <v>1372</v>
      </c>
      <c r="M42" t="s">
        <v>2227</v>
      </c>
      <c r="N42" t="s">
        <v>2268</v>
      </c>
    </row>
    <row r="43" spans="1:14" x14ac:dyDescent="0.3">
      <c r="A43" t="s">
        <v>553</v>
      </c>
      <c r="B43" t="s">
        <v>1373</v>
      </c>
      <c r="C43" t="s">
        <v>974</v>
      </c>
      <c r="D43" t="s">
        <v>496</v>
      </c>
      <c r="E43" t="s">
        <v>1060</v>
      </c>
      <c r="F43" t="s">
        <v>1061</v>
      </c>
      <c r="G43" t="s">
        <v>309</v>
      </c>
      <c r="H43" t="s">
        <v>565</v>
      </c>
      <c r="I43" t="s">
        <v>2225</v>
      </c>
      <c r="J43" s="41">
        <v>0</v>
      </c>
      <c r="K43" s="41">
        <v>276.06</v>
      </c>
      <c r="L43" t="s">
        <v>1372</v>
      </c>
      <c r="M43" t="s">
        <v>2227</v>
      </c>
      <c r="N43" t="s">
        <v>2268</v>
      </c>
    </row>
    <row r="44" spans="1:14" x14ac:dyDescent="0.3">
      <c r="A44" t="s">
        <v>553</v>
      </c>
      <c r="B44" t="s">
        <v>1373</v>
      </c>
      <c r="C44" t="s">
        <v>974</v>
      </c>
      <c r="D44" t="s">
        <v>496</v>
      </c>
      <c r="E44" t="s">
        <v>1060</v>
      </c>
      <c r="F44" t="s">
        <v>1061</v>
      </c>
      <c r="G44" t="s">
        <v>309</v>
      </c>
      <c r="H44" t="s">
        <v>565</v>
      </c>
      <c r="I44" t="s">
        <v>2225</v>
      </c>
      <c r="J44" s="41">
        <v>13.9</v>
      </c>
      <c r="K44" s="41">
        <v>13.9</v>
      </c>
      <c r="L44" t="s">
        <v>1372</v>
      </c>
      <c r="M44" t="s">
        <v>2227</v>
      </c>
      <c r="N44" t="s">
        <v>2268</v>
      </c>
    </row>
    <row r="45" spans="1:14" x14ac:dyDescent="0.3">
      <c r="A45" t="s">
        <v>553</v>
      </c>
      <c r="B45" t="s">
        <v>1373</v>
      </c>
      <c r="C45" t="s">
        <v>974</v>
      </c>
      <c r="D45" t="s">
        <v>496</v>
      </c>
      <c r="E45" t="s">
        <v>1060</v>
      </c>
      <c r="F45" t="s">
        <v>1061</v>
      </c>
      <c r="G45" t="s">
        <v>309</v>
      </c>
      <c r="H45" t="s">
        <v>565</v>
      </c>
      <c r="I45" t="s">
        <v>2225</v>
      </c>
      <c r="J45" s="41">
        <v>15.3</v>
      </c>
      <c r="K45" s="41">
        <v>15.3</v>
      </c>
      <c r="L45" t="s">
        <v>1372</v>
      </c>
      <c r="M45" t="s">
        <v>2227</v>
      </c>
      <c r="N45" t="s">
        <v>2268</v>
      </c>
    </row>
    <row r="46" spans="1:14" x14ac:dyDescent="0.3">
      <c r="A46" t="s">
        <v>553</v>
      </c>
      <c r="B46" t="s">
        <v>1373</v>
      </c>
      <c r="C46" t="s">
        <v>974</v>
      </c>
      <c r="D46" t="s">
        <v>496</v>
      </c>
      <c r="E46" t="s">
        <v>1060</v>
      </c>
      <c r="F46" t="s">
        <v>1061</v>
      </c>
      <c r="G46" t="s">
        <v>309</v>
      </c>
      <c r="H46" t="s">
        <v>565</v>
      </c>
      <c r="I46" t="s">
        <v>2225</v>
      </c>
      <c r="J46" s="41">
        <v>1374.9</v>
      </c>
      <c r="K46" s="41">
        <v>1507.28</v>
      </c>
      <c r="L46" t="s">
        <v>1372</v>
      </c>
      <c r="M46" t="s">
        <v>2227</v>
      </c>
      <c r="N46" t="s">
        <v>2268</v>
      </c>
    </row>
    <row r="47" spans="1:14" x14ac:dyDescent="0.3">
      <c r="A47" t="s">
        <v>553</v>
      </c>
      <c r="B47" t="s">
        <v>1373</v>
      </c>
      <c r="C47" t="s">
        <v>974</v>
      </c>
      <c r="D47" t="s">
        <v>496</v>
      </c>
      <c r="E47" t="s">
        <v>1060</v>
      </c>
      <c r="F47" t="s">
        <v>1061</v>
      </c>
      <c r="G47" t="s">
        <v>309</v>
      </c>
      <c r="H47" t="s">
        <v>565</v>
      </c>
      <c r="I47" t="s">
        <v>2225</v>
      </c>
      <c r="J47" s="41">
        <v>0</v>
      </c>
      <c r="K47" s="41">
        <v>122.93</v>
      </c>
      <c r="L47" t="s">
        <v>1372</v>
      </c>
      <c r="M47" t="s">
        <v>2227</v>
      </c>
      <c r="N47" t="s">
        <v>2268</v>
      </c>
    </row>
    <row r="48" spans="1:14" x14ac:dyDescent="0.3">
      <c r="A48" t="s">
        <v>553</v>
      </c>
      <c r="B48" t="s">
        <v>1373</v>
      </c>
      <c r="C48" t="s">
        <v>974</v>
      </c>
      <c r="D48" t="s">
        <v>496</v>
      </c>
      <c r="E48" t="s">
        <v>1060</v>
      </c>
      <c r="F48" t="s">
        <v>1061</v>
      </c>
      <c r="G48" t="s">
        <v>309</v>
      </c>
      <c r="H48" t="s">
        <v>565</v>
      </c>
      <c r="I48" t="s">
        <v>2225</v>
      </c>
      <c r="J48" s="41">
        <v>637.33000000000004</v>
      </c>
      <c r="K48" s="41">
        <v>2879.32</v>
      </c>
      <c r="L48" t="s">
        <v>1372</v>
      </c>
      <c r="M48" t="s">
        <v>2227</v>
      </c>
      <c r="N48" t="s">
        <v>2268</v>
      </c>
    </row>
    <row r="49" spans="1:14" x14ac:dyDescent="0.3">
      <c r="A49" t="s">
        <v>553</v>
      </c>
      <c r="B49" t="s">
        <v>1373</v>
      </c>
      <c r="C49" t="s">
        <v>974</v>
      </c>
      <c r="D49" t="s">
        <v>496</v>
      </c>
      <c r="E49" t="s">
        <v>1062</v>
      </c>
      <c r="F49" t="s">
        <v>1063</v>
      </c>
      <c r="G49" t="s">
        <v>309</v>
      </c>
      <c r="H49" t="s">
        <v>566</v>
      </c>
      <c r="I49" t="s">
        <v>2225</v>
      </c>
      <c r="J49" s="41">
        <v>0</v>
      </c>
      <c r="K49" s="41">
        <v>445</v>
      </c>
      <c r="L49" t="s">
        <v>1372</v>
      </c>
      <c r="M49" t="s">
        <v>2227</v>
      </c>
      <c r="N49" t="s">
        <v>2268</v>
      </c>
    </row>
    <row r="50" spans="1:14" x14ac:dyDescent="0.3">
      <c r="A50" t="s">
        <v>553</v>
      </c>
      <c r="B50" t="s">
        <v>1373</v>
      </c>
      <c r="C50" t="s">
        <v>974</v>
      </c>
      <c r="D50" t="s">
        <v>496</v>
      </c>
      <c r="E50" t="s">
        <v>1064</v>
      </c>
      <c r="F50" t="s">
        <v>1065</v>
      </c>
      <c r="G50" t="s">
        <v>309</v>
      </c>
      <c r="H50" t="s">
        <v>571</v>
      </c>
      <c r="I50" t="s">
        <v>2225</v>
      </c>
      <c r="J50" s="41">
        <v>0</v>
      </c>
      <c r="K50" s="41">
        <v>4024.05</v>
      </c>
      <c r="L50" t="s">
        <v>1372</v>
      </c>
      <c r="M50" t="s">
        <v>2227</v>
      </c>
      <c r="N50" t="s">
        <v>2268</v>
      </c>
    </row>
    <row r="51" spans="1:14" x14ac:dyDescent="0.3">
      <c r="A51" t="s">
        <v>553</v>
      </c>
      <c r="B51" t="s">
        <v>1373</v>
      </c>
      <c r="C51" t="s">
        <v>974</v>
      </c>
      <c r="D51" t="s">
        <v>496</v>
      </c>
      <c r="E51" t="s">
        <v>1069</v>
      </c>
      <c r="F51" t="s">
        <v>1070</v>
      </c>
      <c r="G51" t="s">
        <v>309</v>
      </c>
      <c r="H51" t="s">
        <v>569</v>
      </c>
      <c r="I51" t="s">
        <v>2225</v>
      </c>
      <c r="J51" s="41">
        <v>0</v>
      </c>
      <c r="K51" s="41">
        <v>225.35</v>
      </c>
      <c r="L51" t="s">
        <v>1372</v>
      </c>
      <c r="M51" t="s">
        <v>2227</v>
      </c>
      <c r="N51" t="s">
        <v>2268</v>
      </c>
    </row>
    <row r="52" spans="1:14" x14ac:dyDescent="0.3">
      <c r="A52" t="s">
        <v>553</v>
      </c>
      <c r="B52" t="s">
        <v>1373</v>
      </c>
      <c r="C52" t="s">
        <v>974</v>
      </c>
      <c r="D52" t="s">
        <v>496</v>
      </c>
      <c r="E52" t="s">
        <v>1069</v>
      </c>
      <c r="F52" t="s">
        <v>1070</v>
      </c>
      <c r="G52" t="s">
        <v>309</v>
      </c>
      <c r="H52" t="s">
        <v>569</v>
      </c>
      <c r="I52" t="s">
        <v>2225</v>
      </c>
      <c r="J52" s="41">
        <v>0</v>
      </c>
      <c r="K52" s="41">
        <v>191.4</v>
      </c>
      <c r="L52" t="s">
        <v>1372</v>
      </c>
      <c r="M52" t="s">
        <v>2227</v>
      </c>
      <c r="N52" t="s">
        <v>2268</v>
      </c>
    </row>
    <row r="53" spans="1:14" x14ac:dyDescent="0.3">
      <c r="A53" t="s">
        <v>553</v>
      </c>
      <c r="B53" t="s">
        <v>1373</v>
      </c>
      <c r="C53" t="s">
        <v>974</v>
      </c>
      <c r="D53" t="s">
        <v>496</v>
      </c>
      <c r="E53" t="s">
        <v>1069</v>
      </c>
      <c r="F53" t="s">
        <v>1070</v>
      </c>
      <c r="G53" t="s">
        <v>309</v>
      </c>
      <c r="H53" t="s">
        <v>569</v>
      </c>
      <c r="I53" t="s">
        <v>2225</v>
      </c>
      <c r="J53" s="41">
        <v>32.1</v>
      </c>
      <c r="K53" s="41">
        <v>32.1</v>
      </c>
      <c r="L53" t="s">
        <v>1372</v>
      </c>
      <c r="M53" t="s">
        <v>2227</v>
      </c>
      <c r="N53" t="s">
        <v>2268</v>
      </c>
    </row>
    <row r="54" spans="1:14" x14ac:dyDescent="0.3">
      <c r="A54" t="s">
        <v>553</v>
      </c>
      <c r="B54" t="s">
        <v>1373</v>
      </c>
      <c r="C54" t="s">
        <v>974</v>
      </c>
      <c r="D54" t="s">
        <v>496</v>
      </c>
      <c r="E54" t="s">
        <v>1069</v>
      </c>
      <c r="F54" t="s">
        <v>1070</v>
      </c>
      <c r="G54" t="s">
        <v>309</v>
      </c>
      <c r="H54" t="s">
        <v>569</v>
      </c>
      <c r="I54" t="s">
        <v>2225</v>
      </c>
      <c r="J54" s="41">
        <v>20</v>
      </c>
      <c r="K54" s="41">
        <v>80</v>
      </c>
      <c r="L54" t="s">
        <v>1372</v>
      </c>
      <c r="M54" t="s">
        <v>2227</v>
      </c>
      <c r="N54" t="s">
        <v>2268</v>
      </c>
    </row>
    <row r="55" spans="1:14" x14ac:dyDescent="0.3">
      <c r="A55" t="s">
        <v>553</v>
      </c>
      <c r="B55" t="s">
        <v>1373</v>
      </c>
      <c r="C55" t="s">
        <v>974</v>
      </c>
      <c r="D55" t="s">
        <v>496</v>
      </c>
      <c r="E55" t="s">
        <v>1069</v>
      </c>
      <c r="F55" t="s">
        <v>1070</v>
      </c>
      <c r="G55" t="s">
        <v>309</v>
      </c>
      <c r="H55" t="s">
        <v>569</v>
      </c>
      <c r="I55" t="s">
        <v>2225</v>
      </c>
      <c r="J55" s="41">
        <v>957.65</v>
      </c>
      <c r="K55" s="41">
        <v>957.65</v>
      </c>
      <c r="L55" t="s">
        <v>1372</v>
      </c>
      <c r="M55" t="s">
        <v>2227</v>
      </c>
      <c r="N55" t="s">
        <v>2268</v>
      </c>
    </row>
    <row r="56" spans="1:14" x14ac:dyDescent="0.3">
      <c r="A56" t="s">
        <v>553</v>
      </c>
      <c r="B56" t="s">
        <v>1373</v>
      </c>
      <c r="C56" t="s">
        <v>974</v>
      </c>
      <c r="D56" t="s">
        <v>496</v>
      </c>
      <c r="E56" t="s">
        <v>1073</v>
      </c>
      <c r="F56" t="s">
        <v>1074</v>
      </c>
      <c r="G56" t="s">
        <v>309</v>
      </c>
      <c r="H56" t="s">
        <v>569</v>
      </c>
      <c r="I56" t="s">
        <v>2225</v>
      </c>
      <c r="J56" s="41">
        <v>11.54</v>
      </c>
      <c r="K56" s="41">
        <v>45.83</v>
      </c>
      <c r="L56" t="s">
        <v>1372</v>
      </c>
      <c r="M56" t="s">
        <v>2227</v>
      </c>
      <c r="N56" t="s">
        <v>2268</v>
      </c>
    </row>
    <row r="57" spans="1:14" x14ac:dyDescent="0.3">
      <c r="A57" t="s">
        <v>553</v>
      </c>
      <c r="B57" t="s">
        <v>1373</v>
      </c>
      <c r="C57" t="s">
        <v>974</v>
      </c>
      <c r="D57" t="s">
        <v>496</v>
      </c>
      <c r="E57" t="s">
        <v>1077</v>
      </c>
      <c r="F57" t="s">
        <v>1078</v>
      </c>
      <c r="G57" t="s">
        <v>309</v>
      </c>
      <c r="H57" t="s">
        <v>569</v>
      </c>
      <c r="I57" t="s">
        <v>2225</v>
      </c>
      <c r="J57" s="41">
        <v>181.67</v>
      </c>
      <c r="K57" s="41">
        <v>759.94</v>
      </c>
      <c r="L57" t="s">
        <v>1372</v>
      </c>
      <c r="M57" t="s">
        <v>1155</v>
      </c>
      <c r="N57" t="s">
        <v>2268</v>
      </c>
    </row>
    <row r="58" spans="1:14" x14ac:dyDescent="0.3">
      <c r="A58" t="s">
        <v>553</v>
      </c>
      <c r="B58" t="s">
        <v>1373</v>
      </c>
      <c r="C58" t="s">
        <v>974</v>
      </c>
      <c r="D58" t="s">
        <v>496</v>
      </c>
      <c r="E58" t="s">
        <v>1079</v>
      </c>
      <c r="F58" t="s">
        <v>1080</v>
      </c>
      <c r="G58" t="s">
        <v>309</v>
      </c>
      <c r="H58" t="s">
        <v>571</v>
      </c>
      <c r="I58" t="s">
        <v>2225</v>
      </c>
      <c r="J58" s="41">
        <v>0</v>
      </c>
      <c r="K58" s="41">
        <v>35.1</v>
      </c>
      <c r="L58" t="s">
        <v>1372</v>
      </c>
      <c r="M58" t="s">
        <v>2227</v>
      </c>
      <c r="N58" t="s">
        <v>2268</v>
      </c>
    </row>
    <row r="59" spans="1:14" x14ac:dyDescent="0.3">
      <c r="A59" t="s">
        <v>553</v>
      </c>
      <c r="B59" t="s">
        <v>1373</v>
      </c>
      <c r="C59" t="s">
        <v>974</v>
      </c>
      <c r="D59" t="s">
        <v>496</v>
      </c>
      <c r="E59" t="s">
        <v>1079</v>
      </c>
      <c r="F59" t="s">
        <v>1080</v>
      </c>
      <c r="G59" t="s">
        <v>309</v>
      </c>
      <c r="H59" t="s">
        <v>571</v>
      </c>
      <c r="I59" t="s">
        <v>2225</v>
      </c>
      <c r="J59" s="41">
        <v>0</v>
      </c>
      <c r="K59" s="41">
        <v>82.58</v>
      </c>
      <c r="L59" t="s">
        <v>1372</v>
      </c>
      <c r="M59" t="s">
        <v>2227</v>
      </c>
      <c r="N59" t="s">
        <v>2268</v>
      </c>
    </row>
    <row r="60" spans="1:14" x14ac:dyDescent="0.3">
      <c r="A60" t="s">
        <v>553</v>
      </c>
      <c r="B60" t="s">
        <v>1373</v>
      </c>
      <c r="C60" t="s">
        <v>974</v>
      </c>
      <c r="D60" t="s">
        <v>496</v>
      </c>
      <c r="E60" t="s">
        <v>1081</v>
      </c>
      <c r="F60" t="s">
        <v>1082</v>
      </c>
      <c r="G60" t="s">
        <v>309</v>
      </c>
      <c r="H60" t="s">
        <v>571</v>
      </c>
      <c r="I60" t="s">
        <v>2225</v>
      </c>
      <c r="J60" s="41">
        <v>129.16</v>
      </c>
      <c r="K60" s="41">
        <v>254.29</v>
      </c>
      <c r="L60" t="s">
        <v>1372</v>
      </c>
      <c r="M60" t="s">
        <v>1155</v>
      </c>
      <c r="N60" t="s">
        <v>2268</v>
      </c>
    </row>
    <row r="61" spans="1:14" x14ac:dyDescent="0.3">
      <c r="A61" t="s">
        <v>553</v>
      </c>
      <c r="B61" t="s">
        <v>1373</v>
      </c>
      <c r="C61" t="s">
        <v>974</v>
      </c>
      <c r="D61" t="s">
        <v>496</v>
      </c>
      <c r="E61" t="s">
        <v>1081</v>
      </c>
      <c r="F61" t="s">
        <v>1082</v>
      </c>
      <c r="G61" t="s">
        <v>309</v>
      </c>
      <c r="H61" t="s">
        <v>571</v>
      </c>
      <c r="I61" t="s">
        <v>2225</v>
      </c>
      <c r="J61" s="41">
        <v>0</v>
      </c>
      <c r="K61" s="41">
        <v>63.15</v>
      </c>
      <c r="L61" t="s">
        <v>1372</v>
      </c>
      <c r="M61" t="s">
        <v>1155</v>
      </c>
      <c r="N61" t="s">
        <v>2268</v>
      </c>
    </row>
    <row r="62" spans="1:14" x14ac:dyDescent="0.3">
      <c r="A62" t="s">
        <v>553</v>
      </c>
      <c r="B62" t="s">
        <v>1373</v>
      </c>
      <c r="C62" t="s">
        <v>974</v>
      </c>
      <c r="D62" t="s">
        <v>496</v>
      </c>
      <c r="E62" t="s">
        <v>1081</v>
      </c>
      <c r="F62" t="s">
        <v>1082</v>
      </c>
      <c r="G62" t="s">
        <v>309</v>
      </c>
      <c r="H62" t="s">
        <v>571</v>
      </c>
      <c r="I62" t="s">
        <v>2225</v>
      </c>
      <c r="J62" s="41">
        <v>55.93</v>
      </c>
      <c r="K62" s="41">
        <v>55.93</v>
      </c>
      <c r="L62" t="s">
        <v>1372</v>
      </c>
      <c r="M62" t="s">
        <v>1155</v>
      </c>
      <c r="N62" t="s">
        <v>2268</v>
      </c>
    </row>
    <row r="63" spans="1:14" x14ac:dyDescent="0.3">
      <c r="A63" t="s">
        <v>553</v>
      </c>
      <c r="B63" t="s">
        <v>1373</v>
      </c>
      <c r="C63" t="s">
        <v>974</v>
      </c>
      <c r="D63" t="s">
        <v>496</v>
      </c>
      <c r="E63" t="s">
        <v>1081</v>
      </c>
      <c r="F63" t="s">
        <v>1082</v>
      </c>
      <c r="G63" t="s">
        <v>309</v>
      </c>
      <c r="H63" t="s">
        <v>571</v>
      </c>
      <c r="I63" t="s">
        <v>2225</v>
      </c>
      <c r="J63" s="41">
        <v>145.96</v>
      </c>
      <c r="K63" s="41">
        <v>145.96</v>
      </c>
      <c r="L63" t="s">
        <v>1372</v>
      </c>
      <c r="M63" t="s">
        <v>1155</v>
      </c>
      <c r="N63" t="s">
        <v>2268</v>
      </c>
    </row>
    <row r="64" spans="1:14" x14ac:dyDescent="0.3">
      <c r="A64" t="s">
        <v>553</v>
      </c>
      <c r="B64" t="s">
        <v>1373</v>
      </c>
      <c r="C64" t="s">
        <v>974</v>
      </c>
      <c r="D64" t="s">
        <v>496</v>
      </c>
      <c r="E64" t="s">
        <v>1081</v>
      </c>
      <c r="F64" t="s">
        <v>1082</v>
      </c>
      <c r="G64" t="s">
        <v>309</v>
      </c>
      <c r="H64" t="s">
        <v>571</v>
      </c>
      <c r="I64" t="s">
        <v>2225</v>
      </c>
      <c r="J64" s="41">
        <v>92.97</v>
      </c>
      <c r="K64" s="41">
        <v>92.97</v>
      </c>
      <c r="L64" t="s">
        <v>1372</v>
      </c>
      <c r="M64" t="s">
        <v>1155</v>
      </c>
      <c r="N64" t="s">
        <v>2268</v>
      </c>
    </row>
    <row r="65" spans="1:14" x14ac:dyDescent="0.3">
      <c r="A65" t="s">
        <v>553</v>
      </c>
      <c r="B65" t="s">
        <v>1373</v>
      </c>
      <c r="C65" t="s">
        <v>974</v>
      </c>
      <c r="D65" t="s">
        <v>496</v>
      </c>
      <c r="E65" t="s">
        <v>1081</v>
      </c>
      <c r="F65" t="s">
        <v>1082</v>
      </c>
      <c r="G65" t="s">
        <v>309</v>
      </c>
      <c r="H65" t="s">
        <v>571</v>
      </c>
      <c r="I65" t="s">
        <v>2225</v>
      </c>
      <c r="J65" s="41">
        <v>122.49</v>
      </c>
      <c r="K65" s="41">
        <v>122.49</v>
      </c>
      <c r="L65" t="s">
        <v>1372</v>
      </c>
      <c r="M65" t="s">
        <v>1155</v>
      </c>
      <c r="N65" t="s">
        <v>2268</v>
      </c>
    </row>
    <row r="66" spans="1:14" x14ac:dyDescent="0.3">
      <c r="A66" t="s">
        <v>553</v>
      </c>
      <c r="B66" t="s">
        <v>1373</v>
      </c>
      <c r="C66" t="s">
        <v>974</v>
      </c>
      <c r="D66" t="s">
        <v>496</v>
      </c>
      <c r="E66" t="s">
        <v>1081</v>
      </c>
      <c r="F66" t="s">
        <v>1082</v>
      </c>
      <c r="G66" t="s">
        <v>309</v>
      </c>
      <c r="H66" t="s">
        <v>571</v>
      </c>
      <c r="I66" t="s">
        <v>2225</v>
      </c>
      <c r="J66" s="41">
        <v>184.6</v>
      </c>
      <c r="K66" s="41">
        <v>184.6</v>
      </c>
      <c r="L66" t="s">
        <v>1372</v>
      </c>
      <c r="M66" t="s">
        <v>1155</v>
      </c>
      <c r="N66" t="s">
        <v>2268</v>
      </c>
    </row>
    <row r="67" spans="1:14" x14ac:dyDescent="0.3">
      <c r="A67" t="s">
        <v>553</v>
      </c>
      <c r="B67" t="s">
        <v>1373</v>
      </c>
      <c r="C67" t="s">
        <v>974</v>
      </c>
      <c r="D67" t="s">
        <v>496</v>
      </c>
      <c r="E67" t="s">
        <v>1081</v>
      </c>
      <c r="F67" t="s">
        <v>1082</v>
      </c>
      <c r="G67" t="s">
        <v>309</v>
      </c>
      <c r="H67" t="s">
        <v>571</v>
      </c>
      <c r="I67" t="s">
        <v>2225</v>
      </c>
      <c r="J67" s="41">
        <v>80.39</v>
      </c>
      <c r="K67" s="41">
        <v>80.39</v>
      </c>
      <c r="L67" t="s">
        <v>1372</v>
      </c>
      <c r="M67" t="s">
        <v>1155</v>
      </c>
      <c r="N67" t="s">
        <v>2268</v>
      </c>
    </row>
    <row r="68" spans="1:14" x14ac:dyDescent="0.3">
      <c r="A68" t="s">
        <v>553</v>
      </c>
      <c r="B68" t="s">
        <v>1373</v>
      </c>
      <c r="C68" t="s">
        <v>974</v>
      </c>
      <c r="D68" t="s">
        <v>496</v>
      </c>
      <c r="E68" t="s">
        <v>1081</v>
      </c>
      <c r="F68" t="s">
        <v>1082</v>
      </c>
      <c r="G68" t="s">
        <v>309</v>
      </c>
      <c r="H68" t="s">
        <v>571</v>
      </c>
      <c r="I68" t="s">
        <v>2225</v>
      </c>
      <c r="J68" s="41">
        <v>34.92</v>
      </c>
      <c r="K68" s="41">
        <v>34.92</v>
      </c>
      <c r="L68" t="s">
        <v>1372</v>
      </c>
      <c r="M68" t="s">
        <v>1155</v>
      </c>
      <c r="N68" t="s">
        <v>2268</v>
      </c>
    </row>
    <row r="69" spans="1:14" x14ac:dyDescent="0.3">
      <c r="A69" t="s">
        <v>553</v>
      </c>
      <c r="B69" t="s">
        <v>1373</v>
      </c>
      <c r="C69" t="s">
        <v>974</v>
      </c>
      <c r="D69" t="s">
        <v>496</v>
      </c>
      <c r="E69" t="s">
        <v>1081</v>
      </c>
      <c r="F69" t="s">
        <v>1082</v>
      </c>
      <c r="G69" t="s">
        <v>309</v>
      </c>
      <c r="H69" t="s">
        <v>571</v>
      </c>
      <c r="I69" t="s">
        <v>2225</v>
      </c>
      <c r="J69" s="41">
        <v>0</v>
      </c>
      <c r="K69" s="41">
        <v>177.68</v>
      </c>
      <c r="L69" t="s">
        <v>1372</v>
      </c>
      <c r="M69" t="s">
        <v>1155</v>
      </c>
      <c r="N69" t="s">
        <v>2268</v>
      </c>
    </row>
    <row r="70" spans="1:14" x14ac:dyDescent="0.3">
      <c r="A70" t="s">
        <v>553</v>
      </c>
      <c r="B70" t="s">
        <v>1373</v>
      </c>
      <c r="C70" t="s">
        <v>974</v>
      </c>
      <c r="D70" t="s">
        <v>496</v>
      </c>
      <c r="E70" t="s">
        <v>1081</v>
      </c>
      <c r="F70" t="s">
        <v>1082</v>
      </c>
      <c r="G70" t="s">
        <v>309</v>
      </c>
      <c r="H70" t="s">
        <v>571</v>
      </c>
      <c r="I70" t="s">
        <v>2225</v>
      </c>
      <c r="J70" s="41">
        <v>0</v>
      </c>
      <c r="K70" s="41">
        <v>248</v>
      </c>
      <c r="L70" t="s">
        <v>1372</v>
      </c>
      <c r="M70" t="s">
        <v>1155</v>
      </c>
      <c r="N70" t="s">
        <v>2268</v>
      </c>
    </row>
    <row r="71" spans="1:14" x14ac:dyDescent="0.3">
      <c r="A71" t="s">
        <v>553</v>
      </c>
      <c r="B71" t="s">
        <v>1373</v>
      </c>
      <c r="C71" t="s">
        <v>974</v>
      </c>
      <c r="D71" t="s">
        <v>496</v>
      </c>
      <c r="E71" t="s">
        <v>1081</v>
      </c>
      <c r="F71" t="s">
        <v>1082</v>
      </c>
      <c r="G71" t="s">
        <v>309</v>
      </c>
      <c r="H71" t="s">
        <v>571</v>
      </c>
      <c r="I71" t="s">
        <v>2225</v>
      </c>
      <c r="J71" s="41">
        <v>0</v>
      </c>
      <c r="K71" s="41">
        <v>30.09</v>
      </c>
      <c r="L71" t="s">
        <v>1372</v>
      </c>
      <c r="M71" t="s">
        <v>1155</v>
      </c>
      <c r="N71" t="s">
        <v>2268</v>
      </c>
    </row>
    <row r="72" spans="1:14" x14ac:dyDescent="0.3">
      <c r="A72" t="s">
        <v>553</v>
      </c>
      <c r="B72" t="s">
        <v>1373</v>
      </c>
      <c r="C72" t="s">
        <v>974</v>
      </c>
      <c r="D72" t="s">
        <v>496</v>
      </c>
      <c r="E72" t="s">
        <v>1081</v>
      </c>
      <c r="F72" t="s">
        <v>1082</v>
      </c>
      <c r="G72" t="s">
        <v>309</v>
      </c>
      <c r="H72" t="s">
        <v>571</v>
      </c>
      <c r="I72" t="s">
        <v>2225</v>
      </c>
      <c r="J72" s="41">
        <v>182.88</v>
      </c>
      <c r="K72" s="41">
        <v>182.88</v>
      </c>
      <c r="L72" t="s">
        <v>1372</v>
      </c>
      <c r="M72" t="s">
        <v>1155</v>
      </c>
      <c r="N72" t="s">
        <v>2268</v>
      </c>
    </row>
    <row r="73" spans="1:14" x14ac:dyDescent="0.3">
      <c r="A73" t="s">
        <v>553</v>
      </c>
      <c r="B73" t="s">
        <v>1373</v>
      </c>
      <c r="C73" t="s">
        <v>974</v>
      </c>
      <c r="D73" t="s">
        <v>496</v>
      </c>
      <c r="E73" t="s">
        <v>1081</v>
      </c>
      <c r="F73" t="s">
        <v>1082</v>
      </c>
      <c r="G73" t="s">
        <v>309</v>
      </c>
      <c r="H73" t="s">
        <v>571</v>
      </c>
      <c r="I73" t="s">
        <v>2225</v>
      </c>
      <c r="J73" s="41">
        <v>0</v>
      </c>
      <c r="K73" s="41">
        <v>7.03</v>
      </c>
      <c r="L73" t="s">
        <v>1372</v>
      </c>
      <c r="M73" t="s">
        <v>1155</v>
      </c>
      <c r="N73" t="s">
        <v>2268</v>
      </c>
    </row>
    <row r="74" spans="1:14" x14ac:dyDescent="0.3">
      <c r="A74" t="s">
        <v>553</v>
      </c>
      <c r="B74" t="s">
        <v>1373</v>
      </c>
      <c r="C74" t="s">
        <v>974</v>
      </c>
      <c r="D74" t="s">
        <v>496</v>
      </c>
      <c r="E74" t="s">
        <v>1081</v>
      </c>
      <c r="F74" t="s">
        <v>1082</v>
      </c>
      <c r="G74" t="s">
        <v>309</v>
      </c>
      <c r="H74" t="s">
        <v>571</v>
      </c>
      <c r="I74" t="s">
        <v>2225</v>
      </c>
      <c r="J74" s="41">
        <v>127.26</v>
      </c>
      <c r="K74" s="41">
        <v>127.26</v>
      </c>
      <c r="L74" t="s">
        <v>1372</v>
      </c>
      <c r="M74" t="s">
        <v>1155</v>
      </c>
      <c r="N74" t="s">
        <v>2268</v>
      </c>
    </row>
    <row r="75" spans="1:14" x14ac:dyDescent="0.3">
      <c r="A75" t="s">
        <v>553</v>
      </c>
      <c r="B75" t="s">
        <v>1373</v>
      </c>
      <c r="C75" t="s">
        <v>974</v>
      </c>
      <c r="D75" t="s">
        <v>496</v>
      </c>
      <c r="E75" t="s">
        <v>1081</v>
      </c>
      <c r="F75" t="s">
        <v>1082</v>
      </c>
      <c r="G75" t="s">
        <v>309</v>
      </c>
      <c r="H75" t="s">
        <v>571</v>
      </c>
      <c r="I75" t="s">
        <v>2225</v>
      </c>
      <c r="J75" s="41">
        <v>27.93</v>
      </c>
      <c r="K75" s="41">
        <v>27.93</v>
      </c>
      <c r="L75" t="s">
        <v>1372</v>
      </c>
      <c r="M75" t="s">
        <v>1155</v>
      </c>
      <c r="N75" t="s">
        <v>2268</v>
      </c>
    </row>
    <row r="76" spans="1:14" x14ac:dyDescent="0.3">
      <c r="A76" t="s">
        <v>553</v>
      </c>
      <c r="B76" t="s">
        <v>1373</v>
      </c>
      <c r="C76" t="s">
        <v>974</v>
      </c>
      <c r="D76" t="s">
        <v>496</v>
      </c>
      <c r="E76" t="s">
        <v>1081</v>
      </c>
      <c r="F76" t="s">
        <v>1082</v>
      </c>
      <c r="G76" t="s">
        <v>309</v>
      </c>
      <c r="H76" t="s">
        <v>571</v>
      </c>
      <c r="I76" t="s">
        <v>2225</v>
      </c>
      <c r="J76" s="41">
        <v>0</v>
      </c>
      <c r="K76" s="41">
        <v>72.540000000000006</v>
      </c>
      <c r="L76" t="s">
        <v>1372</v>
      </c>
      <c r="M76" t="s">
        <v>1155</v>
      </c>
      <c r="N76" t="s">
        <v>2268</v>
      </c>
    </row>
    <row r="77" spans="1:14" x14ac:dyDescent="0.3">
      <c r="A77" t="s">
        <v>553</v>
      </c>
      <c r="B77" t="s">
        <v>1373</v>
      </c>
      <c r="C77" t="s">
        <v>974</v>
      </c>
      <c r="D77" t="s">
        <v>496</v>
      </c>
      <c r="E77" t="s">
        <v>1083</v>
      </c>
      <c r="F77" t="s">
        <v>1084</v>
      </c>
      <c r="G77" t="s">
        <v>309</v>
      </c>
      <c r="H77" t="s">
        <v>570</v>
      </c>
      <c r="I77" t="s">
        <v>2225</v>
      </c>
      <c r="J77" s="41">
        <v>10</v>
      </c>
      <c r="K77" s="41">
        <v>10</v>
      </c>
      <c r="L77" t="s">
        <v>1372</v>
      </c>
      <c r="M77" t="s">
        <v>2227</v>
      </c>
      <c r="N77" t="s">
        <v>2268</v>
      </c>
    </row>
    <row r="78" spans="1:14" x14ac:dyDescent="0.3">
      <c r="A78" t="s">
        <v>553</v>
      </c>
      <c r="B78" t="s">
        <v>1373</v>
      </c>
      <c r="C78" t="s">
        <v>974</v>
      </c>
      <c r="D78" t="s">
        <v>496</v>
      </c>
      <c r="E78" t="s">
        <v>1083</v>
      </c>
      <c r="F78" t="s">
        <v>1084</v>
      </c>
      <c r="G78" t="s">
        <v>309</v>
      </c>
      <c r="H78" t="s">
        <v>570</v>
      </c>
      <c r="I78" t="s">
        <v>2225</v>
      </c>
      <c r="J78" s="41">
        <v>12.75</v>
      </c>
      <c r="K78" s="41">
        <v>12.75</v>
      </c>
      <c r="L78" t="s">
        <v>1372</v>
      </c>
      <c r="M78" t="s">
        <v>2227</v>
      </c>
      <c r="N78" t="s">
        <v>2268</v>
      </c>
    </row>
    <row r="79" spans="1:14" x14ac:dyDescent="0.3">
      <c r="A79" t="s">
        <v>553</v>
      </c>
      <c r="B79" t="s">
        <v>1373</v>
      </c>
      <c r="C79" t="s">
        <v>974</v>
      </c>
      <c r="D79" t="s">
        <v>496</v>
      </c>
      <c r="E79" t="s">
        <v>1062</v>
      </c>
      <c r="F79" t="s">
        <v>1063</v>
      </c>
      <c r="G79" t="s">
        <v>309</v>
      </c>
      <c r="H79" t="s">
        <v>566</v>
      </c>
      <c r="I79" t="s">
        <v>2225</v>
      </c>
      <c r="J79" s="41">
        <v>0</v>
      </c>
      <c r="K79" s="41">
        <v>2557.46</v>
      </c>
      <c r="L79" t="s">
        <v>1372</v>
      </c>
      <c r="M79" t="s">
        <v>2227</v>
      </c>
      <c r="N79" t="s">
        <v>2268</v>
      </c>
    </row>
    <row r="80" spans="1:14" x14ac:dyDescent="0.3">
      <c r="A80" t="s">
        <v>553</v>
      </c>
      <c r="B80" t="s">
        <v>1373</v>
      </c>
      <c r="C80" t="s">
        <v>974</v>
      </c>
      <c r="D80" t="s">
        <v>496</v>
      </c>
      <c r="E80" t="s">
        <v>1062</v>
      </c>
      <c r="F80" t="s">
        <v>1063</v>
      </c>
      <c r="G80" t="s">
        <v>309</v>
      </c>
      <c r="H80" t="s">
        <v>566</v>
      </c>
      <c r="I80" t="s">
        <v>2225</v>
      </c>
      <c r="J80" s="41">
        <v>0</v>
      </c>
      <c r="K80" s="41">
        <v>1500</v>
      </c>
      <c r="L80" t="s">
        <v>1372</v>
      </c>
      <c r="M80" t="s">
        <v>2227</v>
      </c>
      <c r="N80" t="s">
        <v>2268</v>
      </c>
    </row>
    <row r="81" spans="1:14" x14ac:dyDescent="0.3">
      <c r="A81" t="s">
        <v>553</v>
      </c>
      <c r="B81" t="s">
        <v>1373</v>
      </c>
      <c r="C81" t="s">
        <v>974</v>
      </c>
      <c r="D81" t="s">
        <v>496</v>
      </c>
      <c r="E81" t="s">
        <v>1097</v>
      </c>
      <c r="F81" t="s">
        <v>1098</v>
      </c>
      <c r="G81" t="s">
        <v>377</v>
      </c>
      <c r="H81" t="s">
        <v>569</v>
      </c>
      <c r="I81" t="s">
        <v>190</v>
      </c>
      <c r="J81" s="41">
        <v>0</v>
      </c>
      <c r="K81" s="41">
        <v>400</v>
      </c>
      <c r="L81" t="s">
        <v>1372</v>
      </c>
      <c r="M81" t="s">
        <v>2227</v>
      </c>
      <c r="N81" t="s">
        <v>2268</v>
      </c>
    </row>
    <row r="82" spans="1:14" x14ac:dyDescent="0.3">
      <c r="A82" t="s">
        <v>553</v>
      </c>
      <c r="B82" t="s">
        <v>1373</v>
      </c>
      <c r="C82" t="s">
        <v>974</v>
      </c>
      <c r="D82" t="s">
        <v>496</v>
      </c>
      <c r="E82" t="s">
        <v>1099</v>
      </c>
      <c r="F82" t="s">
        <v>1100</v>
      </c>
      <c r="G82" t="s">
        <v>377</v>
      </c>
      <c r="H82" t="s">
        <v>569</v>
      </c>
      <c r="I82" t="s">
        <v>190</v>
      </c>
      <c r="J82" s="41">
        <v>0</v>
      </c>
      <c r="K82" s="41">
        <v>648</v>
      </c>
      <c r="L82" t="s">
        <v>1372</v>
      </c>
      <c r="M82" t="s">
        <v>1155</v>
      </c>
      <c r="N82" t="s">
        <v>2268</v>
      </c>
    </row>
    <row r="83" spans="1:14" x14ac:dyDescent="0.3">
      <c r="A83" t="s">
        <v>553</v>
      </c>
      <c r="B83" t="s">
        <v>1373</v>
      </c>
      <c r="C83" t="s">
        <v>974</v>
      </c>
      <c r="D83" t="s">
        <v>496</v>
      </c>
      <c r="E83" t="s">
        <v>1123</v>
      </c>
      <c r="F83" t="s">
        <v>717</v>
      </c>
      <c r="G83" t="s">
        <v>304</v>
      </c>
      <c r="H83" t="s">
        <v>561</v>
      </c>
      <c r="I83" t="s">
        <v>561</v>
      </c>
      <c r="J83" s="41">
        <v>0.34</v>
      </c>
      <c r="K83" s="41">
        <v>0.34</v>
      </c>
      <c r="L83" t="s">
        <v>1372</v>
      </c>
      <c r="M83" t="s">
        <v>2227</v>
      </c>
      <c r="N83" t="s">
        <v>2268</v>
      </c>
    </row>
    <row r="84" spans="1:14" x14ac:dyDescent="0.3">
      <c r="A84" t="s">
        <v>553</v>
      </c>
      <c r="B84" t="s">
        <v>1373</v>
      </c>
      <c r="C84" t="s">
        <v>974</v>
      </c>
      <c r="D84" t="s">
        <v>496</v>
      </c>
      <c r="E84" t="s">
        <v>1123</v>
      </c>
      <c r="F84" t="s">
        <v>717</v>
      </c>
      <c r="G84" t="s">
        <v>304</v>
      </c>
      <c r="H84" t="s">
        <v>561</v>
      </c>
      <c r="I84" t="s">
        <v>561</v>
      </c>
      <c r="J84" s="41">
        <v>15</v>
      </c>
      <c r="K84" s="41">
        <v>15</v>
      </c>
      <c r="L84" t="s">
        <v>1372</v>
      </c>
      <c r="M84" t="s">
        <v>2227</v>
      </c>
      <c r="N84" t="s">
        <v>2268</v>
      </c>
    </row>
    <row r="85" spans="1:14" x14ac:dyDescent="0.3">
      <c r="A85" t="s">
        <v>553</v>
      </c>
      <c r="B85" t="s">
        <v>1373</v>
      </c>
      <c r="C85" t="s">
        <v>974</v>
      </c>
      <c r="D85" t="s">
        <v>496</v>
      </c>
      <c r="E85" t="s">
        <v>1123</v>
      </c>
      <c r="F85" t="s">
        <v>717</v>
      </c>
      <c r="G85" t="s">
        <v>304</v>
      </c>
      <c r="H85" t="s">
        <v>561</v>
      </c>
      <c r="I85" t="s">
        <v>561</v>
      </c>
      <c r="J85" s="41">
        <v>7.94</v>
      </c>
      <c r="K85" s="41">
        <v>18.38</v>
      </c>
      <c r="L85" t="s">
        <v>1372</v>
      </c>
      <c r="M85" t="s">
        <v>2227</v>
      </c>
      <c r="N85" t="s">
        <v>2268</v>
      </c>
    </row>
    <row r="86" spans="1:14" x14ac:dyDescent="0.3">
      <c r="A86" t="s">
        <v>553</v>
      </c>
      <c r="B86" t="s">
        <v>1373</v>
      </c>
      <c r="C86" t="s">
        <v>974</v>
      </c>
      <c r="D86" t="s">
        <v>496</v>
      </c>
      <c r="E86" t="s">
        <v>1123</v>
      </c>
      <c r="F86" t="s">
        <v>717</v>
      </c>
      <c r="G86" t="s">
        <v>304</v>
      </c>
      <c r="H86" t="s">
        <v>561</v>
      </c>
      <c r="I86" t="s">
        <v>561</v>
      </c>
      <c r="J86" s="41">
        <v>0</v>
      </c>
      <c r="K86" s="41">
        <v>3.11</v>
      </c>
      <c r="L86" t="s">
        <v>1372</v>
      </c>
      <c r="M86" t="s">
        <v>2227</v>
      </c>
      <c r="N86" t="s">
        <v>2268</v>
      </c>
    </row>
    <row r="87" spans="1:14" x14ac:dyDescent="0.3">
      <c r="A87" t="s">
        <v>553</v>
      </c>
      <c r="B87" t="s">
        <v>1373</v>
      </c>
      <c r="C87" t="s">
        <v>974</v>
      </c>
      <c r="D87" t="s">
        <v>496</v>
      </c>
      <c r="E87" t="s">
        <v>1123</v>
      </c>
      <c r="F87" t="s">
        <v>717</v>
      </c>
      <c r="G87" t="s">
        <v>304</v>
      </c>
      <c r="H87" t="s">
        <v>561</v>
      </c>
      <c r="I87" t="s">
        <v>561</v>
      </c>
      <c r="J87" s="41">
        <v>0</v>
      </c>
      <c r="K87" s="41">
        <v>152.85</v>
      </c>
      <c r="L87" t="s">
        <v>1372</v>
      </c>
      <c r="M87" t="s">
        <v>2227</v>
      </c>
      <c r="N87" t="s">
        <v>2268</v>
      </c>
    </row>
    <row r="88" spans="1:14" x14ac:dyDescent="0.3">
      <c r="A88" t="s">
        <v>553</v>
      </c>
      <c r="B88" t="s">
        <v>1373</v>
      </c>
      <c r="C88" t="s">
        <v>974</v>
      </c>
      <c r="D88" t="s">
        <v>496</v>
      </c>
      <c r="E88" t="s">
        <v>1123</v>
      </c>
      <c r="F88" t="s">
        <v>717</v>
      </c>
      <c r="G88" t="s">
        <v>304</v>
      </c>
      <c r="H88" t="s">
        <v>561</v>
      </c>
      <c r="I88" t="s">
        <v>561</v>
      </c>
      <c r="J88" s="41">
        <v>0</v>
      </c>
      <c r="K88" s="41">
        <v>0.9</v>
      </c>
      <c r="L88" t="s">
        <v>1372</v>
      </c>
      <c r="M88" t="s">
        <v>2227</v>
      </c>
      <c r="N88" t="s">
        <v>2268</v>
      </c>
    </row>
    <row r="89" spans="1:14" x14ac:dyDescent="0.3">
      <c r="A89" t="s">
        <v>549</v>
      </c>
      <c r="B89" t="s">
        <v>658</v>
      </c>
      <c r="C89" t="s">
        <v>976</v>
      </c>
      <c r="D89" t="s">
        <v>496</v>
      </c>
      <c r="E89" t="s">
        <v>1060</v>
      </c>
      <c r="F89" t="s">
        <v>1061</v>
      </c>
      <c r="G89" t="s">
        <v>309</v>
      </c>
      <c r="H89" t="s">
        <v>565</v>
      </c>
      <c r="I89" t="s">
        <v>2225</v>
      </c>
      <c r="J89" s="41">
        <v>1200</v>
      </c>
      <c r="K89" s="41">
        <v>1200</v>
      </c>
      <c r="L89" t="s">
        <v>1553</v>
      </c>
      <c r="M89" t="s">
        <v>2227</v>
      </c>
      <c r="N89" t="s">
        <v>2268</v>
      </c>
    </row>
    <row r="90" spans="1:14" x14ac:dyDescent="0.3">
      <c r="A90" t="s">
        <v>549</v>
      </c>
      <c r="B90" t="s">
        <v>658</v>
      </c>
      <c r="C90" t="s">
        <v>976</v>
      </c>
      <c r="D90" t="s">
        <v>496</v>
      </c>
      <c r="E90" t="s">
        <v>1075</v>
      </c>
      <c r="F90" t="s">
        <v>1076</v>
      </c>
      <c r="G90" t="s">
        <v>309</v>
      </c>
      <c r="H90" t="s">
        <v>570</v>
      </c>
      <c r="I90" t="s">
        <v>2225</v>
      </c>
      <c r="J90" s="41">
        <v>300</v>
      </c>
      <c r="K90" s="41">
        <v>300</v>
      </c>
      <c r="L90" t="s">
        <v>1553</v>
      </c>
      <c r="M90" t="s">
        <v>2227</v>
      </c>
      <c r="N90" t="s">
        <v>2268</v>
      </c>
    </row>
    <row r="91" spans="1:14" x14ac:dyDescent="0.3">
      <c r="A91" t="s">
        <v>549</v>
      </c>
      <c r="B91" t="s">
        <v>658</v>
      </c>
      <c r="C91" t="s">
        <v>976</v>
      </c>
      <c r="D91" t="s">
        <v>496</v>
      </c>
      <c r="E91" t="s">
        <v>1060</v>
      </c>
      <c r="F91" t="s">
        <v>1061</v>
      </c>
      <c r="G91" t="s">
        <v>309</v>
      </c>
      <c r="H91" t="s">
        <v>565</v>
      </c>
      <c r="I91" t="s">
        <v>2225</v>
      </c>
      <c r="J91" s="41">
        <v>400</v>
      </c>
      <c r="K91" s="41">
        <v>400</v>
      </c>
      <c r="L91" t="s">
        <v>1553</v>
      </c>
      <c r="M91" t="s">
        <v>2227</v>
      </c>
      <c r="N91" t="s">
        <v>2268</v>
      </c>
    </row>
    <row r="92" spans="1:14" x14ac:dyDescent="0.3">
      <c r="A92" t="s">
        <v>549</v>
      </c>
      <c r="B92" t="s">
        <v>658</v>
      </c>
      <c r="C92" t="s">
        <v>976</v>
      </c>
      <c r="D92" t="s">
        <v>496</v>
      </c>
      <c r="E92" t="s">
        <v>1064</v>
      </c>
      <c r="F92" t="s">
        <v>1065</v>
      </c>
      <c r="G92" t="s">
        <v>309</v>
      </c>
      <c r="H92" t="s">
        <v>571</v>
      </c>
      <c r="I92" t="s">
        <v>2225</v>
      </c>
      <c r="J92" s="41">
        <v>240.73</v>
      </c>
      <c r="K92" s="41">
        <v>240.73</v>
      </c>
      <c r="L92" t="s">
        <v>1553</v>
      </c>
      <c r="M92" t="s">
        <v>2227</v>
      </c>
      <c r="N92" t="s">
        <v>2268</v>
      </c>
    </row>
    <row r="93" spans="1:14" x14ac:dyDescent="0.3">
      <c r="A93" t="s">
        <v>549</v>
      </c>
      <c r="B93" t="s">
        <v>658</v>
      </c>
      <c r="C93" t="s">
        <v>976</v>
      </c>
      <c r="D93" t="s">
        <v>496</v>
      </c>
      <c r="E93" t="s">
        <v>1079</v>
      </c>
      <c r="F93" t="s">
        <v>1080</v>
      </c>
      <c r="G93" t="s">
        <v>309</v>
      </c>
      <c r="H93" t="s">
        <v>571</v>
      </c>
      <c r="I93" t="s">
        <v>2225</v>
      </c>
      <c r="J93" s="41">
        <v>15</v>
      </c>
      <c r="K93" s="41">
        <v>15</v>
      </c>
      <c r="L93" t="s">
        <v>1553</v>
      </c>
      <c r="M93" t="s">
        <v>2227</v>
      </c>
      <c r="N93" t="s">
        <v>2268</v>
      </c>
    </row>
    <row r="94" spans="1:14" x14ac:dyDescent="0.3">
      <c r="A94" t="s">
        <v>549</v>
      </c>
      <c r="B94" t="s">
        <v>658</v>
      </c>
      <c r="C94" t="s">
        <v>976</v>
      </c>
      <c r="D94" t="s">
        <v>496</v>
      </c>
      <c r="E94" t="s">
        <v>1079</v>
      </c>
      <c r="F94" t="s">
        <v>1080</v>
      </c>
      <c r="G94" t="s">
        <v>309</v>
      </c>
      <c r="H94" t="s">
        <v>571</v>
      </c>
      <c r="I94" t="s">
        <v>2225</v>
      </c>
      <c r="J94" s="41">
        <v>7</v>
      </c>
      <c r="K94" s="41">
        <v>7</v>
      </c>
      <c r="L94" t="s">
        <v>1553</v>
      </c>
      <c r="M94" t="s">
        <v>2227</v>
      </c>
      <c r="N94" t="s">
        <v>2268</v>
      </c>
    </row>
    <row r="95" spans="1:14" x14ac:dyDescent="0.3">
      <c r="A95" t="s">
        <v>549</v>
      </c>
      <c r="B95" t="s">
        <v>658</v>
      </c>
      <c r="C95" t="s">
        <v>976</v>
      </c>
      <c r="D95" t="s">
        <v>496</v>
      </c>
      <c r="E95" t="s">
        <v>1123</v>
      </c>
      <c r="F95" t="s">
        <v>717</v>
      </c>
      <c r="G95" t="s">
        <v>304</v>
      </c>
      <c r="H95" t="s">
        <v>561</v>
      </c>
      <c r="I95" t="s">
        <v>561</v>
      </c>
      <c r="J95" s="41">
        <v>20</v>
      </c>
      <c r="K95" s="41">
        <v>20</v>
      </c>
      <c r="L95" t="s">
        <v>1553</v>
      </c>
      <c r="M95" t="s">
        <v>2227</v>
      </c>
      <c r="N95" t="s">
        <v>2268</v>
      </c>
    </row>
    <row r="96" spans="1:14" x14ac:dyDescent="0.3">
      <c r="A96" t="s">
        <v>549</v>
      </c>
      <c r="B96" t="s">
        <v>1265</v>
      </c>
      <c r="C96" t="s">
        <v>975</v>
      </c>
      <c r="D96" t="s">
        <v>686</v>
      </c>
      <c r="E96" t="s">
        <v>1095</v>
      </c>
      <c r="F96" t="s">
        <v>1096</v>
      </c>
      <c r="G96" t="s">
        <v>377</v>
      </c>
      <c r="H96" t="s">
        <v>566</v>
      </c>
      <c r="I96" t="s">
        <v>190</v>
      </c>
      <c r="J96" s="41">
        <v>2127</v>
      </c>
      <c r="K96" s="41">
        <v>2127</v>
      </c>
      <c r="L96" t="s">
        <v>1555</v>
      </c>
      <c r="M96" t="s">
        <v>2227</v>
      </c>
      <c r="N96" t="s">
        <v>2268</v>
      </c>
    </row>
    <row r="97" spans="1:14" x14ac:dyDescent="0.3">
      <c r="A97" t="s">
        <v>549</v>
      </c>
      <c r="B97" t="s">
        <v>1265</v>
      </c>
      <c r="C97" t="s">
        <v>975</v>
      </c>
      <c r="D97" t="s">
        <v>686</v>
      </c>
      <c r="E97" t="s">
        <v>1123</v>
      </c>
      <c r="F97" t="s">
        <v>717</v>
      </c>
      <c r="G97" t="s">
        <v>304</v>
      </c>
      <c r="H97" t="s">
        <v>561</v>
      </c>
      <c r="I97" t="s">
        <v>561</v>
      </c>
      <c r="J97" s="41">
        <v>11.06</v>
      </c>
      <c r="K97" s="41">
        <v>11.06</v>
      </c>
      <c r="L97" t="s">
        <v>1555</v>
      </c>
      <c r="M97" t="s">
        <v>2227</v>
      </c>
      <c r="N97" t="s">
        <v>2268</v>
      </c>
    </row>
    <row r="98" spans="1:14" x14ac:dyDescent="0.3">
      <c r="A98" t="s">
        <v>549</v>
      </c>
      <c r="B98" t="s">
        <v>1265</v>
      </c>
      <c r="C98" t="s">
        <v>975</v>
      </c>
      <c r="D98" t="s">
        <v>686</v>
      </c>
      <c r="E98" t="s">
        <v>1123</v>
      </c>
      <c r="F98" t="s">
        <v>717</v>
      </c>
      <c r="G98" t="s">
        <v>304</v>
      </c>
      <c r="H98" t="s">
        <v>561</v>
      </c>
      <c r="I98" t="s">
        <v>561</v>
      </c>
      <c r="J98" s="41">
        <v>1.65</v>
      </c>
      <c r="K98" s="41">
        <v>1.65</v>
      </c>
      <c r="L98" t="s">
        <v>1555</v>
      </c>
      <c r="M98" t="s">
        <v>2227</v>
      </c>
      <c r="N98" t="s">
        <v>2268</v>
      </c>
    </row>
    <row r="99" spans="1:14" x14ac:dyDescent="0.3">
      <c r="A99" t="s">
        <v>549</v>
      </c>
      <c r="B99" t="s">
        <v>1265</v>
      </c>
      <c r="C99" t="s">
        <v>975</v>
      </c>
      <c r="D99" t="s">
        <v>686</v>
      </c>
      <c r="E99" t="s">
        <v>1123</v>
      </c>
      <c r="F99" t="s">
        <v>717</v>
      </c>
      <c r="G99" t="s">
        <v>304</v>
      </c>
      <c r="H99" t="s">
        <v>561</v>
      </c>
      <c r="I99" t="s">
        <v>561</v>
      </c>
      <c r="J99" s="41">
        <v>80</v>
      </c>
      <c r="K99" s="41">
        <v>80</v>
      </c>
      <c r="L99" t="s">
        <v>1555</v>
      </c>
      <c r="M99" t="s">
        <v>2227</v>
      </c>
      <c r="N99" t="s">
        <v>2268</v>
      </c>
    </row>
    <row r="100" spans="1:14" x14ac:dyDescent="0.3">
      <c r="A100" t="s">
        <v>549</v>
      </c>
      <c r="B100" t="s">
        <v>1373</v>
      </c>
      <c r="C100" t="s">
        <v>974</v>
      </c>
      <c r="D100" t="s">
        <v>496</v>
      </c>
      <c r="E100" t="s">
        <v>1060</v>
      </c>
      <c r="F100" t="s">
        <v>1061</v>
      </c>
      <c r="G100" t="s">
        <v>309</v>
      </c>
      <c r="H100" t="s">
        <v>565</v>
      </c>
      <c r="I100" t="s">
        <v>2225</v>
      </c>
      <c r="J100" s="41">
        <v>2592.17</v>
      </c>
      <c r="K100" s="41">
        <v>2592.17</v>
      </c>
      <c r="L100" t="s">
        <v>1558</v>
      </c>
      <c r="M100" t="s">
        <v>2227</v>
      </c>
      <c r="N100" t="s">
        <v>2268</v>
      </c>
    </row>
    <row r="101" spans="1:14" x14ac:dyDescent="0.3">
      <c r="A101" t="s">
        <v>549</v>
      </c>
      <c r="B101" t="s">
        <v>1373</v>
      </c>
      <c r="C101" t="s">
        <v>974</v>
      </c>
      <c r="D101" t="s">
        <v>496</v>
      </c>
      <c r="E101" t="s">
        <v>1060</v>
      </c>
      <c r="F101" t="s">
        <v>1061</v>
      </c>
      <c r="G101" t="s">
        <v>309</v>
      </c>
      <c r="H101" t="s">
        <v>565</v>
      </c>
      <c r="I101" t="s">
        <v>2225</v>
      </c>
      <c r="J101" s="41">
        <v>122.93</v>
      </c>
      <c r="K101" s="41">
        <v>122.93</v>
      </c>
      <c r="L101" t="s">
        <v>1558</v>
      </c>
      <c r="M101" t="s">
        <v>2227</v>
      </c>
      <c r="N101" t="s">
        <v>2268</v>
      </c>
    </row>
    <row r="102" spans="1:14" x14ac:dyDescent="0.3">
      <c r="A102" t="s">
        <v>549</v>
      </c>
      <c r="B102" t="s">
        <v>1373</v>
      </c>
      <c r="C102" t="s">
        <v>974</v>
      </c>
      <c r="D102" t="s">
        <v>496</v>
      </c>
      <c r="E102" t="s">
        <v>1060</v>
      </c>
      <c r="F102" t="s">
        <v>1061</v>
      </c>
      <c r="G102" t="s">
        <v>309</v>
      </c>
      <c r="H102" t="s">
        <v>565</v>
      </c>
      <c r="I102" t="s">
        <v>2225</v>
      </c>
      <c r="J102" s="41">
        <v>835.33</v>
      </c>
      <c r="K102" s="41">
        <v>835.33</v>
      </c>
      <c r="L102" t="s">
        <v>1558</v>
      </c>
      <c r="M102" t="s">
        <v>2227</v>
      </c>
      <c r="N102" t="s">
        <v>2268</v>
      </c>
    </row>
    <row r="103" spans="1:14" x14ac:dyDescent="0.3">
      <c r="A103" t="s">
        <v>549</v>
      </c>
      <c r="B103" t="s">
        <v>1373</v>
      </c>
      <c r="C103" t="s">
        <v>974</v>
      </c>
      <c r="D103" t="s">
        <v>496</v>
      </c>
      <c r="E103" t="s">
        <v>1069</v>
      </c>
      <c r="F103" t="s">
        <v>1070</v>
      </c>
      <c r="G103" t="s">
        <v>309</v>
      </c>
      <c r="H103" t="s">
        <v>569</v>
      </c>
      <c r="I103" t="s">
        <v>2225</v>
      </c>
      <c r="J103" s="41">
        <v>21.35</v>
      </c>
      <c r="K103" s="41">
        <v>21.35</v>
      </c>
      <c r="L103" t="s">
        <v>1558</v>
      </c>
      <c r="M103" t="s">
        <v>2227</v>
      </c>
      <c r="N103" t="s">
        <v>2268</v>
      </c>
    </row>
    <row r="104" spans="1:14" x14ac:dyDescent="0.3">
      <c r="A104" t="s">
        <v>549</v>
      </c>
      <c r="B104" t="s">
        <v>1373</v>
      </c>
      <c r="C104" t="s">
        <v>974</v>
      </c>
      <c r="D104" t="s">
        <v>496</v>
      </c>
      <c r="E104" t="s">
        <v>1069</v>
      </c>
      <c r="F104" t="s">
        <v>1070</v>
      </c>
      <c r="G104" t="s">
        <v>309</v>
      </c>
      <c r="H104" t="s">
        <v>569</v>
      </c>
      <c r="I104" t="s">
        <v>2225</v>
      </c>
      <c r="J104" s="41">
        <v>20</v>
      </c>
      <c r="K104" s="41">
        <v>20</v>
      </c>
      <c r="L104" t="s">
        <v>1558</v>
      </c>
      <c r="M104" t="s">
        <v>2227</v>
      </c>
      <c r="N104" t="s">
        <v>2268</v>
      </c>
    </row>
    <row r="105" spans="1:14" x14ac:dyDescent="0.3">
      <c r="A105" t="s">
        <v>549</v>
      </c>
      <c r="B105" t="s">
        <v>1373</v>
      </c>
      <c r="C105" t="s">
        <v>974</v>
      </c>
      <c r="D105" t="s">
        <v>496</v>
      </c>
      <c r="E105" t="s">
        <v>1073</v>
      </c>
      <c r="F105" t="s">
        <v>1074</v>
      </c>
      <c r="G105" t="s">
        <v>309</v>
      </c>
      <c r="H105" t="s">
        <v>569</v>
      </c>
      <c r="I105" t="s">
        <v>2225</v>
      </c>
      <c r="J105" s="41">
        <v>11.36</v>
      </c>
      <c r="K105" s="41">
        <v>11.36</v>
      </c>
      <c r="L105" t="s">
        <v>1558</v>
      </c>
      <c r="M105" t="s">
        <v>2227</v>
      </c>
      <c r="N105" t="s">
        <v>2268</v>
      </c>
    </row>
    <row r="106" spans="1:14" x14ac:dyDescent="0.3">
      <c r="A106" t="s">
        <v>549</v>
      </c>
      <c r="B106" t="s">
        <v>1373</v>
      </c>
      <c r="C106" t="s">
        <v>974</v>
      </c>
      <c r="D106" t="s">
        <v>496</v>
      </c>
      <c r="E106" t="s">
        <v>1077</v>
      </c>
      <c r="F106" t="s">
        <v>1078</v>
      </c>
      <c r="G106" t="s">
        <v>309</v>
      </c>
      <c r="H106" t="s">
        <v>569</v>
      </c>
      <c r="I106" t="s">
        <v>2225</v>
      </c>
      <c r="J106" s="41">
        <v>228.63</v>
      </c>
      <c r="K106" s="41">
        <v>228.63</v>
      </c>
      <c r="L106" t="s">
        <v>1558</v>
      </c>
      <c r="M106" t="s">
        <v>1155</v>
      </c>
      <c r="N106" t="s">
        <v>2268</v>
      </c>
    </row>
    <row r="107" spans="1:14" x14ac:dyDescent="0.3">
      <c r="A107" t="s">
        <v>549</v>
      </c>
      <c r="B107" t="s">
        <v>1373</v>
      </c>
      <c r="C107" t="s">
        <v>974</v>
      </c>
      <c r="D107" t="s">
        <v>496</v>
      </c>
      <c r="E107" t="s">
        <v>1079</v>
      </c>
      <c r="F107" t="s">
        <v>1080</v>
      </c>
      <c r="G107" t="s">
        <v>309</v>
      </c>
      <c r="H107" t="s">
        <v>571</v>
      </c>
      <c r="I107" t="s">
        <v>2225</v>
      </c>
      <c r="J107" s="41">
        <v>50.73</v>
      </c>
      <c r="K107" s="41">
        <v>50.73</v>
      </c>
      <c r="L107" t="s">
        <v>1558</v>
      </c>
      <c r="M107" t="s">
        <v>2227</v>
      </c>
      <c r="N107" t="s">
        <v>2268</v>
      </c>
    </row>
    <row r="108" spans="1:14" x14ac:dyDescent="0.3">
      <c r="A108" t="s">
        <v>549</v>
      </c>
      <c r="B108" t="s">
        <v>1373</v>
      </c>
      <c r="C108" t="s">
        <v>974</v>
      </c>
      <c r="D108" t="s">
        <v>496</v>
      </c>
      <c r="E108" t="s">
        <v>1081</v>
      </c>
      <c r="F108" t="s">
        <v>1082</v>
      </c>
      <c r="G108" t="s">
        <v>309</v>
      </c>
      <c r="H108" t="s">
        <v>571</v>
      </c>
      <c r="I108" t="s">
        <v>2225</v>
      </c>
      <c r="J108" s="41">
        <v>177.68</v>
      </c>
      <c r="K108" s="41">
        <v>177.68</v>
      </c>
      <c r="L108" t="s">
        <v>1558</v>
      </c>
      <c r="M108" t="s">
        <v>1155</v>
      </c>
      <c r="N108" t="s">
        <v>2268</v>
      </c>
    </row>
    <row r="109" spans="1:14" x14ac:dyDescent="0.3">
      <c r="A109" t="s">
        <v>549</v>
      </c>
      <c r="B109" t="s">
        <v>1373</v>
      </c>
      <c r="C109" t="s">
        <v>974</v>
      </c>
      <c r="D109" t="s">
        <v>496</v>
      </c>
      <c r="E109" t="s">
        <v>1081</v>
      </c>
      <c r="F109" t="s">
        <v>1082</v>
      </c>
      <c r="G109" t="s">
        <v>309</v>
      </c>
      <c r="H109" t="s">
        <v>571</v>
      </c>
      <c r="I109" t="s">
        <v>2225</v>
      </c>
      <c r="J109" s="41">
        <v>248</v>
      </c>
      <c r="K109" s="41">
        <v>248</v>
      </c>
      <c r="L109" t="s">
        <v>1558</v>
      </c>
      <c r="M109" t="s">
        <v>1155</v>
      </c>
      <c r="N109" t="s">
        <v>2268</v>
      </c>
    </row>
    <row r="110" spans="1:14" x14ac:dyDescent="0.3">
      <c r="A110" t="s">
        <v>549</v>
      </c>
      <c r="B110" t="s">
        <v>1373</v>
      </c>
      <c r="C110" t="s">
        <v>974</v>
      </c>
      <c r="D110" t="s">
        <v>496</v>
      </c>
      <c r="E110" t="s">
        <v>1081</v>
      </c>
      <c r="F110" t="s">
        <v>1082</v>
      </c>
      <c r="G110" t="s">
        <v>309</v>
      </c>
      <c r="H110" t="s">
        <v>571</v>
      </c>
      <c r="I110" t="s">
        <v>2225</v>
      </c>
      <c r="J110" s="41">
        <v>30.09</v>
      </c>
      <c r="K110" s="41">
        <v>30.09</v>
      </c>
      <c r="L110" t="s">
        <v>1558</v>
      </c>
      <c r="M110" t="s">
        <v>1155</v>
      </c>
      <c r="N110" t="s">
        <v>2268</v>
      </c>
    </row>
    <row r="111" spans="1:14" x14ac:dyDescent="0.3">
      <c r="A111" t="s">
        <v>549</v>
      </c>
      <c r="B111" t="s">
        <v>1373</v>
      </c>
      <c r="C111" t="s">
        <v>974</v>
      </c>
      <c r="D111" t="s">
        <v>496</v>
      </c>
      <c r="E111" t="s">
        <v>1062</v>
      </c>
      <c r="F111" t="s">
        <v>1063</v>
      </c>
      <c r="G111" t="s">
        <v>309</v>
      </c>
      <c r="H111" t="s">
        <v>566</v>
      </c>
      <c r="I111" t="s">
        <v>2225</v>
      </c>
      <c r="J111" s="41">
        <v>1500</v>
      </c>
      <c r="K111" s="41">
        <v>1500</v>
      </c>
      <c r="L111" t="s">
        <v>1558</v>
      </c>
      <c r="M111" t="s">
        <v>2227</v>
      </c>
      <c r="N111" t="s">
        <v>2268</v>
      </c>
    </row>
    <row r="112" spans="1:14" x14ac:dyDescent="0.3">
      <c r="A112" t="s">
        <v>549</v>
      </c>
      <c r="B112" t="s">
        <v>1373</v>
      </c>
      <c r="C112" t="s">
        <v>974</v>
      </c>
      <c r="D112" t="s">
        <v>496</v>
      </c>
      <c r="E112" t="s">
        <v>1099</v>
      </c>
      <c r="F112" t="s">
        <v>1100</v>
      </c>
      <c r="G112" t="s">
        <v>377</v>
      </c>
      <c r="H112" t="s">
        <v>569</v>
      </c>
      <c r="I112" t="s">
        <v>190</v>
      </c>
      <c r="J112" s="41">
        <v>648</v>
      </c>
      <c r="K112" s="41">
        <v>648</v>
      </c>
      <c r="L112" t="s">
        <v>1558</v>
      </c>
      <c r="M112" t="s">
        <v>1155</v>
      </c>
      <c r="N112" t="s">
        <v>2268</v>
      </c>
    </row>
    <row r="113" spans="1:14" x14ac:dyDescent="0.3">
      <c r="A113" t="s">
        <v>549</v>
      </c>
      <c r="B113" t="s">
        <v>1373</v>
      </c>
      <c r="C113" t="s">
        <v>974</v>
      </c>
      <c r="D113" t="s">
        <v>496</v>
      </c>
      <c r="E113" t="s">
        <v>1123</v>
      </c>
      <c r="F113" t="s">
        <v>717</v>
      </c>
      <c r="G113" t="s">
        <v>304</v>
      </c>
      <c r="H113" t="s">
        <v>561</v>
      </c>
      <c r="I113" t="s">
        <v>561</v>
      </c>
      <c r="J113" s="41">
        <v>75</v>
      </c>
      <c r="K113" s="41">
        <v>75</v>
      </c>
      <c r="L113" t="s">
        <v>1558</v>
      </c>
      <c r="M113" t="s">
        <v>2227</v>
      </c>
      <c r="N113" t="s">
        <v>2268</v>
      </c>
    </row>
    <row r="114" spans="1:14" x14ac:dyDescent="0.3">
      <c r="A114" t="s">
        <v>549</v>
      </c>
      <c r="B114" t="s">
        <v>1373</v>
      </c>
      <c r="C114" t="s">
        <v>974</v>
      </c>
      <c r="D114" t="s">
        <v>496</v>
      </c>
      <c r="E114" t="s">
        <v>1123</v>
      </c>
      <c r="F114" t="s">
        <v>717</v>
      </c>
      <c r="G114" t="s">
        <v>304</v>
      </c>
      <c r="H114" t="s">
        <v>561</v>
      </c>
      <c r="I114" t="s">
        <v>561</v>
      </c>
      <c r="J114" s="41">
        <v>0.9</v>
      </c>
      <c r="K114" s="41">
        <v>0.9</v>
      </c>
      <c r="L114" t="s">
        <v>1558</v>
      </c>
      <c r="M114" t="s">
        <v>2227</v>
      </c>
      <c r="N114" t="s">
        <v>2268</v>
      </c>
    </row>
    <row r="115" spans="1:14" x14ac:dyDescent="0.3">
      <c r="A115" t="s">
        <v>551</v>
      </c>
      <c r="B115" t="s">
        <v>658</v>
      </c>
      <c r="C115" t="s">
        <v>976</v>
      </c>
      <c r="D115" t="s">
        <v>496</v>
      </c>
      <c r="E115" t="s">
        <v>1060</v>
      </c>
      <c r="F115" t="s">
        <v>1061</v>
      </c>
      <c r="G115" t="s">
        <v>309</v>
      </c>
      <c r="H115" t="s">
        <v>565</v>
      </c>
      <c r="I115" t="s">
        <v>2225</v>
      </c>
      <c r="J115" s="41">
        <v>1200</v>
      </c>
      <c r="K115" s="41">
        <v>3600</v>
      </c>
      <c r="L115" t="s">
        <v>1573</v>
      </c>
      <c r="M115" t="s">
        <v>2227</v>
      </c>
      <c r="N115" t="s">
        <v>2268</v>
      </c>
    </row>
    <row r="116" spans="1:14" x14ac:dyDescent="0.3">
      <c r="A116" t="s">
        <v>551</v>
      </c>
      <c r="B116" t="s">
        <v>658</v>
      </c>
      <c r="C116" t="s">
        <v>976</v>
      </c>
      <c r="D116" t="s">
        <v>496</v>
      </c>
      <c r="E116" t="s">
        <v>1075</v>
      </c>
      <c r="F116" t="s">
        <v>1076</v>
      </c>
      <c r="G116" t="s">
        <v>309</v>
      </c>
      <c r="H116" t="s">
        <v>570</v>
      </c>
      <c r="I116" t="s">
        <v>2225</v>
      </c>
      <c r="J116" s="41">
        <v>300</v>
      </c>
      <c r="K116" s="41">
        <v>900</v>
      </c>
      <c r="L116" t="s">
        <v>1573</v>
      </c>
      <c r="M116" t="s">
        <v>2227</v>
      </c>
      <c r="N116" t="s">
        <v>2268</v>
      </c>
    </row>
    <row r="117" spans="1:14" x14ac:dyDescent="0.3">
      <c r="A117" t="s">
        <v>551</v>
      </c>
      <c r="B117" t="s">
        <v>658</v>
      </c>
      <c r="C117" t="s">
        <v>976</v>
      </c>
      <c r="D117" t="s">
        <v>496</v>
      </c>
      <c r="E117" t="s">
        <v>1060</v>
      </c>
      <c r="F117" t="s">
        <v>1061</v>
      </c>
      <c r="G117" t="s">
        <v>309</v>
      </c>
      <c r="H117" t="s">
        <v>565</v>
      </c>
      <c r="I117" t="s">
        <v>2225</v>
      </c>
      <c r="J117" s="41">
        <v>400</v>
      </c>
      <c r="K117" s="41">
        <v>1212.3699999999999</v>
      </c>
      <c r="L117" t="s">
        <v>1573</v>
      </c>
      <c r="M117" t="s">
        <v>2227</v>
      </c>
      <c r="N117" t="s">
        <v>2268</v>
      </c>
    </row>
    <row r="118" spans="1:14" x14ac:dyDescent="0.3">
      <c r="A118" t="s">
        <v>551</v>
      </c>
      <c r="B118" t="s">
        <v>658</v>
      </c>
      <c r="C118" t="s">
        <v>976</v>
      </c>
      <c r="D118" t="s">
        <v>496</v>
      </c>
      <c r="E118" t="s">
        <v>1062</v>
      </c>
      <c r="F118" t="s">
        <v>1063</v>
      </c>
      <c r="G118" t="s">
        <v>309</v>
      </c>
      <c r="H118" t="s">
        <v>566</v>
      </c>
      <c r="I118" t="s">
        <v>2225</v>
      </c>
      <c r="J118" s="41">
        <v>47.76</v>
      </c>
      <c r="K118" s="41">
        <v>270.35000000000002</v>
      </c>
      <c r="L118" t="s">
        <v>1573</v>
      </c>
      <c r="M118" t="s">
        <v>2227</v>
      </c>
      <c r="N118" t="s">
        <v>2268</v>
      </c>
    </row>
    <row r="119" spans="1:14" x14ac:dyDescent="0.3">
      <c r="A119" t="s">
        <v>551</v>
      </c>
      <c r="B119" t="s">
        <v>658</v>
      </c>
      <c r="C119" t="s">
        <v>976</v>
      </c>
      <c r="D119" t="s">
        <v>496</v>
      </c>
      <c r="E119" t="s">
        <v>1064</v>
      </c>
      <c r="F119" t="s">
        <v>1065</v>
      </c>
      <c r="G119" t="s">
        <v>309</v>
      </c>
      <c r="H119" t="s">
        <v>571</v>
      </c>
      <c r="I119" t="s">
        <v>2225</v>
      </c>
      <c r="J119" s="41">
        <v>12</v>
      </c>
      <c r="K119" s="41">
        <v>252.73</v>
      </c>
      <c r="L119" t="s">
        <v>1573</v>
      </c>
      <c r="M119" t="s">
        <v>2227</v>
      </c>
      <c r="N119" t="s">
        <v>2268</v>
      </c>
    </row>
    <row r="120" spans="1:14" x14ac:dyDescent="0.3">
      <c r="A120" t="s">
        <v>551</v>
      </c>
      <c r="B120" t="s">
        <v>658</v>
      </c>
      <c r="C120" t="s">
        <v>976</v>
      </c>
      <c r="D120" t="s">
        <v>496</v>
      </c>
      <c r="E120" t="s">
        <v>1064</v>
      </c>
      <c r="F120" t="s">
        <v>1065</v>
      </c>
      <c r="G120" t="s">
        <v>309</v>
      </c>
      <c r="H120" t="s">
        <v>571</v>
      </c>
      <c r="I120" t="s">
        <v>2225</v>
      </c>
      <c r="J120" s="41">
        <v>26.55</v>
      </c>
      <c r="K120" s="41">
        <v>26.55</v>
      </c>
      <c r="L120" t="s">
        <v>1573</v>
      </c>
      <c r="M120" t="s">
        <v>2227</v>
      </c>
      <c r="N120" t="s">
        <v>2268</v>
      </c>
    </row>
    <row r="121" spans="1:14" x14ac:dyDescent="0.3">
      <c r="A121" t="s">
        <v>551</v>
      </c>
      <c r="B121" t="s">
        <v>658</v>
      </c>
      <c r="C121" t="s">
        <v>976</v>
      </c>
      <c r="D121" t="s">
        <v>496</v>
      </c>
      <c r="E121" t="s">
        <v>1064</v>
      </c>
      <c r="F121" t="s">
        <v>1065</v>
      </c>
      <c r="G121" t="s">
        <v>309</v>
      </c>
      <c r="H121" t="s">
        <v>571</v>
      </c>
      <c r="I121" t="s">
        <v>2225</v>
      </c>
      <c r="J121" s="41">
        <v>64.790000000000006</v>
      </c>
      <c r="K121" s="41">
        <v>64.790000000000006</v>
      </c>
      <c r="L121" t="s">
        <v>1573</v>
      </c>
      <c r="M121" t="s">
        <v>2227</v>
      </c>
      <c r="N121" t="s">
        <v>2268</v>
      </c>
    </row>
    <row r="122" spans="1:14" x14ac:dyDescent="0.3">
      <c r="A122" t="s">
        <v>551</v>
      </c>
      <c r="B122" t="s">
        <v>658</v>
      </c>
      <c r="C122" t="s">
        <v>976</v>
      </c>
      <c r="D122" t="s">
        <v>496</v>
      </c>
      <c r="E122" t="s">
        <v>1068</v>
      </c>
      <c r="F122" t="s">
        <v>568</v>
      </c>
      <c r="G122" t="s">
        <v>309</v>
      </c>
      <c r="H122" t="s">
        <v>568</v>
      </c>
      <c r="I122" t="s">
        <v>2225</v>
      </c>
      <c r="J122" s="41">
        <v>70.81</v>
      </c>
      <c r="K122" s="41">
        <v>70.81</v>
      </c>
      <c r="L122" t="s">
        <v>1573</v>
      </c>
      <c r="M122" t="s">
        <v>2227</v>
      </c>
      <c r="N122" t="s">
        <v>2268</v>
      </c>
    </row>
    <row r="123" spans="1:14" x14ac:dyDescent="0.3">
      <c r="A123" t="s">
        <v>551</v>
      </c>
      <c r="B123" t="s">
        <v>658</v>
      </c>
      <c r="C123" t="s">
        <v>976</v>
      </c>
      <c r="D123" t="s">
        <v>496</v>
      </c>
      <c r="E123" t="s">
        <v>1079</v>
      </c>
      <c r="F123" t="s">
        <v>1080</v>
      </c>
      <c r="G123" t="s">
        <v>309</v>
      </c>
      <c r="H123" t="s">
        <v>571</v>
      </c>
      <c r="I123" t="s">
        <v>2225</v>
      </c>
      <c r="J123" s="41">
        <v>39.61</v>
      </c>
      <c r="K123" s="41">
        <v>39.61</v>
      </c>
      <c r="L123" t="s">
        <v>1573</v>
      </c>
      <c r="M123" t="s">
        <v>2227</v>
      </c>
      <c r="N123" t="s">
        <v>2268</v>
      </c>
    </row>
    <row r="124" spans="1:14" x14ac:dyDescent="0.3">
      <c r="A124" t="s">
        <v>551</v>
      </c>
      <c r="B124" t="s">
        <v>658</v>
      </c>
      <c r="C124" t="s">
        <v>976</v>
      </c>
      <c r="D124" t="s">
        <v>496</v>
      </c>
      <c r="E124" t="s">
        <v>1079</v>
      </c>
      <c r="F124" t="s">
        <v>1080</v>
      </c>
      <c r="G124" t="s">
        <v>309</v>
      </c>
      <c r="H124" t="s">
        <v>571</v>
      </c>
      <c r="I124" t="s">
        <v>2225</v>
      </c>
      <c r="J124" s="41">
        <v>74.31</v>
      </c>
      <c r="K124" s="41">
        <v>74.31</v>
      </c>
      <c r="L124" t="s">
        <v>1573</v>
      </c>
      <c r="M124" t="s">
        <v>2227</v>
      </c>
      <c r="N124" t="s">
        <v>2268</v>
      </c>
    </row>
    <row r="125" spans="1:14" x14ac:dyDescent="0.3">
      <c r="A125" t="s">
        <v>551</v>
      </c>
      <c r="B125" t="s">
        <v>658</v>
      </c>
      <c r="C125" t="s">
        <v>976</v>
      </c>
      <c r="D125" t="s">
        <v>496</v>
      </c>
      <c r="E125" t="s">
        <v>1079</v>
      </c>
      <c r="F125" t="s">
        <v>1080</v>
      </c>
      <c r="G125" t="s">
        <v>309</v>
      </c>
      <c r="H125" t="s">
        <v>571</v>
      </c>
      <c r="I125" t="s">
        <v>2225</v>
      </c>
      <c r="J125" s="41">
        <v>0</v>
      </c>
      <c r="K125" s="41">
        <v>15</v>
      </c>
      <c r="L125" t="s">
        <v>1573</v>
      </c>
      <c r="M125" t="s">
        <v>2227</v>
      </c>
      <c r="N125" t="s">
        <v>2268</v>
      </c>
    </row>
    <row r="126" spans="1:14" x14ac:dyDescent="0.3">
      <c r="A126" t="s">
        <v>551</v>
      </c>
      <c r="B126" t="s">
        <v>658</v>
      </c>
      <c r="C126" t="s">
        <v>976</v>
      </c>
      <c r="D126" t="s">
        <v>496</v>
      </c>
      <c r="E126" t="s">
        <v>1079</v>
      </c>
      <c r="F126" t="s">
        <v>1080</v>
      </c>
      <c r="G126" t="s">
        <v>309</v>
      </c>
      <c r="H126" t="s">
        <v>571</v>
      </c>
      <c r="I126" t="s">
        <v>2225</v>
      </c>
      <c r="J126" s="41">
        <v>0</v>
      </c>
      <c r="K126" s="41">
        <v>7</v>
      </c>
      <c r="L126" t="s">
        <v>1573</v>
      </c>
      <c r="M126" t="s">
        <v>2227</v>
      </c>
      <c r="N126" t="s">
        <v>2268</v>
      </c>
    </row>
    <row r="127" spans="1:14" x14ac:dyDescent="0.3">
      <c r="A127" t="s">
        <v>551</v>
      </c>
      <c r="B127" t="s">
        <v>658</v>
      </c>
      <c r="C127" t="s">
        <v>976</v>
      </c>
      <c r="D127" t="s">
        <v>496</v>
      </c>
      <c r="E127" t="s">
        <v>1123</v>
      </c>
      <c r="F127" t="s">
        <v>717</v>
      </c>
      <c r="G127" t="s">
        <v>304</v>
      </c>
      <c r="H127" t="s">
        <v>561</v>
      </c>
      <c r="I127" t="s">
        <v>561</v>
      </c>
      <c r="J127" s="41">
        <v>30</v>
      </c>
      <c r="K127" s="41">
        <v>80</v>
      </c>
      <c r="L127" t="s">
        <v>1573</v>
      </c>
      <c r="M127" t="s">
        <v>2227</v>
      </c>
      <c r="N127" t="s">
        <v>2268</v>
      </c>
    </row>
    <row r="128" spans="1:14" x14ac:dyDescent="0.3">
      <c r="A128" t="s">
        <v>551</v>
      </c>
      <c r="B128" t="s">
        <v>1265</v>
      </c>
      <c r="C128" t="s">
        <v>975</v>
      </c>
      <c r="D128" t="s">
        <v>686</v>
      </c>
      <c r="E128" t="s">
        <v>1062</v>
      </c>
      <c r="F128" t="s">
        <v>1063</v>
      </c>
      <c r="G128" t="s">
        <v>309</v>
      </c>
      <c r="H128" t="s">
        <v>566</v>
      </c>
      <c r="I128" t="s">
        <v>2225</v>
      </c>
      <c r="J128" s="41">
        <v>505.35</v>
      </c>
      <c r="K128" s="41">
        <v>505.35</v>
      </c>
      <c r="L128" t="s">
        <v>1576</v>
      </c>
      <c r="M128" t="s">
        <v>2227</v>
      </c>
      <c r="N128" t="s">
        <v>2268</v>
      </c>
    </row>
    <row r="129" spans="1:14" x14ac:dyDescent="0.3">
      <c r="A129" t="s">
        <v>551</v>
      </c>
      <c r="B129" t="s">
        <v>1265</v>
      </c>
      <c r="C129" t="s">
        <v>975</v>
      </c>
      <c r="D129" t="s">
        <v>686</v>
      </c>
      <c r="E129" t="s">
        <v>1062</v>
      </c>
      <c r="F129" t="s">
        <v>1063</v>
      </c>
      <c r="G129" t="s">
        <v>309</v>
      </c>
      <c r="H129" t="s">
        <v>566</v>
      </c>
      <c r="I129" t="s">
        <v>2225</v>
      </c>
      <c r="J129" s="41">
        <v>350</v>
      </c>
      <c r="K129" s="41">
        <v>350</v>
      </c>
      <c r="L129" t="s">
        <v>1576</v>
      </c>
      <c r="M129" t="s">
        <v>2227</v>
      </c>
      <c r="N129" t="s">
        <v>2268</v>
      </c>
    </row>
    <row r="130" spans="1:14" x14ac:dyDescent="0.3">
      <c r="A130" t="s">
        <v>551</v>
      </c>
      <c r="B130" t="s">
        <v>1265</v>
      </c>
      <c r="C130" t="s">
        <v>975</v>
      </c>
      <c r="D130" t="s">
        <v>686</v>
      </c>
      <c r="E130" t="s">
        <v>1095</v>
      </c>
      <c r="F130" t="s">
        <v>1096</v>
      </c>
      <c r="G130" t="s">
        <v>377</v>
      </c>
      <c r="H130" t="s">
        <v>566</v>
      </c>
      <c r="I130" t="s">
        <v>190</v>
      </c>
      <c r="J130" s="41">
        <v>0</v>
      </c>
      <c r="K130" s="41">
        <v>2127</v>
      </c>
      <c r="L130" t="s">
        <v>1576</v>
      </c>
      <c r="M130" t="s">
        <v>2227</v>
      </c>
      <c r="N130" t="s">
        <v>2268</v>
      </c>
    </row>
    <row r="131" spans="1:14" x14ac:dyDescent="0.3">
      <c r="A131" t="s">
        <v>551</v>
      </c>
      <c r="B131" t="s">
        <v>1265</v>
      </c>
      <c r="C131" t="s">
        <v>975</v>
      </c>
      <c r="D131" t="s">
        <v>686</v>
      </c>
      <c r="E131" t="s">
        <v>1123</v>
      </c>
      <c r="F131" t="s">
        <v>717</v>
      </c>
      <c r="G131" t="s">
        <v>304</v>
      </c>
      <c r="H131" t="s">
        <v>561</v>
      </c>
      <c r="I131" t="s">
        <v>561</v>
      </c>
      <c r="J131" s="41">
        <v>11</v>
      </c>
      <c r="K131" s="41">
        <v>22.06</v>
      </c>
      <c r="L131" t="s">
        <v>1576</v>
      </c>
      <c r="M131" t="s">
        <v>2227</v>
      </c>
      <c r="N131" t="s">
        <v>2268</v>
      </c>
    </row>
    <row r="132" spans="1:14" x14ac:dyDescent="0.3">
      <c r="A132" t="s">
        <v>551</v>
      </c>
      <c r="B132" t="s">
        <v>1265</v>
      </c>
      <c r="C132" t="s">
        <v>975</v>
      </c>
      <c r="D132" t="s">
        <v>686</v>
      </c>
      <c r="E132" t="s">
        <v>1123</v>
      </c>
      <c r="F132" t="s">
        <v>717</v>
      </c>
      <c r="G132" t="s">
        <v>304</v>
      </c>
      <c r="H132" t="s">
        <v>561</v>
      </c>
      <c r="I132" t="s">
        <v>561</v>
      </c>
      <c r="J132" s="41">
        <v>3.4</v>
      </c>
      <c r="K132" s="41">
        <v>5.05</v>
      </c>
      <c r="L132" t="s">
        <v>1576</v>
      </c>
      <c r="M132" t="s">
        <v>2227</v>
      </c>
      <c r="N132" t="s">
        <v>2268</v>
      </c>
    </row>
    <row r="133" spans="1:14" x14ac:dyDescent="0.3">
      <c r="A133" t="s">
        <v>551</v>
      </c>
      <c r="B133" t="s">
        <v>1265</v>
      </c>
      <c r="C133" t="s">
        <v>975</v>
      </c>
      <c r="D133" t="s">
        <v>686</v>
      </c>
      <c r="E133" t="s">
        <v>1123</v>
      </c>
      <c r="F133" t="s">
        <v>717</v>
      </c>
      <c r="G133" t="s">
        <v>304</v>
      </c>
      <c r="H133" t="s">
        <v>561</v>
      </c>
      <c r="I133" t="s">
        <v>561</v>
      </c>
      <c r="J133" s="41">
        <v>80</v>
      </c>
      <c r="K133" s="41">
        <v>160</v>
      </c>
      <c r="L133" t="s">
        <v>1576</v>
      </c>
      <c r="M133" t="s">
        <v>2227</v>
      </c>
      <c r="N133" t="s">
        <v>2268</v>
      </c>
    </row>
    <row r="134" spans="1:14" x14ac:dyDescent="0.3">
      <c r="A134" t="s">
        <v>551</v>
      </c>
      <c r="B134" t="s">
        <v>1373</v>
      </c>
      <c r="C134" t="s">
        <v>974</v>
      </c>
      <c r="D134" t="s">
        <v>496</v>
      </c>
      <c r="E134" t="s">
        <v>1060</v>
      </c>
      <c r="F134" t="s">
        <v>1061</v>
      </c>
      <c r="G134" t="s">
        <v>309</v>
      </c>
      <c r="H134" t="s">
        <v>565</v>
      </c>
      <c r="I134" t="s">
        <v>2225</v>
      </c>
      <c r="J134" s="41">
        <v>2592.17</v>
      </c>
      <c r="K134" s="41">
        <v>5184.34</v>
      </c>
      <c r="L134" t="s">
        <v>1578</v>
      </c>
      <c r="M134" t="s">
        <v>2227</v>
      </c>
      <c r="N134" t="s">
        <v>2268</v>
      </c>
    </row>
    <row r="135" spans="1:14" x14ac:dyDescent="0.3">
      <c r="A135" t="s">
        <v>551</v>
      </c>
      <c r="B135" t="s">
        <v>1373</v>
      </c>
      <c r="C135" t="s">
        <v>974</v>
      </c>
      <c r="D135" t="s">
        <v>496</v>
      </c>
      <c r="E135" t="s">
        <v>1075</v>
      </c>
      <c r="F135" t="s">
        <v>1076</v>
      </c>
      <c r="G135" t="s">
        <v>309</v>
      </c>
      <c r="H135" t="s">
        <v>570</v>
      </c>
      <c r="I135" t="s">
        <v>2225</v>
      </c>
      <c r="J135" s="41">
        <v>9.91</v>
      </c>
      <c r="K135" s="41">
        <v>9.91</v>
      </c>
      <c r="L135" t="s">
        <v>1578</v>
      </c>
      <c r="M135" t="s">
        <v>2227</v>
      </c>
      <c r="N135" t="s">
        <v>2268</v>
      </c>
    </row>
    <row r="136" spans="1:14" x14ac:dyDescent="0.3">
      <c r="A136" t="s">
        <v>551</v>
      </c>
      <c r="B136" t="s">
        <v>1373</v>
      </c>
      <c r="C136" t="s">
        <v>974</v>
      </c>
      <c r="D136" t="s">
        <v>496</v>
      </c>
      <c r="E136" t="s">
        <v>1060</v>
      </c>
      <c r="F136" t="s">
        <v>1061</v>
      </c>
      <c r="G136" t="s">
        <v>309</v>
      </c>
      <c r="H136" t="s">
        <v>565</v>
      </c>
      <c r="I136" t="s">
        <v>2225</v>
      </c>
      <c r="J136" s="41">
        <v>7600</v>
      </c>
      <c r="K136" s="41">
        <v>7600</v>
      </c>
      <c r="L136" t="s">
        <v>1578</v>
      </c>
      <c r="M136" t="s">
        <v>2227</v>
      </c>
      <c r="N136" t="s">
        <v>2268</v>
      </c>
    </row>
    <row r="137" spans="1:14" x14ac:dyDescent="0.3">
      <c r="A137" t="s">
        <v>551</v>
      </c>
      <c r="B137" t="s">
        <v>1373</v>
      </c>
      <c r="C137" t="s">
        <v>974</v>
      </c>
      <c r="D137" t="s">
        <v>496</v>
      </c>
      <c r="E137" t="s">
        <v>1060</v>
      </c>
      <c r="F137" t="s">
        <v>1061</v>
      </c>
      <c r="G137" t="s">
        <v>309</v>
      </c>
      <c r="H137" t="s">
        <v>565</v>
      </c>
      <c r="I137" t="s">
        <v>2225</v>
      </c>
      <c r="J137" s="41">
        <v>0</v>
      </c>
      <c r="K137" s="41">
        <v>122.93</v>
      </c>
      <c r="L137" t="s">
        <v>1578</v>
      </c>
      <c r="M137" t="s">
        <v>2227</v>
      </c>
      <c r="N137" t="s">
        <v>2268</v>
      </c>
    </row>
    <row r="138" spans="1:14" x14ac:dyDescent="0.3">
      <c r="A138" t="s">
        <v>551</v>
      </c>
      <c r="B138" t="s">
        <v>1373</v>
      </c>
      <c r="C138" t="s">
        <v>974</v>
      </c>
      <c r="D138" t="s">
        <v>496</v>
      </c>
      <c r="E138" t="s">
        <v>1060</v>
      </c>
      <c r="F138" t="s">
        <v>1061</v>
      </c>
      <c r="G138" t="s">
        <v>309</v>
      </c>
      <c r="H138" t="s">
        <v>565</v>
      </c>
      <c r="I138" t="s">
        <v>2225</v>
      </c>
      <c r="J138" s="41">
        <v>736.33</v>
      </c>
      <c r="K138" s="41">
        <v>1571.66</v>
      </c>
      <c r="L138" t="s">
        <v>1578</v>
      </c>
      <c r="M138" t="s">
        <v>2227</v>
      </c>
      <c r="N138" t="s">
        <v>2268</v>
      </c>
    </row>
    <row r="139" spans="1:14" x14ac:dyDescent="0.3">
      <c r="A139" t="s">
        <v>551</v>
      </c>
      <c r="B139" t="s">
        <v>1373</v>
      </c>
      <c r="C139" t="s">
        <v>974</v>
      </c>
      <c r="D139" t="s">
        <v>496</v>
      </c>
      <c r="E139" t="s">
        <v>1062</v>
      </c>
      <c r="F139" t="s">
        <v>1063</v>
      </c>
      <c r="G139" t="s">
        <v>309</v>
      </c>
      <c r="H139" t="s">
        <v>566</v>
      </c>
      <c r="I139" t="s">
        <v>2225</v>
      </c>
      <c r="J139" s="41">
        <v>445</v>
      </c>
      <c r="K139" s="41">
        <v>445</v>
      </c>
      <c r="L139" t="s">
        <v>1578</v>
      </c>
      <c r="M139" t="s">
        <v>2227</v>
      </c>
      <c r="N139" t="s">
        <v>2268</v>
      </c>
    </row>
    <row r="140" spans="1:14" x14ac:dyDescent="0.3">
      <c r="A140" t="s">
        <v>551</v>
      </c>
      <c r="B140" t="s">
        <v>1373</v>
      </c>
      <c r="C140" t="s">
        <v>974</v>
      </c>
      <c r="D140" t="s">
        <v>496</v>
      </c>
      <c r="E140" t="s">
        <v>1064</v>
      </c>
      <c r="F140" t="s">
        <v>1065</v>
      </c>
      <c r="G140" t="s">
        <v>309</v>
      </c>
      <c r="H140" t="s">
        <v>571</v>
      </c>
      <c r="I140" t="s">
        <v>2225</v>
      </c>
      <c r="J140" s="41">
        <v>4021.87</v>
      </c>
      <c r="K140" s="41">
        <v>4021.87</v>
      </c>
      <c r="L140" t="s">
        <v>1578</v>
      </c>
      <c r="M140" t="s">
        <v>2227</v>
      </c>
      <c r="N140" t="s">
        <v>2268</v>
      </c>
    </row>
    <row r="141" spans="1:14" x14ac:dyDescent="0.3">
      <c r="A141" t="s">
        <v>551</v>
      </c>
      <c r="B141" t="s">
        <v>1373</v>
      </c>
      <c r="C141" t="s">
        <v>974</v>
      </c>
      <c r="D141" t="s">
        <v>496</v>
      </c>
      <c r="E141" t="s">
        <v>1069</v>
      </c>
      <c r="F141" t="s">
        <v>1070</v>
      </c>
      <c r="G141" t="s">
        <v>309</v>
      </c>
      <c r="H141" t="s">
        <v>569</v>
      </c>
      <c r="I141" t="s">
        <v>2225</v>
      </c>
      <c r="J141" s="41">
        <v>204</v>
      </c>
      <c r="K141" s="41">
        <v>225.35</v>
      </c>
      <c r="L141" t="s">
        <v>1578</v>
      </c>
      <c r="M141" t="s">
        <v>2227</v>
      </c>
      <c r="N141" t="s">
        <v>2268</v>
      </c>
    </row>
    <row r="142" spans="1:14" x14ac:dyDescent="0.3">
      <c r="A142" t="s">
        <v>551</v>
      </c>
      <c r="B142" t="s">
        <v>1373</v>
      </c>
      <c r="C142" t="s">
        <v>974</v>
      </c>
      <c r="D142" t="s">
        <v>496</v>
      </c>
      <c r="E142" t="s">
        <v>1069</v>
      </c>
      <c r="F142" t="s">
        <v>1070</v>
      </c>
      <c r="G142" t="s">
        <v>309</v>
      </c>
      <c r="H142" t="s">
        <v>569</v>
      </c>
      <c r="I142" t="s">
        <v>2225</v>
      </c>
      <c r="J142" s="41">
        <v>191.4</v>
      </c>
      <c r="K142" s="41">
        <v>191.4</v>
      </c>
      <c r="L142" t="s">
        <v>1578</v>
      </c>
      <c r="M142" t="s">
        <v>2227</v>
      </c>
      <c r="N142" t="s">
        <v>2268</v>
      </c>
    </row>
    <row r="143" spans="1:14" x14ac:dyDescent="0.3">
      <c r="A143" t="s">
        <v>551</v>
      </c>
      <c r="B143" t="s">
        <v>1373</v>
      </c>
      <c r="C143" t="s">
        <v>974</v>
      </c>
      <c r="D143" t="s">
        <v>496</v>
      </c>
      <c r="E143" t="s">
        <v>1069</v>
      </c>
      <c r="F143" t="s">
        <v>1070</v>
      </c>
      <c r="G143" t="s">
        <v>309</v>
      </c>
      <c r="H143" t="s">
        <v>569</v>
      </c>
      <c r="I143" t="s">
        <v>2225</v>
      </c>
      <c r="J143" s="41">
        <v>20</v>
      </c>
      <c r="K143" s="41">
        <v>40</v>
      </c>
      <c r="L143" t="s">
        <v>1578</v>
      </c>
      <c r="M143" t="s">
        <v>2227</v>
      </c>
      <c r="N143" t="s">
        <v>2268</v>
      </c>
    </row>
    <row r="144" spans="1:14" x14ac:dyDescent="0.3">
      <c r="A144" t="s">
        <v>551</v>
      </c>
      <c r="B144" t="s">
        <v>1373</v>
      </c>
      <c r="C144" t="s">
        <v>974</v>
      </c>
      <c r="D144" t="s">
        <v>496</v>
      </c>
      <c r="E144" t="s">
        <v>1073</v>
      </c>
      <c r="F144" t="s">
        <v>1074</v>
      </c>
      <c r="G144" t="s">
        <v>309</v>
      </c>
      <c r="H144" t="s">
        <v>569</v>
      </c>
      <c r="I144" t="s">
        <v>2225</v>
      </c>
      <c r="J144" s="41">
        <v>11.54</v>
      </c>
      <c r="K144" s="41">
        <v>22.9</v>
      </c>
      <c r="L144" t="s">
        <v>1578</v>
      </c>
      <c r="M144" t="s">
        <v>2227</v>
      </c>
      <c r="N144" t="s">
        <v>2268</v>
      </c>
    </row>
    <row r="145" spans="1:14" x14ac:dyDescent="0.3">
      <c r="A145" t="s">
        <v>551</v>
      </c>
      <c r="B145" t="s">
        <v>1373</v>
      </c>
      <c r="C145" t="s">
        <v>974</v>
      </c>
      <c r="D145" t="s">
        <v>496</v>
      </c>
      <c r="E145" t="s">
        <v>1077</v>
      </c>
      <c r="F145" t="s">
        <v>1078</v>
      </c>
      <c r="G145" t="s">
        <v>309</v>
      </c>
      <c r="H145" t="s">
        <v>569</v>
      </c>
      <c r="I145" t="s">
        <v>2225</v>
      </c>
      <c r="J145" s="41">
        <v>177.24</v>
      </c>
      <c r="K145" s="41">
        <v>405.87</v>
      </c>
      <c r="L145" t="s">
        <v>1578</v>
      </c>
      <c r="M145" t="s">
        <v>1155</v>
      </c>
      <c r="N145" t="s">
        <v>2268</v>
      </c>
    </row>
    <row r="146" spans="1:14" x14ac:dyDescent="0.3">
      <c r="A146" t="s">
        <v>551</v>
      </c>
      <c r="B146" t="s">
        <v>1373</v>
      </c>
      <c r="C146" t="s">
        <v>974</v>
      </c>
      <c r="D146" t="s">
        <v>496</v>
      </c>
      <c r="E146" t="s">
        <v>1079</v>
      </c>
      <c r="F146" t="s">
        <v>1080</v>
      </c>
      <c r="G146" t="s">
        <v>309</v>
      </c>
      <c r="H146" t="s">
        <v>571</v>
      </c>
      <c r="I146" t="s">
        <v>2225</v>
      </c>
      <c r="J146" s="41">
        <v>0</v>
      </c>
      <c r="K146" s="41">
        <v>50.73</v>
      </c>
      <c r="L146" t="s">
        <v>1578</v>
      </c>
      <c r="M146" t="s">
        <v>2227</v>
      </c>
      <c r="N146" t="s">
        <v>2268</v>
      </c>
    </row>
    <row r="147" spans="1:14" x14ac:dyDescent="0.3">
      <c r="A147" t="s">
        <v>551</v>
      </c>
      <c r="B147" t="s">
        <v>1373</v>
      </c>
      <c r="C147" t="s">
        <v>974</v>
      </c>
      <c r="D147" t="s">
        <v>496</v>
      </c>
      <c r="E147" t="s">
        <v>1081</v>
      </c>
      <c r="F147" t="s">
        <v>1082</v>
      </c>
      <c r="G147" t="s">
        <v>309</v>
      </c>
      <c r="H147" t="s">
        <v>571</v>
      </c>
      <c r="I147" t="s">
        <v>2225</v>
      </c>
      <c r="J147" s="41">
        <v>0</v>
      </c>
      <c r="K147" s="41">
        <v>177.68</v>
      </c>
      <c r="L147" t="s">
        <v>1578</v>
      </c>
      <c r="M147" t="s">
        <v>1155</v>
      </c>
      <c r="N147" t="s">
        <v>2268</v>
      </c>
    </row>
    <row r="148" spans="1:14" x14ac:dyDescent="0.3">
      <c r="A148" t="s">
        <v>551</v>
      </c>
      <c r="B148" t="s">
        <v>1373</v>
      </c>
      <c r="C148" t="s">
        <v>974</v>
      </c>
      <c r="D148" t="s">
        <v>496</v>
      </c>
      <c r="E148" t="s">
        <v>1081</v>
      </c>
      <c r="F148" t="s">
        <v>1082</v>
      </c>
      <c r="G148" t="s">
        <v>309</v>
      </c>
      <c r="H148" t="s">
        <v>571</v>
      </c>
      <c r="I148" t="s">
        <v>2225</v>
      </c>
      <c r="J148" s="41">
        <v>0</v>
      </c>
      <c r="K148" s="41">
        <v>248</v>
      </c>
      <c r="L148" t="s">
        <v>1578</v>
      </c>
      <c r="M148" t="s">
        <v>1155</v>
      </c>
      <c r="N148" t="s">
        <v>2268</v>
      </c>
    </row>
    <row r="149" spans="1:14" x14ac:dyDescent="0.3">
      <c r="A149" t="s">
        <v>551</v>
      </c>
      <c r="B149" t="s">
        <v>1373</v>
      </c>
      <c r="C149" t="s">
        <v>974</v>
      </c>
      <c r="D149" t="s">
        <v>496</v>
      </c>
      <c r="E149" t="s">
        <v>1081</v>
      </c>
      <c r="F149" t="s">
        <v>1082</v>
      </c>
      <c r="G149" t="s">
        <v>309</v>
      </c>
      <c r="H149" t="s">
        <v>571</v>
      </c>
      <c r="I149" t="s">
        <v>2225</v>
      </c>
      <c r="J149" s="41">
        <v>0</v>
      </c>
      <c r="K149" s="41">
        <v>30.09</v>
      </c>
      <c r="L149" t="s">
        <v>1578</v>
      </c>
      <c r="M149" t="s">
        <v>1155</v>
      </c>
      <c r="N149" t="s">
        <v>2268</v>
      </c>
    </row>
    <row r="150" spans="1:14" x14ac:dyDescent="0.3">
      <c r="A150" t="s">
        <v>551</v>
      </c>
      <c r="B150" t="s">
        <v>1373</v>
      </c>
      <c r="C150" t="s">
        <v>974</v>
      </c>
      <c r="D150" t="s">
        <v>496</v>
      </c>
      <c r="E150" t="s">
        <v>1062</v>
      </c>
      <c r="F150" t="s">
        <v>1063</v>
      </c>
      <c r="G150" t="s">
        <v>309</v>
      </c>
      <c r="H150" t="s">
        <v>566</v>
      </c>
      <c r="I150" t="s">
        <v>2225</v>
      </c>
      <c r="J150" s="41">
        <v>0</v>
      </c>
      <c r="K150" s="41">
        <v>1500</v>
      </c>
      <c r="L150" t="s">
        <v>1578</v>
      </c>
      <c r="M150" t="s">
        <v>2227</v>
      </c>
      <c r="N150" t="s">
        <v>2268</v>
      </c>
    </row>
    <row r="151" spans="1:14" x14ac:dyDescent="0.3">
      <c r="A151" t="s">
        <v>551</v>
      </c>
      <c r="B151" t="s">
        <v>1373</v>
      </c>
      <c r="C151" t="s">
        <v>974</v>
      </c>
      <c r="D151" t="s">
        <v>496</v>
      </c>
      <c r="E151" t="s">
        <v>1099</v>
      </c>
      <c r="F151" t="s">
        <v>1100</v>
      </c>
      <c r="G151" t="s">
        <v>377</v>
      </c>
      <c r="H151" t="s">
        <v>569</v>
      </c>
      <c r="I151" t="s">
        <v>190</v>
      </c>
      <c r="J151" s="41">
        <v>0</v>
      </c>
      <c r="K151" s="41">
        <v>648</v>
      </c>
      <c r="L151" t="s">
        <v>1578</v>
      </c>
      <c r="M151" t="s">
        <v>1155</v>
      </c>
      <c r="N151" t="s">
        <v>2268</v>
      </c>
    </row>
    <row r="152" spans="1:14" x14ac:dyDescent="0.3">
      <c r="A152" t="s">
        <v>551</v>
      </c>
      <c r="B152" t="s">
        <v>1373</v>
      </c>
      <c r="C152" t="s">
        <v>974</v>
      </c>
      <c r="D152" t="s">
        <v>496</v>
      </c>
      <c r="E152" t="s">
        <v>1123</v>
      </c>
      <c r="F152" t="s">
        <v>717</v>
      </c>
      <c r="G152" t="s">
        <v>304</v>
      </c>
      <c r="H152" t="s">
        <v>561</v>
      </c>
      <c r="I152" t="s">
        <v>561</v>
      </c>
      <c r="J152" s="41">
        <v>5.22</v>
      </c>
      <c r="K152" s="41">
        <v>5.22</v>
      </c>
      <c r="L152" t="s">
        <v>1578</v>
      </c>
      <c r="M152" t="s">
        <v>2227</v>
      </c>
      <c r="N152" t="s">
        <v>2268</v>
      </c>
    </row>
    <row r="153" spans="1:14" x14ac:dyDescent="0.3">
      <c r="A153" t="s">
        <v>551</v>
      </c>
      <c r="B153" t="s">
        <v>1373</v>
      </c>
      <c r="C153" t="s">
        <v>974</v>
      </c>
      <c r="D153" t="s">
        <v>496</v>
      </c>
      <c r="E153" t="s">
        <v>1123</v>
      </c>
      <c r="F153" t="s">
        <v>717</v>
      </c>
      <c r="G153" t="s">
        <v>304</v>
      </c>
      <c r="H153" t="s">
        <v>561</v>
      </c>
      <c r="I153" t="s">
        <v>561</v>
      </c>
      <c r="J153" s="41">
        <v>77.849999999999994</v>
      </c>
      <c r="K153" s="41">
        <v>152.85</v>
      </c>
      <c r="L153" t="s">
        <v>1578</v>
      </c>
      <c r="M153" t="s">
        <v>2227</v>
      </c>
      <c r="N153" t="s">
        <v>2268</v>
      </c>
    </row>
    <row r="154" spans="1:14" x14ac:dyDescent="0.3">
      <c r="A154" t="s">
        <v>551</v>
      </c>
      <c r="B154" t="s">
        <v>1373</v>
      </c>
      <c r="C154" t="s">
        <v>974</v>
      </c>
      <c r="D154" t="s">
        <v>496</v>
      </c>
      <c r="E154" t="s">
        <v>1123</v>
      </c>
      <c r="F154" t="s">
        <v>717</v>
      </c>
      <c r="G154" t="s">
        <v>304</v>
      </c>
      <c r="H154" t="s">
        <v>561</v>
      </c>
      <c r="I154" t="s">
        <v>561</v>
      </c>
      <c r="J154" s="41">
        <v>0</v>
      </c>
      <c r="K154" s="41">
        <v>0.9</v>
      </c>
      <c r="L154" t="s">
        <v>1578</v>
      </c>
      <c r="M154" t="s">
        <v>2227</v>
      </c>
      <c r="N154" t="s">
        <v>2268</v>
      </c>
    </row>
    <row r="155" spans="1:14" x14ac:dyDescent="0.3">
      <c r="A155" t="s">
        <v>624</v>
      </c>
      <c r="B155" t="s">
        <v>1265</v>
      </c>
      <c r="C155" t="s">
        <v>975</v>
      </c>
      <c r="D155" t="s">
        <v>686</v>
      </c>
      <c r="E155" t="s">
        <v>1062</v>
      </c>
      <c r="F155" t="s">
        <v>1063</v>
      </c>
      <c r="G155" t="s">
        <v>309</v>
      </c>
      <c r="H155" t="s">
        <v>566</v>
      </c>
      <c r="I155" t="s">
        <v>2225</v>
      </c>
      <c r="J155" s="41">
        <v>528</v>
      </c>
      <c r="K155" s="41">
        <v>2596.9499999999998</v>
      </c>
      <c r="L155" t="s">
        <v>1583</v>
      </c>
      <c r="M155" t="s">
        <v>2227</v>
      </c>
      <c r="N155" t="s">
        <v>2268</v>
      </c>
    </row>
    <row r="156" spans="1:14" x14ac:dyDescent="0.3">
      <c r="A156" t="s">
        <v>624</v>
      </c>
      <c r="B156" t="s">
        <v>1265</v>
      </c>
      <c r="C156" t="s">
        <v>975</v>
      </c>
      <c r="D156" t="s">
        <v>686</v>
      </c>
      <c r="E156" t="s">
        <v>1062</v>
      </c>
      <c r="F156" t="s">
        <v>1063</v>
      </c>
      <c r="G156" t="s">
        <v>309</v>
      </c>
      <c r="H156" t="s">
        <v>566</v>
      </c>
      <c r="I156" t="s">
        <v>2225</v>
      </c>
      <c r="J156" s="41">
        <v>350</v>
      </c>
      <c r="K156" s="41">
        <v>2850</v>
      </c>
      <c r="L156" t="s">
        <v>1583</v>
      </c>
      <c r="M156" t="s">
        <v>2227</v>
      </c>
      <c r="N156" t="s">
        <v>2268</v>
      </c>
    </row>
    <row r="157" spans="1:14" x14ac:dyDescent="0.3">
      <c r="A157" t="s">
        <v>624</v>
      </c>
      <c r="B157" t="s">
        <v>1265</v>
      </c>
      <c r="C157" t="s">
        <v>975</v>
      </c>
      <c r="D157" t="s">
        <v>686</v>
      </c>
      <c r="E157" t="s">
        <v>1095</v>
      </c>
      <c r="F157" t="s">
        <v>1096</v>
      </c>
      <c r="G157" t="s">
        <v>377</v>
      </c>
      <c r="H157" t="s">
        <v>566</v>
      </c>
      <c r="I157" t="s">
        <v>190</v>
      </c>
      <c r="J157" s="41">
        <v>0</v>
      </c>
      <c r="K157" s="41">
        <v>7400.3</v>
      </c>
      <c r="L157" t="s">
        <v>1583</v>
      </c>
      <c r="M157" t="s">
        <v>2227</v>
      </c>
      <c r="N157" t="s">
        <v>2268</v>
      </c>
    </row>
    <row r="158" spans="1:14" x14ac:dyDescent="0.3">
      <c r="A158" t="s">
        <v>624</v>
      </c>
      <c r="B158" t="s">
        <v>1265</v>
      </c>
      <c r="C158" t="s">
        <v>975</v>
      </c>
      <c r="D158" t="s">
        <v>686</v>
      </c>
      <c r="E158" t="s">
        <v>1095</v>
      </c>
      <c r="F158" t="s">
        <v>1096</v>
      </c>
      <c r="G158" t="s">
        <v>377</v>
      </c>
      <c r="H158" t="s">
        <v>566</v>
      </c>
      <c r="I158" t="s">
        <v>190</v>
      </c>
      <c r="J158" s="41">
        <v>0</v>
      </c>
      <c r="K158" s="41">
        <v>15383.22</v>
      </c>
      <c r="L158" t="s">
        <v>1583</v>
      </c>
      <c r="M158" t="s">
        <v>2227</v>
      </c>
      <c r="N158" t="s">
        <v>2268</v>
      </c>
    </row>
    <row r="159" spans="1:14" x14ac:dyDescent="0.3">
      <c r="A159" t="s">
        <v>624</v>
      </c>
      <c r="B159" t="s">
        <v>1265</v>
      </c>
      <c r="C159" t="s">
        <v>975</v>
      </c>
      <c r="D159" t="s">
        <v>686</v>
      </c>
      <c r="E159" t="s">
        <v>1095</v>
      </c>
      <c r="F159" t="s">
        <v>1096</v>
      </c>
      <c r="G159" t="s">
        <v>377</v>
      </c>
      <c r="H159" t="s">
        <v>566</v>
      </c>
      <c r="I159" t="s">
        <v>190</v>
      </c>
      <c r="J159" s="41">
        <v>0</v>
      </c>
      <c r="K159" s="41">
        <v>7400.3</v>
      </c>
      <c r="L159" t="s">
        <v>1583</v>
      </c>
      <c r="M159" t="s">
        <v>2227</v>
      </c>
      <c r="N159" t="s">
        <v>2268</v>
      </c>
    </row>
    <row r="160" spans="1:14" x14ac:dyDescent="0.3">
      <c r="A160" t="s">
        <v>624</v>
      </c>
      <c r="B160" t="s">
        <v>1265</v>
      </c>
      <c r="C160" t="s">
        <v>975</v>
      </c>
      <c r="D160" t="s">
        <v>686</v>
      </c>
      <c r="E160" t="s">
        <v>1095</v>
      </c>
      <c r="F160" t="s">
        <v>1096</v>
      </c>
      <c r="G160" t="s">
        <v>377</v>
      </c>
      <c r="H160" t="s">
        <v>566</v>
      </c>
      <c r="I160" t="s">
        <v>190</v>
      </c>
      <c r="J160" s="41">
        <v>0</v>
      </c>
      <c r="K160" s="41">
        <v>2127</v>
      </c>
      <c r="L160" t="s">
        <v>1583</v>
      </c>
      <c r="M160" t="s">
        <v>2227</v>
      </c>
      <c r="N160" t="s">
        <v>2268</v>
      </c>
    </row>
    <row r="161" spans="1:14" x14ac:dyDescent="0.3">
      <c r="A161" t="s">
        <v>624</v>
      </c>
      <c r="B161" t="s">
        <v>1265</v>
      </c>
      <c r="C161" t="s">
        <v>975</v>
      </c>
      <c r="D161" t="s">
        <v>686</v>
      </c>
      <c r="E161" t="s">
        <v>1097</v>
      </c>
      <c r="F161" t="s">
        <v>1098</v>
      </c>
      <c r="G161" t="s">
        <v>377</v>
      </c>
      <c r="H161" t="s">
        <v>569</v>
      </c>
      <c r="I161" t="s">
        <v>190</v>
      </c>
      <c r="J161" s="41">
        <v>0</v>
      </c>
      <c r="K161" s="41">
        <v>1706.19</v>
      </c>
      <c r="L161" t="s">
        <v>1583</v>
      </c>
      <c r="M161" t="s">
        <v>2227</v>
      </c>
      <c r="N161" t="s">
        <v>2268</v>
      </c>
    </row>
    <row r="162" spans="1:14" x14ac:dyDescent="0.3">
      <c r="A162" t="s">
        <v>624</v>
      </c>
      <c r="B162" t="s">
        <v>1265</v>
      </c>
      <c r="C162" t="s">
        <v>975</v>
      </c>
      <c r="D162" t="s">
        <v>686</v>
      </c>
      <c r="E162" t="s">
        <v>1101</v>
      </c>
      <c r="F162" t="s">
        <v>1102</v>
      </c>
      <c r="G162" t="s">
        <v>377</v>
      </c>
      <c r="H162" t="s">
        <v>570</v>
      </c>
      <c r="I162" t="s">
        <v>190</v>
      </c>
      <c r="J162" s="41">
        <v>2822.19</v>
      </c>
      <c r="K162" s="41">
        <v>2822.19</v>
      </c>
      <c r="L162" t="s">
        <v>1583</v>
      </c>
      <c r="M162" t="s">
        <v>2227</v>
      </c>
      <c r="N162" t="s">
        <v>2268</v>
      </c>
    </row>
    <row r="163" spans="1:14" x14ac:dyDescent="0.3">
      <c r="A163" t="s">
        <v>624</v>
      </c>
      <c r="B163" t="s">
        <v>1265</v>
      </c>
      <c r="C163" t="s">
        <v>975</v>
      </c>
      <c r="D163" t="s">
        <v>686</v>
      </c>
      <c r="E163" t="s">
        <v>1101</v>
      </c>
      <c r="F163" t="s">
        <v>1102</v>
      </c>
      <c r="G163" t="s">
        <v>377</v>
      </c>
      <c r="H163" t="s">
        <v>570</v>
      </c>
      <c r="I163" t="s">
        <v>190</v>
      </c>
      <c r="J163" s="41">
        <v>0</v>
      </c>
      <c r="K163" s="41">
        <v>267.26</v>
      </c>
      <c r="L163" t="s">
        <v>1583</v>
      </c>
      <c r="M163" t="s">
        <v>2227</v>
      </c>
      <c r="N163" t="s">
        <v>2268</v>
      </c>
    </row>
    <row r="164" spans="1:14" x14ac:dyDescent="0.3">
      <c r="A164" t="s">
        <v>624</v>
      </c>
      <c r="B164" t="s">
        <v>1265</v>
      </c>
      <c r="C164" t="s">
        <v>975</v>
      </c>
      <c r="D164" t="s">
        <v>686</v>
      </c>
      <c r="E164" t="s">
        <v>1101</v>
      </c>
      <c r="F164" t="s">
        <v>1102</v>
      </c>
      <c r="G164" t="s">
        <v>377</v>
      </c>
      <c r="H164" t="s">
        <v>570</v>
      </c>
      <c r="I164" t="s">
        <v>190</v>
      </c>
      <c r="J164" s="41">
        <v>1183</v>
      </c>
      <c r="K164" s="41">
        <v>1183</v>
      </c>
      <c r="L164" t="s">
        <v>1583</v>
      </c>
      <c r="M164" t="s">
        <v>2227</v>
      </c>
      <c r="N164" t="s">
        <v>2268</v>
      </c>
    </row>
    <row r="165" spans="1:14" x14ac:dyDescent="0.3">
      <c r="A165" t="s">
        <v>624</v>
      </c>
      <c r="B165" t="s">
        <v>1265</v>
      </c>
      <c r="C165" t="s">
        <v>975</v>
      </c>
      <c r="D165" t="s">
        <v>686</v>
      </c>
      <c r="E165" t="s">
        <v>1101</v>
      </c>
      <c r="F165" t="s">
        <v>1102</v>
      </c>
      <c r="G165" t="s">
        <v>377</v>
      </c>
      <c r="H165" t="s">
        <v>570</v>
      </c>
      <c r="I165" t="s">
        <v>190</v>
      </c>
      <c r="J165" s="41">
        <v>0</v>
      </c>
      <c r="K165" s="41">
        <v>80.8</v>
      </c>
      <c r="L165" t="s">
        <v>1583</v>
      </c>
      <c r="M165" t="s">
        <v>2227</v>
      </c>
      <c r="N165" t="s">
        <v>2268</v>
      </c>
    </row>
    <row r="166" spans="1:14" x14ac:dyDescent="0.3">
      <c r="A166" t="s">
        <v>624</v>
      </c>
      <c r="B166" t="s">
        <v>1265</v>
      </c>
      <c r="C166" t="s">
        <v>975</v>
      </c>
      <c r="D166" t="s">
        <v>686</v>
      </c>
      <c r="E166" t="s">
        <v>1101</v>
      </c>
      <c r="F166" t="s">
        <v>1102</v>
      </c>
      <c r="G166" t="s">
        <v>377</v>
      </c>
      <c r="H166" t="s">
        <v>570</v>
      </c>
      <c r="I166" t="s">
        <v>190</v>
      </c>
      <c r="J166" s="41">
        <v>0</v>
      </c>
      <c r="K166" s="41">
        <v>20.68</v>
      </c>
      <c r="L166" t="s">
        <v>1583</v>
      </c>
      <c r="M166" t="s">
        <v>2227</v>
      </c>
      <c r="N166" t="s">
        <v>2268</v>
      </c>
    </row>
    <row r="167" spans="1:14" x14ac:dyDescent="0.3">
      <c r="A167" t="s">
        <v>624</v>
      </c>
      <c r="B167" t="s">
        <v>1265</v>
      </c>
      <c r="C167" t="s">
        <v>975</v>
      </c>
      <c r="D167" t="s">
        <v>686</v>
      </c>
      <c r="E167" t="s">
        <v>1101</v>
      </c>
      <c r="F167" t="s">
        <v>1102</v>
      </c>
      <c r="G167" t="s">
        <v>377</v>
      </c>
      <c r="H167" t="s">
        <v>570</v>
      </c>
      <c r="I167" t="s">
        <v>190</v>
      </c>
      <c r="J167" s="41">
        <v>471.49</v>
      </c>
      <c r="K167" s="41">
        <v>471.49</v>
      </c>
      <c r="L167" t="s">
        <v>1583</v>
      </c>
      <c r="M167" t="s">
        <v>2227</v>
      </c>
      <c r="N167" t="s">
        <v>2268</v>
      </c>
    </row>
    <row r="168" spans="1:14" x14ac:dyDescent="0.3">
      <c r="A168" t="s">
        <v>624</v>
      </c>
      <c r="B168" t="s">
        <v>1265</v>
      </c>
      <c r="C168" t="s">
        <v>975</v>
      </c>
      <c r="D168" t="s">
        <v>686</v>
      </c>
      <c r="E168" t="s">
        <v>1101</v>
      </c>
      <c r="F168" t="s">
        <v>1102</v>
      </c>
      <c r="G168" t="s">
        <v>377</v>
      </c>
      <c r="H168" t="s">
        <v>570</v>
      </c>
      <c r="I168" t="s">
        <v>190</v>
      </c>
      <c r="J168" s="41">
        <v>256</v>
      </c>
      <c r="K168" s="41">
        <v>256</v>
      </c>
      <c r="L168" t="s">
        <v>1583</v>
      </c>
      <c r="M168" t="s">
        <v>2227</v>
      </c>
      <c r="N168" t="s">
        <v>2268</v>
      </c>
    </row>
    <row r="169" spans="1:14" x14ac:dyDescent="0.3">
      <c r="A169" t="s">
        <v>624</v>
      </c>
      <c r="B169" t="s">
        <v>1265</v>
      </c>
      <c r="C169" t="s">
        <v>975</v>
      </c>
      <c r="D169" t="s">
        <v>686</v>
      </c>
      <c r="E169" t="s">
        <v>1101</v>
      </c>
      <c r="F169" t="s">
        <v>1102</v>
      </c>
      <c r="G169" t="s">
        <v>377</v>
      </c>
      <c r="H169" t="s">
        <v>570</v>
      </c>
      <c r="I169" t="s">
        <v>190</v>
      </c>
      <c r="J169" s="41">
        <v>269</v>
      </c>
      <c r="K169" s="41">
        <v>269</v>
      </c>
      <c r="L169" t="s">
        <v>1583</v>
      </c>
      <c r="M169" t="s">
        <v>2227</v>
      </c>
      <c r="N169" t="s">
        <v>2268</v>
      </c>
    </row>
    <row r="170" spans="1:14" x14ac:dyDescent="0.3">
      <c r="A170" t="s">
        <v>624</v>
      </c>
      <c r="B170" t="s">
        <v>1265</v>
      </c>
      <c r="C170" t="s">
        <v>975</v>
      </c>
      <c r="D170" t="s">
        <v>686</v>
      </c>
      <c r="E170" t="s">
        <v>1101</v>
      </c>
      <c r="F170" t="s">
        <v>1102</v>
      </c>
      <c r="G170" t="s">
        <v>377</v>
      </c>
      <c r="H170" t="s">
        <v>570</v>
      </c>
      <c r="I170" t="s">
        <v>190</v>
      </c>
      <c r="J170" s="41">
        <v>0</v>
      </c>
      <c r="K170" s="41">
        <v>114</v>
      </c>
      <c r="L170" t="s">
        <v>1583</v>
      </c>
      <c r="M170" t="s">
        <v>2227</v>
      </c>
      <c r="N170" t="s">
        <v>2268</v>
      </c>
    </row>
    <row r="171" spans="1:14" x14ac:dyDescent="0.3">
      <c r="A171" t="s">
        <v>624</v>
      </c>
      <c r="B171" t="s">
        <v>1265</v>
      </c>
      <c r="C171" t="s">
        <v>975</v>
      </c>
      <c r="D171" t="s">
        <v>686</v>
      </c>
      <c r="E171" t="s">
        <v>1101</v>
      </c>
      <c r="F171" t="s">
        <v>1102</v>
      </c>
      <c r="G171" t="s">
        <v>377</v>
      </c>
      <c r="H171" t="s">
        <v>570</v>
      </c>
      <c r="I171" t="s">
        <v>190</v>
      </c>
      <c r="J171" s="41">
        <v>124.6</v>
      </c>
      <c r="K171" s="41">
        <v>124.6</v>
      </c>
      <c r="L171" t="s">
        <v>1583</v>
      </c>
      <c r="M171" t="s">
        <v>2227</v>
      </c>
      <c r="N171" t="s">
        <v>2268</v>
      </c>
    </row>
    <row r="172" spans="1:14" x14ac:dyDescent="0.3">
      <c r="A172" t="s">
        <v>624</v>
      </c>
      <c r="B172" t="s">
        <v>1265</v>
      </c>
      <c r="C172" t="s">
        <v>975</v>
      </c>
      <c r="D172" t="s">
        <v>686</v>
      </c>
      <c r="E172" t="s">
        <v>1101</v>
      </c>
      <c r="F172" t="s">
        <v>1102</v>
      </c>
      <c r="G172" t="s">
        <v>377</v>
      </c>
      <c r="H172" t="s">
        <v>570</v>
      </c>
      <c r="I172" t="s">
        <v>190</v>
      </c>
      <c r="J172" s="41">
        <v>19.5</v>
      </c>
      <c r="K172" s="41">
        <v>19.5</v>
      </c>
      <c r="L172" t="s">
        <v>1583</v>
      </c>
      <c r="M172" t="s">
        <v>2227</v>
      </c>
      <c r="N172" t="s">
        <v>2268</v>
      </c>
    </row>
    <row r="173" spans="1:14" x14ac:dyDescent="0.3">
      <c r="A173" t="s">
        <v>624</v>
      </c>
      <c r="B173" t="s">
        <v>1265</v>
      </c>
      <c r="C173" t="s">
        <v>975</v>
      </c>
      <c r="D173" t="s">
        <v>686</v>
      </c>
      <c r="E173" t="s">
        <v>1101</v>
      </c>
      <c r="F173" t="s">
        <v>1102</v>
      </c>
      <c r="G173" t="s">
        <v>377</v>
      </c>
      <c r="H173" t="s">
        <v>570</v>
      </c>
      <c r="I173" t="s">
        <v>190</v>
      </c>
      <c r="J173" s="41">
        <v>0</v>
      </c>
      <c r="K173" s="41">
        <v>520</v>
      </c>
      <c r="L173" t="s">
        <v>1583</v>
      </c>
      <c r="M173" t="s">
        <v>2227</v>
      </c>
      <c r="N173" t="s">
        <v>2268</v>
      </c>
    </row>
    <row r="174" spans="1:14" x14ac:dyDescent="0.3">
      <c r="A174" t="s">
        <v>624</v>
      </c>
      <c r="B174" t="s">
        <v>1265</v>
      </c>
      <c r="C174" t="s">
        <v>975</v>
      </c>
      <c r="D174" t="s">
        <v>686</v>
      </c>
      <c r="E174" t="s">
        <v>1101</v>
      </c>
      <c r="F174" t="s">
        <v>1102</v>
      </c>
      <c r="G174" t="s">
        <v>377</v>
      </c>
      <c r="H174" t="s">
        <v>570</v>
      </c>
      <c r="I174" t="s">
        <v>190</v>
      </c>
      <c r="J174" s="41">
        <v>0</v>
      </c>
      <c r="K174" s="41">
        <v>6</v>
      </c>
      <c r="L174" t="s">
        <v>1583</v>
      </c>
      <c r="M174" t="s">
        <v>2227</v>
      </c>
      <c r="N174" t="s">
        <v>2268</v>
      </c>
    </row>
    <row r="175" spans="1:14" x14ac:dyDescent="0.3">
      <c r="A175" t="s">
        <v>624</v>
      </c>
      <c r="B175" t="s">
        <v>1265</v>
      </c>
      <c r="C175" t="s">
        <v>975</v>
      </c>
      <c r="D175" t="s">
        <v>686</v>
      </c>
      <c r="E175" t="s">
        <v>1101</v>
      </c>
      <c r="F175" t="s">
        <v>1102</v>
      </c>
      <c r="G175" t="s">
        <v>377</v>
      </c>
      <c r="H175" t="s">
        <v>570</v>
      </c>
      <c r="I175" t="s">
        <v>190</v>
      </c>
      <c r="J175" s="41">
        <v>0</v>
      </c>
      <c r="K175" s="41">
        <v>226.33</v>
      </c>
      <c r="L175" t="s">
        <v>1583</v>
      </c>
      <c r="M175" t="s">
        <v>2227</v>
      </c>
      <c r="N175" t="s">
        <v>2268</v>
      </c>
    </row>
    <row r="176" spans="1:14" x14ac:dyDescent="0.3">
      <c r="A176" t="s">
        <v>624</v>
      </c>
      <c r="B176" t="s">
        <v>1265</v>
      </c>
      <c r="C176" t="s">
        <v>975</v>
      </c>
      <c r="D176" t="s">
        <v>686</v>
      </c>
      <c r="E176" t="s">
        <v>1101</v>
      </c>
      <c r="F176" t="s">
        <v>1102</v>
      </c>
      <c r="G176" t="s">
        <v>377</v>
      </c>
      <c r="H176" t="s">
        <v>570</v>
      </c>
      <c r="I176" t="s">
        <v>190</v>
      </c>
      <c r="J176" s="41">
        <v>0</v>
      </c>
      <c r="K176" s="41">
        <v>386.7</v>
      </c>
      <c r="L176" t="s">
        <v>1583</v>
      </c>
      <c r="M176" t="s">
        <v>2227</v>
      </c>
      <c r="N176" t="s">
        <v>2268</v>
      </c>
    </row>
    <row r="177" spans="1:14" x14ac:dyDescent="0.3">
      <c r="A177" t="s">
        <v>624</v>
      </c>
      <c r="B177" t="s">
        <v>1265</v>
      </c>
      <c r="C177" t="s">
        <v>975</v>
      </c>
      <c r="D177" t="s">
        <v>686</v>
      </c>
      <c r="E177" t="s">
        <v>1101</v>
      </c>
      <c r="F177" t="s">
        <v>1102</v>
      </c>
      <c r="G177" t="s">
        <v>377</v>
      </c>
      <c r="H177" t="s">
        <v>570</v>
      </c>
      <c r="I177" t="s">
        <v>190</v>
      </c>
      <c r="J177" s="41">
        <v>0</v>
      </c>
      <c r="K177" s="41">
        <v>150.72</v>
      </c>
      <c r="L177" t="s">
        <v>1583</v>
      </c>
      <c r="M177" t="s">
        <v>2227</v>
      </c>
      <c r="N177" t="s">
        <v>2268</v>
      </c>
    </row>
    <row r="178" spans="1:14" x14ac:dyDescent="0.3">
      <c r="A178" t="s">
        <v>624</v>
      </c>
      <c r="B178" t="s">
        <v>1265</v>
      </c>
      <c r="C178" t="s">
        <v>975</v>
      </c>
      <c r="D178" t="s">
        <v>686</v>
      </c>
      <c r="E178" t="s">
        <v>1101</v>
      </c>
      <c r="F178" t="s">
        <v>1102</v>
      </c>
      <c r="G178" t="s">
        <v>377</v>
      </c>
      <c r="H178" t="s">
        <v>570</v>
      </c>
      <c r="I178" t="s">
        <v>190</v>
      </c>
      <c r="J178" s="41">
        <v>0</v>
      </c>
      <c r="K178" s="41">
        <v>24</v>
      </c>
      <c r="L178" t="s">
        <v>1583</v>
      </c>
      <c r="M178" t="s">
        <v>2227</v>
      </c>
      <c r="N178" t="s">
        <v>2268</v>
      </c>
    </row>
    <row r="179" spans="1:14" x14ac:dyDescent="0.3">
      <c r="A179" t="s">
        <v>624</v>
      </c>
      <c r="B179" t="s">
        <v>1265</v>
      </c>
      <c r="C179" t="s">
        <v>975</v>
      </c>
      <c r="D179" t="s">
        <v>686</v>
      </c>
      <c r="E179" t="s">
        <v>1101</v>
      </c>
      <c r="F179" t="s">
        <v>1102</v>
      </c>
      <c r="G179" t="s">
        <v>377</v>
      </c>
      <c r="H179" t="s">
        <v>570</v>
      </c>
      <c r="I179" t="s">
        <v>190</v>
      </c>
      <c r="J179" s="41">
        <v>0</v>
      </c>
      <c r="K179" s="41">
        <v>24</v>
      </c>
      <c r="L179" t="s">
        <v>1583</v>
      </c>
      <c r="M179" t="s">
        <v>2227</v>
      </c>
      <c r="N179" t="s">
        <v>2268</v>
      </c>
    </row>
    <row r="180" spans="1:14" x14ac:dyDescent="0.3">
      <c r="A180" t="s">
        <v>624</v>
      </c>
      <c r="B180" t="s">
        <v>1265</v>
      </c>
      <c r="C180" t="s">
        <v>975</v>
      </c>
      <c r="D180" t="s">
        <v>686</v>
      </c>
      <c r="E180" t="s">
        <v>1101</v>
      </c>
      <c r="F180" t="s">
        <v>1102</v>
      </c>
      <c r="G180" t="s">
        <v>377</v>
      </c>
      <c r="H180" t="s">
        <v>570</v>
      </c>
      <c r="I180" t="s">
        <v>190</v>
      </c>
      <c r="J180" s="41">
        <v>1450.64</v>
      </c>
      <c r="K180" s="41">
        <v>1450.64</v>
      </c>
      <c r="L180" t="s">
        <v>1583</v>
      </c>
      <c r="M180" t="s">
        <v>2227</v>
      </c>
      <c r="N180" t="s">
        <v>2268</v>
      </c>
    </row>
    <row r="181" spans="1:14" x14ac:dyDescent="0.3">
      <c r="A181" t="s">
        <v>624</v>
      </c>
      <c r="B181" t="s">
        <v>1265</v>
      </c>
      <c r="C181" t="s">
        <v>975</v>
      </c>
      <c r="D181" t="s">
        <v>686</v>
      </c>
      <c r="E181" t="s">
        <v>1101</v>
      </c>
      <c r="F181" t="s">
        <v>1102</v>
      </c>
      <c r="G181" t="s">
        <v>377</v>
      </c>
      <c r="H181" t="s">
        <v>570</v>
      </c>
      <c r="I181" t="s">
        <v>190</v>
      </c>
      <c r="J181" s="41">
        <v>0</v>
      </c>
      <c r="K181" s="41">
        <v>5146.2</v>
      </c>
      <c r="L181" t="s">
        <v>1583</v>
      </c>
      <c r="M181" t="s">
        <v>2227</v>
      </c>
      <c r="N181" t="s">
        <v>2268</v>
      </c>
    </row>
    <row r="182" spans="1:14" x14ac:dyDescent="0.3">
      <c r="A182" t="s">
        <v>624</v>
      </c>
      <c r="B182" t="s">
        <v>1265</v>
      </c>
      <c r="C182" t="s">
        <v>975</v>
      </c>
      <c r="D182" t="s">
        <v>686</v>
      </c>
      <c r="E182" t="s">
        <v>1101</v>
      </c>
      <c r="F182" t="s">
        <v>1102</v>
      </c>
      <c r="G182" t="s">
        <v>377</v>
      </c>
      <c r="H182" t="s">
        <v>570</v>
      </c>
      <c r="I182" t="s">
        <v>190</v>
      </c>
      <c r="J182" s="41">
        <v>50</v>
      </c>
      <c r="K182" s="41">
        <v>50</v>
      </c>
      <c r="L182" t="s">
        <v>1583</v>
      </c>
      <c r="M182" t="s">
        <v>2227</v>
      </c>
      <c r="N182" t="s">
        <v>2268</v>
      </c>
    </row>
    <row r="183" spans="1:14" x14ac:dyDescent="0.3">
      <c r="A183" t="s">
        <v>624</v>
      </c>
      <c r="B183" t="s">
        <v>1265</v>
      </c>
      <c r="C183" t="s">
        <v>975</v>
      </c>
      <c r="D183" t="s">
        <v>686</v>
      </c>
      <c r="E183" t="s">
        <v>1101</v>
      </c>
      <c r="F183" t="s">
        <v>1102</v>
      </c>
      <c r="G183" t="s">
        <v>377</v>
      </c>
      <c r="H183" t="s">
        <v>570</v>
      </c>
      <c r="I183" t="s">
        <v>190</v>
      </c>
      <c r="J183" s="41">
        <v>30</v>
      </c>
      <c r="K183" s="41">
        <v>30</v>
      </c>
      <c r="L183" t="s">
        <v>1583</v>
      </c>
      <c r="M183" t="s">
        <v>2227</v>
      </c>
      <c r="N183" t="s">
        <v>2268</v>
      </c>
    </row>
    <row r="184" spans="1:14" x14ac:dyDescent="0.3">
      <c r="A184" t="s">
        <v>624</v>
      </c>
      <c r="B184" t="s">
        <v>1265</v>
      </c>
      <c r="C184" t="s">
        <v>975</v>
      </c>
      <c r="D184" t="s">
        <v>686</v>
      </c>
      <c r="E184" t="s">
        <v>1103</v>
      </c>
      <c r="F184" t="s">
        <v>1104</v>
      </c>
      <c r="G184" t="s">
        <v>377</v>
      </c>
      <c r="H184" t="s">
        <v>570</v>
      </c>
      <c r="I184" t="s">
        <v>190</v>
      </c>
      <c r="J184" s="41">
        <v>78</v>
      </c>
      <c r="K184" s="41">
        <v>156</v>
      </c>
      <c r="L184" t="s">
        <v>1583</v>
      </c>
      <c r="M184" t="s">
        <v>2227</v>
      </c>
      <c r="N184" t="s">
        <v>2268</v>
      </c>
    </row>
    <row r="185" spans="1:14" x14ac:dyDescent="0.3">
      <c r="A185" t="s">
        <v>624</v>
      </c>
      <c r="B185" t="s">
        <v>1265</v>
      </c>
      <c r="C185" t="s">
        <v>975</v>
      </c>
      <c r="D185" t="s">
        <v>686</v>
      </c>
      <c r="E185" t="s">
        <v>1103</v>
      </c>
      <c r="F185" t="s">
        <v>1104</v>
      </c>
      <c r="G185" t="s">
        <v>377</v>
      </c>
      <c r="H185" t="s">
        <v>570</v>
      </c>
      <c r="I185" t="s">
        <v>190</v>
      </c>
      <c r="J185" s="41">
        <v>389.37</v>
      </c>
      <c r="K185" s="41">
        <v>389.37</v>
      </c>
      <c r="L185" t="s">
        <v>1583</v>
      </c>
      <c r="M185" t="s">
        <v>2227</v>
      </c>
      <c r="N185" t="s">
        <v>2268</v>
      </c>
    </row>
    <row r="186" spans="1:14" x14ac:dyDescent="0.3">
      <c r="A186" t="s">
        <v>624</v>
      </c>
      <c r="B186" t="s">
        <v>1265</v>
      </c>
      <c r="C186" t="s">
        <v>975</v>
      </c>
      <c r="D186" t="s">
        <v>686</v>
      </c>
      <c r="E186" t="s">
        <v>1105</v>
      </c>
      <c r="F186" t="s">
        <v>1106</v>
      </c>
      <c r="G186" t="s">
        <v>377</v>
      </c>
      <c r="H186" t="s">
        <v>571</v>
      </c>
      <c r="I186" t="s">
        <v>190</v>
      </c>
      <c r="J186" s="41">
        <v>79.900000000000006</v>
      </c>
      <c r="K186" s="41">
        <v>79.900000000000006</v>
      </c>
      <c r="L186" t="s">
        <v>1583</v>
      </c>
      <c r="M186" t="s">
        <v>1155</v>
      </c>
      <c r="N186" t="s">
        <v>2268</v>
      </c>
    </row>
    <row r="187" spans="1:14" x14ac:dyDescent="0.3">
      <c r="A187" t="s">
        <v>624</v>
      </c>
      <c r="B187" t="s">
        <v>1265</v>
      </c>
      <c r="C187" t="s">
        <v>975</v>
      </c>
      <c r="D187" t="s">
        <v>686</v>
      </c>
      <c r="E187" t="s">
        <v>1105</v>
      </c>
      <c r="F187" t="s">
        <v>1106</v>
      </c>
      <c r="G187" t="s">
        <v>377</v>
      </c>
      <c r="H187" t="s">
        <v>571</v>
      </c>
      <c r="I187" t="s">
        <v>190</v>
      </c>
      <c r="J187" s="41">
        <v>40.619999999999997</v>
      </c>
      <c r="K187" s="41">
        <v>40.619999999999997</v>
      </c>
      <c r="L187" t="s">
        <v>1583</v>
      </c>
      <c r="M187" t="s">
        <v>1155</v>
      </c>
      <c r="N187" t="s">
        <v>2268</v>
      </c>
    </row>
    <row r="188" spans="1:14" x14ac:dyDescent="0.3">
      <c r="A188" t="s">
        <v>624</v>
      </c>
      <c r="B188" t="s">
        <v>1265</v>
      </c>
      <c r="C188" t="s">
        <v>975</v>
      </c>
      <c r="D188" t="s">
        <v>686</v>
      </c>
      <c r="E188" t="s">
        <v>1105</v>
      </c>
      <c r="F188" t="s">
        <v>1106</v>
      </c>
      <c r="G188" t="s">
        <v>377</v>
      </c>
      <c r="H188" t="s">
        <v>571</v>
      </c>
      <c r="I188" t="s">
        <v>190</v>
      </c>
      <c r="J188" s="41">
        <v>3954</v>
      </c>
      <c r="K188" s="41">
        <v>3954</v>
      </c>
      <c r="L188" t="s">
        <v>1583</v>
      </c>
      <c r="M188" t="s">
        <v>1155</v>
      </c>
      <c r="N188" t="s">
        <v>2268</v>
      </c>
    </row>
    <row r="189" spans="1:14" x14ac:dyDescent="0.3">
      <c r="A189" t="s">
        <v>624</v>
      </c>
      <c r="B189" t="s">
        <v>1265</v>
      </c>
      <c r="C189" t="s">
        <v>975</v>
      </c>
      <c r="D189" t="s">
        <v>686</v>
      </c>
      <c r="E189" t="s">
        <v>1105</v>
      </c>
      <c r="F189" t="s">
        <v>1106</v>
      </c>
      <c r="G189" t="s">
        <v>377</v>
      </c>
      <c r="H189" t="s">
        <v>571</v>
      </c>
      <c r="I189" t="s">
        <v>190</v>
      </c>
      <c r="J189" s="41">
        <v>0</v>
      </c>
      <c r="K189" s="41">
        <v>1.9</v>
      </c>
      <c r="L189" t="s">
        <v>1583</v>
      </c>
      <c r="M189" t="s">
        <v>1155</v>
      </c>
      <c r="N189" t="s">
        <v>2268</v>
      </c>
    </row>
    <row r="190" spans="1:14" x14ac:dyDescent="0.3">
      <c r="A190" t="s">
        <v>624</v>
      </c>
      <c r="B190" t="s">
        <v>1265</v>
      </c>
      <c r="C190" t="s">
        <v>975</v>
      </c>
      <c r="D190" t="s">
        <v>686</v>
      </c>
      <c r="E190" t="s">
        <v>1123</v>
      </c>
      <c r="F190" t="s">
        <v>717</v>
      </c>
      <c r="G190" t="s">
        <v>304</v>
      </c>
      <c r="H190" t="s">
        <v>561</v>
      </c>
      <c r="I190" t="s">
        <v>561</v>
      </c>
      <c r="J190" s="41">
        <v>233.65</v>
      </c>
      <c r="K190" s="41">
        <v>460.81</v>
      </c>
      <c r="L190" t="s">
        <v>1583</v>
      </c>
      <c r="M190" t="s">
        <v>2227</v>
      </c>
      <c r="N190" t="s">
        <v>2268</v>
      </c>
    </row>
    <row r="191" spans="1:14" x14ac:dyDescent="0.3">
      <c r="A191" t="s">
        <v>624</v>
      </c>
      <c r="B191" t="s">
        <v>1265</v>
      </c>
      <c r="C191" t="s">
        <v>975</v>
      </c>
      <c r="D191" t="s">
        <v>686</v>
      </c>
      <c r="E191" t="s">
        <v>1123</v>
      </c>
      <c r="F191" t="s">
        <v>717</v>
      </c>
      <c r="G191" t="s">
        <v>304</v>
      </c>
      <c r="H191" t="s">
        <v>561</v>
      </c>
      <c r="I191" t="s">
        <v>561</v>
      </c>
      <c r="J191" s="41">
        <v>0</v>
      </c>
      <c r="K191" s="41">
        <v>4.29</v>
      </c>
      <c r="L191" t="s">
        <v>1583</v>
      </c>
      <c r="M191" t="s">
        <v>2227</v>
      </c>
      <c r="N191" t="s">
        <v>2268</v>
      </c>
    </row>
    <row r="192" spans="1:14" x14ac:dyDescent="0.3">
      <c r="A192" t="s">
        <v>624</v>
      </c>
      <c r="B192" t="s">
        <v>1265</v>
      </c>
      <c r="C192" t="s">
        <v>975</v>
      </c>
      <c r="D192" t="s">
        <v>686</v>
      </c>
      <c r="E192" t="s">
        <v>1123</v>
      </c>
      <c r="F192" t="s">
        <v>717</v>
      </c>
      <c r="G192" t="s">
        <v>304</v>
      </c>
      <c r="H192" t="s">
        <v>561</v>
      </c>
      <c r="I192" t="s">
        <v>561</v>
      </c>
      <c r="J192" s="41">
        <v>0</v>
      </c>
      <c r="K192" s="41">
        <v>172.1</v>
      </c>
      <c r="L192" t="s">
        <v>1583</v>
      </c>
      <c r="M192" t="s">
        <v>2227</v>
      </c>
      <c r="N192" t="s">
        <v>2268</v>
      </c>
    </row>
    <row r="193" spans="1:14" x14ac:dyDescent="0.3">
      <c r="A193" t="s">
        <v>624</v>
      </c>
      <c r="B193" t="s">
        <v>1265</v>
      </c>
      <c r="C193" t="s">
        <v>975</v>
      </c>
      <c r="D193" t="s">
        <v>686</v>
      </c>
      <c r="E193" t="s">
        <v>1123</v>
      </c>
      <c r="F193" t="s">
        <v>717</v>
      </c>
      <c r="G193" t="s">
        <v>304</v>
      </c>
      <c r="H193" t="s">
        <v>561</v>
      </c>
      <c r="I193" t="s">
        <v>561</v>
      </c>
      <c r="J193" s="41">
        <v>0.5</v>
      </c>
      <c r="K193" s="41">
        <v>7.9</v>
      </c>
      <c r="L193" t="s">
        <v>1583</v>
      </c>
      <c r="M193" t="s">
        <v>2227</v>
      </c>
      <c r="N193" t="s">
        <v>2268</v>
      </c>
    </row>
    <row r="194" spans="1:14" x14ac:dyDescent="0.3">
      <c r="A194" t="s">
        <v>624</v>
      </c>
      <c r="B194" t="s">
        <v>1265</v>
      </c>
      <c r="C194" t="s">
        <v>975</v>
      </c>
      <c r="D194" t="s">
        <v>686</v>
      </c>
      <c r="E194" t="s">
        <v>1123</v>
      </c>
      <c r="F194" t="s">
        <v>717</v>
      </c>
      <c r="G194" t="s">
        <v>304</v>
      </c>
      <c r="H194" t="s">
        <v>561</v>
      </c>
      <c r="I194" t="s">
        <v>561</v>
      </c>
      <c r="J194" s="41">
        <v>80</v>
      </c>
      <c r="K194" s="41">
        <v>521.87</v>
      </c>
      <c r="L194" t="s">
        <v>1583</v>
      </c>
      <c r="M194" t="s">
        <v>2227</v>
      </c>
      <c r="N194" t="s">
        <v>2268</v>
      </c>
    </row>
    <row r="195" spans="1:14" x14ac:dyDescent="0.3">
      <c r="A195" t="s">
        <v>624</v>
      </c>
      <c r="B195" t="s">
        <v>1265</v>
      </c>
      <c r="C195" t="s">
        <v>975</v>
      </c>
      <c r="D195" t="s">
        <v>686</v>
      </c>
      <c r="E195" t="s">
        <v>1123</v>
      </c>
      <c r="F195" t="s">
        <v>717</v>
      </c>
      <c r="G195" t="s">
        <v>304</v>
      </c>
      <c r="H195" t="s">
        <v>561</v>
      </c>
      <c r="I195" t="s">
        <v>561</v>
      </c>
      <c r="J195" s="41">
        <v>0</v>
      </c>
      <c r="K195" s="41">
        <v>4.29</v>
      </c>
      <c r="L195" t="s">
        <v>1583</v>
      </c>
      <c r="M195" t="s">
        <v>2227</v>
      </c>
      <c r="N195" t="s">
        <v>2268</v>
      </c>
    </row>
    <row r="196" spans="1:14" x14ac:dyDescent="0.3">
      <c r="A196" t="s">
        <v>624</v>
      </c>
      <c r="B196" t="s">
        <v>1265</v>
      </c>
      <c r="C196" t="s">
        <v>975</v>
      </c>
      <c r="D196" t="s">
        <v>686</v>
      </c>
      <c r="E196" t="s">
        <v>1123</v>
      </c>
      <c r="F196" t="s">
        <v>717</v>
      </c>
      <c r="G196" t="s">
        <v>304</v>
      </c>
      <c r="H196" t="s">
        <v>561</v>
      </c>
      <c r="I196" t="s">
        <v>561</v>
      </c>
      <c r="J196" s="41">
        <v>0</v>
      </c>
      <c r="K196" s="41">
        <v>-4.29</v>
      </c>
      <c r="L196" t="s">
        <v>1583</v>
      </c>
      <c r="M196" t="s">
        <v>2227</v>
      </c>
      <c r="N196" t="s">
        <v>2268</v>
      </c>
    </row>
    <row r="197" spans="1:14" x14ac:dyDescent="0.3">
      <c r="A197" t="s">
        <v>624</v>
      </c>
      <c r="B197" t="s">
        <v>1373</v>
      </c>
      <c r="C197" t="s">
        <v>974</v>
      </c>
      <c r="D197" t="s">
        <v>496</v>
      </c>
      <c r="E197" t="s">
        <v>1060</v>
      </c>
      <c r="F197" t="s">
        <v>1061</v>
      </c>
      <c r="G197" t="s">
        <v>309</v>
      </c>
      <c r="H197" t="s">
        <v>565</v>
      </c>
      <c r="I197" t="s">
        <v>2225</v>
      </c>
      <c r="J197" s="41">
        <v>2592.17</v>
      </c>
      <c r="K197" s="41">
        <v>18145.189999999999</v>
      </c>
      <c r="L197" t="s">
        <v>1603</v>
      </c>
      <c r="M197" t="s">
        <v>2227</v>
      </c>
      <c r="N197" t="s">
        <v>2268</v>
      </c>
    </row>
    <row r="198" spans="1:14" x14ac:dyDescent="0.3">
      <c r="A198" t="s">
        <v>624</v>
      </c>
      <c r="B198" t="s">
        <v>1373</v>
      </c>
      <c r="C198" t="s">
        <v>974</v>
      </c>
      <c r="D198" t="s">
        <v>496</v>
      </c>
      <c r="E198" t="s">
        <v>1060</v>
      </c>
      <c r="F198" t="s">
        <v>1061</v>
      </c>
      <c r="G198" t="s">
        <v>309</v>
      </c>
      <c r="H198" t="s">
        <v>565</v>
      </c>
      <c r="I198" t="s">
        <v>2225</v>
      </c>
      <c r="J198" s="41">
        <v>0</v>
      </c>
      <c r="K198" s="41">
        <v>4000</v>
      </c>
      <c r="L198" t="s">
        <v>1603</v>
      </c>
      <c r="M198" t="s">
        <v>2227</v>
      </c>
      <c r="N198" t="s">
        <v>2268</v>
      </c>
    </row>
    <row r="199" spans="1:14" x14ac:dyDescent="0.3">
      <c r="A199" t="s">
        <v>624</v>
      </c>
      <c r="B199" t="s">
        <v>1373</v>
      </c>
      <c r="C199" t="s">
        <v>974</v>
      </c>
      <c r="D199" t="s">
        <v>496</v>
      </c>
      <c r="E199" t="s">
        <v>1060</v>
      </c>
      <c r="F199" t="s">
        <v>1061</v>
      </c>
      <c r="G199" t="s">
        <v>309</v>
      </c>
      <c r="H199" t="s">
        <v>565</v>
      </c>
      <c r="I199" t="s">
        <v>2225</v>
      </c>
      <c r="J199" s="41">
        <v>0</v>
      </c>
      <c r="K199" s="41">
        <v>5000</v>
      </c>
      <c r="L199" t="s">
        <v>1603</v>
      </c>
      <c r="M199" t="s">
        <v>2227</v>
      </c>
      <c r="N199" t="s">
        <v>2268</v>
      </c>
    </row>
    <row r="200" spans="1:14" x14ac:dyDescent="0.3">
      <c r="A200" t="s">
        <v>624</v>
      </c>
      <c r="B200" t="s">
        <v>1373</v>
      </c>
      <c r="C200" t="s">
        <v>974</v>
      </c>
      <c r="D200" t="s">
        <v>496</v>
      </c>
      <c r="E200" t="s">
        <v>1075</v>
      </c>
      <c r="F200" t="s">
        <v>1076</v>
      </c>
      <c r="G200" t="s">
        <v>309</v>
      </c>
      <c r="H200" t="s">
        <v>570</v>
      </c>
      <c r="I200" t="s">
        <v>2225</v>
      </c>
      <c r="J200" s="41">
        <v>0</v>
      </c>
      <c r="K200" s="41">
        <v>78.430000000000007</v>
      </c>
      <c r="L200" t="s">
        <v>1603</v>
      </c>
      <c r="M200" t="s">
        <v>2227</v>
      </c>
      <c r="N200" t="s">
        <v>2268</v>
      </c>
    </row>
    <row r="201" spans="1:14" x14ac:dyDescent="0.3">
      <c r="A201" t="s">
        <v>624</v>
      </c>
      <c r="B201" t="s">
        <v>1373</v>
      </c>
      <c r="C201" t="s">
        <v>974</v>
      </c>
      <c r="D201" t="s">
        <v>496</v>
      </c>
      <c r="E201" t="s">
        <v>1075</v>
      </c>
      <c r="F201" t="s">
        <v>1076</v>
      </c>
      <c r="G201" t="s">
        <v>309</v>
      </c>
      <c r="H201" t="s">
        <v>570</v>
      </c>
      <c r="I201" t="s">
        <v>2225</v>
      </c>
      <c r="J201" s="41">
        <v>0</v>
      </c>
      <c r="K201" s="41">
        <v>64.790000000000006</v>
      </c>
      <c r="L201" t="s">
        <v>1603</v>
      </c>
      <c r="M201" t="s">
        <v>2227</v>
      </c>
      <c r="N201" t="s">
        <v>2268</v>
      </c>
    </row>
    <row r="202" spans="1:14" x14ac:dyDescent="0.3">
      <c r="A202" t="s">
        <v>624</v>
      </c>
      <c r="B202" t="s">
        <v>1373</v>
      </c>
      <c r="C202" t="s">
        <v>974</v>
      </c>
      <c r="D202" t="s">
        <v>496</v>
      </c>
      <c r="E202" t="s">
        <v>1075</v>
      </c>
      <c r="F202" t="s">
        <v>1076</v>
      </c>
      <c r="G202" t="s">
        <v>309</v>
      </c>
      <c r="H202" t="s">
        <v>570</v>
      </c>
      <c r="I202" t="s">
        <v>2225</v>
      </c>
      <c r="J202" s="41">
        <v>0</v>
      </c>
      <c r="K202" s="41">
        <v>35.04</v>
      </c>
      <c r="L202" t="s">
        <v>1603</v>
      </c>
      <c r="M202" t="s">
        <v>2227</v>
      </c>
      <c r="N202" t="s">
        <v>2268</v>
      </c>
    </row>
    <row r="203" spans="1:14" x14ac:dyDescent="0.3">
      <c r="A203" t="s">
        <v>624</v>
      </c>
      <c r="B203" t="s">
        <v>1373</v>
      </c>
      <c r="C203" t="s">
        <v>974</v>
      </c>
      <c r="D203" t="s">
        <v>496</v>
      </c>
      <c r="E203" t="s">
        <v>1075</v>
      </c>
      <c r="F203" t="s">
        <v>1076</v>
      </c>
      <c r="G203" t="s">
        <v>309</v>
      </c>
      <c r="H203" t="s">
        <v>570</v>
      </c>
      <c r="I203" t="s">
        <v>2225</v>
      </c>
      <c r="J203" s="41">
        <v>0</v>
      </c>
      <c r="K203" s="41">
        <v>60.35</v>
      </c>
      <c r="L203" t="s">
        <v>1603</v>
      </c>
      <c r="M203" t="s">
        <v>2227</v>
      </c>
      <c r="N203" t="s">
        <v>2268</v>
      </c>
    </row>
    <row r="204" spans="1:14" x14ac:dyDescent="0.3">
      <c r="A204" t="s">
        <v>624</v>
      </c>
      <c r="B204" t="s">
        <v>1373</v>
      </c>
      <c r="C204" t="s">
        <v>974</v>
      </c>
      <c r="D204" t="s">
        <v>496</v>
      </c>
      <c r="E204" t="s">
        <v>1075</v>
      </c>
      <c r="F204" t="s">
        <v>1076</v>
      </c>
      <c r="G204" t="s">
        <v>309</v>
      </c>
      <c r="H204" t="s">
        <v>570</v>
      </c>
      <c r="I204" t="s">
        <v>2225</v>
      </c>
      <c r="J204" s="41">
        <v>0</v>
      </c>
      <c r="K204" s="41">
        <v>13.54</v>
      </c>
      <c r="L204" t="s">
        <v>1603</v>
      </c>
      <c r="M204" t="s">
        <v>2227</v>
      </c>
      <c r="N204" t="s">
        <v>2268</v>
      </c>
    </row>
    <row r="205" spans="1:14" x14ac:dyDescent="0.3">
      <c r="A205" t="s">
        <v>624</v>
      </c>
      <c r="B205" t="s">
        <v>1373</v>
      </c>
      <c r="C205" t="s">
        <v>974</v>
      </c>
      <c r="D205" t="s">
        <v>496</v>
      </c>
      <c r="E205" t="s">
        <v>1060</v>
      </c>
      <c r="F205" t="s">
        <v>1061</v>
      </c>
      <c r="G205" t="s">
        <v>309</v>
      </c>
      <c r="H205" t="s">
        <v>565</v>
      </c>
      <c r="I205" t="s">
        <v>2225</v>
      </c>
      <c r="J205" s="41">
        <v>0</v>
      </c>
      <c r="K205" s="41">
        <v>7600</v>
      </c>
      <c r="L205" t="s">
        <v>1603</v>
      </c>
      <c r="M205" t="s">
        <v>2227</v>
      </c>
      <c r="N205" t="s">
        <v>2268</v>
      </c>
    </row>
    <row r="206" spans="1:14" x14ac:dyDescent="0.3">
      <c r="A206" t="s">
        <v>624</v>
      </c>
      <c r="B206" t="s">
        <v>1373</v>
      </c>
      <c r="C206" t="s">
        <v>974</v>
      </c>
      <c r="D206" t="s">
        <v>496</v>
      </c>
      <c r="E206" t="s">
        <v>1060</v>
      </c>
      <c r="F206" t="s">
        <v>1061</v>
      </c>
      <c r="G206" t="s">
        <v>309</v>
      </c>
      <c r="H206" t="s">
        <v>565</v>
      </c>
      <c r="I206" t="s">
        <v>2225</v>
      </c>
      <c r="J206" s="41">
        <v>0</v>
      </c>
      <c r="K206" s="41">
        <v>276.06</v>
      </c>
      <c r="L206" t="s">
        <v>1603</v>
      </c>
      <c r="M206" t="s">
        <v>2227</v>
      </c>
      <c r="N206" t="s">
        <v>2268</v>
      </c>
    </row>
    <row r="207" spans="1:14" x14ac:dyDescent="0.3">
      <c r="A207" t="s">
        <v>624</v>
      </c>
      <c r="B207" t="s">
        <v>1373</v>
      </c>
      <c r="C207" t="s">
        <v>974</v>
      </c>
      <c r="D207" t="s">
        <v>496</v>
      </c>
      <c r="E207" t="s">
        <v>1060</v>
      </c>
      <c r="F207" t="s">
        <v>1061</v>
      </c>
      <c r="G207" t="s">
        <v>309</v>
      </c>
      <c r="H207" t="s">
        <v>565</v>
      </c>
      <c r="I207" t="s">
        <v>2225</v>
      </c>
      <c r="J207" s="41">
        <v>0</v>
      </c>
      <c r="K207" s="41">
        <v>13.9</v>
      </c>
      <c r="L207" t="s">
        <v>1603</v>
      </c>
      <c r="M207" t="s">
        <v>2227</v>
      </c>
      <c r="N207" t="s">
        <v>2268</v>
      </c>
    </row>
    <row r="208" spans="1:14" x14ac:dyDescent="0.3">
      <c r="A208" t="s">
        <v>624</v>
      </c>
      <c r="B208" t="s">
        <v>1373</v>
      </c>
      <c r="C208" t="s">
        <v>974</v>
      </c>
      <c r="D208" t="s">
        <v>496</v>
      </c>
      <c r="E208" t="s">
        <v>1060</v>
      </c>
      <c r="F208" t="s">
        <v>1061</v>
      </c>
      <c r="G208" t="s">
        <v>309</v>
      </c>
      <c r="H208" t="s">
        <v>565</v>
      </c>
      <c r="I208" t="s">
        <v>2225</v>
      </c>
      <c r="J208" s="41">
        <v>0</v>
      </c>
      <c r="K208" s="41">
        <v>15.3</v>
      </c>
      <c r="L208" t="s">
        <v>1603</v>
      </c>
      <c r="M208" t="s">
        <v>2227</v>
      </c>
      <c r="N208" t="s">
        <v>2268</v>
      </c>
    </row>
    <row r="209" spans="1:14" x14ac:dyDescent="0.3">
      <c r="A209" t="s">
        <v>624</v>
      </c>
      <c r="B209" t="s">
        <v>1373</v>
      </c>
      <c r="C209" t="s">
        <v>974</v>
      </c>
      <c r="D209" t="s">
        <v>496</v>
      </c>
      <c r="E209" t="s">
        <v>1060</v>
      </c>
      <c r="F209" t="s">
        <v>1061</v>
      </c>
      <c r="G209" t="s">
        <v>309</v>
      </c>
      <c r="H209" t="s">
        <v>565</v>
      </c>
      <c r="I209" t="s">
        <v>2225</v>
      </c>
      <c r="J209" s="41">
        <v>0</v>
      </c>
      <c r="K209" s="41">
        <v>2568.42</v>
      </c>
      <c r="L209" t="s">
        <v>1603</v>
      </c>
      <c r="M209" t="s">
        <v>2227</v>
      </c>
      <c r="N209" t="s">
        <v>2268</v>
      </c>
    </row>
    <row r="210" spans="1:14" x14ac:dyDescent="0.3">
      <c r="A210" t="s">
        <v>624</v>
      </c>
      <c r="B210" t="s">
        <v>1373</v>
      </c>
      <c r="C210" t="s">
        <v>974</v>
      </c>
      <c r="D210" t="s">
        <v>496</v>
      </c>
      <c r="E210" t="s">
        <v>1060</v>
      </c>
      <c r="F210" t="s">
        <v>1061</v>
      </c>
      <c r="G210" t="s">
        <v>309</v>
      </c>
      <c r="H210" t="s">
        <v>565</v>
      </c>
      <c r="I210" t="s">
        <v>2225</v>
      </c>
      <c r="J210" s="41">
        <v>0</v>
      </c>
      <c r="K210" s="41">
        <v>139.1</v>
      </c>
      <c r="L210" t="s">
        <v>1603</v>
      </c>
      <c r="M210" t="s">
        <v>2227</v>
      </c>
      <c r="N210" t="s">
        <v>2268</v>
      </c>
    </row>
    <row r="211" spans="1:14" x14ac:dyDescent="0.3">
      <c r="A211" t="s">
        <v>624</v>
      </c>
      <c r="B211" t="s">
        <v>1373</v>
      </c>
      <c r="C211" t="s">
        <v>974</v>
      </c>
      <c r="D211" t="s">
        <v>496</v>
      </c>
      <c r="E211" t="s">
        <v>1060</v>
      </c>
      <c r="F211" t="s">
        <v>1061</v>
      </c>
      <c r="G211" t="s">
        <v>309</v>
      </c>
      <c r="H211" t="s">
        <v>565</v>
      </c>
      <c r="I211" t="s">
        <v>2225</v>
      </c>
      <c r="J211" s="41">
        <v>0</v>
      </c>
      <c r="K211" s="41">
        <v>-540.91999999999996</v>
      </c>
      <c r="L211" t="s">
        <v>1603</v>
      </c>
      <c r="M211" t="s">
        <v>2227</v>
      </c>
      <c r="N211" t="s">
        <v>2268</v>
      </c>
    </row>
    <row r="212" spans="1:14" x14ac:dyDescent="0.3">
      <c r="A212" t="s">
        <v>624</v>
      </c>
      <c r="B212" t="s">
        <v>1373</v>
      </c>
      <c r="C212" t="s">
        <v>974</v>
      </c>
      <c r="D212" t="s">
        <v>496</v>
      </c>
      <c r="E212" t="s">
        <v>1060</v>
      </c>
      <c r="F212" t="s">
        <v>1061</v>
      </c>
      <c r="G212" t="s">
        <v>309</v>
      </c>
      <c r="H212" t="s">
        <v>565</v>
      </c>
      <c r="I212" t="s">
        <v>2225</v>
      </c>
      <c r="J212" s="41">
        <v>0</v>
      </c>
      <c r="K212" s="41">
        <v>122.93</v>
      </c>
      <c r="L212" t="s">
        <v>1603</v>
      </c>
      <c r="M212" t="s">
        <v>2227</v>
      </c>
      <c r="N212" t="s">
        <v>2268</v>
      </c>
    </row>
    <row r="213" spans="1:14" x14ac:dyDescent="0.3">
      <c r="A213" t="s">
        <v>624</v>
      </c>
      <c r="B213" t="s">
        <v>1373</v>
      </c>
      <c r="C213" t="s">
        <v>974</v>
      </c>
      <c r="D213" t="s">
        <v>496</v>
      </c>
      <c r="E213" t="s">
        <v>1060</v>
      </c>
      <c r="F213" t="s">
        <v>1061</v>
      </c>
      <c r="G213" t="s">
        <v>309</v>
      </c>
      <c r="H213" t="s">
        <v>565</v>
      </c>
      <c r="I213" t="s">
        <v>2225</v>
      </c>
      <c r="J213" s="41">
        <v>0</v>
      </c>
      <c r="K213" s="41">
        <v>56.7</v>
      </c>
      <c r="L213" t="s">
        <v>1603</v>
      </c>
      <c r="M213" t="s">
        <v>2227</v>
      </c>
      <c r="N213" t="s">
        <v>2268</v>
      </c>
    </row>
    <row r="214" spans="1:14" x14ac:dyDescent="0.3">
      <c r="A214" t="s">
        <v>624</v>
      </c>
      <c r="B214" t="s">
        <v>1373</v>
      </c>
      <c r="C214" t="s">
        <v>974</v>
      </c>
      <c r="D214" t="s">
        <v>496</v>
      </c>
      <c r="E214" t="s">
        <v>1060</v>
      </c>
      <c r="F214" t="s">
        <v>1061</v>
      </c>
      <c r="G214" t="s">
        <v>309</v>
      </c>
      <c r="H214" t="s">
        <v>565</v>
      </c>
      <c r="I214" t="s">
        <v>2225</v>
      </c>
      <c r="J214" s="41">
        <v>637.33000000000004</v>
      </c>
      <c r="K214" s="41">
        <v>4791.3100000000004</v>
      </c>
      <c r="L214" t="s">
        <v>1603</v>
      </c>
      <c r="M214" t="s">
        <v>2227</v>
      </c>
      <c r="N214" t="s">
        <v>2268</v>
      </c>
    </row>
    <row r="215" spans="1:14" x14ac:dyDescent="0.3">
      <c r="A215" t="s">
        <v>624</v>
      </c>
      <c r="B215" t="s">
        <v>1373</v>
      </c>
      <c r="C215" t="s">
        <v>974</v>
      </c>
      <c r="D215" t="s">
        <v>496</v>
      </c>
      <c r="E215" t="s">
        <v>1062</v>
      </c>
      <c r="F215" t="s">
        <v>1063</v>
      </c>
      <c r="G215" t="s">
        <v>309</v>
      </c>
      <c r="H215" t="s">
        <v>566</v>
      </c>
      <c r="I215" t="s">
        <v>2225</v>
      </c>
      <c r="J215" s="41">
        <v>100</v>
      </c>
      <c r="K215" s="41">
        <v>250</v>
      </c>
      <c r="L215" t="s">
        <v>1603</v>
      </c>
      <c r="M215" t="s">
        <v>2227</v>
      </c>
      <c r="N215" t="s">
        <v>2268</v>
      </c>
    </row>
    <row r="216" spans="1:14" x14ac:dyDescent="0.3">
      <c r="A216" t="s">
        <v>624</v>
      </c>
      <c r="B216" t="s">
        <v>1373</v>
      </c>
      <c r="C216" t="s">
        <v>974</v>
      </c>
      <c r="D216" t="s">
        <v>496</v>
      </c>
      <c r="E216" t="s">
        <v>1062</v>
      </c>
      <c r="F216" t="s">
        <v>1063</v>
      </c>
      <c r="G216" t="s">
        <v>309</v>
      </c>
      <c r="H216" t="s">
        <v>566</v>
      </c>
      <c r="I216" t="s">
        <v>2225</v>
      </c>
      <c r="J216" s="41">
        <v>0</v>
      </c>
      <c r="K216" s="41">
        <v>445</v>
      </c>
      <c r="L216" t="s">
        <v>1603</v>
      </c>
      <c r="M216" t="s">
        <v>2227</v>
      </c>
      <c r="N216" t="s">
        <v>2268</v>
      </c>
    </row>
    <row r="217" spans="1:14" x14ac:dyDescent="0.3">
      <c r="A217" t="s">
        <v>624</v>
      </c>
      <c r="B217" t="s">
        <v>1373</v>
      </c>
      <c r="C217" t="s">
        <v>974</v>
      </c>
      <c r="D217" t="s">
        <v>496</v>
      </c>
      <c r="E217" t="s">
        <v>1062</v>
      </c>
      <c r="F217" t="s">
        <v>1063</v>
      </c>
      <c r="G217" t="s">
        <v>309</v>
      </c>
      <c r="H217" t="s">
        <v>566</v>
      </c>
      <c r="I217" t="s">
        <v>2225</v>
      </c>
      <c r="J217" s="41">
        <v>0</v>
      </c>
      <c r="K217" s="41">
        <v>2000</v>
      </c>
      <c r="L217" t="s">
        <v>1603</v>
      </c>
      <c r="M217" t="s">
        <v>2227</v>
      </c>
      <c r="N217" t="s">
        <v>2268</v>
      </c>
    </row>
    <row r="218" spans="1:14" x14ac:dyDescent="0.3">
      <c r="A218" t="s">
        <v>624</v>
      </c>
      <c r="B218" t="s">
        <v>1373</v>
      </c>
      <c r="C218" t="s">
        <v>974</v>
      </c>
      <c r="D218" t="s">
        <v>496</v>
      </c>
      <c r="E218" t="s">
        <v>1064</v>
      </c>
      <c r="F218" t="s">
        <v>1065</v>
      </c>
      <c r="G218" t="s">
        <v>309</v>
      </c>
      <c r="H218" t="s">
        <v>571</v>
      </c>
      <c r="I218" t="s">
        <v>2225</v>
      </c>
      <c r="J218" s="41">
        <v>0</v>
      </c>
      <c r="K218" s="41">
        <v>4024.05</v>
      </c>
      <c r="L218" t="s">
        <v>1603</v>
      </c>
      <c r="M218" t="s">
        <v>2227</v>
      </c>
      <c r="N218" t="s">
        <v>2268</v>
      </c>
    </row>
    <row r="219" spans="1:14" x14ac:dyDescent="0.3">
      <c r="A219" t="s">
        <v>624</v>
      </c>
      <c r="B219" t="s">
        <v>1373</v>
      </c>
      <c r="C219" t="s">
        <v>974</v>
      </c>
      <c r="D219" t="s">
        <v>496</v>
      </c>
      <c r="E219" t="s">
        <v>1066</v>
      </c>
      <c r="F219" t="s">
        <v>1067</v>
      </c>
      <c r="G219" t="s">
        <v>309</v>
      </c>
      <c r="H219" t="s">
        <v>567</v>
      </c>
      <c r="I219" t="s">
        <v>2225</v>
      </c>
      <c r="J219" s="41">
        <v>85.06</v>
      </c>
      <c r="K219" s="41">
        <v>85.06</v>
      </c>
      <c r="L219" t="s">
        <v>1603</v>
      </c>
      <c r="M219" t="s">
        <v>2227</v>
      </c>
      <c r="N219" t="s">
        <v>2268</v>
      </c>
    </row>
    <row r="220" spans="1:14" x14ac:dyDescent="0.3">
      <c r="A220" t="s">
        <v>624</v>
      </c>
      <c r="B220" t="s">
        <v>1373</v>
      </c>
      <c r="C220" t="s">
        <v>974</v>
      </c>
      <c r="D220" t="s">
        <v>496</v>
      </c>
      <c r="E220" t="s">
        <v>1069</v>
      </c>
      <c r="F220" t="s">
        <v>1070</v>
      </c>
      <c r="G220" t="s">
        <v>309</v>
      </c>
      <c r="H220" t="s">
        <v>569</v>
      </c>
      <c r="I220" t="s">
        <v>2225</v>
      </c>
      <c r="J220" s="41">
        <v>0</v>
      </c>
      <c r="K220" s="41">
        <v>225.35</v>
      </c>
      <c r="L220" t="s">
        <v>1603</v>
      </c>
      <c r="M220" t="s">
        <v>2227</v>
      </c>
      <c r="N220" t="s">
        <v>2268</v>
      </c>
    </row>
    <row r="221" spans="1:14" x14ac:dyDescent="0.3">
      <c r="A221" t="s">
        <v>624</v>
      </c>
      <c r="B221" t="s">
        <v>1373</v>
      </c>
      <c r="C221" t="s">
        <v>974</v>
      </c>
      <c r="D221" t="s">
        <v>496</v>
      </c>
      <c r="E221" t="s">
        <v>1069</v>
      </c>
      <c r="F221" t="s">
        <v>1070</v>
      </c>
      <c r="G221" t="s">
        <v>309</v>
      </c>
      <c r="H221" t="s">
        <v>569</v>
      </c>
      <c r="I221" t="s">
        <v>2225</v>
      </c>
      <c r="J221" s="41">
        <v>0</v>
      </c>
      <c r="K221" s="41">
        <v>191.4</v>
      </c>
      <c r="L221" t="s">
        <v>1603</v>
      </c>
      <c r="M221" t="s">
        <v>2227</v>
      </c>
      <c r="N221" t="s">
        <v>2268</v>
      </c>
    </row>
    <row r="222" spans="1:14" x14ac:dyDescent="0.3">
      <c r="A222" t="s">
        <v>624</v>
      </c>
      <c r="B222" t="s">
        <v>1373</v>
      </c>
      <c r="C222" t="s">
        <v>974</v>
      </c>
      <c r="D222" t="s">
        <v>496</v>
      </c>
      <c r="E222" t="s">
        <v>1069</v>
      </c>
      <c r="F222" t="s">
        <v>1070</v>
      </c>
      <c r="G222" t="s">
        <v>309</v>
      </c>
      <c r="H222" t="s">
        <v>569</v>
      </c>
      <c r="I222" t="s">
        <v>2225</v>
      </c>
      <c r="J222" s="41">
        <v>0</v>
      </c>
      <c r="K222" s="41">
        <v>32.1</v>
      </c>
      <c r="L222" t="s">
        <v>1603</v>
      </c>
      <c r="M222" t="s">
        <v>2227</v>
      </c>
      <c r="N222" t="s">
        <v>2268</v>
      </c>
    </row>
    <row r="223" spans="1:14" x14ac:dyDescent="0.3">
      <c r="A223" t="s">
        <v>624</v>
      </c>
      <c r="B223" t="s">
        <v>1373</v>
      </c>
      <c r="C223" t="s">
        <v>974</v>
      </c>
      <c r="D223" t="s">
        <v>496</v>
      </c>
      <c r="E223" t="s">
        <v>1069</v>
      </c>
      <c r="F223" t="s">
        <v>1070</v>
      </c>
      <c r="G223" t="s">
        <v>309</v>
      </c>
      <c r="H223" t="s">
        <v>569</v>
      </c>
      <c r="I223" t="s">
        <v>2225</v>
      </c>
      <c r="J223" s="41">
        <v>20</v>
      </c>
      <c r="K223" s="41">
        <v>120</v>
      </c>
      <c r="L223" t="s">
        <v>1603</v>
      </c>
      <c r="M223" t="s">
        <v>2227</v>
      </c>
      <c r="N223" t="s">
        <v>2268</v>
      </c>
    </row>
    <row r="224" spans="1:14" x14ac:dyDescent="0.3">
      <c r="A224" t="s">
        <v>624</v>
      </c>
      <c r="B224" t="s">
        <v>1373</v>
      </c>
      <c r="C224" t="s">
        <v>974</v>
      </c>
      <c r="D224" t="s">
        <v>496</v>
      </c>
      <c r="E224" t="s">
        <v>1069</v>
      </c>
      <c r="F224" t="s">
        <v>1070</v>
      </c>
      <c r="G224" t="s">
        <v>309</v>
      </c>
      <c r="H224" t="s">
        <v>569</v>
      </c>
      <c r="I224" t="s">
        <v>2225</v>
      </c>
      <c r="J224" s="41">
        <v>0</v>
      </c>
      <c r="K224" s="41">
        <v>7500</v>
      </c>
      <c r="L224" t="s">
        <v>1603</v>
      </c>
      <c r="M224" t="s">
        <v>2227</v>
      </c>
      <c r="N224" t="s">
        <v>2268</v>
      </c>
    </row>
    <row r="225" spans="1:14" x14ac:dyDescent="0.3">
      <c r="A225" t="s">
        <v>624</v>
      </c>
      <c r="B225" t="s">
        <v>1373</v>
      </c>
      <c r="C225" t="s">
        <v>974</v>
      </c>
      <c r="D225" t="s">
        <v>496</v>
      </c>
      <c r="E225" t="s">
        <v>1069</v>
      </c>
      <c r="F225" t="s">
        <v>1070</v>
      </c>
      <c r="G225" t="s">
        <v>309</v>
      </c>
      <c r="H225" t="s">
        <v>569</v>
      </c>
      <c r="I225" t="s">
        <v>2225</v>
      </c>
      <c r="J225" s="41">
        <v>225</v>
      </c>
      <c r="K225" s="41">
        <v>1252.2</v>
      </c>
      <c r="L225" t="s">
        <v>1603</v>
      </c>
      <c r="M225" t="s">
        <v>2227</v>
      </c>
      <c r="N225" t="s">
        <v>2268</v>
      </c>
    </row>
    <row r="226" spans="1:14" x14ac:dyDescent="0.3">
      <c r="A226" t="s">
        <v>624</v>
      </c>
      <c r="B226" t="s">
        <v>1373</v>
      </c>
      <c r="C226" t="s">
        <v>974</v>
      </c>
      <c r="D226" t="s">
        <v>496</v>
      </c>
      <c r="E226" t="s">
        <v>1069</v>
      </c>
      <c r="F226" t="s">
        <v>1070</v>
      </c>
      <c r="G226" t="s">
        <v>309</v>
      </c>
      <c r="H226" t="s">
        <v>569</v>
      </c>
      <c r="I226" t="s">
        <v>2225</v>
      </c>
      <c r="J226" s="41">
        <v>0</v>
      </c>
      <c r="K226" s="41">
        <v>191.53</v>
      </c>
      <c r="L226" t="s">
        <v>1603</v>
      </c>
      <c r="M226" t="s">
        <v>2227</v>
      </c>
      <c r="N226" t="s">
        <v>2268</v>
      </c>
    </row>
    <row r="227" spans="1:14" x14ac:dyDescent="0.3">
      <c r="A227" t="s">
        <v>624</v>
      </c>
      <c r="B227" t="s">
        <v>1373</v>
      </c>
      <c r="C227" t="s">
        <v>974</v>
      </c>
      <c r="D227" t="s">
        <v>496</v>
      </c>
      <c r="E227" t="s">
        <v>1071</v>
      </c>
      <c r="F227" t="s">
        <v>1072</v>
      </c>
      <c r="G227" t="s">
        <v>309</v>
      </c>
      <c r="H227" t="s">
        <v>569</v>
      </c>
      <c r="I227" t="s">
        <v>2225</v>
      </c>
      <c r="J227" s="41">
        <v>164.53</v>
      </c>
      <c r="K227" s="41">
        <v>479.01</v>
      </c>
      <c r="L227" t="s">
        <v>1603</v>
      </c>
      <c r="M227" t="s">
        <v>2227</v>
      </c>
      <c r="N227" t="s">
        <v>2268</v>
      </c>
    </row>
    <row r="228" spans="1:14" x14ac:dyDescent="0.3">
      <c r="A228" t="s">
        <v>624</v>
      </c>
      <c r="B228" t="s">
        <v>1373</v>
      </c>
      <c r="C228" t="s">
        <v>974</v>
      </c>
      <c r="D228" t="s">
        <v>496</v>
      </c>
      <c r="E228" t="s">
        <v>1073</v>
      </c>
      <c r="F228" t="s">
        <v>1074</v>
      </c>
      <c r="G228" t="s">
        <v>309</v>
      </c>
      <c r="H228" t="s">
        <v>569</v>
      </c>
      <c r="I228" t="s">
        <v>2225</v>
      </c>
      <c r="J228" s="41">
        <v>0</v>
      </c>
      <c r="K228" s="41">
        <v>57.32</v>
      </c>
      <c r="L228" t="s">
        <v>1603</v>
      </c>
      <c r="M228" t="s">
        <v>2227</v>
      </c>
      <c r="N228" t="s">
        <v>2268</v>
      </c>
    </row>
    <row r="229" spans="1:14" x14ac:dyDescent="0.3">
      <c r="A229" t="s">
        <v>624</v>
      </c>
      <c r="B229" t="s">
        <v>1373</v>
      </c>
      <c r="C229" t="s">
        <v>974</v>
      </c>
      <c r="D229" t="s">
        <v>496</v>
      </c>
      <c r="E229" t="s">
        <v>1077</v>
      </c>
      <c r="F229" t="s">
        <v>1078</v>
      </c>
      <c r="G229" t="s">
        <v>309</v>
      </c>
      <c r="H229" t="s">
        <v>569</v>
      </c>
      <c r="I229" t="s">
        <v>2225</v>
      </c>
      <c r="J229" s="41">
        <v>0</v>
      </c>
      <c r="K229" s="41">
        <v>773.99</v>
      </c>
      <c r="L229" t="s">
        <v>1603</v>
      </c>
      <c r="M229" t="s">
        <v>1155</v>
      </c>
      <c r="N229" t="s">
        <v>2268</v>
      </c>
    </row>
    <row r="230" spans="1:14" x14ac:dyDescent="0.3">
      <c r="A230" t="s">
        <v>624</v>
      </c>
      <c r="B230" t="s">
        <v>1373</v>
      </c>
      <c r="C230" t="s">
        <v>974</v>
      </c>
      <c r="D230" t="s">
        <v>496</v>
      </c>
      <c r="E230" t="s">
        <v>1079</v>
      </c>
      <c r="F230" t="s">
        <v>1080</v>
      </c>
      <c r="G230" t="s">
        <v>309</v>
      </c>
      <c r="H230" t="s">
        <v>571</v>
      </c>
      <c r="I230" t="s">
        <v>2225</v>
      </c>
      <c r="J230" s="41">
        <v>0</v>
      </c>
      <c r="K230" s="41">
        <v>35.1</v>
      </c>
      <c r="L230" t="s">
        <v>1603</v>
      </c>
      <c r="M230" t="s">
        <v>2227</v>
      </c>
      <c r="N230" t="s">
        <v>2268</v>
      </c>
    </row>
    <row r="231" spans="1:14" x14ac:dyDescent="0.3">
      <c r="A231" t="s">
        <v>624</v>
      </c>
      <c r="B231" t="s">
        <v>1373</v>
      </c>
      <c r="C231" t="s">
        <v>974</v>
      </c>
      <c r="D231" t="s">
        <v>496</v>
      </c>
      <c r="E231" t="s">
        <v>1079</v>
      </c>
      <c r="F231" t="s">
        <v>1080</v>
      </c>
      <c r="G231" t="s">
        <v>309</v>
      </c>
      <c r="H231" t="s">
        <v>571</v>
      </c>
      <c r="I231" t="s">
        <v>2225</v>
      </c>
      <c r="J231" s="41">
        <v>0</v>
      </c>
      <c r="K231" s="41">
        <v>82.58</v>
      </c>
      <c r="L231" t="s">
        <v>1603</v>
      </c>
      <c r="M231" t="s">
        <v>2227</v>
      </c>
      <c r="N231" t="s">
        <v>2268</v>
      </c>
    </row>
    <row r="232" spans="1:14" x14ac:dyDescent="0.3">
      <c r="A232" t="s">
        <v>624</v>
      </c>
      <c r="B232" t="s">
        <v>1373</v>
      </c>
      <c r="C232" t="s">
        <v>974</v>
      </c>
      <c r="D232" t="s">
        <v>496</v>
      </c>
      <c r="E232" t="s">
        <v>1081</v>
      </c>
      <c r="F232" t="s">
        <v>1082</v>
      </c>
      <c r="G232" t="s">
        <v>309</v>
      </c>
      <c r="H232" t="s">
        <v>571</v>
      </c>
      <c r="I232" t="s">
        <v>2225</v>
      </c>
      <c r="J232" s="41">
        <v>95.81</v>
      </c>
      <c r="K232" s="41">
        <v>350.1</v>
      </c>
      <c r="L232" t="s">
        <v>1603</v>
      </c>
      <c r="M232" t="s">
        <v>1155</v>
      </c>
      <c r="N232" t="s">
        <v>2268</v>
      </c>
    </row>
    <row r="233" spans="1:14" x14ac:dyDescent="0.3">
      <c r="A233" t="s">
        <v>624</v>
      </c>
      <c r="B233" t="s">
        <v>1373</v>
      </c>
      <c r="C233" t="s">
        <v>974</v>
      </c>
      <c r="D233" t="s">
        <v>496</v>
      </c>
      <c r="E233" t="s">
        <v>1081</v>
      </c>
      <c r="F233" t="s">
        <v>1082</v>
      </c>
      <c r="G233" t="s">
        <v>309</v>
      </c>
      <c r="H233" t="s">
        <v>571</v>
      </c>
      <c r="I233" t="s">
        <v>2225</v>
      </c>
      <c r="J233" s="41">
        <v>0</v>
      </c>
      <c r="K233" s="41">
        <v>63.15</v>
      </c>
      <c r="L233" t="s">
        <v>1603</v>
      </c>
      <c r="M233" t="s">
        <v>1155</v>
      </c>
      <c r="N233" t="s">
        <v>2268</v>
      </c>
    </row>
    <row r="234" spans="1:14" x14ac:dyDescent="0.3">
      <c r="A234" t="s">
        <v>624</v>
      </c>
      <c r="B234" t="s">
        <v>1373</v>
      </c>
      <c r="C234" t="s">
        <v>974</v>
      </c>
      <c r="D234" t="s">
        <v>496</v>
      </c>
      <c r="E234" t="s">
        <v>1081</v>
      </c>
      <c r="F234" t="s">
        <v>1082</v>
      </c>
      <c r="G234" t="s">
        <v>309</v>
      </c>
      <c r="H234" t="s">
        <v>571</v>
      </c>
      <c r="I234" t="s">
        <v>2225</v>
      </c>
      <c r="J234" s="41">
        <v>0</v>
      </c>
      <c r="K234" s="41">
        <v>55.93</v>
      </c>
      <c r="L234" t="s">
        <v>1603</v>
      </c>
      <c r="M234" t="s">
        <v>1155</v>
      </c>
      <c r="N234" t="s">
        <v>2268</v>
      </c>
    </row>
    <row r="235" spans="1:14" x14ac:dyDescent="0.3">
      <c r="A235" t="s">
        <v>624</v>
      </c>
      <c r="B235" t="s">
        <v>1373</v>
      </c>
      <c r="C235" t="s">
        <v>974</v>
      </c>
      <c r="D235" t="s">
        <v>496</v>
      </c>
      <c r="E235" t="s">
        <v>1081</v>
      </c>
      <c r="F235" t="s">
        <v>1082</v>
      </c>
      <c r="G235" t="s">
        <v>309</v>
      </c>
      <c r="H235" t="s">
        <v>571</v>
      </c>
      <c r="I235" t="s">
        <v>2225</v>
      </c>
      <c r="J235" s="41">
        <v>0</v>
      </c>
      <c r="K235" s="41">
        <v>145.96</v>
      </c>
      <c r="L235" t="s">
        <v>1603</v>
      </c>
      <c r="M235" t="s">
        <v>1155</v>
      </c>
      <c r="N235" t="s">
        <v>2268</v>
      </c>
    </row>
    <row r="236" spans="1:14" x14ac:dyDescent="0.3">
      <c r="A236" t="s">
        <v>624</v>
      </c>
      <c r="B236" t="s">
        <v>1373</v>
      </c>
      <c r="C236" t="s">
        <v>974</v>
      </c>
      <c r="D236" t="s">
        <v>496</v>
      </c>
      <c r="E236" t="s">
        <v>1081</v>
      </c>
      <c r="F236" t="s">
        <v>1082</v>
      </c>
      <c r="G236" t="s">
        <v>309</v>
      </c>
      <c r="H236" t="s">
        <v>571</v>
      </c>
      <c r="I236" t="s">
        <v>2225</v>
      </c>
      <c r="J236" s="41">
        <v>0</v>
      </c>
      <c r="K236" s="41">
        <v>92.97</v>
      </c>
      <c r="L236" t="s">
        <v>1603</v>
      </c>
      <c r="M236" t="s">
        <v>1155</v>
      </c>
      <c r="N236" t="s">
        <v>2268</v>
      </c>
    </row>
    <row r="237" spans="1:14" x14ac:dyDescent="0.3">
      <c r="A237" t="s">
        <v>624</v>
      </c>
      <c r="B237" t="s">
        <v>1373</v>
      </c>
      <c r="C237" t="s">
        <v>974</v>
      </c>
      <c r="D237" t="s">
        <v>496</v>
      </c>
      <c r="E237" t="s">
        <v>1081</v>
      </c>
      <c r="F237" t="s">
        <v>1082</v>
      </c>
      <c r="G237" t="s">
        <v>309</v>
      </c>
      <c r="H237" t="s">
        <v>571</v>
      </c>
      <c r="I237" t="s">
        <v>2225</v>
      </c>
      <c r="J237" s="41">
        <v>0</v>
      </c>
      <c r="K237" s="41">
        <v>122.49</v>
      </c>
      <c r="L237" t="s">
        <v>1603</v>
      </c>
      <c r="M237" t="s">
        <v>1155</v>
      </c>
      <c r="N237" t="s">
        <v>2268</v>
      </c>
    </row>
    <row r="238" spans="1:14" x14ac:dyDescent="0.3">
      <c r="A238" t="s">
        <v>624</v>
      </c>
      <c r="B238" t="s">
        <v>1373</v>
      </c>
      <c r="C238" t="s">
        <v>974</v>
      </c>
      <c r="D238" t="s">
        <v>496</v>
      </c>
      <c r="E238" t="s">
        <v>1081</v>
      </c>
      <c r="F238" t="s">
        <v>1082</v>
      </c>
      <c r="G238" t="s">
        <v>309</v>
      </c>
      <c r="H238" t="s">
        <v>571</v>
      </c>
      <c r="I238" t="s">
        <v>2225</v>
      </c>
      <c r="J238" s="41">
        <v>0</v>
      </c>
      <c r="K238" s="41">
        <v>417.15</v>
      </c>
      <c r="L238" t="s">
        <v>1603</v>
      </c>
      <c r="M238" t="s">
        <v>1155</v>
      </c>
      <c r="N238" t="s">
        <v>2268</v>
      </c>
    </row>
    <row r="239" spans="1:14" x14ac:dyDescent="0.3">
      <c r="A239" t="s">
        <v>624</v>
      </c>
      <c r="B239" t="s">
        <v>1373</v>
      </c>
      <c r="C239" t="s">
        <v>974</v>
      </c>
      <c r="D239" t="s">
        <v>496</v>
      </c>
      <c r="E239" t="s">
        <v>1081</v>
      </c>
      <c r="F239" t="s">
        <v>1082</v>
      </c>
      <c r="G239" t="s">
        <v>309</v>
      </c>
      <c r="H239" t="s">
        <v>571</v>
      </c>
      <c r="I239" t="s">
        <v>2225</v>
      </c>
      <c r="J239" s="41">
        <v>0</v>
      </c>
      <c r="K239" s="41">
        <v>80.39</v>
      </c>
      <c r="L239" t="s">
        <v>1603</v>
      </c>
      <c r="M239" t="s">
        <v>1155</v>
      </c>
      <c r="N239" t="s">
        <v>2268</v>
      </c>
    </row>
    <row r="240" spans="1:14" x14ac:dyDescent="0.3">
      <c r="A240" t="s">
        <v>624</v>
      </c>
      <c r="B240" t="s">
        <v>1373</v>
      </c>
      <c r="C240" t="s">
        <v>974</v>
      </c>
      <c r="D240" t="s">
        <v>496</v>
      </c>
      <c r="E240" t="s">
        <v>1081</v>
      </c>
      <c r="F240" t="s">
        <v>1082</v>
      </c>
      <c r="G240" t="s">
        <v>309</v>
      </c>
      <c r="H240" t="s">
        <v>571</v>
      </c>
      <c r="I240" t="s">
        <v>2225</v>
      </c>
      <c r="J240" s="41">
        <v>0</v>
      </c>
      <c r="K240" s="41">
        <v>214.32</v>
      </c>
      <c r="L240" t="s">
        <v>1603</v>
      </c>
      <c r="M240" t="s">
        <v>1155</v>
      </c>
      <c r="N240" t="s">
        <v>2268</v>
      </c>
    </row>
    <row r="241" spans="1:14" x14ac:dyDescent="0.3">
      <c r="A241" t="s">
        <v>624</v>
      </c>
      <c r="B241" t="s">
        <v>1373</v>
      </c>
      <c r="C241" t="s">
        <v>974</v>
      </c>
      <c r="D241" t="s">
        <v>496</v>
      </c>
      <c r="E241" t="s">
        <v>1081</v>
      </c>
      <c r="F241" t="s">
        <v>1082</v>
      </c>
      <c r="G241" t="s">
        <v>309</v>
      </c>
      <c r="H241" t="s">
        <v>571</v>
      </c>
      <c r="I241" t="s">
        <v>2225</v>
      </c>
      <c r="J241" s="41">
        <v>36.49</v>
      </c>
      <c r="K241" s="41">
        <v>36.49</v>
      </c>
      <c r="L241" t="s">
        <v>1603</v>
      </c>
      <c r="M241" t="s">
        <v>1155</v>
      </c>
      <c r="N241" t="s">
        <v>2268</v>
      </c>
    </row>
    <row r="242" spans="1:14" x14ac:dyDescent="0.3">
      <c r="A242" t="s">
        <v>624</v>
      </c>
      <c r="B242" t="s">
        <v>1373</v>
      </c>
      <c r="C242" t="s">
        <v>974</v>
      </c>
      <c r="D242" t="s">
        <v>496</v>
      </c>
      <c r="E242" t="s">
        <v>1081</v>
      </c>
      <c r="F242" t="s">
        <v>1082</v>
      </c>
      <c r="G242" t="s">
        <v>309</v>
      </c>
      <c r="H242" t="s">
        <v>571</v>
      </c>
      <c r="I242" t="s">
        <v>2225</v>
      </c>
      <c r="J242" s="41">
        <v>0</v>
      </c>
      <c r="K242" s="41">
        <v>284.61</v>
      </c>
      <c r="L242" t="s">
        <v>1603</v>
      </c>
      <c r="M242" t="s">
        <v>1155</v>
      </c>
      <c r="N242" t="s">
        <v>2268</v>
      </c>
    </row>
    <row r="243" spans="1:14" x14ac:dyDescent="0.3">
      <c r="A243" t="s">
        <v>624</v>
      </c>
      <c r="B243" t="s">
        <v>1373</v>
      </c>
      <c r="C243" t="s">
        <v>974</v>
      </c>
      <c r="D243" t="s">
        <v>496</v>
      </c>
      <c r="E243" t="s">
        <v>1081</v>
      </c>
      <c r="F243" t="s">
        <v>1082</v>
      </c>
      <c r="G243" t="s">
        <v>309</v>
      </c>
      <c r="H243" t="s">
        <v>571</v>
      </c>
      <c r="I243" t="s">
        <v>2225</v>
      </c>
      <c r="J243" s="41">
        <v>0</v>
      </c>
      <c r="K243" s="41">
        <v>372.46</v>
      </c>
      <c r="L243" t="s">
        <v>1603</v>
      </c>
      <c r="M243" t="s">
        <v>1155</v>
      </c>
      <c r="N243" t="s">
        <v>2268</v>
      </c>
    </row>
    <row r="244" spans="1:14" x14ac:dyDescent="0.3">
      <c r="A244" t="s">
        <v>624</v>
      </c>
      <c r="B244" t="s">
        <v>1373</v>
      </c>
      <c r="C244" t="s">
        <v>974</v>
      </c>
      <c r="D244" t="s">
        <v>496</v>
      </c>
      <c r="E244" t="s">
        <v>1081</v>
      </c>
      <c r="F244" t="s">
        <v>1082</v>
      </c>
      <c r="G244" t="s">
        <v>309</v>
      </c>
      <c r="H244" t="s">
        <v>571</v>
      </c>
      <c r="I244" t="s">
        <v>2225</v>
      </c>
      <c r="J244" s="41">
        <v>0</v>
      </c>
      <c r="K244" s="41">
        <v>30.09</v>
      </c>
      <c r="L244" t="s">
        <v>1603</v>
      </c>
      <c r="M244" t="s">
        <v>1155</v>
      </c>
      <c r="N244" t="s">
        <v>2268</v>
      </c>
    </row>
    <row r="245" spans="1:14" x14ac:dyDescent="0.3">
      <c r="A245" t="s">
        <v>624</v>
      </c>
      <c r="B245" t="s">
        <v>1373</v>
      </c>
      <c r="C245" t="s">
        <v>974</v>
      </c>
      <c r="D245" t="s">
        <v>496</v>
      </c>
      <c r="E245" t="s">
        <v>1081</v>
      </c>
      <c r="F245" t="s">
        <v>1082</v>
      </c>
      <c r="G245" t="s">
        <v>309</v>
      </c>
      <c r="H245" t="s">
        <v>571</v>
      </c>
      <c r="I245" t="s">
        <v>2225</v>
      </c>
      <c r="J245" s="41">
        <v>0</v>
      </c>
      <c r="K245" s="41">
        <v>182.88</v>
      </c>
      <c r="L245" t="s">
        <v>1603</v>
      </c>
      <c r="M245" t="s">
        <v>1155</v>
      </c>
      <c r="N245" t="s">
        <v>2268</v>
      </c>
    </row>
    <row r="246" spans="1:14" x14ac:dyDescent="0.3">
      <c r="A246" t="s">
        <v>624</v>
      </c>
      <c r="B246" t="s">
        <v>1373</v>
      </c>
      <c r="C246" t="s">
        <v>974</v>
      </c>
      <c r="D246" t="s">
        <v>496</v>
      </c>
      <c r="E246" t="s">
        <v>1081</v>
      </c>
      <c r="F246" t="s">
        <v>1082</v>
      </c>
      <c r="G246" t="s">
        <v>309</v>
      </c>
      <c r="H246" t="s">
        <v>571</v>
      </c>
      <c r="I246" t="s">
        <v>2225</v>
      </c>
      <c r="J246" s="41">
        <v>45.36</v>
      </c>
      <c r="K246" s="41">
        <v>45.36</v>
      </c>
      <c r="L246" t="s">
        <v>1603</v>
      </c>
      <c r="M246" t="s">
        <v>1155</v>
      </c>
      <c r="N246" t="s">
        <v>2268</v>
      </c>
    </row>
    <row r="247" spans="1:14" x14ac:dyDescent="0.3">
      <c r="A247" t="s">
        <v>624</v>
      </c>
      <c r="B247" t="s">
        <v>1373</v>
      </c>
      <c r="C247" t="s">
        <v>974</v>
      </c>
      <c r="D247" t="s">
        <v>496</v>
      </c>
      <c r="E247" t="s">
        <v>1081</v>
      </c>
      <c r="F247" t="s">
        <v>1082</v>
      </c>
      <c r="G247" t="s">
        <v>309</v>
      </c>
      <c r="H247" t="s">
        <v>571</v>
      </c>
      <c r="I247" t="s">
        <v>2225</v>
      </c>
      <c r="J247" s="41">
        <v>0</v>
      </c>
      <c r="K247" s="41">
        <v>7.03</v>
      </c>
      <c r="L247" t="s">
        <v>1603</v>
      </c>
      <c r="M247" t="s">
        <v>1155</v>
      </c>
      <c r="N247" t="s">
        <v>2268</v>
      </c>
    </row>
    <row r="248" spans="1:14" x14ac:dyDescent="0.3">
      <c r="A248" t="s">
        <v>624</v>
      </c>
      <c r="B248" t="s">
        <v>1373</v>
      </c>
      <c r="C248" t="s">
        <v>974</v>
      </c>
      <c r="D248" t="s">
        <v>496</v>
      </c>
      <c r="E248" t="s">
        <v>1081</v>
      </c>
      <c r="F248" t="s">
        <v>1082</v>
      </c>
      <c r="G248" t="s">
        <v>309</v>
      </c>
      <c r="H248" t="s">
        <v>571</v>
      </c>
      <c r="I248" t="s">
        <v>2225</v>
      </c>
      <c r="J248" s="41">
        <v>0</v>
      </c>
      <c r="K248" s="41">
        <v>299.25</v>
      </c>
      <c r="L248" t="s">
        <v>1603</v>
      </c>
      <c r="M248" t="s">
        <v>1155</v>
      </c>
      <c r="N248" t="s">
        <v>2268</v>
      </c>
    </row>
    <row r="249" spans="1:14" x14ac:dyDescent="0.3">
      <c r="A249" t="s">
        <v>624</v>
      </c>
      <c r="B249" t="s">
        <v>1373</v>
      </c>
      <c r="C249" t="s">
        <v>974</v>
      </c>
      <c r="D249" t="s">
        <v>496</v>
      </c>
      <c r="E249" t="s">
        <v>1081</v>
      </c>
      <c r="F249" t="s">
        <v>1082</v>
      </c>
      <c r="G249" t="s">
        <v>309</v>
      </c>
      <c r="H249" t="s">
        <v>571</v>
      </c>
      <c r="I249" t="s">
        <v>2225</v>
      </c>
      <c r="J249" s="41">
        <v>0</v>
      </c>
      <c r="K249" s="41">
        <v>27.93</v>
      </c>
      <c r="L249" t="s">
        <v>1603</v>
      </c>
      <c r="M249" t="s">
        <v>1155</v>
      </c>
      <c r="N249" t="s">
        <v>2268</v>
      </c>
    </row>
    <row r="250" spans="1:14" x14ac:dyDescent="0.3">
      <c r="A250" t="s">
        <v>624</v>
      </c>
      <c r="B250" t="s">
        <v>1373</v>
      </c>
      <c r="C250" t="s">
        <v>974</v>
      </c>
      <c r="D250" t="s">
        <v>496</v>
      </c>
      <c r="E250" t="s">
        <v>1081</v>
      </c>
      <c r="F250" t="s">
        <v>1082</v>
      </c>
      <c r="G250" t="s">
        <v>309</v>
      </c>
      <c r="H250" t="s">
        <v>571</v>
      </c>
      <c r="I250" t="s">
        <v>2225</v>
      </c>
      <c r="J250" s="41">
        <v>0</v>
      </c>
      <c r="K250" s="41">
        <v>72.540000000000006</v>
      </c>
      <c r="L250" t="s">
        <v>1603</v>
      </c>
      <c r="M250" t="s">
        <v>1155</v>
      </c>
      <c r="N250" t="s">
        <v>2268</v>
      </c>
    </row>
    <row r="251" spans="1:14" x14ac:dyDescent="0.3">
      <c r="A251" t="s">
        <v>624</v>
      </c>
      <c r="B251" t="s">
        <v>1373</v>
      </c>
      <c r="C251" t="s">
        <v>974</v>
      </c>
      <c r="D251" t="s">
        <v>496</v>
      </c>
      <c r="E251" t="s">
        <v>1081</v>
      </c>
      <c r="F251" t="s">
        <v>1082</v>
      </c>
      <c r="G251" t="s">
        <v>309</v>
      </c>
      <c r="H251" t="s">
        <v>571</v>
      </c>
      <c r="I251" t="s">
        <v>2225</v>
      </c>
      <c r="J251" s="41">
        <v>0</v>
      </c>
      <c r="K251" s="41">
        <v>476.54</v>
      </c>
      <c r="L251" t="s">
        <v>1603</v>
      </c>
      <c r="M251" t="s">
        <v>1155</v>
      </c>
      <c r="N251" t="s">
        <v>2268</v>
      </c>
    </row>
    <row r="252" spans="1:14" x14ac:dyDescent="0.3">
      <c r="A252" t="s">
        <v>624</v>
      </c>
      <c r="B252" t="s">
        <v>1373</v>
      </c>
      <c r="C252" t="s">
        <v>974</v>
      </c>
      <c r="D252" t="s">
        <v>496</v>
      </c>
      <c r="E252" t="s">
        <v>1081</v>
      </c>
      <c r="F252" t="s">
        <v>1082</v>
      </c>
      <c r="G252" t="s">
        <v>309</v>
      </c>
      <c r="H252" t="s">
        <v>571</v>
      </c>
      <c r="I252" t="s">
        <v>2225</v>
      </c>
      <c r="J252" s="41">
        <v>0</v>
      </c>
      <c r="K252" s="41">
        <v>259.2</v>
      </c>
      <c r="L252" t="s">
        <v>1603</v>
      </c>
      <c r="M252" t="s">
        <v>1155</v>
      </c>
      <c r="N252" t="s">
        <v>2268</v>
      </c>
    </row>
    <row r="253" spans="1:14" x14ac:dyDescent="0.3">
      <c r="A253" t="s">
        <v>624</v>
      </c>
      <c r="B253" t="s">
        <v>1373</v>
      </c>
      <c r="C253" t="s">
        <v>974</v>
      </c>
      <c r="D253" t="s">
        <v>496</v>
      </c>
      <c r="E253" t="s">
        <v>1081</v>
      </c>
      <c r="F253" t="s">
        <v>1082</v>
      </c>
      <c r="G253" t="s">
        <v>309</v>
      </c>
      <c r="H253" t="s">
        <v>571</v>
      </c>
      <c r="I253" t="s">
        <v>2225</v>
      </c>
      <c r="J253" s="41">
        <v>0</v>
      </c>
      <c r="K253" s="41">
        <v>237.15</v>
      </c>
      <c r="L253" t="s">
        <v>1603</v>
      </c>
      <c r="M253" t="s">
        <v>1155</v>
      </c>
      <c r="N253" t="s">
        <v>2268</v>
      </c>
    </row>
    <row r="254" spans="1:14" x14ac:dyDescent="0.3">
      <c r="A254" t="s">
        <v>624</v>
      </c>
      <c r="B254" t="s">
        <v>1373</v>
      </c>
      <c r="C254" t="s">
        <v>974</v>
      </c>
      <c r="D254" t="s">
        <v>496</v>
      </c>
      <c r="E254" t="s">
        <v>1083</v>
      </c>
      <c r="F254" t="s">
        <v>1084</v>
      </c>
      <c r="G254" t="s">
        <v>309</v>
      </c>
      <c r="H254" t="s">
        <v>570</v>
      </c>
      <c r="I254" t="s">
        <v>2225</v>
      </c>
      <c r="J254" s="41">
        <v>0</v>
      </c>
      <c r="K254" s="41">
        <v>10</v>
      </c>
      <c r="L254" t="s">
        <v>1603</v>
      </c>
      <c r="M254" t="s">
        <v>2227</v>
      </c>
      <c r="N254" t="s">
        <v>2268</v>
      </c>
    </row>
    <row r="255" spans="1:14" x14ac:dyDescent="0.3">
      <c r="A255" t="s">
        <v>624</v>
      </c>
      <c r="B255" t="s">
        <v>1373</v>
      </c>
      <c r="C255" t="s">
        <v>974</v>
      </c>
      <c r="D255" t="s">
        <v>496</v>
      </c>
      <c r="E255" t="s">
        <v>1083</v>
      </c>
      <c r="F255" t="s">
        <v>1084</v>
      </c>
      <c r="G255" t="s">
        <v>309</v>
      </c>
      <c r="H255" t="s">
        <v>570</v>
      </c>
      <c r="I255" t="s">
        <v>2225</v>
      </c>
      <c r="J255" s="41">
        <v>0</v>
      </c>
      <c r="K255" s="41">
        <v>12.75</v>
      </c>
      <c r="L255" t="s">
        <v>1603</v>
      </c>
      <c r="M255" t="s">
        <v>2227</v>
      </c>
      <c r="N255" t="s">
        <v>2268</v>
      </c>
    </row>
    <row r="256" spans="1:14" x14ac:dyDescent="0.3">
      <c r="A256" t="s">
        <v>624</v>
      </c>
      <c r="B256" t="s">
        <v>1373</v>
      </c>
      <c r="C256" t="s">
        <v>974</v>
      </c>
      <c r="D256" t="s">
        <v>496</v>
      </c>
      <c r="E256" t="s">
        <v>1083</v>
      </c>
      <c r="F256" t="s">
        <v>1084</v>
      </c>
      <c r="G256" t="s">
        <v>309</v>
      </c>
      <c r="H256" t="s">
        <v>570</v>
      </c>
      <c r="I256" t="s">
        <v>2225</v>
      </c>
      <c r="J256" s="41">
        <v>0</v>
      </c>
      <c r="K256" s="41">
        <v>35</v>
      </c>
      <c r="L256" t="s">
        <v>1603</v>
      </c>
      <c r="M256" t="s">
        <v>2227</v>
      </c>
      <c r="N256" t="s">
        <v>2268</v>
      </c>
    </row>
    <row r="257" spans="1:14" x14ac:dyDescent="0.3">
      <c r="A257" t="s">
        <v>624</v>
      </c>
      <c r="B257" t="s">
        <v>1373</v>
      </c>
      <c r="C257" t="s">
        <v>974</v>
      </c>
      <c r="D257" t="s">
        <v>496</v>
      </c>
      <c r="E257" t="s">
        <v>1062</v>
      </c>
      <c r="F257" t="s">
        <v>1063</v>
      </c>
      <c r="G257" t="s">
        <v>309</v>
      </c>
      <c r="H257" t="s">
        <v>566</v>
      </c>
      <c r="I257" t="s">
        <v>2225</v>
      </c>
      <c r="J257" s="41">
        <v>8000</v>
      </c>
      <c r="K257" s="41">
        <v>10333.33</v>
      </c>
      <c r="L257" t="s">
        <v>1603</v>
      </c>
      <c r="M257" t="s">
        <v>2227</v>
      </c>
      <c r="N257" t="s">
        <v>2268</v>
      </c>
    </row>
    <row r="258" spans="1:14" x14ac:dyDescent="0.3">
      <c r="A258" t="s">
        <v>624</v>
      </c>
      <c r="B258" t="s">
        <v>1373</v>
      </c>
      <c r="C258" t="s">
        <v>974</v>
      </c>
      <c r="D258" t="s">
        <v>496</v>
      </c>
      <c r="E258" t="s">
        <v>1062</v>
      </c>
      <c r="F258" t="s">
        <v>1063</v>
      </c>
      <c r="G258" t="s">
        <v>309</v>
      </c>
      <c r="H258" t="s">
        <v>566</v>
      </c>
      <c r="I258" t="s">
        <v>2225</v>
      </c>
      <c r="J258" s="41">
        <v>0</v>
      </c>
      <c r="K258" s="41">
        <v>2557.46</v>
      </c>
      <c r="L258" t="s">
        <v>1603</v>
      </c>
      <c r="M258" t="s">
        <v>2227</v>
      </c>
      <c r="N258" t="s">
        <v>2268</v>
      </c>
    </row>
    <row r="259" spans="1:14" x14ac:dyDescent="0.3">
      <c r="A259" t="s">
        <v>624</v>
      </c>
      <c r="B259" t="s">
        <v>1373</v>
      </c>
      <c r="C259" t="s">
        <v>974</v>
      </c>
      <c r="D259" t="s">
        <v>496</v>
      </c>
      <c r="E259" t="s">
        <v>1062</v>
      </c>
      <c r="F259" t="s">
        <v>1063</v>
      </c>
      <c r="G259" t="s">
        <v>309</v>
      </c>
      <c r="H259" t="s">
        <v>566</v>
      </c>
      <c r="I259" t="s">
        <v>2225</v>
      </c>
      <c r="J259" s="41">
        <v>0</v>
      </c>
      <c r="K259" s="41">
        <v>5666.67</v>
      </c>
      <c r="L259" t="s">
        <v>1603</v>
      </c>
      <c r="M259" t="s">
        <v>2227</v>
      </c>
      <c r="N259" t="s">
        <v>2268</v>
      </c>
    </row>
    <row r="260" spans="1:14" x14ac:dyDescent="0.3">
      <c r="A260" t="s">
        <v>624</v>
      </c>
      <c r="B260" t="s">
        <v>1373</v>
      </c>
      <c r="C260" t="s">
        <v>974</v>
      </c>
      <c r="D260" t="s">
        <v>496</v>
      </c>
      <c r="E260" t="s">
        <v>1097</v>
      </c>
      <c r="F260" t="s">
        <v>1098</v>
      </c>
      <c r="G260" t="s">
        <v>377</v>
      </c>
      <c r="H260" t="s">
        <v>569</v>
      </c>
      <c r="I260" t="s">
        <v>190</v>
      </c>
      <c r="J260" s="41">
        <v>0</v>
      </c>
      <c r="K260" s="41">
        <v>400</v>
      </c>
      <c r="L260" t="s">
        <v>1603</v>
      </c>
      <c r="M260" t="s">
        <v>2227</v>
      </c>
      <c r="N260" t="s">
        <v>2268</v>
      </c>
    </row>
    <row r="261" spans="1:14" x14ac:dyDescent="0.3">
      <c r="A261" t="s">
        <v>624</v>
      </c>
      <c r="B261" t="s">
        <v>1373</v>
      </c>
      <c r="C261" t="s">
        <v>974</v>
      </c>
      <c r="D261" t="s">
        <v>496</v>
      </c>
      <c r="E261" t="s">
        <v>1099</v>
      </c>
      <c r="F261" t="s">
        <v>1100</v>
      </c>
      <c r="G261" t="s">
        <v>377</v>
      </c>
      <c r="H261" t="s">
        <v>569</v>
      </c>
      <c r="I261" t="s">
        <v>190</v>
      </c>
      <c r="J261" s="41">
        <v>0</v>
      </c>
      <c r="K261" s="41">
        <v>3500</v>
      </c>
      <c r="L261" t="s">
        <v>1603</v>
      </c>
      <c r="M261" t="s">
        <v>1155</v>
      </c>
      <c r="N261" t="s">
        <v>2268</v>
      </c>
    </row>
    <row r="262" spans="1:14" x14ac:dyDescent="0.3">
      <c r="A262" t="s">
        <v>624</v>
      </c>
      <c r="B262" t="s">
        <v>1373</v>
      </c>
      <c r="C262" t="s">
        <v>974</v>
      </c>
      <c r="D262" t="s">
        <v>496</v>
      </c>
      <c r="E262" t="s">
        <v>1099</v>
      </c>
      <c r="F262" t="s">
        <v>1100</v>
      </c>
      <c r="G262" t="s">
        <v>377</v>
      </c>
      <c r="H262" t="s">
        <v>569</v>
      </c>
      <c r="I262" t="s">
        <v>190</v>
      </c>
      <c r="J262" s="41">
        <v>0</v>
      </c>
      <c r="K262" s="41">
        <v>648</v>
      </c>
      <c r="L262" t="s">
        <v>1603</v>
      </c>
      <c r="M262" t="s">
        <v>1155</v>
      </c>
      <c r="N262" t="s">
        <v>2268</v>
      </c>
    </row>
    <row r="263" spans="1:14" x14ac:dyDescent="0.3">
      <c r="A263" t="s">
        <v>624</v>
      </c>
      <c r="B263" t="s">
        <v>1373</v>
      </c>
      <c r="C263" t="s">
        <v>974</v>
      </c>
      <c r="D263" t="s">
        <v>496</v>
      </c>
      <c r="E263" t="s">
        <v>1123</v>
      </c>
      <c r="F263" t="s">
        <v>717</v>
      </c>
      <c r="G263" t="s">
        <v>304</v>
      </c>
      <c r="H263" t="s">
        <v>561</v>
      </c>
      <c r="I263" t="s">
        <v>561</v>
      </c>
      <c r="J263" s="41">
        <v>0</v>
      </c>
      <c r="K263" s="41">
        <v>0.34</v>
      </c>
      <c r="L263" t="s">
        <v>1603</v>
      </c>
      <c r="M263" t="s">
        <v>2227</v>
      </c>
      <c r="N263" t="s">
        <v>2268</v>
      </c>
    </row>
    <row r="264" spans="1:14" x14ac:dyDescent="0.3">
      <c r="A264" t="s">
        <v>624</v>
      </c>
      <c r="B264" t="s">
        <v>1373</v>
      </c>
      <c r="C264" t="s">
        <v>974</v>
      </c>
      <c r="D264" t="s">
        <v>496</v>
      </c>
      <c r="E264" t="s">
        <v>1123</v>
      </c>
      <c r="F264" t="s">
        <v>717</v>
      </c>
      <c r="G264" t="s">
        <v>304</v>
      </c>
      <c r="H264" t="s">
        <v>561</v>
      </c>
      <c r="I264" t="s">
        <v>561</v>
      </c>
      <c r="J264" s="41">
        <v>0</v>
      </c>
      <c r="K264" s="41">
        <v>15</v>
      </c>
      <c r="L264" t="s">
        <v>1603</v>
      </c>
      <c r="M264" t="s">
        <v>2227</v>
      </c>
      <c r="N264" t="s">
        <v>2268</v>
      </c>
    </row>
    <row r="265" spans="1:14" x14ac:dyDescent="0.3">
      <c r="A265" t="s">
        <v>624</v>
      </c>
      <c r="B265" t="s">
        <v>1373</v>
      </c>
      <c r="C265" t="s">
        <v>974</v>
      </c>
      <c r="D265" t="s">
        <v>496</v>
      </c>
      <c r="E265" t="s">
        <v>1123</v>
      </c>
      <c r="F265" t="s">
        <v>717</v>
      </c>
      <c r="G265" t="s">
        <v>304</v>
      </c>
      <c r="H265" t="s">
        <v>561</v>
      </c>
      <c r="I265" t="s">
        <v>561</v>
      </c>
      <c r="J265" s="41">
        <v>8.33</v>
      </c>
      <c r="K265" s="41">
        <v>236.54</v>
      </c>
      <c r="L265" t="s">
        <v>1603</v>
      </c>
      <c r="M265" t="s">
        <v>2227</v>
      </c>
      <c r="N265" t="s">
        <v>2268</v>
      </c>
    </row>
    <row r="266" spans="1:14" x14ac:dyDescent="0.3">
      <c r="A266" t="s">
        <v>624</v>
      </c>
      <c r="B266" t="s">
        <v>1373</v>
      </c>
      <c r="C266" t="s">
        <v>974</v>
      </c>
      <c r="D266" t="s">
        <v>496</v>
      </c>
      <c r="E266" t="s">
        <v>1123</v>
      </c>
      <c r="F266" t="s">
        <v>717</v>
      </c>
      <c r="G266" t="s">
        <v>304</v>
      </c>
      <c r="H266" t="s">
        <v>561</v>
      </c>
      <c r="I266" t="s">
        <v>561</v>
      </c>
      <c r="J266" s="41">
        <v>0</v>
      </c>
      <c r="K266" s="41">
        <v>3.11</v>
      </c>
      <c r="L266" t="s">
        <v>1603</v>
      </c>
      <c r="M266" t="s">
        <v>2227</v>
      </c>
      <c r="N266" t="s">
        <v>2268</v>
      </c>
    </row>
    <row r="267" spans="1:14" x14ac:dyDescent="0.3">
      <c r="A267" t="s">
        <v>624</v>
      </c>
      <c r="B267" t="s">
        <v>1373</v>
      </c>
      <c r="C267" t="s">
        <v>974</v>
      </c>
      <c r="D267" t="s">
        <v>496</v>
      </c>
      <c r="E267" t="s">
        <v>1123</v>
      </c>
      <c r="F267" t="s">
        <v>717</v>
      </c>
      <c r="G267" t="s">
        <v>304</v>
      </c>
      <c r="H267" t="s">
        <v>561</v>
      </c>
      <c r="I267" t="s">
        <v>561</v>
      </c>
      <c r="J267" s="41">
        <v>125.95</v>
      </c>
      <c r="K267" s="41">
        <v>656.65</v>
      </c>
      <c r="L267" t="s">
        <v>1603</v>
      </c>
      <c r="M267" t="s">
        <v>2227</v>
      </c>
      <c r="N267" t="s">
        <v>2268</v>
      </c>
    </row>
    <row r="268" spans="1:14" x14ac:dyDescent="0.3">
      <c r="A268" t="s">
        <v>624</v>
      </c>
      <c r="B268" t="s">
        <v>1373</v>
      </c>
      <c r="C268" t="s">
        <v>974</v>
      </c>
      <c r="D268" t="s">
        <v>496</v>
      </c>
      <c r="E268" t="s">
        <v>1123</v>
      </c>
      <c r="F268" t="s">
        <v>717</v>
      </c>
      <c r="G268" t="s">
        <v>304</v>
      </c>
      <c r="H268" t="s">
        <v>561</v>
      </c>
      <c r="I268" t="s">
        <v>561</v>
      </c>
      <c r="J268" s="41">
        <v>0</v>
      </c>
      <c r="K268" s="41">
        <v>0.9</v>
      </c>
      <c r="L268" t="s">
        <v>1603</v>
      </c>
      <c r="M268" t="s">
        <v>2227</v>
      </c>
      <c r="N268" t="s">
        <v>2268</v>
      </c>
    </row>
    <row r="269" spans="1:14" x14ac:dyDescent="0.3">
      <c r="A269" t="s">
        <v>603</v>
      </c>
      <c r="B269" t="s">
        <v>658</v>
      </c>
      <c r="C269" t="s">
        <v>976</v>
      </c>
      <c r="D269" t="s">
        <v>496</v>
      </c>
      <c r="E269" t="s">
        <v>1060</v>
      </c>
      <c r="F269" t="s">
        <v>1061</v>
      </c>
      <c r="G269" t="s">
        <v>309</v>
      </c>
      <c r="H269" t="s">
        <v>565</v>
      </c>
      <c r="I269" t="s">
        <v>2225</v>
      </c>
      <c r="J269" s="41">
        <v>1850</v>
      </c>
      <c r="K269" s="41">
        <v>7250</v>
      </c>
      <c r="L269" t="s">
        <v>1656</v>
      </c>
      <c r="M269" t="s">
        <v>2227</v>
      </c>
      <c r="N269" t="s">
        <v>2268</v>
      </c>
    </row>
    <row r="270" spans="1:14" x14ac:dyDescent="0.3">
      <c r="A270" t="s">
        <v>603</v>
      </c>
      <c r="B270" t="s">
        <v>658</v>
      </c>
      <c r="C270" t="s">
        <v>976</v>
      </c>
      <c r="D270" t="s">
        <v>496</v>
      </c>
      <c r="E270" t="s">
        <v>1075</v>
      </c>
      <c r="F270" t="s">
        <v>1076</v>
      </c>
      <c r="G270" t="s">
        <v>309</v>
      </c>
      <c r="H270" t="s">
        <v>570</v>
      </c>
      <c r="I270" t="s">
        <v>2225</v>
      </c>
      <c r="J270" s="41">
        <v>300</v>
      </c>
      <c r="K270" s="41">
        <v>1800</v>
      </c>
      <c r="L270" t="s">
        <v>1656</v>
      </c>
      <c r="M270" t="s">
        <v>2227</v>
      </c>
      <c r="N270" t="s">
        <v>2268</v>
      </c>
    </row>
    <row r="271" spans="1:14" x14ac:dyDescent="0.3">
      <c r="A271" t="s">
        <v>603</v>
      </c>
      <c r="B271" t="s">
        <v>658</v>
      </c>
      <c r="C271" t="s">
        <v>976</v>
      </c>
      <c r="D271" t="s">
        <v>496</v>
      </c>
      <c r="E271" t="s">
        <v>1060</v>
      </c>
      <c r="F271" t="s">
        <v>1061</v>
      </c>
      <c r="G271" t="s">
        <v>309</v>
      </c>
      <c r="H271" t="s">
        <v>565</v>
      </c>
      <c r="I271" t="s">
        <v>2225</v>
      </c>
      <c r="J271" s="41">
        <v>400</v>
      </c>
      <c r="K271" s="41">
        <v>2412.37</v>
      </c>
      <c r="L271" t="s">
        <v>1656</v>
      </c>
      <c r="M271" t="s">
        <v>2227</v>
      </c>
      <c r="N271" t="s">
        <v>2268</v>
      </c>
    </row>
    <row r="272" spans="1:14" x14ac:dyDescent="0.3">
      <c r="A272" t="s">
        <v>603</v>
      </c>
      <c r="B272" t="s">
        <v>658</v>
      </c>
      <c r="C272" t="s">
        <v>976</v>
      </c>
      <c r="D272" t="s">
        <v>496</v>
      </c>
      <c r="E272" t="s">
        <v>1062</v>
      </c>
      <c r="F272" t="s">
        <v>1063</v>
      </c>
      <c r="G272" t="s">
        <v>309</v>
      </c>
      <c r="H272" t="s">
        <v>566</v>
      </c>
      <c r="I272" t="s">
        <v>2225</v>
      </c>
      <c r="J272" s="41">
        <v>0</v>
      </c>
      <c r="K272" s="41">
        <v>270.35000000000002</v>
      </c>
      <c r="L272" t="s">
        <v>1656</v>
      </c>
      <c r="M272" t="s">
        <v>2227</v>
      </c>
      <c r="N272" t="s">
        <v>2268</v>
      </c>
    </row>
    <row r="273" spans="1:14" x14ac:dyDescent="0.3">
      <c r="A273" t="s">
        <v>603</v>
      </c>
      <c r="B273" t="s">
        <v>658</v>
      </c>
      <c r="C273" t="s">
        <v>976</v>
      </c>
      <c r="D273" t="s">
        <v>496</v>
      </c>
      <c r="E273" t="s">
        <v>1064</v>
      </c>
      <c r="F273" t="s">
        <v>1065</v>
      </c>
      <c r="G273" t="s">
        <v>309</v>
      </c>
      <c r="H273" t="s">
        <v>571</v>
      </c>
      <c r="I273" t="s">
        <v>2225</v>
      </c>
      <c r="J273" s="41">
        <v>0</v>
      </c>
      <c r="K273" s="41">
        <v>252.73</v>
      </c>
      <c r="L273" t="s">
        <v>1656</v>
      </c>
      <c r="M273" t="s">
        <v>2227</v>
      </c>
      <c r="N273" t="s">
        <v>2268</v>
      </c>
    </row>
    <row r="274" spans="1:14" x14ac:dyDescent="0.3">
      <c r="A274" t="s">
        <v>603</v>
      </c>
      <c r="B274" t="s">
        <v>658</v>
      </c>
      <c r="C274" t="s">
        <v>976</v>
      </c>
      <c r="D274" t="s">
        <v>496</v>
      </c>
      <c r="E274" t="s">
        <v>1064</v>
      </c>
      <c r="F274" t="s">
        <v>1065</v>
      </c>
      <c r="G274" t="s">
        <v>309</v>
      </c>
      <c r="H274" t="s">
        <v>571</v>
      </c>
      <c r="I274" t="s">
        <v>2225</v>
      </c>
      <c r="J274" s="41">
        <v>0</v>
      </c>
      <c r="K274" s="41">
        <v>142.19</v>
      </c>
      <c r="L274" t="s">
        <v>1656</v>
      </c>
      <c r="M274" t="s">
        <v>2227</v>
      </c>
      <c r="N274" t="s">
        <v>2268</v>
      </c>
    </row>
    <row r="275" spans="1:14" x14ac:dyDescent="0.3">
      <c r="A275" t="s">
        <v>603</v>
      </c>
      <c r="B275" t="s">
        <v>658</v>
      </c>
      <c r="C275" t="s">
        <v>976</v>
      </c>
      <c r="D275" t="s">
        <v>496</v>
      </c>
      <c r="E275" t="s">
        <v>1064</v>
      </c>
      <c r="F275" t="s">
        <v>1065</v>
      </c>
      <c r="G275" t="s">
        <v>309</v>
      </c>
      <c r="H275" t="s">
        <v>571</v>
      </c>
      <c r="I275" t="s">
        <v>2225</v>
      </c>
      <c r="J275" s="41">
        <v>0</v>
      </c>
      <c r="K275" s="41">
        <v>64.790000000000006</v>
      </c>
      <c r="L275" t="s">
        <v>1656</v>
      </c>
      <c r="M275" t="s">
        <v>2227</v>
      </c>
      <c r="N275" t="s">
        <v>2268</v>
      </c>
    </row>
    <row r="276" spans="1:14" x14ac:dyDescent="0.3">
      <c r="A276" t="s">
        <v>603</v>
      </c>
      <c r="B276" t="s">
        <v>658</v>
      </c>
      <c r="C276" t="s">
        <v>976</v>
      </c>
      <c r="D276" t="s">
        <v>496</v>
      </c>
      <c r="E276" t="s">
        <v>1068</v>
      </c>
      <c r="F276" t="s">
        <v>568</v>
      </c>
      <c r="G276" t="s">
        <v>309</v>
      </c>
      <c r="H276" t="s">
        <v>568</v>
      </c>
      <c r="I276" t="s">
        <v>2225</v>
      </c>
      <c r="J276" s="41">
        <v>0</v>
      </c>
      <c r="K276" s="41">
        <v>9205.7199999999993</v>
      </c>
      <c r="L276" t="s">
        <v>1656</v>
      </c>
      <c r="M276" t="s">
        <v>2227</v>
      </c>
      <c r="N276" t="s">
        <v>2268</v>
      </c>
    </row>
    <row r="277" spans="1:14" x14ac:dyDescent="0.3">
      <c r="A277" t="s">
        <v>603</v>
      </c>
      <c r="B277" t="s">
        <v>658</v>
      </c>
      <c r="C277" t="s">
        <v>976</v>
      </c>
      <c r="D277" t="s">
        <v>496</v>
      </c>
      <c r="E277" t="s">
        <v>1068</v>
      </c>
      <c r="F277" t="s">
        <v>568</v>
      </c>
      <c r="G277" t="s">
        <v>309</v>
      </c>
      <c r="H277" t="s">
        <v>568</v>
      </c>
      <c r="I277" t="s">
        <v>2225</v>
      </c>
      <c r="J277" s="41">
        <v>0</v>
      </c>
      <c r="K277" s="41">
        <v>70.81</v>
      </c>
      <c r="L277" t="s">
        <v>1656</v>
      </c>
      <c r="M277" t="s">
        <v>2227</v>
      </c>
      <c r="N277" t="s">
        <v>2268</v>
      </c>
    </row>
    <row r="278" spans="1:14" x14ac:dyDescent="0.3">
      <c r="A278" t="s">
        <v>603</v>
      </c>
      <c r="B278" t="s">
        <v>658</v>
      </c>
      <c r="C278" t="s">
        <v>976</v>
      </c>
      <c r="D278" t="s">
        <v>496</v>
      </c>
      <c r="E278" t="s">
        <v>1069</v>
      </c>
      <c r="F278" t="s">
        <v>1070</v>
      </c>
      <c r="G278" t="s">
        <v>309</v>
      </c>
      <c r="H278" t="s">
        <v>569</v>
      </c>
      <c r="I278" t="s">
        <v>2225</v>
      </c>
      <c r="J278" s="41">
        <v>0</v>
      </c>
      <c r="K278" s="41">
        <v>115.51</v>
      </c>
      <c r="L278" t="s">
        <v>1656</v>
      </c>
      <c r="M278" t="s">
        <v>2227</v>
      </c>
      <c r="N278" t="s">
        <v>2268</v>
      </c>
    </row>
    <row r="279" spans="1:14" x14ac:dyDescent="0.3">
      <c r="A279" t="s">
        <v>603</v>
      </c>
      <c r="B279" t="s">
        <v>658</v>
      </c>
      <c r="C279" t="s">
        <v>976</v>
      </c>
      <c r="D279" t="s">
        <v>496</v>
      </c>
      <c r="E279" t="s">
        <v>1069</v>
      </c>
      <c r="F279" t="s">
        <v>1070</v>
      </c>
      <c r="G279" t="s">
        <v>309</v>
      </c>
      <c r="H279" t="s">
        <v>569</v>
      </c>
      <c r="I279" t="s">
        <v>2225</v>
      </c>
      <c r="J279" s="41">
        <v>34.299999999999997</v>
      </c>
      <c r="K279" s="41">
        <v>34.299999999999997</v>
      </c>
      <c r="L279" t="s">
        <v>1656</v>
      </c>
      <c r="M279" t="s">
        <v>2227</v>
      </c>
      <c r="N279" t="s">
        <v>2268</v>
      </c>
    </row>
    <row r="280" spans="1:14" x14ac:dyDescent="0.3">
      <c r="A280" t="s">
        <v>603</v>
      </c>
      <c r="B280" t="s">
        <v>658</v>
      </c>
      <c r="C280" t="s">
        <v>976</v>
      </c>
      <c r="D280" t="s">
        <v>496</v>
      </c>
      <c r="E280" t="s">
        <v>1079</v>
      </c>
      <c r="F280" t="s">
        <v>1080</v>
      </c>
      <c r="G280" t="s">
        <v>309</v>
      </c>
      <c r="H280" t="s">
        <v>571</v>
      </c>
      <c r="I280" t="s">
        <v>2225</v>
      </c>
      <c r="J280" s="41">
        <v>37.69</v>
      </c>
      <c r="K280" s="41">
        <v>37.69</v>
      </c>
      <c r="L280" t="s">
        <v>1656</v>
      </c>
      <c r="M280" t="s">
        <v>2227</v>
      </c>
      <c r="N280" t="s">
        <v>2268</v>
      </c>
    </row>
    <row r="281" spans="1:14" x14ac:dyDescent="0.3">
      <c r="A281" t="s">
        <v>603</v>
      </c>
      <c r="B281" t="s">
        <v>658</v>
      </c>
      <c r="C281" t="s">
        <v>976</v>
      </c>
      <c r="D281" t="s">
        <v>496</v>
      </c>
      <c r="E281" t="s">
        <v>1079</v>
      </c>
      <c r="F281" t="s">
        <v>1080</v>
      </c>
      <c r="G281" t="s">
        <v>309</v>
      </c>
      <c r="H281" t="s">
        <v>571</v>
      </c>
      <c r="I281" t="s">
        <v>2225</v>
      </c>
      <c r="J281" s="41">
        <v>0</v>
      </c>
      <c r="K281" s="41">
        <v>39.61</v>
      </c>
      <c r="L281" t="s">
        <v>1656</v>
      </c>
      <c r="M281" t="s">
        <v>2227</v>
      </c>
      <c r="N281" t="s">
        <v>2268</v>
      </c>
    </row>
    <row r="282" spans="1:14" x14ac:dyDescent="0.3">
      <c r="A282" t="s">
        <v>603</v>
      </c>
      <c r="B282" t="s">
        <v>658</v>
      </c>
      <c r="C282" t="s">
        <v>976</v>
      </c>
      <c r="D282" t="s">
        <v>496</v>
      </c>
      <c r="E282" t="s">
        <v>1079</v>
      </c>
      <c r="F282" t="s">
        <v>1080</v>
      </c>
      <c r="G282" t="s">
        <v>309</v>
      </c>
      <c r="H282" t="s">
        <v>571</v>
      </c>
      <c r="I282" t="s">
        <v>2225</v>
      </c>
      <c r="J282" s="41">
        <v>0</v>
      </c>
      <c r="K282" s="41">
        <v>74.31</v>
      </c>
      <c r="L282" t="s">
        <v>1656</v>
      </c>
      <c r="M282" t="s">
        <v>2227</v>
      </c>
      <c r="N282" t="s">
        <v>2268</v>
      </c>
    </row>
    <row r="283" spans="1:14" x14ac:dyDescent="0.3">
      <c r="A283" t="s">
        <v>603</v>
      </c>
      <c r="B283" t="s">
        <v>658</v>
      </c>
      <c r="C283" t="s">
        <v>976</v>
      </c>
      <c r="D283" t="s">
        <v>496</v>
      </c>
      <c r="E283" t="s">
        <v>1079</v>
      </c>
      <c r="F283" t="s">
        <v>1080</v>
      </c>
      <c r="G283" t="s">
        <v>309</v>
      </c>
      <c r="H283" t="s">
        <v>571</v>
      </c>
      <c r="I283" t="s">
        <v>2225</v>
      </c>
      <c r="J283" s="41">
        <v>0</v>
      </c>
      <c r="K283" s="41">
        <v>15</v>
      </c>
      <c r="L283" t="s">
        <v>1656</v>
      </c>
      <c r="M283" t="s">
        <v>2227</v>
      </c>
      <c r="N283" t="s">
        <v>2268</v>
      </c>
    </row>
    <row r="284" spans="1:14" x14ac:dyDescent="0.3">
      <c r="A284" t="s">
        <v>603</v>
      </c>
      <c r="B284" t="s">
        <v>658</v>
      </c>
      <c r="C284" t="s">
        <v>976</v>
      </c>
      <c r="D284" t="s">
        <v>496</v>
      </c>
      <c r="E284" t="s">
        <v>1079</v>
      </c>
      <c r="F284" t="s">
        <v>1080</v>
      </c>
      <c r="G284" t="s">
        <v>309</v>
      </c>
      <c r="H284" t="s">
        <v>571</v>
      </c>
      <c r="I284" t="s">
        <v>2225</v>
      </c>
      <c r="J284" s="41">
        <v>0</v>
      </c>
      <c r="K284" s="41">
        <v>7</v>
      </c>
      <c r="L284" t="s">
        <v>1656</v>
      </c>
      <c r="M284" t="s">
        <v>2227</v>
      </c>
      <c r="N284" t="s">
        <v>2268</v>
      </c>
    </row>
    <row r="285" spans="1:14" x14ac:dyDescent="0.3">
      <c r="A285" t="s">
        <v>603</v>
      </c>
      <c r="B285" t="s">
        <v>658</v>
      </c>
      <c r="C285" t="s">
        <v>976</v>
      </c>
      <c r="D285" t="s">
        <v>496</v>
      </c>
      <c r="E285" t="s">
        <v>1123</v>
      </c>
      <c r="F285" t="s">
        <v>717</v>
      </c>
      <c r="G285" t="s">
        <v>304</v>
      </c>
      <c r="H285" t="s">
        <v>561</v>
      </c>
      <c r="I285" t="s">
        <v>561</v>
      </c>
      <c r="J285" s="41">
        <v>50</v>
      </c>
      <c r="K285" s="41">
        <v>200</v>
      </c>
      <c r="L285" t="s">
        <v>1656</v>
      </c>
      <c r="M285" t="s">
        <v>2227</v>
      </c>
      <c r="N285" t="s">
        <v>2268</v>
      </c>
    </row>
    <row r="286" spans="1:14" x14ac:dyDescent="0.3">
      <c r="A286" t="s">
        <v>603</v>
      </c>
      <c r="B286" t="s">
        <v>658</v>
      </c>
      <c r="C286" t="s">
        <v>976</v>
      </c>
      <c r="D286" t="s">
        <v>496</v>
      </c>
      <c r="E286" t="s">
        <v>1123</v>
      </c>
      <c r="F286" t="s">
        <v>717</v>
      </c>
      <c r="G286" t="s">
        <v>304</v>
      </c>
      <c r="H286" t="s">
        <v>561</v>
      </c>
      <c r="I286" t="s">
        <v>561</v>
      </c>
      <c r="J286" s="41">
        <v>0</v>
      </c>
      <c r="K286" s="41">
        <v>6</v>
      </c>
      <c r="L286" t="s">
        <v>1656</v>
      </c>
      <c r="M286" t="s">
        <v>2227</v>
      </c>
      <c r="N286" t="s">
        <v>2268</v>
      </c>
    </row>
    <row r="287" spans="1:14" x14ac:dyDescent="0.3">
      <c r="A287" t="s">
        <v>603</v>
      </c>
      <c r="B287" t="s">
        <v>1265</v>
      </c>
      <c r="C287" t="s">
        <v>975</v>
      </c>
      <c r="D287" t="s">
        <v>686</v>
      </c>
      <c r="E287" t="s">
        <v>1062</v>
      </c>
      <c r="F287" t="s">
        <v>1063</v>
      </c>
      <c r="G287" t="s">
        <v>309</v>
      </c>
      <c r="H287" t="s">
        <v>566</v>
      </c>
      <c r="I287" t="s">
        <v>2225</v>
      </c>
      <c r="J287" s="41">
        <v>528</v>
      </c>
      <c r="K287" s="41">
        <v>2596.9499999999998</v>
      </c>
      <c r="L287" t="s">
        <v>1659</v>
      </c>
      <c r="M287" t="s">
        <v>2227</v>
      </c>
      <c r="N287" t="s">
        <v>2268</v>
      </c>
    </row>
    <row r="288" spans="1:14" x14ac:dyDescent="0.3">
      <c r="A288" t="s">
        <v>603</v>
      </c>
      <c r="B288" t="s">
        <v>1265</v>
      </c>
      <c r="C288" t="s">
        <v>975</v>
      </c>
      <c r="D288" t="s">
        <v>686</v>
      </c>
      <c r="E288" t="s">
        <v>1062</v>
      </c>
      <c r="F288" t="s">
        <v>1063</v>
      </c>
      <c r="G288" t="s">
        <v>309</v>
      </c>
      <c r="H288" t="s">
        <v>566</v>
      </c>
      <c r="I288" t="s">
        <v>2225</v>
      </c>
      <c r="J288" s="41">
        <v>350</v>
      </c>
      <c r="K288" s="41">
        <v>2850</v>
      </c>
      <c r="L288" t="s">
        <v>1659</v>
      </c>
      <c r="M288" t="s">
        <v>2227</v>
      </c>
      <c r="N288" t="s">
        <v>2268</v>
      </c>
    </row>
    <row r="289" spans="1:14" x14ac:dyDescent="0.3">
      <c r="A289" t="s">
        <v>603</v>
      </c>
      <c r="B289" t="s">
        <v>1265</v>
      </c>
      <c r="C289" t="s">
        <v>975</v>
      </c>
      <c r="D289" t="s">
        <v>686</v>
      </c>
      <c r="E289" t="s">
        <v>1095</v>
      </c>
      <c r="F289" t="s">
        <v>1096</v>
      </c>
      <c r="G289" t="s">
        <v>377</v>
      </c>
      <c r="H289" t="s">
        <v>566</v>
      </c>
      <c r="I289" t="s">
        <v>190</v>
      </c>
      <c r="J289" s="41">
        <v>0</v>
      </c>
      <c r="K289" s="41">
        <v>7400.3</v>
      </c>
      <c r="L289" t="s">
        <v>1659</v>
      </c>
      <c r="M289" t="s">
        <v>2227</v>
      </c>
      <c r="N289" t="s">
        <v>2268</v>
      </c>
    </row>
    <row r="290" spans="1:14" x14ac:dyDescent="0.3">
      <c r="A290" t="s">
        <v>603</v>
      </c>
      <c r="B290" t="s">
        <v>1265</v>
      </c>
      <c r="C290" t="s">
        <v>975</v>
      </c>
      <c r="D290" t="s">
        <v>686</v>
      </c>
      <c r="E290" t="s">
        <v>1095</v>
      </c>
      <c r="F290" t="s">
        <v>1096</v>
      </c>
      <c r="G290" t="s">
        <v>377</v>
      </c>
      <c r="H290" t="s">
        <v>566</v>
      </c>
      <c r="I290" t="s">
        <v>190</v>
      </c>
      <c r="J290" s="41">
        <v>0</v>
      </c>
      <c r="K290" s="41">
        <v>15383.22</v>
      </c>
      <c r="L290" t="s">
        <v>1659</v>
      </c>
      <c r="M290" t="s">
        <v>2227</v>
      </c>
      <c r="N290" t="s">
        <v>2268</v>
      </c>
    </row>
    <row r="291" spans="1:14" x14ac:dyDescent="0.3">
      <c r="A291" t="s">
        <v>603</v>
      </c>
      <c r="B291" t="s">
        <v>1265</v>
      </c>
      <c r="C291" t="s">
        <v>975</v>
      </c>
      <c r="D291" t="s">
        <v>686</v>
      </c>
      <c r="E291" t="s">
        <v>1095</v>
      </c>
      <c r="F291" t="s">
        <v>1096</v>
      </c>
      <c r="G291" t="s">
        <v>377</v>
      </c>
      <c r="H291" t="s">
        <v>566</v>
      </c>
      <c r="I291" t="s">
        <v>190</v>
      </c>
      <c r="J291" s="41">
        <v>0</v>
      </c>
      <c r="K291" s="41">
        <v>7400.3</v>
      </c>
      <c r="L291" t="s">
        <v>1659</v>
      </c>
      <c r="M291" t="s">
        <v>2227</v>
      </c>
      <c r="N291" t="s">
        <v>2268</v>
      </c>
    </row>
    <row r="292" spans="1:14" x14ac:dyDescent="0.3">
      <c r="A292" t="s">
        <v>603</v>
      </c>
      <c r="B292" t="s">
        <v>1265</v>
      </c>
      <c r="C292" t="s">
        <v>975</v>
      </c>
      <c r="D292" t="s">
        <v>686</v>
      </c>
      <c r="E292" t="s">
        <v>1095</v>
      </c>
      <c r="F292" t="s">
        <v>1096</v>
      </c>
      <c r="G292" t="s">
        <v>377</v>
      </c>
      <c r="H292" t="s">
        <v>566</v>
      </c>
      <c r="I292" t="s">
        <v>190</v>
      </c>
      <c r="J292" s="41">
        <v>0</v>
      </c>
      <c r="K292" s="41">
        <v>2127</v>
      </c>
      <c r="L292" t="s">
        <v>1659</v>
      </c>
      <c r="M292" t="s">
        <v>2227</v>
      </c>
      <c r="N292" t="s">
        <v>2268</v>
      </c>
    </row>
    <row r="293" spans="1:14" x14ac:dyDescent="0.3">
      <c r="A293" t="s">
        <v>603</v>
      </c>
      <c r="B293" t="s">
        <v>1265</v>
      </c>
      <c r="C293" t="s">
        <v>975</v>
      </c>
      <c r="D293" t="s">
        <v>686</v>
      </c>
      <c r="E293" t="s">
        <v>1097</v>
      </c>
      <c r="F293" t="s">
        <v>1098</v>
      </c>
      <c r="G293" t="s">
        <v>377</v>
      </c>
      <c r="H293" t="s">
        <v>569</v>
      </c>
      <c r="I293" t="s">
        <v>190</v>
      </c>
      <c r="J293" s="41">
        <v>0</v>
      </c>
      <c r="K293" s="41">
        <v>1706.19</v>
      </c>
      <c r="L293" t="s">
        <v>1659</v>
      </c>
      <c r="M293" t="s">
        <v>2227</v>
      </c>
      <c r="N293" t="s">
        <v>2268</v>
      </c>
    </row>
    <row r="294" spans="1:14" x14ac:dyDescent="0.3">
      <c r="A294" t="s">
        <v>603</v>
      </c>
      <c r="B294" t="s">
        <v>1265</v>
      </c>
      <c r="C294" t="s">
        <v>975</v>
      </c>
      <c r="D294" t="s">
        <v>686</v>
      </c>
      <c r="E294" t="s">
        <v>1101</v>
      </c>
      <c r="F294" t="s">
        <v>1102</v>
      </c>
      <c r="G294" t="s">
        <v>377</v>
      </c>
      <c r="H294" t="s">
        <v>570</v>
      </c>
      <c r="I294" t="s">
        <v>190</v>
      </c>
      <c r="J294" s="41">
        <v>2822.19</v>
      </c>
      <c r="K294" s="41">
        <v>2822.19</v>
      </c>
      <c r="L294" t="s">
        <v>1659</v>
      </c>
      <c r="M294" t="s">
        <v>2227</v>
      </c>
      <c r="N294" t="s">
        <v>2268</v>
      </c>
    </row>
    <row r="295" spans="1:14" x14ac:dyDescent="0.3">
      <c r="A295" t="s">
        <v>603</v>
      </c>
      <c r="B295" t="s">
        <v>1265</v>
      </c>
      <c r="C295" t="s">
        <v>975</v>
      </c>
      <c r="D295" t="s">
        <v>686</v>
      </c>
      <c r="E295" t="s">
        <v>1101</v>
      </c>
      <c r="F295" t="s">
        <v>1102</v>
      </c>
      <c r="G295" t="s">
        <v>377</v>
      </c>
      <c r="H295" t="s">
        <v>570</v>
      </c>
      <c r="I295" t="s">
        <v>190</v>
      </c>
      <c r="J295" s="41">
        <v>0</v>
      </c>
      <c r="K295" s="41">
        <v>267.26</v>
      </c>
      <c r="L295" t="s">
        <v>1659</v>
      </c>
      <c r="M295" t="s">
        <v>2227</v>
      </c>
      <c r="N295" t="s">
        <v>2268</v>
      </c>
    </row>
    <row r="296" spans="1:14" x14ac:dyDescent="0.3">
      <c r="A296" t="s">
        <v>603</v>
      </c>
      <c r="B296" t="s">
        <v>1265</v>
      </c>
      <c r="C296" t="s">
        <v>975</v>
      </c>
      <c r="D296" t="s">
        <v>686</v>
      </c>
      <c r="E296" t="s">
        <v>1101</v>
      </c>
      <c r="F296" t="s">
        <v>1102</v>
      </c>
      <c r="G296" t="s">
        <v>377</v>
      </c>
      <c r="H296" t="s">
        <v>570</v>
      </c>
      <c r="I296" t="s">
        <v>190</v>
      </c>
      <c r="J296" s="41">
        <v>1183</v>
      </c>
      <c r="K296" s="41">
        <v>1183</v>
      </c>
      <c r="L296" t="s">
        <v>1659</v>
      </c>
      <c r="M296" t="s">
        <v>2227</v>
      </c>
      <c r="N296" t="s">
        <v>2268</v>
      </c>
    </row>
    <row r="297" spans="1:14" x14ac:dyDescent="0.3">
      <c r="A297" t="s">
        <v>603</v>
      </c>
      <c r="B297" t="s">
        <v>1265</v>
      </c>
      <c r="C297" t="s">
        <v>975</v>
      </c>
      <c r="D297" t="s">
        <v>686</v>
      </c>
      <c r="E297" t="s">
        <v>1101</v>
      </c>
      <c r="F297" t="s">
        <v>1102</v>
      </c>
      <c r="G297" t="s">
        <v>377</v>
      </c>
      <c r="H297" t="s">
        <v>570</v>
      </c>
      <c r="I297" t="s">
        <v>190</v>
      </c>
      <c r="J297" s="41">
        <v>0</v>
      </c>
      <c r="K297" s="41">
        <v>80.8</v>
      </c>
      <c r="L297" t="s">
        <v>1659</v>
      </c>
      <c r="M297" t="s">
        <v>2227</v>
      </c>
      <c r="N297" t="s">
        <v>2268</v>
      </c>
    </row>
    <row r="298" spans="1:14" x14ac:dyDescent="0.3">
      <c r="A298" t="s">
        <v>603</v>
      </c>
      <c r="B298" t="s">
        <v>1265</v>
      </c>
      <c r="C298" t="s">
        <v>975</v>
      </c>
      <c r="D298" t="s">
        <v>686</v>
      </c>
      <c r="E298" t="s">
        <v>1101</v>
      </c>
      <c r="F298" t="s">
        <v>1102</v>
      </c>
      <c r="G298" t="s">
        <v>377</v>
      </c>
      <c r="H298" t="s">
        <v>570</v>
      </c>
      <c r="I298" t="s">
        <v>190</v>
      </c>
      <c r="J298" s="41">
        <v>0</v>
      </c>
      <c r="K298" s="41">
        <v>20.68</v>
      </c>
      <c r="L298" t="s">
        <v>1659</v>
      </c>
      <c r="M298" t="s">
        <v>2227</v>
      </c>
      <c r="N298" t="s">
        <v>2268</v>
      </c>
    </row>
    <row r="299" spans="1:14" x14ac:dyDescent="0.3">
      <c r="A299" t="s">
        <v>603</v>
      </c>
      <c r="B299" t="s">
        <v>1265</v>
      </c>
      <c r="C299" t="s">
        <v>975</v>
      </c>
      <c r="D299" t="s">
        <v>686</v>
      </c>
      <c r="E299" t="s">
        <v>1101</v>
      </c>
      <c r="F299" t="s">
        <v>1102</v>
      </c>
      <c r="G299" t="s">
        <v>377</v>
      </c>
      <c r="H299" t="s">
        <v>570</v>
      </c>
      <c r="I299" t="s">
        <v>190</v>
      </c>
      <c r="J299" s="41">
        <v>471.49</v>
      </c>
      <c r="K299" s="41">
        <v>471.49</v>
      </c>
      <c r="L299" t="s">
        <v>1659</v>
      </c>
      <c r="M299" t="s">
        <v>2227</v>
      </c>
      <c r="N299" t="s">
        <v>2268</v>
      </c>
    </row>
    <row r="300" spans="1:14" x14ac:dyDescent="0.3">
      <c r="A300" t="s">
        <v>603</v>
      </c>
      <c r="B300" t="s">
        <v>1265</v>
      </c>
      <c r="C300" t="s">
        <v>975</v>
      </c>
      <c r="D300" t="s">
        <v>686</v>
      </c>
      <c r="E300" t="s">
        <v>1101</v>
      </c>
      <c r="F300" t="s">
        <v>1102</v>
      </c>
      <c r="G300" t="s">
        <v>377</v>
      </c>
      <c r="H300" t="s">
        <v>570</v>
      </c>
      <c r="I300" t="s">
        <v>190</v>
      </c>
      <c r="J300" s="41">
        <v>256</v>
      </c>
      <c r="K300" s="41">
        <v>256</v>
      </c>
      <c r="L300" t="s">
        <v>1659</v>
      </c>
      <c r="M300" t="s">
        <v>2227</v>
      </c>
      <c r="N300" t="s">
        <v>2268</v>
      </c>
    </row>
    <row r="301" spans="1:14" x14ac:dyDescent="0.3">
      <c r="A301" t="s">
        <v>603</v>
      </c>
      <c r="B301" t="s">
        <v>1265</v>
      </c>
      <c r="C301" t="s">
        <v>975</v>
      </c>
      <c r="D301" t="s">
        <v>686</v>
      </c>
      <c r="E301" t="s">
        <v>1101</v>
      </c>
      <c r="F301" t="s">
        <v>1102</v>
      </c>
      <c r="G301" t="s">
        <v>377</v>
      </c>
      <c r="H301" t="s">
        <v>570</v>
      </c>
      <c r="I301" t="s">
        <v>190</v>
      </c>
      <c r="J301" s="41">
        <v>269</v>
      </c>
      <c r="K301" s="41">
        <v>269</v>
      </c>
      <c r="L301" t="s">
        <v>1659</v>
      </c>
      <c r="M301" t="s">
        <v>2227</v>
      </c>
      <c r="N301" t="s">
        <v>2268</v>
      </c>
    </row>
    <row r="302" spans="1:14" x14ac:dyDescent="0.3">
      <c r="A302" t="s">
        <v>603</v>
      </c>
      <c r="B302" t="s">
        <v>1265</v>
      </c>
      <c r="C302" t="s">
        <v>975</v>
      </c>
      <c r="D302" t="s">
        <v>686</v>
      </c>
      <c r="E302" t="s">
        <v>1101</v>
      </c>
      <c r="F302" t="s">
        <v>1102</v>
      </c>
      <c r="G302" t="s">
        <v>377</v>
      </c>
      <c r="H302" t="s">
        <v>570</v>
      </c>
      <c r="I302" t="s">
        <v>190</v>
      </c>
      <c r="J302" s="41">
        <v>0</v>
      </c>
      <c r="K302" s="41">
        <v>114</v>
      </c>
      <c r="L302" t="s">
        <v>1659</v>
      </c>
      <c r="M302" t="s">
        <v>2227</v>
      </c>
      <c r="N302" t="s">
        <v>2268</v>
      </c>
    </row>
    <row r="303" spans="1:14" x14ac:dyDescent="0.3">
      <c r="A303" t="s">
        <v>603</v>
      </c>
      <c r="B303" t="s">
        <v>1265</v>
      </c>
      <c r="C303" t="s">
        <v>975</v>
      </c>
      <c r="D303" t="s">
        <v>686</v>
      </c>
      <c r="E303" t="s">
        <v>1101</v>
      </c>
      <c r="F303" t="s">
        <v>1102</v>
      </c>
      <c r="G303" t="s">
        <v>377</v>
      </c>
      <c r="H303" t="s">
        <v>570</v>
      </c>
      <c r="I303" t="s">
        <v>190</v>
      </c>
      <c r="J303" s="41">
        <v>124.6</v>
      </c>
      <c r="K303" s="41">
        <v>124.6</v>
      </c>
      <c r="L303" t="s">
        <v>1659</v>
      </c>
      <c r="M303" t="s">
        <v>2227</v>
      </c>
      <c r="N303" t="s">
        <v>2268</v>
      </c>
    </row>
    <row r="304" spans="1:14" x14ac:dyDescent="0.3">
      <c r="A304" t="s">
        <v>603</v>
      </c>
      <c r="B304" t="s">
        <v>1265</v>
      </c>
      <c r="C304" t="s">
        <v>975</v>
      </c>
      <c r="D304" t="s">
        <v>686</v>
      </c>
      <c r="E304" t="s">
        <v>1101</v>
      </c>
      <c r="F304" t="s">
        <v>1102</v>
      </c>
      <c r="G304" t="s">
        <v>377</v>
      </c>
      <c r="H304" t="s">
        <v>570</v>
      </c>
      <c r="I304" t="s">
        <v>190</v>
      </c>
      <c r="J304" s="41">
        <v>19.5</v>
      </c>
      <c r="K304" s="41">
        <v>19.5</v>
      </c>
      <c r="L304" t="s">
        <v>1659</v>
      </c>
      <c r="M304" t="s">
        <v>2227</v>
      </c>
      <c r="N304" t="s">
        <v>2268</v>
      </c>
    </row>
    <row r="305" spans="1:14" x14ac:dyDescent="0.3">
      <c r="A305" t="s">
        <v>603</v>
      </c>
      <c r="B305" t="s">
        <v>1265</v>
      </c>
      <c r="C305" t="s">
        <v>975</v>
      </c>
      <c r="D305" t="s">
        <v>686</v>
      </c>
      <c r="E305" t="s">
        <v>1101</v>
      </c>
      <c r="F305" t="s">
        <v>1102</v>
      </c>
      <c r="G305" t="s">
        <v>377</v>
      </c>
      <c r="H305" t="s">
        <v>570</v>
      </c>
      <c r="I305" t="s">
        <v>190</v>
      </c>
      <c r="J305" s="41">
        <v>0</v>
      </c>
      <c r="K305" s="41">
        <v>520</v>
      </c>
      <c r="L305" t="s">
        <v>1659</v>
      </c>
      <c r="M305" t="s">
        <v>2227</v>
      </c>
      <c r="N305" t="s">
        <v>2268</v>
      </c>
    </row>
    <row r="306" spans="1:14" x14ac:dyDescent="0.3">
      <c r="A306" t="s">
        <v>603</v>
      </c>
      <c r="B306" t="s">
        <v>1265</v>
      </c>
      <c r="C306" t="s">
        <v>975</v>
      </c>
      <c r="D306" t="s">
        <v>686</v>
      </c>
      <c r="E306" t="s">
        <v>1101</v>
      </c>
      <c r="F306" t="s">
        <v>1102</v>
      </c>
      <c r="G306" t="s">
        <v>377</v>
      </c>
      <c r="H306" t="s">
        <v>570</v>
      </c>
      <c r="I306" t="s">
        <v>190</v>
      </c>
      <c r="J306" s="41">
        <v>0</v>
      </c>
      <c r="K306" s="41">
        <v>6</v>
      </c>
      <c r="L306" t="s">
        <v>1659</v>
      </c>
      <c r="M306" t="s">
        <v>2227</v>
      </c>
      <c r="N306" t="s">
        <v>2268</v>
      </c>
    </row>
    <row r="307" spans="1:14" x14ac:dyDescent="0.3">
      <c r="A307" t="s">
        <v>603</v>
      </c>
      <c r="B307" t="s">
        <v>1265</v>
      </c>
      <c r="C307" t="s">
        <v>975</v>
      </c>
      <c r="D307" t="s">
        <v>686</v>
      </c>
      <c r="E307" t="s">
        <v>1101</v>
      </c>
      <c r="F307" t="s">
        <v>1102</v>
      </c>
      <c r="G307" t="s">
        <v>377</v>
      </c>
      <c r="H307" t="s">
        <v>570</v>
      </c>
      <c r="I307" t="s">
        <v>190</v>
      </c>
      <c r="J307" s="41">
        <v>0</v>
      </c>
      <c r="K307" s="41">
        <v>226.33</v>
      </c>
      <c r="L307" t="s">
        <v>1659</v>
      </c>
      <c r="M307" t="s">
        <v>2227</v>
      </c>
      <c r="N307" t="s">
        <v>2268</v>
      </c>
    </row>
    <row r="308" spans="1:14" x14ac:dyDescent="0.3">
      <c r="A308" t="s">
        <v>603</v>
      </c>
      <c r="B308" t="s">
        <v>1265</v>
      </c>
      <c r="C308" t="s">
        <v>975</v>
      </c>
      <c r="D308" t="s">
        <v>686</v>
      </c>
      <c r="E308" t="s">
        <v>1101</v>
      </c>
      <c r="F308" t="s">
        <v>1102</v>
      </c>
      <c r="G308" t="s">
        <v>377</v>
      </c>
      <c r="H308" t="s">
        <v>570</v>
      </c>
      <c r="I308" t="s">
        <v>190</v>
      </c>
      <c r="J308" s="41">
        <v>0</v>
      </c>
      <c r="K308" s="41">
        <v>386.7</v>
      </c>
      <c r="L308" t="s">
        <v>1659</v>
      </c>
      <c r="M308" t="s">
        <v>2227</v>
      </c>
      <c r="N308" t="s">
        <v>2268</v>
      </c>
    </row>
    <row r="309" spans="1:14" x14ac:dyDescent="0.3">
      <c r="A309" t="s">
        <v>603</v>
      </c>
      <c r="B309" t="s">
        <v>1265</v>
      </c>
      <c r="C309" t="s">
        <v>975</v>
      </c>
      <c r="D309" t="s">
        <v>686</v>
      </c>
      <c r="E309" t="s">
        <v>1101</v>
      </c>
      <c r="F309" t="s">
        <v>1102</v>
      </c>
      <c r="G309" t="s">
        <v>377</v>
      </c>
      <c r="H309" t="s">
        <v>570</v>
      </c>
      <c r="I309" t="s">
        <v>190</v>
      </c>
      <c r="J309" s="41">
        <v>0</v>
      </c>
      <c r="K309" s="41">
        <v>150.72</v>
      </c>
      <c r="L309" t="s">
        <v>1659</v>
      </c>
      <c r="M309" t="s">
        <v>2227</v>
      </c>
      <c r="N309" t="s">
        <v>2268</v>
      </c>
    </row>
    <row r="310" spans="1:14" x14ac:dyDescent="0.3">
      <c r="A310" t="s">
        <v>603</v>
      </c>
      <c r="B310" t="s">
        <v>1265</v>
      </c>
      <c r="C310" t="s">
        <v>975</v>
      </c>
      <c r="D310" t="s">
        <v>686</v>
      </c>
      <c r="E310" t="s">
        <v>1101</v>
      </c>
      <c r="F310" t="s">
        <v>1102</v>
      </c>
      <c r="G310" t="s">
        <v>377</v>
      </c>
      <c r="H310" t="s">
        <v>570</v>
      </c>
      <c r="I310" t="s">
        <v>190</v>
      </c>
      <c r="J310" s="41">
        <v>0</v>
      </c>
      <c r="K310" s="41">
        <v>24</v>
      </c>
      <c r="L310" t="s">
        <v>1659</v>
      </c>
      <c r="M310" t="s">
        <v>2227</v>
      </c>
      <c r="N310" t="s">
        <v>2268</v>
      </c>
    </row>
    <row r="311" spans="1:14" x14ac:dyDescent="0.3">
      <c r="A311" t="s">
        <v>603</v>
      </c>
      <c r="B311" t="s">
        <v>1265</v>
      </c>
      <c r="C311" t="s">
        <v>975</v>
      </c>
      <c r="D311" t="s">
        <v>686</v>
      </c>
      <c r="E311" t="s">
        <v>1101</v>
      </c>
      <c r="F311" t="s">
        <v>1102</v>
      </c>
      <c r="G311" t="s">
        <v>377</v>
      </c>
      <c r="H311" t="s">
        <v>570</v>
      </c>
      <c r="I311" t="s">
        <v>190</v>
      </c>
      <c r="J311" s="41">
        <v>0</v>
      </c>
      <c r="K311" s="41">
        <v>24</v>
      </c>
      <c r="L311" t="s">
        <v>1659</v>
      </c>
      <c r="M311" t="s">
        <v>2227</v>
      </c>
      <c r="N311" t="s">
        <v>2268</v>
      </c>
    </row>
    <row r="312" spans="1:14" x14ac:dyDescent="0.3">
      <c r="A312" t="s">
        <v>603</v>
      </c>
      <c r="B312" t="s">
        <v>1265</v>
      </c>
      <c r="C312" t="s">
        <v>975</v>
      </c>
      <c r="D312" t="s">
        <v>686</v>
      </c>
      <c r="E312" t="s">
        <v>1101</v>
      </c>
      <c r="F312" t="s">
        <v>1102</v>
      </c>
      <c r="G312" t="s">
        <v>377</v>
      </c>
      <c r="H312" t="s">
        <v>570</v>
      </c>
      <c r="I312" t="s">
        <v>190</v>
      </c>
      <c r="J312" s="41">
        <v>1450.64</v>
      </c>
      <c r="K312" s="41">
        <v>1450.64</v>
      </c>
      <c r="L312" t="s">
        <v>1659</v>
      </c>
      <c r="M312" t="s">
        <v>2227</v>
      </c>
      <c r="N312" t="s">
        <v>2268</v>
      </c>
    </row>
    <row r="313" spans="1:14" x14ac:dyDescent="0.3">
      <c r="A313" t="s">
        <v>603</v>
      </c>
      <c r="B313" t="s">
        <v>1265</v>
      </c>
      <c r="C313" t="s">
        <v>975</v>
      </c>
      <c r="D313" t="s">
        <v>686</v>
      </c>
      <c r="E313" t="s">
        <v>1101</v>
      </c>
      <c r="F313" t="s">
        <v>1102</v>
      </c>
      <c r="G313" t="s">
        <v>377</v>
      </c>
      <c r="H313" t="s">
        <v>570</v>
      </c>
      <c r="I313" t="s">
        <v>190</v>
      </c>
      <c r="J313" s="41">
        <v>0</v>
      </c>
      <c r="K313" s="41">
        <v>5146.2</v>
      </c>
      <c r="L313" t="s">
        <v>1659</v>
      </c>
      <c r="M313" t="s">
        <v>2227</v>
      </c>
      <c r="N313" t="s">
        <v>2268</v>
      </c>
    </row>
    <row r="314" spans="1:14" x14ac:dyDescent="0.3">
      <c r="A314" t="s">
        <v>603</v>
      </c>
      <c r="B314" t="s">
        <v>1265</v>
      </c>
      <c r="C314" t="s">
        <v>975</v>
      </c>
      <c r="D314" t="s">
        <v>686</v>
      </c>
      <c r="E314" t="s">
        <v>1101</v>
      </c>
      <c r="F314" t="s">
        <v>1102</v>
      </c>
      <c r="G314" t="s">
        <v>377</v>
      </c>
      <c r="H314" t="s">
        <v>570</v>
      </c>
      <c r="I314" t="s">
        <v>190</v>
      </c>
      <c r="J314" s="41">
        <v>50</v>
      </c>
      <c r="K314" s="41">
        <v>50</v>
      </c>
      <c r="L314" t="s">
        <v>1659</v>
      </c>
      <c r="M314" t="s">
        <v>2227</v>
      </c>
      <c r="N314" t="s">
        <v>2268</v>
      </c>
    </row>
    <row r="315" spans="1:14" x14ac:dyDescent="0.3">
      <c r="A315" t="s">
        <v>603</v>
      </c>
      <c r="B315" t="s">
        <v>1265</v>
      </c>
      <c r="C315" t="s">
        <v>975</v>
      </c>
      <c r="D315" t="s">
        <v>686</v>
      </c>
      <c r="E315" t="s">
        <v>1101</v>
      </c>
      <c r="F315" t="s">
        <v>1102</v>
      </c>
      <c r="G315" t="s">
        <v>377</v>
      </c>
      <c r="H315" t="s">
        <v>570</v>
      </c>
      <c r="I315" t="s">
        <v>190</v>
      </c>
      <c r="J315" s="41">
        <v>30</v>
      </c>
      <c r="K315" s="41">
        <v>30</v>
      </c>
      <c r="L315" t="s">
        <v>1659</v>
      </c>
      <c r="M315" t="s">
        <v>2227</v>
      </c>
      <c r="N315" t="s">
        <v>2268</v>
      </c>
    </row>
    <row r="316" spans="1:14" x14ac:dyDescent="0.3">
      <c r="A316" t="s">
        <v>603</v>
      </c>
      <c r="B316" t="s">
        <v>1265</v>
      </c>
      <c r="C316" t="s">
        <v>975</v>
      </c>
      <c r="D316" t="s">
        <v>686</v>
      </c>
      <c r="E316" t="s">
        <v>1103</v>
      </c>
      <c r="F316" t="s">
        <v>1104</v>
      </c>
      <c r="G316" t="s">
        <v>377</v>
      </c>
      <c r="H316" t="s">
        <v>570</v>
      </c>
      <c r="I316" t="s">
        <v>190</v>
      </c>
      <c r="J316" s="41">
        <v>78</v>
      </c>
      <c r="K316" s="41">
        <v>156</v>
      </c>
      <c r="L316" t="s">
        <v>1659</v>
      </c>
      <c r="M316" t="s">
        <v>2227</v>
      </c>
      <c r="N316" t="s">
        <v>2268</v>
      </c>
    </row>
    <row r="317" spans="1:14" x14ac:dyDescent="0.3">
      <c r="A317" t="s">
        <v>603</v>
      </c>
      <c r="B317" t="s">
        <v>1265</v>
      </c>
      <c r="C317" t="s">
        <v>975</v>
      </c>
      <c r="D317" t="s">
        <v>686</v>
      </c>
      <c r="E317" t="s">
        <v>1103</v>
      </c>
      <c r="F317" t="s">
        <v>1104</v>
      </c>
      <c r="G317" t="s">
        <v>377</v>
      </c>
      <c r="H317" t="s">
        <v>570</v>
      </c>
      <c r="I317" t="s">
        <v>190</v>
      </c>
      <c r="J317" s="41">
        <v>389.37</v>
      </c>
      <c r="K317" s="41">
        <v>389.37</v>
      </c>
      <c r="L317" t="s">
        <v>1659</v>
      </c>
      <c r="M317" t="s">
        <v>2227</v>
      </c>
      <c r="N317" t="s">
        <v>2268</v>
      </c>
    </row>
    <row r="318" spans="1:14" x14ac:dyDescent="0.3">
      <c r="A318" t="s">
        <v>603</v>
      </c>
      <c r="B318" t="s">
        <v>1265</v>
      </c>
      <c r="C318" t="s">
        <v>975</v>
      </c>
      <c r="D318" t="s">
        <v>686</v>
      </c>
      <c r="E318" t="s">
        <v>1105</v>
      </c>
      <c r="F318" t="s">
        <v>1106</v>
      </c>
      <c r="G318" t="s">
        <v>377</v>
      </c>
      <c r="H318" t="s">
        <v>571</v>
      </c>
      <c r="I318" t="s">
        <v>190</v>
      </c>
      <c r="J318" s="41">
        <v>79.900000000000006</v>
      </c>
      <c r="K318" s="41">
        <v>79.900000000000006</v>
      </c>
      <c r="L318" t="s">
        <v>1659</v>
      </c>
      <c r="M318" t="s">
        <v>1155</v>
      </c>
      <c r="N318" t="s">
        <v>2268</v>
      </c>
    </row>
    <row r="319" spans="1:14" x14ac:dyDescent="0.3">
      <c r="A319" t="s">
        <v>603</v>
      </c>
      <c r="B319" t="s">
        <v>1265</v>
      </c>
      <c r="C319" t="s">
        <v>975</v>
      </c>
      <c r="D319" t="s">
        <v>686</v>
      </c>
      <c r="E319" t="s">
        <v>1105</v>
      </c>
      <c r="F319" t="s">
        <v>1106</v>
      </c>
      <c r="G319" t="s">
        <v>377</v>
      </c>
      <c r="H319" t="s">
        <v>571</v>
      </c>
      <c r="I319" t="s">
        <v>190</v>
      </c>
      <c r="J319" s="41">
        <v>40.619999999999997</v>
      </c>
      <c r="K319" s="41">
        <v>40.619999999999997</v>
      </c>
      <c r="L319" t="s">
        <v>1659</v>
      </c>
      <c r="M319" t="s">
        <v>1155</v>
      </c>
      <c r="N319" t="s">
        <v>2268</v>
      </c>
    </row>
    <row r="320" spans="1:14" x14ac:dyDescent="0.3">
      <c r="A320" t="s">
        <v>603</v>
      </c>
      <c r="B320" t="s">
        <v>1265</v>
      </c>
      <c r="C320" t="s">
        <v>975</v>
      </c>
      <c r="D320" t="s">
        <v>686</v>
      </c>
      <c r="E320" t="s">
        <v>1105</v>
      </c>
      <c r="F320" t="s">
        <v>1106</v>
      </c>
      <c r="G320" t="s">
        <v>377</v>
      </c>
      <c r="H320" t="s">
        <v>571</v>
      </c>
      <c r="I320" t="s">
        <v>190</v>
      </c>
      <c r="J320" s="41">
        <v>3954</v>
      </c>
      <c r="K320" s="41">
        <v>3954</v>
      </c>
      <c r="L320" t="s">
        <v>1659</v>
      </c>
      <c r="M320" t="s">
        <v>1155</v>
      </c>
      <c r="N320" t="s">
        <v>2268</v>
      </c>
    </row>
    <row r="321" spans="1:14" x14ac:dyDescent="0.3">
      <c r="A321" t="s">
        <v>603</v>
      </c>
      <c r="B321" t="s">
        <v>1265</v>
      </c>
      <c r="C321" t="s">
        <v>975</v>
      </c>
      <c r="D321" t="s">
        <v>686</v>
      </c>
      <c r="E321" t="s">
        <v>1105</v>
      </c>
      <c r="F321" t="s">
        <v>1106</v>
      </c>
      <c r="G321" t="s">
        <v>377</v>
      </c>
      <c r="H321" t="s">
        <v>571</v>
      </c>
      <c r="I321" t="s">
        <v>190</v>
      </c>
      <c r="J321" s="41">
        <v>0</v>
      </c>
      <c r="K321" s="41">
        <v>1.9</v>
      </c>
      <c r="L321" t="s">
        <v>1659</v>
      </c>
      <c r="M321" t="s">
        <v>1155</v>
      </c>
      <c r="N321" t="s">
        <v>2268</v>
      </c>
    </row>
    <row r="322" spans="1:14" x14ac:dyDescent="0.3">
      <c r="A322" t="s">
        <v>603</v>
      </c>
      <c r="B322" t="s">
        <v>1265</v>
      </c>
      <c r="C322" t="s">
        <v>975</v>
      </c>
      <c r="D322" t="s">
        <v>686</v>
      </c>
      <c r="E322" t="s">
        <v>1123</v>
      </c>
      <c r="F322" t="s">
        <v>717</v>
      </c>
      <c r="G322" t="s">
        <v>304</v>
      </c>
      <c r="H322" t="s">
        <v>561</v>
      </c>
      <c r="I322" t="s">
        <v>561</v>
      </c>
      <c r="J322" s="41">
        <v>233.65</v>
      </c>
      <c r="K322" s="41">
        <v>460.81</v>
      </c>
      <c r="L322" t="s">
        <v>1659</v>
      </c>
      <c r="M322" t="s">
        <v>2227</v>
      </c>
      <c r="N322" t="s">
        <v>2268</v>
      </c>
    </row>
    <row r="323" spans="1:14" x14ac:dyDescent="0.3">
      <c r="A323" t="s">
        <v>603</v>
      </c>
      <c r="B323" t="s">
        <v>1265</v>
      </c>
      <c r="C323" t="s">
        <v>975</v>
      </c>
      <c r="D323" t="s">
        <v>686</v>
      </c>
      <c r="E323" t="s">
        <v>1123</v>
      </c>
      <c r="F323" t="s">
        <v>717</v>
      </c>
      <c r="G323" t="s">
        <v>304</v>
      </c>
      <c r="H323" t="s">
        <v>561</v>
      </c>
      <c r="I323" t="s">
        <v>561</v>
      </c>
      <c r="J323" s="41">
        <v>0</v>
      </c>
      <c r="K323" s="41">
        <v>4.29</v>
      </c>
      <c r="L323" t="s">
        <v>1659</v>
      </c>
      <c r="M323" t="s">
        <v>2227</v>
      </c>
      <c r="N323" t="s">
        <v>2268</v>
      </c>
    </row>
    <row r="324" spans="1:14" x14ac:dyDescent="0.3">
      <c r="A324" t="s">
        <v>603</v>
      </c>
      <c r="B324" t="s">
        <v>1265</v>
      </c>
      <c r="C324" t="s">
        <v>975</v>
      </c>
      <c r="D324" t="s">
        <v>686</v>
      </c>
      <c r="E324" t="s">
        <v>1123</v>
      </c>
      <c r="F324" t="s">
        <v>717</v>
      </c>
      <c r="G324" t="s">
        <v>304</v>
      </c>
      <c r="H324" t="s">
        <v>561</v>
      </c>
      <c r="I324" t="s">
        <v>561</v>
      </c>
      <c r="J324" s="41">
        <v>0</v>
      </c>
      <c r="K324" s="41">
        <v>172.1</v>
      </c>
      <c r="L324" t="s">
        <v>1659</v>
      </c>
      <c r="M324" t="s">
        <v>2227</v>
      </c>
      <c r="N324" t="s">
        <v>2268</v>
      </c>
    </row>
    <row r="325" spans="1:14" x14ac:dyDescent="0.3">
      <c r="A325" t="s">
        <v>603</v>
      </c>
      <c r="B325" t="s">
        <v>1265</v>
      </c>
      <c r="C325" t="s">
        <v>975</v>
      </c>
      <c r="D325" t="s">
        <v>686</v>
      </c>
      <c r="E325" t="s">
        <v>1123</v>
      </c>
      <c r="F325" t="s">
        <v>717</v>
      </c>
      <c r="G325" t="s">
        <v>304</v>
      </c>
      <c r="H325" t="s">
        <v>561</v>
      </c>
      <c r="I325" t="s">
        <v>561</v>
      </c>
      <c r="J325" s="41">
        <v>0.5</v>
      </c>
      <c r="K325" s="41">
        <v>7.9</v>
      </c>
      <c r="L325" t="s">
        <v>1659</v>
      </c>
      <c r="M325" t="s">
        <v>2227</v>
      </c>
      <c r="N325" t="s">
        <v>2268</v>
      </c>
    </row>
    <row r="326" spans="1:14" x14ac:dyDescent="0.3">
      <c r="A326" t="s">
        <v>603</v>
      </c>
      <c r="B326" t="s">
        <v>1265</v>
      </c>
      <c r="C326" t="s">
        <v>975</v>
      </c>
      <c r="D326" t="s">
        <v>686</v>
      </c>
      <c r="E326" t="s">
        <v>1123</v>
      </c>
      <c r="F326" t="s">
        <v>717</v>
      </c>
      <c r="G326" t="s">
        <v>304</v>
      </c>
      <c r="H326" t="s">
        <v>561</v>
      </c>
      <c r="I326" t="s">
        <v>561</v>
      </c>
      <c r="J326" s="41">
        <v>80</v>
      </c>
      <c r="K326" s="41">
        <v>521.87</v>
      </c>
      <c r="L326" t="s">
        <v>1659</v>
      </c>
      <c r="M326" t="s">
        <v>2227</v>
      </c>
      <c r="N326" t="s">
        <v>2268</v>
      </c>
    </row>
    <row r="327" spans="1:14" x14ac:dyDescent="0.3">
      <c r="A327" t="s">
        <v>603</v>
      </c>
      <c r="B327" t="s">
        <v>1265</v>
      </c>
      <c r="C327" t="s">
        <v>975</v>
      </c>
      <c r="D327" t="s">
        <v>686</v>
      </c>
      <c r="E327" t="s">
        <v>1123</v>
      </c>
      <c r="F327" t="s">
        <v>717</v>
      </c>
      <c r="G327" t="s">
        <v>304</v>
      </c>
      <c r="H327" t="s">
        <v>561</v>
      </c>
      <c r="I327" t="s">
        <v>561</v>
      </c>
      <c r="J327" s="41">
        <v>0</v>
      </c>
      <c r="K327" s="41">
        <v>4.29</v>
      </c>
      <c r="L327" t="s">
        <v>1659</v>
      </c>
      <c r="M327" t="s">
        <v>2227</v>
      </c>
      <c r="N327" t="s">
        <v>2268</v>
      </c>
    </row>
    <row r="328" spans="1:14" x14ac:dyDescent="0.3">
      <c r="A328" t="s">
        <v>603</v>
      </c>
      <c r="B328" t="s">
        <v>1265</v>
      </c>
      <c r="C328" t="s">
        <v>975</v>
      </c>
      <c r="D328" t="s">
        <v>686</v>
      </c>
      <c r="E328" t="s">
        <v>1123</v>
      </c>
      <c r="F328" t="s">
        <v>717</v>
      </c>
      <c r="G328" t="s">
        <v>304</v>
      </c>
      <c r="H328" t="s">
        <v>561</v>
      </c>
      <c r="I328" t="s">
        <v>561</v>
      </c>
      <c r="J328" s="41">
        <v>0</v>
      </c>
      <c r="K328" s="41">
        <v>-4.29</v>
      </c>
      <c r="L328" t="s">
        <v>1659</v>
      </c>
      <c r="M328" t="s">
        <v>2227</v>
      </c>
      <c r="N328" t="s">
        <v>2268</v>
      </c>
    </row>
    <row r="329" spans="1:14" x14ac:dyDescent="0.3">
      <c r="A329" t="s">
        <v>603</v>
      </c>
      <c r="B329" t="s">
        <v>1373</v>
      </c>
      <c r="C329" t="s">
        <v>974</v>
      </c>
      <c r="D329" t="s">
        <v>496</v>
      </c>
      <c r="E329" t="s">
        <v>1060</v>
      </c>
      <c r="F329" t="s">
        <v>1061</v>
      </c>
      <c r="G329" t="s">
        <v>309</v>
      </c>
      <c r="H329" t="s">
        <v>565</v>
      </c>
      <c r="I329" t="s">
        <v>2225</v>
      </c>
      <c r="J329" s="41">
        <v>2592.17</v>
      </c>
      <c r="K329" s="41">
        <v>15553.02</v>
      </c>
      <c r="L329" t="s">
        <v>1660</v>
      </c>
      <c r="M329" t="s">
        <v>2227</v>
      </c>
      <c r="N329" t="s">
        <v>2268</v>
      </c>
    </row>
    <row r="330" spans="1:14" x14ac:dyDescent="0.3">
      <c r="A330" t="s">
        <v>603</v>
      </c>
      <c r="B330" t="s">
        <v>1373</v>
      </c>
      <c r="C330" t="s">
        <v>974</v>
      </c>
      <c r="D330" t="s">
        <v>496</v>
      </c>
      <c r="E330" t="s">
        <v>1060</v>
      </c>
      <c r="F330" t="s">
        <v>1061</v>
      </c>
      <c r="G330" t="s">
        <v>309</v>
      </c>
      <c r="H330" t="s">
        <v>565</v>
      </c>
      <c r="I330" t="s">
        <v>2225</v>
      </c>
      <c r="J330" s="41">
        <v>4000</v>
      </c>
      <c r="K330" s="41">
        <v>4000</v>
      </c>
      <c r="L330" t="s">
        <v>1660</v>
      </c>
      <c r="M330" t="s">
        <v>2227</v>
      </c>
      <c r="N330" t="s">
        <v>2268</v>
      </c>
    </row>
    <row r="331" spans="1:14" x14ac:dyDescent="0.3">
      <c r="A331" t="s">
        <v>603</v>
      </c>
      <c r="B331" t="s">
        <v>1373</v>
      </c>
      <c r="C331" t="s">
        <v>974</v>
      </c>
      <c r="D331" t="s">
        <v>496</v>
      </c>
      <c r="E331" t="s">
        <v>1060</v>
      </c>
      <c r="F331" t="s">
        <v>1061</v>
      </c>
      <c r="G331" t="s">
        <v>309</v>
      </c>
      <c r="H331" t="s">
        <v>565</v>
      </c>
      <c r="I331" t="s">
        <v>2225</v>
      </c>
      <c r="J331" s="41">
        <v>5000</v>
      </c>
      <c r="K331" s="41">
        <v>5000</v>
      </c>
      <c r="L331" t="s">
        <v>1660</v>
      </c>
      <c r="M331" t="s">
        <v>2227</v>
      </c>
      <c r="N331" t="s">
        <v>2268</v>
      </c>
    </row>
    <row r="332" spans="1:14" x14ac:dyDescent="0.3">
      <c r="A332" t="s">
        <v>603</v>
      </c>
      <c r="B332" t="s">
        <v>1373</v>
      </c>
      <c r="C332" t="s">
        <v>974</v>
      </c>
      <c r="D332" t="s">
        <v>496</v>
      </c>
      <c r="E332" t="s">
        <v>1075</v>
      </c>
      <c r="F332" t="s">
        <v>1076</v>
      </c>
      <c r="G332" t="s">
        <v>309</v>
      </c>
      <c r="H332" t="s">
        <v>570</v>
      </c>
      <c r="I332" t="s">
        <v>2225</v>
      </c>
      <c r="J332" s="41">
        <v>0</v>
      </c>
      <c r="K332" s="41">
        <v>78.430000000000007</v>
      </c>
      <c r="L332" t="s">
        <v>1660</v>
      </c>
      <c r="M332" t="s">
        <v>2227</v>
      </c>
      <c r="N332" t="s">
        <v>2268</v>
      </c>
    </row>
    <row r="333" spans="1:14" x14ac:dyDescent="0.3">
      <c r="A333" t="s">
        <v>603</v>
      </c>
      <c r="B333" t="s">
        <v>1373</v>
      </c>
      <c r="C333" t="s">
        <v>974</v>
      </c>
      <c r="D333" t="s">
        <v>496</v>
      </c>
      <c r="E333" t="s">
        <v>1075</v>
      </c>
      <c r="F333" t="s">
        <v>1076</v>
      </c>
      <c r="G333" t="s">
        <v>309</v>
      </c>
      <c r="H333" t="s">
        <v>570</v>
      </c>
      <c r="I333" t="s">
        <v>2225</v>
      </c>
      <c r="J333" s="41">
        <v>0</v>
      </c>
      <c r="K333" s="41">
        <v>64.790000000000006</v>
      </c>
      <c r="L333" t="s">
        <v>1660</v>
      </c>
      <c r="M333" t="s">
        <v>2227</v>
      </c>
      <c r="N333" t="s">
        <v>2268</v>
      </c>
    </row>
    <row r="334" spans="1:14" x14ac:dyDescent="0.3">
      <c r="A334" t="s">
        <v>603</v>
      </c>
      <c r="B334" t="s">
        <v>1373</v>
      </c>
      <c r="C334" t="s">
        <v>974</v>
      </c>
      <c r="D334" t="s">
        <v>496</v>
      </c>
      <c r="E334" t="s">
        <v>1075</v>
      </c>
      <c r="F334" t="s">
        <v>1076</v>
      </c>
      <c r="G334" t="s">
        <v>309</v>
      </c>
      <c r="H334" t="s">
        <v>570</v>
      </c>
      <c r="I334" t="s">
        <v>2225</v>
      </c>
      <c r="J334" s="41">
        <v>0</v>
      </c>
      <c r="K334" s="41">
        <v>35.04</v>
      </c>
      <c r="L334" t="s">
        <v>1660</v>
      </c>
      <c r="M334" t="s">
        <v>2227</v>
      </c>
      <c r="N334" t="s">
        <v>2268</v>
      </c>
    </row>
    <row r="335" spans="1:14" x14ac:dyDescent="0.3">
      <c r="A335" t="s">
        <v>603</v>
      </c>
      <c r="B335" t="s">
        <v>1373</v>
      </c>
      <c r="C335" t="s">
        <v>974</v>
      </c>
      <c r="D335" t="s">
        <v>496</v>
      </c>
      <c r="E335" t="s">
        <v>1075</v>
      </c>
      <c r="F335" t="s">
        <v>1076</v>
      </c>
      <c r="G335" t="s">
        <v>309</v>
      </c>
      <c r="H335" t="s">
        <v>570</v>
      </c>
      <c r="I335" t="s">
        <v>2225</v>
      </c>
      <c r="J335" s="41">
        <v>38.21</v>
      </c>
      <c r="K335" s="41">
        <v>60.35</v>
      </c>
      <c r="L335" t="s">
        <v>1660</v>
      </c>
      <c r="M335" t="s">
        <v>2227</v>
      </c>
      <c r="N335" t="s">
        <v>2268</v>
      </c>
    </row>
    <row r="336" spans="1:14" x14ac:dyDescent="0.3">
      <c r="A336" t="s">
        <v>603</v>
      </c>
      <c r="B336" t="s">
        <v>1373</v>
      </c>
      <c r="C336" t="s">
        <v>974</v>
      </c>
      <c r="D336" t="s">
        <v>496</v>
      </c>
      <c r="E336" t="s">
        <v>1075</v>
      </c>
      <c r="F336" t="s">
        <v>1076</v>
      </c>
      <c r="G336" t="s">
        <v>309</v>
      </c>
      <c r="H336" t="s">
        <v>570</v>
      </c>
      <c r="I336" t="s">
        <v>2225</v>
      </c>
      <c r="J336" s="41">
        <v>0</v>
      </c>
      <c r="K336" s="41">
        <v>13.54</v>
      </c>
      <c r="L336" t="s">
        <v>1660</v>
      </c>
      <c r="M336" t="s">
        <v>2227</v>
      </c>
      <c r="N336" t="s">
        <v>2268</v>
      </c>
    </row>
    <row r="337" spans="1:14" x14ac:dyDescent="0.3">
      <c r="A337" t="s">
        <v>603</v>
      </c>
      <c r="B337" t="s">
        <v>1373</v>
      </c>
      <c r="C337" t="s">
        <v>974</v>
      </c>
      <c r="D337" t="s">
        <v>496</v>
      </c>
      <c r="E337" t="s">
        <v>1060</v>
      </c>
      <c r="F337" t="s">
        <v>1061</v>
      </c>
      <c r="G337" t="s">
        <v>309</v>
      </c>
      <c r="H337" t="s">
        <v>565</v>
      </c>
      <c r="I337" t="s">
        <v>2225</v>
      </c>
      <c r="J337" s="41">
        <v>0</v>
      </c>
      <c r="K337" s="41">
        <v>7600</v>
      </c>
      <c r="L337" t="s">
        <v>1660</v>
      </c>
      <c r="M337" t="s">
        <v>2227</v>
      </c>
      <c r="N337" t="s">
        <v>2268</v>
      </c>
    </row>
    <row r="338" spans="1:14" x14ac:dyDescent="0.3">
      <c r="A338" t="s">
        <v>603</v>
      </c>
      <c r="B338" t="s">
        <v>1373</v>
      </c>
      <c r="C338" t="s">
        <v>974</v>
      </c>
      <c r="D338" t="s">
        <v>496</v>
      </c>
      <c r="E338" t="s">
        <v>1060</v>
      </c>
      <c r="F338" t="s">
        <v>1061</v>
      </c>
      <c r="G338" t="s">
        <v>309</v>
      </c>
      <c r="H338" t="s">
        <v>565</v>
      </c>
      <c r="I338" t="s">
        <v>2225</v>
      </c>
      <c r="J338" s="41">
        <v>0</v>
      </c>
      <c r="K338" s="41">
        <v>276.06</v>
      </c>
      <c r="L338" t="s">
        <v>1660</v>
      </c>
      <c r="M338" t="s">
        <v>2227</v>
      </c>
      <c r="N338" t="s">
        <v>2268</v>
      </c>
    </row>
    <row r="339" spans="1:14" x14ac:dyDescent="0.3">
      <c r="A339" t="s">
        <v>603</v>
      </c>
      <c r="B339" t="s">
        <v>1373</v>
      </c>
      <c r="C339" t="s">
        <v>974</v>
      </c>
      <c r="D339" t="s">
        <v>496</v>
      </c>
      <c r="E339" t="s">
        <v>1060</v>
      </c>
      <c r="F339" t="s">
        <v>1061</v>
      </c>
      <c r="G339" t="s">
        <v>309</v>
      </c>
      <c r="H339" t="s">
        <v>565</v>
      </c>
      <c r="I339" t="s">
        <v>2225</v>
      </c>
      <c r="J339" s="41">
        <v>0</v>
      </c>
      <c r="K339" s="41">
        <v>13.9</v>
      </c>
      <c r="L339" t="s">
        <v>1660</v>
      </c>
      <c r="M339" t="s">
        <v>2227</v>
      </c>
      <c r="N339" t="s">
        <v>2268</v>
      </c>
    </row>
    <row r="340" spans="1:14" x14ac:dyDescent="0.3">
      <c r="A340" t="s">
        <v>603</v>
      </c>
      <c r="B340" t="s">
        <v>1373</v>
      </c>
      <c r="C340" t="s">
        <v>974</v>
      </c>
      <c r="D340" t="s">
        <v>496</v>
      </c>
      <c r="E340" t="s">
        <v>1060</v>
      </c>
      <c r="F340" t="s">
        <v>1061</v>
      </c>
      <c r="G340" t="s">
        <v>309</v>
      </c>
      <c r="H340" t="s">
        <v>565</v>
      </c>
      <c r="I340" t="s">
        <v>2225</v>
      </c>
      <c r="J340" s="41">
        <v>0</v>
      </c>
      <c r="K340" s="41">
        <v>15.3</v>
      </c>
      <c r="L340" t="s">
        <v>1660</v>
      </c>
      <c r="M340" t="s">
        <v>2227</v>
      </c>
      <c r="N340" t="s">
        <v>2268</v>
      </c>
    </row>
    <row r="341" spans="1:14" x14ac:dyDescent="0.3">
      <c r="A341" t="s">
        <v>603</v>
      </c>
      <c r="B341" t="s">
        <v>1373</v>
      </c>
      <c r="C341" t="s">
        <v>974</v>
      </c>
      <c r="D341" t="s">
        <v>496</v>
      </c>
      <c r="E341" t="s">
        <v>1060</v>
      </c>
      <c r="F341" t="s">
        <v>1061</v>
      </c>
      <c r="G341" t="s">
        <v>309</v>
      </c>
      <c r="H341" t="s">
        <v>565</v>
      </c>
      <c r="I341" t="s">
        <v>2225</v>
      </c>
      <c r="J341" s="41">
        <v>755.41</v>
      </c>
      <c r="K341" s="41">
        <v>2568.42</v>
      </c>
      <c r="L341" t="s">
        <v>1660</v>
      </c>
      <c r="M341" t="s">
        <v>2227</v>
      </c>
      <c r="N341" t="s">
        <v>2268</v>
      </c>
    </row>
    <row r="342" spans="1:14" x14ac:dyDescent="0.3">
      <c r="A342" t="s">
        <v>603</v>
      </c>
      <c r="B342" t="s">
        <v>1373</v>
      </c>
      <c r="C342" t="s">
        <v>974</v>
      </c>
      <c r="D342" t="s">
        <v>496</v>
      </c>
      <c r="E342" t="s">
        <v>1060</v>
      </c>
      <c r="F342" t="s">
        <v>1061</v>
      </c>
      <c r="G342" t="s">
        <v>309</v>
      </c>
      <c r="H342" t="s">
        <v>565</v>
      </c>
      <c r="I342" t="s">
        <v>2225</v>
      </c>
      <c r="J342" s="41">
        <v>0</v>
      </c>
      <c r="K342" s="41">
        <v>139.1</v>
      </c>
      <c r="L342" t="s">
        <v>1660</v>
      </c>
      <c r="M342" t="s">
        <v>2227</v>
      </c>
      <c r="N342" t="s">
        <v>2268</v>
      </c>
    </row>
    <row r="343" spans="1:14" x14ac:dyDescent="0.3">
      <c r="A343" t="s">
        <v>603</v>
      </c>
      <c r="B343" t="s">
        <v>1373</v>
      </c>
      <c r="C343" t="s">
        <v>974</v>
      </c>
      <c r="D343" t="s">
        <v>496</v>
      </c>
      <c r="E343" t="s">
        <v>1060</v>
      </c>
      <c r="F343" t="s">
        <v>1061</v>
      </c>
      <c r="G343" t="s">
        <v>309</v>
      </c>
      <c r="H343" t="s">
        <v>565</v>
      </c>
      <c r="I343" t="s">
        <v>2225</v>
      </c>
      <c r="J343" s="41">
        <v>0</v>
      </c>
      <c r="K343" s="41">
        <v>-540.91999999999996</v>
      </c>
      <c r="L343" t="s">
        <v>1660</v>
      </c>
      <c r="M343" t="s">
        <v>2227</v>
      </c>
      <c r="N343" t="s">
        <v>2268</v>
      </c>
    </row>
    <row r="344" spans="1:14" x14ac:dyDescent="0.3">
      <c r="A344" t="s">
        <v>603</v>
      </c>
      <c r="B344" t="s">
        <v>1373</v>
      </c>
      <c r="C344" t="s">
        <v>974</v>
      </c>
      <c r="D344" t="s">
        <v>496</v>
      </c>
      <c r="E344" t="s">
        <v>1060</v>
      </c>
      <c r="F344" t="s">
        <v>1061</v>
      </c>
      <c r="G344" t="s">
        <v>309</v>
      </c>
      <c r="H344" t="s">
        <v>565</v>
      </c>
      <c r="I344" t="s">
        <v>2225</v>
      </c>
      <c r="J344" s="41">
        <v>0</v>
      </c>
      <c r="K344" s="41">
        <v>122.93</v>
      </c>
      <c r="L344" t="s">
        <v>1660</v>
      </c>
      <c r="M344" t="s">
        <v>2227</v>
      </c>
      <c r="N344" t="s">
        <v>2268</v>
      </c>
    </row>
    <row r="345" spans="1:14" x14ac:dyDescent="0.3">
      <c r="A345" t="s">
        <v>603</v>
      </c>
      <c r="B345" t="s">
        <v>1373</v>
      </c>
      <c r="C345" t="s">
        <v>974</v>
      </c>
      <c r="D345" t="s">
        <v>496</v>
      </c>
      <c r="E345" t="s">
        <v>1060</v>
      </c>
      <c r="F345" t="s">
        <v>1061</v>
      </c>
      <c r="G345" t="s">
        <v>309</v>
      </c>
      <c r="H345" t="s">
        <v>565</v>
      </c>
      <c r="I345" t="s">
        <v>2225</v>
      </c>
      <c r="J345" s="41">
        <v>0</v>
      </c>
      <c r="K345" s="41">
        <v>56.7</v>
      </c>
      <c r="L345" t="s">
        <v>1660</v>
      </c>
      <c r="M345" t="s">
        <v>2227</v>
      </c>
      <c r="N345" t="s">
        <v>2268</v>
      </c>
    </row>
    <row r="346" spans="1:14" x14ac:dyDescent="0.3">
      <c r="A346" t="s">
        <v>603</v>
      </c>
      <c r="B346" t="s">
        <v>1373</v>
      </c>
      <c r="C346" t="s">
        <v>974</v>
      </c>
      <c r="D346" t="s">
        <v>496</v>
      </c>
      <c r="E346" t="s">
        <v>1060</v>
      </c>
      <c r="F346" t="s">
        <v>1061</v>
      </c>
      <c r="G346" t="s">
        <v>309</v>
      </c>
      <c r="H346" t="s">
        <v>565</v>
      </c>
      <c r="I346" t="s">
        <v>2225</v>
      </c>
      <c r="J346" s="41">
        <v>637.33000000000004</v>
      </c>
      <c r="K346" s="41">
        <v>4153.9799999999996</v>
      </c>
      <c r="L346" t="s">
        <v>1660</v>
      </c>
      <c r="M346" t="s">
        <v>2227</v>
      </c>
      <c r="N346" t="s">
        <v>2268</v>
      </c>
    </row>
    <row r="347" spans="1:14" x14ac:dyDescent="0.3">
      <c r="A347" t="s">
        <v>603</v>
      </c>
      <c r="B347" t="s">
        <v>1373</v>
      </c>
      <c r="C347" t="s">
        <v>974</v>
      </c>
      <c r="D347" t="s">
        <v>496</v>
      </c>
      <c r="E347" t="s">
        <v>1062</v>
      </c>
      <c r="F347" t="s">
        <v>1063</v>
      </c>
      <c r="G347" t="s">
        <v>309</v>
      </c>
      <c r="H347" t="s">
        <v>566</v>
      </c>
      <c r="I347" t="s">
        <v>2225</v>
      </c>
      <c r="J347" s="41">
        <v>150</v>
      </c>
      <c r="K347" s="41">
        <v>150</v>
      </c>
      <c r="L347" t="s">
        <v>1660</v>
      </c>
      <c r="M347" t="s">
        <v>2227</v>
      </c>
      <c r="N347" t="s">
        <v>2268</v>
      </c>
    </row>
    <row r="348" spans="1:14" x14ac:dyDescent="0.3">
      <c r="A348" t="s">
        <v>603</v>
      </c>
      <c r="B348" t="s">
        <v>1373</v>
      </c>
      <c r="C348" t="s">
        <v>974</v>
      </c>
      <c r="D348" t="s">
        <v>496</v>
      </c>
      <c r="E348" t="s">
        <v>1062</v>
      </c>
      <c r="F348" t="s">
        <v>1063</v>
      </c>
      <c r="G348" t="s">
        <v>309</v>
      </c>
      <c r="H348" t="s">
        <v>566</v>
      </c>
      <c r="I348" t="s">
        <v>2225</v>
      </c>
      <c r="J348" s="41">
        <v>0</v>
      </c>
      <c r="K348" s="41">
        <v>445</v>
      </c>
      <c r="L348" t="s">
        <v>1660</v>
      </c>
      <c r="M348" t="s">
        <v>2227</v>
      </c>
      <c r="N348" t="s">
        <v>2268</v>
      </c>
    </row>
    <row r="349" spans="1:14" x14ac:dyDescent="0.3">
      <c r="A349" t="s">
        <v>603</v>
      </c>
      <c r="B349" t="s">
        <v>1373</v>
      </c>
      <c r="C349" t="s">
        <v>974</v>
      </c>
      <c r="D349" t="s">
        <v>496</v>
      </c>
      <c r="E349" t="s">
        <v>1062</v>
      </c>
      <c r="F349" t="s">
        <v>1063</v>
      </c>
      <c r="G349" t="s">
        <v>309</v>
      </c>
      <c r="H349" t="s">
        <v>566</v>
      </c>
      <c r="I349" t="s">
        <v>2225</v>
      </c>
      <c r="J349" s="41">
        <v>2000</v>
      </c>
      <c r="K349" s="41">
        <v>2000</v>
      </c>
      <c r="L349" t="s">
        <v>1660</v>
      </c>
      <c r="M349" t="s">
        <v>2227</v>
      </c>
      <c r="N349" t="s">
        <v>2268</v>
      </c>
    </row>
    <row r="350" spans="1:14" x14ac:dyDescent="0.3">
      <c r="A350" t="s">
        <v>603</v>
      </c>
      <c r="B350" t="s">
        <v>1373</v>
      </c>
      <c r="C350" t="s">
        <v>974</v>
      </c>
      <c r="D350" t="s">
        <v>496</v>
      </c>
      <c r="E350" t="s">
        <v>1064</v>
      </c>
      <c r="F350" t="s">
        <v>1065</v>
      </c>
      <c r="G350" t="s">
        <v>309</v>
      </c>
      <c r="H350" t="s">
        <v>571</v>
      </c>
      <c r="I350" t="s">
        <v>2225</v>
      </c>
      <c r="J350" s="41">
        <v>0</v>
      </c>
      <c r="K350" s="41">
        <v>4024.05</v>
      </c>
      <c r="L350" t="s">
        <v>1660</v>
      </c>
      <c r="M350" t="s">
        <v>2227</v>
      </c>
      <c r="N350" t="s">
        <v>2268</v>
      </c>
    </row>
    <row r="351" spans="1:14" x14ac:dyDescent="0.3">
      <c r="A351" t="s">
        <v>603</v>
      </c>
      <c r="B351" t="s">
        <v>1373</v>
      </c>
      <c r="C351" t="s">
        <v>974</v>
      </c>
      <c r="D351" t="s">
        <v>496</v>
      </c>
      <c r="E351" t="s">
        <v>1069</v>
      </c>
      <c r="F351" t="s">
        <v>1070</v>
      </c>
      <c r="G351" t="s">
        <v>309</v>
      </c>
      <c r="H351" t="s">
        <v>569</v>
      </c>
      <c r="I351" t="s">
        <v>2225</v>
      </c>
      <c r="J351" s="41">
        <v>0</v>
      </c>
      <c r="K351" s="41">
        <v>225.35</v>
      </c>
      <c r="L351" t="s">
        <v>1660</v>
      </c>
      <c r="M351" t="s">
        <v>2227</v>
      </c>
      <c r="N351" t="s">
        <v>2268</v>
      </c>
    </row>
    <row r="352" spans="1:14" x14ac:dyDescent="0.3">
      <c r="A352" t="s">
        <v>603</v>
      </c>
      <c r="B352" t="s">
        <v>1373</v>
      </c>
      <c r="C352" t="s">
        <v>974</v>
      </c>
      <c r="D352" t="s">
        <v>496</v>
      </c>
      <c r="E352" t="s">
        <v>1069</v>
      </c>
      <c r="F352" t="s">
        <v>1070</v>
      </c>
      <c r="G352" t="s">
        <v>309</v>
      </c>
      <c r="H352" t="s">
        <v>569</v>
      </c>
      <c r="I352" t="s">
        <v>2225</v>
      </c>
      <c r="J352" s="41">
        <v>0</v>
      </c>
      <c r="K352" s="41">
        <v>191.4</v>
      </c>
      <c r="L352" t="s">
        <v>1660</v>
      </c>
      <c r="M352" t="s">
        <v>2227</v>
      </c>
      <c r="N352" t="s">
        <v>2268</v>
      </c>
    </row>
    <row r="353" spans="1:14" x14ac:dyDescent="0.3">
      <c r="A353" t="s">
        <v>603</v>
      </c>
      <c r="B353" t="s">
        <v>1373</v>
      </c>
      <c r="C353" t="s">
        <v>974</v>
      </c>
      <c r="D353" t="s">
        <v>496</v>
      </c>
      <c r="E353" t="s">
        <v>1069</v>
      </c>
      <c r="F353" t="s">
        <v>1070</v>
      </c>
      <c r="G353" t="s">
        <v>309</v>
      </c>
      <c r="H353" t="s">
        <v>569</v>
      </c>
      <c r="I353" t="s">
        <v>2225</v>
      </c>
      <c r="J353" s="41">
        <v>0</v>
      </c>
      <c r="K353" s="41">
        <v>32.1</v>
      </c>
      <c r="L353" t="s">
        <v>1660</v>
      </c>
      <c r="M353" t="s">
        <v>2227</v>
      </c>
      <c r="N353" t="s">
        <v>2268</v>
      </c>
    </row>
    <row r="354" spans="1:14" x14ac:dyDescent="0.3">
      <c r="A354" t="s">
        <v>603</v>
      </c>
      <c r="B354" t="s">
        <v>1373</v>
      </c>
      <c r="C354" t="s">
        <v>974</v>
      </c>
      <c r="D354" t="s">
        <v>496</v>
      </c>
      <c r="E354" t="s">
        <v>1069</v>
      </c>
      <c r="F354" t="s">
        <v>1070</v>
      </c>
      <c r="G354" t="s">
        <v>309</v>
      </c>
      <c r="H354" t="s">
        <v>569</v>
      </c>
      <c r="I354" t="s">
        <v>2225</v>
      </c>
      <c r="J354" s="41">
        <v>20</v>
      </c>
      <c r="K354" s="41">
        <v>100</v>
      </c>
      <c r="L354" t="s">
        <v>1660</v>
      </c>
      <c r="M354" t="s">
        <v>2227</v>
      </c>
      <c r="N354" t="s">
        <v>2268</v>
      </c>
    </row>
    <row r="355" spans="1:14" x14ac:dyDescent="0.3">
      <c r="A355" t="s">
        <v>603</v>
      </c>
      <c r="B355" t="s">
        <v>1373</v>
      </c>
      <c r="C355" t="s">
        <v>974</v>
      </c>
      <c r="D355" t="s">
        <v>496</v>
      </c>
      <c r="E355" t="s">
        <v>1069</v>
      </c>
      <c r="F355" t="s">
        <v>1070</v>
      </c>
      <c r="G355" t="s">
        <v>309</v>
      </c>
      <c r="H355" t="s">
        <v>569</v>
      </c>
      <c r="I355" t="s">
        <v>2225</v>
      </c>
      <c r="J355" s="41">
        <v>0</v>
      </c>
      <c r="K355" s="41">
        <v>7500</v>
      </c>
      <c r="L355" t="s">
        <v>1660</v>
      </c>
      <c r="M355" t="s">
        <v>2227</v>
      </c>
      <c r="N355" t="s">
        <v>2268</v>
      </c>
    </row>
    <row r="356" spans="1:14" x14ac:dyDescent="0.3">
      <c r="A356" t="s">
        <v>603</v>
      </c>
      <c r="B356" t="s">
        <v>1373</v>
      </c>
      <c r="C356" t="s">
        <v>974</v>
      </c>
      <c r="D356" t="s">
        <v>496</v>
      </c>
      <c r="E356" t="s">
        <v>1069</v>
      </c>
      <c r="F356" t="s">
        <v>1070</v>
      </c>
      <c r="G356" t="s">
        <v>309</v>
      </c>
      <c r="H356" t="s">
        <v>569</v>
      </c>
      <c r="I356" t="s">
        <v>2225</v>
      </c>
      <c r="J356" s="41">
        <v>0</v>
      </c>
      <c r="K356" s="41">
        <v>1027.2</v>
      </c>
      <c r="L356" t="s">
        <v>1660</v>
      </c>
      <c r="M356" t="s">
        <v>2227</v>
      </c>
      <c r="N356" t="s">
        <v>2268</v>
      </c>
    </row>
    <row r="357" spans="1:14" x14ac:dyDescent="0.3">
      <c r="A357" t="s">
        <v>603</v>
      </c>
      <c r="B357" t="s">
        <v>1373</v>
      </c>
      <c r="C357" t="s">
        <v>974</v>
      </c>
      <c r="D357" t="s">
        <v>496</v>
      </c>
      <c r="E357" t="s">
        <v>1069</v>
      </c>
      <c r="F357" t="s">
        <v>1070</v>
      </c>
      <c r="G357" t="s">
        <v>309</v>
      </c>
      <c r="H357" t="s">
        <v>569</v>
      </c>
      <c r="I357" t="s">
        <v>2225</v>
      </c>
      <c r="J357" s="41">
        <v>0</v>
      </c>
      <c r="K357" s="41">
        <v>191.53</v>
      </c>
      <c r="L357" t="s">
        <v>1660</v>
      </c>
      <c r="M357" t="s">
        <v>2227</v>
      </c>
      <c r="N357" t="s">
        <v>2268</v>
      </c>
    </row>
    <row r="358" spans="1:14" x14ac:dyDescent="0.3">
      <c r="A358" t="s">
        <v>603</v>
      </c>
      <c r="B358" t="s">
        <v>1373</v>
      </c>
      <c r="C358" t="s">
        <v>974</v>
      </c>
      <c r="D358" t="s">
        <v>496</v>
      </c>
      <c r="E358" t="s">
        <v>1071</v>
      </c>
      <c r="F358" t="s">
        <v>1072</v>
      </c>
      <c r="G358" t="s">
        <v>309</v>
      </c>
      <c r="H358" t="s">
        <v>569</v>
      </c>
      <c r="I358" t="s">
        <v>2225</v>
      </c>
      <c r="J358" s="41">
        <v>160.88</v>
      </c>
      <c r="K358" s="41">
        <v>314.48</v>
      </c>
      <c r="L358" t="s">
        <v>1660</v>
      </c>
      <c r="M358" t="s">
        <v>2227</v>
      </c>
      <c r="N358" t="s">
        <v>2268</v>
      </c>
    </row>
    <row r="359" spans="1:14" x14ac:dyDescent="0.3">
      <c r="A359" t="s">
        <v>603</v>
      </c>
      <c r="B359" t="s">
        <v>1373</v>
      </c>
      <c r="C359" t="s">
        <v>974</v>
      </c>
      <c r="D359" t="s">
        <v>496</v>
      </c>
      <c r="E359" t="s">
        <v>1073</v>
      </c>
      <c r="F359" t="s">
        <v>1074</v>
      </c>
      <c r="G359" t="s">
        <v>309</v>
      </c>
      <c r="H359" t="s">
        <v>569</v>
      </c>
      <c r="I359" t="s">
        <v>2225</v>
      </c>
      <c r="J359" s="41">
        <v>0</v>
      </c>
      <c r="K359" s="41">
        <v>57.32</v>
      </c>
      <c r="L359" t="s">
        <v>1660</v>
      </c>
      <c r="M359" t="s">
        <v>2227</v>
      </c>
      <c r="N359" t="s">
        <v>2268</v>
      </c>
    </row>
    <row r="360" spans="1:14" x14ac:dyDescent="0.3">
      <c r="A360" t="s">
        <v>603</v>
      </c>
      <c r="B360" t="s">
        <v>1373</v>
      </c>
      <c r="C360" t="s">
        <v>974</v>
      </c>
      <c r="D360" t="s">
        <v>496</v>
      </c>
      <c r="E360" t="s">
        <v>1077</v>
      </c>
      <c r="F360" t="s">
        <v>1078</v>
      </c>
      <c r="G360" t="s">
        <v>309</v>
      </c>
      <c r="H360" t="s">
        <v>569</v>
      </c>
      <c r="I360" t="s">
        <v>2225</v>
      </c>
      <c r="J360" s="41">
        <v>0</v>
      </c>
      <c r="K360" s="41">
        <v>773.99</v>
      </c>
      <c r="L360" t="s">
        <v>1660</v>
      </c>
      <c r="M360" t="s">
        <v>1155</v>
      </c>
      <c r="N360" t="s">
        <v>2268</v>
      </c>
    </row>
    <row r="361" spans="1:14" x14ac:dyDescent="0.3">
      <c r="A361" t="s">
        <v>603</v>
      </c>
      <c r="B361" t="s">
        <v>1373</v>
      </c>
      <c r="C361" t="s">
        <v>974</v>
      </c>
      <c r="D361" t="s">
        <v>496</v>
      </c>
      <c r="E361" t="s">
        <v>1079</v>
      </c>
      <c r="F361" t="s">
        <v>1080</v>
      </c>
      <c r="G361" t="s">
        <v>309</v>
      </c>
      <c r="H361" t="s">
        <v>571</v>
      </c>
      <c r="I361" t="s">
        <v>2225</v>
      </c>
      <c r="J361" s="41">
        <v>0</v>
      </c>
      <c r="K361" s="41">
        <v>35.1</v>
      </c>
      <c r="L361" t="s">
        <v>1660</v>
      </c>
      <c r="M361" t="s">
        <v>2227</v>
      </c>
      <c r="N361" t="s">
        <v>2268</v>
      </c>
    </row>
    <row r="362" spans="1:14" x14ac:dyDescent="0.3">
      <c r="A362" t="s">
        <v>603</v>
      </c>
      <c r="B362" t="s">
        <v>1373</v>
      </c>
      <c r="C362" t="s">
        <v>974</v>
      </c>
      <c r="D362" t="s">
        <v>496</v>
      </c>
      <c r="E362" t="s">
        <v>1079</v>
      </c>
      <c r="F362" t="s">
        <v>1080</v>
      </c>
      <c r="G362" t="s">
        <v>309</v>
      </c>
      <c r="H362" t="s">
        <v>571</v>
      </c>
      <c r="I362" t="s">
        <v>2225</v>
      </c>
      <c r="J362" s="41">
        <v>0</v>
      </c>
      <c r="K362" s="41">
        <v>82.58</v>
      </c>
      <c r="L362" t="s">
        <v>1660</v>
      </c>
      <c r="M362" t="s">
        <v>2227</v>
      </c>
      <c r="N362" t="s">
        <v>2268</v>
      </c>
    </row>
    <row r="363" spans="1:14" x14ac:dyDescent="0.3">
      <c r="A363" t="s">
        <v>603</v>
      </c>
      <c r="B363" t="s">
        <v>1373</v>
      </c>
      <c r="C363" t="s">
        <v>974</v>
      </c>
      <c r="D363" t="s">
        <v>496</v>
      </c>
      <c r="E363" t="s">
        <v>1081</v>
      </c>
      <c r="F363" t="s">
        <v>1082</v>
      </c>
      <c r="G363" t="s">
        <v>309</v>
      </c>
      <c r="H363" t="s">
        <v>571</v>
      </c>
      <c r="I363" t="s">
        <v>2225</v>
      </c>
      <c r="J363" s="41">
        <v>0</v>
      </c>
      <c r="K363" s="41">
        <v>254.29</v>
      </c>
      <c r="L363" t="s">
        <v>1660</v>
      </c>
      <c r="M363" t="s">
        <v>1155</v>
      </c>
      <c r="N363" t="s">
        <v>2268</v>
      </c>
    </row>
    <row r="364" spans="1:14" x14ac:dyDescent="0.3">
      <c r="A364" t="s">
        <v>603</v>
      </c>
      <c r="B364" t="s">
        <v>1373</v>
      </c>
      <c r="C364" t="s">
        <v>974</v>
      </c>
      <c r="D364" t="s">
        <v>496</v>
      </c>
      <c r="E364" t="s">
        <v>1081</v>
      </c>
      <c r="F364" t="s">
        <v>1082</v>
      </c>
      <c r="G364" t="s">
        <v>309</v>
      </c>
      <c r="H364" t="s">
        <v>571</v>
      </c>
      <c r="I364" t="s">
        <v>2225</v>
      </c>
      <c r="J364" s="41">
        <v>0</v>
      </c>
      <c r="K364" s="41">
        <v>63.15</v>
      </c>
      <c r="L364" t="s">
        <v>1660</v>
      </c>
      <c r="M364" t="s">
        <v>1155</v>
      </c>
      <c r="N364" t="s">
        <v>2268</v>
      </c>
    </row>
    <row r="365" spans="1:14" x14ac:dyDescent="0.3">
      <c r="A365" t="s">
        <v>603</v>
      </c>
      <c r="B365" t="s">
        <v>1373</v>
      </c>
      <c r="C365" t="s">
        <v>974</v>
      </c>
      <c r="D365" t="s">
        <v>496</v>
      </c>
      <c r="E365" t="s">
        <v>1081</v>
      </c>
      <c r="F365" t="s">
        <v>1082</v>
      </c>
      <c r="G365" t="s">
        <v>309</v>
      </c>
      <c r="H365" t="s">
        <v>571</v>
      </c>
      <c r="I365" t="s">
        <v>2225</v>
      </c>
      <c r="J365" s="41">
        <v>0</v>
      </c>
      <c r="K365" s="41">
        <v>55.93</v>
      </c>
      <c r="L365" t="s">
        <v>1660</v>
      </c>
      <c r="M365" t="s">
        <v>1155</v>
      </c>
      <c r="N365" t="s">
        <v>2268</v>
      </c>
    </row>
    <row r="366" spans="1:14" x14ac:dyDescent="0.3">
      <c r="A366" t="s">
        <v>603</v>
      </c>
      <c r="B366" t="s">
        <v>1373</v>
      </c>
      <c r="C366" t="s">
        <v>974</v>
      </c>
      <c r="D366" t="s">
        <v>496</v>
      </c>
      <c r="E366" t="s">
        <v>1081</v>
      </c>
      <c r="F366" t="s">
        <v>1082</v>
      </c>
      <c r="G366" t="s">
        <v>309</v>
      </c>
      <c r="H366" t="s">
        <v>571</v>
      </c>
      <c r="I366" t="s">
        <v>2225</v>
      </c>
      <c r="J366" s="41">
        <v>0</v>
      </c>
      <c r="K366" s="41">
        <v>145.96</v>
      </c>
      <c r="L366" t="s">
        <v>1660</v>
      </c>
      <c r="M366" t="s">
        <v>1155</v>
      </c>
      <c r="N366" t="s">
        <v>2268</v>
      </c>
    </row>
    <row r="367" spans="1:14" x14ac:dyDescent="0.3">
      <c r="A367" t="s">
        <v>603</v>
      </c>
      <c r="B367" t="s">
        <v>1373</v>
      </c>
      <c r="C367" t="s">
        <v>974</v>
      </c>
      <c r="D367" t="s">
        <v>496</v>
      </c>
      <c r="E367" t="s">
        <v>1081</v>
      </c>
      <c r="F367" t="s">
        <v>1082</v>
      </c>
      <c r="G367" t="s">
        <v>309</v>
      </c>
      <c r="H367" t="s">
        <v>571</v>
      </c>
      <c r="I367" t="s">
        <v>2225</v>
      </c>
      <c r="J367" s="41">
        <v>0</v>
      </c>
      <c r="K367" s="41">
        <v>92.97</v>
      </c>
      <c r="L367" t="s">
        <v>1660</v>
      </c>
      <c r="M367" t="s">
        <v>1155</v>
      </c>
      <c r="N367" t="s">
        <v>2268</v>
      </c>
    </row>
    <row r="368" spans="1:14" x14ac:dyDescent="0.3">
      <c r="A368" t="s">
        <v>603</v>
      </c>
      <c r="B368" t="s">
        <v>1373</v>
      </c>
      <c r="C368" t="s">
        <v>974</v>
      </c>
      <c r="D368" t="s">
        <v>496</v>
      </c>
      <c r="E368" t="s">
        <v>1081</v>
      </c>
      <c r="F368" t="s">
        <v>1082</v>
      </c>
      <c r="G368" t="s">
        <v>309</v>
      </c>
      <c r="H368" t="s">
        <v>571</v>
      </c>
      <c r="I368" t="s">
        <v>2225</v>
      </c>
      <c r="J368" s="41">
        <v>0</v>
      </c>
      <c r="K368" s="41">
        <v>122.49</v>
      </c>
      <c r="L368" t="s">
        <v>1660</v>
      </c>
      <c r="M368" t="s">
        <v>1155</v>
      </c>
      <c r="N368" t="s">
        <v>2268</v>
      </c>
    </row>
    <row r="369" spans="1:14" x14ac:dyDescent="0.3">
      <c r="A369" t="s">
        <v>603</v>
      </c>
      <c r="B369" t="s">
        <v>1373</v>
      </c>
      <c r="C369" t="s">
        <v>974</v>
      </c>
      <c r="D369" t="s">
        <v>496</v>
      </c>
      <c r="E369" t="s">
        <v>1081</v>
      </c>
      <c r="F369" t="s">
        <v>1082</v>
      </c>
      <c r="G369" t="s">
        <v>309</v>
      </c>
      <c r="H369" t="s">
        <v>571</v>
      </c>
      <c r="I369" t="s">
        <v>2225</v>
      </c>
      <c r="J369" s="41">
        <v>232.55</v>
      </c>
      <c r="K369" s="41">
        <v>417.15</v>
      </c>
      <c r="L369" t="s">
        <v>1660</v>
      </c>
      <c r="M369" t="s">
        <v>1155</v>
      </c>
      <c r="N369" t="s">
        <v>2268</v>
      </c>
    </row>
    <row r="370" spans="1:14" x14ac:dyDescent="0.3">
      <c r="A370" t="s">
        <v>603</v>
      </c>
      <c r="B370" t="s">
        <v>1373</v>
      </c>
      <c r="C370" t="s">
        <v>974</v>
      </c>
      <c r="D370" t="s">
        <v>496</v>
      </c>
      <c r="E370" t="s">
        <v>1081</v>
      </c>
      <c r="F370" t="s">
        <v>1082</v>
      </c>
      <c r="G370" t="s">
        <v>309</v>
      </c>
      <c r="H370" t="s">
        <v>571</v>
      </c>
      <c r="I370" t="s">
        <v>2225</v>
      </c>
      <c r="J370" s="41">
        <v>0</v>
      </c>
      <c r="K370" s="41">
        <v>80.39</v>
      </c>
      <c r="L370" t="s">
        <v>1660</v>
      </c>
      <c r="M370" t="s">
        <v>1155</v>
      </c>
      <c r="N370" t="s">
        <v>2268</v>
      </c>
    </row>
    <row r="371" spans="1:14" x14ac:dyDescent="0.3">
      <c r="A371" t="s">
        <v>603</v>
      </c>
      <c r="B371" t="s">
        <v>1373</v>
      </c>
      <c r="C371" t="s">
        <v>974</v>
      </c>
      <c r="D371" t="s">
        <v>496</v>
      </c>
      <c r="E371" t="s">
        <v>1081</v>
      </c>
      <c r="F371" t="s">
        <v>1082</v>
      </c>
      <c r="G371" t="s">
        <v>309</v>
      </c>
      <c r="H371" t="s">
        <v>571</v>
      </c>
      <c r="I371" t="s">
        <v>2225</v>
      </c>
      <c r="J371" s="41">
        <v>0</v>
      </c>
      <c r="K371" s="41">
        <v>214.32</v>
      </c>
      <c r="L371" t="s">
        <v>1660</v>
      </c>
      <c r="M371" t="s">
        <v>1155</v>
      </c>
      <c r="N371" t="s">
        <v>2268</v>
      </c>
    </row>
    <row r="372" spans="1:14" x14ac:dyDescent="0.3">
      <c r="A372" t="s">
        <v>603</v>
      </c>
      <c r="B372" t="s">
        <v>1373</v>
      </c>
      <c r="C372" t="s">
        <v>974</v>
      </c>
      <c r="D372" t="s">
        <v>496</v>
      </c>
      <c r="E372" t="s">
        <v>1081</v>
      </c>
      <c r="F372" t="s">
        <v>1082</v>
      </c>
      <c r="G372" t="s">
        <v>309</v>
      </c>
      <c r="H372" t="s">
        <v>571</v>
      </c>
      <c r="I372" t="s">
        <v>2225</v>
      </c>
      <c r="J372" s="41">
        <v>106.93</v>
      </c>
      <c r="K372" s="41">
        <v>284.61</v>
      </c>
      <c r="L372" t="s">
        <v>1660</v>
      </c>
      <c r="M372" t="s">
        <v>1155</v>
      </c>
      <c r="N372" t="s">
        <v>2268</v>
      </c>
    </row>
    <row r="373" spans="1:14" x14ac:dyDescent="0.3">
      <c r="A373" t="s">
        <v>603</v>
      </c>
      <c r="B373" t="s">
        <v>1373</v>
      </c>
      <c r="C373" t="s">
        <v>974</v>
      </c>
      <c r="D373" t="s">
        <v>496</v>
      </c>
      <c r="E373" t="s">
        <v>1081</v>
      </c>
      <c r="F373" t="s">
        <v>1082</v>
      </c>
      <c r="G373" t="s">
        <v>309</v>
      </c>
      <c r="H373" t="s">
        <v>571</v>
      </c>
      <c r="I373" t="s">
        <v>2225</v>
      </c>
      <c r="J373" s="41">
        <v>124.46</v>
      </c>
      <c r="K373" s="41">
        <v>372.46</v>
      </c>
      <c r="L373" t="s">
        <v>1660</v>
      </c>
      <c r="M373" t="s">
        <v>1155</v>
      </c>
      <c r="N373" t="s">
        <v>2268</v>
      </c>
    </row>
    <row r="374" spans="1:14" x14ac:dyDescent="0.3">
      <c r="A374" t="s">
        <v>603</v>
      </c>
      <c r="B374" t="s">
        <v>1373</v>
      </c>
      <c r="C374" t="s">
        <v>974</v>
      </c>
      <c r="D374" t="s">
        <v>496</v>
      </c>
      <c r="E374" t="s">
        <v>1081</v>
      </c>
      <c r="F374" t="s">
        <v>1082</v>
      </c>
      <c r="G374" t="s">
        <v>309</v>
      </c>
      <c r="H374" t="s">
        <v>571</v>
      </c>
      <c r="I374" t="s">
        <v>2225</v>
      </c>
      <c r="J374" s="41">
        <v>0</v>
      </c>
      <c r="K374" s="41">
        <v>30.09</v>
      </c>
      <c r="L374" t="s">
        <v>1660</v>
      </c>
      <c r="M374" t="s">
        <v>1155</v>
      </c>
      <c r="N374" t="s">
        <v>2268</v>
      </c>
    </row>
    <row r="375" spans="1:14" x14ac:dyDescent="0.3">
      <c r="A375" t="s">
        <v>603</v>
      </c>
      <c r="B375" t="s">
        <v>1373</v>
      </c>
      <c r="C375" t="s">
        <v>974</v>
      </c>
      <c r="D375" t="s">
        <v>496</v>
      </c>
      <c r="E375" t="s">
        <v>1081</v>
      </c>
      <c r="F375" t="s">
        <v>1082</v>
      </c>
      <c r="G375" t="s">
        <v>309</v>
      </c>
      <c r="H375" t="s">
        <v>571</v>
      </c>
      <c r="I375" t="s">
        <v>2225</v>
      </c>
      <c r="J375" s="41">
        <v>0</v>
      </c>
      <c r="K375" s="41">
        <v>182.88</v>
      </c>
      <c r="L375" t="s">
        <v>1660</v>
      </c>
      <c r="M375" t="s">
        <v>1155</v>
      </c>
      <c r="N375" t="s">
        <v>2268</v>
      </c>
    </row>
    <row r="376" spans="1:14" x14ac:dyDescent="0.3">
      <c r="A376" t="s">
        <v>603</v>
      </c>
      <c r="B376" t="s">
        <v>1373</v>
      </c>
      <c r="C376" t="s">
        <v>974</v>
      </c>
      <c r="D376" t="s">
        <v>496</v>
      </c>
      <c r="E376" t="s">
        <v>1081</v>
      </c>
      <c r="F376" t="s">
        <v>1082</v>
      </c>
      <c r="G376" t="s">
        <v>309</v>
      </c>
      <c r="H376" t="s">
        <v>571</v>
      </c>
      <c r="I376" t="s">
        <v>2225</v>
      </c>
      <c r="J376" s="41">
        <v>0</v>
      </c>
      <c r="K376" s="41">
        <v>7.03</v>
      </c>
      <c r="L376" t="s">
        <v>1660</v>
      </c>
      <c r="M376" t="s">
        <v>1155</v>
      </c>
      <c r="N376" t="s">
        <v>2268</v>
      </c>
    </row>
    <row r="377" spans="1:14" x14ac:dyDescent="0.3">
      <c r="A377" t="s">
        <v>603</v>
      </c>
      <c r="B377" t="s">
        <v>1373</v>
      </c>
      <c r="C377" t="s">
        <v>974</v>
      </c>
      <c r="D377" t="s">
        <v>496</v>
      </c>
      <c r="E377" t="s">
        <v>1081</v>
      </c>
      <c r="F377" t="s">
        <v>1082</v>
      </c>
      <c r="G377" t="s">
        <v>309</v>
      </c>
      <c r="H377" t="s">
        <v>571</v>
      </c>
      <c r="I377" t="s">
        <v>2225</v>
      </c>
      <c r="J377" s="41">
        <v>171.99</v>
      </c>
      <c r="K377" s="41">
        <v>299.25</v>
      </c>
      <c r="L377" t="s">
        <v>1660</v>
      </c>
      <c r="M377" t="s">
        <v>1155</v>
      </c>
      <c r="N377" t="s">
        <v>2268</v>
      </c>
    </row>
    <row r="378" spans="1:14" x14ac:dyDescent="0.3">
      <c r="A378" t="s">
        <v>603</v>
      </c>
      <c r="B378" t="s">
        <v>1373</v>
      </c>
      <c r="C378" t="s">
        <v>974</v>
      </c>
      <c r="D378" t="s">
        <v>496</v>
      </c>
      <c r="E378" t="s">
        <v>1081</v>
      </c>
      <c r="F378" t="s">
        <v>1082</v>
      </c>
      <c r="G378" t="s">
        <v>309</v>
      </c>
      <c r="H378" t="s">
        <v>571</v>
      </c>
      <c r="I378" t="s">
        <v>2225</v>
      </c>
      <c r="J378" s="41">
        <v>0</v>
      </c>
      <c r="K378" s="41">
        <v>27.93</v>
      </c>
      <c r="L378" t="s">
        <v>1660</v>
      </c>
      <c r="M378" t="s">
        <v>1155</v>
      </c>
      <c r="N378" t="s">
        <v>2268</v>
      </c>
    </row>
    <row r="379" spans="1:14" x14ac:dyDescent="0.3">
      <c r="A379" t="s">
        <v>603</v>
      </c>
      <c r="B379" t="s">
        <v>1373</v>
      </c>
      <c r="C379" t="s">
        <v>974</v>
      </c>
      <c r="D379" t="s">
        <v>496</v>
      </c>
      <c r="E379" t="s">
        <v>1081</v>
      </c>
      <c r="F379" t="s">
        <v>1082</v>
      </c>
      <c r="G379" t="s">
        <v>309</v>
      </c>
      <c r="H379" t="s">
        <v>571</v>
      </c>
      <c r="I379" t="s">
        <v>2225</v>
      </c>
      <c r="J379" s="41">
        <v>0</v>
      </c>
      <c r="K379" s="41">
        <v>72.540000000000006</v>
      </c>
      <c r="L379" t="s">
        <v>1660</v>
      </c>
      <c r="M379" t="s">
        <v>1155</v>
      </c>
      <c r="N379" t="s">
        <v>2268</v>
      </c>
    </row>
    <row r="380" spans="1:14" x14ac:dyDescent="0.3">
      <c r="A380" t="s">
        <v>603</v>
      </c>
      <c r="B380" t="s">
        <v>1373</v>
      </c>
      <c r="C380" t="s">
        <v>974</v>
      </c>
      <c r="D380" t="s">
        <v>496</v>
      </c>
      <c r="E380" t="s">
        <v>1081</v>
      </c>
      <c r="F380" t="s">
        <v>1082</v>
      </c>
      <c r="G380" t="s">
        <v>309</v>
      </c>
      <c r="H380" t="s">
        <v>571</v>
      </c>
      <c r="I380" t="s">
        <v>2225</v>
      </c>
      <c r="J380" s="41">
        <v>240.29</v>
      </c>
      <c r="K380" s="41">
        <v>476.54</v>
      </c>
      <c r="L380" t="s">
        <v>1660</v>
      </c>
      <c r="M380" t="s">
        <v>1155</v>
      </c>
      <c r="N380" t="s">
        <v>2268</v>
      </c>
    </row>
    <row r="381" spans="1:14" x14ac:dyDescent="0.3">
      <c r="A381" t="s">
        <v>603</v>
      </c>
      <c r="B381" t="s">
        <v>1373</v>
      </c>
      <c r="C381" t="s">
        <v>974</v>
      </c>
      <c r="D381" t="s">
        <v>496</v>
      </c>
      <c r="E381" t="s">
        <v>1081</v>
      </c>
      <c r="F381" t="s">
        <v>1082</v>
      </c>
      <c r="G381" t="s">
        <v>309</v>
      </c>
      <c r="H381" t="s">
        <v>571</v>
      </c>
      <c r="I381" t="s">
        <v>2225</v>
      </c>
      <c r="J381" s="41">
        <v>0</v>
      </c>
      <c r="K381" s="41">
        <v>259.2</v>
      </c>
      <c r="L381" t="s">
        <v>1660</v>
      </c>
      <c r="M381" t="s">
        <v>1155</v>
      </c>
      <c r="N381" t="s">
        <v>2268</v>
      </c>
    </row>
    <row r="382" spans="1:14" x14ac:dyDescent="0.3">
      <c r="A382" t="s">
        <v>603</v>
      </c>
      <c r="B382" t="s">
        <v>1373</v>
      </c>
      <c r="C382" t="s">
        <v>974</v>
      </c>
      <c r="D382" t="s">
        <v>496</v>
      </c>
      <c r="E382" t="s">
        <v>1081</v>
      </c>
      <c r="F382" t="s">
        <v>1082</v>
      </c>
      <c r="G382" t="s">
        <v>309</v>
      </c>
      <c r="H382" t="s">
        <v>571</v>
      </c>
      <c r="I382" t="s">
        <v>2225</v>
      </c>
      <c r="J382" s="41">
        <v>237.15</v>
      </c>
      <c r="K382" s="41">
        <v>237.15</v>
      </c>
      <c r="L382" t="s">
        <v>1660</v>
      </c>
      <c r="M382" t="s">
        <v>1155</v>
      </c>
      <c r="N382" t="s">
        <v>2268</v>
      </c>
    </row>
    <row r="383" spans="1:14" x14ac:dyDescent="0.3">
      <c r="A383" t="s">
        <v>603</v>
      </c>
      <c r="B383" t="s">
        <v>1373</v>
      </c>
      <c r="C383" t="s">
        <v>974</v>
      </c>
      <c r="D383" t="s">
        <v>496</v>
      </c>
      <c r="E383" t="s">
        <v>1083</v>
      </c>
      <c r="F383" t="s">
        <v>1084</v>
      </c>
      <c r="G383" t="s">
        <v>309</v>
      </c>
      <c r="H383" t="s">
        <v>570</v>
      </c>
      <c r="I383" t="s">
        <v>2225</v>
      </c>
      <c r="J383" s="41">
        <v>0</v>
      </c>
      <c r="K383" s="41">
        <v>10</v>
      </c>
      <c r="L383" t="s">
        <v>1660</v>
      </c>
      <c r="M383" t="s">
        <v>2227</v>
      </c>
      <c r="N383" t="s">
        <v>2268</v>
      </c>
    </row>
    <row r="384" spans="1:14" x14ac:dyDescent="0.3">
      <c r="A384" t="s">
        <v>603</v>
      </c>
      <c r="B384" t="s">
        <v>1373</v>
      </c>
      <c r="C384" t="s">
        <v>974</v>
      </c>
      <c r="D384" t="s">
        <v>496</v>
      </c>
      <c r="E384" t="s">
        <v>1083</v>
      </c>
      <c r="F384" t="s">
        <v>1084</v>
      </c>
      <c r="G384" t="s">
        <v>309</v>
      </c>
      <c r="H384" t="s">
        <v>570</v>
      </c>
      <c r="I384" t="s">
        <v>2225</v>
      </c>
      <c r="J384" s="41">
        <v>0</v>
      </c>
      <c r="K384" s="41">
        <v>12.75</v>
      </c>
      <c r="L384" t="s">
        <v>1660</v>
      </c>
      <c r="M384" t="s">
        <v>2227</v>
      </c>
      <c r="N384" t="s">
        <v>2268</v>
      </c>
    </row>
    <row r="385" spans="1:14" x14ac:dyDescent="0.3">
      <c r="A385" t="s">
        <v>603</v>
      </c>
      <c r="B385" t="s">
        <v>1373</v>
      </c>
      <c r="C385" t="s">
        <v>974</v>
      </c>
      <c r="D385" t="s">
        <v>496</v>
      </c>
      <c r="E385" t="s">
        <v>1083</v>
      </c>
      <c r="F385" t="s">
        <v>1084</v>
      </c>
      <c r="G385" t="s">
        <v>309</v>
      </c>
      <c r="H385" t="s">
        <v>570</v>
      </c>
      <c r="I385" t="s">
        <v>2225</v>
      </c>
      <c r="J385" s="41">
        <v>35</v>
      </c>
      <c r="K385" s="41">
        <v>35</v>
      </c>
      <c r="L385" t="s">
        <v>1660</v>
      </c>
      <c r="M385" t="s">
        <v>2227</v>
      </c>
      <c r="N385" t="s">
        <v>2268</v>
      </c>
    </row>
    <row r="386" spans="1:14" x14ac:dyDescent="0.3">
      <c r="A386" t="s">
        <v>603</v>
      </c>
      <c r="B386" t="s">
        <v>1373</v>
      </c>
      <c r="C386" t="s">
        <v>974</v>
      </c>
      <c r="D386" t="s">
        <v>496</v>
      </c>
      <c r="E386" t="s">
        <v>1062</v>
      </c>
      <c r="F386" t="s">
        <v>1063</v>
      </c>
      <c r="G386" t="s">
        <v>309</v>
      </c>
      <c r="H386" t="s">
        <v>566</v>
      </c>
      <c r="I386" t="s">
        <v>2225</v>
      </c>
      <c r="J386" s="41">
        <v>0</v>
      </c>
      <c r="K386" s="41">
        <v>2333.33</v>
      </c>
      <c r="L386" t="s">
        <v>1660</v>
      </c>
      <c r="M386" t="s">
        <v>2227</v>
      </c>
      <c r="N386" t="s">
        <v>2268</v>
      </c>
    </row>
    <row r="387" spans="1:14" x14ac:dyDescent="0.3">
      <c r="A387" t="s">
        <v>603</v>
      </c>
      <c r="B387" t="s">
        <v>1373</v>
      </c>
      <c r="C387" t="s">
        <v>974</v>
      </c>
      <c r="D387" t="s">
        <v>496</v>
      </c>
      <c r="E387" t="s">
        <v>1062</v>
      </c>
      <c r="F387" t="s">
        <v>1063</v>
      </c>
      <c r="G387" t="s">
        <v>309</v>
      </c>
      <c r="H387" t="s">
        <v>566</v>
      </c>
      <c r="I387" t="s">
        <v>2225</v>
      </c>
      <c r="J387" s="41">
        <v>0</v>
      </c>
      <c r="K387" s="41">
        <v>2557.46</v>
      </c>
      <c r="L387" t="s">
        <v>1660</v>
      </c>
      <c r="M387" t="s">
        <v>2227</v>
      </c>
      <c r="N387" t="s">
        <v>2268</v>
      </c>
    </row>
    <row r="388" spans="1:14" x14ac:dyDescent="0.3">
      <c r="A388" t="s">
        <v>603</v>
      </c>
      <c r="B388" t="s">
        <v>1373</v>
      </c>
      <c r="C388" t="s">
        <v>974</v>
      </c>
      <c r="D388" t="s">
        <v>496</v>
      </c>
      <c r="E388" t="s">
        <v>1062</v>
      </c>
      <c r="F388" t="s">
        <v>1063</v>
      </c>
      <c r="G388" t="s">
        <v>309</v>
      </c>
      <c r="H388" t="s">
        <v>566</v>
      </c>
      <c r="I388" t="s">
        <v>2225</v>
      </c>
      <c r="J388" s="41">
        <v>2500</v>
      </c>
      <c r="K388" s="41">
        <v>5666.67</v>
      </c>
      <c r="L388" t="s">
        <v>1660</v>
      </c>
      <c r="M388" t="s">
        <v>2227</v>
      </c>
      <c r="N388" t="s">
        <v>2268</v>
      </c>
    </row>
    <row r="389" spans="1:14" x14ac:dyDescent="0.3">
      <c r="A389" t="s">
        <v>603</v>
      </c>
      <c r="B389" t="s">
        <v>1373</v>
      </c>
      <c r="C389" t="s">
        <v>974</v>
      </c>
      <c r="D389" t="s">
        <v>496</v>
      </c>
      <c r="E389" t="s">
        <v>1097</v>
      </c>
      <c r="F389" t="s">
        <v>1098</v>
      </c>
      <c r="G389" t="s">
        <v>377</v>
      </c>
      <c r="H389" t="s">
        <v>569</v>
      </c>
      <c r="I389" t="s">
        <v>190</v>
      </c>
      <c r="J389" s="41">
        <v>0</v>
      </c>
      <c r="K389" s="41">
        <v>400</v>
      </c>
      <c r="L389" t="s">
        <v>1660</v>
      </c>
      <c r="M389" t="s">
        <v>2227</v>
      </c>
      <c r="N389" t="s">
        <v>2268</v>
      </c>
    </row>
    <row r="390" spans="1:14" x14ac:dyDescent="0.3">
      <c r="A390" t="s">
        <v>603</v>
      </c>
      <c r="B390" t="s">
        <v>1373</v>
      </c>
      <c r="C390" t="s">
        <v>974</v>
      </c>
      <c r="D390" t="s">
        <v>496</v>
      </c>
      <c r="E390" t="s">
        <v>1099</v>
      </c>
      <c r="F390" t="s">
        <v>1100</v>
      </c>
      <c r="G390" t="s">
        <v>377</v>
      </c>
      <c r="H390" t="s">
        <v>569</v>
      </c>
      <c r="I390" t="s">
        <v>190</v>
      </c>
      <c r="J390" s="41">
        <v>0</v>
      </c>
      <c r="K390" s="41">
        <v>3500</v>
      </c>
      <c r="L390" t="s">
        <v>1660</v>
      </c>
      <c r="M390" t="s">
        <v>1155</v>
      </c>
      <c r="N390" t="s">
        <v>2268</v>
      </c>
    </row>
    <row r="391" spans="1:14" x14ac:dyDescent="0.3">
      <c r="A391" t="s">
        <v>603</v>
      </c>
      <c r="B391" t="s">
        <v>1373</v>
      </c>
      <c r="C391" t="s">
        <v>974</v>
      </c>
      <c r="D391" t="s">
        <v>496</v>
      </c>
      <c r="E391" t="s">
        <v>1099</v>
      </c>
      <c r="F391" t="s">
        <v>1100</v>
      </c>
      <c r="G391" t="s">
        <v>377</v>
      </c>
      <c r="H391" t="s">
        <v>569</v>
      </c>
      <c r="I391" t="s">
        <v>190</v>
      </c>
      <c r="J391" s="41">
        <v>0</v>
      </c>
      <c r="K391" s="41">
        <v>648</v>
      </c>
      <c r="L391" t="s">
        <v>1660</v>
      </c>
      <c r="M391" t="s">
        <v>1155</v>
      </c>
      <c r="N391" t="s">
        <v>2268</v>
      </c>
    </row>
    <row r="392" spans="1:14" x14ac:dyDescent="0.3">
      <c r="A392" t="s">
        <v>603</v>
      </c>
      <c r="B392" t="s">
        <v>1373</v>
      </c>
      <c r="C392" t="s">
        <v>974</v>
      </c>
      <c r="D392" t="s">
        <v>496</v>
      </c>
      <c r="E392" t="s">
        <v>1123</v>
      </c>
      <c r="F392" t="s">
        <v>717</v>
      </c>
      <c r="G392" t="s">
        <v>304</v>
      </c>
      <c r="H392" t="s">
        <v>561</v>
      </c>
      <c r="I392" t="s">
        <v>561</v>
      </c>
      <c r="J392" s="41">
        <v>0</v>
      </c>
      <c r="K392" s="41">
        <v>0.34</v>
      </c>
      <c r="L392" t="s">
        <v>1660</v>
      </c>
      <c r="M392" t="s">
        <v>2227</v>
      </c>
      <c r="N392" t="s">
        <v>2268</v>
      </c>
    </row>
    <row r="393" spans="1:14" x14ac:dyDescent="0.3">
      <c r="A393" t="s">
        <v>603</v>
      </c>
      <c r="B393" t="s">
        <v>1373</v>
      </c>
      <c r="C393" t="s">
        <v>974</v>
      </c>
      <c r="D393" t="s">
        <v>496</v>
      </c>
      <c r="E393" t="s">
        <v>1123</v>
      </c>
      <c r="F393" t="s">
        <v>717</v>
      </c>
      <c r="G393" t="s">
        <v>304</v>
      </c>
      <c r="H393" t="s">
        <v>561</v>
      </c>
      <c r="I393" t="s">
        <v>561</v>
      </c>
      <c r="J393" s="41">
        <v>0</v>
      </c>
      <c r="K393" s="41">
        <v>15</v>
      </c>
      <c r="L393" t="s">
        <v>1660</v>
      </c>
      <c r="M393" t="s">
        <v>2227</v>
      </c>
      <c r="N393" t="s">
        <v>2268</v>
      </c>
    </row>
    <row r="394" spans="1:14" x14ac:dyDescent="0.3">
      <c r="A394" t="s">
        <v>603</v>
      </c>
      <c r="B394" t="s">
        <v>1373</v>
      </c>
      <c r="C394" t="s">
        <v>974</v>
      </c>
      <c r="D394" t="s">
        <v>496</v>
      </c>
      <c r="E394" t="s">
        <v>1123</v>
      </c>
      <c r="F394" t="s">
        <v>717</v>
      </c>
      <c r="G394" t="s">
        <v>304</v>
      </c>
      <c r="H394" t="s">
        <v>561</v>
      </c>
      <c r="I394" t="s">
        <v>561</v>
      </c>
      <c r="J394" s="41">
        <v>201.11</v>
      </c>
      <c r="K394" s="41">
        <v>228.21</v>
      </c>
      <c r="L394" t="s">
        <v>1660</v>
      </c>
      <c r="M394" t="s">
        <v>2227</v>
      </c>
      <c r="N394" t="s">
        <v>2268</v>
      </c>
    </row>
    <row r="395" spans="1:14" x14ac:dyDescent="0.3">
      <c r="A395" t="s">
        <v>603</v>
      </c>
      <c r="B395" t="s">
        <v>1373</v>
      </c>
      <c r="C395" t="s">
        <v>974</v>
      </c>
      <c r="D395" t="s">
        <v>496</v>
      </c>
      <c r="E395" t="s">
        <v>1123</v>
      </c>
      <c r="F395" t="s">
        <v>717</v>
      </c>
      <c r="G395" t="s">
        <v>304</v>
      </c>
      <c r="H395" t="s">
        <v>561</v>
      </c>
      <c r="I395" t="s">
        <v>561</v>
      </c>
      <c r="J395" s="41">
        <v>0</v>
      </c>
      <c r="K395" s="41">
        <v>3.11</v>
      </c>
      <c r="L395" t="s">
        <v>1660</v>
      </c>
      <c r="M395" t="s">
        <v>2227</v>
      </c>
      <c r="N395" t="s">
        <v>2268</v>
      </c>
    </row>
    <row r="396" spans="1:14" x14ac:dyDescent="0.3">
      <c r="A396" t="s">
        <v>603</v>
      </c>
      <c r="B396" t="s">
        <v>1373</v>
      </c>
      <c r="C396" t="s">
        <v>974</v>
      </c>
      <c r="D396" t="s">
        <v>496</v>
      </c>
      <c r="E396" t="s">
        <v>1123</v>
      </c>
      <c r="F396" t="s">
        <v>717</v>
      </c>
      <c r="G396" t="s">
        <v>304</v>
      </c>
      <c r="H396" t="s">
        <v>561</v>
      </c>
      <c r="I396" t="s">
        <v>561</v>
      </c>
      <c r="J396" s="41">
        <v>125.95</v>
      </c>
      <c r="K396" s="41">
        <v>530.70000000000005</v>
      </c>
      <c r="L396" t="s">
        <v>1660</v>
      </c>
      <c r="M396" t="s">
        <v>2227</v>
      </c>
      <c r="N396" t="s">
        <v>2268</v>
      </c>
    </row>
    <row r="397" spans="1:14" x14ac:dyDescent="0.3">
      <c r="A397" t="s">
        <v>603</v>
      </c>
      <c r="B397" t="s">
        <v>1373</v>
      </c>
      <c r="C397" t="s">
        <v>974</v>
      </c>
      <c r="D397" t="s">
        <v>496</v>
      </c>
      <c r="E397" t="s">
        <v>1123</v>
      </c>
      <c r="F397" t="s">
        <v>717</v>
      </c>
      <c r="G397" t="s">
        <v>304</v>
      </c>
      <c r="H397" t="s">
        <v>561</v>
      </c>
      <c r="I397" t="s">
        <v>561</v>
      </c>
      <c r="J397" s="41">
        <v>0</v>
      </c>
      <c r="K397" s="41">
        <v>0.9</v>
      </c>
      <c r="L397" t="s">
        <v>1660</v>
      </c>
      <c r="M397" t="s">
        <v>2227</v>
      </c>
      <c r="N397" t="s">
        <v>2268</v>
      </c>
    </row>
    <row r="398" spans="1:14" x14ac:dyDescent="0.3">
      <c r="A398" t="s">
        <v>552</v>
      </c>
      <c r="B398" t="s">
        <v>658</v>
      </c>
      <c r="C398" t="s">
        <v>976</v>
      </c>
      <c r="D398" t="s">
        <v>496</v>
      </c>
      <c r="E398" t="s">
        <v>1060</v>
      </c>
      <c r="F398" t="s">
        <v>1061</v>
      </c>
      <c r="G398" t="s">
        <v>309</v>
      </c>
      <c r="H398" t="s">
        <v>565</v>
      </c>
      <c r="I398" t="s">
        <v>2225</v>
      </c>
      <c r="J398" s="41">
        <v>1200</v>
      </c>
      <c r="K398" s="41">
        <v>3600</v>
      </c>
      <c r="L398" t="s">
        <v>1668</v>
      </c>
      <c r="M398" t="s">
        <v>2227</v>
      </c>
      <c r="N398" t="s">
        <v>2268</v>
      </c>
    </row>
    <row r="399" spans="1:14" x14ac:dyDescent="0.3">
      <c r="A399" t="s">
        <v>552</v>
      </c>
      <c r="B399" t="s">
        <v>658</v>
      </c>
      <c r="C399" t="s">
        <v>976</v>
      </c>
      <c r="D399" t="s">
        <v>496</v>
      </c>
      <c r="E399" t="s">
        <v>1075</v>
      </c>
      <c r="F399" t="s">
        <v>1076</v>
      </c>
      <c r="G399" t="s">
        <v>309</v>
      </c>
      <c r="H399" t="s">
        <v>570</v>
      </c>
      <c r="I399" t="s">
        <v>2225</v>
      </c>
      <c r="J399" s="41">
        <v>300</v>
      </c>
      <c r="K399" s="41">
        <v>900</v>
      </c>
      <c r="L399" t="s">
        <v>1668</v>
      </c>
      <c r="M399" t="s">
        <v>2227</v>
      </c>
      <c r="N399" t="s">
        <v>2268</v>
      </c>
    </row>
    <row r="400" spans="1:14" x14ac:dyDescent="0.3">
      <c r="A400" t="s">
        <v>552</v>
      </c>
      <c r="B400" t="s">
        <v>658</v>
      </c>
      <c r="C400" t="s">
        <v>976</v>
      </c>
      <c r="D400" t="s">
        <v>496</v>
      </c>
      <c r="E400" t="s">
        <v>1060</v>
      </c>
      <c r="F400" t="s">
        <v>1061</v>
      </c>
      <c r="G400" t="s">
        <v>309</v>
      </c>
      <c r="H400" t="s">
        <v>565</v>
      </c>
      <c r="I400" t="s">
        <v>2225</v>
      </c>
      <c r="J400" s="41">
        <v>400</v>
      </c>
      <c r="K400" s="41">
        <v>1212.3699999999999</v>
      </c>
      <c r="L400" t="s">
        <v>1668</v>
      </c>
      <c r="M400" t="s">
        <v>2227</v>
      </c>
      <c r="N400" t="s">
        <v>2268</v>
      </c>
    </row>
    <row r="401" spans="1:14" x14ac:dyDescent="0.3">
      <c r="A401" t="s">
        <v>552</v>
      </c>
      <c r="B401" t="s">
        <v>658</v>
      </c>
      <c r="C401" t="s">
        <v>976</v>
      </c>
      <c r="D401" t="s">
        <v>496</v>
      </c>
      <c r="E401" t="s">
        <v>1062</v>
      </c>
      <c r="F401" t="s">
        <v>1063</v>
      </c>
      <c r="G401" t="s">
        <v>309</v>
      </c>
      <c r="H401" t="s">
        <v>566</v>
      </c>
      <c r="I401" t="s">
        <v>2225</v>
      </c>
      <c r="J401" s="41">
        <v>47.76</v>
      </c>
      <c r="K401" s="41">
        <v>270.35000000000002</v>
      </c>
      <c r="L401" t="s">
        <v>1668</v>
      </c>
      <c r="M401" t="s">
        <v>2227</v>
      </c>
      <c r="N401" t="s">
        <v>2268</v>
      </c>
    </row>
    <row r="402" spans="1:14" x14ac:dyDescent="0.3">
      <c r="A402" t="s">
        <v>552</v>
      </c>
      <c r="B402" t="s">
        <v>658</v>
      </c>
      <c r="C402" t="s">
        <v>976</v>
      </c>
      <c r="D402" t="s">
        <v>496</v>
      </c>
      <c r="E402" t="s">
        <v>1064</v>
      </c>
      <c r="F402" t="s">
        <v>1065</v>
      </c>
      <c r="G402" t="s">
        <v>309</v>
      </c>
      <c r="H402" t="s">
        <v>571</v>
      </c>
      <c r="I402" t="s">
        <v>2225</v>
      </c>
      <c r="J402" s="41">
        <v>12</v>
      </c>
      <c r="K402" s="41">
        <v>252.73</v>
      </c>
      <c r="L402" t="s">
        <v>1668</v>
      </c>
      <c r="M402" t="s">
        <v>2227</v>
      </c>
      <c r="N402" t="s">
        <v>2268</v>
      </c>
    </row>
    <row r="403" spans="1:14" x14ac:dyDescent="0.3">
      <c r="A403" t="s">
        <v>552</v>
      </c>
      <c r="B403" t="s">
        <v>658</v>
      </c>
      <c r="C403" t="s">
        <v>976</v>
      </c>
      <c r="D403" t="s">
        <v>496</v>
      </c>
      <c r="E403" t="s">
        <v>1064</v>
      </c>
      <c r="F403" t="s">
        <v>1065</v>
      </c>
      <c r="G403" t="s">
        <v>309</v>
      </c>
      <c r="H403" t="s">
        <v>571</v>
      </c>
      <c r="I403" t="s">
        <v>2225</v>
      </c>
      <c r="J403" s="41">
        <v>26.55</v>
      </c>
      <c r="K403" s="41">
        <v>26.55</v>
      </c>
      <c r="L403" t="s">
        <v>1668</v>
      </c>
      <c r="M403" t="s">
        <v>2227</v>
      </c>
      <c r="N403" t="s">
        <v>2268</v>
      </c>
    </row>
    <row r="404" spans="1:14" x14ac:dyDescent="0.3">
      <c r="A404" t="s">
        <v>552</v>
      </c>
      <c r="B404" t="s">
        <v>658</v>
      </c>
      <c r="C404" t="s">
        <v>976</v>
      </c>
      <c r="D404" t="s">
        <v>496</v>
      </c>
      <c r="E404" t="s">
        <v>1064</v>
      </c>
      <c r="F404" t="s">
        <v>1065</v>
      </c>
      <c r="G404" t="s">
        <v>309</v>
      </c>
      <c r="H404" t="s">
        <v>571</v>
      </c>
      <c r="I404" t="s">
        <v>2225</v>
      </c>
      <c r="J404" s="41">
        <v>64.790000000000006</v>
      </c>
      <c r="K404" s="41">
        <v>64.790000000000006</v>
      </c>
      <c r="L404" t="s">
        <v>1668</v>
      </c>
      <c r="M404" t="s">
        <v>2227</v>
      </c>
      <c r="N404" t="s">
        <v>2268</v>
      </c>
    </row>
    <row r="405" spans="1:14" x14ac:dyDescent="0.3">
      <c r="A405" t="s">
        <v>552</v>
      </c>
      <c r="B405" t="s">
        <v>658</v>
      </c>
      <c r="C405" t="s">
        <v>976</v>
      </c>
      <c r="D405" t="s">
        <v>496</v>
      </c>
      <c r="E405" t="s">
        <v>1068</v>
      </c>
      <c r="F405" t="s">
        <v>568</v>
      </c>
      <c r="G405" t="s">
        <v>309</v>
      </c>
      <c r="H405" t="s">
        <v>568</v>
      </c>
      <c r="I405" t="s">
        <v>2225</v>
      </c>
      <c r="J405" s="41">
        <v>70.81</v>
      </c>
      <c r="K405" s="41">
        <v>70.81</v>
      </c>
      <c r="L405" t="s">
        <v>1668</v>
      </c>
      <c r="M405" t="s">
        <v>2227</v>
      </c>
      <c r="N405" t="s">
        <v>2268</v>
      </c>
    </row>
    <row r="406" spans="1:14" x14ac:dyDescent="0.3">
      <c r="A406" t="s">
        <v>552</v>
      </c>
      <c r="B406" t="s">
        <v>658</v>
      </c>
      <c r="C406" t="s">
        <v>976</v>
      </c>
      <c r="D406" t="s">
        <v>496</v>
      </c>
      <c r="E406" t="s">
        <v>1079</v>
      </c>
      <c r="F406" t="s">
        <v>1080</v>
      </c>
      <c r="G406" t="s">
        <v>309</v>
      </c>
      <c r="H406" t="s">
        <v>571</v>
      </c>
      <c r="I406" t="s">
        <v>2225</v>
      </c>
      <c r="J406" s="41">
        <v>39.61</v>
      </c>
      <c r="K406" s="41">
        <v>39.61</v>
      </c>
      <c r="L406" t="s">
        <v>1668</v>
      </c>
      <c r="M406" t="s">
        <v>2227</v>
      </c>
      <c r="N406" t="s">
        <v>2268</v>
      </c>
    </row>
    <row r="407" spans="1:14" x14ac:dyDescent="0.3">
      <c r="A407" t="s">
        <v>552</v>
      </c>
      <c r="B407" t="s">
        <v>658</v>
      </c>
      <c r="C407" t="s">
        <v>976</v>
      </c>
      <c r="D407" t="s">
        <v>496</v>
      </c>
      <c r="E407" t="s">
        <v>1079</v>
      </c>
      <c r="F407" t="s">
        <v>1080</v>
      </c>
      <c r="G407" t="s">
        <v>309</v>
      </c>
      <c r="H407" t="s">
        <v>571</v>
      </c>
      <c r="I407" t="s">
        <v>2225</v>
      </c>
      <c r="J407" s="41">
        <v>74.31</v>
      </c>
      <c r="K407" s="41">
        <v>74.31</v>
      </c>
      <c r="L407" t="s">
        <v>1668</v>
      </c>
      <c r="M407" t="s">
        <v>2227</v>
      </c>
      <c r="N407" t="s">
        <v>2268</v>
      </c>
    </row>
    <row r="408" spans="1:14" x14ac:dyDescent="0.3">
      <c r="A408" t="s">
        <v>552</v>
      </c>
      <c r="B408" t="s">
        <v>658</v>
      </c>
      <c r="C408" t="s">
        <v>976</v>
      </c>
      <c r="D408" t="s">
        <v>496</v>
      </c>
      <c r="E408" t="s">
        <v>1079</v>
      </c>
      <c r="F408" t="s">
        <v>1080</v>
      </c>
      <c r="G408" t="s">
        <v>309</v>
      </c>
      <c r="H408" t="s">
        <v>571</v>
      </c>
      <c r="I408" t="s">
        <v>2225</v>
      </c>
      <c r="J408" s="41">
        <v>0</v>
      </c>
      <c r="K408" s="41">
        <v>15</v>
      </c>
      <c r="L408" t="s">
        <v>1668</v>
      </c>
      <c r="M408" t="s">
        <v>2227</v>
      </c>
      <c r="N408" t="s">
        <v>2268</v>
      </c>
    </row>
    <row r="409" spans="1:14" x14ac:dyDescent="0.3">
      <c r="A409" t="s">
        <v>552</v>
      </c>
      <c r="B409" t="s">
        <v>658</v>
      </c>
      <c r="C409" t="s">
        <v>976</v>
      </c>
      <c r="D409" t="s">
        <v>496</v>
      </c>
      <c r="E409" t="s">
        <v>1079</v>
      </c>
      <c r="F409" t="s">
        <v>1080</v>
      </c>
      <c r="G409" t="s">
        <v>309</v>
      </c>
      <c r="H409" t="s">
        <v>571</v>
      </c>
      <c r="I409" t="s">
        <v>2225</v>
      </c>
      <c r="J409" s="41">
        <v>0</v>
      </c>
      <c r="K409" s="41">
        <v>7</v>
      </c>
      <c r="L409" t="s">
        <v>1668</v>
      </c>
      <c r="M409" t="s">
        <v>2227</v>
      </c>
      <c r="N409" t="s">
        <v>2268</v>
      </c>
    </row>
    <row r="410" spans="1:14" x14ac:dyDescent="0.3">
      <c r="A410" t="s">
        <v>552</v>
      </c>
      <c r="B410" t="s">
        <v>658</v>
      </c>
      <c r="C410" t="s">
        <v>976</v>
      </c>
      <c r="D410" t="s">
        <v>496</v>
      </c>
      <c r="E410" t="s">
        <v>1123</v>
      </c>
      <c r="F410" t="s">
        <v>717</v>
      </c>
      <c r="G410" t="s">
        <v>304</v>
      </c>
      <c r="H410" t="s">
        <v>561</v>
      </c>
      <c r="I410" t="s">
        <v>561</v>
      </c>
      <c r="J410" s="41">
        <v>30</v>
      </c>
      <c r="K410" s="41">
        <v>80</v>
      </c>
      <c r="L410" t="s">
        <v>1668</v>
      </c>
      <c r="M410" t="s">
        <v>2227</v>
      </c>
      <c r="N410" t="s">
        <v>2268</v>
      </c>
    </row>
    <row r="411" spans="1:14" x14ac:dyDescent="0.3">
      <c r="A411" t="s">
        <v>552</v>
      </c>
      <c r="B411" t="s">
        <v>1265</v>
      </c>
      <c r="C411" t="s">
        <v>975</v>
      </c>
      <c r="D411" t="s">
        <v>686</v>
      </c>
      <c r="E411" t="s">
        <v>1062</v>
      </c>
      <c r="F411" t="s">
        <v>1063</v>
      </c>
      <c r="G411" t="s">
        <v>309</v>
      </c>
      <c r="H411" t="s">
        <v>566</v>
      </c>
      <c r="I411" t="s">
        <v>2225</v>
      </c>
      <c r="J411" s="41">
        <v>524.25</v>
      </c>
      <c r="K411" s="41">
        <v>1539.6</v>
      </c>
      <c r="L411" t="s">
        <v>1669</v>
      </c>
      <c r="M411" t="s">
        <v>2227</v>
      </c>
      <c r="N411" t="s">
        <v>2268</v>
      </c>
    </row>
    <row r="412" spans="1:14" x14ac:dyDescent="0.3">
      <c r="A412" t="s">
        <v>552</v>
      </c>
      <c r="B412" t="s">
        <v>1265</v>
      </c>
      <c r="C412" t="s">
        <v>975</v>
      </c>
      <c r="D412" t="s">
        <v>686</v>
      </c>
      <c r="E412" t="s">
        <v>1062</v>
      </c>
      <c r="F412" t="s">
        <v>1063</v>
      </c>
      <c r="G412" t="s">
        <v>309</v>
      </c>
      <c r="H412" t="s">
        <v>566</v>
      </c>
      <c r="I412" t="s">
        <v>2225</v>
      </c>
      <c r="J412" s="41">
        <v>1100</v>
      </c>
      <c r="K412" s="41">
        <v>1800</v>
      </c>
      <c r="L412" t="s">
        <v>1669</v>
      </c>
      <c r="M412" t="s">
        <v>2227</v>
      </c>
      <c r="N412" t="s">
        <v>2268</v>
      </c>
    </row>
    <row r="413" spans="1:14" x14ac:dyDescent="0.3">
      <c r="A413" t="s">
        <v>552</v>
      </c>
      <c r="B413" t="s">
        <v>1265</v>
      </c>
      <c r="C413" t="s">
        <v>975</v>
      </c>
      <c r="D413" t="s">
        <v>686</v>
      </c>
      <c r="E413" t="s">
        <v>1095</v>
      </c>
      <c r="F413" t="s">
        <v>1096</v>
      </c>
      <c r="G413" t="s">
        <v>377</v>
      </c>
      <c r="H413" t="s">
        <v>566</v>
      </c>
      <c r="I413" t="s">
        <v>190</v>
      </c>
      <c r="J413" s="41">
        <v>0</v>
      </c>
      <c r="K413" s="41">
        <v>2127</v>
      </c>
      <c r="L413" t="s">
        <v>1669</v>
      </c>
      <c r="M413" t="s">
        <v>2227</v>
      </c>
      <c r="N413" t="s">
        <v>2268</v>
      </c>
    </row>
    <row r="414" spans="1:14" x14ac:dyDescent="0.3">
      <c r="A414" t="s">
        <v>552</v>
      </c>
      <c r="B414" t="s">
        <v>1265</v>
      </c>
      <c r="C414" t="s">
        <v>975</v>
      </c>
      <c r="D414" t="s">
        <v>686</v>
      </c>
      <c r="E414" t="s">
        <v>1097</v>
      </c>
      <c r="F414" t="s">
        <v>1098</v>
      </c>
      <c r="G414" t="s">
        <v>377</v>
      </c>
      <c r="H414" t="s">
        <v>569</v>
      </c>
      <c r="I414" t="s">
        <v>190</v>
      </c>
      <c r="J414" s="41">
        <v>0</v>
      </c>
      <c r="K414" s="41">
        <v>1706.19</v>
      </c>
      <c r="L414" t="s">
        <v>1669</v>
      </c>
      <c r="M414" t="s">
        <v>2227</v>
      </c>
      <c r="N414" t="s">
        <v>2268</v>
      </c>
    </row>
    <row r="415" spans="1:14" x14ac:dyDescent="0.3">
      <c r="A415" t="s">
        <v>552</v>
      </c>
      <c r="B415" t="s">
        <v>1265</v>
      </c>
      <c r="C415" t="s">
        <v>975</v>
      </c>
      <c r="D415" t="s">
        <v>686</v>
      </c>
      <c r="E415" t="s">
        <v>1101</v>
      </c>
      <c r="F415" t="s">
        <v>1102</v>
      </c>
      <c r="G415" t="s">
        <v>377</v>
      </c>
      <c r="H415" t="s">
        <v>570</v>
      </c>
      <c r="I415" t="s">
        <v>190</v>
      </c>
      <c r="J415" s="41">
        <v>267.26</v>
      </c>
      <c r="K415" s="41">
        <v>267.26</v>
      </c>
      <c r="L415" t="s">
        <v>1669</v>
      </c>
      <c r="M415" t="s">
        <v>2227</v>
      </c>
      <c r="N415" t="s">
        <v>2268</v>
      </c>
    </row>
    <row r="416" spans="1:14" x14ac:dyDescent="0.3">
      <c r="A416" t="s">
        <v>552</v>
      </c>
      <c r="B416" t="s">
        <v>1265</v>
      </c>
      <c r="C416" t="s">
        <v>975</v>
      </c>
      <c r="D416" t="s">
        <v>686</v>
      </c>
      <c r="E416" t="s">
        <v>1101</v>
      </c>
      <c r="F416" t="s">
        <v>1102</v>
      </c>
      <c r="G416" t="s">
        <v>377</v>
      </c>
      <c r="H416" t="s">
        <v>570</v>
      </c>
      <c r="I416" t="s">
        <v>190</v>
      </c>
      <c r="J416" s="41">
        <v>0</v>
      </c>
      <c r="K416" s="41">
        <v>80.8</v>
      </c>
      <c r="L416" t="s">
        <v>1669</v>
      </c>
      <c r="M416" t="s">
        <v>2227</v>
      </c>
      <c r="N416" t="s">
        <v>2268</v>
      </c>
    </row>
    <row r="417" spans="1:14" x14ac:dyDescent="0.3">
      <c r="A417" t="s">
        <v>552</v>
      </c>
      <c r="B417" t="s">
        <v>1265</v>
      </c>
      <c r="C417" t="s">
        <v>975</v>
      </c>
      <c r="D417" t="s">
        <v>686</v>
      </c>
      <c r="E417" t="s">
        <v>1101</v>
      </c>
      <c r="F417" t="s">
        <v>1102</v>
      </c>
      <c r="G417" t="s">
        <v>377</v>
      </c>
      <c r="H417" t="s">
        <v>570</v>
      </c>
      <c r="I417" t="s">
        <v>190</v>
      </c>
      <c r="J417" s="41">
        <v>20.68</v>
      </c>
      <c r="K417" s="41">
        <v>20.68</v>
      </c>
      <c r="L417" t="s">
        <v>1669</v>
      </c>
      <c r="M417" t="s">
        <v>2227</v>
      </c>
      <c r="N417" t="s">
        <v>2268</v>
      </c>
    </row>
    <row r="418" spans="1:14" x14ac:dyDescent="0.3">
      <c r="A418" t="s">
        <v>552</v>
      </c>
      <c r="B418" t="s">
        <v>1265</v>
      </c>
      <c r="C418" t="s">
        <v>975</v>
      </c>
      <c r="D418" t="s">
        <v>686</v>
      </c>
      <c r="E418" t="s">
        <v>1101</v>
      </c>
      <c r="F418" t="s">
        <v>1102</v>
      </c>
      <c r="G418" t="s">
        <v>377</v>
      </c>
      <c r="H418" t="s">
        <v>570</v>
      </c>
      <c r="I418" t="s">
        <v>190</v>
      </c>
      <c r="J418" s="41">
        <v>0</v>
      </c>
      <c r="K418" s="41">
        <v>114</v>
      </c>
      <c r="L418" t="s">
        <v>1669</v>
      </c>
      <c r="M418" t="s">
        <v>2227</v>
      </c>
      <c r="N418" t="s">
        <v>2268</v>
      </c>
    </row>
    <row r="419" spans="1:14" x14ac:dyDescent="0.3">
      <c r="A419" t="s">
        <v>552</v>
      </c>
      <c r="B419" t="s">
        <v>1265</v>
      </c>
      <c r="C419" t="s">
        <v>975</v>
      </c>
      <c r="D419" t="s">
        <v>686</v>
      </c>
      <c r="E419" t="s">
        <v>1101</v>
      </c>
      <c r="F419" t="s">
        <v>1102</v>
      </c>
      <c r="G419" t="s">
        <v>377</v>
      </c>
      <c r="H419" t="s">
        <v>570</v>
      </c>
      <c r="I419" t="s">
        <v>190</v>
      </c>
      <c r="J419" s="41">
        <v>0</v>
      </c>
      <c r="K419" s="41">
        <v>520</v>
      </c>
      <c r="L419" t="s">
        <v>1669</v>
      </c>
      <c r="M419" t="s">
        <v>2227</v>
      </c>
      <c r="N419" t="s">
        <v>2268</v>
      </c>
    </row>
    <row r="420" spans="1:14" x14ac:dyDescent="0.3">
      <c r="A420" t="s">
        <v>552</v>
      </c>
      <c r="B420" t="s">
        <v>1265</v>
      </c>
      <c r="C420" t="s">
        <v>975</v>
      </c>
      <c r="D420" t="s">
        <v>686</v>
      </c>
      <c r="E420" t="s">
        <v>1101</v>
      </c>
      <c r="F420" t="s">
        <v>1102</v>
      </c>
      <c r="G420" t="s">
        <v>377</v>
      </c>
      <c r="H420" t="s">
        <v>570</v>
      </c>
      <c r="I420" t="s">
        <v>190</v>
      </c>
      <c r="J420" s="41">
        <v>0</v>
      </c>
      <c r="K420" s="41">
        <v>6</v>
      </c>
      <c r="L420" t="s">
        <v>1669</v>
      </c>
      <c r="M420" t="s">
        <v>2227</v>
      </c>
      <c r="N420" t="s">
        <v>2268</v>
      </c>
    </row>
    <row r="421" spans="1:14" x14ac:dyDescent="0.3">
      <c r="A421" t="s">
        <v>552</v>
      </c>
      <c r="B421" t="s">
        <v>1265</v>
      </c>
      <c r="C421" t="s">
        <v>975</v>
      </c>
      <c r="D421" t="s">
        <v>686</v>
      </c>
      <c r="E421" t="s">
        <v>1101</v>
      </c>
      <c r="F421" t="s">
        <v>1102</v>
      </c>
      <c r="G421" t="s">
        <v>377</v>
      </c>
      <c r="H421" t="s">
        <v>570</v>
      </c>
      <c r="I421" t="s">
        <v>190</v>
      </c>
      <c r="J421" s="41">
        <v>226.33</v>
      </c>
      <c r="K421" s="41">
        <v>226.33</v>
      </c>
      <c r="L421" t="s">
        <v>1669</v>
      </c>
      <c r="M421" t="s">
        <v>2227</v>
      </c>
      <c r="N421" t="s">
        <v>2268</v>
      </c>
    </row>
    <row r="422" spans="1:14" x14ac:dyDescent="0.3">
      <c r="A422" t="s">
        <v>552</v>
      </c>
      <c r="B422" t="s">
        <v>1265</v>
      </c>
      <c r="C422" t="s">
        <v>975</v>
      </c>
      <c r="D422" t="s">
        <v>686</v>
      </c>
      <c r="E422" t="s">
        <v>1101</v>
      </c>
      <c r="F422" t="s">
        <v>1102</v>
      </c>
      <c r="G422" t="s">
        <v>377</v>
      </c>
      <c r="H422" t="s">
        <v>570</v>
      </c>
      <c r="I422" t="s">
        <v>190</v>
      </c>
      <c r="J422" s="41">
        <v>106.7</v>
      </c>
      <c r="K422" s="41">
        <v>386.7</v>
      </c>
      <c r="L422" t="s">
        <v>1669</v>
      </c>
      <c r="M422" t="s">
        <v>2227</v>
      </c>
      <c r="N422" t="s">
        <v>2268</v>
      </c>
    </row>
    <row r="423" spans="1:14" x14ac:dyDescent="0.3">
      <c r="A423" t="s">
        <v>552</v>
      </c>
      <c r="B423" t="s">
        <v>1265</v>
      </c>
      <c r="C423" t="s">
        <v>975</v>
      </c>
      <c r="D423" t="s">
        <v>686</v>
      </c>
      <c r="E423" t="s">
        <v>1101</v>
      </c>
      <c r="F423" t="s">
        <v>1102</v>
      </c>
      <c r="G423" t="s">
        <v>377</v>
      </c>
      <c r="H423" t="s">
        <v>570</v>
      </c>
      <c r="I423" t="s">
        <v>190</v>
      </c>
      <c r="J423" s="41">
        <v>150.72</v>
      </c>
      <c r="K423" s="41">
        <v>150.72</v>
      </c>
      <c r="L423" t="s">
        <v>1669</v>
      </c>
      <c r="M423" t="s">
        <v>2227</v>
      </c>
      <c r="N423" t="s">
        <v>2268</v>
      </c>
    </row>
    <row r="424" spans="1:14" x14ac:dyDescent="0.3">
      <c r="A424" t="s">
        <v>552</v>
      </c>
      <c r="B424" t="s">
        <v>1265</v>
      </c>
      <c r="C424" t="s">
        <v>975</v>
      </c>
      <c r="D424" t="s">
        <v>686</v>
      </c>
      <c r="E424" t="s">
        <v>1101</v>
      </c>
      <c r="F424" t="s">
        <v>1102</v>
      </c>
      <c r="G424" t="s">
        <v>377</v>
      </c>
      <c r="H424" t="s">
        <v>570</v>
      </c>
      <c r="I424" t="s">
        <v>190</v>
      </c>
      <c r="J424" s="41">
        <v>0</v>
      </c>
      <c r="K424" s="41">
        <v>24</v>
      </c>
      <c r="L424" t="s">
        <v>1669</v>
      </c>
      <c r="M424" t="s">
        <v>2227</v>
      </c>
      <c r="N424" t="s">
        <v>2268</v>
      </c>
    </row>
    <row r="425" spans="1:14" x14ac:dyDescent="0.3">
      <c r="A425" t="s">
        <v>552</v>
      </c>
      <c r="B425" t="s">
        <v>1265</v>
      </c>
      <c r="C425" t="s">
        <v>975</v>
      </c>
      <c r="D425" t="s">
        <v>686</v>
      </c>
      <c r="E425" t="s">
        <v>1101</v>
      </c>
      <c r="F425" t="s">
        <v>1102</v>
      </c>
      <c r="G425" t="s">
        <v>377</v>
      </c>
      <c r="H425" t="s">
        <v>570</v>
      </c>
      <c r="I425" t="s">
        <v>190</v>
      </c>
      <c r="J425" s="41">
        <v>0</v>
      </c>
      <c r="K425" s="41">
        <v>24</v>
      </c>
      <c r="L425" t="s">
        <v>1669</v>
      </c>
      <c r="M425" t="s">
        <v>2227</v>
      </c>
      <c r="N425" t="s">
        <v>2268</v>
      </c>
    </row>
    <row r="426" spans="1:14" x14ac:dyDescent="0.3">
      <c r="A426" t="s">
        <v>552</v>
      </c>
      <c r="B426" t="s">
        <v>1265</v>
      </c>
      <c r="C426" t="s">
        <v>975</v>
      </c>
      <c r="D426" t="s">
        <v>686</v>
      </c>
      <c r="E426" t="s">
        <v>1103</v>
      </c>
      <c r="F426" t="s">
        <v>1104</v>
      </c>
      <c r="G426" t="s">
        <v>377</v>
      </c>
      <c r="H426" t="s">
        <v>570</v>
      </c>
      <c r="I426" t="s">
        <v>190</v>
      </c>
      <c r="J426" s="41">
        <v>78</v>
      </c>
      <c r="K426" s="41">
        <v>78</v>
      </c>
      <c r="L426" t="s">
        <v>1669</v>
      </c>
      <c r="M426" t="s">
        <v>2227</v>
      </c>
      <c r="N426" t="s">
        <v>2268</v>
      </c>
    </row>
    <row r="427" spans="1:14" x14ac:dyDescent="0.3">
      <c r="A427" t="s">
        <v>552</v>
      </c>
      <c r="B427" t="s">
        <v>1265</v>
      </c>
      <c r="C427" t="s">
        <v>975</v>
      </c>
      <c r="D427" t="s">
        <v>686</v>
      </c>
      <c r="E427" t="s">
        <v>1105</v>
      </c>
      <c r="F427" t="s">
        <v>1106</v>
      </c>
      <c r="G427" t="s">
        <v>377</v>
      </c>
      <c r="H427" t="s">
        <v>571</v>
      </c>
      <c r="I427" t="s">
        <v>190</v>
      </c>
      <c r="J427" s="41">
        <v>0</v>
      </c>
      <c r="K427" s="41">
        <v>1.9</v>
      </c>
      <c r="L427" t="s">
        <v>1669</v>
      </c>
      <c r="M427" t="s">
        <v>1155</v>
      </c>
      <c r="N427" t="s">
        <v>2268</v>
      </c>
    </row>
    <row r="428" spans="1:14" x14ac:dyDescent="0.3">
      <c r="A428" t="s">
        <v>552</v>
      </c>
      <c r="B428" t="s">
        <v>1265</v>
      </c>
      <c r="C428" t="s">
        <v>975</v>
      </c>
      <c r="D428" t="s">
        <v>686</v>
      </c>
      <c r="E428" t="s">
        <v>1123</v>
      </c>
      <c r="F428" t="s">
        <v>717</v>
      </c>
      <c r="G428" t="s">
        <v>304</v>
      </c>
      <c r="H428" t="s">
        <v>561</v>
      </c>
      <c r="I428" t="s">
        <v>561</v>
      </c>
      <c r="J428" s="41">
        <v>11</v>
      </c>
      <c r="K428" s="41">
        <v>44.06</v>
      </c>
      <c r="L428" t="s">
        <v>1669</v>
      </c>
      <c r="M428" t="s">
        <v>2227</v>
      </c>
      <c r="N428" t="s">
        <v>2268</v>
      </c>
    </row>
    <row r="429" spans="1:14" x14ac:dyDescent="0.3">
      <c r="A429" t="s">
        <v>552</v>
      </c>
      <c r="B429" t="s">
        <v>1265</v>
      </c>
      <c r="C429" t="s">
        <v>975</v>
      </c>
      <c r="D429" t="s">
        <v>686</v>
      </c>
      <c r="E429" t="s">
        <v>1123</v>
      </c>
      <c r="F429" t="s">
        <v>717</v>
      </c>
      <c r="G429" t="s">
        <v>304</v>
      </c>
      <c r="H429" t="s">
        <v>561</v>
      </c>
      <c r="I429" t="s">
        <v>561</v>
      </c>
      <c r="J429" s="41">
        <v>0.35</v>
      </c>
      <c r="K429" s="41">
        <v>5.55</v>
      </c>
      <c r="L429" t="s">
        <v>1669</v>
      </c>
      <c r="M429" t="s">
        <v>2227</v>
      </c>
      <c r="N429" t="s">
        <v>2268</v>
      </c>
    </row>
    <row r="430" spans="1:14" x14ac:dyDescent="0.3">
      <c r="A430" t="s">
        <v>552</v>
      </c>
      <c r="B430" t="s">
        <v>1265</v>
      </c>
      <c r="C430" t="s">
        <v>975</v>
      </c>
      <c r="D430" t="s">
        <v>686</v>
      </c>
      <c r="E430" t="s">
        <v>1123</v>
      </c>
      <c r="F430" t="s">
        <v>717</v>
      </c>
      <c r="G430" t="s">
        <v>304</v>
      </c>
      <c r="H430" t="s">
        <v>561</v>
      </c>
      <c r="I430" t="s">
        <v>561</v>
      </c>
      <c r="J430" s="41">
        <v>80</v>
      </c>
      <c r="K430" s="41">
        <v>320</v>
      </c>
      <c r="L430" t="s">
        <v>1669</v>
      </c>
      <c r="M430" t="s">
        <v>2227</v>
      </c>
      <c r="N430" t="s">
        <v>2268</v>
      </c>
    </row>
    <row r="431" spans="1:14" x14ac:dyDescent="0.3">
      <c r="A431" t="s">
        <v>552</v>
      </c>
      <c r="B431" t="s">
        <v>1373</v>
      </c>
      <c r="C431" t="s">
        <v>974</v>
      </c>
      <c r="D431" t="s">
        <v>496</v>
      </c>
      <c r="E431" t="s">
        <v>1060</v>
      </c>
      <c r="F431" t="s">
        <v>1061</v>
      </c>
      <c r="G431" t="s">
        <v>309</v>
      </c>
      <c r="H431" t="s">
        <v>565</v>
      </c>
      <c r="I431" t="s">
        <v>2225</v>
      </c>
      <c r="J431" s="41">
        <v>2592.17</v>
      </c>
      <c r="K431" s="41">
        <v>7776.51</v>
      </c>
      <c r="L431" t="s">
        <v>1670</v>
      </c>
      <c r="M431" t="s">
        <v>2227</v>
      </c>
      <c r="N431" t="s">
        <v>2268</v>
      </c>
    </row>
    <row r="432" spans="1:14" x14ac:dyDescent="0.3">
      <c r="A432" t="s">
        <v>552</v>
      </c>
      <c r="B432" t="s">
        <v>1373</v>
      </c>
      <c r="C432" t="s">
        <v>974</v>
      </c>
      <c r="D432" t="s">
        <v>496</v>
      </c>
      <c r="E432" t="s">
        <v>1075</v>
      </c>
      <c r="F432" t="s">
        <v>1076</v>
      </c>
      <c r="G432" t="s">
        <v>309</v>
      </c>
      <c r="H432" t="s">
        <v>570</v>
      </c>
      <c r="I432" t="s">
        <v>2225</v>
      </c>
      <c r="J432" s="41">
        <v>16.899999999999999</v>
      </c>
      <c r="K432" s="41">
        <v>26.81</v>
      </c>
      <c r="L432" t="s">
        <v>1670</v>
      </c>
      <c r="M432" t="s">
        <v>2227</v>
      </c>
      <c r="N432" t="s">
        <v>2268</v>
      </c>
    </row>
    <row r="433" spans="1:14" x14ac:dyDescent="0.3">
      <c r="A433" t="s">
        <v>552</v>
      </c>
      <c r="B433" t="s">
        <v>1373</v>
      </c>
      <c r="C433" t="s">
        <v>974</v>
      </c>
      <c r="D433" t="s">
        <v>496</v>
      </c>
      <c r="E433" t="s">
        <v>1075</v>
      </c>
      <c r="F433" t="s">
        <v>1076</v>
      </c>
      <c r="G433" t="s">
        <v>309</v>
      </c>
      <c r="H433" t="s">
        <v>570</v>
      </c>
      <c r="I433" t="s">
        <v>2225</v>
      </c>
      <c r="J433" s="41">
        <v>35.04</v>
      </c>
      <c r="K433" s="41">
        <v>35.04</v>
      </c>
      <c r="L433" t="s">
        <v>1670</v>
      </c>
      <c r="M433" t="s">
        <v>2227</v>
      </c>
      <c r="N433" t="s">
        <v>2268</v>
      </c>
    </row>
    <row r="434" spans="1:14" x14ac:dyDescent="0.3">
      <c r="A434" t="s">
        <v>552</v>
      </c>
      <c r="B434" t="s">
        <v>1373</v>
      </c>
      <c r="C434" t="s">
        <v>974</v>
      </c>
      <c r="D434" t="s">
        <v>496</v>
      </c>
      <c r="E434" t="s">
        <v>1060</v>
      </c>
      <c r="F434" t="s">
        <v>1061</v>
      </c>
      <c r="G434" t="s">
        <v>309</v>
      </c>
      <c r="H434" t="s">
        <v>565</v>
      </c>
      <c r="I434" t="s">
        <v>2225</v>
      </c>
      <c r="J434" s="41">
        <v>0</v>
      </c>
      <c r="K434" s="41">
        <v>7600</v>
      </c>
      <c r="L434" t="s">
        <v>1670</v>
      </c>
      <c r="M434" t="s">
        <v>2227</v>
      </c>
      <c r="N434" t="s">
        <v>2268</v>
      </c>
    </row>
    <row r="435" spans="1:14" x14ac:dyDescent="0.3">
      <c r="A435" t="s">
        <v>552</v>
      </c>
      <c r="B435" t="s">
        <v>1373</v>
      </c>
      <c r="C435" t="s">
        <v>974</v>
      </c>
      <c r="D435" t="s">
        <v>496</v>
      </c>
      <c r="E435" t="s">
        <v>1060</v>
      </c>
      <c r="F435" t="s">
        <v>1061</v>
      </c>
      <c r="G435" t="s">
        <v>309</v>
      </c>
      <c r="H435" t="s">
        <v>565</v>
      </c>
      <c r="I435" t="s">
        <v>2225</v>
      </c>
      <c r="J435" s="41">
        <v>276.06</v>
      </c>
      <c r="K435" s="41">
        <v>276.06</v>
      </c>
      <c r="L435" t="s">
        <v>1670</v>
      </c>
      <c r="M435" t="s">
        <v>2227</v>
      </c>
      <c r="N435" t="s">
        <v>2268</v>
      </c>
    </row>
    <row r="436" spans="1:14" x14ac:dyDescent="0.3">
      <c r="A436" t="s">
        <v>552</v>
      </c>
      <c r="B436" t="s">
        <v>1373</v>
      </c>
      <c r="C436" t="s">
        <v>974</v>
      </c>
      <c r="D436" t="s">
        <v>496</v>
      </c>
      <c r="E436" t="s">
        <v>1060</v>
      </c>
      <c r="F436" t="s">
        <v>1061</v>
      </c>
      <c r="G436" t="s">
        <v>309</v>
      </c>
      <c r="H436" t="s">
        <v>565</v>
      </c>
      <c r="I436" t="s">
        <v>2225</v>
      </c>
      <c r="J436" s="41">
        <v>132.38</v>
      </c>
      <c r="K436" s="41">
        <v>132.38</v>
      </c>
      <c r="L436" t="s">
        <v>1670</v>
      </c>
      <c r="M436" t="s">
        <v>2227</v>
      </c>
      <c r="N436" t="s">
        <v>2268</v>
      </c>
    </row>
    <row r="437" spans="1:14" x14ac:dyDescent="0.3">
      <c r="A437" t="s">
        <v>552</v>
      </c>
      <c r="B437" t="s">
        <v>1373</v>
      </c>
      <c r="C437" t="s">
        <v>974</v>
      </c>
      <c r="D437" t="s">
        <v>496</v>
      </c>
      <c r="E437" t="s">
        <v>1060</v>
      </c>
      <c r="F437" t="s">
        <v>1061</v>
      </c>
      <c r="G437" t="s">
        <v>309</v>
      </c>
      <c r="H437" t="s">
        <v>565</v>
      </c>
      <c r="I437" t="s">
        <v>2225</v>
      </c>
      <c r="J437" s="41">
        <v>0</v>
      </c>
      <c r="K437" s="41">
        <v>122.93</v>
      </c>
      <c r="L437" t="s">
        <v>1670</v>
      </c>
      <c r="M437" t="s">
        <v>2227</v>
      </c>
      <c r="N437" t="s">
        <v>2268</v>
      </c>
    </row>
    <row r="438" spans="1:14" x14ac:dyDescent="0.3">
      <c r="A438" t="s">
        <v>552</v>
      </c>
      <c r="B438" t="s">
        <v>1373</v>
      </c>
      <c r="C438" t="s">
        <v>974</v>
      </c>
      <c r="D438" t="s">
        <v>496</v>
      </c>
      <c r="E438" t="s">
        <v>1060</v>
      </c>
      <c r="F438" t="s">
        <v>1061</v>
      </c>
      <c r="G438" t="s">
        <v>309</v>
      </c>
      <c r="H438" t="s">
        <v>565</v>
      </c>
      <c r="I438" t="s">
        <v>2225</v>
      </c>
      <c r="J438" s="41">
        <v>670.33</v>
      </c>
      <c r="K438" s="41">
        <v>2241.9899999999998</v>
      </c>
      <c r="L438" t="s">
        <v>1670</v>
      </c>
      <c r="M438" t="s">
        <v>2227</v>
      </c>
      <c r="N438" t="s">
        <v>2268</v>
      </c>
    </row>
    <row r="439" spans="1:14" x14ac:dyDescent="0.3">
      <c r="A439" t="s">
        <v>552</v>
      </c>
      <c r="B439" t="s">
        <v>1373</v>
      </c>
      <c r="C439" t="s">
        <v>974</v>
      </c>
      <c r="D439" t="s">
        <v>496</v>
      </c>
      <c r="E439" t="s">
        <v>1062</v>
      </c>
      <c r="F439" t="s">
        <v>1063</v>
      </c>
      <c r="G439" t="s">
        <v>309</v>
      </c>
      <c r="H439" t="s">
        <v>566</v>
      </c>
      <c r="I439" t="s">
        <v>2225</v>
      </c>
      <c r="J439" s="41">
        <v>0</v>
      </c>
      <c r="K439" s="41">
        <v>445</v>
      </c>
      <c r="L439" t="s">
        <v>1670</v>
      </c>
      <c r="M439" t="s">
        <v>2227</v>
      </c>
      <c r="N439" t="s">
        <v>2268</v>
      </c>
    </row>
    <row r="440" spans="1:14" x14ac:dyDescent="0.3">
      <c r="A440" t="s">
        <v>552</v>
      </c>
      <c r="B440" t="s">
        <v>1373</v>
      </c>
      <c r="C440" t="s">
        <v>974</v>
      </c>
      <c r="D440" t="s">
        <v>496</v>
      </c>
      <c r="E440" t="s">
        <v>1064</v>
      </c>
      <c r="F440" t="s">
        <v>1065</v>
      </c>
      <c r="G440" t="s">
        <v>309</v>
      </c>
      <c r="H440" t="s">
        <v>571</v>
      </c>
      <c r="I440" t="s">
        <v>2225</v>
      </c>
      <c r="J440" s="41">
        <v>2.1800000000000002</v>
      </c>
      <c r="K440" s="41">
        <v>4024.05</v>
      </c>
      <c r="L440" t="s">
        <v>1670</v>
      </c>
      <c r="M440" t="s">
        <v>2227</v>
      </c>
      <c r="N440" t="s">
        <v>2268</v>
      </c>
    </row>
    <row r="441" spans="1:14" x14ac:dyDescent="0.3">
      <c r="A441" t="s">
        <v>552</v>
      </c>
      <c r="B441" t="s">
        <v>1373</v>
      </c>
      <c r="C441" t="s">
        <v>974</v>
      </c>
      <c r="D441" t="s">
        <v>496</v>
      </c>
      <c r="E441" t="s">
        <v>1069</v>
      </c>
      <c r="F441" t="s">
        <v>1070</v>
      </c>
      <c r="G441" t="s">
        <v>309</v>
      </c>
      <c r="H441" t="s">
        <v>569</v>
      </c>
      <c r="I441" t="s">
        <v>2225</v>
      </c>
      <c r="J441" s="41">
        <v>0</v>
      </c>
      <c r="K441" s="41">
        <v>225.35</v>
      </c>
      <c r="L441" t="s">
        <v>1670</v>
      </c>
      <c r="M441" t="s">
        <v>2227</v>
      </c>
      <c r="N441" t="s">
        <v>2268</v>
      </c>
    </row>
    <row r="442" spans="1:14" x14ac:dyDescent="0.3">
      <c r="A442" t="s">
        <v>552</v>
      </c>
      <c r="B442" t="s">
        <v>1373</v>
      </c>
      <c r="C442" t="s">
        <v>974</v>
      </c>
      <c r="D442" t="s">
        <v>496</v>
      </c>
      <c r="E442" t="s">
        <v>1069</v>
      </c>
      <c r="F442" t="s">
        <v>1070</v>
      </c>
      <c r="G442" t="s">
        <v>309</v>
      </c>
      <c r="H442" t="s">
        <v>569</v>
      </c>
      <c r="I442" t="s">
        <v>2225</v>
      </c>
      <c r="J442" s="41">
        <v>0</v>
      </c>
      <c r="K442" s="41">
        <v>191.4</v>
      </c>
      <c r="L442" t="s">
        <v>1670</v>
      </c>
      <c r="M442" t="s">
        <v>2227</v>
      </c>
      <c r="N442" t="s">
        <v>2268</v>
      </c>
    </row>
    <row r="443" spans="1:14" x14ac:dyDescent="0.3">
      <c r="A443" t="s">
        <v>552</v>
      </c>
      <c r="B443" t="s">
        <v>1373</v>
      </c>
      <c r="C443" t="s">
        <v>974</v>
      </c>
      <c r="D443" t="s">
        <v>496</v>
      </c>
      <c r="E443" t="s">
        <v>1069</v>
      </c>
      <c r="F443" t="s">
        <v>1070</v>
      </c>
      <c r="G443" t="s">
        <v>309</v>
      </c>
      <c r="H443" t="s">
        <v>569</v>
      </c>
      <c r="I443" t="s">
        <v>2225</v>
      </c>
      <c r="J443" s="41">
        <v>20</v>
      </c>
      <c r="K443" s="41">
        <v>60</v>
      </c>
      <c r="L443" t="s">
        <v>1670</v>
      </c>
      <c r="M443" t="s">
        <v>2227</v>
      </c>
      <c r="N443" t="s">
        <v>2268</v>
      </c>
    </row>
    <row r="444" spans="1:14" x14ac:dyDescent="0.3">
      <c r="A444" t="s">
        <v>552</v>
      </c>
      <c r="B444" t="s">
        <v>1373</v>
      </c>
      <c r="C444" t="s">
        <v>974</v>
      </c>
      <c r="D444" t="s">
        <v>496</v>
      </c>
      <c r="E444" t="s">
        <v>1073</v>
      </c>
      <c r="F444" t="s">
        <v>1074</v>
      </c>
      <c r="G444" t="s">
        <v>309</v>
      </c>
      <c r="H444" t="s">
        <v>569</v>
      </c>
      <c r="I444" t="s">
        <v>2225</v>
      </c>
      <c r="J444" s="41">
        <v>11.39</v>
      </c>
      <c r="K444" s="41">
        <v>34.29</v>
      </c>
      <c r="L444" t="s">
        <v>1670</v>
      </c>
      <c r="M444" t="s">
        <v>2227</v>
      </c>
      <c r="N444" t="s">
        <v>2268</v>
      </c>
    </row>
    <row r="445" spans="1:14" x14ac:dyDescent="0.3">
      <c r="A445" t="s">
        <v>552</v>
      </c>
      <c r="B445" t="s">
        <v>1373</v>
      </c>
      <c r="C445" t="s">
        <v>974</v>
      </c>
      <c r="D445" t="s">
        <v>496</v>
      </c>
      <c r="E445" t="s">
        <v>1077</v>
      </c>
      <c r="F445" t="s">
        <v>1078</v>
      </c>
      <c r="G445" t="s">
        <v>309</v>
      </c>
      <c r="H445" t="s">
        <v>569</v>
      </c>
      <c r="I445" t="s">
        <v>2225</v>
      </c>
      <c r="J445" s="41">
        <v>172.4</v>
      </c>
      <c r="K445" s="41">
        <v>578.27</v>
      </c>
      <c r="L445" t="s">
        <v>1670</v>
      </c>
      <c r="M445" t="s">
        <v>1155</v>
      </c>
      <c r="N445" t="s">
        <v>2268</v>
      </c>
    </row>
    <row r="446" spans="1:14" x14ac:dyDescent="0.3">
      <c r="A446" t="s">
        <v>552</v>
      </c>
      <c r="B446" t="s">
        <v>1373</v>
      </c>
      <c r="C446" t="s">
        <v>974</v>
      </c>
      <c r="D446" t="s">
        <v>496</v>
      </c>
      <c r="E446" t="s">
        <v>1079</v>
      </c>
      <c r="F446" t="s">
        <v>1080</v>
      </c>
      <c r="G446" t="s">
        <v>309</v>
      </c>
      <c r="H446" t="s">
        <v>571</v>
      </c>
      <c r="I446" t="s">
        <v>2225</v>
      </c>
      <c r="J446" s="41">
        <v>35.1</v>
      </c>
      <c r="K446" s="41">
        <v>35.1</v>
      </c>
      <c r="L446" t="s">
        <v>1670</v>
      </c>
      <c r="M446" t="s">
        <v>2227</v>
      </c>
      <c r="N446" t="s">
        <v>2268</v>
      </c>
    </row>
    <row r="447" spans="1:14" x14ac:dyDescent="0.3">
      <c r="A447" t="s">
        <v>552</v>
      </c>
      <c r="B447" t="s">
        <v>1373</v>
      </c>
      <c r="C447" t="s">
        <v>974</v>
      </c>
      <c r="D447" t="s">
        <v>496</v>
      </c>
      <c r="E447" t="s">
        <v>1079</v>
      </c>
      <c r="F447" t="s">
        <v>1080</v>
      </c>
      <c r="G447" t="s">
        <v>309</v>
      </c>
      <c r="H447" t="s">
        <v>571</v>
      </c>
      <c r="I447" t="s">
        <v>2225</v>
      </c>
      <c r="J447" s="41">
        <v>31.85</v>
      </c>
      <c r="K447" s="41">
        <v>82.58</v>
      </c>
      <c r="L447" t="s">
        <v>1670</v>
      </c>
      <c r="M447" t="s">
        <v>2227</v>
      </c>
      <c r="N447" t="s">
        <v>2268</v>
      </c>
    </row>
    <row r="448" spans="1:14" x14ac:dyDescent="0.3">
      <c r="A448" t="s">
        <v>552</v>
      </c>
      <c r="B448" t="s">
        <v>1373</v>
      </c>
      <c r="C448" t="s">
        <v>974</v>
      </c>
      <c r="D448" t="s">
        <v>496</v>
      </c>
      <c r="E448" t="s">
        <v>1081</v>
      </c>
      <c r="F448" t="s">
        <v>1082</v>
      </c>
      <c r="G448" t="s">
        <v>309</v>
      </c>
      <c r="H448" t="s">
        <v>571</v>
      </c>
      <c r="I448" t="s">
        <v>2225</v>
      </c>
      <c r="J448" s="41">
        <v>125.13</v>
      </c>
      <c r="K448" s="41">
        <v>125.13</v>
      </c>
      <c r="L448" t="s">
        <v>1670</v>
      </c>
      <c r="M448" t="s">
        <v>1155</v>
      </c>
      <c r="N448" t="s">
        <v>2268</v>
      </c>
    </row>
    <row r="449" spans="1:14" x14ac:dyDescent="0.3">
      <c r="A449" t="s">
        <v>552</v>
      </c>
      <c r="B449" t="s">
        <v>1373</v>
      </c>
      <c r="C449" t="s">
        <v>974</v>
      </c>
      <c r="D449" t="s">
        <v>496</v>
      </c>
      <c r="E449" t="s">
        <v>1081</v>
      </c>
      <c r="F449" t="s">
        <v>1082</v>
      </c>
      <c r="G449" t="s">
        <v>309</v>
      </c>
      <c r="H449" t="s">
        <v>571</v>
      </c>
      <c r="I449" t="s">
        <v>2225</v>
      </c>
      <c r="J449" s="41">
        <v>63.15</v>
      </c>
      <c r="K449" s="41">
        <v>63.15</v>
      </c>
      <c r="L449" t="s">
        <v>1670</v>
      </c>
      <c r="M449" t="s">
        <v>1155</v>
      </c>
      <c r="N449" t="s">
        <v>2268</v>
      </c>
    </row>
    <row r="450" spans="1:14" x14ac:dyDescent="0.3">
      <c r="A450" t="s">
        <v>552</v>
      </c>
      <c r="B450" t="s">
        <v>1373</v>
      </c>
      <c r="C450" t="s">
        <v>974</v>
      </c>
      <c r="D450" t="s">
        <v>496</v>
      </c>
      <c r="E450" t="s">
        <v>1081</v>
      </c>
      <c r="F450" t="s">
        <v>1082</v>
      </c>
      <c r="G450" t="s">
        <v>309</v>
      </c>
      <c r="H450" t="s">
        <v>571</v>
      </c>
      <c r="I450" t="s">
        <v>2225</v>
      </c>
      <c r="J450" s="41">
        <v>0</v>
      </c>
      <c r="K450" s="41">
        <v>177.68</v>
      </c>
      <c r="L450" t="s">
        <v>1670</v>
      </c>
      <c r="M450" t="s">
        <v>1155</v>
      </c>
      <c r="N450" t="s">
        <v>2268</v>
      </c>
    </row>
    <row r="451" spans="1:14" x14ac:dyDescent="0.3">
      <c r="A451" t="s">
        <v>552</v>
      </c>
      <c r="B451" t="s">
        <v>1373</v>
      </c>
      <c r="C451" t="s">
        <v>974</v>
      </c>
      <c r="D451" t="s">
        <v>496</v>
      </c>
      <c r="E451" t="s">
        <v>1081</v>
      </c>
      <c r="F451" t="s">
        <v>1082</v>
      </c>
      <c r="G451" t="s">
        <v>309</v>
      </c>
      <c r="H451" t="s">
        <v>571</v>
      </c>
      <c r="I451" t="s">
        <v>2225</v>
      </c>
      <c r="J451" s="41">
        <v>0</v>
      </c>
      <c r="K451" s="41">
        <v>248</v>
      </c>
      <c r="L451" t="s">
        <v>1670</v>
      </c>
      <c r="M451" t="s">
        <v>1155</v>
      </c>
      <c r="N451" t="s">
        <v>2268</v>
      </c>
    </row>
    <row r="452" spans="1:14" x14ac:dyDescent="0.3">
      <c r="A452" t="s">
        <v>552</v>
      </c>
      <c r="B452" t="s">
        <v>1373</v>
      </c>
      <c r="C452" t="s">
        <v>974</v>
      </c>
      <c r="D452" t="s">
        <v>496</v>
      </c>
      <c r="E452" t="s">
        <v>1081</v>
      </c>
      <c r="F452" t="s">
        <v>1082</v>
      </c>
      <c r="G452" t="s">
        <v>309</v>
      </c>
      <c r="H452" t="s">
        <v>571</v>
      </c>
      <c r="I452" t="s">
        <v>2225</v>
      </c>
      <c r="J452" s="41">
        <v>0</v>
      </c>
      <c r="K452" s="41">
        <v>30.09</v>
      </c>
      <c r="L452" t="s">
        <v>1670</v>
      </c>
      <c r="M452" t="s">
        <v>1155</v>
      </c>
      <c r="N452" t="s">
        <v>2268</v>
      </c>
    </row>
    <row r="453" spans="1:14" x14ac:dyDescent="0.3">
      <c r="A453" t="s">
        <v>552</v>
      </c>
      <c r="B453" t="s">
        <v>1373</v>
      </c>
      <c r="C453" t="s">
        <v>974</v>
      </c>
      <c r="D453" t="s">
        <v>496</v>
      </c>
      <c r="E453" t="s">
        <v>1081</v>
      </c>
      <c r="F453" t="s">
        <v>1082</v>
      </c>
      <c r="G453" t="s">
        <v>309</v>
      </c>
      <c r="H453" t="s">
        <v>571</v>
      </c>
      <c r="I453" t="s">
        <v>2225</v>
      </c>
      <c r="J453" s="41">
        <v>7.03</v>
      </c>
      <c r="K453" s="41">
        <v>7.03</v>
      </c>
      <c r="L453" t="s">
        <v>1670</v>
      </c>
      <c r="M453" t="s">
        <v>1155</v>
      </c>
      <c r="N453" t="s">
        <v>2268</v>
      </c>
    </row>
    <row r="454" spans="1:14" x14ac:dyDescent="0.3">
      <c r="A454" t="s">
        <v>552</v>
      </c>
      <c r="B454" t="s">
        <v>1373</v>
      </c>
      <c r="C454" t="s">
        <v>974</v>
      </c>
      <c r="D454" t="s">
        <v>496</v>
      </c>
      <c r="E454" t="s">
        <v>1081</v>
      </c>
      <c r="F454" t="s">
        <v>1082</v>
      </c>
      <c r="G454" t="s">
        <v>309</v>
      </c>
      <c r="H454" t="s">
        <v>571</v>
      </c>
      <c r="I454" t="s">
        <v>2225</v>
      </c>
      <c r="J454" s="41">
        <v>72.540000000000006</v>
      </c>
      <c r="K454" s="41">
        <v>72.540000000000006</v>
      </c>
      <c r="L454" t="s">
        <v>1670</v>
      </c>
      <c r="M454" t="s">
        <v>1155</v>
      </c>
      <c r="N454" t="s">
        <v>2268</v>
      </c>
    </row>
    <row r="455" spans="1:14" x14ac:dyDescent="0.3">
      <c r="A455" t="s">
        <v>552</v>
      </c>
      <c r="B455" t="s">
        <v>1373</v>
      </c>
      <c r="C455" t="s">
        <v>974</v>
      </c>
      <c r="D455" t="s">
        <v>496</v>
      </c>
      <c r="E455" t="s">
        <v>1062</v>
      </c>
      <c r="F455" t="s">
        <v>1063</v>
      </c>
      <c r="G455" t="s">
        <v>309</v>
      </c>
      <c r="H455" t="s">
        <v>566</v>
      </c>
      <c r="I455" t="s">
        <v>2225</v>
      </c>
      <c r="J455" s="41">
        <v>2557.46</v>
      </c>
      <c r="K455" s="41">
        <v>2557.46</v>
      </c>
      <c r="L455" t="s">
        <v>1670</v>
      </c>
      <c r="M455" t="s">
        <v>2227</v>
      </c>
      <c r="N455" t="s">
        <v>2268</v>
      </c>
    </row>
    <row r="456" spans="1:14" x14ac:dyDescent="0.3">
      <c r="A456" t="s">
        <v>552</v>
      </c>
      <c r="B456" t="s">
        <v>1373</v>
      </c>
      <c r="C456" t="s">
        <v>974</v>
      </c>
      <c r="D456" t="s">
        <v>496</v>
      </c>
      <c r="E456" t="s">
        <v>1062</v>
      </c>
      <c r="F456" t="s">
        <v>1063</v>
      </c>
      <c r="G456" t="s">
        <v>309</v>
      </c>
      <c r="H456" t="s">
        <v>566</v>
      </c>
      <c r="I456" t="s">
        <v>2225</v>
      </c>
      <c r="J456" s="41">
        <v>0</v>
      </c>
      <c r="K456" s="41">
        <v>1500</v>
      </c>
      <c r="L456" t="s">
        <v>1670</v>
      </c>
      <c r="M456" t="s">
        <v>2227</v>
      </c>
      <c r="N456" t="s">
        <v>2268</v>
      </c>
    </row>
    <row r="457" spans="1:14" x14ac:dyDescent="0.3">
      <c r="A457" t="s">
        <v>552</v>
      </c>
      <c r="B457" t="s">
        <v>1373</v>
      </c>
      <c r="C457" t="s">
        <v>974</v>
      </c>
      <c r="D457" t="s">
        <v>496</v>
      </c>
      <c r="E457" t="s">
        <v>1097</v>
      </c>
      <c r="F457" t="s">
        <v>1098</v>
      </c>
      <c r="G457" t="s">
        <v>377</v>
      </c>
      <c r="H457" t="s">
        <v>569</v>
      </c>
      <c r="I457" t="s">
        <v>190</v>
      </c>
      <c r="J457" s="41">
        <v>400</v>
      </c>
      <c r="K457" s="41">
        <v>400</v>
      </c>
      <c r="L457" t="s">
        <v>1670</v>
      </c>
      <c r="M457" t="s">
        <v>2227</v>
      </c>
      <c r="N457" t="s">
        <v>2268</v>
      </c>
    </row>
    <row r="458" spans="1:14" x14ac:dyDescent="0.3">
      <c r="A458" t="s">
        <v>552</v>
      </c>
      <c r="B458" t="s">
        <v>1373</v>
      </c>
      <c r="C458" t="s">
        <v>974</v>
      </c>
      <c r="D458" t="s">
        <v>496</v>
      </c>
      <c r="E458" t="s">
        <v>1099</v>
      </c>
      <c r="F458" t="s">
        <v>1100</v>
      </c>
      <c r="G458" t="s">
        <v>377</v>
      </c>
      <c r="H458" t="s">
        <v>569</v>
      </c>
      <c r="I458" t="s">
        <v>190</v>
      </c>
      <c r="J458" s="41">
        <v>0</v>
      </c>
      <c r="K458" s="41">
        <v>648</v>
      </c>
      <c r="L458" t="s">
        <v>1670</v>
      </c>
      <c r="M458" t="s">
        <v>1155</v>
      </c>
      <c r="N458" t="s">
        <v>2268</v>
      </c>
    </row>
    <row r="459" spans="1:14" x14ac:dyDescent="0.3">
      <c r="A459" t="s">
        <v>552</v>
      </c>
      <c r="B459" t="s">
        <v>1373</v>
      </c>
      <c r="C459" t="s">
        <v>974</v>
      </c>
      <c r="D459" t="s">
        <v>496</v>
      </c>
      <c r="E459" t="s">
        <v>1123</v>
      </c>
      <c r="F459" t="s">
        <v>717</v>
      </c>
      <c r="G459" t="s">
        <v>304</v>
      </c>
      <c r="H459" t="s">
        <v>561</v>
      </c>
      <c r="I459" t="s">
        <v>561</v>
      </c>
      <c r="J459" s="41">
        <v>5.22</v>
      </c>
      <c r="K459" s="41">
        <v>10.44</v>
      </c>
      <c r="L459" t="s">
        <v>1670</v>
      </c>
      <c r="M459" t="s">
        <v>2227</v>
      </c>
      <c r="N459" t="s">
        <v>2268</v>
      </c>
    </row>
    <row r="460" spans="1:14" x14ac:dyDescent="0.3">
      <c r="A460" t="s">
        <v>552</v>
      </c>
      <c r="B460" t="s">
        <v>1373</v>
      </c>
      <c r="C460" t="s">
        <v>974</v>
      </c>
      <c r="D460" t="s">
        <v>496</v>
      </c>
      <c r="E460" t="s">
        <v>1123</v>
      </c>
      <c r="F460" t="s">
        <v>717</v>
      </c>
      <c r="G460" t="s">
        <v>304</v>
      </c>
      <c r="H460" t="s">
        <v>561</v>
      </c>
      <c r="I460" t="s">
        <v>561</v>
      </c>
      <c r="J460" s="41">
        <v>3.11</v>
      </c>
      <c r="K460" s="41">
        <v>3.11</v>
      </c>
      <c r="L460" t="s">
        <v>1670</v>
      </c>
      <c r="M460" t="s">
        <v>2227</v>
      </c>
      <c r="N460" t="s">
        <v>2268</v>
      </c>
    </row>
    <row r="461" spans="1:14" x14ac:dyDescent="0.3">
      <c r="A461" t="s">
        <v>552</v>
      </c>
      <c r="B461" t="s">
        <v>1373</v>
      </c>
      <c r="C461" t="s">
        <v>974</v>
      </c>
      <c r="D461" t="s">
        <v>496</v>
      </c>
      <c r="E461" t="s">
        <v>1123</v>
      </c>
      <c r="F461" t="s">
        <v>717</v>
      </c>
      <c r="G461" t="s">
        <v>304</v>
      </c>
      <c r="H461" t="s">
        <v>561</v>
      </c>
      <c r="I461" t="s">
        <v>561</v>
      </c>
      <c r="J461" s="41">
        <v>0</v>
      </c>
      <c r="K461" s="41">
        <v>152.85</v>
      </c>
      <c r="L461" t="s">
        <v>1670</v>
      </c>
      <c r="M461" t="s">
        <v>2227</v>
      </c>
      <c r="N461" t="s">
        <v>2268</v>
      </c>
    </row>
    <row r="462" spans="1:14" x14ac:dyDescent="0.3">
      <c r="A462" t="s">
        <v>552</v>
      </c>
      <c r="B462" t="s">
        <v>1373</v>
      </c>
      <c r="C462" t="s">
        <v>974</v>
      </c>
      <c r="D462" t="s">
        <v>496</v>
      </c>
      <c r="E462" t="s">
        <v>1123</v>
      </c>
      <c r="F462" t="s">
        <v>717</v>
      </c>
      <c r="G462" t="s">
        <v>304</v>
      </c>
      <c r="H462" t="s">
        <v>561</v>
      </c>
      <c r="I462" t="s">
        <v>561</v>
      </c>
      <c r="J462" s="41">
        <v>0</v>
      </c>
      <c r="K462" s="41">
        <v>0.9</v>
      </c>
      <c r="L462" t="s">
        <v>1670</v>
      </c>
      <c r="M462" t="s">
        <v>2227</v>
      </c>
      <c r="N462" t="s">
        <v>2268</v>
      </c>
    </row>
    <row r="463" spans="1:14" x14ac:dyDescent="0.3">
      <c r="A463" t="s">
        <v>554</v>
      </c>
      <c r="B463" t="s">
        <v>658</v>
      </c>
      <c r="C463" t="s">
        <v>976</v>
      </c>
      <c r="D463" t="s">
        <v>496</v>
      </c>
      <c r="E463" t="s">
        <v>1060</v>
      </c>
      <c r="F463" t="s">
        <v>1061</v>
      </c>
      <c r="G463" t="s">
        <v>309</v>
      </c>
      <c r="H463" t="s">
        <v>565</v>
      </c>
      <c r="I463" t="s">
        <v>2225</v>
      </c>
      <c r="J463" s="41">
        <v>600</v>
      </c>
      <c r="K463" s="41">
        <v>5400</v>
      </c>
      <c r="L463" t="s">
        <v>1671</v>
      </c>
      <c r="M463" t="s">
        <v>2227</v>
      </c>
      <c r="N463" t="s">
        <v>2268</v>
      </c>
    </row>
    <row r="464" spans="1:14" x14ac:dyDescent="0.3">
      <c r="A464" t="s">
        <v>554</v>
      </c>
      <c r="B464" t="s">
        <v>658</v>
      </c>
      <c r="C464" t="s">
        <v>976</v>
      </c>
      <c r="D464" t="s">
        <v>496</v>
      </c>
      <c r="E464" t="s">
        <v>1075</v>
      </c>
      <c r="F464" t="s">
        <v>1076</v>
      </c>
      <c r="G464" t="s">
        <v>309</v>
      </c>
      <c r="H464" t="s">
        <v>570</v>
      </c>
      <c r="I464" t="s">
        <v>2225</v>
      </c>
      <c r="J464" s="41">
        <v>300</v>
      </c>
      <c r="K464" s="41">
        <v>1500</v>
      </c>
      <c r="L464" t="s">
        <v>1671</v>
      </c>
      <c r="M464" t="s">
        <v>2227</v>
      </c>
      <c r="N464" t="s">
        <v>2268</v>
      </c>
    </row>
    <row r="465" spans="1:14" x14ac:dyDescent="0.3">
      <c r="A465" t="s">
        <v>554</v>
      </c>
      <c r="B465" t="s">
        <v>658</v>
      </c>
      <c r="C465" t="s">
        <v>976</v>
      </c>
      <c r="D465" t="s">
        <v>496</v>
      </c>
      <c r="E465" t="s">
        <v>1060</v>
      </c>
      <c r="F465" t="s">
        <v>1061</v>
      </c>
      <c r="G465" t="s">
        <v>309</v>
      </c>
      <c r="H465" t="s">
        <v>565</v>
      </c>
      <c r="I465" t="s">
        <v>2225</v>
      </c>
      <c r="J465" s="41">
        <v>400</v>
      </c>
      <c r="K465" s="41">
        <v>2012.37</v>
      </c>
      <c r="L465" t="s">
        <v>1671</v>
      </c>
      <c r="M465" t="s">
        <v>2227</v>
      </c>
      <c r="N465" t="s">
        <v>2268</v>
      </c>
    </row>
    <row r="466" spans="1:14" x14ac:dyDescent="0.3">
      <c r="A466" t="s">
        <v>554</v>
      </c>
      <c r="B466" t="s">
        <v>658</v>
      </c>
      <c r="C466" t="s">
        <v>976</v>
      </c>
      <c r="D466" t="s">
        <v>496</v>
      </c>
      <c r="E466" t="s">
        <v>1062</v>
      </c>
      <c r="F466" t="s">
        <v>1063</v>
      </c>
      <c r="G466" t="s">
        <v>309</v>
      </c>
      <c r="H466" t="s">
        <v>566</v>
      </c>
      <c r="I466" t="s">
        <v>2225</v>
      </c>
      <c r="J466" s="41">
        <v>0</v>
      </c>
      <c r="K466" s="41">
        <v>270.35000000000002</v>
      </c>
      <c r="L466" t="s">
        <v>1671</v>
      </c>
      <c r="M466" t="s">
        <v>2227</v>
      </c>
      <c r="N466" t="s">
        <v>2268</v>
      </c>
    </row>
    <row r="467" spans="1:14" x14ac:dyDescent="0.3">
      <c r="A467" t="s">
        <v>554</v>
      </c>
      <c r="B467" t="s">
        <v>658</v>
      </c>
      <c r="C467" t="s">
        <v>976</v>
      </c>
      <c r="D467" t="s">
        <v>496</v>
      </c>
      <c r="E467" t="s">
        <v>1064</v>
      </c>
      <c r="F467" t="s">
        <v>1065</v>
      </c>
      <c r="G467" t="s">
        <v>309</v>
      </c>
      <c r="H467" t="s">
        <v>571</v>
      </c>
      <c r="I467" t="s">
        <v>2225</v>
      </c>
      <c r="J467" s="41">
        <v>0</v>
      </c>
      <c r="K467" s="41">
        <v>252.73</v>
      </c>
      <c r="L467" t="s">
        <v>1671</v>
      </c>
      <c r="M467" t="s">
        <v>2227</v>
      </c>
      <c r="N467" t="s">
        <v>2268</v>
      </c>
    </row>
    <row r="468" spans="1:14" x14ac:dyDescent="0.3">
      <c r="A468" t="s">
        <v>554</v>
      </c>
      <c r="B468" t="s">
        <v>658</v>
      </c>
      <c r="C468" t="s">
        <v>976</v>
      </c>
      <c r="D468" t="s">
        <v>496</v>
      </c>
      <c r="E468" t="s">
        <v>1064</v>
      </c>
      <c r="F468" t="s">
        <v>1065</v>
      </c>
      <c r="G468" t="s">
        <v>309</v>
      </c>
      <c r="H468" t="s">
        <v>571</v>
      </c>
      <c r="I468" t="s">
        <v>2225</v>
      </c>
      <c r="J468" s="41">
        <v>0</v>
      </c>
      <c r="K468" s="41">
        <v>142.19</v>
      </c>
      <c r="L468" t="s">
        <v>1671</v>
      </c>
      <c r="M468" t="s">
        <v>2227</v>
      </c>
      <c r="N468" t="s">
        <v>2268</v>
      </c>
    </row>
    <row r="469" spans="1:14" x14ac:dyDescent="0.3">
      <c r="A469" t="s">
        <v>554</v>
      </c>
      <c r="B469" t="s">
        <v>658</v>
      </c>
      <c r="C469" t="s">
        <v>976</v>
      </c>
      <c r="D469" t="s">
        <v>496</v>
      </c>
      <c r="E469" t="s">
        <v>1064</v>
      </c>
      <c r="F469" t="s">
        <v>1065</v>
      </c>
      <c r="G469" t="s">
        <v>309</v>
      </c>
      <c r="H469" t="s">
        <v>571</v>
      </c>
      <c r="I469" t="s">
        <v>2225</v>
      </c>
      <c r="J469" s="41">
        <v>0</v>
      </c>
      <c r="K469" s="41">
        <v>64.790000000000006</v>
      </c>
      <c r="L469" t="s">
        <v>1671</v>
      </c>
      <c r="M469" t="s">
        <v>2227</v>
      </c>
      <c r="N469" t="s">
        <v>2268</v>
      </c>
    </row>
    <row r="470" spans="1:14" x14ac:dyDescent="0.3">
      <c r="A470" t="s">
        <v>554</v>
      </c>
      <c r="B470" t="s">
        <v>658</v>
      </c>
      <c r="C470" t="s">
        <v>976</v>
      </c>
      <c r="D470" t="s">
        <v>496</v>
      </c>
      <c r="E470" t="s">
        <v>1068</v>
      </c>
      <c r="F470" t="s">
        <v>568</v>
      </c>
      <c r="G470" t="s">
        <v>309</v>
      </c>
      <c r="H470" t="s">
        <v>568</v>
      </c>
      <c r="I470" t="s">
        <v>2225</v>
      </c>
      <c r="J470" s="41">
        <v>0</v>
      </c>
      <c r="K470" s="41">
        <v>9205.7199999999993</v>
      </c>
      <c r="L470" t="s">
        <v>1671</v>
      </c>
      <c r="M470" t="s">
        <v>2227</v>
      </c>
      <c r="N470" t="s">
        <v>2268</v>
      </c>
    </row>
    <row r="471" spans="1:14" x14ac:dyDescent="0.3">
      <c r="A471" t="s">
        <v>554</v>
      </c>
      <c r="B471" t="s">
        <v>658</v>
      </c>
      <c r="C471" t="s">
        <v>976</v>
      </c>
      <c r="D471" t="s">
        <v>496</v>
      </c>
      <c r="E471" t="s">
        <v>1068</v>
      </c>
      <c r="F471" t="s">
        <v>568</v>
      </c>
      <c r="G471" t="s">
        <v>309</v>
      </c>
      <c r="H471" t="s">
        <v>568</v>
      </c>
      <c r="I471" t="s">
        <v>2225</v>
      </c>
      <c r="J471" s="41">
        <v>0</v>
      </c>
      <c r="K471" s="41">
        <v>70.81</v>
      </c>
      <c r="L471" t="s">
        <v>1671</v>
      </c>
      <c r="M471" t="s">
        <v>2227</v>
      </c>
      <c r="N471" t="s">
        <v>2268</v>
      </c>
    </row>
    <row r="472" spans="1:14" x14ac:dyDescent="0.3">
      <c r="A472" t="s">
        <v>554</v>
      </c>
      <c r="B472" t="s">
        <v>658</v>
      </c>
      <c r="C472" t="s">
        <v>976</v>
      </c>
      <c r="D472" t="s">
        <v>496</v>
      </c>
      <c r="E472" t="s">
        <v>1069</v>
      </c>
      <c r="F472" t="s">
        <v>1070</v>
      </c>
      <c r="G472" t="s">
        <v>309</v>
      </c>
      <c r="H472" t="s">
        <v>569</v>
      </c>
      <c r="I472" t="s">
        <v>2225</v>
      </c>
      <c r="J472" s="41">
        <v>57.8</v>
      </c>
      <c r="K472" s="41">
        <v>115.51</v>
      </c>
      <c r="L472" t="s">
        <v>1671</v>
      </c>
      <c r="M472" t="s">
        <v>2227</v>
      </c>
      <c r="N472" t="s">
        <v>2268</v>
      </c>
    </row>
    <row r="473" spans="1:14" x14ac:dyDescent="0.3">
      <c r="A473" t="s">
        <v>554</v>
      </c>
      <c r="B473" t="s">
        <v>658</v>
      </c>
      <c r="C473" t="s">
        <v>976</v>
      </c>
      <c r="D473" t="s">
        <v>496</v>
      </c>
      <c r="E473" t="s">
        <v>1079</v>
      </c>
      <c r="F473" t="s">
        <v>1080</v>
      </c>
      <c r="G473" t="s">
        <v>309</v>
      </c>
      <c r="H473" t="s">
        <v>571</v>
      </c>
      <c r="I473" t="s">
        <v>2225</v>
      </c>
      <c r="J473" s="41">
        <v>0</v>
      </c>
      <c r="K473" s="41">
        <v>39.61</v>
      </c>
      <c r="L473" t="s">
        <v>1671</v>
      </c>
      <c r="M473" t="s">
        <v>2227</v>
      </c>
      <c r="N473" t="s">
        <v>2268</v>
      </c>
    </row>
    <row r="474" spans="1:14" x14ac:dyDescent="0.3">
      <c r="A474" t="s">
        <v>554</v>
      </c>
      <c r="B474" t="s">
        <v>658</v>
      </c>
      <c r="C474" t="s">
        <v>976</v>
      </c>
      <c r="D474" t="s">
        <v>496</v>
      </c>
      <c r="E474" t="s">
        <v>1079</v>
      </c>
      <c r="F474" t="s">
        <v>1080</v>
      </c>
      <c r="G474" t="s">
        <v>309</v>
      </c>
      <c r="H474" t="s">
        <v>571</v>
      </c>
      <c r="I474" t="s">
        <v>2225</v>
      </c>
      <c r="J474" s="41">
        <v>0</v>
      </c>
      <c r="K474" s="41">
        <v>74.31</v>
      </c>
      <c r="L474" t="s">
        <v>1671</v>
      </c>
      <c r="M474" t="s">
        <v>2227</v>
      </c>
      <c r="N474" t="s">
        <v>2268</v>
      </c>
    </row>
    <row r="475" spans="1:14" x14ac:dyDescent="0.3">
      <c r="A475" t="s">
        <v>554</v>
      </c>
      <c r="B475" t="s">
        <v>658</v>
      </c>
      <c r="C475" t="s">
        <v>976</v>
      </c>
      <c r="D475" t="s">
        <v>496</v>
      </c>
      <c r="E475" t="s">
        <v>1079</v>
      </c>
      <c r="F475" t="s">
        <v>1080</v>
      </c>
      <c r="G475" t="s">
        <v>309</v>
      </c>
      <c r="H475" t="s">
        <v>571</v>
      </c>
      <c r="I475" t="s">
        <v>2225</v>
      </c>
      <c r="J475" s="41">
        <v>0</v>
      </c>
      <c r="K475" s="41">
        <v>15</v>
      </c>
      <c r="L475" t="s">
        <v>1671</v>
      </c>
      <c r="M475" t="s">
        <v>2227</v>
      </c>
      <c r="N475" t="s">
        <v>2268</v>
      </c>
    </row>
    <row r="476" spans="1:14" x14ac:dyDescent="0.3">
      <c r="A476" t="s">
        <v>554</v>
      </c>
      <c r="B476" t="s">
        <v>658</v>
      </c>
      <c r="C476" t="s">
        <v>976</v>
      </c>
      <c r="D476" t="s">
        <v>496</v>
      </c>
      <c r="E476" t="s">
        <v>1079</v>
      </c>
      <c r="F476" t="s">
        <v>1080</v>
      </c>
      <c r="G476" t="s">
        <v>309</v>
      </c>
      <c r="H476" t="s">
        <v>571</v>
      </c>
      <c r="I476" t="s">
        <v>2225</v>
      </c>
      <c r="J476" s="41">
        <v>0</v>
      </c>
      <c r="K476" s="41">
        <v>7</v>
      </c>
      <c r="L476" t="s">
        <v>1671</v>
      </c>
      <c r="M476" t="s">
        <v>2227</v>
      </c>
      <c r="N476" t="s">
        <v>2268</v>
      </c>
    </row>
    <row r="477" spans="1:14" x14ac:dyDescent="0.3">
      <c r="A477" t="s">
        <v>554</v>
      </c>
      <c r="B477" t="s">
        <v>658</v>
      </c>
      <c r="C477" t="s">
        <v>976</v>
      </c>
      <c r="D477" t="s">
        <v>496</v>
      </c>
      <c r="E477" t="s">
        <v>1123</v>
      </c>
      <c r="F477" t="s">
        <v>717</v>
      </c>
      <c r="G477" t="s">
        <v>304</v>
      </c>
      <c r="H477" t="s">
        <v>561</v>
      </c>
      <c r="I477" t="s">
        <v>561</v>
      </c>
      <c r="J477" s="41">
        <v>30</v>
      </c>
      <c r="K477" s="41">
        <v>150</v>
      </c>
      <c r="L477" t="s">
        <v>1671</v>
      </c>
      <c r="M477" t="s">
        <v>2227</v>
      </c>
      <c r="N477" t="s">
        <v>2268</v>
      </c>
    </row>
    <row r="478" spans="1:14" x14ac:dyDescent="0.3">
      <c r="A478" t="s">
        <v>554</v>
      </c>
      <c r="B478" t="s">
        <v>658</v>
      </c>
      <c r="C478" t="s">
        <v>976</v>
      </c>
      <c r="D478" t="s">
        <v>496</v>
      </c>
      <c r="E478" t="s">
        <v>1123</v>
      </c>
      <c r="F478" t="s">
        <v>717</v>
      </c>
      <c r="G478" t="s">
        <v>304</v>
      </c>
      <c r="H478" t="s">
        <v>561</v>
      </c>
      <c r="I478" t="s">
        <v>561</v>
      </c>
      <c r="J478" s="41">
        <v>6</v>
      </c>
      <c r="K478" s="41">
        <v>6</v>
      </c>
      <c r="L478" t="s">
        <v>1671</v>
      </c>
      <c r="M478" t="s">
        <v>2227</v>
      </c>
      <c r="N478" t="s">
        <v>2268</v>
      </c>
    </row>
    <row r="479" spans="1:14" x14ac:dyDescent="0.3">
      <c r="A479" t="s">
        <v>554</v>
      </c>
      <c r="B479" t="s">
        <v>1265</v>
      </c>
      <c r="C479" t="s">
        <v>975</v>
      </c>
      <c r="D479" t="s">
        <v>686</v>
      </c>
      <c r="E479" t="s">
        <v>1062</v>
      </c>
      <c r="F479" t="s">
        <v>1063</v>
      </c>
      <c r="G479" t="s">
        <v>309</v>
      </c>
      <c r="H479" t="s">
        <v>566</v>
      </c>
      <c r="I479" t="s">
        <v>2225</v>
      </c>
      <c r="J479" s="41">
        <v>529.35</v>
      </c>
      <c r="K479" s="41">
        <v>2068.9499999999998</v>
      </c>
      <c r="L479" t="s">
        <v>1672</v>
      </c>
      <c r="M479" t="s">
        <v>2227</v>
      </c>
      <c r="N479" t="s">
        <v>2268</v>
      </c>
    </row>
    <row r="480" spans="1:14" x14ac:dyDescent="0.3">
      <c r="A480" t="s">
        <v>554</v>
      </c>
      <c r="B480" t="s">
        <v>1265</v>
      </c>
      <c r="C480" t="s">
        <v>975</v>
      </c>
      <c r="D480" t="s">
        <v>686</v>
      </c>
      <c r="E480" t="s">
        <v>1062</v>
      </c>
      <c r="F480" t="s">
        <v>1063</v>
      </c>
      <c r="G480" t="s">
        <v>309</v>
      </c>
      <c r="H480" t="s">
        <v>566</v>
      </c>
      <c r="I480" t="s">
        <v>2225</v>
      </c>
      <c r="J480" s="41">
        <v>700</v>
      </c>
      <c r="K480" s="41">
        <v>2500</v>
      </c>
      <c r="L480" t="s">
        <v>1672</v>
      </c>
      <c r="M480" t="s">
        <v>2227</v>
      </c>
      <c r="N480" t="s">
        <v>2268</v>
      </c>
    </row>
    <row r="481" spans="1:14" x14ac:dyDescent="0.3">
      <c r="A481" t="s">
        <v>554</v>
      </c>
      <c r="B481" t="s">
        <v>1265</v>
      </c>
      <c r="C481" t="s">
        <v>975</v>
      </c>
      <c r="D481" t="s">
        <v>686</v>
      </c>
      <c r="E481" t="s">
        <v>1095</v>
      </c>
      <c r="F481" t="s">
        <v>1096</v>
      </c>
      <c r="G481" t="s">
        <v>377</v>
      </c>
      <c r="H481" t="s">
        <v>566</v>
      </c>
      <c r="I481" t="s">
        <v>190</v>
      </c>
      <c r="J481" s="41">
        <v>7400.3</v>
      </c>
      <c r="K481" s="41">
        <v>7400.3</v>
      </c>
      <c r="L481" t="s">
        <v>1672</v>
      </c>
      <c r="M481" t="s">
        <v>2227</v>
      </c>
      <c r="N481" t="s">
        <v>2268</v>
      </c>
    </row>
    <row r="482" spans="1:14" x14ac:dyDescent="0.3">
      <c r="A482" t="s">
        <v>554</v>
      </c>
      <c r="B482" t="s">
        <v>1265</v>
      </c>
      <c r="C482" t="s">
        <v>975</v>
      </c>
      <c r="D482" t="s">
        <v>686</v>
      </c>
      <c r="E482" t="s">
        <v>1095</v>
      </c>
      <c r="F482" t="s">
        <v>1096</v>
      </c>
      <c r="G482" t="s">
        <v>377</v>
      </c>
      <c r="H482" t="s">
        <v>566</v>
      </c>
      <c r="I482" t="s">
        <v>190</v>
      </c>
      <c r="J482" s="41">
        <v>15383.22</v>
      </c>
      <c r="K482" s="41">
        <v>15383.22</v>
      </c>
      <c r="L482" t="s">
        <v>1672</v>
      </c>
      <c r="M482" t="s">
        <v>2227</v>
      </c>
      <c r="N482" t="s">
        <v>2268</v>
      </c>
    </row>
    <row r="483" spans="1:14" x14ac:dyDescent="0.3">
      <c r="A483" t="s">
        <v>554</v>
      </c>
      <c r="B483" t="s">
        <v>1265</v>
      </c>
      <c r="C483" t="s">
        <v>975</v>
      </c>
      <c r="D483" t="s">
        <v>686</v>
      </c>
      <c r="E483" t="s">
        <v>1095</v>
      </c>
      <c r="F483" t="s">
        <v>1096</v>
      </c>
      <c r="G483" t="s">
        <v>377</v>
      </c>
      <c r="H483" t="s">
        <v>566</v>
      </c>
      <c r="I483" t="s">
        <v>190</v>
      </c>
      <c r="J483" s="41">
        <v>7400.3</v>
      </c>
      <c r="K483" s="41">
        <v>7400.3</v>
      </c>
      <c r="L483" t="s">
        <v>1672</v>
      </c>
      <c r="M483" t="s">
        <v>2227</v>
      </c>
      <c r="N483" t="s">
        <v>2268</v>
      </c>
    </row>
    <row r="484" spans="1:14" x14ac:dyDescent="0.3">
      <c r="A484" t="s">
        <v>554</v>
      </c>
      <c r="B484" t="s">
        <v>1265</v>
      </c>
      <c r="C484" t="s">
        <v>975</v>
      </c>
      <c r="D484" t="s">
        <v>686</v>
      </c>
      <c r="E484" t="s">
        <v>1095</v>
      </c>
      <c r="F484" t="s">
        <v>1096</v>
      </c>
      <c r="G484" t="s">
        <v>377</v>
      </c>
      <c r="H484" t="s">
        <v>566</v>
      </c>
      <c r="I484" t="s">
        <v>190</v>
      </c>
      <c r="J484" s="41">
        <v>0</v>
      </c>
      <c r="K484" s="41">
        <v>2127</v>
      </c>
      <c r="L484" t="s">
        <v>1672</v>
      </c>
      <c r="M484" t="s">
        <v>2227</v>
      </c>
      <c r="N484" t="s">
        <v>2268</v>
      </c>
    </row>
    <row r="485" spans="1:14" x14ac:dyDescent="0.3">
      <c r="A485" t="s">
        <v>554</v>
      </c>
      <c r="B485" t="s">
        <v>1265</v>
      </c>
      <c r="C485" t="s">
        <v>975</v>
      </c>
      <c r="D485" t="s">
        <v>686</v>
      </c>
      <c r="E485" t="s">
        <v>1097</v>
      </c>
      <c r="F485" t="s">
        <v>1098</v>
      </c>
      <c r="G485" t="s">
        <v>377</v>
      </c>
      <c r="H485" t="s">
        <v>569</v>
      </c>
      <c r="I485" t="s">
        <v>190</v>
      </c>
      <c r="J485" s="41">
        <v>0</v>
      </c>
      <c r="K485" s="41">
        <v>1706.19</v>
      </c>
      <c r="L485" t="s">
        <v>1672</v>
      </c>
      <c r="M485" t="s">
        <v>2227</v>
      </c>
      <c r="N485" t="s">
        <v>2268</v>
      </c>
    </row>
    <row r="486" spans="1:14" x14ac:dyDescent="0.3">
      <c r="A486" t="s">
        <v>554</v>
      </c>
      <c r="B486" t="s">
        <v>1265</v>
      </c>
      <c r="C486" t="s">
        <v>975</v>
      </c>
      <c r="D486" t="s">
        <v>686</v>
      </c>
      <c r="E486" t="s">
        <v>1101</v>
      </c>
      <c r="F486" t="s">
        <v>1102</v>
      </c>
      <c r="G486" t="s">
        <v>377</v>
      </c>
      <c r="H486" t="s">
        <v>570</v>
      </c>
      <c r="I486" t="s">
        <v>190</v>
      </c>
      <c r="J486" s="41">
        <v>0</v>
      </c>
      <c r="K486" s="41">
        <v>267.26</v>
      </c>
      <c r="L486" t="s">
        <v>1672</v>
      </c>
      <c r="M486" t="s">
        <v>2227</v>
      </c>
      <c r="N486" t="s">
        <v>2268</v>
      </c>
    </row>
    <row r="487" spans="1:14" x14ac:dyDescent="0.3">
      <c r="A487" t="s">
        <v>554</v>
      </c>
      <c r="B487" t="s">
        <v>1265</v>
      </c>
      <c r="C487" t="s">
        <v>975</v>
      </c>
      <c r="D487" t="s">
        <v>686</v>
      </c>
      <c r="E487" t="s">
        <v>1101</v>
      </c>
      <c r="F487" t="s">
        <v>1102</v>
      </c>
      <c r="G487" t="s">
        <v>377</v>
      </c>
      <c r="H487" t="s">
        <v>570</v>
      </c>
      <c r="I487" t="s">
        <v>190</v>
      </c>
      <c r="J487" s="41">
        <v>0</v>
      </c>
      <c r="K487" s="41">
        <v>80.8</v>
      </c>
      <c r="L487" t="s">
        <v>1672</v>
      </c>
      <c r="M487" t="s">
        <v>2227</v>
      </c>
      <c r="N487" t="s">
        <v>2268</v>
      </c>
    </row>
    <row r="488" spans="1:14" x14ac:dyDescent="0.3">
      <c r="A488" t="s">
        <v>554</v>
      </c>
      <c r="B488" t="s">
        <v>1265</v>
      </c>
      <c r="C488" t="s">
        <v>975</v>
      </c>
      <c r="D488" t="s">
        <v>686</v>
      </c>
      <c r="E488" t="s">
        <v>1101</v>
      </c>
      <c r="F488" t="s">
        <v>1102</v>
      </c>
      <c r="G488" t="s">
        <v>377</v>
      </c>
      <c r="H488" t="s">
        <v>570</v>
      </c>
      <c r="I488" t="s">
        <v>190</v>
      </c>
      <c r="J488" s="41">
        <v>0</v>
      </c>
      <c r="K488" s="41">
        <v>20.68</v>
      </c>
      <c r="L488" t="s">
        <v>1672</v>
      </c>
      <c r="M488" t="s">
        <v>2227</v>
      </c>
      <c r="N488" t="s">
        <v>2268</v>
      </c>
    </row>
    <row r="489" spans="1:14" x14ac:dyDescent="0.3">
      <c r="A489" t="s">
        <v>554</v>
      </c>
      <c r="B489" t="s">
        <v>1265</v>
      </c>
      <c r="C489" t="s">
        <v>975</v>
      </c>
      <c r="D489" t="s">
        <v>686</v>
      </c>
      <c r="E489" t="s">
        <v>1101</v>
      </c>
      <c r="F489" t="s">
        <v>1102</v>
      </c>
      <c r="G489" t="s">
        <v>377</v>
      </c>
      <c r="H489" t="s">
        <v>570</v>
      </c>
      <c r="I489" t="s">
        <v>190</v>
      </c>
      <c r="J489" s="41">
        <v>0</v>
      </c>
      <c r="K489" s="41">
        <v>114</v>
      </c>
      <c r="L489" t="s">
        <v>1672</v>
      </c>
      <c r="M489" t="s">
        <v>2227</v>
      </c>
      <c r="N489" t="s">
        <v>2268</v>
      </c>
    </row>
    <row r="490" spans="1:14" x14ac:dyDescent="0.3">
      <c r="A490" t="s">
        <v>554</v>
      </c>
      <c r="B490" t="s">
        <v>1265</v>
      </c>
      <c r="C490" t="s">
        <v>975</v>
      </c>
      <c r="D490" t="s">
        <v>686</v>
      </c>
      <c r="E490" t="s">
        <v>1101</v>
      </c>
      <c r="F490" t="s">
        <v>1102</v>
      </c>
      <c r="G490" t="s">
        <v>377</v>
      </c>
      <c r="H490" t="s">
        <v>570</v>
      </c>
      <c r="I490" t="s">
        <v>190</v>
      </c>
      <c r="J490" s="41">
        <v>0</v>
      </c>
      <c r="K490" s="41">
        <v>520</v>
      </c>
      <c r="L490" t="s">
        <v>1672</v>
      </c>
      <c r="M490" t="s">
        <v>2227</v>
      </c>
      <c r="N490" t="s">
        <v>2268</v>
      </c>
    </row>
    <row r="491" spans="1:14" x14ac:dyDescent="0.3">
      <c r="A491" t="s">
        <v>554</v>
      </c>
      <c r="B491" t="s">
        <v>1265</v>
      </c>
      <c r="C491" t="s">
        <v>975</v>
      </c>
      <c r="D491" t="s">
        <v>686</v>
      </c>
      <c r="E491" t="s">
        <v>1101</v>
      </c>
      <c r="F491" t="s">
        <v>1102</v>
      </c>
      <c r="G491" t="s">
        <v>377</v>
      </c>
      <c r="H491" t="s">
        <v>570</v>
      </c>
      <c r="I491" t="s">
        <v>190</v>
      </c>
      <c r="J491" s="41">
        <v>0</v>
      </c>
      <c r="K491" s="41">
        <v>6</v>
      </c>
      <c r="L491" t="s">
        <v>1672</v>
      </c>
      <c r="M491" t="s">
        <v>2227</v>
      </c>
      <c r="N491" t="s">
        <v>2268</v>
      </c>
    </row>
    <row r="492" spans="1:14" x14ac:dyDescent="0.3">
      <c r="A492" t="s">
        <v>554</v>
      </c>
      <c r="B492" t="s">
        <v>1265</v>
      </c>
      <c r="C492" t="s">
        <v>975</v>
      </c>
      <c r="D492" t="s">
        <v>686</v>
      </c>
      <c r="E492" t="s">
        <v>1101</v>
      </c>
      <c r="F492" t="s">
        <v>1102</v>
      </c>
      <c r="G492" t="s">
        <v>377</v>
      </c>
      <c r="H492" t="s">
        <v>570</v>
      </c>
      <c r="I492" t="s">
        <v>190</v>
      </c>
      <c r="J492" s="41">
        <v>0</v>
      </c>
      <c r="K492" s="41">
        <v>226.33</v>
      </c>
      <c r="L492" t="s">
        <v>1672</v>
      </c>
      <c r="M492" t="s">
        <v>2227</v>
      </c>
      <c r="N492" t="s">
        <v>2268</v>
      </c>
    </row>
    <row r="493" spans="1:14" x14ac:dyDescent="0.3">
      <c r="A493" t="s">
        <v>554</v>
      </c>
      <c r="B493" t="s">
        <v>1265</v>
      </c>
      <c r="C493" t="s">
        <v>975</v>
      </c>
      <c r="D493" t="s">
        <v>686</v>
      </c>
      <c r="E493" t="s">
        <v>1101</v>
      </c>
      <c r="F493" t="s">
        <v>1102</v>
      </c>
      <c r="G493" t="s">
        <v>377</v>
      </c>
      <c r="H493" t="s">
        <v>570</v>
      </c>
      <c r="I493" t="s">
        <v>190</v>
      </c>
      <c r="J493" s="41">
        <v>0</v>
      </c>
      <c r="K493" s="41">
        <v>386.7</v>
      </c>
      <c r="L493" t="s">
        <v>1672</v>
      </c>
      <c r="M493" t="s">
        <v>2227</v>
      </c>
      <c r="N493" t="s">
        <v>2268</v>
      </c>
    </row>
    <row r="494" spans="1:14" x14ac:dyDescent="0.3">
      <c r="A494" t="s">
        <v>554</v>
      </c>
      <c r="B494" t="s">
        <v>1265</v>
      </c>
      <c r="C494" t="s">
        <v>975</v>
      </c>
      <c r="D494" t="s">
        <v>686</v>
      </c>
      <c r="E494" t="s">
        <v>1101</v>
      </c>
      <c r="F494" t="s">
        <v>1102</v>
      </c>
      <c r="G494" t="s">
        <v>377</v>
      </c>
      <c r="H494" t="s">
        <v>570</v>
      </c>
      <c r="I494" t="s">
        <v>190</v>
      </c>
      <c r="J494" s="41">
        <v>0</v>
      </c>
      <c r="K494" s="41">
        <v>150.72</v>
      </c>
      <c r="L494" t="s">
        <v>1672</v>
      </c>
      <c r="M494" t="s">
        <v>2227</v>
      </c>
      <c r="N494" t="s">
        <v>2268</v>
      </c>
    </row>
    <row r="495" spans="1:14" x14ac:dyDescent="0.3">
      <c r="A495" t="s">
        <v>554</v>
      </c>
      <c r="B495" t="s">
        <v>1265</v>
      </c>
      <c r="C495" t="s">
        <v>975</v>
      </c>
      <c r="D495" t="s">
        <v>686</v>
      </c>
      <c r="E495" t="s">
        <v>1101</v>
      </c>
      <c r="F495" t="s">
        <v>1102</v>
      </c>
      <c r="G495" t="s">
        <v>377</v>
      </c>
      <c r="H495" t="s">
        <v>570</v>
      </c>
      <c r="I495" t="s">
        <v>190</v>
      </c>
      <c r="J495" s="41">
        <v>0</v>
      </c>
      <c r="K495" s="41">
        <v>24</v>
      </c>
      <c r="L495" t="s">
        <v>1672</v>
      </c>
      <c r="M495" t="s">
        <v>2227</v>
      </c>
      <c r="N495" t="s">
        <v>2268</v>
      </c>
    </row>
    <row r="496" spans="1:14" x14ac:dyDescent="0.3">
      <c r="A496" t="s">
        <v>554</v>
      </c>
      <c r="B496" t="s">
        <v>1265</v>
      </c>
      <c r="C496" t="s">
        <v>975</v>
      </c>
      <c r="D496" t="s">
        <v>686</v>
      </c>
      <c r="E496" t="s">
        <v>1101</v>
      </c>
      <c r="F496" t="s">
        <v>1102</v>
      </c>
      <c r="G496" t="s">
        <v>377</v>
      </c>
      <c r="H496" t="s">
        <v>570</v>
      </c>
      <c r="I496" t="s">
        <v>190</v>
      </c>
      <c r="J496" s="41">
        <v>0</v>
      </c>
      <c r="K496" s="41">
        <v>24</v>
      </c>
      <c r="L496" t="s">
        <v>1672</v>
      </c>
      <c r="M496" t="s">
        <v>2227</v>
      </c>
      <c r="N496" t="s">
        <v>2268</v>
      </c>
    </row>
    <row r="497" spans="1:14" x14ac:dyDescent="0.3">
      <c r="A497" t="s">
        <v>554</v>
      </c>
      <c r="B497" t="s">
        <v>1265</v>
      </c>
      <c r="C497" t="s">
        <v>975</v>
      </c>
      <c r="D497" t="s">
        <v>686</v>
      </c>
      <c r="E497" t="s">
        <v>1101</v>
      </c>
      <c r="F497" t="s">
        <v>1102</v>
      </c>
      <c r="G497" t="s">
        <v>377</v>
      </c>
      <c r="H497" t="s">
        <v>570</v>
      </c>
      <c r="I497" t="s">
        <v>190</v>
      </c>
      <c r="J497" s="41">
        <v>5146.2</v>
      </c>
      <c r="K497" s="41">
        <v>5146.2</v>
      </c>
      <c r="L497" t="s">
        <v>1672</v>
      </c>
      <c r="M497" t="s">
        <v>2227</v>
      </c>
      <c r="N497" t="s">
        <v>2268</v>
      </c>
    </row>
    <row r="498" spans="1:14" x14ac:dyDescent="0.3">
      <c r="A498" t="s">
        <v>554</v>
      </c>
      <c r="B498" t="s">
        <v>1265</v>
      </c>
      <c r="C498" t="s">
        <v>975</v>
      </c>
      <c r="D498" t="s">
        <v>686</v>
      </c>
      <c r="E498" t="s">
        <v>1103</v>
      </c>
      <c r="F498" t="s">
        <v>1104</v>
      </c>
      <c r="G498" t="s">
        <v>377</v>
      </c>
      <c r="H498" t="s">
        <v>570</v>
      </c>
      <c r="I498" t="s">
        <v>190</v>
      </c>
      <c r="J498" s="41">
        <v>0</v>
      </c>
      <c r="K498" s="41">
        <v>78</v>
      </c>
      <c r="L498" t="s">
        <v>1672</v>
      </c>
      <c r="M498" t="s">
        <v>2227</v>
      </c>
      <c r="N498" t="s">
        <v>2268</v>
      </c>
    </row>
    <row r="499" spans="1:14" x14ac:dyDescent="0.3">
      <c r="A499" t="s">
        <v>554</v>
      </c>
      <c r="B499" t="s">
        <v>1265</v>
      </c>
      <c r="C499" t="s">
        <v>975</v>
      </c>
      <c r="D499" t="s">
        <v>686</v>
      </c>
      <c r="E499" t="s">
        <v>1105</v>
      </c>
      <c r="F499" t="s">
        <v>1106</v>
      </c>
      <c r="G499" t="s">
        <v>377</v>
      </c>
      <c r="H499" t="s">
        <v>571</v>
      </c>
      <c r="I499" t="s">
        <v>190</v>
      </c>
      <c r="J499" s="41">
        <v>0</v>
      </c>
      <c r="K499" s="41">
        <v>1.9</v>
      </c>
      <c r="L499" t="s">
        <v>1672</v>
      </c>
      <c r="M499" t="s">
        <v>1155</v>
      </c>
      <c r="N499" t="s">
        <v>2268</v>
      </c>
    </row>
    <row r="500" spans="1:14" x14ac:dyDescent="0.3">
      <c r="A500" t="s">
        <v>554</v>
      </c>
      <c r="B500" t="s">
        <v>1265</v>
      </c>
      <c r="C500" t="s">
        <v>975</v>
      </c>
      <c r="D500" t="s">
        <v>686</v>
      </c>
      <c r="E500" t="s">
        <v>1123</v>
      </c>
      <c r="F500" t="s">
        <v>717</v>
      </c>
      <c r="G500" t="s">
        <v>304</v>
      </c>
      <c r="H500" t="s">
        <v>561</v>
      </c>
      <c r="I500" t="s">
        <v>561</v>
      </c>
      <c r="J500" s="41">
        <v>183.1</v>
      </c>
      <c r="K500" s="41">
        <v>227.16</v>
      </c>
      <c r="L500" t="s">
        <v>1672</v>
      </c>
      <c r="M500" t="s">
        <v>2227</v>
      </c>
      <c r="N500" t="s">
        <v>2268</v>
      </c>
    </row>
    <row r="501" spans="1:14" x14ac:dyDescent="0.3">
      <c r="A501" t="s">
        <v>554</v>
      </c>
      <c r="B501" t="s">
        <v>1265</v>
      </c>
      <c r="C501" t="s">
        <v>975</v>
      </c>
      <c r="D501" t="s">
        <v>686</v>
      </c>
      <c r="E501" t="s">
        <v>1123</v>
      </c>
      <c r="F501" t="s">
        <v>717</v>
      </c>
      <c r="G501" t="s">
        <v>304</v>
      </c>
      <c r="H501" t="s">
        <v>561</v>
      </c>
      <c r="I501" t="s">
        <v>561</v>
      </c>
      <c r="J501" s="41">
        <v>4.29</v>
      </c>
      <c r="K501" s="41">
        <v>4.29</v>
      </c>
      <c r="L501" t="s">
        <v>1672</v>
      </c>
      <c r="M501" t="s">
        <v>2227</v>
      </c>
      <c r="N501" t="s">
        <v>2268</v>
      </c>
    </row>
    <row r="502" spans="1:14" x14ac:dyDescent="0.3">
      <c r="A502" t="s">
        <v>554</v>
      </c>
      <c r="B502" t="s">
        <v>1265</v>
      </c>
      <c r="C502" t="s">
        <v>975</v>
      </c>
      <c r="D502" t="s">
        <v>686</v>
      </c>
      <c r="E502" t="s">
        <v>1123</v>
      </c>
      <c r="F502" t="s">
        <v>717</v>
      </c>
      <c r="G502" t="s">
        <v>304</v>
      </c>
      <c r="H502" t="s">
        <v>561</v>
      </c>
      <c r="I502" t="s">
        <v>561</v>
      </c>
      <c r="J502" s="41">
        <v>172.1</v>
      </c>
      <c r="K502" s="41">
        <v>172.1</v>
      </c>
      <c r="L502" t="s">
        <v>1672</v>
      </c>
      <c r="M502" t="s">
        <v>2227</v>
      </c>
      <c r="N502" t="s">
        <v>2268</v>
      </c>
    </row>
    <row r="503" spans="1:14" x14ac:dyDescent="0.3">
      <c r="A503" t="s">
        <v>554</v>
      </c>
      <c r="B503" t="s">
        <v>1265</v>
      </c>
      <c r="C503" t="s">
        <v>975</v>
      </c>
      <c r="D503" t="s">
        <v>686</v>
      </c>
      <c r="E503" t="s">
        <v>1123</v>
      </c>
      <c r="F503" t="s">
        <v>717</v>
      </c>
      <c r="G503" t="s">
        <v>304</v>
      </c>
      <c r="H503" t="s">
        <v>561</v>
      </c>
      <c r="I503" t="s">
        <v>561</v>
      </c>
      <c r="J503" s="41">
        <v>1.85</v>
      </c>
      <c r="K503" s="41">
        <v>7.4</v>
      </c>
      <c r="L503" t="s">
        <v>1672</v>
      </c>
      <c r="M503" t="s">
        <v>2227</v>
      </c>
      <c r="N503" t="s">
        <v>2268</v>
      </c>
    </row>
    <row r="504" spans="1:14" x14ac:dyDescent="0.3">
      <c r="A504" t="s">
        <v>554</v>
      </c>
      <c r="B504" t="s">
        <v>1265</v>
      </c>
      <c r="C504" t="s">
        <v>975</v>
      </c>
      <c r="D504" t="s">
        <v>686</v>
      </c>
      <c r="E504" t="s">
        <v>1123</v>
      </c>
      <c r="F504" t="s">
        <v>717</v>
      </c>
      <c r="G504" t="s">
        <v>304</v>
      </c>
      <c r="H504" t="s">
        <v>561</v>
      </c>
      <c r="I504" t="s">
        <v>561</v>
      </c>
      <c r="J504" s="41">
        <v>121.87</v>
      </c>
      <c r="K504" s="41">
        <v>441.87</v>
      </c>
      <c r="L504" t="s">
        <v>1672</v>
      </c>
      <c r="M504" t="s">
        <v>2227</v>
      </c>
      <c r="N504" t="s">
        <v>2268</v>
      </c>
    </row>
    <row r="505" spans="1:14" x14ac:dyDescent="0.3">
      <c r="A505" t="s">
        <v>554</v>
      </c>
      <c r="B505" t="s">
        <v>1265</v>
      </c>
      <c r="C505" t="s">
        <v>975</v>
      </c>
      <c r="D505" t="s">
        <v>686</v>
      </c>
      <c r="E505" t="s">
        <v>1123</v>
      </c>
      <c r="F505" t="s">
        <v>717</v>
      </c>
      <c r="G505" t="s">
        <v>304</v>
      </c>
      <c r="H505" t="s">
        <v>561</v>
      </c>
      <c r="I505" t="s">
        <v>561</v>
      </c>
      <c r="J505" s="41">
        <v>4.29</v>
      </c>
      <c r="K505" s="41">
        <v>4.29</v>
      </c>
      <c r="L505" t="s">
        <v>1672</v>
      </c>
      <c r="M505" t="s">
        <v>2227</v>
      </c>
      <c r="N505" t="s">
        <v>2268</v>
      </c>
    </row>
    <row r="506" spans="1:14" x14ac:dyDescent="0.3">
      <c r="A506" t="s">
        <v>554</v>
      </c>
      <c r="B506" t="s">
        <v>1265</v>
      </c>
      <c r="C506" t="s">
        <v>975</v>
      </c>
      <c r="D506" t="s">
        <v>686</v>
      </c>
      <c r="E506" t="s">
        <v>1123</v>
      </c>
      <c r="F506" t="s">
        <v>717</v>
      </c>
      <c r="G506" t="s">
        <v>304</v>
      </c>
      <c r="H506" t="s">
        <v>561</v>
      </c>
      <c r="I506" t="s">
        <v>561</v>
      </c>
      <c r="J506" s="41">
        <v>-4.29</v>
      </c>
      <c r="K506" s="41">
        <v>-4.29</v>
      </c>
      <c r="L506" t="s">
        <v>1672</v>
      </c>
      <c r="M506" t="s">
        <v>2227</v>
      </c>
      <c r="N506" t="s">
        <v>2268</v>
      </c>
    </row>
    <row r="507" spans="1:14" x14ac:dyDescent="0.3">
      <c r="A507" t="s">
        <v>554</v>
      </c>
      <c r="B507" t="s">
        <v>1373</v>
      </c>
      <c r="C507" t="s">
        <v>974</v>
      </c>
      <c r="D507" t="s">
        <v>496</v>
      </c>
      <c r="E507" t="s">
        <v>1060</v>
      </c>
      <c r="F507" t="s">
        <v>1061</v>
      </c>
      <c r="G507" t="s">
        <v>309</v>
      </c>
      <c r="H507" t="s">
        <v>565</v>
      </c>
      <c r="I507" t="s">
        <v>2225</v>
      </c>
      <c r="J507" s="41">
        <v>2592.17</v>
      </c>
      <c r="K507" s="41">
        <v>12960.85</v>
      </c>
      <c r="L507" t="s">
        <v>1673</v>
      </c>
      <c r="M507" t="s">
        <v>2227</v>
      </c>
      <c r="N507" t="s">
        <v>2268</v>
      </c>
    </row>
    <row r="508" spans="1:14" x14ac:dyDescent="0.3">
      <c r="A508" t="s">
        <v>554</v>
      </c>
      <c r="B508" t="s">
        <v>1373</v>
      </c>
      <c r="C508" t="s">
        <v>974</v>
      </c>
      <c r="D508" t="s">
        <v>496</v>
      </c>
      <c r="E508" t="s">
        <v>1075</v>
      </c>
      <c r="F508" t="s">
        <v>1076</v>
      </c>
      <c r="G508" t="s">
        <v>309</v>
      </c>
      <c r="H508" t="s">
        <v>570</v>
      </c>
      <c r="I508" t="s">
        <v>2225</v>
      </c>
      <c r="J508" s="41">
        <v>78.430000000000007</v>
      </c>
      <c r="K508" s="41">
        <v>78.430000000000007</v>
      </c>
      <c r="L508" t="s">
        <v>1673</v>
      </c>
      <c r="M508" t="s">
        <v>2227</v>
      </c>
      <c r="N508" t="s">
        <v>2268</v>
      </c>
    </row>
    <row r="509" spans="1:14" x14ac:dyDescent="0.3">
      <c r="A509" t="s">
        <v>554</v>
      </c>
      <c r="B509" t="s">
        <v>1373</v>
      </c>
      <c r="C509" t="s">
        <v>974</v>
      </c>
      <c r="D509" t="s">
        <v>496</v>
      </c>
      <c r="E509" t="s">
        <v>1075</v>
      </c>
      <c r="F509" t="s">
        <v>1076</v>
      </c>
      <c r="G509" t="s">
        <v>309</v>
      </c>
      <c r="H509" t="s">
        <v>570</v>
      </c>
      <c r="I509" t="s">
        <v>2225</v>
      </c>
      <c r="J509" s="41">
        <v>0</v>
      </c>
      <c r="K509" s="41">
        <v>64.790000000000006</v>
      </c>
      <c r="L509" t="s">
        <v>1673</v>
      </c>
      <c r="M509" t="s">
        <v>2227</v>
      </c>
      <c r="N509" t="s">
        <v>2268</v>
      </c>
    </row>
    <row r="510" spans="1:14" x14ac:dyDescent="0.3">
      <c r="A510" t="s">
        <v>554</v>
      </c>
      <c r="B510" t="s">
        <v>1373</v>
      </c>
      <c r="C510" t="s">
        <v>974</v>
      </c>
      <c r="D510" t="s">
        <v>496</v>
      </c>
      <c r="E510" t="s">
        <v>1075</v>
      </c>
      <c r="F510" t="s">
        <v>1076</v>
      </c>
      <c r="G510" t="s">
        <v>309</v>
      </c>
      <c r="H510" t="s">
        <v>570</v>
      </c>
      <c r="I510" t="s">
        <v>2225</v>
      </c>
      <c r="J510" s="41">
        <v>0</v>
      </c>
      <c r="K510" s="41">
        <v>35.04</v>
      </c>
      <c r="L510" t="s">
        <v>1673</v>
      </c>
      <c r="M510" t="s">
        <v>2227</v>
      </c>
      <c r="N510" t="s">
        <v>2268</v>
      </c>
    </row>
    <row r="511" spans="1:14" x14ac:dyDescent="0.3">
      <c r="A511" t="s">
        <v>554</v>
      </c>
      <c r="B511" t="s">
        <v>1373</v>
      </c>
      <c r="C511" t="s">
        <v>974</v>
      </c>
      <c r="D511" t="s">
        <v>496</v>
      </c>
      <c r="E511" t="s">
        <v>1075</v>
      </c>
      <c r="F511" t="s">
        <v>1076</v>
      </c>
      <c r="G511" t="s">
        <v>309</v>
      </c>
      <c r="H511" t="s">
        <v>570</v>
      </c>
      <c r="I511" t="s">
        <v>2225</v>
      </c>
      <c r="J511" s="41">
        <v>0</v>
      </c>
      <c r="K511" s="41">
        <v>22.14</v>
      </c>
      <c r="L511" t="s">
        <v>1673</v>
      </c>
      <c r="M511" t="s">
        <v>2227</v>
      </c>
      <c r="N511" t="s">
        <v>2268</v>
      </c>
    </row>
    <row r="512" spans="1:14" x14ac:dyDescent="0.3">
      <c r="A512" t="s">
        <v>554</v>
      </c>
      <c r="B512" t="s">
        <v>1373</v>
      </c>
      <c r="C512" t="s">
        <v>974</v>
      </c>
      <c r="D512" t="s">
        <v>496</v>
      </c>
      <c r="E512" t="s">
        <v>1075</v>
      </c>
      <c r="F512" t="s">
        <v>1076</v>
      </c>
      <c r="G512" t="s">
        <v>309</v>
      </c>
      <c r="H512" t="s">
        <v>570</v>
      </c>
      <c r="I512" t="s">
        <v>2225</v>
      </c>
      <c r="J512" s="41">
        <v>0</v>
      </c>
      <c r="K512" s="41">
        <v>13.54</v>
      </c>
      <c r="L512" t="s">
        <v>1673</v>
      </c>
      <c r="M512" t="s">
        <v>2227</v>
      </c>
      <c r="N512" t="s">
        <v>2268</v>
      </c>
    </row>
    <row r="513" spans="1:14" x14ac:dyDescent="0.3">
      <c r="A513" t="s">
        <v>554</v>
      </c>
      <c r="B513" t="s">
        <v>1373</v>
      </c>
      <c r="C513" t="s">
        <v>974</v>
      </c>
      <c r="D513" t="s">
        <v>496</v>
      </c>
      <c r="E513" t="s">
        <v>1060</v>
      </c>
      <c r="F513" t="s">
        <v>1061</v>
      </c>
      <c r="G513" t="s">
        <v>309</v>
      </c>
      <c r="H513" t="s">
        <v>565</v>
      </c>
      <c r="I513" t="s">
        <v>2225</v>
      </c>
      <c r="J513" s="41">
        <v>0</v>
      </c>
      <c r="K513" s="41">
        <v>7600</v>
      </c>
      <c r="L513" t="s">
        <v>1673</v>
      </c>
      <c r="M513" t="s">
        <v>2227</v>
      </c>
      <c r="N513" t="s">
        <v>2268</v>
      </c>
    </row>
    <row r="514" spans="1:14" x14ac:dyDescent="0.3">
      <c r="A514" t="s">
        <v>554</v>
      </c>
      <c r="B514" t="s">
        <v>1373</v>
      </c>
      <c r="C514" t="s">
        <v>974</v>
      </c>
      <c r="D514" t="s">
        <v>496</v>
      </c>
      <c r="E514" t="s">
        <v>1060</v>
      </c>
      <c r="F514" t="s">
        <v>1061</v>
      </c>
      <c r="G514" t="s">
        <v>309</v>
      </c>
      <c r="H514" t="s">
        <v>565</v>
      </c>
      <c r="I514" t="s">
        <v>2225</v>
      </c>
      <c r="J514" s="41">
        <v>0</v>
      </c>
      <c r="K514" s="41">
        <v>276.06</v>
      </c>
      <c r="L514" t="s">
        <v>1673</v>
      </c>
      <c r="M514" t="s">
        <v>2227</v>
      </c>
      <c r="N514" t="s">
        <v>2268</v>
      </c>
    </row>
    <row r="515" spans="1:14" x14ac:dyDescent="0.3">
      <c r="A515" t="s">
        <v>554</v>
      </c>
      <c r="B515" t="s">
        <v>1373</v>
      </c>
      <c r="C515" t="s">
        <v>974</v>
      </c>
      <c r="D515" t="s">
        <v>496</v>
      </c>
      <c r="E515" t="s">
        <v>1060</v>
      </c>
      <c r="F515" t="s">
        <v>1061</v>
      </c>
      <c r="G515" t="s">
        <v>309</v>
      </c>
      <c r="H515" t="s">
        <v>565</v>
      </c>
      <c r="I515" t="s">
        <v>2225</v>
      </c>
      <c r="J515" s="41">
        <v>0</v>
      </c>
      <c r="K515" s="41">
        <v>13.9</v>
      </c>
      <c r="L515" t="s">
        <v>1673</v>
      </c>
      <c r="M515" t="s">
        <v>2227</v>
      </c>
      <c r="N515" t="s">
        <v>2268</v>
      </c>
    </row>
    <row r="516" spans="1:14" x14ac:dyDescent="0.3">
      <c r="A516" t="s">
        <v>554</v>
      </c>
      <c r="B516" t="s">
        <v>1373</v>
      </c>
      <c r="C516" t="s">
        <v>974</v>
      </c>
      <c r="D516" t="s">
        <v>496</v>
      </c>
      <c r="E516" t="s">
        <v>1060</v>
      </c>
      <c r="F516" t="s">
        <v>1061</v>
      </c>
      <c r="G516" t="s">
        <v>309</v>
      </c>
      <c r="H516" t="s">
        <v>565</v>
      </c>
      <c r="I516" t="s">
        <v>2225</v>
      </c>
      <c r="J516" s="41">
        <v>0</v>
      </c>
      <c r="K516" s="41">
        <v>15.3</v>
      </c>
      <c r="L516" t="s">
        <v>1673</v>
      </c>
      <c r="M516" t="s">
        <v>2227</v>
      </c>
      <c r="N516" t="s">
        <v>2268</v>
      </c>
    </row>
    <row r="517" spans="1:14" x14ac:dyDescent="0.3">
      <c r="A517" t="s">
        <v>554</v>
      </c>
      <c r="B517" t="s">
        <v>1373</v>
      </c>
      <c r="C517" t="s">
        <v>974</v>
      </c>
      <c r="D517" t="s">
        <v>496</v>
      </c>
      <c r="E517" t="s">
        <v>1060</v>
      </c>
      <c r="F517" t="s">
        <v>1061</v>
      </c>
      <c r="G517" t="s">
        <v>309</v>
      </c>
      <c r="H517" t="s">
        <v>565</v>
      </c>
      <c r="I517" t="s">
        <v>2225</v>
      </c>
      <c r="J517" s="41">
        <v>305.73</v>
      </c>
      <c r="K517" s="41">
        <v>1813.01</v>
      </c>
      <c r="L517" t="s">
        <v>1673</v>
      </c>
      <c r="M517" t="s">
        <v>2227</v>
      </c>
      <c r="N517" t="s">
        <v>2268</v>
      </c>
    </row>
    <row r="518" spans="1:14" x14ac:dyDescent="0.3">
      <c r="A518" t="s">
        <v>554</v>
      </c>
      <c r="B518" t="s">
        <v>1373</v>
      </c>
      <c r="C518" t="s">
        <v>974</v>
      </c>
      <c r="D518" t="s">
        <v>496</v>
      </c>
      <c r="E518" t="s">
        <v>1060</v>
      </c>
      <c r="F518" t="s">
        <v>1061</v>
      </c>
      <c r="G518" t="s">
        <v>309</v>
      </c>
      <c r="H518" t="s">
        <v>565</v>
      </c>
      <c r="I518" t="s">
        <v>2225</v>
      </c>
      <c r="J518" s="41">
        <v>139.1</v>
      </c>
      <c r="K518" s="41">
        <v>139.1</v>
      </c>
      <c r="L518" t="s">
        <v>1673</v>
      </c>
      <c r="M518" t="s">
        <v>2227</v>
      </c>
      <c r="N518" t="s">
        <v>2268</v>
      </c>
    </row>
    <row r="519" spans="1:14" x14ac:dyDescent="0.3">
      <c r="A519" t="s">
        <v>554</v>
      </c>
      <c r="B519" t="s">
        <v>1373</v>
      </c>
      <c r="C519" t="s">
        <v>974</v>
      </c>
      <c r="D519" t="s">
        <v>496</v>
      </c>
      <c r="E519" t="s">
        <v>1060</v>
      </c>
      <c r="F519" t="s">
        <v>1061</v>
      </c>
      <c r="G519" t="s">
        <v>309</v>
      </c>
      <c r="H519" t="s">
        <v>565</v>
      </c>
      <c r="I519" t="s">
        <v>2225</v>
      </c>
      <c r="J519" s="41">
        <v>-540.91999999999996</v>
      </c>
      <c r="K519" s="41">
        <v>-540.91999999999996</v>
      </c>
      <c r="L519" t="s">
        <v>1673</v>
      </c>
      <c r="M519" t="s">
        <v>2227</v>
      </c>
      <c r="N519" t="s">
        <v>2268</v>
      </c>
    </row>
    <row r="520" spans="1:14" x14ac:dyDescent="0.3">
      <c r="A520" t="s">
        <v>554</v>
      </c>
      <c r="B520" t="s">
        <v>1373</v>
      </c>
      <c r="C520" t="s">
        <v>974</v>
      </c>
      <c r="D520" t="s">
        <v>496</v>
      </c>
      <c r="E520" t="s">
        <v>1060</v>
      </c>
      <c r="F520" t="s">
        <v>1061</v>
      </c>
      <c r="G520" t="s">
        <v>309</v>
      </c>
      <c r="H520" t="s">
        <v>565</v>
      </c>
      <c r="I520" t="s">
        <v>2225</v>
      </c>
      <c r="J520" s="41">
        <v>0</v>
      </c>
      <c r="K520" s="41">
        <v>122.93</v>
      </c>
      <c r="L520" t="s">
        <v>1673</v>
      </c>
      <c r="M520" t="s">
        <v>2227</v>
      </c>
      <c r="N520" t="s">
        <v>2268</v>
      </c>
    </row>
    <row r="521" spans="1:14" x14ac:dyDescent="0.3">
      <c r="A521" t="s">
        <v>554</v>
      </c>
      <c r="B521" t="s">
        <v>1373</v>
      </c>
      <c r="C521" t="s">
        <v>974</v>
      </c>
      <c r="D521" t="s">
        <v>496</v>
      </c>
      <c r="E521" t="s">
        <v>1060</v>
      </c>
      <c r="F521" t="s">
        <v>1061</v>
      </c>
      <c r="G521" t="s">
        <v>309</v>
      </c>
      <c r="H521" t="s">
        <v>565</v>
      </c>
      <c r="I521" t="s">
        <v>2225</v>
      </c>
      <c r="J521" s="41">
        <v>56.7</v>
      </c>
      <c r="K521" s="41">
        <v>56.7</v>
      </c>
      <c r="L521" t="s">
        <v>1673</v>
      </c>
      <c r="M521" t="s">
        <v>2227</v>
      </c>
      <c r="N521" t="s">
        <v>2268</v>
      </c>
    </row>
    <row r="522" spans="1:14" x14ac:dyDescent="0.3">
      <c r="A522" t="s">
        <v>554</v>
      </c>
      <c r="B522" t="s">
        <v>1373</v>
      </c>
      <c r="C522" t="s">
        <v>974</v>
      </c>
      <c r="D522" t="s">
        <v>496</v>
      </c>
      <c r="E522" t="s">
        <v>1060</v>
      </c>
      <c r="F522" t="s">
        <v>1061</v>
      </c>
      <c r="G522" t="s">
        <v>309</v>
      </c>
      <c r="H522" t="s">
        <v>565</v>
      </c>
      <c r="I522" t="s">
        <v>2225</v>
      </c>
      <c r="J522" s="41">
        <v>637.33000000000004</v>
      </c>
      <c r="K522" s="41">
        <v>3516.65</v>
      </c>
      <c r="L522" t="s">
        <v>1673</v>
      </c>
      <c r="M522" t="s">
        <v>2227</v>
      </c>
      <c r="N522" t="s">
        <v>2268</v>
      </c>
    </row>
    <row r="523" spans="1:14" x14ac:dyDescent="0.3">
      <c r="A523" t="s">
        <v>554</v>
      </c>
      <c r="B523" t="s">
        <v>1373</v>
      </c>
      <c r="C523" t="s">
        <v>974</v>
      </c>
      <c r="D523" t="s">
        <v>496</v>
      </c>
      <c r="E523" t="s">
        <v>1062</v>
      </c>
      <c r="F523" t="s">
        <v>1063</v>
      </c>
      <c r="G523" t="s">
        <v>309</v>
      </c>
      <c r="H523" t="s">
        <v>566</v>
      </c>
      <c r="I523" t="s">
        <v>2225</v>
      </c>
      <c r="J523" s="41">
        <v>0</v>
      </c>
      <c r="K523" s="41">
        <v>445</v>
      </c>
      <c r="L523" t="s">
        <v>1673</v>
      </c>
      <c r="M523" t="s">
        <v>2227</v>
      </c>
      <c r="N523" t="s">
        <v>2268</v>
      </c>
    </row>
    <row r="524" spans="1:14" x14ac:dyDescent="0.3">
      <c r="A524" t="s">
        <v>554</v>
      </c>
      <c r="B524" t="s">
        <v>1373</v>
      </c>
      <c r="C524" t="s">
        <v>974</v>
      </c>
      <c r="D524" t="s">
        <v>496</v>
      </c>
      <c r="E524" t="s">
        <v>1064</v>
      </c>
      <c r="F524" t="s">
        <v>1065</v>
      </c>
      <c r="G524" t="s">
        <v>309</v>
      </c>
      <c r="H524" t="s">
        <v>571</v>
      </c>
      <c r="I524" t="s">
        <v>2225</v>
      </c>
      <c r="J524" s="41">
        <v>0</v>
      </c>
      <c r="K524" s="41">
        <v>4024.05</v>
      </c>
      <c r="L524" t="s">
        <v>1673</v>
      </c>
      <c r="M524" t="s">
        <v>2227</v>
      </c>
      <c r="N524" t="s">
        <v>2268</v>
      </c>
    </row>
    <row r="525" spans="1:14" x14ac:dyDescent="0.3">
      <c r="A525" t="s">
        <v>554</v>
      </c>
      <c r="B525" t="s">
        <v>1373</v>
      </c>
      <c r="C525" t="s">
        <v>974</v>
      </c>
      <c r="D525" t="s">
        <v>496</v>
      </c>
      <c r="E525" t="s">
        <v>1069</v>
      </c>
      <c r="F525" t="s">
        <v>1070</v>
      </c>
      <c r="G525" t="s">
        <v>309</v>
      </c>
      <c r="H525" t="s">
        <v>569</v>
      </c>
      <c r="I525" t="s">
        <v>2225</v>
      </c>
      <c r="J525" s="41">
        <v>0</v>
      </c>
      <c r="K525" s="41">
        <v>225.35</v>
      </c>
      <c r="L525" t="s">
        <v>1673</v>
      </c>
      <c r="M525" t="s">
        <v>2227</v>
      </c>
      <c r="N525" t="s">
        <v>2268</v>
      </c>
    </row>
    <row r="526" spans="1:14" x14ac:dyDescent="0.3">
      <c r="A526" t="s">
        <v>554</v>
      </c>
      <c r="B526" t="s">
        <v>1373</v>
      </c>
      <c r="C526" t="s">
        <v>974</v>
      </c>
      <c r="D526" t="s">
        <v>496</v>
      </c>
      <c r="E526" t="s">
        <v>1069</v>
      </c>
      <c r="F526" t="s">
        <v>1070</v>
      </c>
      <c r="G526" t="s">
        <v>309</v>
      </c>
      <c r="H526" t="s">
        <v>569</v>
      </c>
      <c r="I526" t="s">
        <v>2225</v>
      </c>
      <c r="J526" s="41">
        <v>0</v>
      </c>
      <c r="K526" s="41">
        <v>191.4</v>
      </c>
      <c r="L526" t="s">
        <v>1673</v>
      </c>
      <c r="M526" t="s">
        <v>2227</v>
      </c>
      <c r="N526" t="s">
        <v>2268</v>
      </c>
    </row>
    <row r="527" spans="1:14" x14ac:dyDescent="0.3">
      <c r="A527" t="s">
        <v>554</v>
      </c>
      <c r="B527" t="s">
        <v>1373</v>
      </c>
      <c r="C527" t="s">
        <v>974</v>
      </c>
      <c r="D527" t="s">
        <v>496</v>
      </c>
      <c r="E527" t="s">
        <v>1069</v>
      </c>
      <c r="F527" t="s">
        <v>1070</v>
      </c>
      <c r="G527" t="s">
        <v>309</v>
      </c>
      <c r="H527" t="s">
        <v>569</v>
      </c>
      <c r="I527" t="s">
        <v>2225</v>
      </c>
      <c r="J527" s="41">
        <v>0</v>
      </c>
      <c r="K527" s="41">
        <v>32.1</v>
      </c>
      <c r="L527" t="s">
        <v>1673</v>
      </c>
      <c r="M527" t="s">
        <v>2227</v>
      </c>
      <c r="N527" t="s">
        <v>2268</v>
      </c>
    </row>
    <row r="528" spans="1:14" x14ac:dyDescent="0.3">
      <c r="A528" t="s">
        <v>554</v>
      </c>
      <c r="B528" t="s">
        <v>1373</v>
      </c>
      <c r="C528" t="s">
        <v>974</v>
      </c>
      <c r="D528" t="s">
        <v>496</v>
      </c>
      <c r="E528" t="s">
        <v>1069</v>
      </c>
      <c r="F528" t="s">
        <v>1070</v>
      </c>
      <c r="G528" t="s">
        <v>309</v>
      </c>
      <c r="H528" t="s">
        <v>569</v>
      </c>
      <c r="I528" t="s">
        <v>2225</v>
      </c>
      <c r="J528" s="41">
        <v>0</v>
      </c>
      <c r="K528" s="41">
        <v>80</v>
      </c>
      <c r="L528" t="s">
        <v>1673</v>
      </c>
      <c r="M528" t="s">
        <v>2227</v>
      </c>
      <c r="N528" t="s">
        <v>2268</v>
      </c>
    </row>
    <row r="529" spans="1:14" x14ac:dyDescent="0.3">
      <c r="A529" t="s">
        <v>554</v>
      </c>
      <c r="B529" t="s">
        <v>1373</v>
      </c>
      <c r="C529" t="s">
        <v>974</v>
      </c>
      <c r="D529" t="s">
        <v>496</v>
      </c>
      <c r="E529" t="s">
        <v>1069</v>
      </c>
      <c r="F529" t="s">
        <v>1070</v>
      </c>
      <c r="G529" t="s">
        <v>309</v>
      </c>
      <c r="H529" t="s">
        <v>569</v>
      </c>
      <c r="I529" t="s">
        <v>2225</v>
      </c>
      <c r="J529" s="41">
        <v>7500</v>
      </c>
      <c r="K529" s="41">
        <v>7500</v>
      </c>
      <c r="L529" t="s">
        <v>1673</v>
      </c>
      <c r="M529" t="s">
        <v>2227</v>
      </c>
      <c r="N529" t="s">
        <v>2268</v>
      </c>
    </row>
    <row r="530" spans="1:14" x14ac:dyDescent="0.3">
      <c r="A530" t="s">
        <v>554</v>
      </c>
      <c r="B530" t="s">
        <v>1373</v>
      </c>
      <c r="C530" t="s">
        <v>974</v>
      </c>
      <c r="D530" t="s">
        <v>496</v>
      </c>
      <c r="E530" t="s">
        <v>1069</v>
      </c>
      <c r="F530" t="s">
        <v>1070</v>
      </c>
      <c r="G530" t="s">
        <v>309</v>
      </c>
      <c r="H530" t="s">
        <v>569</v>
      </c>
      <c r="I530" t="s">
        <v>2225</v>
      </c>
      <c r="J530" s="41">
        <v>69.55</v>
      </c>
      <c r="K530" s="41">
        <v>1027.2</v>
      </c>
      <c r="L530" t="s">
        <v>1673</v>
      </c>
      <c r="M530" t="s">
        <v>2227</v>
      </c>
      <c r="N530" t="s">
        <v>2268</v>
      </c>
    </row>
    <row r="531" spans="1:14" x14ac:dyDescent="0.3">
      <c r="A531" t="s">
        <v>554</v>
      </c>
      <c r="B531" t="s">
        <v>1373</v>
      </c>
      <c r="C531" t="s">
        <v>974</v>
      </c>
      <c r="D531" t="s">
        <v>496</v>
      </c>
      <c r="E531" t="s">
        <v>1069</v>
      </c>
      <c r="F531" t="s">
        <v>1070</v>
      </c>
      <c r="G531" t="s">
        <v>309</v>
      </c>
      <c r="H531" t="s">
        <v>569</v>
      </c>
      <c r="I531" t="s">
        <v>2225</v>
      </c>
      <c r="J531" s="41">
        <v>191.53</v>
      </c>
      <c r="K531" s="41">
        <v>191.53</v>
      </c>
      <c r="L531" t="s">
        <v>1673</v>
      </c>
      <c r="M531" t="s">
        <v>2227</v>
      </c>
      <c r="N531" t="s">
        <v>2268</v>
      </c>
    </row>
    <row r="532" spans="1:14" x14ac:dyDescent="0.3">
      <c r="A532" t="s">
        <v>554</v>
      </c>
      <c r="B532" t="s">
        <v>1373</v>
      </c>
      <c r="C532" t="s">
        <v>974</v>
      </c>
      <c r="D532" t="s">
        <v>496</v>
      </c>
      <c r="E532" t="s">
        <v>1071</v>
      </c>
      <c r="F532" t="s">
        <v>1072</v>
      </c>
      <c r="G532" t="s">
        <v>309</v>
      </c>
      <c r="H532" t="s">
        <v>569</v>
      </c>
      <c r="I532" t="s">
        <v>2225</v>
      </c>
      <c r="J532" s="41">
        <v>153.6</v>
      </c>
      <c r="K532" s="41">
        <v>153.6</v>
      </c>
      <c r="L532" t="s">
        <v>1673</v>
      </c>
      <c r="M532" t="s">
        <v>2227</v>
      </c>
      <c r="N532" t="s">
        <v>2268</v>
      </c>
    </row>
    <row r="533" spans="1:14" x14ac:dyDescent="0.3">
      <c r="A533" t="s">
        <v>554</v>
      </c>
      <c r="B533" t="s">
        <v>1373</v>
      </c>
      <c r="C533" t="s">
        <v>974</v>
      </c>
      <c r="D533" t="s">
        <v>496</v>
      </c>
      <c r="E533" t="s">
        <v>1073</v>
      </c>
      <c r="F533" t="s">
        <v>1074</v>
      </c>
      <c r="G533" t="s">
        <v>309</v>
      </c>
      <c r="H533" t="s">
        <v>569</v>
      </c>
      <c r="I533" t="s">
        <v>2225</v>
      </c>
      <c r="J533" s="41">
        <v>11.49</v>
      </c>
      <c r="K533" s="41">
        <v>57.32</v>
      </c>
      <c r="L533" t="s">
        <v>1673</v>
      </c>
      <c r="M533" t="s">
        <v>2227</v>
      </c>
      <c r="N533" t="s">
        <v>2268</v>
      </c>
    </row>
    <row r="534" spans="1:14" x14ac:dyDescent="0.3">
      <c r="A534" t="s">
        <v>554</v>
      </c>
      <c r="B534" t="s">
        <v>1373</v>
      </c>
      <c r="C534" t="s">
        <v>974</v>
      </c>
      <c r="D534" t="s">
        <v>496</v>
      </c>
      <c r="E534" t="s">
        <v>1077</v>
      </c>
      <c r="F534" t="s">
        <v>1078</v>
      </c>
      <c r="G534" t="s">
        <v>309</v>
      </c>
      <c r="H534" t="s">
        <v>569</v>
      </c>
      <c r="I534" t="s">
        <v>2225</v>
      </c>
      <c r="J534" s="41">
        <v>14.05</v>
      </c>
      <c r="K534" s="41">
        <v>773.99</v>
      </c>
      <c r="L534" t="s">
        <v>1673</v>
      </c>
      <c r="M534" t="s">
        <v>1155</v>
      </c>
      <c r="N534" t="s">
        <v>2268</v>
      </c>
    </row>
    <row r="535" spans="1:14" x14ac:dyDescent="0.3">
      <c r="A535" t="s">
        <v>554</v>
      </c>
      <c r="B535" t="s">
        <v>1373</v>
      </c>
      <c r="C535" t="s">
        <v>974</v>
      </c>
      <c r="D535" t="s">
        <v>496</v>
      </c>
      <c r="E535" t="s">
        <v>1079</v>
      </c>
      <c r="F535" t="s">
        <v>1080</v>
      </c>
      <c r="G535" t="s">
        <v>309</v>
      </c>
      <c r="H535" t="s">
        <v>571</v>
      </c>
      <c r="I535" t="s">
        <v>2225</v>
      </c>
      <c r="J535" s="41">
        <v>0</v>
      </c>
      <c r="K535" s="41">
        <v>35.1</v>
      </c>
      <c r="L535" t="s">
        <v>1673</v>
      </c>
      <c r="M535" t="s">
        <v>2227</v>
      </c>
      <c r="N535" t="s">
        <v>2268</v>
      </c>
    </row>
    <row r="536" spans="1:14" x14ac:dyDescent="0.3">
      <c r="A536" t="s">
        <v>554</v>
      </c>
      <c r="B536" t="s">
        <v>1373</v>
      </c>
      <c r="C536" t="s">
        <v>974</v>
      </c>
      <c r="D536" t="s">
        <v>496</v>
      </c>
      <c r="E536" t="s">
        <v>1079</v>
      </c>
      <c r="F536" t="s">
        <v>1080</v>
      </c>
      <c r="G536" t="s">
        <v>309</v>
      </c>
      <c r="H536" t="s">
        <v>571</v>
      </c>
      <c r="I536" t="s">
        <v>2225</v>
      </c>
      <c r="J536" s="41">
        <v>0</v>
      </c>
      <c r="K536" s="41">
        <v>82.58</v>
      </c>
      <c r="L536" t="s">
        <v>1673</v>
      </c>
      <c r="M536" t="s">
        <v>2227</v>
      </c>
      <c r="N536" t="s">
        <v>2268</v>
      </c>
    </row>
    <row r="537" spans="1:14" x14ac:dyDescent="0.3">
      <c r="A537" t="s">
        <v>554</v>
      </c>
      <c r="B537" t="s">
        <v>1373</v>
      </c>
      <c r="C537" t="s">
        <v>974</v>
      </c>
      <c r="D537" t="s">
        <v>496</v>
      </c>
      <c r="E537" t="s">
        <v>1081</v>
      </c>
      <c r="F537" t="s">
        <v>1082</v>
      </c>
      <c r="G537" t="s">
        <v>309</v>
      </c>
      <c r="H537" t="s">
        <v>571</v>
      </c>
      <c r="I537" t="s">
        <v>2225</v>
      </c>
      <c r="J537" s="41">
        <v>0</v>
      </c>
      <c r="K537" s="41">
        <v>254.29</v>
      </c>
      <c r="L537" t="s">
        <v>1673</v>
      </c>
      <c r="M537" t="s">
        <v>1155</v>
      </c>
      <c r="N537" t="s">
        <v>2268</v>
      </c>
    </row>
    <row r="538" spans="1:14" x14ac:dyDescent="0.3">
      <c r="A538" t="s">
        <v>554</v>
      </c>
      <c r="B538" t="s">
        <v>1373</v>
      </c>
      <c r="C538" t="s">
        <v>974</v>
      </c>
      <c r="D538" t="s">
        <v>496</v>
      </c>
      <c r="E538" t="s">
        <v>1081</v>
      </c>
      <c r="F538" t="s">
        <v>1082</v>
      </c>
      <c r="G538" t="s">
        <v>309</v>
      </c>
      <c r="H538" t="s">
        <v>571</v>
      </c>
      <c r="I538" t="s">
        <v>2225</v>
      </c>
      <c r="J538" s="41">
        <v>0</v>
      </c>
      <c r="K538" s="41">
        <v>63.15</v>
      </c>
      <c r="L538" t="s">
        <v>1673</v>
      </c>
      <c r="M538" t="s">
        <v>1155</v>
      </c>
      <c r="N538" t="s">
        <v>2268</v>
      </c>
    </row>
    <row r="539" spans="1:14" x14ac:dyDescent="0.3">
      <c r="A539" t="s">
        <v>554</v>
      </c>
      <c r="B539" t="s">
        <v>1373</v>
      </c>
      <c r="C539" t="s">
        <v>974</v>
      </c>
      <c r="D539" t="s">
        <v>496</v>
      </c>
      <c r="E539" t="s">
        <v>1081</v>
      </c>
      <c r="F539" t="s">
        <v>1082</v>
      </c>
      <c r="G539" t="s">
        <v>309</v>
      </c>
      <c r="H539" t="s">
        <v>571</v>
      </c>
      <c r="I539" t="s">
        <v>2225</v>
      </c>
      <c r="J539" s="41">
        <v>0</v>
      </c>
      <c r="K539" s="41">
        <v>55.93</v>
      </c>
      <c r="L539" t="s">
        <v>1673</v>
      </c>
      <c r="M539" t="s">
        <v>1155</v>
      </c>
      <c r="N539" t="s">
        <v>2268</v>
      </c>
    </row>
    <row r="540" spans="1:14" x14ac:dyDescent="0.3">
      <c r="A540" t="s">
        <v>554</v>
      </c>
      <c r="B540" t="s">
        <v>1373</v>
      </c>
      <c r="C540" t="s">
        <v>974</v>
      </c>
      <c r="D540" t="s">
        <v>496</v>
      </c>
      <c r="E540" t="s">
        <v>1081</v>
      </c>
      <c r="F540" t="s">
        <v>1082</v>
      </c>
      <c r="G540" t="s">
        <v>309</v>
      </c>
      <c r="H540" t="s">
        <v>571</v>
      </c>
      <c r="I540" t="s">
        <v>2225</v>
      </c>
      <c r="J540" s="41">
        <v>0</v>
      </c>
      <c r="K540" s="41">
        <v>145.96</v>
      </c>
      <c r="L540" t="s">
        <v>1673</v>
      </c>
      <c r="M540" t="s">
        <v>1155</v>
      </c>
      <c r="N540" t="s">
        <v>2268</v>
      </c>
    </row>
    <row r="541" spans="1:14" x14ac:dyDescent="0.3">
      <c r="A541" t="s">
        <v>554</v>
      </c>
      <c r="B541" t="s">
        <v>1373</v>
      </c>
      <c r="C541" t="s">
        <v>974</v>
      </c>
      <c r="D541" t="s">
        <v>496</v>
      </c>
      <c r="E541" t="s">
        <v>1081</v>
      </c>
      <c r="F541" t="s">
        <v>1082</v>
      </c>
      <c r="G541" t="s">
        <v>309</v>
      </c>
      <c r="H541" t="s">
        <v>571</v>
      </c>
      <c r="I541" t="s">
        <v>2225</v>
      </c>
      <c r="J541" s="41">
        <v>0</v>
      </c>
      <c r="K541" s="41">
        <v>92.97</v>
      </c>
      <c r="L541" t="s">
        <v>1673</v>
      </c>
      <c r="M541" t="s">
        <v>1155</v>
      </c>
      <c r="N541" t="s">
        <v>2268</v>
      </c>
    </row>
    <row r="542" spans="1:14" x14ac:dyDescent="0.3">
      <c r="A542" t="s">
        <v>554</v>
      </c>
      <c r="B542" t="s">
        <v>1373</v>
      </c>
      <c r="C542" t="s">
        <v>974</v>
      </c>
      <c r="D542" t="s">
        <v>496</v>
      </c>
      <c r="E542" t="s">
        <v>1081</v>
      </c>
      <c r="F542" t="s">
        <v>1082</v>
      </c>
      <c r="G542" t="s">
        <v>309</v>
      </c>
      <c r="H542" t="s">
        <v>571</v>
      </c>
      <c r="I542" t="s">
        <v>2225</v>
      </c>
      <c r="J542" s="41">
        <v>0</v>
      </c>
      <c r="K542" s="41">
        <v>122.49</v>
      </c>
      <c r="L542" t="s">
        <v>1673</v>
      </c>
      <c r="M542" t="s">
        <v>1155</v>
      </c>
      <c r="N542" t="s">
        <v>2268</v>
      </c>
    </row>
    <row r="543" spans="1:14" x14ac:dyDescent="0.3">
      <c r="A543" t="s">
        <v>554</v>
      </c>
      <c r="B543" t="s">
        <v>1373</v>
      </c>
      <c r="C543" t="s">
        <v>974</v>
      </c>
      <c r="D543" t="s">
        <v>496</v>
      </c>
      <c r="E543" t="s">
        <v>1081</v>
      </c>
      <c r="F543" t="s">
        <v>1082</v>
      </c>
      <c r="G543" t="s">
        <v>309</v>
      </c>
      <c r="H543" t="s">
        <v>571</v>
      </c>
      <c r="I543" t="s">
        <v>2225</v>
      </c>
      <c r="J543" s="41">
        <v>0</v>
      </c>
      <c r="K543" s="41">
        <v>184.6</v>
      </c>
      <c r="L543" t="s">
        <v>1673</v>
      </c>
      <c r="M543" t="s">
        <v>1155</v>
      </c>
      <c r="N543" t="s">
        <v>2268</v>
      </c>
    </row>
    <row r="544" spans="1:14" x14ac:dyDescent="0.3">
      <c r="A544" t="s">
        <v>554</v>
      </c>
      <c r="B544" t="s">
        <v>1373</v>
      </c>
      <c r="C544" t="s">
        <v>974</v>
      </c>
      <c r="D544" t="s">
        <v>496</v>
      </c>
      <c r="E544" t="s">
        <v>1081</v>
      </c>
      <c r="F544" t="s">
        <v>1082</v>
      </c>
      <c r="G544" t="s">
        <v>309</v>
      </c>
      <c r="H544" t="s">
        <v>571</v>
      </c>
      <c r="I544" t="s">
        <v>2225</v>
      </c>
      <c r="J544" s="41">
        <v>0</v>
      </c>
      <c r="K544" s="41">
        <v>80.39</v>
      </c>
      <c r="L544" t="s">
        <v>1673</v>
      </c>
      <c r="M544" t="s">
        <v>1155</v>
      </c>
      <c r="N544" t="s">
        <v>2268</v>
      </c>
    </row>
    <row r="545" spans="1:14" x14ac:dyDescent="0.3">
      <c r="A545" t="s">
        <v>554</v>
      </c>
      <c r="B545" t="s">
        <v>1373</v>
      </c>
      <c r="C545" t="s">
        <v>974</v>
      </c>
      <c r="D545" t="s">
        <v>496</v>
      </c>
      <c r="E545" t="s">
        <v>1081</v>
      </c>
      <c r="F545" t="s">
        <v>1082</v>
      </c>
      <c r="G545" t="s">
        <v>309</v>
      </c>
      <c r="H545" t="s">
        <v>571</v>
      </c>
      <c r="I545" t="s">
        <v>2225</v>
      </c>
      <c r="J545" s="41">
        <v>179.4</v>
      </c>
      <c r="K545" s="41">
        <v>214.32</v>
      </c>
      <c r="L545" t="s">
        <v>1673</v>
      </c>
      <c r="M545" t="s">
        <v>1155</v>
      </c>
      <c r="N545" t="s">
        <v>2268</v>
      </c>
    </row>
    <row r="546" spans="1:14" x14ac:dyDescent="0.3">
      <c r="A546" t="s">
        <v>554</v>
      </c>
      <c r="B546" t="s">
        <v>1373</v>
      </c>
      <c r="C546" t="s">
        <v>974</v>
      </c>
      <c r="D546" t="s">
        <v>496</v>
      </c>
      <c r="E546" t="s">
        <v>1081</v>
      </c>
      <c r="F546" t="s">
        <v>1082</v>
      </c>
      <c r="G546" t="s">
        <v>309</v>
      </c>
      <c r="H546" t="s">
        <v>571</v>
      </c>
      <c r="I546" t="s">
        <v>2225</v>
      </c>
      <c r="J546" s="41">
        <v>0</v>
      </c>
      <c r="K546" s="41">
        <v>177.68</v>
      </c>
      <c r="L546" t="s">
        <v>1673</v>
      </c>
      <c r="M546" t="s">
        <v>1155</v>
      </c>
      <c r="N546" t="s">
        <v>2268</v>
      </c>
    </row>
    <row r="547" spans="1:14" x14ac:dyDescent="0.3">
      <c r="A547" t="s">
        <v>554</v>
      </c>
      <c r="B547" t="s">
        <v>1373</v>
      </c>
      <c r="C547" t="s">
        <v>974</v>
      </c>
      <c r="D547" t="s">
        <v>496</v>
      </c>
      <c r="E547" t="s">
        <v>1081</v>
      </c>
      <c r="F547" t="s">
        <v>1082</v>
      </c>
      <c r="G547" t="s">
        <v>309</v>
      </c>
      <c r="H547" t="s">
        <v>571</v>
      </c>
      <c r="I547" t="s">
        <v>2225</v>
      </c>
      <c r="J547" s="41">
        <v>0</v>
      </c>
      <c r="K547" s="41">
        <v>248</v>
      </c>
      <c r="L547" t="s">
        <v>1673</v>
      </c>
      <c r="M547" t="s">
        <v>1155</v>
      </c>
      <c r="N547" t="s">
        <v>2268</v>
      </c>
    </row>
    <row r="548" spans="1:14" x14ac:dyDescent="0.3">
      <c r="A548" t="s">
        <v>554</v>
      </c>
      <c r="B548" t="s">
        <v>1373</v>
      </c>
      <c r="C548" t="s">
        <v>974</v>
      </c>
      <c r="D548" t="s">
        <v>496</v>
      </c>
      <c r="E548" t="s">
        <v>1081</v>
      </c>
      <c r="F548" t="s">
        <v>1082</v>
      </c>
      <c r="G548" t="s">
        <v>309</v>
      </c>
      <c r="H548" t="s">
        <v>571</v>
      </c>
      <c r="I548" t="s">
        <v>2225</v>
      </c>
      <c r="J548" s="41">
        <v>0</v>
      </c>
      <c r="K548" s="41">
        <v>30.09</v>
      </c>
      <c r="L548" t="s">
        <v>1673</v>
      </c>
      <c r="M548" t="s">
        <v>1155</v>
      </c>
      <c r="N548" t="s">
        <v>2268</v>
      </c>
    </row>
    <row r="549" spans="1:14" x14ac:dyDescent="0.3">
      <c r="A549" t="s">
        <v>554</v>
      </c>
      <c r="B549" t="s">
        <v>1373</v>
      </c>
      <c r="C549" t="s">
        <v>974</v>
      </c>
      <c r="D549" t="s">
        <v>496</v>
      </c>
      <c r="E549" t="s">
        <v>1081</v>
      </c>
      <c r="F549" t="s">
        <v>1082</v>
      </c>
      <c r="G549" t="s">
        <v>309</v>
      </c>
      <c r="H549" t="s">
        <v>571</v>
      </c>
      <c r="I549" t="s">
        <v>2225</v>
      </c>
      <c r="J549" s="41">
        <v>0</v>
      </c>
      <c r="K549" s="41">
        <v>182.88</v>
      </c>
      <c r="L549" t="s">
        <v>1673</v>
      </c>
      <c r="M549" t="s">
        <v>1155</v>
      </c>
      <c r="N549" t="s">
        <v>2268</v>
      </c>
    </row>
    <row r="550" spans="1:14" x14ac:dyDescent="0.3">
      <c r="A550" t="s">
        <v>554</v>
      </c>
      <c r="B550" t="s">
        <v>1373</v>
      </c>
      <c r="C550" t="s">
        <v>974</v>
      </c>
      <c r="D550" t="s">
        <v>496</v>
      </c>
      <c r="E550" t="s">
        <v>1081</v>
      </c>
      <c r="F550" t="s">
        <v>1082</v>
      </c>
      <c r="G550" t="s">
        <v>309</v>
      </c>
      <c r="H550" t="s">
        <v>571</v>
      </c>
      <c r="I550" t="s">
        <v>2225</v>
      </c>
      <c r="J550" s="41">
        <v>0</v>
      </c>
      <c r="K550" s="41">
        <v>7.03</v>
      </c>
      <c r="L550" t="s">
        <v>1673</v>
      </c>
      <c r="M550" t="s">
        <v>1155</v>
      </c>
      <c r="N550" t="s">
        <v>2268</v>
      </c>
    </row>
    <row r="551" spans="1:14" x14ac:dyDescent="0.3">
      <c r="A551" t="s">
        <v>554</v>
      </c>
      <c r="B551" t="s">
        <v>1373</v>
      </c>
      <c r="C551" t="s">
        <v>974</v>
      </c>
      <c r="D551" t="s">
        <v>496</v>
      </c>
      <c r="E551" t="s">
        <v>1081</v>
      </c>
      <c r="F551" t="s">
        <v>1082</v>
      </c>
      <c r="G551" t="s">
        <v>309</v>
      </c>
      <c r="H551" t="s">
        <v>571</v>
      </c>
      <c r="I551" t="s">
        <v>2225</v>
      </c>
      <c r="J551" s="41">
        <v>0</v>
      </c>
      <c r="K551" s="41">
        <v>127.26</v>
      </c>
      <c r="L551" t="s">
        <v>1673</v>
      </c>
      <c r="M551" t="s">
        <v>1155</v>
      </c>
      <c r="N551" t="s">
        <v>2268</v>
      </c>
    </row>
    <row r="552" spans="1:14" x14ac:dyDescent="0.3">
      <c r="A552" t="s">
        <v>554</v>
      </c>
      <c r="B552" t="s">
        <v>1373</v>
      </c>
      <c r="C552" t="s">
        <v>974</v>
      </c>
      <c r="D552" t="s">
        <v>496</v>
      </c>
      <c r="E552" t="s">
        <v>1081</v>
      </c>
      <c r="F552" t="s">
        <v>1082</v>
      </c>
      <c r="G552" t="s">
        <v>309</v>
      </c>
      <c r="H552" t="s">
        <v>571</v>
      </c>
      <c r="I552" t="s">
        <v>2225</v>
      </c>
      <c r="J552" s="41">
        <v>0</v>
      </c>
      <c r="K552" s="41">
        <v>27.93</v>
      </c>
      <c r="L552" t="s">
        <v>1673</v>
      </c>
      <c r="M552" t="s">
        <v>1155</v>
      </c>
      <c r="N552" t="s">
        <v>2268</v>
      </c>
    </row>
    <row r="553" spans="1:14" x14ac:dyDescent="0.3">
      <c r="A553" t="s">
        <v>554</v>
      </c>
      <c r="B553" t="s">
        <v>1373</v>
      </c>
      <c r="C553" t="s">
        <v>974</v>
      </c>
      <c r="D553" t="s">
        <v>496</v>
      </c>
      <c r="E553" t="s">
        <v>1081</v>
      </c>
      <c r="F553" t="s">
        <v>1082</v>
      </c>
      <c r="G553" t="s">
        <v>309</v>
      </c>
      <c r="H553" t="s">
        <v>571</v>
      </c>
      <c r="I553" t="s">
        <v>2225</v>
      </c>
      <c r="J553" s="41">
        <v>0</v>
      </c>
      <c r="K553" s="41">
        <v>72.540000000000006</v>
      </c>
      <c r="L553" t="s">
        <v>1673</v>
      </c>
      <c r="M553" t="s">
        <v>1155</v>
      </c>
      <c r="N553" t="s">
        <v>2268</v>
      </c>
    </row>
    <row r="554" spans="1:14" x14ac:dyDescent="0.3">
      <c r="A554" t="s">
        <v>554</v>
      </c>
      <c r="B554" t="s">
        <v>1373</v>
      </c>
      <c r="C554" t="s">
        <v>974</v>
      </c>
      <c r="D554" t="s">
        <v>496</v>
      </c>
      <c r="E554" t="s">
        <v>1081</v>
      </c>
      <c r="F554" t="s">
        <v>1082</v>
      </c>
      <c r="G554" t="s">
        <v>309</v>
      </c>
      <c r="H554" t="s">
        <v>571</v>
      </c>
      <c r="I554" t="s">
        <v>2225</v>
      </c>
      <c r="J554" s="41">
        <v>236.25</v>
      </c>
      <c r="K554" s="41">
        <v>236.25</v>
      </c>
      <c r="L554" t="s">
        <v>1673</v>
      </c>
      <c r="M554" t="s">
        <v>1155</v>
      </c>
      <c r="N554" t="s">
        <v>2268</v>
      </c>
    </row>
    <row r="555" spans="1:14" x14ac:dyDescent="0.3">
      <c r="A555" t="s">
        <v>554</v>
      </c>
      <c r="B555" t="s">
        <v>1373</v>
      </c>
      <c r="C555" t="s">
        <v>974</v>
      </c>
      <c r="D555" t="s">
        <v>496</v>
      </c>
      <c r="E555" t="s">
        <v>1081</v>
      </c>
      <c r="F555" t="s">
        <v>1082</v>
      </c>
      <c r="G555" t="s">
        <v>309</v>
      </c>
      <c r="H555" t="s">
        <v>571</v>
      </c>
      <c r="I555" t="s">
        <v>2225</v>
      </c>
      <c r="J555" s="41">
        <v>259.2</v>
      </c>
      <c r="K555" s="41">
        <v>259.2</v>
      </c>
      <c r="L555" t="s">
        <v>1673</v>
      </c>
      <c r="M555" t="s">
        <v>1155</v>
      </c>
      <c r="N555" t="s">
        <v>2268</v>
      </c>
    </row>
    <row r="556" spans="1:14" x14ac:dyDescent="0.3">
      <c r="A556" t="s">
        <v>554</v>
      </c>
      <c r="B556" t="s">
        <v>1373</v>
      </c>
      <c r="C556" t="s">
        <v>974</v>
      </c>
      <c r="D556" t="s">
        <v>496</v>
      </c>
      <c r="E556" t="s">
        <v>1083</v>
      </c>
      <c r="F556" t="s">
        <v>1084</v>
      </c>
      <c r="G556" t="s">
        <v>309</v>
      </c>
      <c r="H556" t="s">
        <v>570</v>
      </c>
      <c r="I556" t="s">
        <v>2225</v>
      </c>
      <c r="J556" s="41">
        <v>0</v>
      </c>
      <c r="K556" s="41">
        <v>10</v>
      </c>
      <c r="L556" t="s">
        <v>1673</v>
      </c>
      <c r="M556" t="s">
        <v>2227</v>
      </c>
      <c r="N556" t="s">
        <v>2268</v>
      </c>
    </row>
    <row r="557" spans="1:14" x14ac:dyDescent="0.3">
      <c r="A557" t="s">
        <v>554</v>
      </c>
      <c r="B557" t="s">
        <v>1373</v>
      </c>
      <c r="C557" t="s">
        <v>974</v>
      </c>
      <c r="D557" t="s">
        <v>496</v>
      </c>
      <c r="E557" t="s">
        <v>1083</v>
      </c>
      <c r="F557" t="s">
        <v>1084</v>
      </c>
      <c r="G557" t="s">
        <v>309</v>
      </c>
      <c r="H557" t="s">
        <v>570</v>
      </c>
      <c r="I557" t="s">
        <v>2225</v>
      </c>
      <c r="J557" s="41">
        <v>0</v>
      </c>
      <c r="K557" s="41">
        <v>12.75</v>
      </c>
      <c r="L557" t="s">
        <v>1673</v>
      </c>
      <c r="M557" t="s">
        <v>2227</v>
      </c>
      <c r="N557" t="s">
        <v>2268</v>
      </c>
    </row>
    <row r="558" spans="1:14" x14ac:dyDescent="0.3">
      <c r="A558" t="s">
        <v>554</v>
      </c>
      <c r="B558" t="s">
        <v>1373</v>
      </c>
      <c r="C558" t="s">
        <v>974</v>
      </c>
      <c r="D558" t="s">
        <v>496</v>
      </c>
      <c r="E558" t="s">
        <v>1062</v>
      </c>
      <c r="F558" t="s">
        <v>1063</v>
      </c>
      <c r="G558" t="s">
        <v>309</v>
      </c>
      <c r="H558" t="s">
        <v>566</v>
      </c>
      <c r="I558" t="s">
        <v>2225</v>
      </c>
      <c r="J558" s="41">
        <v>2333.33</v>
      </c>
      <c r="K558" s="41">
        <v>2333.33</v>
      </c>
      <c r="L558" t="s">
        <v>1673</v>
      </c>
      <c r="M558" t="s">
        <v>2227</v>
      </c>
      <c r="N558" t="s">
        <v>2268</v>
      </c>
    </row>
    <row r="559" spans="1:14" x14ac:dyDescent="0.3">
      <c r="A559" t="s">
        <v>554</v>
      </c>
      <c r="B559" t="s">
        <v>1373</v>
      </c>
      <c r="C559" t="s">
        <v>974</v>
      </c>
      <c r="D559" t="s">
        <v>496</v>
      </c>
      <c r="E559" t="s">
        <v>1062</v>
      </c>
      <c r="F559" t="s">
        <v>1063</v>
      </c>
      <c r="G559" t="s">
        <v>309</v>
      </c>
      <c r="H559" t="s">
        <v>566</v>
      </c>
      <c r="I559" t="s">
        <v>2225</v>
      </c>
      <c r="J559" s="41">
        <v>0</v>
      </c>
      <c r="K559" s="41">
        <v>2557.46</v>
      </c>
      <c r="L559" t="s">
        <v>1673</v>
      </c>
      <c r="M559" t="s">
        <v>2227</v>
      </c>
      <c r="N559" t="s">
        <v>2268</v>
      </c>
    </row>
    <row r="560" spans="1:14" x14ac:dyDescent="0.3">
      <c r="A560" t="s">
        <v>554</v>
      </c>
      <c r="B560" t="s">
        <v>1373</v>
      </c>
      <c r="C560" t="s">
        <v>974</v>
      </c>
      <c r="D560" t="s">
        <v>496</v>
      </c>
      <c r="E560" t="s">
        <v>1062</v>
      </c>
      <c r="F560" t="s">
        <v>1063</v>
      </c>
      <c r="G560" t="s">
        <v>309</v>
      </c>
      <c r="H560" t="s">
        <v>566</v>
      </c>
      <c r="I560" t="s">
        <v>2225</v>
      </c>
      <c r="J560" s="41">
        <v>1666.67</v>
      </c>
      <c r="K560" s="41">
        <v>3166.67</v>
      </c>
      <c r="L560" t="s">
        <v>1673</v>
      </c>
      <c r="M560" t="s">
        <v>2227</v>
      </c>
      <c r="N560" t="s">
        <v>2268</v>
      </c>
    </row>
    <row r="561" spans="1:14" x14ac:dyDescent="0.3">
      <c r="A561" t="s">
        <v>554</v>
      </c>
      <c r="B561" t="s">
        <v>1373</v>
      </c>
      <c r="C561" t="s">
        <v>974</v>
      </c>
      <c r="D561" t="s">
        <v>496</v>
      </c>
      <c r="E561" t="s">
        <v>1097</v>
      </c>
      <c r="F561" t="s">
        <v>1098</v>
      </c>
      <c r="G561" t="s">
        <v>377</v>
      </c>
      <c r="H561" t="s">
        <v>569</v>
      </c>
      <c r="I561" t="s">
        <v>190</v>
      </c>
      <c r="J561" s="41">
        <v>0</v>
      </c>
      <c r="K561" s="41">
        <v>400</v>
      </c>
      <c r="L561" t="s">
        <v>1673</v>
      </c>
      <c r="M561" t="s">
        <v>2227</v>
      </c>
      <c r="N561" t="s">
        <v>2268</v>
      </c>
    </row>
    <row r="562" spans="1:14" x14ac:dyDescent="0.3">
      <c r="A562" t="s">
        <v>554</v>
      </c>
      <c r="B562" t="s">
        <v>1373</v>
      </c>
      <c r="C562" t="s">
        <v>974</v>
      </c>
      <c r="D562" t="s">
        <v>496</v>
      </c>
      <c r="E562" t="s">
        <v>1099</v>
      </c>
      <c r="F562" t="s">
        <v>1100</v>
      </c>
      <c r="G562" t="s">
        <v>377</v>
      </c>
      <c r="H562" t="s">
        <v>569</v>
      </c>
      <c r="I562" t="s">
        <v>190</v>
      </c>
      <c r="J562" s="41">
        <v>3500</v>
      </c>
      <c r="K562" s="41">
        <v>3500</v>
      </c>
      <c r="L562" t="s">
        <v>1673</v>
      </c>
      <c r="M562" t="s">
        <v>1155</v>
      </c>
      <c r="N562" t="s">
        <v>2268</v>
      </c>
    </row>
    <row r="563" spans="1:14" x14ac:dyDescent="0.3">
      <c r="A563" t="s">
        <v>554</v>
      </c>
      <c r="B563" t="s">
        <v>1373</v>
      </c>
      <c r="C563" t="s">
        <v>974</v>
      </c>
      <c r="D563" t="s">
        <v>496</v>
      </c>
      <c r="E563" t="s">
        <v>1099</v>
      </c>
      <c r="F563" t="s">
        <v>1100</v>
      </c>
      <c r="G563" t="s">
        <v>377</v>
      </c>
      <c r="H563" t="s">
        <v>569</v>
      </c>
      <c r="I563" t="s">
        <v>190</v>
      </c>
      <c r="J563" s="41">
        <v>0</v>
      </c>
      <c r="K563" s="41">
        <v>648</v>
      </c>
      <c r="L563" t="s">
        <v>1673</v>
      </c>
      <c r="M563" t="s">
        <v>1155</v>
      </c>
      <c r="N563" t="s">
        <v>2268</v>
      </c>
    </row>
    <row r="564" spans="1:14" x14ac:dyDescent="0.3">
      <c r="A564" t="s">
        <v>554</v>
      </c>
      <c r="B564" t="s">
        <v>1373</v>
      </c>
      <c r="C564" t="s">
        <v>974</v>
      </c>
      <c r="D564" t="s">
        <v>496</v>
      </c>
      <c r="E564" t="s">
        <v>1123</v>
      </c>
      <c r="F564" t="s">
        <v>717</v>
      </c>
      <c r="G564" t="s">
        <v>304</v>
      </c>
      <c r="H564" t="s">
        <v>561</v>
      </c>
      <c r="I564" t="s">
        <v>561</v>
      </c>
      <c r="J564" s="41">
        <v>0</v>
      </c>
      <c r="K564" s="41">
        <v>0.34</v>
      </c>
      <c r="L564" t="s">
        <v>1673</v>
      </c>
      <c r="M564" t="s">
        <v>2227</v>
      </c>
      <c r="N564" t="s">
        <v>2268</v>
      </c>
    </row>
    <row r="565" spans="1:14" x14ac:dyDescent="0.3">
      <c r="A565" t="s">
        <v>554</v>
      </c>
      <c r="B565" t="s">
        <v>1373</v>
      </c>
      <c r="C565" t="s">
        <v>974</v>
      </c>
      <c r="D565" t="s">
        <v>496</v>
      </c>
      <c r="E565" t="s">
        <v>1123</v>
      </c>
      <c r="F565" t="s">
        <v>717</v>
      </c>
      <c r="G565" t="s">
        <v>304</v>
      </c>
      <c r="H565" t="s">
        <v>561</v>
      </c>
      <c r="I565" t="s">
        <v>561</v>
      </c>
      <c r="J565" s="41">
        <v>0</v>
      </c>
      <c r="K565" s="41">
        <v>15</v>
      </c>
      <c r="L565" t="s">
        <v>1673</v>
      </c>
      <c r="M565" t="s">
        <v>2227</v>
      </c>
      <c r="N565" t="s">
        <v>2268</v>
      </c>
    </row>
    <row r="566" spans="1:14" x14ac:dyDescent="0.3">
      <c r="A566" t="s">
        <v>554</v>
      </c>
      <c r="B566" t="s">
        <v>1373</v>
      </c>
      <c r="C566" t="s">
        <v>974</v>
      </c>
      <c r="D566" t="s">
        <v>496</v>
      </c>
      <c r="E566" t="s">
        <v>1123</v>
      </c>
      <c r="F566" t="s">
        <v>717</v>
      </c>
      <c r="G566" t="s">
        <v>304</v>
      </c>
      <c r="H566" t="s">
        <v>561</v>
      </c>
      <c r="I566" t="s">
        <v>561</v>
      </c>
      <c r="J566" s="41">
        <v>8.7200000000000006</v>
      </c>
      <c r="K566" s="41">
        <v>27.1</v>
      </c>
      <c r="L566" t="s">
        <v>1673</v>
      </c>
      <c r="M566" t="s">
        <v>2227</v>
      </c>
      <c r="N566" t="s">
        <v>2268</v>
      </c>
    </row>
    <row r="567" spans="1:14" x14ac:dyDescent="0.3">
      <c r="A567" t="s">
        <v>554</v>
      </c>
      <c r="B567" t="s">
        <v>1373</v>
      </c>
      <c r="C567" t="s">
        <v>974</v>
      </c>
      <c r="D567" t="s">
        <v>496</v>
      </c>
      <c r="E567" t="s">
        <v>1123</v>
      </c>
      <c r="F567" t="s">
        <v>717</v>
      </c>
      <c r="G567" t="s">
        <v>304</v>
      </c>
      <c r="H567" t="s">
        <v>561</v>
      </c>
      <c r="I567" t="s">
        <v>561</v>
      </c>
      <c r="J567" s="41">
        <v>0</v>
      </c>
      <c r="K567" s="41">
        <v>3.11</v>
      </c>
      <c r="L567" t="s">
        <v>1673</v>
      </c>
      <c r="M567" t="s">
        <v>2227</v>
      </c>
      <c r="N567" t="s">
        <v>2268</v>
      </c>
    </row>
    <row r="568" spans="1:14" x14ac:dyDescent="0.3">
      <c r="A568" t="s">
        <v>554</v>
      </c>
      <c r="B568" t="s">
        <v>1373</v>
      </c>
      <c r="C568" t="s">
        <v>974</v>
      </c>
      <c r="D568" t="s">
        <v>496</v>
      </c>
      <c r="E568" t="s">
        <v>1123</v>
      </c>
      <c r="F568" t="s">
        <v>717</v>
      </c>
      <c r="G568" t="s">
        <v>304</v>
      </c>
      <c r="H568" t="s">
        <v>561</v>
      </c>
      <c r="I568" t="s">
        <v>561</v>
      </c>
      <c r="J568" s="41">
        <v>251.9</v>
      </c>
      <c r="K568" s="41">
        <v>404.75</v>
      </c>
      <c r="L568" t="s">
        <v>1673</v>
      </c>
      <c r="M568" t="s">
        <v>2227</v>
      </c>
      <c r="N568" t="s">
        <v>2268</v>
      </c>
    </row>
    <row r="569" spans="1:14" x14ac:dyDescent="0.3">
      <c r="A569" t="s">
        <v>554</v>
      </c>
      <c r="B569" t="s">
        <v>1373</v>
      </c>
      <c r="C569" t="s">
        <v>974</v>
      </c>
      <c r="D569" t="s">
        <v>496</v>
      </c>
      <c r="E569" t="s">
        <v>1123</v>
      </c>
      <c r="F569" t="s">
        <v>717</v>
      </c>
      <c r="G569" t="s">
        <v>304</v>
      </c>
      <c r="H569" t="s">
        <v>561</v>
      </c>
      <c r="I569" t="s">
        <v>561</v>
      </c>
      <c r="J569" s="41">
        <v>0</v>
      </c>
      <c r="K569" s="41">
        <v>0.9</v>
      </c>
      <c r="L569" t="s">
        <v>1673</v>
      </c>
      <c r="M569" t="s">
        <v>2227</v>
      </c>
      <c r="N569" t="s">
        <v>2268</v>
      </c>
    </row>
    <row r="570" spans="1:14" x14ac:dyDescent="0.3">
      <c r="A570" t="s">
        <v>624</v>
      </c>
      <c r="B570" t="s">
        <v>522</v>
      </c>
      <c r="C570" t="s">
        <v>25</v>
      </c>
      <c r="D570" t="s">
        <v>451</v>
      </c>
      <c r="E570" t="s">
        <v>1123</v>
      </c>
      <c r="F570" t="s">
        <v>717</v>
      </c>
      <c r="G570" t="s">
        <v>304</v>
      </c>
      <c r="H570" t="s">
        <v>561</v>
      </c>
      <c r="I570" t="s">
        <v>561</v>
      </c>
      <c r="J570" s="41">
        <v>0</v>
      </c>
      <c r="K570" s="41">
        <v>40108353</v>
      </c>
      <c r="L570" t="s">
        <v>865</v>
      </c>
      <c r="M570" t="s">
        <v>2227</v>
      </c>
      <c r="N570" t="s">
        <v>2268</v>
      </c>
    </row>
    <row r="571" spans="1:14" x14ac:dyDescent="0.3">
      <c r="A571" t="s">
        <v>624</v>
      </c>
      <c r="B571" t="s">
        <v>658</v>
      </c>
      <c r="C571" t="s">
        <v>976</v>
      </c>
      <c r="D571" t="s">
        <v>496</v>
      </c>
      <c r="E571" t="s">
        <v>1060</v>
      </c>
      <c r="F571" t="s">
        <v>1061</v>
      </c>
      <c r="G571" t="s">
        <v>309</v>
      </c>
      <c r="H571" t="s">
        <v>565</v>
      </c>
      <c r="I571" t="s">
        <v>2225</v>
      </c>
      <c r="J571" s="41">
        <v>2230</v>
      </c>
      <c r="K571" s="41">
        <v>9480</v>
      </c>
      <c r="L571" t="s">
        <v>1836</v>
      </c>
      <c r="M571" t="s">
        <v>2227</v>
      </c>
      <c r="N571" t="s">
        <v>2268</v>
      </c>
    </row>
    <row r="572" spans="1:14" x14ac:dyDescent="0.3">
      <c r="A572" t="s">
        <v>624</v>
      </c>
      <c r="B572" t="s">
        <v>658</v>
      </c>
      <c r="C572" t="s">
        <v>976</v>
      </c>
      <c r="D572" t="s">
        <v>496</v>
      </c>
      <c r="E572" t="s">
        <v>1075</v>
      </c>
      <c r="F572" t="s">
        <v>1076</v>
      </c>
      <c r="G572" t="s">
        <v>309</v>
      </c>
      <c r="H572" t="s">
        <v>570</v>
      </c>
      <c r="I572" t="s">
        <v>2225</v>
      </c>
      <c r="J572" s="41">
        <v>300</v>
      </c>
      <c r="K572" s="41">
        <v>2100</v>
      </c>
      <c r="L572" t="s">
        <v>1836</v>
      </c>
      <c r="M572" t="s">
        <v>2227</v>
      </c>
      <c r="N572" t="s">
        <v>2268</v>
      </c>
    </row>
    <row r="573" spans="1:14" x14ac:dyDescent="0.3">
      <c r="A573" t="s">
        <v>624</v>
      </c>
      <c r="B573" t="s">
        <v>658</v>
      </c>
      <c r="C573" t="s">
        <v>976</v>
      </c>
      <c r="D573" t="s">
        <v>496</v>
      </c>
      <c r="E573" t="s">
        <v>1060</v>
      </c>
      <c r="F573" t="s">
        <v>1061</v>
      </c>
      <c r="G573" t="s">
        <v>309</v>
      </c>
      <c r="H573" t="s">
        <v>565</v>
      </c>
      <c r="I573" t="s">
        <v>2225</v>
      </c>
      <c r="J573" s="41">
        <v>400</v>
      </c>
      <c r="K573" s="41">
        <v>2812.37</v>
      </c>
      <c r="L573" t="s">
        <v>1836</v>
      </c>
      <c r="M573" t="s">
        <v>2227</v>
      </c>
      <c r="N573" t="s">
        <v>2268</v>
      </c>
    </row>
    <row r="574" spans="1:14" x14ac:dyDescent="0.3">
      <c r="A574" t="s">
        <v>624</v>
      </c>
      <c r="B574" t="s">
        <v>658</v>
      </c>
      <c r="C574" t="s">
        <v>976</v>
      </c>
      <c r="D574" t="s">
        <v>496</v>
      </c>
      <c r="E574" t="s">
        <v>1062</v>
      </c>
      <c r="F574" t="s">
        <v>1063</v>
      </c>
      <c r="G574" t="s">
        <v>309</v>
      </c>
      <c r="H574" t="s">
        <v>566</v>
      </c>
      <c r="I574" t="s">
        <v>2225</v>
      </c>
      <c r="J574" s="41">
        <v>0</v>
      </c>
      <c r="K574" s="41">
        <v>270.35000000000002</v>
      </c>
      <c r="L574" t="s">
        <v>1836</v>
      </c>
      <c r="M574" t="s">
        <v>2227</v>
      </c>
      <c r="N574" t="s">
        <v>2268</v>
      </c>
    </row>
    <row r="575" spans="1:14" x14ac:dyDescent="0.3">
      <c r="A575" t="s">
        <v>624</v>
      </c>
      <c r="B575" t="s">
        <v>658</v>
      </c>
      <c r="C575" t="s">
        <v>976</v>
      </c>
      <c r="D575" t="s">
        <v>496</v>
      </c>
      <c r="E575" t="s">
        <v>1064</v>
      </c>
      <c r="F575" t="s">
        <v>1065</v>
      </c>
      <c r="G575" t="s">
        <v>309</v>
      </c>
      <c r="H575" t="s">
        <v>571</v>
      </c>
      <c r="I575" t="s">
        <v>2225</v>
      </c>
      <c r="J575" s="41">
        <v>0</v>
      </c>
      <c r="K575" s="41">
        <v>252.73</v>
      </c>
      <c r="L575" t="s">
        <v>1836</v>
      </c>
      <c r="M575" t="s">
        <v>2227</v>
      </c>
      <c r="N575" t="s">
        <v>2268</v>
      </c>
    </row>
    <row r="576" spans="1:14" x14ac:dyDescent="0.3">
      <c r="A576" t="s">
        <v>624</v>
      </c>
      <c r="B576" t="s">
        <v>658</v>
      </c>
      <c r="C576" t="s">
        <v>976</v>
      </c>
      <c r="D576" t="s">
        <v>496</v>
      </c>
      <c r="E576" t="s">
        <v>1064</v>
      </c>
      <c r="F576" t="s">
        <v>1065</v>
      </c>
      <c r="G576" t="s">
        <v>309</v>
      </c>
      <c r="H576" t="s">
        <v>571</v>
      </c>
      <c r="I576" t="s">
        <v>2225</v>
      </c>
      <c r="J576" s="41">
        <v>116.94</v>
      </c>
      <c r="K576" s="41">
        <v>259.13</v>
      </c>
      <c r="L576" t="s">
        <v>1836</v>
      </c>
      <c r="M576" t="s">
        <v>2227</v>
      </c>
      <c r="N576" t="s">
        <v>2268</v>
      </c>
    </row>
    <row r="577" spans="1:14" x14ac:dyDescent="0.3">
      <c r="A577" t="s">
        <v>624</v>
      </c>
      <c r="B577" t="s">
        <v>658</v>
      </c>
      <c r="C577" t="s">
        <v>976</v>
      </c>
      <c r="D577" t="s">
        <v>496</v>
      </c>
      <c r="E577" t="s">
        <v>1064</v>
      </c>
      <c r="F577" t="s">
        <v>1065</v>
      </c>
      <c r="G577" t="s">
        <v>309</v>
      </c>
      <c r="H577" t="s">
        <v>571</v>
      </c>
      <c r="I577" t="s">
        <v>2225</v>
      </c>
      <c r="J577" s="41">
        <v>0</v>
      </c>
      <c r="K577" s="41">
        <v>64.790000000000006</v>
      </c>
      <c r="L577" t="s">
        <v>1836</v>
      </c>
      <c r="M577" t="s">
        <v>2227</v>
      </c>
      <c r="N577" t="s">
        <v>2268</v>
      </c>
    </row>
    <row r="578" spans="1:14" x14ac:dyDescent="0.3">
      <c r="A578" t="s">
        <v>624</v>
      </c>
      <c r="B578" t="s">
        <v>658</v>
      </c>
      <c r="C578" t="s">
        <v>976</v>
      </c>
      <c r="D578" t="s">
        <v>496</v>
      </c>
      <c r="E578" t="s">
        <v>1068</v>
      </c>
      <c r="F578" t="s">
        <v>568</v>
      </c>
      <c r="G578" t="s">
        <v>309</v>
      </c>
      <c r="H578" t="s">
        <v>568</v>
      </c>
      <c r="I578" t="s">
        <v>2225</v>
      </c>
      <c r="J578" s="41">
        <v>0</v>
      </c>
      <c r="K578" s="41">
        <v>9205.7199999999993</v>
      </c>
      <c r="L578" t="s">
        <v>1836</v>
      </c>
      <c r="M578" t="s">
        <v>2227</v>
      </c>
      <c r="N578" t="s">
        <v>2268</v>
      </c>
    </row>
    <row r="579" spans="1:14" x14ac:dyDescent="0.3">
      <c r="A579" t="s">
        <v>624</v>
      </c>
      <c r="B579" t="s">
        <v>658</v>
      </c>
      <c r="C579" t="s">
        <v>976</v>
      </c>
      <c r="D579" t="s">
        <v>496</v>
      </c>
      <c r="E579" t="s">
        <v>1068</v>
      </c>
      <c r="F579" t="s">
        <v>568</v>
      </c>
      <c r="G579" t="s">
        <v>309</v>
      </c>
      <c r="H579" t="s">
        <v>568</v>
      </c>
      <c r="I579" t="s">
        <v>2225</v>
      </c>
      <c r="J579" s="41">
        <v>0</v>
      </c>
      <c r="K579" s="41">
        <v>70.81</v>
      </c>
      <c r="L579" t="s">
        <v>1836</v>
      </c>
      <c r="M579" t="s">
        <v>2227</v>
      </c>
      <c r="N579" t="s">
        <v>2268</v>
      </c>
    </row>
    <row r="580" spans="1:14" x14ac:dyDescent="0.3">
      <c r="A580" t="s">
        <v>624</v>
      </c>
      <c r="B580" t="s">
        <v>658</v>
      </c>
      <c r="C580" t="s">
        <v>976</v>
      </c>
      <c r="D580" t="s">
        <v>496</v>
      </c>
      <c r="E580" t="s">
        <v>1069</v>
      </c>
      <c r="F580" t="s">
        <v>1070</v>
      </c>
      <c r="G580" t="s">
        <v>309</v>
      </c>
      <c r="H580" t="s">
        <v>569</v>
      </c>
      <c r="I580" t="s">
        <v>2225</v>
      </c>
      <c r="J580" s="41">
        <v>0</v>
      </c>
      <c r="K580" s="41">
        <v>115.51</v>
      </c>
      <c r="L580" t="s">
        <v>1836</v>
      </c>
      <c r="M580" t="s">
        <v>2227</v>
      </c>
      <c r="N580" t="s">
        <v>2268</v>
      </c>
    </row>
    <row r="581" spans="1:14" x14ac:dyDescent="0.3">
      <c r="A581" t="s">
        <v>624</v>
      </c>
      <c r="B581" t="s">
        <v>658</v>
      </c>
      <c r="C581" t="s">
        <v>976</v>
      </c>
      <c r="D581" t="s">
        <v>496</v>
      </c>
      <c r="E581" t="s">
        <v>1069</v>
      </c>
      <c r="F581" t="s">
        <v>1070</v>
      </c>
      <c r="G581" t="s">
        <v>309</v>
      </c>
      <c r="H581" t="s">
        <v>569</v>
      </c>
      <c r="I581" t="s">
        <v>2225</v>
      </c>
      <c r="J581" s="41">
        <v>0</v>
      </c>
      <c r="K581" s="41">
        <v>34.299999999999997</v>
      </c>
      <c r="L581" t="s">
        <v>1836</v>
      </c>
      <c r="M581" t="s">
        <v>2227</v>
      </c>
      <c r="N581" t="s">
        <v>2268</v>
      </c>
    </row>
    <row r="582" spans="1:14" x14ac:dyDescent="0.3">
      <c r="A582" t="s">
        <v>624</v>
      </c>
      <c r="B582" t="s">
        <v>658</v>
      </c>
      <c r="C582" t="s">
        <v>976</v>
      </c>
      <c r="D582" t="s">
        <v>496</v>
      </c>
      <c r="E582" t="s">
        <v>1079</v>
      </c>
      <c r="F582" t="s">
        <v>1080</v>
      </c>
      <c r="G582" t="s">
        <v>309</v>
      </c>
      <c r="H582" t="s">
        <v>571</v>
      </c>
      <c r="I582" t="s">
        <v>2225</v>
      </c>
      <c r="J582" s="41">
        <v>0</v>
      </c>
      <c r="K582" s="41">
        <v>37.69</v>
      </c>
      <c r="L582" t="s">
        <v>1836</v>
      </c>
      <c r="M582" t="s">
        <v>2227</v>
      </c>
      <c r="N582" t="s">
        <v>2268</v>
      </c>
    </row>
    <row r="583" spans="1:14" x14ac:dyDescent="0.3">
      <c r="A583" t="s">
        <v>624</v>
      </c>
      <c r="B583" t="s">
        <v>658</v>
      </c>
      <c r="C583" t="s">
        <v>976</v>
      </c>
      <c r="D583" t="s">
        <v>496</v>
      </c>
      <c r="E583" t="s">
        <v>1079</v>
      </c>
      <c r="F583" t="s">
        <v>1080</v>
      </c>
      <c r="G583" t="s">
        <v>309</v>
      </c>
      <c r="H583" t="s">
        <v>571</v>
      </c>
      <c r="I583" t="s">
        <v>2225</v>
      </c>
      <c r="J583" s="41">
        <v>0</v>
      </c>
      <c r="K583" s="41">
        <v>39.61</v>
      </c>
      <c r="L583" t="s">
        <v>1836</v>
      </c>
      <c r="M583" t="s">
        <v>2227</v>
      </c>
      <c r="N583" t="s">
        <v>2268</v>
      </c>
    </row>
    <row r="584" spans="1:14" x14ac:dyDescent="0.3">
      <c r="A584" t="s">
        <v>624</v>
      </c>
      <c r="B584" t="s">
        <v>658</v>
      </c>
      <c r="C584" t="s">
        <v>976</v>
      </c>
      <c r="D584" t="s">
        <v>496</v>
      </c>
      <c r="E584" t="s">
        <v>1079</v>
      </c>
      <c r="F584" t="s">
        <v>1080</v>
      </c>
      <c r="G584" t="s">
        <v>309</v>
      </c>
      <c r="H584" t="s">
        <v>571</v>
      </c>
      <c r="I584" t="s">
        <v>2225</v>
      </c>
      <c r="J584" s="41">
        <v>0</v>
      </c>
      <c r="K584" s="41">
        <v>74.31</v>
      </c>
      <c r="L584" t="s">
        <v>1836</v>
      </c>
      <c r="M584" t="s">
        <v>2227</v>
      </c>
      <c r="N584" t="s">
        <v>2268</v>
      </c>
    </row>
    <row r="585" spans="1:14" x14ac:dyDescent="0.3">
      <c r="A585" t="s">
        <v>624</v>
      </c>
      <c r="B585" t="s">
        <v>658</v>
      </c>
      <c r="C585" t="s">
        <v>976</v>
      </c>
      <c r="D585" t="s">
        <v>496</v>
      </c>
      <c r="E585" t="s">
        <v>1079</v>
      </c>
      <c r="F585" t="s">
        <v>1080</v>
      </c>
      <c r="G585" t="s">
        <v>309</v>
      </c>
      <c r="H585" t="s">
        <v>571</v>
      </c>
      <c r="I585" t="s">
        <v>2225</v>
      </c>
      <c r="J585" s="41">
        <v>0</v>
      </c>
      <c r="K585" s="41">
        <v>15</v>
      </c>
      <c r="L585" t="s">
        <v>1836</v>
      </c>
      <c r="M585" t="s">
        <v>2227</v>
      </c>
      <c r="N585" t="s">
        <v>2268</v>
      </c>
    </row>
    <row r="586" spans="1:14" x14ac:dyDescent="0.3">
      <c r="A586" t="s">
        <v>624</v>
      </c>
      <c r="B586" t="s">
        <v>658</v>
      </c>
      <c r="C586" t="s">
        <v>976</v>
      </c>
      <c r="D586" t="s">
        <v>496</v>
      </c>
      <c r="E586" t="s">
        <v>1079</v>
      </c>
      <c r="F586" t="s">
        <v>1080</v>
      </c>
      <c r="G586" t="s">
        <v>309</v>
      </c>
      <c r="H586" t="s">
        <v>571</v>
      </c>
      <c r="I586" t="s">
        <v>2225</v>
      </c>
      <c r="J586" s="41">
        <v>0</v>
      </c>
      <c r="K586" s="41">
        <v>7</v>
      </c>
      <c r="L586" t="s">
        <v>1836</v>
      </c>
      <c r="M586" t="s">
        <v>2227</v>
      </c>
      <c r="N586" t="s">
        <v>2268</v>
      </c>
    </row>
    <row r="587" spans="1:14" x14ac:dyDescent="0.3">
      <c r="A587" t="s">
        <v>624</v>
      </c>
      <c r="B587" t="s">
        <v>658</v>
      </c>
      <c r="C587" t="s">
        <v>976</v>
      </c>
      <c r="D587" t="s">
        <v>496</v>
      </c>
      <c r="E587" t="s">
        <v>1123</v>
      </c>
      <c r="F587" t="s">
        <v>717</v>
      </c>
      <c r="G587" t="s">
        <v>304</v>
      </c>
      <c r="H587" t="s">
        <v>561</v>
      </c>
      <c r="I587" t="s">
        <v>561</v>
      </c>
      <c r="J587" s="41">
        <v>30</v>
      </c>
      <c r="K587" s="41">
        <v>230</v>
      </c>
      <c r="L587" t="s">
        <v>1836</v>
      </c>
      <c r="M587" t="s">
        <v>2227</v>
      </c>
      <c r="N587" t="s">
        <v>2268</v>
      </c>
    </row>
    <row r="588" spans="1:14" x14ac:dyDescent="0.3">
      <c r="A588" t="s">
        <v>624</v>
      </c>
      <c r="B588" t="s">
        <v>658</v>
      </c>
      <c r="C588" t="s">
        <v>976</v>
      </c>
      <c r="D588" t="s">
        <v>496</v>
      </c>
      <c r="E588" t="s">
        <v>1123</v>
      </c>
      <c r="F588" t="s">
        <v>717</v>
      </c>
      <c r="G588" t="s">
        <v>304</v>
      </c>
      <c r="H588" t="s">
        <v>561</v>
      </c>
      <c r="I588" t="s">
        <v>561</v>
      </c>
      <c r="J588" s="41">
        <v>0</v>
      </c>
      <c r="K588" s="41">
        <v>6</v>
      </c>
      <c r="L588" t="s">
        <v>1836</v>
      </c>
      <c r="M588" t="s">
        <v>2227</v>
      </c>
      <c r="N588" t="s">
        <v>2268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15"/>
  <sheetViews>
    <sheetView workbookViewId="0"/>
  </sheetViews>
  <sheetFormatPr defaultRowHeight="14.4" x14ac:dyDescent="0.3"/>
  <cols>
    <col min="1" max="1" width="23" customWidth="1"/>
    <col min="2" max="3" width="28" customWidth="1"/>
    <col min="4" max="6" width="10" customWidth="1"/>
    <col min="7" max="7" width="38" customWidth="1"/>
  </cols>
  <sheetData>
    <row r="1" spans="1:7" x14ac:dyDescent="0.3">
      <c r="A1" s="50" t="s">
        <v>2269</v>
      </c>
      <c r="B1" s="50" t="s">
        <v>847</v>
      </c>
      <c r="C1" s="50" t="s">
        <v>2270</v>
      </c>
      <c r="D1" s="50" t="s">
        <v>516</v>
      </c>
      <c r="E1" s="50" t="s">
        <v>2271</v>
      </c>
      <c r="F1" s="50" t="s">
        <v>2272</v>
      </c>
      <c r="G1" s="50" t="s">
        <v>2267</v>
      </c>
    </row>
    <row r="2" spans="1:7" x14ac:dyDescent="0.3">
      <c r="A2" t="s">
        <v>2273</v>
      </c>
      <c r="B2" t="s">
        <v>2274</v>
      </c>
      <c r="C2" t="s">
        <v>522</v>
      </c>
      <c r="D2" s="41">
        <v>12</v>
      </c>
      <c r="E2" s="41">
        <v>0</v>
      </c>
      <c r="F2" t="s">
        <v>927</v>
      </c>
    </row>
    <row r="3" spans="1:7" x14ac:dyDescent="0.3">
      <c r="A3" t="s">
        <v>2275</v>
      </c>
      <c r="B3" t="s">
        <v>2274</v>
      </c>
      <c r="C3" t="s">
        <v>652</v>
      </c>
      <c r="D3" s="41">
        <v>12</v>
      </c>
      <c r="E3" s="41">
        <v>0</v>
      </c>
      <c r="F3" t="s">
        <v>927</v>
      </c>
    </row>
    <row r="4" spans="1:7" x14ac:dyDescent="0.3">
      <c r="A4" t="s">
        <v>2276</v>
      </c>
      <c r="B4" t="s">
        <v>2274</v>
      </c>
      <c r="C4" t="s">
        <v>1265</v>
      </c>
      <c r="D4" s="41">
        <v>12</v>
      </c>
      <c r="E4" s="41">
        <v>0</v>
      </c>
      <c r="F4" t="s">
        <v>927</v>
      </c>
    </row>
    <row r="5" spans="1:7" x14ac:dyDescent="0.3">
      <c r="A5" t="s">
        <v>2277</v>
      </c>
      <c r="B5" t="s">
        <v>2274</v>
      </c>
      <c r="C5" t="s">
        <v>658</v>
      </c>
      <c r="D5" s="41">
        <v>12</v>
      </c>
      <c r="E5" s="41">
        <v>0</v>
      </c>
      <c r="F5" t="s">
        <v>927</v>
      </c>
    </row>
    <row r="6" spans="1:7" x14ac:dyDescent="0.3">
      <c r="A6" t="s">
        <v>2278</v>
      </c>
      <c r="B6" t="s">
        <v>2274</v>
      </c>
      <c r="C6" t="s">
        <v>660</v>
      </c>
      <c r="D6" s="41">
        <v>12</v>
      </c>
      <c r="E6" s="41">
        <v>0</v>
      </c>
      <c r="F6" t="s">
        <v>927</v>
      </c>
    </row>
    <row r="7" spans="1:7" x14ac:dyDescent="0.3">
      <c r="A7" t="s">
        <v>2279</v>
      </c>
      <c r="B7" t="s">
        <v>2280</v>
      </c>
      <c r="C7" t="s">
        <v>304</v>
      </c>
      <c r="D7" t="s">
        <v>603</v>
      </c>
      <c r="F7" t="s">
        <v>2281</v>
      </c>
      <c r="G7" t="s">
        <v>2282</v>
      </c>
    </row>
    <row r="8" spans="1:7" x14ac:dyDescent="0.3">
      <c r="A8" t="s">
        <v>2283</v>
      </c>
      <c r="B8" t="s">
        <v>2280</v>
      </c>
      <c r="C8" t="s">
        <v>309</v>
      </c>
      <c r="D8" t="s">
        <v>603</v>
      </c>
      <c r="F8" t="s">
        <v>2281</v>
      </c>
      <c r="G8" t="s">
        <v>2282</v>
      </c>
    </row>
    <row r="9" spans="1:7" x14ac:dyDescent="0.3">
      <c r="A9" t="s">
        <v>2284</v>
      </c>
      <c r="B9" t="s">
        <v>2280</v>
      </c>
      <c r="C9" t="s">
        <v>377</v>
      </c>
      <c r="D9" t="s">
        <v>554</v>
      </c>
      <c r="F9" t="s">
        <v>2281</v>
      </c>
      <c r="G9" t="s">
        <v>2282</v>
      </c>
    </row>
    <row r="10" spans="1:7" x14ac:dyDescent="0.3">
      <c r="A10" t="s">
        <v>2285</v>
      </c>
      <c r="B10" t="s">
        <v>2280</v>
      </c>
      <c r="C10" t="s">
        <v>371</v>
      </c>
      <c r="D10" t="s">
        <v>554</v>
      </c>
      <c r="F10" t="s">
        <v>2281</v>
      </c>
      <c r="G10" t="s">
        <v>2282</v>
      </c>
    </row>
    <row r="11" spans="1:7" x14ac:dyDescent="0.3">
      <c r="A11" t="s">
        <v>2286</v>
      </c>
      <c r="B11" t="s">
        <v>2280</v>
      </c>
      <c r="C11" t="s">
        <v>314</v>
      </c>
      <c r="D11" t="s">
        <v>554</v>
      </c>
      <c r="F11" t="s">
        <v>2281</v>
      </c>
      <c r="G11" t="s">
        <v>2282</v>
      </c>
    </row>
    <row r="12" spans="1:7" x14ac:dyDescent="0.3">
      <c r="A12" t="s">
        <v>2287</v>
      </c>
      <c r="B12" t="s">
        <v>2280</v>
      </c>
      <c r="C12" t="s">
        <v>318</v>
      </c>
      <c r="D12" t="s">
        <v>554</v>
      </c>
      <c r="F12" t="s">
        <v>2281</v>
      </c>
      <c r="G12" t="s">
        <v>2282</v>
      </c>
    </row>
    <row r="13" spans="1:7" x14ac:dyDescent="0.3">
      <c r="A13" t="s">
        <v>2288</v>
      </c>
      <c r="B13" t="s">
        <v>2289</v>
      </c>
      <c r="C13" t="s">
        <v>2290</v>
      </c>
      <c r="D13" s="41">
        <v>587</v>
      </c>
      <c r="E13" s="41">
        <v>0</v>
      </c>
      <c r="F13" t="s">
        <v>927</v>
      </c>
      <c r="G13" t="s">
        <v>2291</v>
      </c>
    </row>
    <row r="14" spans="1:7" x14ac:dyDescent="0.3">
      <c r="A14" t="s">
        <v>2292</v>
      </c>
      <c r="B14" t="s">
        <v>2293</v>
      </c>
      <c r="C14" t="s">
        <v>2294</v>
      </c>
      <c r="D14" s="41">
        <v>129</v>
      </c>
      <c r="E14" s="41">
        <v>0</v>
      </c>
      <c r="F14" t="s">
        <v>927</v>
      </c>
      <c r="G14" t="s">
        <v>2295</v>
      </c>
    </row>
    <row r="15" spans="1:7" x14ac:dyDescent="0.3">
      <c r="A15" t="s">
        <v>2296</v>
      </c>
      <c r="B15" t="s">
        <v>2297</v>
      </c>
      <c r="C15" t="s">
        <v>2298</v>
      </c>
      <c r="D15" s="41">
        <v>674</v>
      </c>
      <c r="E15" s="41">
        <v>0</v>
      </c>
      <c r="F15" t="s">
        <v>927</v>
      </c>
      <c r="G15" t="s">
        <v>2299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K130"/>
  <sheetViews>
    <sheetView tabSelected="1" workbookViewId="0">
      <selection activeCell="E20" sqref="E20"/>
    </sheetView>
  </sheetViews>
  <sheetFormatPr defaultRowHeight="14.4" x14ac:dyDescent="0.3"/>
  <cols>
    <col min="1" max="1" width="10" customWidth="1"/>
    <col min="2" max="2" width="16" customWidth="1"/>
    <col min="3" max="4" width="10" customWidth="1"/>
    <col min="5" max="5" width="21" customWidth="1"/>
    <col min="6" max="6" width="19" customWidth="1"/>
    <col min="7" max="7" width="16" customWidth="1"/>
    <col min="8" max="8" width="11" customWidth="1"/>
    <col min="9" max="9" width="12" customWidth="1"/>
    <col min="10" max="10" width="14" customWidth="1"/>
    <col min="11" max="11" width="38" customWidth="1"/>
  </cols>
  <sheetData>
    <row r="1" spans="1:11" x14ac:dyDescent="0.3">
      <c r="A1" s="50" t="s">
        <v>17</v>
      </c>
      <c r="B1" s="50" t="s">
        <v>27</v>
      </c>
      <c r="C1" s="50" t="s">
        <v>2249</v>
      </c>
      <c r="D1" s="50" t="s">
        <v>38</v>
      </c>
      <c r="E1" s="50" t="s">
        <v>2218</v>
      </c>
      <c r="F1" s="50" t="s">
        <v>2219</v>
      </c>
      <c r="G1" s="50" t="s">
        <v>2220</v>
      </c>
      <c r="H1" s="50" t="s">
        <v>2264</v>
      </c>
      <c r="I1" s="50" t="s">
        <v>2265</v>
      </c>
      <c r="J1" s="50" t="s">
        <v>2300</v>
      </c>
      <c r="K1" s="50" t="s">
        <v>2267</v>
      </c>
    </row>
    <row r="2" spans="1:11" x14ac:dyDescent="0.3">
      <c r="A2" t="s">
        <v>549</v>
      </c>
      <c r="B2" t="s">
        <v>658</v>
      </c>
      <c r="C2" t="s">
        <v>976</v>
      </c>
      <c r="D2" t="s">
        <v>496</v>
      </c>
      <c r="E2" t="s">
        <v>309</v>
      </c>
      <c r="F2" t="s">
        <v>571</v>
      </c>
      <c r="G2" t="s">
        <v>2225</v>
      </c>
      <c r="H2" s="41">
        <v>262.73</v>
      </c>
      <c r="I2" s="41">
        <v>262.73</v>
      </c>
      <c r="J2" s="41">
        <v>3</v>
      </c>
      <c r="K2" t="s">
        <v>2301</v>
      </c>
    </row>
    <row r="3" spans="1:11" x14ac:dyDescent="0.3">
      <c r="A3" t="s">
        <v>549</v>
      </c>
      <c r="B3" t="s">
        <v>658</v>
      </c>
      <c r="C3" t="s">
        <v>976</v>
      </c>
      <c r="D3" t="s">
        <v>496</v>
      </c>
      <c r="E3" t="s">
        <v>309</v>
      </c>
      <c r="F3" t="s">
        <v>565</v>
      </c>
      <c r="G3" t="s">
        <v>2225</v>
      </c>
      <c r="H3" s="41">
        <v>1600</v>
      </c>
      <c r="I3" s="41">
        <v>1600</v>
      </c>
      <c r="J3" s="41">
        <v>2</v>
      </c>
      <c r="K3" t="s">
        <v>2301</v>
      </c>
    </row>
    <row r="4" spans="1:11" x14ac:dyDescent="0.3">
      <c r="A4" t="s">
        <v>549</v>
      </c>
      <c r="B4" t="s">
        <v>658</v>
      </c>
      <c r="C4" t="s">
        <v>976</v>
      </c>
      <c r="D4" t="s">
        <v>496</v>
      </c>
      <c r="E4" t="s">
        <v>309</v>
      </c>
      <c r="F4" t="s">
        <v>570</v>
      </c>
      <c r="G4" t="s">
        <v>2225</v>
      </c>
      <c r="H4" s="41">
        <v>300</v>
      </c>
      <c r="I4" s="41">
        <v>300</v>
      </c>
      <c r="J4" s="41">
        <v>1</v>
      </c>
      <c r="K4" t="s">
        <v>2301</v>
      </c>
    </row>
    <row r="5" spans="1:11" x14ac:dyDescent="0.3">
      <c r="A5" t="s">
        <v>549</v>
      </c>
      <c r="B5" t="s">
        <v>658</v>
      </c>
      <c r="C5" t="s">
        <v>976</v>
      </c>
      <c r="D5" t="s">
        <v>496</v>
      </c>
      <c r="E5" t="s">
        <v>304</v>
      </c>
      <c r="F5" t="s">
        <v>561</v>
      </c>
      <c r="G5" t="s">
        <v>561</v>
      </c>
      <c r="H5" s="41">
        <v>20</v>
      </c>
      <c r="I5" s="41">
        <v>20</v>
      </c>
      <c r="J5" s="41">
        <v>1</v>
      </c>
      <c r="K5" t="s">
        <v>2301</v>
      </c>
    </row>
    <row r="6" spans="1:11" x14ac:dyDescent="0.3">
      <c r="A6" t="s">
        <v>549</v>
      </c>
      <c r="B6" t="s">
        <v>1373</v>
      </c>
      <c r="C6" t="s">
        <v>974</v>
      </c>
      <c r="D6" t="s">
        <v>496</v>
      </c>
      <c r="E6" t="s">
        <v>309</v>
      </c>
      <c r="F6" t="s">
        <v>571</v>
      </c>
      <c r="G6" t="s">
        <v>2225</v>
      </c>
      <c r="H6" s="41">
        <v>506.5</v>
      </c>
      <c r="I6" s="41">
        <v>506.5</v>
      </c>
      <c r="J6" s="41">
        <v>4</v>
      </c>
      <c r="K6" t="s">
        <v>2301</v>
      </c>
    </row>
    <row r="7" spans="1:11" x14ac:dyDescent="0.3">
      <c r="A7" t="s">
        <v>549</v>
      </c>
      <c r="B7" t="s">
        <v>1373</v>
      </c>
      <c r="C7" t="s">
        <v>974</v>
      </c>
      <c r="D7" t="s">
        <v>496</v>
      </c>
      <c r="E7" t="s">
        <v>309</v>
      </c>
      <c r="F7" t="s">
        <v>566</v>
      </c>
      <c r="G7" t="s">
        <v>2225</v>
      </c>
      <c r="H7" s="41">
        <v>1500</v>
      </c>
      <c r="I7" s="41">
        <v>1500</v>
      </c>
      <c r="J7" s="41">
        <v>1</v>
      </c>
      <c r="K7" t="s">
        <v>2301</v>
      </c>
    </row>
    <row r="8" spans="1:11" x14ac:dyDescent="0.3">
      <c r="A8" t="s">
        <v>549</v>
      </c>
      <c r="B8" t="s">
        <v>1373</v>
      </c>
      <c r="C8" t="s">
        <v>974</v>
      </c>
      <c r="D8" t="s">
        <v>496</v>
      </c>
      <c r="E8" t="s">
        <v>309</v>
      </c>
      <c r="F8" t="s">
        <v>565</v>
      </c>
      <c r="G8" t="s">
        <v>2225</v>
      </c>
      <c r="H8" s="41">
        <v>3550.43</v>
      </c>
      <c r="I8" s="41">
        <v>3550.43</v>
      </c>
      <c r="J8" s="41">
        <v>3</v>
      </c>
      <c r="K8" t="s">
        <v>2301</v>
      </c>
    </row>
    <row r="9" spans="1:11" x14ac:dyDescent="0.3">
      <c r="A9" t="s">
        <v>549</v>
      </c>
      <c r="B9" t="s">
        <v>1373</v>
      </c>
      <c r="C9" t="s">
        <v>974</v>
      </c>
      <c r="D9" t="s">
        <v>496</v>
      </c>
      <c r="E9" t="s">
        <v>309</v>
      </c>
      <c r="F9" t="s">
        <v>569</v>
      </c>
      <c r="G9" t="s">
        <v>2225</v>
      </c>
      <c r="H9" s="41">
        <v>281.33999999999997</v>
      </c>
      <c r="I9" s="41">
        <v>281.33999999999997</v>
      </c>
      <c r="J9" s="41">
        <v>4</v>
      </c>
      <c r="K9" t="s">
        <v>2301</v>
      </c>
    </row>
    <row r="10" spans="1:11" x14ac:dyDescent="0.3">
      <c r="A10" t="s">
        <v>549</v>
      </c>
      <c r="B10" t="s">
        <v>1373</v>
      </c>
      <c r="C10" t="s">
        <v>974</v>
      </c>
      <c r="D10" t="s">
        <v>496</v>
      </c>
      <c r="E10" t="s">
        <v>304</v>
      </c>
      <c r="F10" t="s">
        <v>561</v>
      </c>
      <c r="G10" t="s">
        <v>561</v>
      </c>
      <c r="H10" s="41">
        <v>75.900000000000006</v>
      </c>
      <c r="I10" s="41">
        <v>75.900000000000006</v>
      </c>
      <c r="J10" s="41">
        <v>2</v>
      </c>
      <c r="K10" t="s">
        <v>2301</v>
      </c>
    </row>
    <row r="11" spans="1:11" x14ac:dyDescent="0.3">
      <c r="A11" t="s">
        <v>549</v>
      </c>
      <c r="B11" t="s">
        <v>1373</v>
      </c>
      <c r="C11" t="s">
        <v>974</v>
      </c>
      <c r="D11" t="s">
        <v>496</v>
      </c>
      <c r="E11" t="s">
        <v>377</v>
      </c>
      <c r="F11" t="s">
        <v>569</v>
      </c>
      <c r="G11" t="s">
        <v>190</v>
      </c>
      <c r="H11" s="41">
        <v>648</v>
      </c>
      <c r="I11" s="41">
        <v>648</v>
      </c>
      <c r="J11" s="41">
        <v>1</v>
      </c>
      <c r="K11" t="s">
        <v>2301</v>
      </c>
    </row>
    <row r="12" spans="1:11" x14ac:dyDescent="0.3">
      <c r="A12" t="s">
        <v>549</v>
      </c>
      <c r="B12" t="s">
        <v>1265</v>
      </c>
      <c r="C12" t="s">
        <v>975</v>
      </c>
      <c r="D12" t="s">
        <v>686</v>
      </c>
      <c r="E12" t="s">
        <v>304</v>
      </c>
      <c r="F12" t="s">
        <v>561</v>
      </c>
      <c r="G12" t="s">
        <v>561</v>
      </c>
      <c r="H12" s="41">
        <v>92.71</v>
      </c>
      <c r="I12" s="41">
        <v>92.71</v>
      </c>
      <c r="J12" s="41">
        <v>3</v>
      </c>
      <c r="K12" t="s">
        <v>2301</v>
      </c>
    </row>
    <row r="13" spans="1:11" x14ac:dyDescent="0.3">
      <c r="A13" t="s">
        <v>549</v>
      </c>
      <c r="B13" t="s">
        <v>1265</v>
      </c>
      <c r="C13" t="s">
        <v>975</v>
      </c>
      <c r="D13" t="s">
        <v>686</v>
      </c>
      <c r="E13" t="s">
        <v>377</v>
      </c>
      <c r="F13" t="s">
        <v>566</v>
      </c>
      <c r="G13" t="s">
        <v>190</v>
      </c>
      <c r="H13" s="41">
        <v>2127</v>
      </c>
      <c r="I13" s="41">
        <v>2127</v>
      </c>
      <c r="J13" s="41">
        <v>1</v>
      </c>
      <c r="K13" t="s">
        <v>2301</v>
      </c>
    </row>
    <row r="14" spans="1:11" x14ac:dyDescent="0.3">
      <c r="A14" t="s">
        <v>551</v>
      </c>
      <c r="B14" t="s">
        <v>658</v>
      </c>
      <c r="C14" t="s">
        <v>976</v>
      </c>
      <c r="D14" t="s">
        <v>496</v>
      </c>
      <c r="E14" t="s">
        <v>309</v>
      </c>
      <c r="F14" t="s">
        <v>571</v>
      </c>
      <c r="G14" t="s">
        <v>2225</v>
      </c>
      <c r="H14" s="41">
        <v>217.26</v>
      </c>
      <c r="I14" s="41">
        <v>479.99</v>
      </c>
      <c r="J14" s="41">
        <v>7</v>
      </c>
      <c r="K14" t="s">
        <v>2301</v>
      </c>
    </row>
    <row r="15" spans="1:11" x14ac:dyDescent="0.3">
      <c r="A15" t="s">
        <v>551</v>
      </c>
      <c r="B15" t="s">
        <v>658</v>
      </c>
      <c r="C15" t="s">
        <v>976</v>
      </c>
      <c r="D15" t="s">
        <v>496</v>
      </c>
      <c r="E15" t="s">
        <v>309</v>
      </c>
      <c r="F15" t="s">
        <v>566</v>
      </c>
      <c r="G15" t="s">
        <v>2225</v>
      </c>
      <c r="H15" s="41">
        <v>47.76</v>
      </c>
      <c r="I15" s="41">
        <v>270.35000000000002</v>
      </c>
      <c r="J15" s="41">
        <v>1</v>
      </c>
      <c r="K15" t="s">
        <v>2301</v>
      </c>
    </row>
    <row r="16" spans="1:11" x14ac:dyDescent="0.3">
      <c r="A16" t="s">
        <v>551</v>
      </c>
      <c r="B16" t="s">
        <v>658</v>
      </c>
      <c r="C16" t="s">
        <v>976</v>
      </c>
      <c r="D16" t="s">
        <v>496</v>
      </c>
      <c r="E16" t="s">
        <v>309</v>
      </c>
      <c r="F16" t="s">
        <v>565</v>
      </c>
      <c r="G16" t="s">
        <v>2225</v>
      </c>
      <c r="H16" s="41">
        <v>1600</v>
      </c>
      <c r="I16" s="41">
        <v>4812.37</v>
      </c>
      <c r="J16" s="41">
        <v>2</v>
      </c>
      <c r="K16" t="s">
        <v>2301</v>
      </c>
    </row>
    <row r="17" spans="1:11" x14ac:dyDescent="0.3">
      <c r="A17" t="s">
        <v>551</v>
      </c>
      <c r="B17" t="s">
        <v>658</v>
      </c>
      <c r="C17" t="s">
        <v>976</v>
      </c>
      <c r="D17" t="s">
        <v>496</v>
      </c>
      <c r="E17" t="s">
        <v>309</v>
      </c>
      <c r="F17" t="s">
        <v>568</v>
      </c>
      <c r="G17" t="s">
        <v>2225</v>
      </c>
      <c r="H17" s="41">
        <v>70.81</v>
      </c>
      <c r="I17" s="41">
        <v>70.81</v>
      </c>
      <c r="J17" s="41">
        <v>1</v>
      </c>
      <c r="K17" t="s">
        <v>2301</v>
      </c>
    </row>
    <row r="18" spans="1:11" x14ac:dyDescent="0.3">
      <c r="A18" t="s">
        <v>551</v>
      </c>
      <c r="B18" t="s">
        <v>658</v>
      </c>
      <c r="C18" t="s">
        <v>976</v>
      </c>
      <c r="D18" t="s">
        <v>496</v>
      </c>
      <c r="E18" t="s">
        <v>309</v>
      </c>
      <c r="F18" t="s">
        <v>570</v>
      </c>
      <c r="G18" t="s">
        <v>2225</v>
      </c>
      <c r="H18" s="41">
        <v>300</v>
      </c>
      <c r="I18" s="41">
        <v>900</v>
      </c>
      <c r="J18" s="41">
        <v>1</v>
      </c>
      <c r="K18" t="s">
        <v>2301</v>
      </c>
    </row>
    <row r="19" spans="1:11" x14ac:dyDescent="0.3">
      <c r="A19" t="s">
        <v>551</v>
      </c>
      <c r="B19" t="s">
        <v>658</v>
      </c>
      <c r="C19" t="s">
        <v>976</v>
      </c>
      <c r="D19" t="s">
        <v>496</v>
      </c>
      <c r="E19" t="s">
        <v>304</v>
      </c>
      <c r="F19" t="s">
        <v>561</v>
      </c>
      <c r="G19" t="s">
        <v>561</v>
      </c>
      <c r="H19" s="41">
        <v>30</v>
      </c>
      <c r="I19" s="41">
        <v>80</v>
      </c>
      <c r="J19" s="41">
        <v>1</v>
      </c>
      <c r="K19" t="s">
        <v>2301</v>
      </c>
    </row>
    <row r="20" spans="1:11" x14ac:dyDescent="0.3">
      <c r="A20" t="s">
        <v>551</v>
      </c>
      <c r="B20" t="s">
        <v>1373</v>
      </c>
      <c r="C20" t="s">
        <v>974</v>
      </c>
      <c r="D20" t="s">
        <v>496</v>
      </c>
      <c r="E20" t="s">
        <v>309</v>
      </c>
      <c r="F20" t="s">
        <v>571</v>
      </c>
      <c r="G20" t="s">
        <v>2225</v>
      </c>
      <c r="H20" s="41">
        <v>4021.87</v>
      </c>
      <c r="I20" s="41">
        <v>4528.37</v>
      </c>
      <c r="J20" s="41">
        <v>5</v>
      </c>
      <c r="K20" t="s">
        <v>2301</v>
      </c>
    </row>
    <row r="21" spans="1:11" x14ac:dyDescent="0.3">
      <c r="A21" t="s">
        <v>551</v>
      </c>
      <c r="B21" t="s">
        <v>1373</v>
      </c>
      <c r="C21" t="s">
        <v>974</v>
      </c>
      <c r="D21" t="s">
        <v>496</v>
      </c>
      <c r="E21" t="s">
        <v>309</v>
      </c>
      <c r="F21" t="s">
        <v>566</v>
      </c>
      <c r="G21" t="s">
        <v>2225</v>
      </c>
      <c r="H21" s="41">
        <v>445</v>
      </c>
      <c r="I21" s="41">
        <v>1945</v>
      </c>
      <c r="J21" s="41">
        <v>2</v>
      </c>
      <c r="K21" t="s">
        <v>2301</v>
      </c>
    </row>
    <row r="22" spans="1:11" x14ac:dyDescent="0.3">
      <c r="A22" t="s">
        <v>551</v>
      </c>
      <c r="B22" t="s">
        <v>1373</v>
      </c>
      <c r="C22" t="s">
        <v>974</v>
      </c>
      <c r="D22" t="s">
        <v>496</v>
      </c>
      <c r="E22" t="s">
        <v>309</v>
      </c>
      <c r="F22" t="s">
        <v>565</v>
      </c>
      <c r="G22" t="s">
        <v>2225</v>
      </c>
      <c r="H22" s="41">
        <v>10928.5</v>
      </c>
      <c r="I22" s="41">
        <v>14478.93</v>
      </c>
      <c r="J22" s="41">
        <v>4</v>
      </c>
      <c r="K22" t="s">
        <v>2301</v>
      </c>
    </row>
    <row r="23" spans="1:11" x14ac:dyDescent="0.3">
      <c r="A23" t="s">
        <v>551</v>
      </c>
      <c r="B23" t="s">
        <v>1373</v>
      </c>
      <c r="C23" t="s">
        <v>974</v>
      </c>
      <c r="D23" t="s">
        <v>496</v>
      </c>
      <c r="E23" t="s">
        <v>309</v>
      </c>
      <c r="F23" t="s">
        <v>569</v>
      </c>
      <c r="G23" t="s">
        <v>2225</v>
      </c>
      <c r="H23" s="41">
        <v>604.17999999999995</v>
      </c>
      <c r="I23" s="41">
        <v>885.52</v>
      </c>
      <c r="J23" s="41">
        <v>5</v>
      </c>
      <c r="K23" t="s">
        <v>2301</v>
      </c>
    </row>
    <row r="24" spans="1:11" x14ac:dyDescent="0.3">
      <c r="A24" t="s">
        <v>551</v>
      </c>
      <c r="B24" t="s">
        <v>1373</v>
      </c>
      <c r="C24" t="s">
        <v>974</v>
      </c>
      <c r="D24" t="s">
        <v>496</v>
      </c>
      <c r="E24" t="s">
        <v>309</v>
      </c>
      <c r="F24" t="s">
        <v>570</v>
      </c>
      <c r="G24" t="s">
        <v>2225</v>
      </c>
      <c r="H24" s="41">
        <v>9.91</v>
      </c>
      <c r="I24" s="41">
        <v>9.91</v>
      </c>
      <c r="J24" s="41">
        <v>1</v>
      </c>
      <c r="K24" t="s">
        <v>2301</v>
      </c>
    </row>
    <row r="25" spans="1:11" x14ac:dyDescent="0.3">
      <c r="A25" t="s">
        <v>551</v>
      </c>
      <c r="B25" t="s">
        <v>1373</v>
      </c>
      <c r="C25" t="s">
        <v>974</v>
      </c>
      <c r="D25" t="s">
        <v>496</v>
      </c>
      <c r="E25" t="s">
        <v>304</v>
      </c>
      <c r="F25" t="s">
        <v>561</v>
      </c>
      <c r="G25" t="s">
        <v>561</v>
      </c>
      <c r="H25" s="41">
        <v>83.07</v>
      </c>
      <c r="I25" s="41">
        <v>158.97</v>
      </c>
      <c r="J25" s="41">
        <v>3</v>
      </c>
      <c r="K25" t="s">
        <v>2301</v>
      </c>
    </row>
    <row r="26" spans="1:11" x14ac:dyDescent="0.3">
      <c r="A26" t="s">
        <v>551</v>
      </c>
      <c r="B26" t="s">
        <v>1373</v>
      </c>
      <c r="C26" t="s">
        <v>974</v>
      </c>
      <c r="D26" t="s">
        <v>496</v>
      </c>
      <c r="E26" t="s">
        <v>377</v>
      </c>
      <c r="F26" t="s">
        <v>569</v>
      </c>
      <c r="G26" t="s">
        <v>190</v>
      </c>
      <c r="H26" s="41">
        <v>0</v>
      </c>
      <c r="I26" s="41">
        <v>648</v>
      </c>
      <c r="J26" s="41">
        <v>1</v>
      </c>
      <c r="K26" t="s">
        <v>2301</v>
      </c>
    </row>
    <row r="27" spans="1:11" x14ac:dyDescent="0.3">
      <c r="A27" t="s">
        <v>551</v>
      </c>
      <c r="B27" t="s">
        <v>1265</v>
      </c>
      <c r="C27" t="s">
        <v>975</v>
      </c>
      <c r="D27" t="s">
        <v>686</v>
      </c>
      <c r="E27" t="s">
        <v>309</v>
      </c>
      <c r="F27" t="s">
        <v>566</v>
      </c>
      <c r="G27" t="s">
        <v>2225</v>
      </c>
      <c r="H27" s="41">
        <v>855.35</v>
      </c>
      <c r="I27" s="41">
        <v>855.35</v>
      </c>
      <c r="J27" s="41">
        <v>2</v>
      </c>
      <c r="K27" t="s">
        <v>2301</v>
      </c>
    </row>
    <row r="28" spans="1:11" x14ac:dyDescent="0.3">
      <c r="A28" t="s">
        <v>551</v>
      </c>
      <c r="B28" t="s">
        <v>1265</v>
      </c>
      <c r="C28" t="s">
        <v>975</v>
      </c>
      <c r="D28" t="s">
        <v>686</v>
      </c>
      <c r="E28" t="s">
        <v>304</v>
      </c>
      <c r="F28" t="s">
        <v>561</v>
      </c>
      <c r="G28" t="s">
        <v>561</v>
      </c>
      <c r="H28" s="41">
        <v>94.4</v>
      </c>
      <c r="I28" s="41">
        <v>187.11</v>
      </c>
      <c r="J28" s="41">
        <v>3</v>
      </c>
      <c r="K28" t="s">
        <v>2301</v>
      </c>
    </row>
    <row r="29" spans="1:11" x14ac:dyDescent="0.3">
      <c r="A29" t="s">
        <v>551</v>
      </c>
      <c r="B29" t="s">
        <v>1265</v>
      </c>
      <c r="C29" t="s">
        <v>975</v>
      </c>
      <c r="D29" t="s">
        <v>686</v>
      </c>
      <c r="E29" t="s">
        <v>377</v>
      </c>
      <c r="F29" t="s">
        <v>566</v>
      </c>
      <c r="G29" t="s">
        <v>190</v>
      </c>
      <c r="H29" s="41">
        <v>0</v>
      </c>
      <c r="I29" s="41">
        <v>2127</v>
      </c>
      <c r="J29" s="41">
        <v>1</v>
      </c>
      <c r="K29" t="s">
        <v>2301</v>
      </c>
    </row>
    <row r="30" spans="1:11" x14ac:dyDescent="0.3">
      <c r="A30" t="s">
        <v>552</v>
      </c>
      <c r="B30" t="s">
        <v>658</v>
      </c>
      <c r="C30" t="s">
        <v>976</v>
      </c>
      <c r="D30" t="s">
        <v>496</v>
      </c>
      <c r="E30" t="s">
        <v>309</v>
      </c>
      <c r="F30" t="s">
        <v>571</v>
      </c>
      <c r="G30" t="s">
        <v>2225</v>
      </c>
      <c r="H30" s="41">
        <v>217.26</v>
      </c>
      <c r="I30" s="41">
        <v>479.99</v>
      </c>
      <c r="J30" s="41">
        <v>7</v>
      </c>
      <c r="K30" t="s">
        <v>2301</v>
      </c>
    </row>
    <row r="31" spans="1:11" x14ac:dyDescent="0.3">
      <c r="A31" t="s">
        <v>552</v>
      </c>
      <c r="B31" t="s">
        <v>658</v>
      </c>
      <c r="C31" t="s">
        <v>976</v>
      </c>
      <c r="D31" t="s">
        <v>496</v>
      </c>
      <c r="E31" t="s">
        <v>309</v>
      </c>
      <c r="F31" t="s">
        <v>566</v>
      </c>
      <c r="G31" t="s">
        <v>2225</v>
      </c>
      <c r="H31" s="41">
        <v>47.76</v>
      </c>
      <c r="I31" s="41">
        <v>270.35000000000002</v>
      </c>
      <c r="J31" s="41">
        <v>1</v>
      </c>
      <c r="K31" t="s">
        <v>2301</v>
      </c>
    </row>
    <row r="32" spans="1:11" x14ac:dyDescent="0.3">
      <c r="A32" t="s">
        <v>552</v>
      </c>
      <c r="B32" t="s">
        <v>658</v>
      </c>
      <c r="C32" t="s">
        <v>976</v>
      </c>
      <c r="D32" t="s">
        <v>496</v>
      </c>
      <c r="E32" t="s">
        <v>309</v>
      </c>
      <c r="F32" t="s">
        <v>565</v>
      </c>
      <c r="G32" t="s">
        <v>2225</v>
      </c>
      <c r="H32" s="41">
        <v>1600</v>
      </c>
      <c r="I32" s="41">
        <v>4812.37</v>
      </c>
      <c r="J32" s="41">
        <v>2</v>
      </c>
      <c r="K32" t="s">
        <v>2301</v>
      </c>
    </row>
    <row r="33" spans="1:11" x14ac:dyDescent="0.3">
      <c r="A33" t="s">
        <v>552</v>
      </c>
      <c r="B33" t="s">
        <v>658</v>
      </c>
      <c r="C33" t="s">
        <v>976</v>
      </c>
      <c r="D33" t="s">
        <v>496</v>
      </c>
      <c r="E33" t="s">
        <v>309</v>
      </c>
      <c r="F33" t="s">
        <v>568</v>
      </c>
      <c r="G33" t="s">
        <v>2225</v>
      </c>
      <c r="H33" s="41">
        <v>70.81</v>
      </c>
      <c r="I33" s="41">
        <v>70.81</v>
      </c>
      <c r="J33" s="41">
        <v>1</v>
      </c>
      <c r="K33" t="s">
        <v>2301</v>
      </c>
    </row>
    <row r="34" spans="1:11" x14ac:dyDescent="0.3">
      <c r="A34" t="s">
        <v>552</v>
      </c>
      <c r="B34" t="s">
        <v>658</v>
      </c>
      <c r="C34" t="s">
        <v>976</v>
      </c>
      <c r="D34" t="s">
        <v>496</v>
      </c>
      <c r="E34" t="s">
        <v>309</v>
      </c>
      <c r="F34" t="s">
        <v>570</v>
      </c>
      <c r="G34" t="s">
        <v>2225</v>
      </c>
      <c r="H34" s="41">
        <v>300</v>
      </c>
      <c r="I34" s="41">
        <v>900</v>
      </c>
      <c r="J34" s="41">
        <v>1</v>
      </c>
      <c r="K34" t="s">
        <v>2301</v>
      </c>
    </row>
    <row r="35" spans="1:11" x14ac:dyDescent="0.3">
      <c r="A35" t="s">
        <v>552</v>
      </c>
      <c r="B35" t="s">
        <v>658</v>
      </c>
      <c r="C35" t="s">
        <v>976</v>
      </c>
      <c r="D35" t="s">
        <v>496</v>
      </c>
      <c r="E35" t="s">
        <v>304</v>
      </c>
      <c r="F35" t="s">
        <v>561</v>
      </c>
      <c r="G35" t="s">
        <v>561</v>
      </c>
      <c r="H35" s="41">
        <v>30</v>
      </c>
      <c r="I35" s="41">
        <v>80</v>
      </c>
      <c r="J35" s="41">
        <v>1</v>
      </c>
      <c r="K35" t="s">
        <v>2301</v>
      </c>
    </row>
    <row r="36" spans="1:11" x14ac:dyDescent="0.3">
      <c r="A36" t="s">
        <v>552</v>
      </c>
      <c r="B36" t="s">
        <v>1373</v>
      </c>
      <c r="C36" t="s">
        <v>974</v>
      </c>
      <c r="D36" t="s">
        <v>496</v>
      </c>
      <c r="E36" t="s">
        <v>309</v>
      </c>
      <c r="F36" t="s">
        <v>571</v>
      </c>
      <c r="G36" t="s">
        <v>2225</v>
      </c>
      <c r="H36" s="41">
        <v>336.98</v>
      </c>
      <c r="I36" s="41">
        <v>4865.3500000000004</v>
      </c>
      <c r="J36" s="41">
        <v>10</v>
      </c>
      <c r="K36" t="s">
        <v>2301</v>
      </c>
    </row>
    <row r="37" spans="1:11" x14ac:dyDescent="0.3">
      <c r="A37" t="s">
        <v>552</v>
      </c>
      <c r="B37" t="s">
        <v>1373</v>
      </c>
      <c r="C37" t="s">
        <v>974</v>
      </c>
      <c r="D37" t="s">
        <v>496</v>
      </c>
      <c r="E37" t="s">
        <v>309</v>
      </c>
      <c r="F37" t="s">
        <v>566</v>
      </c>
      <c r="G37" t="s">
        <v>2225</v>
      </c>
      <c r="H37" s="41">
        <v>2557.46</v>
      </c>
      <c r="I37" s="41">
        <v>4502.46</v>
      </c>
      <c r="J37" s="41">
        <v>3</v>
      </c>
      <c r="K37" t="s">
        <v>2301</v>
      </c>
    </row>
    <row r="38" spans="1:11" x14ac:dyDescent="0.3">
      <c r="A38" t="s">
        <v>552</v>
      </c>
      <c r="B38" t="s">
        <v>1373</v>
      </c>
      <c r="C38" t="s">
        <v>974</v>
      </c>
      <c r="D38" t="s">
        <v>496</v>
      </c>
      <c r="E38" t="s">
        <v>309</v>
      </c>
      <c r="F38" t="s">
        <v>565</v>
      </c>
      <c r="G38" t="s">
        <v>2225</v>
      </c>
      <c r="H38" s="41">
        <v>3670.94</v>
      </c>
      <c r="I38" s="41">
        <v>18149.87</v>
      </c>
      <c r="J38" s="41">
        <v>6</v>
      </c>
      <c r="K38" t="s">
        <v>2301</v>
      </c>
    </row>
    <row r="39" spans="1:11" x14ac:dyDescent="0.3">
      <c r="A39" t="s">
        <v>552</v>
      </c>
      <c r="B39" t="s">
        <v>1373</v>
      </c>
      <c r="C39" t="s">
        <v>974</v>
      </c>
      <c r="D39" t="s">
        <v>496</v>
      </c>
      <c r="E39" t="s">
        <v>309</v>
      </c>
      <c r="F39" t="s">
        <v>569</v>
      </c>
      <c r="G39" t="s">
        <v>2225</v>
      </c>
      <c r="H39" s="41">
        <v>203.79</v>
      </c>
      <c r="I39" s="41">
        <v>1089.31</v>
      </c>
      <c r="J39" s="41">
        <v>5</v>
      </c>
      <c r="K39" t="s">
        <v>2301</v>
      </c>
    </row>
    <row r="40" spans="1:11" x14ac:dyDescent="0.3">
      <c r="A40" t="s">
        <v>552</v>
      </c>
      <c r="B40" t="s">
        <v>1373</v>
      </c>
      <c r="C40" t="s">
        <v>974</v>
      </c>
      <c r="D40" t="s">
        <v>496</v>
      </c>
      <c r="E40" t="s">
        <v>309</v>
      </c>
      <c r="F40" t="s">
        <v>570</v>
      </c>
      <c r="G40" t="s">
        <v>2225</v>
      </c>
      <c r="H40" s="41">
        <v>51.94</v>
      </c>
      <c r="I40" s="41">
        <v>61.85</v>
      </c>
      <c r="J40" s="41">
        <v>2</v>
      </c>
      <c r="K40" t="s">
        <v>2301</v>
      </c>
    </row>
    <row r="41" spans="1:11" x14ac:dyDescent="0.3">
      <c r="A41" t="s">
        <v>552</v>
      </c>
      <c r="B41" t="s">
        <v>1373</v>
      </c>
      <c r="C41" t="s">
        <v>974</v>
      </c>
      <c r="D41" t="s">
        <v>496</v>
      </c>
      <c r="E41" t="s">
        <v>304</v>
      </c>
      <c r="F41" t="s">
        <v>561</v>
      </c>
      <c r="G41" t="s">
        <v>561</v>
      </c>
      <c r="H41" s="41">
        <v>8.33</v>
      </c>
      <c r="I41" s="41">
        <v>167.3</v>
      </c>
      <c r="J41" s="41">
        <v>4</v>
      </c>
      <c r="K41" t="s">
        <v>2301</v>
      </c>
    </row>
    <row r="42" spans="1:11" x14ac:dyDescent="0.3">
      <c r="A42" t="s">
        <v>552</v>
      </c>
      <c r="B42" t="s">
        <v>1373</v>
      </c>
      <c r="C42" t="s">
        <v>974</v>
      </c>
      <c r="D42" t="s">
        <v>496</v>
      </c>
      <c r="E42" t="s">
        <v>377</v>
      </c>
      <c r="F42" t="s">
        <v>569</v>
      </c>
      <c r="G42" t="s">
        <v>190</v>
      </c>
      <c r="H42" s="41">
        <v>400</v>
      </c>
      <c r="I42" s="41">
        <v>1048</v>
      </c>
      <c r="J42" s="41">
        <v>2</v>
      </c>
      <c r="K42" t="s">
        <v>2301</v>
      </c>
    </row>
    <row r="43" spans="1:11" x14ac:dyDescent="0.3">
      <c r="A43" t="s">
        <v>552</v>
      </c>
      <c r="B43" t="s">
        <v>1265</v>
      </c>
      <c r="C43" t="s">
        <v>975</v>
      </c>
      <c r="D43" t="s">
        <v>686</v>
      </c>
      <c r="E43" t="s">
        <v>309</v>
      </c>
      <c r="F43" t="s">
        <v>566</v>
      </c>
      <c r="G43" t="s">
        <v>2225</v>
      </c>
      <c r="H43" s="41">
        <v>1624.25</v>
      </c>
      <c r="I43" s="41">
        <v>3339.6</v>
      </c>
      <c r="J43" s="41">
        <v>2</v>
      </c>
      <c r="K43" t="s">
        <v>2301</v>
      </c>
    </row>
    <row r="44" spans="1:11" x14ac:dyDescent="0.3">
      <c r="A44" t="s">
        <v>552</v>
      </c>
      <c r="B44" t="s">
        <v>1265</v>
      </c>
      <c r="C44" t="s">
        <v>975</v>
      </c>
      <c r="D44" t="s">
        <v>686</v>
      </c>
      <c r="E44" t="s">
        <v>304</v>
      </c>
      <c r="F44" t="s">
        <v>561</v>
      </c>
      <c r="G44" t="s">
        <v>561</v>
      </c>
      <c r="H44" s="41">
        <v>91.35</v>
      </c>
      <c r="I44" s="41">
        <v>369.61</v>
      </c>
      <c r="J44" s="41">
        <v>3</v>
      </c>
      <c r="K44" t="s">
        <v>2301</v>
      </c>
    </row>
    <row r="45" spans="1:11" x14ac:dyDescent="0.3">
      <c r="A45" t="s">
        <v>552</v>
      </c>
      <c r="B45" t="s">
        <v>1265</v>
      </c>
      <c r="C45" t="s">
        <v>975</v>
      </c>
      <c r="D45" t="s">
        <v>686</v>
      </c>
      <c r="E45" t="s">
        <v>377</v>
      </c>
      <c r="F45" t="s">
        <v>571</v>
      </c>
      <c r="G45" t="s">
        <v>190</v>
      </c>
      <c r="H45" s="41">
        <v>0</v>
      </c>
      <c r="I45" s="41">
        <v>1.9</v>
      </c>
      <c r="J45" s="41">
        <v>1</v>
      </c>
      <c r="K45" t="s">
        <v>2301</v>
      </c>
    </row>
    <row r="46" spans="1:11" x14ac:dyDescent="0.3">
      <c r="A46" t="s">
        <v>552</v>
      </c>
      <c r="B46" t="s">
        <v>1265</v>
      </c>
      <c r="C46" t="s">
        <v>975</v>
      </c>
      <c r="D46" t="s">
        <v>686</v>
      </c>
      <c r="E46" t="s">
        <v>377</v>
      </c>
      <c r="F46" t="s">
        <v>566</v>
      </c>
      <c r="G46" t="s">
        <v>190</v>
      </c>
      <c r="H46" s="41">
        <v>0</v>
      </c>
      <c r="I46" s="41">
        <v>2127</v>
      </c>
      <c r="J46" s="41">
        <v>1</v>
      </c>
      <c r="K46" t="s">
        <v>2301</v>
      </c>
    </row>
    <row r="47" spans="1:11" x14ac:dyDescent="0.3">
      <c r="A47" t="s">
        <v>552</v>
      </c>
      <c r="B47" t="s">
        <v>1265</v>
      </c>
      <c r="C47" t="s">
        <v>975</v>
      </c>
      <c r="D47" t="s">
        <v>686</v>
      </c>
      <c r="E47" t="s">
        <v>377</v>
      </c>
      <c r="F47" t="s">
        <v>569</v>
      </c>
      <c r="G47" t="s">
        <v>190</v>
      </c>
      <c r="H47" s="41">
        <v>0</v>
      </c>
      <c r="I47" s="41">
        <v>1706.19</v>
      </c>
      <c r="J47" s="41">
        <v>1</v>
      </c>
      <c r="K47" t="s">
        <v>2301</v>
      </c>
    </row>
    <row r="48" spans="1:11" x14ac:dyDescent="0.3">
      <c r="A48" t="s">
        <v>552</v>
      </c>
      <c r="B48" t="s">
        <v>1265</v>
      </c>
      <c r="C48" t="s">
        <v>975</v>
      </c>
      <c r="D48" t="s">
        <v>686</v>
      </c>
      <c r="E48" t="s">
        <v>377</v>
      </c>
      <c r="F48" t="s">
        <v>570</v>
      </c>
      <c r="G48" t="s">
        <v>190</v>
      </c>
      <c r="H48" s="41">
        <v>849.69</v>
      </c>
      <c r="I48" s="41">
        <v>1898.49</v>
      </c>
      <c r="J48" s="41">
        <v>12</v>
      </c>
      <c r="K48" t="s">
        <v>2301</v>
      </c>
    </row>
    <row r="49" spans="1:11" x14ac:dyDescent="0.3">
      <c r="A49" t="s">
        <v>553</v>
      </c>
      <c r="B49" t="s">
        <v>658</v>
      </c>
      <c r="C49" t="s">
        <v>976</v>
      </c>
      <c r="D49" t="s">
        <v>496</v>
      </c>
      <c r="E49" t="s">
        <v>309</v>
      </c>
      <c r="F49" t="s">
        <v>571</v>
      </c>
      <c r="G49" t="s">
        <v>2225</v>
      </c>
      <c r="H49" s="41">
        <v>115.64</v>
      </c>
      <c r="I49" s="41">
        <v>595.63</v>
      </c>
      <c r="J49" s="41">
        <v>7</v>
      </c>
      <c r="K49" t="s">
        <v>2301</v>
      </c>
    </row>
    <row r="50" spans="1:11" x14ac:dyDescent="0.3">
      <c r="A50" t="s">
        <v>553</v>
      </c>
      <c r="B50" t="s">
        <v>658</v>
      </c>
      <c r="C50" t="s">
        <v>976</v>
      </c>
      <c r="D50" t="s">
        <v>496</v>
      </c>
      <c r="E50" t="s">
        <v>309</v>
      </c>
      <c r="F50" t="s">
        <v>566</v>
      </c>
      <c r="G50" t="s">
        <v>2225</v>
      </c>
      <c r="H50" s="41">
        <v>0</v>
      </c>
      <c r="I50" s="41">
        <v>270.35000000000002</v>
      </c>
      <c r="J50" s="41">
        <v>1</v>
      </c>
      <c r="K50" t="s">
        <v>2301</v>
      </c>
    </row>
    <row r="51" spans="1:11" x14ac:dyDescent="0.3">
      <c r="A51" t="s">
        <v>553</v>
      </c>
      <c r="B51" t="s">
        <v>658</v>
      </c>
      <c r="C51" t="s">
        <v>976</v>
      </c>
      <c r="D51" t="s">
        <v>496</v>
      </c>
      <c r="E51" t="s">
        <v>309</v>
      </c>
      <c r="F51" t="s">
        <v>565</v>
      </c>
      <c r="G51" t="s">
        <v>2225</v>
      </c>
      <c r="H51" s="41">
        <v>1600</v>
      </c>
      <c r="I51" s="41">
        <v>6412.37</v>
      </c>
      <c r="J51" s="41">
        <v>2</v>
      </c>
      <c r="K51" t="s">
        <v>2301</v>
      </c>
    </row>
    <row r="52" spans="1:11" x14ac:dyDescent="0.3">
      <c r="A52" t="s">
        <v>553</v>
      </c>
      <c r="B52" t="s">
        <v>658</v>
      </c>
      <c r="C52" t="s">
        <v>976</v>
      </c>
      <c r="D52" t="s">
        <v>496</v>
      </c>
      <c r="E52" t="s">
        <v>309</v>
      </c>
      <c r="F52" t="s">
        <v>568</v>
      </c>
      <c r="G52" t="s">
        <v>2225</v>
      </c>
      <c r="H52" s="41">
        <v>9205.7199999999993</v>
      </c>
      <c r="I52" s="41">
        <v>9276.5300000000007</v>
      </c>
      <c r="J52" s="41">
        <v>2</v>
      </c>
      <c r="K52" t="s">
        <v>2301</v>
      </c>
    </row>
    <row r="53" spans="1:11" x14ac:dyDescent="0.3">
      <c r="A53" t="s">
        <v>553</v>
      </c>
      <c r="B53" t="s">
        <v>658</v>
      </c>
      <c r="C53" t="s">
        <v>976</v>
      </c>
      <c r="D53" t="s">
        <v>496</v>
      </c>
      <c r="E53" t="s">
        <v>309</v>
      </c>
      <c r="F53" t="s">
        <v>569</v>
      </c>
      <c r="G53" t="s">
        <v>2225</v>
      </c>
      <c r="H53" s="41">
        <v>57.71</v>
      </c>
      <c r="I53" s="41">
        <v>57.71</v>
      </c>
      <c r="J53" s="41">
        <v>1</v>
      </c>
      <c r="K53" t="s">
        <v>2301</v>
      </c>
    </row>
    <row r="54" spans="1:11" x14ac:dyDescent="0.3">
      <c r="A54" t="s">
        <v>553</v>
      </c>
      <c r="B54" t="s">
        <v>658</v>
      </c>
      <c r="C54" t="s">
        <v>976</v>
      </c>
      <c r="D54" t="s">
        <v>496</v>
      </c>
      <c r="E54" t="s">
        <v>309</v>
      </c>
      <c r="F54" t="s">
        <v>570</v>
      </c>
      <c r="G54" t="s">
        <v>2225</v>
      </c>
      <c r="H54" s="41">
        <v>300</v>
      </c>
      <c r="I54" s="41">
        <v>1200</v>
      </c>
      <c r="J54" s="41">
        <v>1</v>
      </c>
      <c r="K54" t="s">
        <v>2301</v>
      </c>
    </row>
    <row r="55" spans="1:11" x14ac:dyDescent="0.3">
      <c r="A55" t="s">
        <v>553</v>
      </c>
      <c r="B55" t="s">
        <v>658</v>
      </c>
      <c r="C55" t="s">
        <v>976</v>
      </c>
      <c r="D55" t="s">
        <v>496</v>
      </c>
      <c r="E55" t="s">
        <v>304</v>
      </c>
      <c r="F55" t="s">
        <v>561</v>
      </c>
      <c r="G55" t="s">
        <v>561</v>
      </c>
      <c r="H55" s="41">
        <v>40</v>
      </c>
      <c r="I55" s="41">
        <v>120</v>
      </c>
      <c r="J55" s="41">
        <v>1</v>
      </c>
      <c r="K55" t="s">
        <v>2301</v>
      </c>
    </row>
    <row r="56" spans="1:11" x14ac:dyDescent="0.3">
      <c r="A56" t="s">
        <v>553</v>
      </c>
      <c r="B56" t="s">
        <v>1373</v>
      </c>
      <c r="C56" t="s">
        <v>974</v>
      </c>
      <c r="D56" t="s">
        <v>496</v>
      </c>
      <c r="E56" t="s">
        <v>309</v>
      </c>
      <c r="F56" t="s">
        <v>571</v>
      </c>
      <c r="G56" t="s">
        <v>2225</v>
      </c>
      <c r="H56" s="41">
        <v>1184.49</v>
      </c>
      <c r="I56" s="41">
        <v>6049.84</v>
      </c>
      <c r="J56" s="41">
        <v>20</v>
      </c>
      <c r="K56" t="s">
        <v>2301</v>
      </c>
    </row>
    <row r="57" spans="1:11" x14ac:dyDescent="0.3">
      <c r="A57" t="s">
        <v>553</v>
      </c>
      <c r="B57" t="s">
        <v>1373</v>
      </c>
      <c r="C57" t="s">
        <v>974</v>
      </c>
      <c r="D57" t="s">
        <v>496</v>
      </c>
      <c r="E57" t="s">
        <v>309</v>
      </c>
      <c r="F57" t="s">
        <v>566</v>
      </c>
      <c r="G57" t="s">
        <v>2225</v>
      </c>
      <c r="H57" s="41">
        <v>0</v>
      </c>
      <c r="I57" s="41">
        <v>4502.46</v>
      </c>
      <c r="J57" s="41">
        <v>3</v>
      </c>
      <c r="K57" t="s">
        <v>2301</v>
      </c>
    </row>
    <row r="58" spans="1:11" x14ac:dyDescent="0.3">
      <c r="A58" t="s">
        <v>553</v>
      </c>
      <c r="B58" t="s">
        <v>1373</v>
      </c>
      <c r="C58" t="s">
        <v>974</v>
      </c>
      <c r="D58" t="s">
        <v>496</v>
      </c>
      <c r="E58" t="s">
        <v>309</v>
      </c>
      <c r="F58" t="s">
        <v>565</v>
      </c>
      <c r="G58" t="s">
        <v>2225</v>
      </c>
      <c r="H58" s="41">
        <v>4633.6000000000004</v>
      </c>
      <c r="I58" s="41">
        <v>22783.47</v>
      </c>
      <c r="J58" s="41">
        <v>8</v>
      </c>
      <c r="K58" t="s">
        <v>2301</v>
      </c>
    </row>
    <row r="59" spans="1:11" x14ac:dyDescent="0.3">
      <c r="A59" t="s">
        <v>553</v>
      </c>
      <c r="B59" t="s">
        <v>1373</v>
      </c>
      <c r="C59" t="s">
        <v>974</v>
      </c>
      <c r="D59" t="s">
        <v>496</v>
      </c>
      <c r="E59" t="s">
        <v>309</v>
      </c>
      <c r="F59" t="s">
        <v>569</v>
      </c>
      <c r="G59" t="s">
        <v>2225</v>
      </c>
      <c r="H59" s="41">
        <v>1202.96</v>
      </c>
      <c r="I59" s="41">
        <v>2292.27</v>
      </c>
      <c r="J59" s="41">
        <v>7</v>
      </c>
      <c r="K59" t="s">
        <v>2301</v>
      </c>
    </row>
    <row r="60" spans="1:11" x14ac:dyDescent="0.3">
      <c r="A60" t="s">
        <v>553</v>
      </c>
      <c r="B60" t="s">
        <v>1373</v>
      </c>
      <c r="C60" t="s">
        <v>974</v>
      </c>
      <c r="D60" t="s">
        <v>496</v>
      </c>
      <c r="E60" t="s">
        <v>309</v>
      </c>
      <c r="F60" t="s">
        <v>570</v>
      </c>
      <c r="G60" t="s">
        <v>2225</v>
      </c>
      <c r="H60" s="41">
        <v>96.41</v>
      </c>
      <c r="I60" s="41">
        <v>158.26</v>
      </c>
      <c r="J60" s="41">
        <v>6</v>
      </c>
      <c r="K60" t="s">
        <v>2301</v>
      </c>
    </row>
    <row r="61" spans="1:11" x14ac:dyDescent="0.3">
      <c r="A61" t="s">
        <v>553</v>
      </c>
      <c r="B61" t="s">
        <v>1373</v>
      </c>
      <c r="C61" t="s">
        <v>974</v>
      </c>
      <c r="D61" t="s">
        <v>496</v>
      </c>
      <c r="E61" t="s">
        <v>304</v>
      </c>
      <c r="F61" t="s">
        <v>561</v>
      </c>
      <c r="G61" t="s">
        <v>561</v>
      </c>
      <c r="H61" s="41">
        <v>23.28</v>
      </c>
      <c r="I61" s="41">
        <v>190.58</v>
      </c>
      <c r="J61" s="41">
        <v>6</v>
      </c>
      <c r="K61" t="s">
        <v>2301</v>
      </c>
    </row>
    <row r="62" spans="1:11" x14ac:dyDescent="0.3">
      <c r="A62" t="s">
        <v>553</v>
      </c>
      <c r="B62" t="s">
        <v>1373</v>
      </c>
      <c r="C62" t="s">
        <v>974</v>
      </c>
      <c r="D62" t="s">
        <v>496</v>
      </c>
      <c r="E62" t="s">
        <v>377</v>
      </c>
      <c r="F62" t="s">
        <v>569</v>
      </c>
      <c r="G62" t="s">
        <v>190</v>
      </c>
      <c r="H62" s="41">
        <v>0</v>
      </c>
      <c r="I62" s="41">
        <v>1048</v>
      </c>
      <c r="J62" s="41">
        <v>2</v>
      </c>
      <c r="K62" t="s">
        <v>2301</v>
      </c>
    </row>
    <row r="63" spans="1:11" x14ac:dyDescent="0.3">
      <c r="A63" t="s">
        <v>553</v>
      </c>
      <c r="B63" t="s">
        <v>1265</v>
      </c>
      <c r="C63" t="s">
        <v>975</v>
      </c>
      <c r="D63" t="s">
        <v>686</v>
      </c>
      <c r="E63" t="s">
        <v>309</v>
      </c>
      <c r="F63" t="s">
        <v>566</v>
      </c>
      <c r="G63" t="s">
        <v>2225</v>
      </c>
      <c r="H63" s="41">
        <v>1624.25</v>
      </c>
      <c r="I63" s="41">
        <v>3339.6</v>
      </c>
      <c r="J63" s="41">
        <v>2</v>
      </c>
      <c r="K63" t="s">
        <v>2301</v>
      </c>
    </row>
    <row r="64" spans="1:11" x14ac:dyDescent="0.3">
      <c r="A64" t="s">
        <v>553</v>
      </c>
      <c r="B64" t="s">
        <v>1265</v>
      </c>
      <c r="C64" t="s">
        <v>975</v>
      </c>
      <c r="D64" t="s">
        <v>686</v>
      </c>
      <c r="E64" t="s">
        <v>304</v>
      </c>
      <c r="F64" t="s">
        <v>561</v>
      </c>
      <c r="G64" t="s">
        <v>561</v>
      </c>
      <c r="H64" s="41">
        <v>91.35</v>
      </c>
      <c r="I64" s="41">
        <v>369.61</v>
      </c>
      <c r="J64" s="41">
        <v>3</v>
      </c>
      <c r="K64" t="s">
        <v>2301</v>
      </c>
    </row>
    <row r="65" spans="1:11" x14ac:dyDescent="0.3">
      <c r="A65" t="s">
        <v>553</v>
      </c>
      <c r="B65" t="s">
        <v>1265</v>
      </c>
      <c r="C65" t="s">
        <v>975</v>
      </c>
      <c r="D65" t="s">
        <v>686</v>
      </c>
      <c r="E65" t="s">
        <v>377</v>
      </c>
      <c r="F65" t="s">
        <v>571</v>
      </c>
      <c r="G65" t="s">
        <v>190</v>
      </c>
      <c r="H65" s="41">
        <v>0</v>
      </c>
      <c r="I65" s="41">
        <v>1.9</v>
      </c>
      <c r="J65" s="41">
        <v>1</v>
      </c>
      <c r="K65" t="s">
        <v>2301</v>
      </c>
    </row>
    <row r="66" spans="1:11" x14ac:dyDescent="0.3">
      <c r="A66" t="s">
        <v>553</v>
      </c>
      <c r="B66" t="s">
        <v>1265</v>
      </c>
      <c r="C66" t="s">
        <v>975</v>
      </c>
      <c r="D66" t="s">
        <v>686</v>
      </c>
      <c r="E66" t="s">
        <v>377</v>
      </c>
      <c r="F66" t="s">
        <v>566</v>
      </c>
      <c r="G66" t="s">
        <v>190</v>
      </c>
      <c r="H66" s="41">
        <v>0</v>
      </c>
      <c r="I66" s="41">
        <v>2127</v>
      </c>
      <c r="J66" s="41">
        <v>1</v>
      </c>
      <c r="K66" t="s">
        <v>2301</v>
      </c>
    </row>
    <row r="67" spans="1:11" x14ac:dyDescent="0.3">
      <c r="A67" t="s">
        <v>553</v>
      </c>
      <c r="B67" t="s">
        <v>1265</v>
      </c>
      <c r="C67" t="s">
        <v>975</v>
      </c>
      <c r="D67" t="s">
        <v>686</v>
      </c>
      <c r="E67" t="s">
        <v>377</v>
      </c>
      <c r="F67" t="s">
        <v>569</v>
      </c>
      <c r="G67" t="s">
        <v>190</v>
      </c>
      <c r="H67" s="41">
        <v>0</v>
      </c>
      <c r="I67" s="41">
        <v>1706.19</v>
      </c>
      <c r="J67" s="41">
        <v>1</v>
      </c>
      <c r="K67" t="s">
        <v>2301</v>
      </c>
    </row>
    <row r="68" spans="1:11" x14ac:dyDescent="0.3">
      <c r="A68" t="s">
        <v>553</v>
      </c>
      <c r="B68" t="s">
        <v>1265</v>
      </c>
      <c r="C68" t="s">
        <v>975</v>
      </c>
      <c r="D68" t="s">
        <v>686</v>
      </c>
      <c r="E68" t="s">
        <v>377</v>
      </c>
      <c r="F68" t="s">
        <v>570</v>
      </c>
      <c r="G68" t="s">
        <v>190</v>
      </c>
      <c r="H68" s="41">
        <v>849.69</v>
      </c>
      <c r="I68" s="41">
        <v>1898.49</v>
      </c>
      <c r="J68" s="41">
        <v>12</v>
      </c>
      <c r="K68" t="s">
        <v>2301</v>
      </c>
    </row>
    <row r="69" spans="1:11" x14ac:dyDescent="0.3">
      <c r="A69" t="s">
        <v>554</v>
      </c>
      <c r="B69" t="s">
        <v>658</v>
      </c>
      <c r="C69" t="s">
        <v>976</v>
      </c>
      <c r="D69" t="s">
        <v>496</v>
      </c>
      <c r="E69" t="s">
        <v>309</v>
      </c>
      <c r="F69" t="s">
        <v>571</v>
      </c>
      <c r="G69" t="s">
        <v>2225</v>
      </c>
      <c r="H69" s="41">
        <v>0</v>
      </c>
      <c r="I69" s="41">
        <v>595.63</v>
      </c>
      <c r="J69" s="41">
        <v>7</v>
      </c>
      <c r="K69" t="s">
        <v>2301</v>
      </c>
    </row>
    <row r="70" spans="1:11" x14ac:dyDescent="0.3">
      <c r="A70" t="s">
        <v>554</v>
      </c>
      <c r="B70" t="s">
        <v>658</v>
      </c>
      <c r="C70" t="s">
        <v>976</v>
      </c>
      <c r="D70" t="s">
        <v>496</v>
      </c>
      <c r="E70" t="s">
        <v>309</v>
      </c>
      <c r="F70" t="s">
        <v>566</v>
      </c>
      <c r="G70" t="s">
        <v>2225</v>
      </c>
      <c r="H70" s="41">
        <v>0</v>
      </c>
      <c r="I70" s="41">
        <v>270.35000000000002</v>
      </c>
      <c r="J70" s="41">
        <v>1</v>
      </c>
      <c r="K70" t="s">
        <v>2301</v>
      </c>
    </row>
    <row r="71" spans="1:11" x14ac:dyDescent="0.3">
      <c r="A71" t="s">
        <v>554</v>
      </c>
      <c r="B71" t="s">
        <v>658</v>
      </c>
      <c r="C71" t="s">
        <v>976</v>
      </c>
      <c r="D71" t="s">
        <v>496</v>
      </c>
      <c r="E71" t="s">
        <v>309</v>
      </c>
      <c r="F71" t="s">
        <v>565</v>
      </c>
      <c r="G71" t="s">
        <v>2225</v>
      </c>
      <c r="H71" s="41">
        <v>1000</v>
      </c>
      <c r="I71" s="41">
        <v>7412.37</v>
      </c>
      <c r="J71" s="41">
        <v>2</v>
      </c>
      <c r="K71" t="s">
        <v>2301</v>
      </c>
    </row>
    <row r="72" spans="1:11" x14ac:dyDescent="0.3">
      <c r="A72" t="s">
        <v>554</v>
      </c>
      <c r="B72" t="s">
        <v>658</v>
      </c>
      <c r="C72" t="s">
        <v>976</v>
      </c>
      <c r="D72" t="s">
        <v>496</v>
      </c>
      <c r="E72" t="s">
        <v>309</v>
      </c>
      <c r="F72" t="s">
        <v>568</v>
      </c>
      <c r="G72" t="s">
        <v>2225</v>
      </c>
      <c r="H72" s="41">
        <v>0</v>
      </c>
      <c r="I72" s="41">
        <v>9276.5300000000007</v>
      </c>
      <c r="J72" s="41">
        <v>2</v>
      </c>
      <c r="K72" t="s">
        <v>2301</v>
      </c>
    </row>
    <row r="73" spans="1:11" x14ac:dyDescent="0.3">
      <c r="A73" t="s">
        <v>554</v>
      </c>
      <c r="B73" t="s">
        <v>658</v>
      </c>
      <c r="C73" t="s">
        <v>976</v>
      </c>
      <c r="D73" t="s">
        <v>496</v>
      </c>
      <c r="E73" t="s">
        <v>309</v>
      </c>
      <c r="F73" t="s">
        <v>569</v>
      </c>
      <c r="G73" t="s">
        <v>2225</v>
      </c>
      <c r="H73" s="41">
        <v>57.8</v>
      </c>
      <c r="I73" s="41">
        <v>115.51</v>
      </c>
      <c r="J73" s="41">
        <v>1</v>
      </c>
      <c r="K73" t="s">
        <v>2301</v>
      </c>
    </row>
    <row r="74" spans="1:11" x14ac:dyDescent="0.3">
      <c r="A74" t="s">
        <v>554</v>
      </c>
      <c r="B74" t="s">
        <v>658</v>
      </c>
      <c r="C74" t="s">
        <v>976</v>
      </c>
      <c r="D74" t="s">
        <v>496</v>
      </c>
      <c r="E74" t="s">
        <v>309</v>
      </c>
      <c r="F74" t="s">
        <v>570</v>
      </c>
      <c r="G74" t="s">
        <v>2225</v>
      </c>
      <c r="H74" s="41">
        <v>300</v>
      </c>
      <c r="I74" s="41">
        <v>1500</v>
      </c>
      <c r="J74" s="41">
        <v>1</v>
      </c>
      <c r="K74" t="s">
        <v>2301</v>
      </c>
    </row>
    <row r="75" spans="1:11" x14ac:dyDescent="0.3">
      <c r="A75" t="s">
        <v>554</v>
      </c>
      <c r="B75" t="s">
        <v>658</v>
      </c>
      <c r="C75" t="s">
        <v>976</v>
      </c>
      <c r="D75" t="s">
        <v>496</v>
      </c>
      <c r="E75" t="s">
        <v>304</v>
      </c>
      <c r="F75" t="s">
        <v>561</v>
      </c>
      <c r="G75" t="s">
        <v>561</v>
      </c>
      <c r="H75" s="41">
        <v>36</v>
      </c>
      <c r="I75" s="41">
        <v>156</v>
      </c>
      <c r="J75" s="41">
        <v>2</v>
      </c>
      <c r="K75" t="s">
        <v>2301</v>
      </c>
    </row>
    <row r="76" spans="1:11" x14ac:dyDescent="0.3">
      <c r="A76" t="s">
        <v>554</v>
      </c>
      <c r="B76" t="s">
        <v>1373</v>
      </c>
      <c r="C76" t="s">
        <v>974</v>
      </c>
      <c r="D76" t="s">
        <v>496</v>
      </c>
      <c r="E76" t="s">
        <v>309</v>
      </c>
      <c r="F76" t="s">
        <v>571</v>
      </c>
      <c r="G76" t="s">
        <v>2225</v>
      </c>
      <c r="H76" s="41">
        <v>674.85</v>
      </c>
      <c r="I76" s="41">
        <v>6724.69</v>
      </c>
      <c r="J76" s="41">
        <v>22</v>
      </c>
      <c r="K76" t="s">
        <v>2301</v>
      </c>
    </row>
    <row r="77" spans="1:11" x14ac:dyDescent="0.3">
      <c r="A77" t="s">
        <v>554</v>
      </c>
      <c r="B77" t="s">
        <v>1373</v>
      </c>
      <c r="C77" t="s">
        <v>974</v>
      </c>
      <c r="D77" t="s">
        <v>496</v>
      </c>
      <c r="E77" t="s">
        <v>309</v>
      </c>
      <c r="F77" t="s">
        <v>566</v>
      </c>
      <c r="G77" t="s">
        <v>2225</v>
      </c>
      <c r="H77" s="41">
        <v>4000</v>
      </c>
      <c r="I77" s="41">
        <v>8502.4599999999991</v>
      </c>
      <c r="J77" s="41">
        <v>4</v>
      </c>
      <c r="K77" t="s">
        <v>2301</v>
      </c>
    </row>
    <row r="78" spans="1:11" x14ac:dyDescent="0.3">
      <c r="A78" t="s">
        <v>554</v>
      </c>
      <c r="B78" t="s">
        <v>1373</v>
      </c>
      <c r="C78" t="s">
        <v>974</v>
      </c>
      <c r="D78" t="s">
        <v>496</v>
      </c>
      <c r="E78" t="s">
        <v>309</v>
      </c>
      <c r="F78" t="s">
        <v>565</v>
      </c>
      <c r="G78" t="s">
        <v>2225</v>
      </c>
      <c r="H78" s="41">
        <v>3190.11</v>
      </c>
      <c r="I78" s="41">
        <v>25973.58</v>
      </c>
      <c r="J78" s="41">
        <v>11</v>
      </c>
      <c r="K78" t="s">
        <v>2301</v>
      </c>
    </row>
    <row r="79" spans="1:11" x14ac:dyDescent="0.3">
      <c r="A79" t="s">
        <v>554</v>
      </c>
      <c r="B79" t="s">
        <v>1373</v>
      </c>
      <c r="C79" t="s">
        <v>974</v>
      </c>
      <c r="D79" t="s">
        <v>496</v>
      </c>
      <c r="E79" t="s">
        <v>309</v>
      </c>
      <c r="F79" t="s">
        <v>569</v>
      </c>
      <c r="G79" t="s">
        <v>2225</v>
      </c>
      <c r="H79" s="41">
        <v>7940.22</v>
      </c>
      <c r="I79" s="41">
        <v>10232.49</v>
      </c>
      <c r="J79" s="41">
        <v>10</v>
      </c>
      <c r="K79" t="s">
        <v>2301</v>
      </c>
    </row>
    <row r="80" spans="1:11" x14ac:dyDescent="0.3">
      <c r="A80" t="s">
        <v>554</v>
      </c>
      <c r="B80" t="s">
        <v>1373</v>
      </c>
      <c r="C80" t="s">
        <v>974</v>
      </c>
      <c r="D80" t="s">
        <v>496</v>
      </c>
      <c r="E80" t="s">
        <v>309</v>
      </c>
      <c r="F80" t="s">
        <v>570</v>
      </c>
      <c r="G80" t="s">
        <v>2225</v>
      </c>
      <c r="H80" s="41">
        <v>78.430000000000007</v>
      </c>
      <c r="I80" s="41">
        <v>236.69</v>
      </c>
      <c r="J80" s="41">
        <v>7</v>
      </c>
      <c r="K80" t="s">
        <v>2301</v>
      </c>
    </row>
    <row r="81" spans="1:11" x14ac:dyDescent="0.3">
      <c r="A81" t="s">
        <v>554</v>
      </c>
      <c r="B81" t="s">
        <v>1373</v>
      </c>
      <c r="C81" t="s">
        <v>974</v>
      </c>
      <c r="D81" t="s">
        <v>496</v>
      </c>
      <c r="E81" t="s">
        <v>304</v>
      </c>
      <c r="F81" t="s">
        <v>561</v>
      </c>
      <c r="G81" t="s">
        <v>561</v>
      </c>
      <c r="H81" s="41">
        <v>260.62</v>
      </c>
      <c r="I81" s="41">
        <v>451.2</v>
      </c>
      <c r="J81" s="41">
        <v>6</v>
      </c>
      <c r="K81" t="s">
        <v>2301</v>
      </c>
    </row>
    <row r="82" spans="1:11" x14ac:dyDescent="0.3">
      <c r="A82" t="s">
        <v>554</v>
      </c>
      <c r="B82" t="s">
        <v>1373</v>
      </c>
      <c r="C82" t="s">
        <v>974</v>
      </c>
      <c r="D82" t="s">
        <v>496</v>
      </c>
      <c r="E82" t="s">
        <v>377</v>
      </c>
      <c r="F82" t="s">
        <v>569</v>
      </c>
      <c r="G82" t="s">
        <v>190</v>
      </c>
      <c r="H82" s="41">
        <v>3500</v>
      </c>
      <c r="I82" s="41">
        <v>4548</v>
      </c>
      <c r="J82" s="41">
        <v>3</v>
      </c>
      <c r="K82" t="s">
        <v>2301</v>
      </c>
    </row>
    <row r="83" spans="1:11" x14ac:dyDescent="0.3">
      <c r="A83" t="s">
        <v>554</v>
      </c>
      <c r="B83" t="s">
        <v>1265</v>
      </c>
      <c r="C83" t="s">
        <v>975</v>
      </c>
      <c r="D83" t="s">
        <v>686</v>
      </c>
      <c r="E83" t="s">
        <v>309</v>
      </c>
      <c r="F83" t="s">
        <v>566</v>
      </c>
      <c r="G83" t="s">
        <v>2225</v>
      </c>
      <c r="H83" s="41">
        <v>1229.3499999999999</v>
      </c>
      <c r="I83" s="41">
        <v>4568.95</v>
      </c>
      <c r="J83" s="41">
        <v>2</v>
      </c>
      <c r="K83" t="s">
        <v>2301</v>
      </c>
    </row>
    <row r="84" spans="1:11" x14ac:dyDescent="0.3">
      <c r="A84" t="s">
        <v>554</v>
      </c>
      <c r="B84" t="s">
        <v>1265</v>
      </c>
      <c r="C84" t="s">
        <v>975</v>
      </c>
      <c r="D84" t="s">
        <v>686</v>
      </c>
      <c r="E84" t="s">
        <v>304</v>
      </c>
      <c r="F84" t="s">
        <v>561</v>
      </c>
      <c r="G84" t="s">
        <v>561</v>
      </c>
      <c r="H84" s="41">
        <v>483.21</v>
      </c>
      <c r="I84" s="41">
        <v>852.82</v>
      </c>
      <c r="J84" s="41">
        <v>7</v>
      </c>
      <c r="K84" t="s">
        <v>2301</v>
      </c>
    </row>
    <row r="85" spans="1:11" x14ac:dyDescent="0.3">
      <c r="A85" t="s">
        <v>554</v>
      </c>
      <c r="B85" t="s">
        <v>1265</v>
      </c>
      <c r="C85" t="s">
        <v>975</v>
      </c>
      <c r="D85" t="s">
        <v>686</v>
      </c>
      <c r="E85" t="s">
        <v>377</v>
      </c>
      <c r="F85" t="s">
        <v>571</v>
      </c>
      <c r="G85" t="s">
        <v>190</v>
      </c>
      <c r="H85" s="41">
        <v>0</v>
      </c>
      <c r="I85" s="41">
        <v>1.9</v>
      </c>
      <c r="J85" s="41">
        <v>1</v>
      </c>
      <c r="K85" t="s">
        <v>2301</v>
      </c>
    </row>
    <row r="86" spans="1:11" x14ac:dyDescent="0.3">
      <c r="A86" t="s">
        <v>554</v>
      </c>
      <c r="B86" t="s">
        <v>1265</v>
      </c>
      <c r="C86" t="s">
        <v>975</v>
      </c>
      <c r="D86" t="s">
        <v>686</v>
      </c>
      <c r="E86" t="s">
        <v>377</v>
      </c>
      <c r="F86" t="s">
        <v>566</v>
      </c>
      <c r="G86" t="s">
        <v>190</v>
      </c>
      <c r="H86" s="41">
        <v>30183.82</v>
      </c>
      <c r="I86" s="41">
        <v>32310.82</v>
      </c>
      <c r="J86" s="41">
        <v>4</v>
      </c>
      <c r="K86" t="s">
        <v>2301</v>
      </c>
    </row>
    <row r="87" spans="1:11" x14ac:dyDescent="0.3">
      <c r="A87" t="s">
        <v>554</v>
      </c>
      <c r="B87" t="s">
        <v>1265</v>
      </c>
      <c r="C87" t="s">
        <v>975</v>
      </c>
      <c r="D87" t="s">
        <v>686</v>
      </c>
      <c r="E87" t="s">
        <v>377</v>
      </c>
      <c r="F87" t="s">
        <v>569</v>
      </c>
      <c r="G87" t="s">
        <v>190</v>
      </c>
      <c r="H87" s="41">
        <v>0</v>
      </c>
      <c r="I87" s="41">
        <v>1706.19</v>
      </c>
      <c r="J87" s="41">
        <v>1</v>
      </c>
      <c r="K87" t="s">
        <v>2301</v>
      </c>
    </row>
    <row r="88" spans="1:11" x14ac:dyDescent="0.3">
      <c r="A88" t="s">
        <v>554</v>
      </c>
      <c r="B88" t="s">
        <v>1265</v>
      </c>
      <c r="C88" t="s">
        <v>975</v>
      </c>
      <c r="D88" t="s">
        <v>686</v>
      </c>
      <c r="E88" t="s">
        <v>377</v>
      </c>
      <c r="F88" t="s">
        <v>570</v>
      </c>
      <c r="G88" t="s">
        <v>190</v>
      </c>
      <c r="H88" s="41">
        <v>5146.2</v>
      </c>
      <c r="I88" s="41">
        <v>7044.69</v>
      </c>
      <c r="J88" s="41">
        <v>13</v>
      </c>
      <c r="K88" t="s">
        <v>2301</v>
      </c>
    </row>
    <row r="89" spans="1:11" x14ac:dyDescent="0.3">
      <c r="A89" t="s">
        <v>603</v>
      </c>
      <c r="B89" t="s">
        <v>658</v>
      </c>
      <c r="C89" t="s">
        <v>976</v>
      </c>
      <c r="D89" t="s">
        <v>496</v>
      </c>
      <c r="E89" t="s">
        <v>309</v>
      </c>
      <c r="F89" t="s">
        <v>571</v>
      </c>
      <c r="G89" t="s">
        <v>2225</v>
      </c>
      <c r="H89" s="41">
        <v>37.69</v>
      </c>
      <c r="I89" s="41">
        <v>633.32000000000005</v>
      </c>
      <c r="J89" s="41">
        <v>8</v>
      </c>
      <c r="K89" t="s">
        <v>2301</v>
      </c>
    </row>
    <row r="90" spans="1:11" x14ac:dyDescent="0.3">
      <c r="A90" t="s">
        <v>603</v>
      </c>
      <c r="B90" t="s">
        <v>658</v>
      </c>
      <c r="C90" t="s">
        <v>976</v>
      </c>
      <c r="D90" t="s">
        <v>496</v>
      </c>
      <c r="E90" t="s">
        <v>309</v>
      </c>
      <c r="F90" t="s">
        <v>566</v>
      </c>
      <c r="G90" t="s">
        <v>2225</v>
      </c>
      <c r="H90" s="41">
        <v>0</v>
      </c>
      <c r="I90" s="41">
        <v>270.35000000000002</v>
      </c>
      <c r="J90" s="41">
        <v>1</v>
      </c>
      <c r="K90" t="s">
        <v>2301</v>
      </c>
    </row>
    <row r="91" spans="1:11" x14ac:dyDescent="0.3">
      <c r="A91" t="s">
        <v>603</v>
      </c>
      <c r="B91" t="s">
        <v>658</v>
      </c>
      <c r="C91" t="s">
        <v>976</v>
      </c>
      <c r="D91" t="s">
        <v>496</v>
      </c>
      <c r="E91" t="s">
        <v>309</v>
      </c>
      <c r="F91" t="s">
        <v>565</v>
      </c>
      <c r="G91" t="s">
        <v>2225</v>
      </c>
      <c r="H91" s="41">
        <v>2250</v>
      </c>
      <c r="I91" s="41">
        <v>9662.3700000000008</v>
      </c>
      <c r="J91" s="41">
        <v>2</v>
      </c>
      <c r="K91" t="s">
        <v>2301</v>
      </c>
    </row>
    <row r="92" spans="1:11" x14ac:dyDescent="0.3">
      <c r="A92" t="s">
        <v>603</v>
      </c>
      <c r="B92" t="s">
        <v>658</v>
      </c>
      <c r="C92" t="s">
        <v>976</v>
      </c>
      <c r="D92" t="s">
        <v>496</v>
      </c>
      <c r="E92" t="s">
        <v>309</v>
      </c>
      <c r="F92" t="s">
        <v>568</v>
      </c>
      <c r="G92" t="s">
        <v>2225</v>
      </c>
      <c r="H92" s="41">
        <v>0</v>
      </c>
      <c r="I92" s="41">
        <v>9276.5300000000007</v>
      </c>
      <c r="J92" s="41">
        <v>2</v>
      </c>
      <c r="K92" t="s">
        <v>2301</v>
      </c>
    </row>
    <row r="93" spans="1:11" x14ac:dyDescent="0.3">
      <c r="A93" t="s">
        <v>603</v>
      </c>
      <c r="B93" t="s">
        <v>658</v>
      </c>
      <c r="C93" t="s">
        <v>976</v>
      </c>
      <c r="D93" t="s">
        <v>496</v>
      </c>
      <c r="E93" t="s">
        <v>309</v>
      </c>
      <c r="F93" t="s">
        <v>569</v>
      </c>
      <c r="G93" t="s">
        <v>2225</v>
      </c>
      <c r="H93" s="41">
        <v>34.299999999999997</v>
      </c>
      <c r="I93" s="41">
        <v>149.81</v>
      </c>
      <c r="J93" s="41">
        <v>2</v>
      </c>
      <c r="K93" t="s">
        <v>2301</v>
      </c>
    </row>
    <row r="94" spans="1:11" x14ac:dyDescent="0.3">
      <c r="A94" t="s">
        <v>603</v>
      </c>
      <c r="B94" t="s">
        <v>658</v>
      </c>
      <c r="C94" t="s">
        <v>976</v>
      </c>
      <c r="D94" t="s">
        <v>496</v>
      </c>
      <c r="E94" t="s">
        <v>309</v>
      </c>
      <c r="F94" t="s">
        <v>570</v>
      </c>
      <c r="G94" t="s">
        <v>2225</v>
      </c>
      <c r="H94" s="41">
        <v>300</v>
      </c>
      <c r="I94" s="41">
        <v>1800</v>
      </c>
      <c r="J94" s="41">
        <v>1</v>
      </c>
      <c r="K94" t="s">
        <v>2301</v>
      </c>
    </row>
    <row r="95" spans="1:11" x14ac:dyDescent="0.3">
      <c r="A95" t="s">
        <v>603</v>
      </c>
      <c r="B95" t="s">
        <v>658</v>
      </c>
      <c r="C95" t="s">
        <v>976</v>
      </c>
      <c r="D95" t="s">
        <v>496</v>
      </c>
      <c r="E95" t="s">
        <v>304</v>
      </c>
      <c r="F95" t="s">
        <v>561</v>
      </c>
      <c r="G95" t="s">
        <v>561</v>
      </c>
      <c r="H95" s="41">
        <v>50</v>
      </c>
      <c r="I95" s="41">
        <v>206</v>
      </c>
      <c r="J95" s="41">
        <v>2</v>
      </c>
      <c r="K95" t="s">
        <v>2301</v>
      </c>
    </row>
    <row r="96" spans="1:11" x14ac:dyDescent="0.3">
      <c r="A96" t="s">
        <v>603</v>
      </c>
      <c r="B96" t="s">
        <v>1373</v>
      </c>
      <c r="C96" t="s">
        <v>974</v>
      </c>
      <c r="D96" t="s">
        <v>496</v>
      </c>
      <c r="E96" t="s">
        <v>309</v>
      </c>
      <c r="F96" t="s">
        <v>571</v>
      </c>
      <c r="G96" t="s">
        <v>2225</v>
      </c>
      <c r="H96" s="41">
        <v>1113.3699999999999</v>
      </c>
      <c r="I96" s="41">
        <v>7838.06</v>
      </c>
      <c r="J96" s="41">
        <v>23</v>
      </c>
      <c r="K96" t="s">
        <v>2301</v>
      </c>
    </row>
    <row r="97" spans="1:11" x14ac:dyDescent="0.3">
      <c r="A97" t="s">
        <v>603</v>
      </c>
      <c r="B97" t="s">
        <v>1373</v>
      </c>
      <c r="C97" t="s">
        <v>974</v>
      </c>
      <c r="D97" t="s">
        <v>496</v>
      </c>
      <c r="E97" t="s">
        <v>309</v>
      </c>
      <c r="F97" t="s">
        <v>566</v>
      </c>
      <c r="G97" t="s">
        <v>2225</v>
      </c>
      <c r="H97" s="41">
        <v>4650</v>
      </c>
      <c r="I97" s="41">
        <v>13152.46</v>
      </c>
      <c r="J97" s="41">
        <v>6</v>
      </c>
      <c r="K97" t="s">
        <v>2301</v>
      </c>
    </row>
    <row r="98" spans="1:11" x14ac:dyDescent="0.3">
      <c r="A98" t="s">
        <v>603</v>
      </c>
      <c r="B98" t="s">
        <v>1373</v>
      </c>
      <c r="C98" t="s">
        <v>974</v>
      </c>
      <c r="D98" t="s">
        <v>496</v>
      </c>
      <c r="E98" t="s">
        <v>309</v>
      </c>
      <c r="F98" t="s">
        <v>565</v>
      </c>
      <c r="G98" t="s">
        <v>2225</v>
      </c>
      <c r="H98" s="41">
        <v>12984.91</v>
      </c>
      <c r="I98" s="41">
        <v>38958.49</v>
      </c>
      <c r="J98" s="41">
        <v>13</v>
      </c>
      <c r="K98" t="s">
        <v>2301</v>
      </c>
    </row>
    <row r="99" spans="1:11" x14ac:dyDescent="0.3">
      <c r="A99" t="s">
        <v>603</v>
      </c>
      <c r="B99" t="s">
        <v>1373</v>
      </c>
      <c r="C99" t="s">
        <v>974</v>
      </c>
      <c r="D99" t="s">
        <v>496</v>
      </c>
      <c r="E99" t="s">
        <v>309</v>
      </c>
      <c r="F99" t="s">
        <v>569</v>
      </c>
      <c r="G99" t="s">
        <v>2225</v>
      </c>
      <c r="H99" s="41">
        <v>180.88</v>
      </c>
      <c r="I99" s="41">
        <v>10413.370000000001</v>
      </c>
      <c r="J99" s="41">
        <v>10</v>
      </c>
      <c r="K99" t="s">
        <v>2301</v>
      </c>
    </row>
    <row r="100" spans="1:11" x14ac:dyDescent="0.3">
      <c r="A100" t="s">
        <v>603</v>
      </c>
      <c r="B100" t="s">
        <v>1373</v>
      </c>
      <c r="C100" t="s">
        <v>974</v>
      </c>
      <c r="D100" t="s">
        <v>496</v>
      </c>
      <c r="E100" t="s">
        <v>309</v>
      </c>
      <c r="F100" t="s">
        <v>570</v>
      </c>
      <c r="G100" t="s">
        <v>2225</v>
      </c>
      <c r="H100" s="41">
        <v>73.209999999999994</v>
      </c>
      <c r="I100" s="41">
        <v>309.89999999999998</v>
      </c>
      <c r="J100" s="41">
        <v>8</v>
      </c>
      <c r="K100" t="s">
        <v>2301</v>
      </c>
    </row>
    <row r="101" spans="1:11" x14ac:dyDescent="0.3">
      <c r="A101" t="s">
        <v>603</v>
      </c>
      <c r="B101" t="s">
        <v>1373</v>
      </c>
      <c r="C101" t="s">
        <v>974</v>
      </c>
      <c r="D101" t="s">
        <v>496</v>
      </c>
      <c r="E101" t="s">
        <v>304</v>
      </c>
      <c r="F101" t="s">
        <v>561</v>
      </c>
      <c r="G101" t="s">
        <v>561</v>
      </c>
      <c r="H101" s="41">
        <v>327.06</v>
      </c>
      <c r="I101" s="41">
        <v>778.26</v>
      </c>
      <c r="J101" s="41">
        <v>6</v>
      </c>
      <c r="K101" t="s">
        <v>2301</v>
      </c>
    </row>
    <row r="102" spans="1:11" x14ac:dyDescent="0.3">
      <c r="A102" t="s">
        <v>603</v>
      </c>
      <c r="B102" t="s">
        <v>1373</v>
      </c>
      <c r="C102" t="s">
        <v>974</v>
      </c>
      <c r="D102" t="s">
        <v>496</v>
      </c>
      <c r="E102" t="s">
        <v>377</v>
      </c>
      <c r="F102" t="s">
        <v>569</v>
      </c>
      <c r="G102" t="s">
        <v>190</v>
      </c>
      <c r="H102" s="41">
        <v>0</v>
      </c>
      <c r="I102" s="41">
        <v>4548</v>
      </c>
      <c r="J102" s="41">
        <v>3</v>
      </c>
      <c r="K102" t="s">
        <v>2301</v>
      </c>
    </row>
    <row r="103" spans="1:11" x14ac:dyDescent="0.3">
      <c r="A103" t="s">
        <v>603</v>
      </c>
      <c r="B103" t="s">
        <v>1265</v>
      </c>
      <c r="C103" t="s">
        <v>975</v>
      </c>
      <c r="D103" t="s">
        <v>686</v>
      </c>
      <c r="E103" t="s">
        <v>309</v>
      </c>
      <c r="F103" t="s">
        <v>566</v>
      </c>
      <c r="G103" t="s">
        <v>2225</v>
      </c>
      <c r="H103" s="41">
        <v>878</v>
      </c>
      <c r="I103" s="41">
        <v>5446.95</v>
      </c>
      <c r="J103" s="41">
        <v>2</v>
      </c>
      <c r="K103" t="s">
        <v>2301</v>
      </c>
    </row>
    <row r="104" spans="1:11" x14ac:dyDescent="0.3">
      <c r="A104" t="s">
        <v>603</v>
      </c>
      <c r="B104" t="s">
        <v>1265</v>
      </c>
      <c r="C104" t="s">
        <v>975</v>
      </c>
      <c r="D104" t="s">
        <v>686</v>
      </c>
      <c r="E104" t="s">
        <v>304</v>
      </c>
      <c r="F104" t="s">
        <v>561</v>
      </c>
      <c r="G104" t="s">
        <v>561</v>
      </c>
      <c r="H104" s="41">
        <v>314.14999999999998</v>
      </c>
      <c r="I104" s="41">
        <v>1166.97</v>
      </c>
      <c r="J104" s="41">
        <v>7</v>
      </c>
      <c r="K104" t="s">
        <v>2301</v>
      </c>
    </row>
    <row r="105" spans="1:11" x14ac:dyDescent="0.3">
      <c r="A105" t="s">
        <v>603</v>
      </c>
      <c r="B105" t="s">
        <v>1265</v>
      </c>
      <c r="C105" t="s">
        <v>975</v>
      </c>
      <c r="D105" t="s">
        <v>686</v>
      </c>
      <c r="E105" t="s">
        <v>377</v>
      </c>
      <c r="F105" t="s">
        <v>571</v>
      </c>
      <c r="G105" t="s">
        <v>190</v>
      </c>
      <c r="H105" s="41">
        <v>4074.52</v>
      </c>
      <c r="I105" s="41">
        <v>4076.42</v>
      </c>
      <c r="J105" s="41">
        <v>4</v>
      </c>
      <c r="K105" t="s">
        <v>2301</v>
      </c>
    </row>
    <row r="106" spans="1:11" x14ac:dyDescent="0.3">
      <c r="A106" t="s">
        <v>603</v>
      </c>
      <c r="B106" t="s">
        <v>1265</v>
      </c>
      <c r="C106" t="s">
        <v>975</v>
      </c>
      <c r="D106" t="s">
        <v>686</v>
      </c>
      <c r="E106" t="s">
        <v>377</v>
      </c>
      <c r="F106" t="s">
        <v>566</v>
      </c>
      <c r="G106" t="s">
        <v>190</v>
      </c>
      <c r="H106" s="41">
        <v>0</v>
      </c>
      <c r="I106" s="41">
        <v>32310.82</v>
      </c>
      <c r="J106" s="41">
        <v>4</v>
      </c>
      <c r="K106" t="s">
        <v>2301</v>
      </c>
    </row>
    <row r="107" spans="1:11" x14ac:dyDescent="0.3">
      <c r="A107" t="s">
        <v>603</v>
      </c>
      <c r="B107" t="s">
        <v>1265</v>
      </c>
      <c r="C107" t="s">
        <v>975</v>
      </c>
      <c r="D107" t="s">
        <v>686</v>
      </c>
      <c r="E107" t="s">
        <v>377</v>
      </c>
      <c r="F107" t="s">
        <v>569</v>
      </c>
      <c r="G107" t="s">
        <v>190</v>
      </c>
      <c r="H107" s="41">
        <v>0</v>
      </c>
      <c r="I107" s="41">
        <v>1706.19</v>
      </c>
      <c r="J107" s="41">
        <v>1</v>
      </c>
      <c r="K107" t="s">
        <v>2301</v>
      </c>
    </row>
    <row r="108" spans="1:11" x14ac:dyDescent="0.3">
      <c r="A108" t="s">
        <v>603</v>
      </c>
      <c r="B108" t="s">
        <v>1265</v>
      </c>
      <c r="C108" t="s">
        <v>975</v>
      </c>
      <c r="D108" t="s">
        <v>686</v>
      </c>
      <c r="E108" t="s">
        <v>377</v>
      </c>
      <c r="F108" t="s">
        <v>570</v>
      </c>
      <c r="G108" t="s">
        <v>190</v>
      </c>
      <c r="H108" s="41">
        <v>7143.79</v>
      </c>
      <c r="I108" s="41">
        <v>14188.48</v>
      </c>
      <c r="J108" s="41">
        <v>24</v>
      </c>
      <c r="K108" t="s">
        <v>2301</v>
      </c>
    </row>
    <row r="109" spans="1:11" x14ac:dyDescent="0.3">
      <c r="A109" t="s">
        <v>624</v>
      </c>
      <c r="B109" t="s">
        <v>522</v>
      </c>
      <c r="C109" t="s">
        <v>25</v>
      </c>
      <c r="D109" t="s">
        <v>451</v>
      </c>
      <c r="E109" t="s">
        <v>304</v>
      </c>
      <c r="F109" t="s">
        <v>561</v>
      </c>
      <c r="G109" t="s">
        <v>561</v>
      </c>
      <c r="H109" s="41">
        <v>0</v>
      </c>
      <c r="I109" s="41">
        <v>40108353</v>
      </c>
      <c r="J109" s="41">
        <v>1</v>
      </c>
      <c r="K109" t="s">
        <v>2301</v>
      </c>
    </row>
    <row r="110" spans="1:11" x14ac:dyDescent="0.3">
      <c r="A110" t="s">
        <v>624</v>
      </c>
      <c r="B110" t="s">
        <v>658</v>
      </c>
      <c r="C110" t="s">
        <v>976</v>
      </c>
      <c r="D110" t="s">
        <v>496</v>
      </c>
      <c r="E110" t="s">
        <v>309</v>
      </c>
      <c r="F110" t="s">
        <v>571</v>
      </c>
      <c r="G110" t="s">
        <v>2225</v>
      </c>
      <c r="H110" s="41">
        <v>116.94</v>
      </c>
      <c r="I110" s="41">
        <v>750.26</v>
      </c>
      <c r="J110" s="41">
        <v>8</v>
      </c>
      <c r="K110" t="s">
        <v>2301</v>
      </c>
    </row>
    <row r="111" spans="1:11" x14ac:dyDescent="0.3">
      <c r="A111" t="s">
        <v>624</v>
      </c>
      <c r="B111" t="s">
        <v>658</v>
      </c>
      <c r="C111" t="s">
        <v>976</v>
      </c>
      <c r="D111" t="s">
        <v>496</v>
      </c>
      <c r="E111" t="s">
        <v>309</v>
      </c>
      <c r="F111" t="s">
        <v>566</v>
      </c>
      <c r="G111" t="s">
        <v>2225</v>
      </c>
      <c r="H111" s="41">
        <v>0</v>
      </c>
      <c r="I111" s="41">
        <v>270.35000000000002</v>
      </c>
      <c r="J111" s="41">
        <v>1</v>
      </c>
      <c r="K111" t="s">
        <v>2301</v>
      </c>
    </row>
    <row r="112" spans="1:11" x14ac:dyDescent="0.3">
      <c r="A112" t="s">
        <v>624</v>
      </c>
      <c r="B112" t="s">
        <v>658</v>
      </c>
      <c r="C112" t="s">
        <v>976</v>
      </c>
      <c r="D112" t="s">
        <v>496</v>
      </c>
      <c r="E112" t="s">
        <v>309</v>
      </c>
      <c r="F112" t="s">
        <v>565</v>
      </c>
      <c r="G112" t="s">
        <v>2225</v>
      </c>
      <c r="H112" s="41">
        <v>2630</v>
      </c>
      <c r="I112" s="41">
        <v>12292.37</v>
      </c>
      <c r="J112" s="41">
        <v>2</v>
      </c>
      <c r="K112" t="s">
        <v>2301</v>
      </c>
    </row>
    <row r="113" spans="1:11" x14ac:dyDescent="0.3">
      <c r="A113" t="s">
        <v>624</v>
      </c>
      <c r="B113" t="s">
        <v>658</v>
      </c>
      <c r="C113" t="s">
        <v>976</v>
      </c>
      <c r="D113" t="s">
        <v>496</v>
      </c>
      <c r="E113" t="s">
        <v>309</v>
      </c>
      <c r="F113" t="s">
        <v>568</v>
      </c>
      <c r="G113" t="s">
        <v>2225</v>
      </c>
      <c r="H113" s="41">
        <v>0</v>
      </c>
      <c r="I113" s="41">
        <v>9276.5300000000007</v>
      </c>
      <c r="J113" s="41">
        <v>2</v>
      </c>
      <c r="K113" t="s">
        <v>2301</v>
      </c>
    </row>
    <row r="114" spans="1:11" x14ac:dyDescent="0.3">
      <c r="A114" t="s">
        <v>624</v>
      </c>
      <c r="B114" t="s">
        <v>658</v>
      </c>
      <c r="C114" t="s">
        <v>976</v>
      </c>
      <c r="D114" t="s">
        <v>496</v>
      </c>
      <c r="E114" t="s">
        <v>309</v>
      </c>
      <c r="F114" t="s">
        <v>569</v>
      </c>
      <c r="G114" t="s">
        <v>2225</v>
      </c>
      <c r="H114" s="41">
        <v>0</v>
      </c>
      <c r="I114" s="41">
        <v>149.81</v>
      </c>
      <c r="J114" s="41">
        <v>2</v>
      </c>
      <c r="K114" t="s">
        <v>2301</v>
      </c>
    </row>
    <row r="115" spans="1:11" x14ac:dyDescent="0.3">
      <c r="A115" t="s">
        <v>624</v>
      </c>
      <c r="B115" t="s">
        <v>658</v>
      </c>
      <c r="C115" t="s">
        <v>976</v>
      </c>
      <c r="D115" t="s">
        <v>496</v>
      </c>
      <c r="E115" t="s">
        <v>309</v>
      </c>
      <c r="F115" t="s">
        <v>570</v>
      </c>
      <c r="G115" t="s">
        <v>2225</v>
      </c>
      <c r="H115" s="41">
        <v>300</v>
      </c>
      <c r="I115" s="41">
        <v>2100</v>
      </c>
      <c r="J115" s="41">
        <v>1</v>
      </c>
      <c r="K115" t="s">
        <v>2301</v>
      </c>
    </row>
    <row r="116" spans="1:11" x14ac:dyDescent="0.3">
      <c r="A116" t="s">
        <v>624</v>
      </c>
      <c r="B116" t="s">
        <v>658</v>
      </c>
      <c r="C116" t="s">
        <v>976</v>
      </c>
      <c r="D116" t="s">
        <v>496</v>
      </c>
      <c r="E116" t="s">
        <v>304</v>
      </c>
      <c r="F116" t="s">
        <v>561</v>
      </c>
      <c r="G116" t="s">
        <v>561</v>
      </c>
      <c r="H116" s="41">
        <v>30</v>
      </c>
      <c r="I116" s="41">
        <v>236</v>
      </c>
      <c r="J116" s="41">
        <v>2</v>
      </c>
      <c r="K116" t="s">
        <v>2301</v>
      </c>
    </row>
    <row r="117" spans="1:11" x14ac:dyDescent="0.3">
      <c r="A117" t="s">
        <v>624</v>
      </c>
      <c r="B117" t="s">
        <v>1373</v>
      </c>
      <c r="C117" t="s">
        <v>974</v>
      </c>
      <c r="D117" t="s">
        <v>496</v>
      </c>
      <c r="E117" t="s">
        <v>309</v>
      </c>
      <c r="F117" t="s">
        <v>567</v>
      </c>
      <c r="G117" t="s">
        <v>2225</v>
      </c>
      <c r="H117" s="41">
        <v>85.06</v>
      </c>
      <c r="I117" s="41">
        <v>85.06</v>
      </c>
      <c r="J117" s="41">
        <v>1</v>
      </c>
      <c r="K117" t="s">
        <v>2301</v>
      </c>
    </row>
    <row r="118" spans="1:11" x14ac:dyDescent="0.3">
      <c r="A118" t="s">
        <v>624</v>
      </c>
      <c r="B118" t="s">
        <v>1373</v>
      </c>
      <c r="C118" t="s">
        <v>974</v>
      </c>
      <c r="D118" t="s">
        <v>496</v>
      </c>
      <c r="E118" t="s">
        <v>309</v>
      </c>
      <c r="F118" t="s">
        <v>571</v>
      </c>
      <c r="G118" t="s">
        <v>2225</v>
      </c>
      <c r="H118" s="41">
        <v>177.66</v>
      </c>
      <c r="I118" s="41">
        <v>8015.72</v>
      </c>
      <c r="J118" s="41">
        <v>25</v>
      </c>
      <c r="K118" t="s">
        <v>2301</v>
      </c>
    </row>
    <row r="119" spans="1:11" x14ac:dyDescent="0.3">
      <c r="A119" t="s">
        <v>624</v>
      </c>
      <c r="B119" t="s">
        <v>1373</v>
      </c>
      <c r="C119" t="s">
        <v>974</v>
      </c>
      <c r="D119" t="s">
        <v>496</v>
      </c>
      <c r="E119" t="s">
        <v>309</v>
      </c>
      <c r="F119" t="s">
        <v>566</v>
      </c>
      <c r="G119" t="s">
        <v>2225</v>
      </c>
      <c r="H119" s="41">
        <v>8100</v>
      </c>
      <c r="I119" s="41">
        <v>21252.46</v>
      </c>
      <c r="J119" s="41">
        <v>6</v>
      </c>
      <c r="K119" t="s">
        <v>2301</v>
      </c>
    </row>
    <row r="120" spans="1:11" x14ac:dyDescent="0.3">
      <c r="A120" t="s">
        <v>624</v>
      </c>
      <c r="B120" t="s">
        <v>1373</v>
      </c>
      <c r="C120" t="s">
        <v>974</v>
      </c>
      <c r="D120" t="s">
        <v>496</v>
      </c>
      <c r="E120" t="s">
        <v>309</v>
      </c>
      <c r="F120" t="s">
        <v>565</v>
      </c>
      <c r="G120" t="s">
        <v>2225</v>
      </c>
      <c r="H120" s="41">
        <v>3229.5</v>
      </c>
      <c r="I120" s="41">
        <v>42187.99</v>
      </c>
      <c r="J120" s="41">
        <v>13</v>
      </c>
      <c r="K120" t="s">
        <v>2301</v>
      </c>
    </row>
    <row r="121" spans="1:11" x14ac:dyDescent="0.3">
      <c r="A121" t="s">
        <v>624</v>
      </c>
      <c r="B121" t="s">
        <v>1373</v>
      </c>
      <c r="C121" t="s">
        <v>974</v>
      </c>
      <c r="D121" t="s">
        <v>496</v>
      </c>
      <c r="E121" t="s">
        <v>309</v>
      </c>
      <c r="F121" t="s">
        <v>569</v>
      </c>
      <c r="G121" t="s">
        <v>2225</v>
      </c>
      <c r="H121" s="41">
        <v>409.53</v>
      </c>
      <c r="I121" s="41">
        <v>10822.9</v>
      </c>
      <c r="J121" s="41">
        <v>10</v>
      </c>
      <c r="K121" t="s">
        <v>2301</v>
      </c>
    </row>
    <row r="122" spans="1:11" x14ac:dyDescent="0.3">
      <c r="A122" t="s">
        <v>624</v>
      </c>
      <c r="B122" t="s">
        <v>1373</v>
      </c>
      <c r="C122" t="s">
        <v>974</v>
      </c>
      <c r="D122" t="s">
        <v>496</v>
      </c>
      <c r="E122" t="s">
        <v>309</v>
      </c>
      <c r="F122" t="s">
        <v>570</v>
      </c>
      <c r="G122" t="s">
        <v>2225</v>
      </c>
      <c r="H122" s="41">
        <v>0</v>
      </c>
      <c r="I122" s="41">
        <v>309.89999999999998</v>
      </c>
      <c r="J122" s="41">
        <v>8</v>
      </c>
      <c r="K122" t="s">
        <v>2301</v>
      </c>
    </row>
    <row r="123" spans="1:11" x14ac:dyDescent="0.3">
      <c r="A123" t="s">
        <v>624</v>
      </c>
      <c r="B123" t="s">
        <v>1373</v>
      </c>
      <c r="C123" t="s">
        <v>974</v>
      </c>
      <c r="D123" t="s">
        <v>496</v>
      </c>
      <c r="E123" t="s">
        <v>304</v>
      </c>
      <c r="F123" t="s">
        <v>561</v>
      </c>
      <c r="G123" t="s">
        <v>561</v>
      </c>
      <c r="H123" s="41">
        <v>134.28</v>
      </c>
      <c r="I123" s="41">
        <v>912.54</v>
      </c>
      <c r="J123" s="41">
        <v>6</v>
      </c>
      <c r="K123" t="s">
        <v>2301</v>
      </c>
    </row>
    <row r="124" spans="1:11" x14ac:dyDescent="0.3">
      <c r="A124" t="s">
        <v>624</v>
      </c>
      <c r="B124" t="s">
        <v>1373</v>
      </c>
      <c r="C124" t="s">
        <v>974</v>
      </c>
      <c r="D124" t="s">
        <v>496</v>
      </c>
      <c r="E124" t="s">
        <v>377</v>
      </c>
      <c r="F124" t="s">
        <v>569</v>
      </c>
      <c r="G124" t="s">
        <v>190</v>
      </c>
      <c r="H124" s="41">
        <v>0</v>
      </c>
      <c r="I124" s="41">
        <v>4548</v>
      </c>
      <c r="J124" s="41">
        <v>3</v>
      </c>
      <c r="K124" t="s">
        <v>2301</v>
      </c>
    </row>
    <row r="125" spans="1:11" x14ac:dyDescent="0.3">
      <c r="A125" t="s">
        <v>624</v>
      </c>
      <c r="B125" t="s">
        <v>1265</v>
      </c>
      <c r="C125" t="s">
        <v>975</v>
      </c>
      <c r="D125" t="s">
        <v>686</v>
      </c>
      <c r="E125" t="s">
        <v>309</v>
      </c>
      <c r="F125" t="s">
        <v>566</v>
      </c>
      <c r="G125" t="s">
        <v>2225</v>
      </c>
      <c r="H125" s="41">
        <v>878</v>
      </c>
      <c r="I125" s="41">
        <v>5446.95</v>
      </c>
      <c r="J125" s="41">
        <v>2</v>
      </c>
      <c r="K125" t="s">
        <v>2301</v>
      </c>
    </row>
    <row r="126" spans="1:11" x14ac:dyDescent="0.3">
      <c r="A126" t="s">
        <v>624</v>
      </c>
      <c r="B126" t="s">
        <v>1265</v>
      </c>
      <c r="C126" t="s">
        <v>975</v>
      </c>
      <c r="D126" t="s">
        <v>686</v>
      </c>
      <c r="E126" t="s">
        <v>304</v>
      </c>
      <c r="F126" t="s">
        <v>561</v>
      </c>
      <c r="G126" t="s">
        <v>561</v>
      </c>
      <c r="H126" s="41">
        <v>314.14999999999998</v>
      </c>
      <c r="I126" s="41">
        <v>1166.97</v>
      </c>
      <c r="J126" s="41">
        <v>7</v>
      </c>
      <c r="K126" t="s">
        <v>2301</v>
      </c>
    </row>
    <row r="127" spans="1:11" x14ac:dyDescent="0.3">
      <c r="A127" t="s">
        <v>624</v>
      </c>
      <c r="B127" t="s">
        <v>1265</v>
      </c>
      <c r="C127" t="s">
        <v>975</v>
      </c>
      <c r="D127" t="s">
        <v>686</v>
      </c>
      <c r="E127" t="s">
        <v>377</v>
      </c>
      <c r="F127" t="s">
        <v>571</v>
      </c>
      <c r="G127" t="s">
        <v>190</v>
      </c>
      <c r="H127" s="41">
        <v>4074.52</v>
      </c>
      <c r="I127" s="41">
        <v>4076.42</v>
      </c>
      <c r="J127" s="41">
        <v>4</v>
      </c>
      <c r="K127" t="s">
        <v>2301</v>
      </c>
    </row>
    <row r="128" spans="1:11" x14ac:dyDescent="0.3">
      <c r="A128" t="s">
        <v>624</v>
      </c>
      <c r="B128" t="s">
        <v>1265</v>
      </c>
      <c r="C128" t="s">
        <v>975</v>
      </c>
      <c r="D128" t="s">
        <v>686</v>
      </c>
      <c r="E128" t="s">
        <v>377</v>
      </c>
      <c r="F128" t="s">
        <v>566</v>
      </c>
      <c r="G128" t="s">
        <v>190</v>
      </c>
      <c r="H128" s="41">
        <v>0</v>
      </c>
      <c r="I128" s="41">
        <v>32310.82</v>
      </c>
      <c r="J128" s="41">
        <v>4</v>
      </c>
      <c r="K128" t="s">
        <v>2301</v>
      </c>
    </row>
    <row r="129" spans="1:11" x14ac:dyDescent="0.3">
      <c r="A129" t="s">
        <v>624</v>
      </c>
      <c r="B129" t="s">
        <v>1265</v>
      </c>
      <c r="C129" t="s">
        <v>975</v>
      </c>
      <c r="D129" t="s">
        <v>686</v>
      </c>
      <c r="E129" t="s">
        <v>377</v>
      </c>
      <c r="F129" t="s">
        <v>569</v>
      </c>
      <c r="G129" t="s">
        <v>190</v>
      </c>
      <c r="H129" s="41">
        <v>0</v>
      </c>
      <c r="I129" s="41">
        <v>1706.19</v>
      </c>
      <c r="J129" s="41">
        <v>1</v>
      </c>
      <c r="K129" t="s">
        <v>2301</v>
      </c>
    </row>
    <row r="130" spans="1:11" x14ac:dyDescent="0.3">
      <c r="A130" t="s">
        <v>624</v>
      </c>
      <c r="B130" t="s">
        <v>1265</v>
      </c>
      <c r="C130" t="s">
        <v>975</v>
      </c>
      <c r="D130" t="s">
        <v>686</v>
      </c>
      <c r="E130" t="s">
        <v>377</v>
      </c>
      <c r="F130" t="s">
        <v>570</v>
      </c>
      <c r="G130" t="s">
        <v>190</v>
      </c>
      <c r="H130" s="41">
        <v>7143.79</v>
      </c>
      <c r="I130" s="41">
        <v>14188.48</v>
      </c>
      <c r="J130" s="41">
        <v>24</v>
      </c>
      <c r="K130" t="s">
        <v>2301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Diccionario</vt:lpstr>
      <vt:lpstr>BD_Indicadores</vt:lpstr>
      <vt:lpstr>PyG_Mensual_Col</vt:lpstr>
      <vt:lpstr>Subsidiarias_PyG</vt:lpstr>
      <vt:lpstr>PyG_Oficial</vt:lpstr>
      <vt:lpstr>Finanzas</vt:lpstr>
      <vt:lpstr>Contabilidad</vt:lpstr>
      <vt:lpstr>SaaS_Revenue</vt:lpstr>
      <vt:lpstr>Ventas</vt:lpstr>
      <vt:lpstr>Marketing</vt:lpstr>
      <vt:lpstr>Customer_Success</vt:lpstr>
      <vt:lpstr>TRM</vt:lpstr>
      <vt:lpstr>TRM_Peru</vt:lpstr>
      <vt:lpstr>Calc_LTV_Fin</vt:lpstr>
      <vt:lpstr>Analisis_Churn</vt:lpstr>
      <vt:lpstr>Analisis_Reconciliacion</vt:lpstr>
      <vt:lpstr>CATALOGOS</vt:lpstr>
      <vt:lpstr>LOG</vt:lpstr>
      <vt:lpstr>Pipeline_Comercial</vt:lpstr>
      <vt:lpstr>EEFF_Resumen</vt:lpstr>
      <vt:lpstr>EEFF_COCO_Oficial</vt:lpstr>
      <vt:lpstr>EEFF_Balance</vt:lpstr>
      <vt:lpstr>EEFF_Resultados_YTD</vt:lpstr>
      <vt:lpstr>EEFF_Movimientos</vt:lpstr>
      <vt:lpstr>EEFF_Base_Homologada</vt:lpstr>
      <vt:lpstr>EEFF_Homologacion</vt:lpstr>
      <vt:lpstr>EEFF_Intercompanias</vt:lpstr>
      <vt:lpstr>EEFF_Alertas</vt:lpstr>
      <vt:lpstr>EEFF_Checks</vt:lpstr>
      <vt:lpstr>EEFF_Notas_COCO</vt:lpstr>
      <vt:lpstr>EEFF_Fuentes</vt:lpstr>
      <vt:lpstr>DB_README</vt:lpstr>
      <vt:lpstr>MAP_DASHBOARD_GASTOS</vt:lpstr>
      <vt:lpstr>BD_PYG_OFICIAL</vt:lpstr>
      <vt:lpstr>BD_GASTOS_HOMOLOGADOS</vt:lpstr>
      <vt:lpstr>BD_GASTOS_DASHBOARD_BRIDGE</vt:lpstr>
      <vt:lpstr>DB_CHECKS_ORGANIZACION</vt:lpstr>
      <vt:lpstr>BD_GASTOS_RESUMEN_MENSUAL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ARANGO SANTAMARIA</cp:lastModifiedBy>
  <dcterms:modified xsi:type="dcterms:W3CDTF">2026-08-13T15:18:50Z</dcterms:modified>
</cp:coreProperties>
</file>